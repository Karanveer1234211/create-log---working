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ily tracking" sheetId="2" state="visible" r:id="rId4"/>
    <sheet name="Customer Database" sheetId="3" state="visible" r:id="rId5"/>
    <sheet name="Services" sheetId="4" state="visible" r:id="rId6"/>
    <sheet name="Employee" sheetId="5" state="visible" r:id="rId7"/>
    <sheet name="Expenses" sheetId="6" state="visible" r:id="rId8"/>
    <sheet name="Purchases" sheetId="7" state="visible" r:id="rId9"/>
    <sheet name="Inventory" sheetId="8" state="visible" r:id="rId10"/>
    <sheet name="Retention" sheetId="9" state="visible" r:id="rId11"/>
    <sheet name="P&amp;L Statement" sheetId="10" state="visible" r:id="rId12"/>
    <sheet name="Appointments" sheetId="11" state="visible" r:id="rId13"/>
  </sheets>
  <definedNames>
    <definedName function="false" hidden="false" name="CustNames" vbProcedure="false">'Customer Database'!$A$2:$A$501</definedName>
    <definedName function="false" hidden="false" name="EmpNames" vbProcedure="false">Employee!$A$2:$A$21</definedName>
    <definedName function="false" hidden="false" name="ProductNames" vbProcedure="false">Inventory!$A$2:$A$201</definedName>
    <definedName function="false" hidden="false" name="ServiceKeys" vbProcedure="false">Services!$D$2:$D$120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<sst xmlns="http://schemas.openxmlformats.org/spreadsheetml/2006/main" count="444" uniqueCount="227">
  <si>
    <t xml:space="preserve">PRISM BEAUTY — Dashboard</t>
  </si>
  <si>
    <t xml:space="preserve">Updates automatically as you log sales, purchases and expenses. Set your start month in B4.</t>
  </si>
  <si>
    <t xml:space="preserve">P&amp;L start month</t>
  </si>
  <si>
    <t xml:space="preserve">← type your parlor's start month (e.g. 01-09-2025)</t>
  </si>
  <si>
    <t xml:space="preserve">KEY NUMBERS</t>
  </si>
  <si>
    <t xml:space="preserve">SERVICE CATEGORY PERFORMANCE</t>
  </si>
  <si>
    <t xml:space="preserve">Revenue (this month)</t>
  </si>
  <si>
    <t xml:space="preserve">Category</t>
  </si>
  <si>
    <t xml:space="preserve">Revenue</t>
  </si>
  <si>
    <t xml:space="preserve">Bookings</t>
  </si>
  <si>
    <t xml:space="preserve">Revenue (all time)</t>
  </si>
  <si>
    <t xml:space="preserve">Threading</t>
  </si>
  <si>
    <t xml:space="preserve">Monthly salary cost</t>
  </si>
  <si>
    <t xml:space="preserve">Waxing</t>
  </si>
  <si>
    <t xml:space="preserve">Product purchases (this month)</t>
  </si>
  <si>
    <t xml:space="preserve">Roll on - Wax</t>
  </si>
  <si>
    <t xml:space="preserve">Other expenses (this month)</t>
  </si>
  <si>
    <t xml:space="preserve">Lipo - Wax</t>
  </si>
  <si>
    <t xml:space="preserve">Profit (this month)</t>
  </si>
  <si>
    <t xml:space="preserve">Spa</t>
  </si>
  <si>
    <t xml:space="preserve">Stock value on hand</t>
  </si>
  <si>
    <t xml:space="preserve">Pedicure</t>
  </si>
  <si>
    <t xml:space="preserve">Items to reorder</t>
  </si>
  <si>
    <t xml:space="preserve">Manicure</t>
  </si>
  <si>
    <t xml:space="preserve">Active customers</t>
  </si>
  <si>
    <t xml:space="preserve">Combo - meni &amp; pedi</t>
  </si>
  <si>
    <t xml:space="preserve">At-risk (message them!)</t>
  </si>
  <si>
    <t xml:space="preserve">Nail extension</t>
  </si>
  <si>
    <t xml:space="preserve">Lapsed customers</t>
  </si>
  <si>
    <t xml:space="preserve">Nail polish</t>
  </si>
  <si>
    <t xml:space="preserve">Loyal customers</t>
  </si>
  <si>
    <t xml:space="preserve">Hair</t>
  </si>
  <si>
    <t xml:space="preserve">Repeat rate</t>
  </si>
  <si>
    <t xml:space="preserve">Hair treatment</t>
  </si>
  <si>
    <t xml:space="preserve">Hair color</t>
  </si>
  <si>
    <t xml:space="preserve">MONTHLY P&amp;L</t>
  </si>
  <si>
    <t xml:space="preserve">Facial</t>
  </si>
  <si>
    <t xml:space="preserve">Month</t>
  </si>
  <si>
    <t xml:space="preserve">Salaries</t>
  </si>
  <si>
    <t xml:space="preserve">Products</t>
  </si>
  <si>
    <t xml:space="preserve">Other Exp.</t>
  </si>
  <si>
    <t xml:space="preserve">Profit</t>
  </si>
  <si>
    <t xml:space="preserve">Margin</t>
  </si>
  <si>
    <t xml:space="preserve">EMPLOYEE PERFORMANCE</t>
  </si>
  <si>
    <t xml:space="preserve">Employee</t>
  </si>
  <si>
    <t xml:space="preserve">Services</t>
  </si>
  <si>
    <t xml:space="preserve">REVENUE MIX &amp; PAYMENTS (this month)</t>
  </si>
  <si>
    <t xml:space="preserve">CUSTOMER VALUE</t>
  </si>
  <si>
    <t xml:space="preserve">Service revenue</t>
  </si>
  <si>
    <t xml:space="preserve">VIP customers</t>
  </si>
  <si>
    <t xml:space="preserve">Retail revenue</t>
  </si>
  <si>
    <t xml:space="preserve">High-value customers</t>
  </si>
  <si>
    <t xml:space="preserve">Cash</t>
  </si>
  <si>
    <t xml:space="preserve">Birthdays this month</t>
  </si>
  <si>
    <t xml:space="preserve">UPI</t>
  </si>
  <si>
    <t xml:space="preserve">Card</t>
  </si>
  <si>
    <t xml:space="preserve">Date</t>
  </si>
  <si>
    <t xml:space="preserve">Service</t>
  </si>
  <si>
    <t xml:space="preserve">Customer</t>
  </si>
  <si>
    <t xml:space="preserve">Rate</t>
  </si>
  <si>
    <t xml:space="preserve">Discount</t>
  </si>
  <si>
    <t xml:space="preserve">Total</t>
  </si>
  <si>
    <t xml:space="preserve">Payment</t>
  </si>
  <si>
    <t xml:space="preserve">Type</t>
  </si>
  <si>
    <t xml:space="preserve">Name</t>
  </si>
  <si>
    <t xml:space="preserve">Number</t>
  </si>
  <si>
    <t xml:space="preserve">Visits</t>
  </si>
  <si>
    <t xml:space="preserve">Total Spent</t>
  </si>
  <si>
    <t xml:space="preserve">Last Visit</t>
  </si>
  <si>
    <t xml:space="preserve">Days Since</t>
  </si>
  <si>
    <t xml:space="preserve">Status</t>
  </si>
  <si>
    <t xml:space="preserve">Avg Ticket</t>
  </si>
  <si>
    <t xml:space="preserve">Birthday</t>
  </si>
  <si>
    <t xml:space="preserve">Anniversary</t>
  </si>
  <si>
    <t xml:space="preserve">Gender</t>
  </si>
  <si>
    <t xml:space="preserve">Area</t>
  </si>
  <si>
    <t xml:space="preserve">Source</t>
  </si>
  <si>
    <t xml:space="preserve">RFM Score</t>
  </si>
  <si>
    <t xml:space="preserve">Segment</t>
  </si>
  <si>
    <t xml:space="preserve">Bday This Month</t>
  </si>
  <si>
    <t xml:space="preserve">First Visit</t>
  </si>
  <si>
    <t xml:space="preserve">Avg Gap (days)</t>
  </si>
  <si>
    <t xml:space="preserve">Price</t>
  </si>
  <si>
    <t xml:space="preserve">Service Key</t>
  </si>
  <si>
    <t xml:space="preserve">Unit Cost</t>
  </si>
  <si>
    <t xml:space="preserve">Total Cost</t>
  </si>
  <si>
    <t xml:space="preserve">Gross Profit</t>
  </si>
  <si>
    <t xml:space="preserve">Margin %</t>
  </si>
  <si>
    <t xml:space="preserve">Eyebrow</t>
  </si>
  <si>
    <t xml:space="preserve">Forehead</t>
  </si>
  <si>
    <t xml:space="preserve">Upper lip</t>
  </si>
  <si>
    <t xml:space="preserve">Chin</t>
  </si>
  <si>
    <t xml:space="preserve">Full face</t>
  </si>
  <si>
    <t xml:space="preserve">Sidelocks</t>
  </si>
  <si>
    <t xml:space="preserve">Neck</t>
  </si>
  <si>
    <t xml:space="preserve">Jawline</t>
  </si>
  <si>
    <t xml:space="preserve">Half leg</t>
  </si>
  <si>
    <t xml:space="preserve">Hand</t>
  </si>
  <si>
    <t xml:space="preserve">Full leg</t>
  </si>
  <si>
    <t xml:space="preserve">Full waxing</t>
  </si>
  <si>
    <t xml:space="preserve">Stomach</t>
  </si>
  <si>
    <t xml:space="preserve">Full body</t>
  </si>
  <si>
    <t xml:space="preserve">Back</t>
  </si>
  <si>
    <t xml:space="preserve">stomach</t>
  </si>
  <si>
    <t xml:space="preserve">Underarm</t>
  </si>
  <si>
    <t xml:space="preserve">SKP - Spa</t>
  </si>
  <si>
    <t xml:space="preserve">Loreal - basic</t>
  </si>
  <si>
    <t xml:space="preserve">Loreal - repair</t>
  </si>
  <si>
    <t xml:space="preserve">Dfab</t>
  </si>
  <si>
    <t xml:space="preserve">Shea</t>
  </si>
  <si>
    <t xml:space="preserve">Basic</t>
  </si>
  <si>
    <t xml:space="preserve">Strawberry burst</t>
  </si>
  <si>
    <t xml:space="preserve">Rose kiss</t>
  </si>
  <si>
    <t xml:space="preserve">Prism bomb</t>
  </si>
  <si>
    <t xml:space="preserve">Gel polish</t>
  </si>
  <si>
    <t xml:space="preserve">Gel polish + chrome</t>
  </si>
  <si>
    <t xml:space="preserve">Gel polish + cat eye</t>
  </si>
  <si>
    <t xml:space="preserve">Cat eye</t>
  </si>
  <si>
    <t xml:space="preserve">Cut + file + polish</t>
  </si>
  <si>
    <t xml:space="preserve">Nail art</t>
  </si>
  <si>
    <t xml:space="preserve">Hair cut</t>
  </si>
  <si>
    <t xml:space="preserve">Hair cut - kid</t>
  </si>
  <si>
    <t xml:space="preserve">Hair oil massage</t>
  </si>
  <si>
    <t xml:space="preserve">Wash &amp; blow dry</t>
  </si>
  <si>
    <t xml:space="preserve">Ironing</t>
  </si>
  <si>
    <t xml:space="preserve">Curling</t>
  </si>
  <si>
    <t xml:space="preserve">Dandruff care</t>
  </si>
  <si>
    <t xml:space="preserve">Hydra Bliss</t>
  </si>
  <si>
    <t xml:space="preserve">Moisture rebirth</t>
  </si>
  <si>
    <t xml:space="preserve">Straightening</t>
  </si>
  <si>
    <t xml:space="preserve">Smoothening</t>
  </si>
  <si>
    <t xml:space="preserve">Botox</t>
  </si>
  <si>
    <t xml:space="preserve">Nanoplasty</t>
  </si>
  <si>
    <t xml:space="preserve">Root touch up - streax</t>
  </si>
  <si>
    <t xml:space="preserve">Root touch up - Loreal</t>
  </si>
  <si>
    <t xml:space="preserve">Root touch up - SKP</t>
  </si>
  <si>
    <t xml:space="preserve">Global</t>
  </si>
  <si>
    <t xml:space="preserve">Balayage/Ombre</t>
  </si>
  <si>
    <t xml:space="preserve">Highlights/streak</t>
  </si>
  <si>
    <t xml:space="preserve">Global highlights</t>
  </si>
  <si>
    <t xml:space="preserve">Clean up - Lotus</t>
  </si>
  <si>
    <t xml:space="preserve">Clean up - Raga</t>
  </si>
  <si>
    <t xml:space="preserve">Detan</t>
  </si>
  <si>
    <t xml:space="preserve">Raga</t>
  </si>
  <si>
    <t xml:space="preserve">Lotus - Basic</t>
  </si>
  <si>
    <t xml:space="preserve">Lotus - Gold</t>
  </si>
  <si>
    <t xml:space="preserve">Sara - Diamond</t>
  </si>
  <si>
    <t xml:space="preserve">Sara - Gold</t>
  </si>
  <si>
    <t xml:space="preserve">O3 detan facial</t>
  </si>
  <si>
    <t xml:space="preserve">Hydrating</t>
  </si>
  <si>
    <t xml:space="preserve">Brightening</t>
  </si>
  <si>
    <t xml:space="preserve">Bridal</t>
  </si>
  <si>
    <t xml:space="preserve">Salary</t>
  </si>
  <si>
    <t xml:space="preserve">Services Done</t>
  </si>
  <si>
    <t xml:space="preserve">Revenue (All Time)</t>
  </si>
  <si>
    <t xml:space="preserve">Revenue (This Month)</t>
  </si>
  <si>
    <t xml:space="preserve">Revenue per ₹ Salary</t>
  </si>
  <si>
    <t xml:space="preserve">Commission %</t>
  </si>
  <si>
    <t xml:space="preserve">Commission (This Month)</t>
  </si>
  <si>
    <t xml:space="preserve">Total Payout (This Month)</t>
  </si>
  <si>
    <t xml:space="preserve">Rachna</t>
  </si>
  <si>
    <t xml:space="preserve">Feroz</t>
  </si>
  <si>
    <t xml:space="preserve">Mona</t>
  </si>
  <si>
    <t xml:space="preserve">Chandni</t>
  </si>
  <si>
    <t xml:space="preserve">Amount</t>
  </si>
  <si>
    <t xml:space="preserve">Note</t>
  </si>
  <si>
    <t xml:space="preserve">Salaries pull from the Employee sheet; product buys go on the Purchases sheet. Don't log either here.</t>
  </si>
  <si>
    <t xml:space="preserve">Product</t>
  </si>
  <si>
    <t xml:space="preserve">Qty</t>
  </si>
  <si>
    <t xml:space="preserve">Supplier</t>
  </si>
  <si>
    <t xml:space="preserve">Unit</t>
  </si>
  <si>
    <t xml:space="preserve">Opening Stock</t>
  </si>
  <si>
    <t xml:space="preserve">Opening Unit Cost</t>
  </si>
  <si>
    <t xml:space="preserve">Purchased</t>
  </si>
  <si>
    <t xml:space="preserve">Used / Wastage</t>
  </si>
  <si>
    <t xml:space="preserve">In Stock</t>
  </si>
  <si>
    <t xml:space="preserve">Reorder Level</t>
  </si>
  <si>
    <t xml:space="preserve">Avg Unit Cost</t>
  </si>
  <si>
    <t xml:space="preserve">Stock Value</t>
  </si>
  <si>
    <t xml:space="preserve">CUSTOMER RETENTION</t>
  </si>
  <si>
    <t xml:space="preserve">THE NUMBERS</t>
  </si>
  <si>
    <t xml:space="preserve">WHERE CUSTOMERS COME FROM</t>
  </si>
  <si>
    <t xml:space="preserve">Total customers</t>
  </si>
  <si>
    <t xml:space="preserve">Customers</t>
  </si>
  <si>
    <t xml:space="preserve">Total Spend</t>
  </si>
  <si>
    <t xml:space="preserve">Avg Spend</t>
  </si>
  <si>
    <t xml:space="preserve">New customers (this month)</t>
  </si>
  <si>
    <t xml:space="preserve">Walk-in</t>
  </si>
  <si>
    <t xml:space="preserve">Repeat customers (2+ visits)</t>
  </si>
  <si>
    <t xml:space="preserve">Instagram</t>
  </si>
  <si>
    <t xml:space="preserve">Google</t>
  </si>
  <si>
    <t xml:space="preserve">Visited in last 30 days</t>
  </si>
  <si>
    <t xml:space="preserve">Referral</t>
  </si>
  <si>
    <t xml:space="preserve">Not visited 30-60 days</t>
  </si>
  <si>
    <t xml:space="preserve">JustDial</t>
  </si>
  <si>
    <t xml:space="preserve">Not visited 60-90 days</t>
  </si>
  <si>
    <t xml:space="preserve">WhatsApp</t>
  </si>
  <si>
    <t xml:space="preserve">Lost (90+ days)</t>
  </si>
  <si>
    <t xml:space="preserve">Facebook</t>
  </si>
  <si>
    <t xml:space="preserve">Existing</t>
  </si>
  <si>
    <t xml:space="preserve">MONTHLY P&amp;L STATEMENT</t>
  </si>
  <si>
    <t xml:space="preserve">← change to any month start</t>
  </si>
  <si>
    <t xml:space="preserve">REVENUE</t>
  </si>
  <si>
    <t xml:space="preserve">  Service revenue</t>
  </si>
  <si>
    <t xml:space="preserve">  Retail revenue</t>
  </si>
  <si>
    <t xml:space="preserve">  Total Revenue</t>
  </si>
  <si>
    <t xml:space="preserve">LESS COSTS</t>
  </si>
  <si>
    <t xml:space="preserve">  Product cost</t>
  </si>
  <si>
    <t xml:space="preserve">  Salaries</t>
  </si>
  <si>
    <t xml:space="preserve">  Rent</t>
  </si>
  <si>
    <t xml:space="preserve">  Electricity</t>
  </si>
  <si>
    <t xml:space="preserve">  Internet</t>
  </si>
  <si>
    <t xml:space="preserve">  Marketing</t>
  </si>
  <si>
    <t xml:space="preserve">  Other expenses</t>
  </si>
  <si>
    <t xml:space="preserve">  Total Costs</t>
  </si>
  <si>
    <t xml:space="preserve">NET PROFIT</t>
  </si>
  <si>
    <t xml:space="preserve">Profit %</t>
  </si>
  <si>
    <t xml:space="preserve">Time</t>
  </si>
  <si>
    <t xml:space="preserve">Phone</t>
  </si>
  <si>
    <t xml:space="preserve">Booked By</t>
  </si>
  <si>
    <t xml:space="preserve">METRICS</t>
  </si>
  <si>
    <t xml:space="preserve">Total booked</t>
  </si>
  <si>
    <t xml:space="preserve">Completed</t>
  </si>
  <si>
    <t xml:space="preserve">Cancelled</t>
  </si>
  <si>
    <t xml:space="preserve">No-shows</t>
  </si>
  <si>
    <t xml:space="preserve">No-show %</t>
  </si>
  <si>
    <t xml:space="preserve">Completion %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</si>
</sst>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mmm\ yyyy"/>
    <numFmt numFmtId="166" formatCode="\₹#,##0"/>
    <numFmt numFmtId="167" formatCode="0"/>
    <numFmt numFmtId="168" formatCode="0.0%"/>
    <numFmt numFmtId="169" formatCode="dd\-mmm\-yyyy"/>
    <numFmt numFmtId="170" formatCode="0.0\x"/>
    <numFmt numFmtId="171" formatCode="0%"/>
  </numFmts>
  <fonts count="13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2B3A55"/>
      <name val="Calibri"/>
      <family val="0"/>
      <charset val="1"/>
    </font>
    <font>
      <i val="true"/>
      <sz val="11"/>
      <color rgb="FF888888"/>
      <name val="Calibri"/>
      <family val="0"/>
      <charset val="1"/>
    </font>
    <font>
      <b val="true"/>
      <sz val="11"/>
      <color rgb="FF1F2933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2B3A55"/>
      <name val="Calibri"/>
      <family val="0"/>
      <charset val="1"/>
    </font>
    <font>
      <sz val="11"/>
      <color rgb="FF1F2933"/>
      <name val="Calibri"/>
      <family val="0"/>
      <charset val="1"/>
    </font>
    <font>
      <sz val="11"/>
      <color rgb="FF008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6"/>
      <color rgb="FF2B3A55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7ECF3"/>
        <bgColor rgb="FFD9D9D9"/>
      </patternFill>
    </fill>
    <fill>
      <patternFill patternType="solid">
        <fgColor rgb="FF2B3A55"/>
        <bgColor rgb="FF1F29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FCC"/>
      <rgbColor rgb="FFE7EC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933"/>
      <rgbColor rgb="FF993300"/>
      <rgbColor rgb="FF993366"/>
      <rgbColor rgb="FF333399"/>
      <rgbColor rgb="FF2B3A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6" min="3" style="0" width="13"/>
    <col collapsed="false" customWidth="true" hidden="false" outlineLevel="0" max="7" min="7" style="0" width="11"/>
    <col collapsed="false" customWidth="true" hidden="false" outlineLevel="0" max="8" min="8" style="0" width="20"/>
    <col collapsed="false" customWidth="true" hidden="false" outlineLevel="0" max="9" min="9" style="0" width="13"/>
    <col collapsed="false" customWidth="true" hidden="false" outlineLevel="0" max="10" min="10" style="0" width="11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f aca="true">EOMONTH(TODAY(),-11)+1</f>
        <v>45870</v>
      </c>
      <c r="C4" s="2" t="s">
        <v>3</v>
      </c>
    </row>
    <row r="6" customFormat="false" ht="15" hidden="false" customHeight="false" outlineLevel="0" collapsed="false">
      <c r="A6" s="5" t="s">
        <v>4</v>
      </c>
      <c r="H6" s="5" t="s">
        <v>5</v>
      </c>
    </row>
    <row r="7" customFormat="false" ht="15" hidden="false" customHeight="false" outlineLevel="0" collapsed="false">
      <c r="A7" s="6" t="s">
        <v>6</v>
      </c>
      <c r="B7" s="7" t="n">
        <f aca="true">SUMIFS('Daily tracking'!$G$2:$G$2001,'Daily tracking'!$A$2:$A$2001,"&gt;="&amp;EOMONTH(TODAY(),-1)+1,'Daily tracking'!$A$2:$A$2001,"&lt;="&amp;EOMONTH(TODAY(),0))</f>
        <v>0</v>
      </c>
      <c r="H7" s="8" t="s">
        <v>7</v>
      </c>
      <c r="I7" s="8" t="s">
        <v>8</v>
      </c>
      <c r="J7" s="8" t="s">
        <v>9</v>
      </c>
    </row>
    <row r="8" customFormat="false" ht="15" hidden="false" customHeight="false" outlineLevel="0" collapsed="false">
      <c r="A8" s="6" t="s">
        <v>10</v>
      </c>
      <c r="B8" s="7" t="n">
        <f aca="false">SUM('Daily tracking'!$G$2:$G$2001)</f>
        <v>0</v>
      </c>
      <c r="H8" s="6" t="s">
        <v>11</v>
      </c>
      <c r="I8" s="9" t="n">
        <f aca="false">SUMIF('Daily tracking'!$H$2:$H$2001,H8,'Daily tracking'!$G$2:$G$2001)</f>
        <v>0</v>
      </c>
      <c r="J8" s="6" t="n">
        <f aca="false">COUNTIF('Daily tracking'!$H$2:$H$2001,H8)</f>
        <v>0</v>
      </c>
    </row>
    <row r="9" customFormat="false" ht="15" hidden="false" customHeight="false" outlineLevel="0" collapsed="false">
      <c r="A9" s="6" t="s">
        <v>12</v>
      </c>
      <c r="B9" s="7" t="n">
        <f aca="false">SUM(Employee!$B$2:$B$21)</f>
        <v>48000</v>
      </c>
      <c r="H9" s="6" t="s">
        <v>13</v>
      </c>
      <c r="I9" s="9" t="n">
        <f aca="false">SUMIF('Daily tracking'!$H$2:$H$2001,H9,'Daily tracking'!$G$2:$G$2001)</f>
        <v>0</v>
      </c>
      <c r="J9" s="6" t="n">
        <f aca="false">COUNTIF('Daily tracking'!$H$2:$H$2001,H9)</f>
        <v>0</v>
      </c>
    </row>
    <row r="10" customFormat="false" ht="15" hidden="false" customHeight="false" outlineLevel="0" collapsed="false">
      <c r="A10" s="6" t="s">
        <v>14</v>
      </c>
      <c r="B10" s="7" t="n">
        <f aca="true">SUMIFS(Purchases!$E$2:$E$1001,Purchases!$A$2:$A$1001,"&gt;="&amp;EOMONTH(TODAY(),-1)+1,Purchases!$A$2:$A$1001,"&lt;="&amp;EOMONTH(TODAY(),0))</f>
        <v>0</v>
      </c>
      <c r="H10" s="6" t="s">
        <v>15</v>
      </c>
      <c r="I10" s="9" t="n">
        <f aca="false">SUMIF('Daily tracking'!$H$2:$H$2001,H10,'Daily tracking'!$G$2:$G$2001)</f>
        <v>0</v>
      </c>
      <c r="J10" s="6" t="n">
        <f aca="false">COUNTIF('Daily tracking'!$H$2:$H$2001,H10)</f>
        <v>0</v>
      </c>
    </row>
    <row r="11" customFormat="false" ht="15" hidden="false" customHeight="false" outlineLevel="0" collapsed="false">
      <c r="A11" s="6" t="s">
        <v>16</v>
      </c>
      <c r="B11" s="7" t="n">
        <f aca="true">SUMIFS(Expenses!$C$2:$C$501,Expenses!$A$2:$A$501,"&gt;="&amp;EOMONTH(TODAY(),-1)+1,Expenses!$A$2:$A$501,"&lt;="&amp;EOMONTH(TODAY(),0))</f>
        <v>0</v>
      </c>
      <c r="H11" s="6" t="s">
        <v>17</v>
      </c>
      <c r="I11" s="9" t="n">
        <f aca="false">SUMIF('Daily tracking'!$H$2:$H$2001,H11,'Daily tracking'!$G$2:$G$2001)</f>
        <v>0</v>
      </c>
      <c r="J11" s="6" t="n">
        <f aca="false">COUNTIF('Daily tracking'!$H$2:$H$2001,H11)</f>
        <v>0</v>
      </c>
    </row>
    <row r="12" customFormat="false" ht="15" hidden="false" customHeight="false" outlineLevel="0" collapsed="false">
      <c r="A12" s="6" t="s">
        <v>18</v>
      </c>
      <c r="B12" s="7" t="n">
        <f aca="false">B7-B9-B10-B11</f>
        <v>-48000</v>
      </c>
      <c r="H12" s="6" t="s">
        <v>19</v>
      </c>
      <c r="I12" s="9" t="n">
        <f aca="false">SUMIF('Daily tracking'!$H$2:$H$2001,H12,'Daily tracking'!$G$2:$G$2001)</f>
        <v>0</v>
      </c>
      <c r="J12" s="6" t="n">
        <f aca="false">COUNTIF('Daily tracking'!$H$2:$H$2001,H12)</f>
        <v>0</v>
      </c>
    </row>
    <row r="13" customFormat="false" ht="15" hidden="false" customHeight="false" outlineLevel="0" collapsed="false">
      <c r="A13" s="6" t="s">
        <v>20</v>
      </c>
      <c r="B13" s="7" t="n">
        <f aca="false">SUM(Inventory!$L$2:$L$201)</f>
        <v>0</v>
      </c>
      <c r="H13" s="6" t="s">
        <v>21</v>
      </c>
      <c r="I13" s="9" t="n">
        <f aca="false">SUMIF('Daily tracking'!$H$2:$H$2001,H13,'Daily tracking'!$G$2:$G$2001)</f>
        <v>0</v>
      </c>
      <c r="J13" s="6" t="n">
        <f aca="false">COUNTIF('Daily tracking'!$H$2:$H$2001,H13)</f>
        <v>0</v>
      </c>
    </row>
    <row r="14" customFormat="false" ht="15" hidden="false" customHeight="false" outlineLevel="0" collapsed="false">
      <c r="A14" s="6" t="s">
        <v>22</v>
      </c>
      <c r="B14" s="10" t="n">
        <f aca="false">COUNTIF(Inventory!$J$2:$J$201,"REORDER")</f>
        <v>0</v>
      </c>
      <c r="H14" s="6" t="s">
        <v>23</v>
      </c>
      <c r="I14" s="9" t="n">
        <f aca="false">SUMIF('Daily tracking'!$H$2:$H$2001,H14,'Daily tracking'!$G$2:$G$2001)</f>
        <v>0</v>
      </c>
      <c r="J14" s="6" t="n">
        <f aca="false">COUNTIF('Daily tracking'!$H$2:$H$2001,H14)</f>
        <v>0</v>
      </c>
    </row>
    <row r="15" customFormat="false" ht="15" hidden="false" customHeight="false" outlineLevel="0" collapsed="false">
      <c r="A15" s="6" t="s">
        <v>24</v>
      </c>
      <c r="B15" s="10" t="n">
        <f aca="false">COUNTIF('Customer Database'!$G$2:$G$501,"Active")+COUNTIF('Customer Database'!$G$2:$G$501,"Loyal")</f>
        <v>0</v>
      </c>
      <c r="H15" s="6" t="s">
        <v>25</v>
      </c>
      <c r="I15" s="9" t="n">
        <f aca="false">SUMIF('Daily tracking'!$H$2:$H$2001,H15,'Daily tracking'!$G$2:$G$2001)</f>
        <v>0</v>
      </c>
      <c r="J15" s="6" t="n">
        <f aca="false">COUNTIF('Daily tracking'!$H$2:$H$2001,H15)</f>
        <v>0</v>
      </c>
    </row>
    <row r="16" customFormat="false" ht="15" hidden="false" customHeight="false" outlineLevel="0" collapsed="false">
      <c r="A16" s="6" t="s">
        <v>26</v>
      </c>
      <c r="B16" s="10" t="n">
        <f aca="false">COUNTIF('Customer Database'!$G$2:$G$501,"At risk")</f>
        <v>0</v>
      </c>
      <c r="H16" s="6" t="s">
        <v>27</v>
      </c>
      <c r="I16" s="9" t="n">
        <f aca="false">SUMIF('Daily tracking'!$H$2:$H$2001,H16,'Daily tracking'!$G$2:$G$2001)</f>
        <v>0</v>
      </c>
      <c r="J16" s="6" t="n">
        <f aca="false">COUNTIF('Daily tracking'!$H$2:$H$2001,H16)</f>
        <v>0</v>
      </c>
    </row>
    <row r="17" customFormat="false" ht="15" hidden="false" customHeight="false" outlineLevel="0" collapsed="false">
      <c r="A17" s="6" t="s">
        <v>28</v>
      </c>
      <c r="B17" s="10" t="n">
        <f aca="false">COUNTIF('Customer Database'!$G$2:$G$501,"Lapsed")</f>
        <v>0</v>
      </c>
      <c r="H17" s="6" t="s">
        <v>29</v>
      </c>
      <c r="I17" s="9" t="n">
        <f aca="false">SUMIF('Daily tracking'!$H$2:$H$2001,H17,'Daily tracking'!$G$2:$G$2001)</f>
        <v>0</v>
      </c>
      <c r="J17" s="6" t="n">
        <f aca="false">COUNTIF('Daily tracking'!$H$2:$H$2001,H17)</f>
        <v>0</v>
      </c>
    </row>
    <row r="18" customFormat="false" ht="15" hidden="false" customHeight="false" outlineLevel="0" collapsed="false">
      <c r="A18" s="6" t="s">
        <v>30</v>
      </c>
      <c r="B18" s="10" t="n">
        <f aca="false">COUNTIF('Customer Database'!$G$2:$G$501,"Loyal")</f>
        <v>0</v>
      </c>
      <c r="H18" s="6" t="s">
        <v>31</v>
      </c>
      <c r="I18" s="9" t="n">
        <f aca="false">SUMIF('Daily tracking'!$H$2:$H$2001,H18,'Daily tracking'!$G$2:$G$2001)</f>
        <v>0</v>
      </c>
      <c r="J18" s="6" t="n">
        <f aca="false">COUNTIF('Daily tracking'!$H$2:$H$2001,H18)</f>
        <v>0</v>
      </c>
    </row>
    <row r="19" customFormat="false" ht="15" hidden="false" customHeight="false" outlineLevel="0" collapsed="false">
      <c r="A19" s="6" t="s">
        <v>32</v>
      </c>
      <c r="B19" s="11" t="n">
        <f aca="false">IFERROR(COUNTIF('Customer Database'!$C$2:$C$501,"&gt;1")/COUNTIF('Customer Database'!$C$2:$C$501,"&gt;0"),0)</f>
        <v>0</v>
      </c>
      <c r="H19" s="6" t="s">
        <v>33</v>
      </c>
      <c r="I19" s="9" t="n">
        <f aca="false">SUMIF('Daily tracking'!$H$2:$H$2001,H19,'Daily tracking'!$G$2:$G$2001)</f>
        <v>0</v>
      </c>
      <c r="J19" s="6" t="n">
        <f aca="false">COUNTIF('Daily tracking'!$H$2:$H$2001,H19)</f>
        <v>0</v>
      </c>
    </row>
    <row r="20" customFormat="false" ht="15" hidden="false" customHeight="false" outlineLevel="0" collapsed="false">
      <c r="H20" s="6" t="s">
        <v>34</v>
      </c>
      <c r="I20" s="9" t="n">
        <f aca="false">SUMIF('Daily tracking'!$H$2:$H$2001,H20,'Daily tracking'!$G$2:$G$2001)</f>
        <v>0</v>
      </c>
      <c r="J20" s="6" t="n">
        <f aca="false">COUNTIF('Daily tracking'!$H$2:$H$2001,H20)</f>
        <v>0</v>
      </c>
    </row>
    <row r="21" customFormat="false" ht="15" hidden="false" customHeight="false" outlineLevel="0" collapsed="false">
      <c r="A21" s="5" t="s">
        <v>35</v>
      </c>
      <c r="H21" s="6" t="s">
        <v>36</v>
      </c>
      <c r="I21" s="9" t="n">
        <f aca="false">SUMIF('Daily tracking'!$H$2:$H$2001,H21,'Daily tracking'!$G$2:$G$2001)</f>
        <v>0</v>
      </c>
      <c r="J21" s="6" t="n">
        <f aca="false">COUNTIF('Daily tracking'!$H$2:$H$2001,H21)</f>
        <v>0</v>
      </c>
    </row>
    <row r="22" customFormat="false" ht="15" hidden="false" customHeight="false" outlineLevel="0" collapsed="false">
      <c r="A22" s="8" t="s">
        <v>37</v>
      </c>
      <c r="B22" s="8" t="s">
        <v>8</v>
      </c>
      <c r="C22" s="8" t="s">
        <v>38</v>
      </c>
      <c r="D22" s="8" t="s">
        <v>39</v>
      </c>
      <c r="E22" s="8" t="s">
        <v>40</v>
      </c>
      <c r="F22" s="8" t="s">
        <v>41</v>
      </c>
      <c r="G22" s="8" t="s">
        <v>42</v>
      </c>
    </row>
    <row r="23" customFormat="false" ht="15" hidden="false" customHeight="false" outlineLevel="0" collapsed="false">
      <c r="A23" s="12" t="n">
        <f aca="false">$B$4</f>
        <v>45870</v>
      </c>
      <c r="B23" s="9" t="n">
        <f aca="false">SUMIFS('Daily tracking'!$G$2:$G$2001,'Daily tracking'!$A$2:$A$2001,"&gt;="&amp;A23,'Daily tracking'!$A$2:$A$2001,"&lt;="&amp;EOMONTH(A23,0))</f>
        <v>0</v>
      </c>
      <c r="C23" s="9" t="n">
        <f aca="false">$B$9</f>
        <v>48000</v>
      </c>
      <c r="D23" s="9" t="n">
        <f aca="false">SUMIFS(Purchases!$E$2:$E$1001,Purchases!$A$2:$A$1001,"&gt;="&amp;A23,Purchases!$A$2:$A$1001,"&lt;="&amp;EOMONTH(A23,0))</f>
        <v>0</v>
      </c>
      <c r="E23" s="9" t="n">
        <f aca="false">SUMIFS(Expenses!$C$2:$C$501,Expenses!$A$2:$A$501,"&gt;="&amp;A23,Expenses!$A$2:$A$501,"&lt;="&amp;EOMONTH(A23,0))</f>
        <v>0</v>
      </c>
      <c r="F23" s="13" t="n">
        <f aca="false">B23-C23-D23-E23</f>
        <v>-48000</v>
      </c>
      <c r="G23" s="14" t="str">
        <f aca="false">IF(B23=0,"",F23/B23)</f>
        <v/>
      </c>
    </row>
    <row r="24" customFormat="false" ht="15" hidden="false" customHeight="false" outlineLevel="0" collapsed="false">
      <c r="A24" s="12" t="n">
        <f aca="false">EOMONTH(A23,0)+1</f>
        <v>45901</v>
      </c>
      <c r="B24" s="9" t="n">
        <f aca="false">SUMIFS('Daily tracking'!$G$2:$G$2001,'Daily tracking'!$A$2:$A$2001,"&gt;="&amp;A24,'Daily tracking'!$A$2:$A$2001,"&lt;="&amp;EOMONTH(A24,0))</f>
        <v>0</v>
      </c>
      <c r="C24" s="9" t="n">
        <f aca="false">$B$9</f>
        <v>48000</v>
      </c>
      <c r="D24" s="9" t="n">
        <f aca="false">SUMIFS(Purchases!$E$2:$E$1001,Purchases!$A$2:$A$1001,"&gt;="&amp;A24,Purchases!$A$2:$A$1001,"&lt;="&amp;EOMONTH(A24,0))</f>
        <v>0</v>
      </c>
      <c r="E24" s="9" t="n">
        <f aca="false">SUMIFS(Expenses!$C$2:$C$501,Expenses!$A$2:$A$501,"&gt;="&amp;A24,Expenses!$A$2:$A$501,"&lt;="&amp;EOMONTH(A24,0))</f>
        <v>0</v>
      </c>
      <c r="F24" s="13" t="n">
        <f aca="false">B24-C24-D24-E24</f>
        <v>-48000</v>
      </c>
      <c r="G24" s="14" t="str">
        <f aca="false">IF(B24=0,"",F24/B24)</f>
        <v/>
      </c>
      <c r="H24" s="5" t="s">
        <v>43</v>
      </c>
    </row>
    <row r="25" customFormat="false" ht="15" hidden="false" customHeight="false" outlineLevel="0" collapsed="false">
      <c r="A25" s="12" t="n">
        <f aca="false">EOMONTH(A24,0)+1</f>
        <v>45931</v>
      </c>
      <c r="B25" s="9" t="n">
        <f aca="false">SUMIFS('Daily tracking'!$G$2:$G$2001,'Daily tracking'!$A$2:$A$2001,"&gt;="&amp;A25,'Daily tracking'!$A$2:$A$2001,"&lt;="&amp;EOMONTH(A25,0))</f>
        <v>0</v>
      </c>
      <c r="C25" s="9" t="n">
        <f aca="false">$B$9</f>
        <v>48000</v>
      </c>
      <c r="D25" s="9" t="n">
        <f aca="false">SUMIFS(Purchases!$E$2:$E$1001,Purchases!$A$2:$A$1001,"&gt;="&amp;A25,Purchases!$A$2:$A$1001,"&lt;="&amp;EOMONTH(A25,0))</f>
        <v>0</v>
      </c>
      <c r="E25" s="9" t="n">
        <f aca="false">SUMIFS(Expenses!$C$2:$C$501,Expenses!$A$2:$A$501,"&gt;="&amp;A25,Expenses!$A$2:$A$501,"&lt;="&amp;EOMONTH(A25,0))</f>
        <v>0</v>
      </c>
      <c r="F25" s="13" t="n">
        <f aca="false">B25-C25-D25-E25</f>
        <v>-48000</v>
      </c>
      <c r="G25" s="14" t="str">
        <f aca="false">IF(B25=0,"",F25/B25)</f>
        <v/>
      </c>
      <c r="H25" s="8" t="s">
        <v>44</v>
      </c>
      <c r="I25" s="8" t="s">
        <v>8</v>
      </c>
      <c r="J25" s="8" t="s">
        <v>45</v>
      </c>
    </row>
    <row r="26" customFormat="false" ht="15" hidden="false" customHeight="false" outlineLevel="0" collapsed="false">
      <c r="A26" s="12" t="n">
        <f aca="false">EOMONTH(A25,0)+1</f>
        <v>45962</v>
      </c>
      <c r="B26" s="9" t="n">
        <f aca="false">SUMIFS('Daily tracking'!$G$2:$G$2001,'Daily tracking'!$A$2:$A$2001,"&gt;="&amp;A26,'Daily tracking'!$A$2:$A$2001,"&lt;="&amp;EOMONTH(A26,0))</f>
        <v>0</v>
      </c>
      <c r="C26" s="9" t="n">
        <f aca="false">$B$9</f>
        <v>48000</v>
      </c>
      <c r="D26" s="9" t="n">
        <f aca="false">SUMIFS(Purchases!$E$2:$E$1001,Purchases!$A$2:$A$1001,"&gt;="&amp;A26,Purchases!$A$2:$A$1001,"&lt;="&amp;EOMONTH(A26,0))</f>
        <v>0</v>
      </c>
      <c r="E26" s="9" t="n">
        <f aca="false">SUMIFS(Expenses!$C$2:$C$501,Expenses!$A$2:$A$501,"&gt;="&amp;A26,Expenses!$A$2:$A$501,"&lt;="&amp;EOMONTH(A26,0))</f>
        <v>0</v>
      </c>
      <c r="F26" s="13" t="n">
        <f aca="false">B26-C26-D26-E26</f>
        <v>-48000</v>
      </c>
      <c r="G26" s="14" t="str">
        <f aca="false">IF(B26=0,"",F26/B26)</f>
        <v/>
      </c>
      <c r="H26" s="15" t="str">
        <f aca="false">IF(Employee!A2="","",Employee!A2)</f>
        <v>Rachna</v>
      </c>
      <c r="I26" s="16" t="n">
        <f aca="false">IF(Employee!A2="","",Employee!D2)</f>
        <v>0</v>
      </c>
      <c r="J26" s="15" t="n">
        <f aca="false">IF(Employee!A2="","",Employee!C2)</f>
        <v>0</v>
      </c>
    </row>
    <row r="27" customFormat="false" ht="15" hidden="false" customHeight="false" outlineLevel="0" collapsed="false">
      <c r="A27" s="12" t="n">
        <f aca="false">EOMONTH(A26,0)+1</f>
        <v>45992</v>
      </c>
      <c r="B27" s="9" t="n">
        <f aca="false">SUMIFS('Daily tracking'!$G$2:$G$2001,'Daily tracking'!$A$2:$A$2001,"&gt;="&amp;A27,'Daily tracking'!$A$2:$A$2001,"&lt;="&amp;EOMONTH(A27,0))</f>
        <v>0</v>
      </c>
      <c r="C27" s="9" t="n">
        <f aca="false">$B$9</f>
        <v>48000</v>
      </c>
      <c r="D27" s="9" t="n">
        <f aca="false">SUMIFS(Purchases!$E$2:$E$1001,Purchases!$A$2:$A$1001,"&gt;="&amp;A27,Purchases!$A$2:$A$1001,"&lt;="&amp;EOMONTH(A27,0))</f>
        <v>0</v>
      </c>
      <c r="E27" s="9" t="n">
        <f aca="false">SUMIFS(Expenses!$C$2:$C$501,Expenses!$A$2:$A$501,"&gt;="&amp;A27,Expenses!$A$2:$A$501,"&lt;="&amp;EOMONTH(A27,0))</f>
        <v>0</v>
      </c>
      <c r="F27" s="13" t="n">
        <f aca="false">B27-C27-D27-E27</f>
        <v>-48000</v>
      </c>
      <c r="G27" s="14" t="str">
        <f aca="false">IF(B27=0,"",F27/B27)</f>
        <v/>
      </c>
      <c r="H27" s="15" t="str">
        <f aca="false">IF(Employee!A3="","",Employee!A3)</f>
        <v>Feroz</v>
      </c>
      <c r="I27" s="16" t="n">
        <f aca="false">IF(Employee!A3="","",Employee!D3)</f>
        <v>0</v>
      </c>
      <c r="J27" s="15" t="n">
        <f aca="false">IF(Employee!A3="","",Employee!C3)</f>
        <v>0</v>
      </c>
    </row>
    <row r="28" customFormat="false" ht="15" hidden="false" customHeight="false" outlineLevel="0" collapsed="false">
      <c r="A28" s="12" t="n">
        <f aca="false">EOMONTH(A27,0)+1</f>
        <v>46023</v>
      </c>
      <c r="B28" s="9" t="n">
        <f aca="false">SUMIFS('Daily tracking'!$G$2:$G$2001,'Daily tracking'!$A$2:$A$2001,"&gt;="&amp;A28,'Daily tracking'!$A$2:$A$2001,"&lt;="&amp;EOMONTH(A28,0))</f>
        <v>0</v>
      </c>
      <c r="C28" s="9" t="n">
        <f aca="false">$B$9</f>
        <v>48000</v>
      </c>
      <c r="D28" s="9" t="n">
        <f aca="false">SUMIFS(Purchases!$E$2:$E$1001,Purchases!$A$2:$A$1001,"&gt;="&amp;A28,Purchases!$A$2:$A$1001,"&lt;="&amp;EOMONTH(A28,0))</f>
        <v>0</v>
      </c>
      <c r="E28" s="9" t="n">
        <f aca="false">SUMIFS(Expenses!$C$2:$C$501,Expenses!$A$2:$A$501,"&gt;="&amp;A28,Expenses!$A$2:$A$501,"&lt;="&amp;EOMONTH(A28,0))</f>
        <v>0</v>
      </c>
      <c r="F28" s="13" t="n">
        <f aca="false">B28-C28-D28-E28</f>
        <v>-48000</v>
      </c>
      <c r="G28" s="14" t="str">
        <f aca="false">IF(B28=0,"",F28/B28)</f>
        <v/>
      </c>
      <c r="H28" s="15" t="str">
        <f aca="false">IF(Employee!A4="","",Employee!A4)</f>
        <v>Mona</v>
      </c>
      <c r="I28" s="16" t="n">
        <f aca="false">IF(Employee!A4="","",Employee!D4)</f>
        <v>0</v>
      </c>
      <c r="J28" s="15" t="n">
        <f aca="false">IF(Employee!A4="","",Employee!C4)</f>
        <v>0</v>
      </c>
    </row>
    <row r="29" customFormat="false" ht="15" hidden="false" customHeight="false" outlineLevel="0" collapsed="false">
      <c r="A29" s="12" t="n">
        <f aca="false">EOMONTH(A28,0)+1</f>
        <v>46054</v>
      </c>
      <c r="B29" s="9" t="n">
        <f aca="false">SUMIFS('Daily tracking'!$G$2:$G$2001,'Daily tracking'!$A$2:$A$2001,"&gt;="&amp;A29,'Daily tracking'!$A$2:$A$2001,"&lt;="&amp;EOMONTH(A29,0))</f>
        <v>0</v>
      </c>
      <c r="C29" s="9" t="n">
        <f aca="false">$B$9</f>
        <v>48000</v>
      </c>
      <c r="D29" s="9" t="n">
        <f aca="false">SUMIFS(Purchases!$E$2:$E$1001,Purchases!$A$2:$A$1001,"&gt;="&amp;A29,Purchases!$A$2:$A$1001,"&lt;="&amp;EOMONTH(A29,0))</f>
        <v>0</v>
      </c>
      <c r="E29" s="9" t="n">
        <f aca="false">SUMIFS(Expenses!$C$2:$C$501,Expenses!$A$2:$A$501,"&gt;="&amp;A29,Expenses!$A$2:$A$501,"&lt;="&amp;EOMONTH(A29,0))</f>
        <v>0</v>
      </c>
      <c r="F29" s="13" t="n">
        <f aca="false">B29-C29-D29-E29</f>
        <v>-48000</v>
      </c>
      <c r="G29" s="14" t="str">
        <f aca="false">IF(B29=0,"",F29/B29)</f>
        <v/>
      </c>
      <c r="H29" s="15" t="str">
        <f aca="false">IF(Employee!A5="","",Employee!A5)</f>
        <v>Chandni</v>
      </c>
      <c r="I29" s="16" t="n">
        <f aca="false">IF(Employee!A5="","",Employee!D5)</f>
        <v>0</v>
      </c>
      <c r="J29" s="15" t="n">
        <f aca="false">IF(Employee!A5="","",Employee!C5)</f>
        <v>0</v>
      </c>
    </row>
    <row r="30" customFormat="false" ht="15" hidden="false" customHeight="false" outlineLevel="0" collapsed="false">
      <c r="A30" s="12" t="n">
        <f aca="false">EOMONTH(A29,0)+1</f>
        <v>46082</v>
      </c>
      <c r="B30" s="9" t="n">
        <f aca="false">SUMIFS('Daily tracking'!$G$2:$G$2001,'Daily tracking'!$A$2:$A$2001,"&gt;="&amp;A30,'Daily tracking'!$A$2:$A$2001,"&lt;="&amp;EOMONTH(A30,0))</f>
        <v>0</v>
      </c>
      <c r="C30" s="9" t="n">
        <f aca="false">$B$9</f>
        <v>48000</v>
      </c>
      <c r="D30" s="9" t="n">
        <f aca="false">SUMIFS(Purchases!$E$2:$E$1001,Purchases!$A$2:$A$1001,"&gt;="&amp;A30,Purchases!$A$2:$A$1001,"&lt;="&amp;EOMONTH(A30,0))</f>
        <v>0</v>
      </c>
      <c r="E30" s="9" t="n">
        <f aca="false">SUMIFS(Expenses!$C$2:$C$501,Expenses!$A$2:$A$501,"&gt;="&amp;A30,Expenses!$A$2:$A$501,"&lt;="&amp;EOMONTH(A30,0))</f>
        <v>0</v>
      </c>
      <c r="F30" s="13" t="n">
        <f aca="false">B30-C30-D30-E30</f>
        <v>-48000</v>
      </c>
      <c r="G30" s="14" t="str">
        <f aca="false">IF(B30=0,"",F30/B30)</f>
        <v/>
      </c>
      <c r="H30" s="15" t="str">
        <f aca="false">IF(Employee!A6="","",Employee!A6)</f>
        <v/>
      </c>
      <c r="I30" s="16" t="str">
        <f aca="false">IF(Employee!A6="","",Employee!D6)</f>
        <v/>
      </c>
      <c r="J30" s="15" t="str">
        <f aca="false">IF(Employee!A6="","",Employee!C6)</f>
        <v/>
      </c>
    </row>
    <row r="31" customFormat="false" ht="15" hidden="false" customHeight="false" outlineLevel="0" collapsed="false">
      <c r="A31" s="12" t="n">
        <f aca="false">EOMONTH(A30,0)+1</f>
        <v>46113</v>
      </c>
      <c r="B31" s="9" t="n">
        <f aca="false">SUMIFS('Daily tracking'!$G$2:$G$2001,'Daily tracking'!$A$2:$A$2001,"&gt;="&amp;A31,'Daily tracking'!$A$2:$A$2001,"&lt;="&amp;EOMONTH(A31,0))</f>
        <v>0</v>
      </c>
      <c r="C31" s="9" t="n">
        <f aca="false">$B$9</f>
        <v>48000</v>
      </c>
      <c r="D31" s="9" t="n">
        <f aca="false">SUMIFS(Purchases!$E$2:$E$1001,Purchases!$A$2:$A$1001,"&gt;="&amp;A31,Purchases!$A$2:$A$1001,"&lt;="&amp;EOMONTH(A31,0))</f>
        <v>0</v>
      </c>
      <c r="E31" s="9" t="n">
        <f aca="false">SUMIFS(Expenses!$C$2:$C$501,Expenses!$A$2:$A$501,"&gt;="&amp;A31,Expenses!$A$2:$A$501,"&lt;="&amp;EOMONTH(A31,0))</f>
        <v>0</v>
      </c>
      <c r="F31" s="13" t="n">
        <f aca="false">B31-C31-D31-E31</f>
        <v>-48000</v>
      </c>
      <c r="G31" s="14" t="str">
        <f aca="false">IF(B31=0,"",F31/B31)</f>
        <v/>
      </c>
      <c r="H31" s="15" t="str">
        <f aca="false">IF(Employee!A7="","",Employee!A7)</f>
        <v/>
      </c>
      <c r="I31" s="16" t="str">
        <f aca="false">IF(Employee!A7="","",Employee!D7)</f>
        <v/>
      </c>
      <c r="J31" s="15" t="str">
        <f aca="false">IF(Employee!A7="","",Employee!C7)</f>
        <v/>
      </c>
    </row>
    <row r="32" customFormat="false" ht="15" hidden="false" customHeight="false" outlineLevel="0" collapsed="false">
      <c r="A32" s="12" t="n">
        <f aca="false">EOMONTH(A31,0)+1</f>
        <v>46143</v>
      </c>
      <c r="B32" s="9" t="n">
        <f aca="false">SUMIFS('Daily tracking'!$G$2:$G$2001,'Daily tracking'!$A$2:$A$2001,"&gt;="&amp;A32,'Daily tracking'!$A$2:$A$2001,"&lt;="&amp;EOMONTH(A32,0))</f>
        <v>0</v>
      </c>
      <c r="C32" s="9" t="n">
        <f aca="false">$B$9</f>
        <v>48000</v>
      </c>
      <c r="D32" s="9" t="n">
        <f aca="false">SUMIFS(Purchases!$E$2:$E$1001,Purchases!$A$2:$A$1001,"&gt;="&amp;A32,Purchases!$A$2:$A$1001,"&lt;="&amp;EOMONTH(A32,0))</f>
        <v>0</v>
      </c>
      <c r="E32" s="9" t="n">
        <f aca="false">SUMIFS(Expenses!$C$2:$C$501,Expenses!$A$2:$A$501,"&gt;="&amp;A32,Expenses!$A$2:$A$501,"&lt;="&amp;EOMONTH(A32,0))</f>
        <v>0</v>
      </c>
      <c r="F32" s="13" t="n">
        <f aca="false">B32-C32-D32-E32</f>
        <v>-48000</v>
      </c>
      <c r="G32" s="14" t="str">
        <f aca="false">IF(B32=0,"",F32/B32)</f>
        <v/>
      </c>
      <c r="H32" s="15" t="str">
        <f aca="false">IF(Employee!A8="","",Employee!A8)</f>
        <v/>
      </c>
      <c r="I32" s="16" t="str">
        <f aca="false">IF(Employee!A8="","",Employee!D8)</f>
        <v/>
      </c>
      <c r="J32" s="15" t="str">
        <f aca="false">IF(Employee!A8="","",Employee!C8)</f>
        <v/>
      </c>
    </row>
    <row r="33" customFormat="false" ht="15" hidden="false" customHeight="false" outlineLevel="0" collapsed="false">
      <c r="A33" s="12" t="n">
        <f aca="false">EOMONTH(A32,0)+1</f>
        <v>46174</v>
      </c>
      <c r="B33" s="9" t="n">
        <f aca="false">SUMIFS('Daily tracking'!$G$2:$G$2001,'Daily tracking'!$A$2:$A$2001,"&gt;="&amp;A33,'Daily tracking'!$A$2:$A$2001,"&lt;="&amp;EOMONTH(A33,0))</f>
        <v>0</v>
      </c>
      <c r="C33" s="9" t="n">
        <f aca="false">$B$9</f>
        <v>48000</v>
      </c>
      <c r="D33" s="9" t="n">
        <f aca="false">SUMIFS(Purchases!$E$2:$E$1001,Purchases!$A$2:$A$1001,"&gt;="&amp;A33,Purchases!$A$2:$A$1001,"&lt;="&amp;EOMONTH(A33,0))</f>
        <v>0</v>
      </c>
      <c r="E33" s="9" t="n">
        <f aca="false">SUMIFS(Expenses!$C$2:$C$501,Expenses!$A$2:$A$501,"&gt;="&amp;A33,Expenses!$A$2:$A$501,"&lt;="&amp;EOMONTH(A33,0))</f>
        <v>0</v>
      </c>
      <c r="F33" s="13" t="n">
        <f aca="false">B33-C33-D33-E33</f>
        <v>-48000</v>
      </c>
      <c r="G33" s="14" t="str">
        <f aca="false">IF(B33=0,"",F33/B33)</f>
        <v/>
      </c>
      <c r="H33" s="15" t="str">
        <f aca="false">IF(Employee!A9="","",Employee!A9)</f>
        <v/>
      </c>
      <c r="I33" s="16" t="str">
        <f aca="false">IF(Employee!A9="","",Employee!D9)</f>
        <v/>
      </c>
      <c r="J33" s="15" t="str">
        <f aca="false">IF(Employee!A9="","",Employee!C9)</f>
        <v/>
      </c>
    </row>
    <row r="34" customFormat="false" ht="15" hidden="false" customHeight="false" outlineLevel="0" collapsed="false">
      <c r="A34" s="12" t="n">
        <f aca="false">EOMONTH(A33,0)+1</f>
        <v>46204</v>
      </c>
      <c r="B34" s="9" t="n">
        <f aca="false">SUMIFS('Daily tracking'!$G$2:$G$2001,'Daily tracking'!$A$2:$A$2001,"&gt;="&amp;A34,'Daily tracking'!$A$2:$A$2001,"&lt;="&amp;EOMONTH(A34,0))</f>
        <v>0</v>
      </c>
      <c r="C34" s="9" t="n">
        <f aca="false">$B$9</f>
        <v>48000</v>
      </c>
      <c r="D34" s="9" t="n">
        <f aca="false">SUMIFS(Purchases!$E$2:$E$1001,Purchases!$A$2:$A$1001,"&gt;="&amp;A34,Purchases!$A$2:$A$1001,"&lt;="&amp;EOMONTH(A34,0))</f>
        <v>0</v>
      </c>
      <c r="E34" s="9" t="n">
        <f aca="false">SUMIFS(Expenses!$C$2:$C$501,Expenses!$A$2:$A$501,"&gt;="&amp;A34,Expenses!$A$2:$A$501,"&lt;="&amp;EOMONTH(A34,0))</f>
        <v>0</v>
      </c>
      <c r="F34" s="13" t="n">
        <f aca="false">B34-C34-D34-E34</f>
        <v>-48000</v>
      </c>
      <c r="G34" s="14" t="str">
        <f aca="false">IF(B34=0,"",F34/B34)</f>
        <v/>
      </c>
      <c r="H34" s="15" t="str">
        <f aca="false">IF(Employee!A10="","",Employee!A10)</f>
        <v/>
      </c>
      <c r="I34" s="16" t="str">
        <f aca="false">IF(Employee!A10="","",Employee!D10)</f>
        <v/>
      </c>
      <c r="J34" s="15" t="str">
        <f aca="false">IF(Employee!A10="","",Employee!C10)</f>
        <v/>
      </c>
    </row>
    <row r="35" customFormat="false" ht="15" hidden="false" customHeight="false" outlineLevel="0" collapsed="false">
      <c r="A35" s="12" t="n">
        <f aca="false">EOMONTH(A34,0)+1</f>
        <v>46235</v>
      </c>
      <c r="B35" s="9" t="n">
        <f aca="false">SUMIFS('Daily tracking'!$G$2:$G$2001,'Daily tracking'!$A$2:$A$2001,"&gt;="&amp;A35,'Daily tracking'!$A$2:$A$2001,"&lt;="&amp;EOMONTH(A35,0))</f>
        <v>0</v>
      </c>
      <c r="C35" s="9" t="n">
        <f aca="false">$B$9</f>
        <v>48000</v>
      </c>
      <c r="D35" s="9" t="n">
        <f aca="false">SUMIFS(Purchases!$E$2:$E$1001,Purchases!$A$2:$A$1001,"&gt;="&amp;A35,Purchases!$A$2:$A$1001,"&lt;="&amp;EOMONTH(A35,0))</f>
        <v>0</v>
      </c>
      <c r="E35" s="9" t="n">
        <f aca="false">SUMIFS(Expenses!$C$2:$C$501,Expenses!$A$2:$A$501,"&gt;="&amp;A35,Expenses!$A$2:$A$501,"&lt;="&amp;EOMONTH(A35,0))</f>
        <v>0</v>
      </c>
      <c r="F35" s="13" t="n">
        <f aca="false">B35-C35-D35-E35</f>
        <v>-48000</v>
      </c>
      <c r="G35" s="14" t="str">
        <f aca="false">IF(B35=0,"",F35/B35)</f>
        <v/>
      </c>
      <c r="H35" s="15" t="str">
        <f aca="false">IF(Employee!A11="","",Employee!A11)</f>
        <v/>
      </c>
      <c r="I35" s="16" t="str">
        <f aca="false">IF(Employee!A11="","",Employee!D11)</f>
        <v/>
      </c>
      <c r="J35" s="15" t="str">
        <f aca="false">IF(Employee!A11="","",Employee!C11)</f>
        <v/>
      </c>
    </row>
    <row r="36" customFormat="false" ht="15" hidden="false" customHeight="false" outlineLevel="0" collapsed="false">
      <c r="A36" s="12" t="n">
        <f aca="false">EOMONTH(A35,0)+1</f>
        <v>46266</v>
      </c>
      <c r="B36" s="9" t="n">
        <f aca="false">SUMIFS('Daily tracking'!$G$2:$G$2001,'Daily tracking'!$A$2:$A$2001,"&gt;="&amp;A36,'Daily tracking'!$A$2:$A$2001,"&lt;="&amp;EOMONTH(A36,0))</f>
        <v>0</v>
      </c>
      <c r="C36" s="9" t="n">
        <f aca="false">$B$9</f>
        <v>48000</v>
      </c>
      <c r="D36" s="9" t="n">
        <f aca="false">SUMIFS(Purchases!$E$2:$E$1001,Purchases!$A$2:$A$1001,"&gt;="&amp;A36,Purchases!$A$2:$A$1001,"&lt;="&amp;EOMONTH(A36,0))</f>
        <v>0</v>
      </c>
      <c r="E36" s="9" t="n">
        <f aca="false">SUMIFS(Expenses!$C$2:$C$501,Expenses!$A$2:$A$501,"&gt;="&amp;A36,Expenses!$A$2:$A$501,"&lt;="&amp;EOMONTH(A36,0))</f>
        <v>0</v>
      </c>
      <c r="F36" s="13" t="n">
        <f aca="false">B36-C36-D36-E36</f>
        <v>-48000</v>
      </c>
      <c r="G36" s="14" t="str">
        <f aca="false">IF(B36=0,"",F36/B36)</f>
        <v/>
      </c>
      <c r="H36" s="15" t="str">
        <f aca="false">IF(Employee!A12="","",Employee!A12)</f>
        <v/>
      </c>
      <c r="I36" s="16" t="str">
        <f aca="false">IF(Employee!A12="","",Employee!D12)</f>
        <v/>
      </c>
      <c r="J36" s="15" t="str">
        <f aca="false">IF(Employee!A12="","",Employee!C12)</f>
        <v/>
      </c>
    </row>
    <row r="37" customFormat="false" ht="15" hidden="false" customHeight="false" outlineLevel="0" collapsed="false">
      <c r="A37" s="12" t="n">
        <f aca="false">EOMONTH(A36,0)+1</f>
        <v>46296</v>
      </c>
      <c r="B37" s="9" t="n">
        <f aca="false">SUMIFS('Daily tracking'!$G$2:$G$2001,'Daily tracking'!$A$2:$A$2001,"&gt;="&amp;A37,'Daily tracking'!$A$2:$A$2001,"&lt;="&amp;EOMONTH(A37,0))</f>
        <v>0</v>
      </c>
      <c r="C37" s="9" t="n">
        <f aca="false">$B$9</f>
        <v>48000</v>
      </c>
      <c r="D37" s="9" t="n">
        <f aca="false">SUMIFS(Purchases!$E$2:$E$1001,Purchases!$A$2:$A$1001,"&gt;="&amp;A37,Purchases!$A$2:$A$1001,"&lt;="&amp;EOMONTH(A37,0))</f>
        <v>0</v>
      </c>
      <c r="E37" s="9" t="n">
        <f aca="false">SUMIFS(Expenses!$C$2:$C$501,Expenses!$A$2:$A$501,"&gt;="&amp;A37,Expenses!$A$2:$A$501,"&lt;="&amp;EOMONTH(A37,0))</f>
        <v>0</v>
      </c>
      <c r="F37" s="13" t="n">
        <f aca="false">B37-C37-D37-E37</f>
        <v>-48000</v>
      </c>
      <c r="G37" s="14" t="str">
        <f aca="false">IF(B37=0,"",F37/B37)</f>
        <v/>
      </c>
      <c r="H37" s="15" t="str">
        <f aca="false">IF(Employee!A13="","",Employee!A13)</f>
        <v/>
      </c>
      <c r="I37" s="16" t="str">
        <f aca="false">IF(Employee!A13="","",Employee!D13)</f>
        <v/>
      </c>
      <c r="J37" s="15" t="str">
        <f aca="false">IF(Employee!A13="","",Employee!C13)</f>
        <v/>
      </c>
    </row>
    <row r="38" customFormat="false" ht="15" hidden="false" customHeight="false" outlineLevel="0" collapsed="false">
      <c r="A38" s="12" t="n">
        <f aca="false">EOMONTH(A37,0)+1</f>
        <v>46327</v>
      </c>
      <c r="B38" s="9" t="n">
        <f aca="false">SUMIFS('Daily tracking'!$G$2:$G$2001,'Daily tracking'!$A$2:$A$2001,"&gt;="&amp;A38,'Daily tracking'!$A$2:$A$2001,"&lt;="&amp;EOMONTH(A38,0))</f>
        <v>0</v>
      </c>
      <c r="C38" s="9" t="n">
        <f aca="false">$B$9</f>
        <v>48000</v>
      </c>
      <c r="D38" s="9" t="n">
        <f aca="false">SUMIFS(Purchases!$E$2:$E$1001,Purchases!$A$2:$A$1001,"&gt;="&amp;A38,Purchases!$A$2:$A$1001,"&lt;="&amp;EOMONTH(A38,0))</f>
        <v>0</v>
      </c>
      <c r="E38" s="9" t="n">
        <f aca="false">SUMIFS(Expenses!$C$2:$C$501,Expenses!$A$2:$A$501,"&gt;="&amp;A38,Expenses!$A$2:$A$501,"&lt;="&amp;EOMONTH(A38,0))</f>
        <v>0</v>
      </c>
      <c r="F38" s="13" t="n">
        <f aca="false">B38-C38-D38-E38</f>
        <v>-48000</v>
      </c>
      <c r="G38" s="14" t="str">
        <f aca="false">IF(B38=0,"",F38/B38)</f>
        <v/>
      </c>
      <c r="H38" s="15" t="str">
        <f aca="false">IF(Employee!A14="","",Employee!A14)</f>
        <v/>
      </c>
      <c r="I38" s="16" t="str">
        <f aca="false">IF(Employee!A14="","",Employee!D14)</f>
        <v/>
      </c>
      <c r="J38" s="15" t="str">
        <f aca="false">IF(Employee!A14="","",Employee!C14)</f>
        <v/>
      </c>
    </row>
    <row r="39" customFormat="false" ht="15" hidden="false" customHeight="false" outlineLevel="0" collapsed="false">
      <c r="A39" s="12" t="n">
        <f aca="false">EOMONTH(A38,0)+1</f>
        <v>46357</v>
      </c>
      <c r="B39" s="9" t="n">
        <f aca="false">SUMIFS('Daily tracking'!$G$2:$G$2001,'Daily tracking'!$A$2:$A$2001,"&gt;="&amp;A39,'Daily tracking'!$A$2:$A$2001,"&lt;="&amp;EOMONTH(A39,0))</f>
        <v>0</v>
      </c>
      <c r="C39" s="9" t="n">
        <f aca="false">$B$9</f>
        <v>48000</v>
      </c>
      <c r="D39" s="9" t="n">
        <f aca="false">SUMIFS(Purchases!$E$2:$E$1001,Purchases!$A$2:$A$1001,"&gt;="&amp;A39,Purchases!$A$2:$A$1001,"&lt;="&amp;EOMONTH(A39,0))</f>
        <v>0</v>
      </c>
      <c r="E39" s="9" t="n">
        <f aca="false">SUMIFS(Expenses!$C$2:$C$501,Expenses!$A$2:$A$501,"&gt;="&amp;A39,Expenses!$A$2:$A$501,"&lt;="&amp;EOMONTH(A39,0))</f>
        <v>0</v>
      </c>
      <c r="F39" s="13" t="n">
        <f aca="false">B39-C39-D39-E39</f>
        <v>-48000</v>
      </c>
      <c r="G39" s="14" t="str">
        <f aca="false">IF(B39=0,"",F39/B39)</f>
        <v/>
      </c>
      <c r="H39" s="15" t="str">
        <f aca="false">IF(Employee!A15="","",Employee!A15)</f>
        <v/>
      </c>
      <c r="I39" s="16" t="str">
        <f aca="false">IF(Employee!A15="","",Employee!D15)</f>
        <v/>
      </c>
      <c r="J39" s="15" t="str">
        <f aca="false">IF(Employee!A15="","",Employee!C15)</f>
        <v/>
      </c>
    </row>
    <row r="40" customFormat="false" ht="15" hidden="false" customHeight="false" outlineLevel="0" collapsed="false">
      <c r="A40" s="12" t="n">
        <f aca="false">EOMONTH(A39,0)+1</f>
        <v>46388</v>
      </c>
      <c r="B40" s="9" t="n">
        <f aca="false">SUMIFS('Daily tracking'!$G$2:$G$2001,'Daily tracking'!$A$2:$A$2001,"&gt;="&amp;A40,'Daily tracking'!$A$2:$A$2001,"&lt;="&amp;EOMONTH(A40,0))</f>
        <v>0</v>
      </c>
      <c r="C40" s="9" t="n">
        <f aca="false">$B$9</f>
        <v>48000</v>
      </c>
      <c r="D40" s="9" t="n">
        <f aca="false">SUMIFS(Purchases!$E$2:$E$1001,Purchases!$A$2:$A$1001,"&gt;="&amp;A40,Purchases!$A$2:$A$1001,"&lt;="&amp;EOMONTH(A40,0))</f>
        <v>0</v>
      </c>
      <c r="E40" s="9" t="n">
        <f aca="false">SUMIFS(Expenses!$C$2:$C$501,Expenses!$A$2:$A$501,"&gt;="&amp;A40,Expenses!$A$2:$A$501,"&lt;="&amp;EOMONTH(A40,0))</f>
        <v>0</v>
      </c>
      <c r="F40" s="13" t="n">
        <f aca="false">B40-C40-D40-E40</f>
        <v>-48000</v>
      </c>
      <c r="G40" s="14" t="str">
        <f aca="false">IF(B40=0,"",F40/B40)</f>
        <v/>
      </c>
      <c r="H40" s="15" t="str">
        <f aca="false">IF(Employee!A16="","",Employee!A16)</f>
        <v/>
      </c>
      <c r="I40" s="16" t="str">
        <f aca="false">IF(Employee!A16="","",Employee!D16)</f>
        <v/>
      </c>
      <c r="J40" s="15" t="str">
        <f aca="false">IF(Employee!A16="","",Employee!C16)</f>
        <v/>
      </c>
    </row>
    <row r="41" customFormat="false" ht="15" hidden="false" customHeight="false" outlineLevel="0" collapsed="false">
      <c r="H41" s="15" t="str">
        <f aca="false">IF(Employee!A17="","",Employee!A17)</f>
        <v/>
      </c>
      <c r="I41" s="16" t="str">
        <f aca="false">IF(Employee!A17="","",Employee!D17)</f>
        <v/>
      </c>
      <c r="J41" s="15" t="str">
        <f aca="false">IF(Employee!A17="","",Employee!C17)</f>
        <v/>
      </c>
    </row>
    <row r="42" customFormat="false" ht="15" hidden="false" customHeight="false" outlineLevel="0" collapsed="false">
      <c r="A42" s="5" t="s">
        <v>46</v>
      </c>
      <c r="D42" s="5" t="s">
        <v>47</v>
      </c>
      <c r="H42" s="15" t="str">
        <f aca="false">IF(Employee!A18="","",Employee!A18)</f>
        <v/>
      </c>
      <c r="I42" s="16" t="str">
        <f aca="false">IF(Employee!A18="","",Employee!D18)</f>
        <v/>
      </c>
      <c r="J42" s="15" t="str">
        <f aca="false">IF(Employee!A18="","",Employee!C18)</f>
        <v/>
      </c>
    </row>
    <row r="43" customFormat="false" ht="15" hidden="false" customHeight="false" outlineLevel="0" collapsed="false">
      <c r="A43" s="6" t="s">
        <v>48</v>
      </c>
      <c r="B43" s="7" t="n">
        <f aca="true">SUMIFS('Daily tracking'!$G$2:$G$2001,'Daily tracking'!$J$2:$J$2001,"Service",'Daily tracking'!$A$2:$A$2001,"&gt;="&amp;EOMONTH(TODAY(),-1)+1,'Daily tracking'!$A$2:$A$2001,"&lt;="&amp;EOMONTH(TODAY(),0))</f>
        <v>0</v>
      </c>
      <c r="D43" s="6" t="s">
        <v>49</v>
      </c>
      <c r="E43" s="5" t="n">
        <f aca="false">COUNTIF('Customer Database'!$O$2:$O$501,"VIP")</f>
        <v>0</v>
      </c>
      <c r="H43" s="15" t="str">
        <f aca="false">IF(Employee!A19="","",Employee!A19)</f>
        <v/>
      </c>
      <c r="I43" s="16" t="str">
        <f aca="false">IF(Employee!A19="","",Employee!D19)</f>
        <v/>
      </c>
      <c r="J43" s="15" t="str">
        <f aca="false">IF(Employee!A19="","",Employee!C19)</f>
        <v/>
      </c>
    </row>
    <row r="44" customFormat="false" ht="15" hidden="false" customHeight="false" outlineLevel="0" collapsed="false">
      <c r="A44" s="6" t="s">
        <v>50</v>
      </c>
      <c r="B44" s="7" t="n">
        <f aca="true">SUMIFS('Daily tracking'!$G$2:$G$2001,'Daily tracking'!$J$2:$J$2001,"Retail",'Daily tracking'!$A$2:$A$2001,"&gt;="&amp;EOMONTH(TODAY(),-1)+1,'Daily tracking'!$A$2:$A$2001,"&lt;="&amp;EOMONTH(TODAY(),0))</f>
        <v>0</v>
      </c>
      <c r="D44" s="6" t="s">
        <v>51</v>
      </c>
      <c r="E44" s="5" t="n">
        <f aca="false">COUNTIF('Customer Database'!$O$2:$O$501,"High value")</f>
        <v>0</v>
      </c>
      <c r="H44" s="15" t="str">
        <f aca="false">IF(Employee!A20="","",Employee!A20)</f>
        <v/>
      </c>
      <c r="I44" s="16" t="str">
        <f aca="false">IF(Employee!A20="","",Employee!D20)</f>
        <v/>
      </c>
      <c r="J44" s="15" t="str">
        <f aca="false">IF(Employee!A20="","",Employee!C20)</f>
        <v/>
      </c>
    </row>
    <row r="45" customFormat="false" ht="15" hidden="false" customHeight="false" outlineLevel="0" collapsed="false">
      <c r="A45" s="6" t="s">
        <v>52</v>
      </c>
      <c r="B45" s="7" t="n">
        <f aca="true">SUMIFS('Daily tracking'!$G$2:$G$2001,'Daily tracking'!$I$2:$I$2001,"Cash",'Daily tracking'!$A$2:$A$2001,"&gt;="&amp;EOMONTH(TODAY(),-1)+1,'Daily tracking'!$A$2:$A$2001,"&lt;="&amp;EOMONTH(TODAY(),0))</f>
        <v>0</v>
      </c>
      <c r="D45" s="6" t="s">
        <v>53</v>
      </c>
      <c r="E45" s="5" t="n">
        <f aca="false">COUNTIF('Customer Database'!$P$2:$P$501,"Yes")</f>
        <v>0</v>
      </c>
      <c r="H45" s="15" t="str">
        <f aca="false">IF(Employee!A21="","",Employee!A21)</f>
        <v/>
      </c>
      <c r="I45" s="16" t="str">
        <f aca="false">IF(Employee!A21="","",Employee!D21)</f>
        <v/>
      </c>
      <c r="J45" s="15" t="str">
        <f aca="false">IF(Employee!A21="","",Employee!C21)</f>
        <v/>
      </c>
    </row>
    <row r="46" customFormat="false" ht="15" hidden="false" customHeight="false" outlineLevel="0" collapsed="false">
      <c r="A46" s="6" t="s">
        <v>54</v>
      </c>
      <c r="B46" s="7" t="n">
        <f aca="true">SUMIFS('Daily tracking'!$G$2:$G$2001,'Daily tracking'!$I$2:$I$2001,"UPI",'Daily tracking'!$A$2:$A$2001,"&gt;="&amp;EOMONTH(TODAY(),-1)+1,'Daily tracking'!$A$2:$A$2001,"&lt;="&amp;EOMONTH(TODAY(),0))</f>
        <v>0</v>
      </c>
    </row>
    <row r="47" customFormat="false" ht="15" hidden="false" customHeight="false" outlineLevel="0" collapsed="false">
      <c r="A47" s="6" t="s">
        <v>55</v>
      </c>
      <c r="B47" s="7" t="n">
        <f aca="true">SUMIFS('Daily tracking'!$G$2:$G$2001,'Daily tracking'!$I$2:$I$2001,"Card",'Daily tracking'!$A$2:$A$2001,"&gt;="&amp;EOMONTH(TODAY(),-1)+1,'Daily tracking'!$A$2:$A$2001,"&lt;="&amp;EOMONTH(TODAY(),0))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H1" activeCellId="0" sqref="H1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2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6" min="5" style="0" width="10"/>
    <col collapsed="false" customWidth="true" hidden="false" outlineLevel="0" max="7" min="7" style="0" width="11"/>
    <col collapsed="false" customWidth="true" hidden="false" outlineLevel="0" max="8" min="8" style="0" width="16"/>
    <col collapsed="false" customWidth="true" hidden="false" outlineLevel="0" max="10" min="9" style="0" width="11"/>
  </cols>
  <sheetData>
    <row r="1" customFormat="false" ht="14.25" hidden="false" customHeight="false" outlineLevel="0" collapsed="false">
      <c r="A1" s="17" t="s">
        <v>56</v>
      </c>
      <c r="B1" s="17" t="s">
        <v>57</v>
      </c>
      <c r="C1" s="17" t="s">
        <v>44</v>
      </c>
      <c r="D1" s="17" t="s">
        <v>58</v>
      </c>
      <c r="E1" s="17" t="s">
        <v>59</v>
      </c>
      <c r="F1" s="17" t="s">
        <v>60</v>
      </c>
      <c r="G1" s="17" t="s">
        <v>61</v>
      </c>
      <c r="H1" s="17" t="s">
        <v>7</v>
      </c>
      <c r="I1" s="17" t="s">
        <v>62</v>
      </c>
      <c r="J1" s="17" t="s">
        <v>63</v>
      </c>
    </row>
    <row r="2" customFormat="false" ht="14.25" hidden="false" customHeight="false" outlineLevel="0" collapsed="false">
      <c r="A2" s="18"/>
      <c r="B2" s="6"/>
      <c r="C2" s="6"/>
      <c r="D2" s="6"/>
      <c r="E2" s="16" t="str">
        <f aca="false">IF($B2="","",IFERROR(INDEX(Services!$C$2:$C$120,MATCH($B2,Services!$D$2:$D$120,0)),""))</f>
        <v/>
      </c>
      <c r="F2" s="19"/>
      <c r="G2" s="9" t="str">
        <f aca="false">IF(OR($B2="",NOT(ISNUMBER($E2))),"",$E2-IF($F2="",0,$F2))</f>
        <v/>
      </c>
      <c r="H2" s="15" t="str">
        <f aca="false">IF($B2="","",IFERROR(INDEX(Services!$A$2:$A$120,MATCH($B2,Services!$D$2:$D$120,0)),""))</f>
        <v/>
      </c>
      <c r="I2" s="19"/>
      <c r="J2" s="15" t="str">
        <f aca="false">IF($B2="","",IFERROR(INDEX(Services!$E$2:$E$120,MATCH($B2,Services!$D$2:$D$120,0)),""))</f>
        <v/>
      </c>
    </row>
    <row r="3" customFormat="false" ht="14.25" hidden="false" customHeight="false" outlineLevel="0" collapsed="false">
      <c r="A3" s="18"/>
      <c r="B3" s="6"/>
      <c r="C3" s="6"/>
      <c r="D3" s="6"/>
      <c r="E3" s="16" t="str">
        <f aca="false">IF($B3="","",IFERROR(INDEX(Services!$C$2:$C$120,MATCH($B3,Services!$D$2:$D$120,0)),""))</f>
        <v/>
      </c>
      <c r="F3" s="19"/>
      <c r="G3" s="9" t="str">
        <f aca="false">IF(OR($B3="",NOT(ISNUMBER($E3))),"",$E3-IF($F3="",0,$F3))</f>
        <v/>
      </c>
      <c r="H3" s="15" t="str">
        <f aca="false">IF($B3="","",IFERROR(INDEX(Services!$A$2:$A$120,MATCH($B3,Services!$D$2:$D$120,0)),""))</f>
        <v/>
      </c>
      <c r="I3" s="19"/>
      <c r="J3" s="15" t="str">
        <f aca="false">IF($B3="","",IFERROR(INDEX(Services!$E$2:$E$120,MATCH($B3,Services!$D$2:$D$120,0)),""))</f>
        <v/>
      </c>
    </row>
    <row r="4" customFormat="false" ht="14.25" hidden="false" customHeight="false" outlineLevel="0" collapsed="false">
      <c r="A4" s="18"/>
      <c r="B4" s="6"/>
      <c r="C4" s="6"/>
      <c r="D4" s="6"/>
      <c r="E4" s="16" t="str">
        <f aca="false">IF($B4="","",IFERROR(INDEX(Services!$C$2:$C$120,MATCH($B4,Services!$D$2:$D$120,0)),""))</f>
        <v/>
      </c>
      <c r="F4" s="19"/>
      <c r="G4" s="9" t="str">
        <f aca="false">IF(OR($B4="",NOT(ISNUMBER($E4))),"",$E4-IF($F4="",0,$F4))</f>
        <v/>
      </c>
      <c r="H4" s="15" t="str">
        <f aca="false">IF($B4="","",IFERROR(INDEX(Services!$A$2:$A$120,MATCH($B4,Services!$D$2:$D$120,0)),""))</f>
        <v/>
      </c>
      <c r="I4" s="19"/>
      <c r="J4" s="15" t="str">
        <f aca="false">IF($B4="","",IFERROR(INDEX(Services!$E$2:$E$120,MATCH($B4,Services!$D$2:$D$120,0)),""))</f>
        <v/>
      </c>
    </row>
    <row r="5" customFormat="false" ht="14.25" hidden="false" customHeight="false" outlineLevel="0" collapsed="false">
      <c r="A5" s="18"/>
      <c r="B5" s="6"/>
      <c r="C5" s="6"/>
      <c r="D5" s="6"/>
      <c r="E5" s="16" t="str">
        <f aca="false">IF($B5="","",IFERROR(INDEX(Services!$C$2:$C$120,MATCH($B5,Services!$D$2:$D$120,0)),""))</f>
        <v/>
      </c>
      <c r="F5" s="19"/>
      <c r="G5" s="9" t="str">
        <f aca="false">IF(OR($B5="",NOT(ISNUMBER($E5))),"",$E5-IF($F5="",0,$F5))</f>
        <v/>
      </c>
      <c r="H5" s="15" t="str">
        <f aca="false">IF($B5="","",IFERROR(INDEX(Services!$A$2:$A$120,MATCH($B5,Services!$D$2:$D$120,0)),""))</f>
        <v/>
      </c>
      <c r="I5" s="19"/>
      <c r="J5" s="15" t="str">
        <f aca="false">IF($B5="","",IFERROR(INDEX(Services!$E$2:$E$120,MATCH($B5,Services!$D$2:$D$120,0)),""))</f>
        <v/>
      </c>
    </row>
    <row r="6" customFormat="false" ht="14.25" hidden="false" customHeight="false" outlineLevel="0" collapsed="false">
      <c r="A6" s="18"/>
      <c r="B6" s="6"/>
      <c r="C6" s="6"/>
      <c r="D6" s="6"/>
      <c r="E6" s="16" t="str">
        <f aca="false">IF($B6="","",IFERROR(INDEX(Services!$C$2:$C$120,MATCH($B6,Services!$D$2:$D$120,0)),""))</f>
        <v/>
      </c>
      <c r="F6" s="19"/>
      <c r="G6" s="9" t="str">
        <f aca="false">IF(OR($B6="",NOT(ISNUMBER($E6))),"",$E6-IF($F6="",0,$F6))</f>
        <v/>
      </c>
      <c r="H6" s="15" t="str">
        <f aca="false">IF($B6="","",IFERROR(INDEX(Services!$A$2:$A$120,MATCH($B6,Services!$D$2:$D$120,0)),""))</f>
        <v/>
      </c>
      <c r="I6" s="19"/>
      <c r="J6" s="15" t="str">
        <f aca="false">IF($B6="","",IFERROR(INDEX(Services!$E$2:$E$120,MATCH($B6,Services!$D$2:$D$120,0)),""))</f>
        <v/>
      </c>
    </row>
    <row r="7" customFormat="false" ht="14.25" hidden="false" customHeight="false" outlineLevel="0" collapsed="false">
      <c r="A7" s="18"/>
      <c r="B7" s="6"/>
      <c r="C7" s="6"/>
      <c r="D7" s="6"/>
      <c r="E7" s="16" t="str">
        <f aca="false">IF($B7="","",IFERROR(INDEX(Services!$C$2:$C$120,MATCH($B7,Services!$D$2:$D$120,0)),""))</f>
        <v/>
      </c>
      <c r="F7" s="19"/>
      <c r="G7" s="9" t="str">
        <f aca="false">IF(OR($B7="",NOT(ISNUMBER($E7))),"",$E7-IF($F7="",0,$F7))</f>
        <v/>
      </c>
      <c r="H7" s="15" t="str">
        <f aca="false">IF($B7="","",IFERROR(INDEX(Services!$A$2:$A$120,MATCH($B7,Services!$D$2:$D$120,0)),""))</f>
        <v/>
      </c>
      <c r="I7" s="19"/>
      <c r="J7" s="15" t="str">
        <f aca="false">IF($B7="","",IFERROR(INDEX(Services!$E$2:$E$120,MATCH($B7,Services!$D$2:$D$120,0)),""))</f>
        <v/>
      </c>
    </row>
    <row r="8" customFormat="false" ht="14.25" hidden="false" customHeight="false" outlineLevel="0" collapsed="false">
      <c r="A8" s="18"/>
      <c r="B8" s="6"/>
      <c r="C8" s="6"/>
      <c r="D8" s="6"/>
      <c r="E8" s="16" t="str">
        <f aca="false">IF($B8="","",IFERROR(INDEX(Services!$C$2:$C$120,MATCH($B8,Services!$D$2:$D$120,0)),""))</f>
        <v/>
      </c>
      <c r="F8" s="19"/>
      <c r="G8" s="9" t="str">
        <f aca="false">IF(OR($B8="",NOT(ISNUMBER($E8))),"",$E8-IF($F8="",0,$F8))</f>
        <v/>
      </c>
      <c r="H8" s="15" t="str">
        <f aca="false">IF($B8="","",IFERROR(INDEX(Services!$A$2:$A$120,MATCH($B8,Services!$D$2:$D$120,0)),""))</f>
        <v/>
      </c>
      <c r="I8" s="19"/>
      <c r="J8" s="15" t="str">
        <f aca="false">IF($B8="","",IFERROR(INDEX(Services!$E$2:$E$120,MATCH($B8,Services!$D$2:$D$120,0)),""))</f>
        <v/>
      </c>
    </row>
    <row r="9" customFormat="false" ht="14.25" hidden="false" customHeight="false" outlineLevel="0" collapsed="false">
      <c r="A9" s="18"/>
      <c r="B9" s="6"/>
      <c r="C9" s="6"/>
      <c r="D9" s="6"/>
      <c r="E9" s="16" t="str">
        <f aca="false">IF($B9="","",IFERROR(INDEX(Services!$C$2:$C$120,MATCH($B9,Services!$D$2:$D$120,0)),""))</f>
        <v/>
      </c>
      <c r="F9" s="19"/>
      <c r="G9" s="9" t="str">
        <f aca="false">IF(OR($B9="",NOT(ISNUMBER($E9))),"",$E9-IF($F9="",0,$F9))</f>
        <v/>
      </c>
      <c r="H9" s="15" t="str">
        <f aca="false">IF($B9="","",IFERROR(INDEX(Services!$A$2:$A$120,MATCH($B9,Services!$D$2:$D$120,0)),""))</f>
        <v/>
      </c>
      <c r="I9" s="19"/>
      <c r="J9" s="15" t="str">
        <f aca="false">IF($B9="","",IFERROR(INDEX(Services!$E$2:$E$120,MATCH($B9,Services!$D$2:$D$120,0)),""))</f>
        <v/>
      </c>
    </row>
    <row r="10" customFormat="false" ht="14.25" hidden="false" customHeight="false" outlineLevel="0" collapsed="false">
      <c r="A10" s="18"/>
      <c r="B10" s="6"/>
      <c r="C10" s="6"/>
      <c r="D10" s="6"/>
      <c r="E10" s="16" t="str">
        <f aca="false">IF($B10="","",IFERROR(INDEX(Services!$C$2:$C$120,MATCH($B10,Services!$D$2:$D$120,0)),""))</f>
        <v/>
      </c>
      <c r="F10" s="19"/>
      <c r="G10" s="9" t="str">
        <f aca="false">IF(OR($B10="",NOT(ISNUMBER($E10))),"",$E10-IF($F10="",0,$F10))</f>
        <v/>
      </c>
      <c r="H10" s="15" t="str">
        <f aca="false">IF($B10="","",IFERROR(INDEX(Services!$A$2:$A$120,MATCH($B10,Services!$D$2:$D$120,0)),""))</f>
        <v/>
      </c>
      <c r="I10" s="19"/>
      <c r="J10" s="15" t="str">
        <f aca="false">IF($B10="","",IFERROR(INDEX(Services!$E$2:$E$120,MATCH($B10,Services!$D$2:$D$120,0)),""))</f>
        <v/>
      </c>
    </row>
    <row r="11" customFormat="false" ht="14.25" hidden="false" customHeight="false" outlineLevel="0" collapsed="false">
      <c r="A11" s="18"/>
      <c r="B11" s="6"/>
      <c r="C11" s="6"/>
      <c r="D11" s="6"/>
      <c r="E11" s="16" t="str">
        <f aca="false">IF($B11="","",IFERROR(INDEX(Services!$C$2:$C$120,MATCH($B11,Services!$D$2:$D$120,0)),""))</f>
        <v/>
      </c>
      <c r="F11" s="19"/>
      <c r="G11" s="9" t="str">
        <f aca="false">IF(OR($B11="",NOT(ISNUMBER($E11))),"",$E11-IF($F11="",0,$F11))</f>
        <v/>
      </c>
      <c r="H11" s="15" t="str">
        <f aca="false">IF($B11="","",IFERROR(INDEX(Services!$A$2:$A$120,MATCH($B11,Services!$D$2:$D$120,0)),""))</f>
        <v/>
      </c>
      <c r="I11" s="19"/>
      <c r="J11" s="15" t="str">
        <f aca="false">IF($B11="","",IFERROR(INDEX(Services!$E$2:$E$120,MATCH($B11,Services!$D$2:$D$120,0)),""))</f>
        <v/>
      </c>
    </row>
    <row r="12" customFormat="false" ht="14.25" hidden="false" customHeight="false" outlineLevel="0" collapsed="false">
      <c r="A12" s="18"/>
      <c r="B12" s="6"/>
      <c r="C12" s="6"/>
      <c r="D12" s="6"/>
      <c r="E12" s="16" t="str">
        <f aca="false">IF($B12="","",IFERROR(INDEX(Services!$C$2:$C$120,MATCH($B12,Services!$D$2:$D$120,0)),""))</f>
        <v/>
      </c>
      <c r="F12" s="19"/>
      <c r="G12" s="9" t="str">
        <f aca="false">IF(OR($B12="",NOT(ISNUMBER($E12))),"",$E12-IF($F12="",0,$F12))</f>
        <v/>
      </c>
      <c r="H12" s="15" t="str">
        <f aca="false">IF($B12="","",IFERROR(INDEX(Services!$A$2:$A$120,MATCH($B12,Services!$D$2:$D$120,0)),""))</f>
        <v/>
      </c>
      <c r="I12" s="19"/>
      <c r="J12" s="15" t="str">
        <f aca="false">IF($B12="","",IFERROR(INDEX(Services!$E$2:$E$120,MATCH($B12,Services!$D$2:$D$120,0)),""))</f>
        <v/>
      </c>
    </row>
    <row r="13" customFormat="false" ht="14.25" hidden="false" customHeight="false" outlineLevel="0" collapsed="false">
      <c r="A13" s="18"/>
      <c r="B13" s="6"/>
      <c r="C13" s="6"/>
      <c r="D13" s="6"/>
      <c r="E13" s="16" t="str">
        <f aca="false">IF($B13="","",IFERROR(INDEX(Services!$C$2:$C$120,MATCH($B13,Services!$D$2:$D$120,0)),""))</f>
        <v/>
      </c>
      <c r="F13" s="19"/>
      <c r="G13" s="9" t="str">
        <f aca="false">IF(OR($B13="",NOT(ISNUMBER($E13))),"",$E13-IF($F13="",0,$F13))</f>
        <v/>
      </c>
      <c r="H13" s="15" t="str">
        <f aca="false">IF($B13="","",IFERROR(INDEX(Services!$A$2:$A$120,MATCH($B13,Services!$D$2:$D$120,0)),""))</f>
        <v/>
      </c>
      <c r="I13" s="19"/>
      <c r="J13" s="15" t="str">
        <f aca="false">IF($B13="","",IFERROR(INDEX(Services!$E$2:$E$120,MATCH($B13,Services!$D$2:$D$120,0)),""))</f>
        <v/>
      </c>
    </row>
    <row r="14" customFormat="false" ht="14.25" hidden="false" customHeight="false" outlineLevel="0" collapsed="false">
      <c r="A14" s="18"/>
      <c r="B14" s="6"/>
      <c r="C14" s="6"/>
      <c r="D14" s="6"/>
      <c r="E14" s="16" t="str">
        <f aca="false">IF($B14="","",IFERROR(INDEX(Services!$C$2:$C$120,MATCH($B14,Services!$D$2:$D$120,0)),""))</f>
        <v/>
      </c>
      <c r="F14" s="19"/>
      <c r="G14" s="9" t="str">
        <f aca="false">IF(OR($B14="",NOT(ISNUMBER($E14))),"",$E14-IF($F14="",0,$F14))</f>
        <v/>
      </c>
      <c r="H14" s="15" t="str">
        <f aca="false">IF($B14="","",IFERROR(INDEX(Services!$A$2:$A$120,MATCH($B14,Services!$D$2:$D$120,0)),""))</f>
        <v/>
      </c>
      <c r="I14" s="19"/>
      <c r="J14" s="15" t="str">
        <f aca="false">IF($B14="","",IFERROR(INDEX(Services!$E$2:$E$120,MATCH($B14,Services!$D$2:$D$120,0)),""))</f>
        <v/>
      </c>
    </row>
    <row r="15" customFormat="false" ht="14.25" hidden="false" customHeight="false" outlineLevel="0" collapsed="false">
      <c r="A15" s="18"/>
      <c r="B15" s="6"/>
      <c r="C15" s="6"/>
      <c r="D15" s="6"/>
      <c r="E15" s="16" t="str">
        <f aca="false">IF($B15="","",IFERROR(INDEX(Services!$C$2:$C$120,MATCH($B15,Services!$D$2:$D$120,0)),""))</f>
        <v/>
      </c>
      <c r="F15" s="19"/>
      <c r="G15" s="9" t="str">
        <f aca="false">IF(OR($B15="",NOT(ISNUMBER($E15))),"",$E15-IF($F15="",0,$F15))</f>
        <v/>
      </c>
      <c r="H15" s="15" t="str">
        <f aca="false">IF($B15="","",IFERROR(INDEX(Services!$A$2:$A$120,MATCH($B15,Services!$D$2:$D$120,0)),""))</f>
        <v/>
      </c>
      <c r="I15" s="19"/>
      <c r="J15" s="15" t="str">
        <f aca="false">IF($B15="","",IFERROR(INDEX(Services!$E$2:$E$120,MATCH($B15,Services!$D$2:$D$120,0)),""))</f>
        <v/>
      </c>
    </row>
    <row r="16" customFormat="false" ht="14.25" hidden="false" customHeight="false" outlineLevel="0" collapsed="false">
      <c r="A16" s="18"/>
      <c r="B16" s="6"/>
      <c r="C16" s="6"/>
      <c r="D16" s="6"/>
      <c r="E16" s="16" t="str">
        <f aca="false">IF($B16="","",IFERROR(INDEX(Services!$C$2:$C$120,MATCH($B16,Services!$D$2:$D$120,0)),""))</f>
        <v/>
      </c>
      <c r="F16" s="19"/>
      <c r="G16" s="9" t="str">
        <f aca="false">IF(OR($B16="",NOT(ISNUMBER($E16))),"",$E16-IF($F16="",0,$F16))</f>
        <v/>
      </c>
      <c r="H16" s="15" t="str">
        <f aca="false">IF($B16="","",IFERROR(INDEX(Services!$A$2:$A$120,MATCH($B16,Services!$D$2:$D$120,0)),""))</f>
        <v/>
      </c>
      <c r="I16" s="19"/>
      <c r="J16" s="15" t="str">
        <f aca="false">IF($B16="","",IFERROR(INDEX(Services!$E$2:$E$120,MATCH($B16,Services!$D$2:$D$120,0)),""))</f>
        <v/>
      </c>
    </row>
    <row r="17" customFormat="false" ht="14.25" hidden="false" customHeight="false" outlineLevel="0" collapsed="false">
      <c r="A17" s="18"/>
      <c r="B17" s="6"/>
      <c r="C17" s="6"/>
      <c r="D17" s="6"/>
      <c r="E17" s="16" t="str">
        <f aca="false">IF($B17="","",IFERROR(INDEX(Services!$C$2:$C$120,MATCH($B17,Services!$D$2:$D$120,0)),""))</f>
        <v/>
      </c>
      <c r="F17" s="19"/>
      <c r="G17" s="9" t="str">
        <f aca="false">IF(OR($B17="",NOT(ISNUMBER($E17))),"",$E17-IF($F17="",0,$F17))</f>
        <v/>
      </c>
      <c r="H17" s="15" t="str">
        <f aca="false">IF($B17="","",IFERROR(INDEX(Services!$A$2:$A$120,MATCH($B17,Services!$D$2:$D$120,0)),""))</f>
        <v/>
      </c>
      <c r="I17" s="19"/>
      <c r="J17" s="15" t="str">
        <f aca="false">IF($B17="","",IFERROR(INDEX(Services!$E$2:$E$120,MATCH($B17,Services!$D$2:$D$120,0)),""))</f>
        <v/>
      </c>
    </row>
    <row r="18" customFormat="false" ht="14.25" hidden="false" customHeight="false" outlineLevel="0" collapsed="false">
      <c r="A18" s="18"/>
      <c r="B18" s="6"/>
      <c r="C18" s="6"/>
      <c r="D18" s="6"/>
      <c r="E18" s="16" t="str">
        <f aca="false">IF($B18="","",IFERROR(INDEX(Services!$C$2:$C$120,MATCH($B18,Services!$D$2:$D$120,0)),""))</f>
        <v/>
      </c>
      <c r="F18" s="19"/>
      <c r="G18" s="9" t="str">
        <f aca="false">IF(OR($B18="",NOT(ISNUMBER($E18))),"",$E18-IF($F18="",0,$F18))</f>
        <v/>
      </c>
      <c r="H18" s="15" t="str">
        <f aca="false">IF($B18="","",IFERROR(INDEX(Services!$A$2:$A$120,MATCH($B18,Services!$D$2:$D$120,0)),""))</f>
        <v/>
      </c>
      <c r="I18" s="19"/>
      <c r="J18" s="15" t="str">
        <f aca="false">IF($B18="","",IFERROR(INDEX(Services!$E$2:$E$120,MATCH($B18,Services!$D$2:$D$120,0)),""))</f>
        <v/>
      </c>
    </row>
    <row r="19" customFormat="false" ht="14.25" hidden="false" customHeight="false" outlineLevel="0" collapsed="false">
      <c r="A19" s="18"/>
      <c r="B19" s="6"/>
      <c r="C19" s="6"/>
      <c r="D19" s="6"/>
      <c r="E19" s="16" t="str">
        <f aca="false">IF($B19="","",IFERROR(INDEX(Services!$C$2:$C$120,MATCH($B19,Services!$D$2:$D$120,0)),""))</f>
        <v/>
      </c>
      <c r="F19" s="19"/>
      <c r="G19" s="9" t="str">
        <f aca="false">IF(OR($B19="",NOT(ISNUMBER($E19))),"",$E19-IF($F19="",0,$F19))</f>
        <v/>
      </c>
      <c r="H19" s="15" t="str">
        <f aca="false">IF($B19="","",IFERROR(INDEX(Services!$A$2:$A$120,MATCH($B19,Services!$D$2:$D$120,0)),""))</f>
        <v/>
      </c>
      <c r="I19" s="19"/>
      <c r="J19" s="15" t="str">
        <f aca="false">IF($B19="","",IFERROR(INDEX(Services!$E$2:$E$120,MATCH($B19,Services!$D$2:$D$120,0)),""))</f>
        <v/>
      </c>
    </row>
    <row r="20" customFormat="false" ht="14.25" hidden="false" customHeight="false" outlineLevel="0" collapsed="false">
      <c r="A20" s="18"/>
      <c r="B20" s="6"/>
      <c r="C20" s="6"/>
      <c r="D20" s="6"/>
      <c r="E20" s="16" t="str">
        <f aca="false">IF($B20="","",IFERROR(INDEX(Services!$C$2:$C$120,MATCH($B20,Services!$D$2:$D$120,0)),""))</f>
        <v/>
      </c>
      <c r="F20" s="19"/>
      <c r="G20" s="9" t="str">
        <f aca="false">IF(OR($B20="",NOT(ISNUMBER($E20))),"",$E20-IF($F20="",0,$F20))</f>
        <v/>
      </c>
      <c r="H20" s="15" t="str">
        <f aca="false">IF($B20="","",IFERROR(INDEX(Services!$A$2:$A$120,MATCH($B20,Services!$D$2:$D$120,0)),""))</f>
        <v/>
      </c>
      <c r="I20" s="19"/>
      <c r="J20" s="15" t="str">
        <f aca="false">IF($B20="","",IFERROR(INDEX(Services!$E$2:$E$120,MATCH($B20,Services!$D$2:$D$120,0)),""))</f>
        <v/>
      </c>
    </row>
    <row r="21" customFormat="false" ht="14.25" hidden="false" customHeight="false" outlineLevel="0" collapsed="false">
      <c r="A21" s="18"/>
      <c r="B21" s="6"/>
      <c r="C21" s="6"/>
      <c r="D21" s="6"/>
      <c r="E21" s="16" t="str">
        <f aca="false">IF($B21="","",IFERROR(INDEX(Services!$C$2:$C$120,MATCH($B21,Services!$D$2:$D$120,0)),""))</f>
        <v/>
      </c>
      <c r="F21" s="19"/>
      <c r="G21" s="9" t="str">
        <f aca="false">IF(OR($B21="",NOT(ISNUMBER($E21))),"",$E21-IF($F21="",0,$F21))</f>
        <v/>
      </c>
      <c r="H21" s="15" t="str">
        <f aca="false">IF($B21="","",IFERROR(INDEX(Services!$A$2:$A$120,MATCH($B21,Services!$D$2:$D$120,0)),""))</f>
        <v/>
      </c>
      <c r="I21" s="19"/>
      <c r="J21" s="15" t="str">
        <f aca="false">IF($B21="","",IFERROR(INDEX(Services!$E$2:$E$120,MATCH($B21,Services!$D$2:$D$120,0)),""))</f>
        <v/>
      </c>
    </row>
    <row r="22" customFormat="false" ht="14.25" hidden="false" customHeight="false" outlineLevel="0" collapsed="false">
      <c r="A22" s="18"/>
      <c r="B22" s="6"/>
      <c r="C22" s="6"/>
      <c r="D22" s="6"/>
      <c r="E22" s="16" t="str">
        <f aca="false">IF($B22="","",IFERROR(INDEX(Services!$C$2:$C$120,MATCH($B22,Services!$D$2:$D$120,0)),""))</f>
        <v/>
      </c>
      <c r="F22" s="19"/>
      <c r="G22" s="9" t="str">
        <f aca="false">IF(OR($B22="",NOT(ISNUMBER($E22))),"",$E22-IF($F22="",0,$F22))</f>
        <v/>
      </c>
      <c r="H22" s="15" t="str">
        <f aca="false">IF($B22="","",IFERROR(INDEX(Services!$A$2:$A$120,MATCH($B22,Services!$D$2:$D$120,0)),""))</f>
        <v/>
      </c>
      <c r="I22" s="19"/>
      <c r="J22" s="15" t="str">
        <f aca="false">IF($B22="","",IFERROR(INDEX(Services!$E$2:$E$120,MATCH($B22,Services!$D$2:$D$120,0)),""))</f>
        <v/>
      </c>
    </row>
    <row r="23" customFormat="false" ht="14.25" hidden="false" customHeight="false" outlineLevel="0" collapsed="false">
      <c r="A23" s="18"/>
      <c r="B23" s="6"/>
      <c r="C23" s="6"/>
      <c r="D23" s="6"/>
      <c r="E23" s="16" t="str">
        <f aca="false">IF($B23="","",IFERROR(INDEX(Services!$C$2:$C$120,MATCH($B23,Services!$D$2:$D$120,0)),""))</f>
        <v/>
      </c>
      <c r="F23" s="19"/>
      <c r="G23" s="9" t="str">
        <f aca="false">IF(OR($B23="",NOT(ISNUMBER($E23))),"",$E23-IF($F23="",0,$F23))</f>
        <v/>
      </c>
      <c r="H23" s="15" t="str">
        <f aca="false">IF($B23="","",IFERROR(INDEX(Services!$A$2:$A$120,MATCH($B23,Services!$D$2:$D$120,0)),""))</f>
        <v/>
      </c>
      <c r="I23" s="19"/>
      <c r="J23" s="15" t="str">
        <f aca="false">IF($B23="","",IFERROR(INDEX(Services!$E$2:$E$120,MATCH($B23,Services!$D$2:$D$120,0)),""))</f>
        <v/>
      </c>
    </row>
    <row r="24" customFormat="false" ht="14.25" hidden="false" customHeight="false" outlineLevel="0" collapsed="false">
      <c r="A24" s="18"/>
      <c r="B24" s="6"/>
      <c r="C24" s="6"/>
      <c r="D24" s="6"/>
      <c r="E24" s="16" t="str">
        <f aca="false">IF($B24="","",IFERROR(INDEX(Services!$C$2:$C$120,MATCH($B24,Services!$D$2:$D$120,0)),""))</f>
        <v/>
      </c>
      <c r="F24" s="19"/>
      <c r="G24" s="9" t="str">
        <f aca="false">IF(OR($B24="",NOT(ISNUMBER($E24))),"",$E24-IF($F24="",0,$F24))</f>
        <v/>
      </c>
      <c r="H24" s="15" t="str">
        <f aca="false">IF($B24="","",IFERROR(INDEX(Services!$A$2:$A$120,MATCH($B24,Services!$D$2:$D$120,0)),""))</f>
        <v/>
      </c>
      <c r="I24" s="19"/>
      <c r="J24" s="15" t="str">
        <f aca="false">IF($B24="","",IFERROR(INDEX(Services!$E$2:$E$120,MATCH($B24,Services!$D$2:$D$120,0)),""))</f>
        <v/>
      </c>
    </row>
    <row r="25" customFormat="false" ht="14.25" hidden="false" customHeight="false" outlineLevel="0" collapsed="false">
      <c r="A25" s="18"/>
      <c r="B25" s="6"/>
      <c r="C25" s="6"/>
      <c r="D25" s="6"/>
      <c r="E25" s="16" t="str">
        <f aca="false">IF($B25="","",IFERROR(INDEX(Services!$C$2:$C$120,MATCH($B25,Services!$D$2:$D$120,0)),""))</f>
        <v/>
      </c>
      <c r="F25" s="19"/>
      <c r="G25" s="9" t="str">
        <f aca="false">IF(OR($B25="",NOT(ISNUMBER($E25))),"",$E25-IF($F25="",0,$F25))</f>
        <v/>
      </c>
      <c r="H25" s="15" t="str">
        <f aca="false">IF($B25="","",IFERROR(INDEX(Services!$A$2:$A$120,MATCH($B25,Services!$D$2:$D$120,0)),""))</f>
        <v/>
      </c>
      <c r="I25" s="19"/>
      <c r="J25" s="15" t="str">
        <f aca="false">IF($B25="","",IFERROR(INDEX(Services!$E$2:$E$120,MATCH($B25,Services!$D$2:$D$120,0)),""))</f>
        <v/>
      </c>
    </row>
    <row r="26" customFormat="false" ht="14.25" hidden="false" customHeight="false" outlineLevel="0" collapsed="false">
      <c r="A26" s="18"/>
      <c r="B26" s="6"/>
      <c r="C26" s="6"/>
      <c r="D26" s="6"/>
      <c r="E26" s="16" t="str">
        <f aca="false">IF($B26="","",IFERROR(INDEX(Services!$C$2:$C$120,MATCH($B26,Services!$D$2:$D$120,0)),""))</f>
        <v/>
      </c>
      <c r="F26" s="19"/>
      <c r="G26" s="9" t="str">
        <f aca="false">IF(OR($B26="",NOT(ISNUMBER($E26))),"",$E26-IF($F26="",0,$F26))</f>
        <v/>
      </c>
      <c r="H26" s="15" t="str">
        <f aca="false">IF($B26="","",IFERROR(INDEX(Services!$A$2:$A$120,MATCH($B26,Services!$D$2:$D$120,0)),""))</f>
        <v/>
      </c>
      <c r="I26" s="19"/>
      <c r="J26" s="15" t="str">
        <f aca="false">IF($B26="","",IFERROR(INDEX(Services!$E$2:$E$120,MATCH($B26,Services!$D$2:$D$120,0)),""))</f>
        <v/>
      </c>
    </row>
    <row r="27" customFormat="false" ht="14.25" hidden="false" customHeight="false" outlineLevel="0" collapsed="false">
      <c r="A27" s="18"/>
      <c r="B27" s="6"/>
      <c r="C27" s="6"/>
      <c r="D27" s="6"/>
      <c r="E27" s="16" t="str">
        <f aca="false">IF($B27="","",IFERROR(INDEX(Services!$C$2:$C$120,MATCH($B27,Services!$D$2:$D$120,0)),""))</f>
        <v/>
      </c>
      <c r="F27" s="19"/>
      <c r="G27" s="9" t="str">
        <f aca="false">IF(OR($B27="",NOT(ISNUMBER($E27))),"",$E27-IF($F27="",0,$F27))</f>
        <v/>
      </c>
      <c r="H27" s="15" t="str">
        <f aca="false">IF($B27="","",IFERROR(INDEX(Services!$A$2:$A$120,MATCH($B27,Services!$D$2:$D$120,0)),""))</f>
        <v/>
      </c>
      <c r="I27" s="19"/>
      <c r="J27" s="15" t="str">
        <f aca="false">IF($B27="","",IFERROR(INDEX(Services!$E$2:$E$120,MATCH($B27,Services!$D$2:$D$120,0)),""))</f>
        <v/>
      </c>
    </row>
    <row r="28" customFormat="false" ht="14.25" hidden="false" customHeight="false" outlineLevel="0" collapsed="false">
      <c r="A28" s="18"/>
      <c r="B28" s="6"/>
      <c r="C28" s="6"/>
      <c r="D28" s="6"/>
      <c r="E28" s="16" t="str">
        <f aca="false">IF($B28="","",IFERROR(INDEX(Services!$C$2:$C$120,MATCH($B28,Services!$D$2:$D$120,0)),""))</f>
        <v/>
      </c>
      <c r="F28" s="19"/>
      <c r="G28" s="9" t="str">
        <f aca="false">IF(OR($B28="",NOT(ISNUMBER($E28))),"",$E28-IF($F28="",0,$F28))</f>
        <v/>
      </c>
      <c r="H28" s="15" t="str">
        <f aca="false">IF($B28="","",IFERROR(INDEX(Services!$A$2:$A$120,MATCH($B28,Services!$D$2:$D$120,0)),""))</f>
        <v/>
      </c>
      <c r="I28" s="19"/>
      <c r="J28" s="15" t="str">
        <f aca="false">IF($B28="","",IFERROR(INDEX(Services!$E$2:$E$120,MATCH($B28,Services!$D$2:$D$120,0)),""))</f>
        <v/>
      </c>
    </row>
    <row r="29" customFormat="false" ht="14.25" hidden="false" customHeight="false" outlineLevel="0" collapsed="false">
      <c r="A29" s="18"/>
      <c r="B29" s="6"/>
      <c r="C29" s="6"/>
      <c r="D29" s="6"/>
      <c r="E29" s="16" t="str">
        <f aca="false">IF($B29="","",IFERROR(INDEX(Services!$C$2:$C$120,MATCH($B29,Services!$D$2:$D$120,0)),""))</f>
        <v/>
      </c>
      <c r="F29" s="19"/>
      <c r="G29" s="9" t="str">
        <f aca="false">IF(OR($B29="",NOT(ISNUMBER($E29))),"",$E29-IF($F29="",0,$F29))</f>
        <v/>
      </c>
      <c r="H29" s="15" t="str">
        <f aca="false">IF($B29="","",IFERROR(INDEX(Services!$A$2:$A$120,MATCH($B29,Services!$D$2:$D$120,0)),""))</f>
        <v/>
      </c>
      <c r="I29" s="19"/>
      <c r="J29" s="15" t="str">
        <f aca="false">IF($B29="","",IFERROR(INDEX(Services!$E$2:$E$120,MATCH($B29,Services!$D$2:$D$120,0)),""))</f>
        <v/>
      </c>
    </row>
    <row r="30" customFormat="false" ht="14.25" hidden="false" customHeight="false" outlineLevel="0" collapsed="false">
      <c r="A30" s="18"/>
      <c r="B30" s="6"/>
      <c r="C30" s="6"/>
      <c r="D30" s="6"/>
      <c r="E30" s="16" t="str">
        <f aca="false">IF($B30="","",IFERROR(INDEX(Services!$C$2:$C$120,MATCH($B30,Services!$D$2:$D$120,0)),""))</f>
        <v/>
      </c>
      <c r="F30" s="19"/>
      <c r="G30" s="9" t="str">
        <f aca="false">IF(OR($B30="",NOT(ISNUMBER($E30))),"",$E30-IF($F30="",0,$F30))</f>
        <v/>
      </c>
      <c r="H30" s="15" t="str">
        <f aca="false">IF($B30="","",IFERROR(INDEX(Services!$A$2:$A$120,MATCH($B30,Services!$D$2:$D$120,0)),""))</f>
        <v/>
      </c>
      <c r="I30" s="19"/>
      <c r="J30" s="15" t="str">
        <f aca="false">IF($B30="","",IFERROR(INDEX(Services!$E$2:$E$120,MATCH($B30,Services!$D$2:$D$120,0)),""))</f>
        <v/>
      </c>
    </row>
    <row r="31" customFormat="false" ht="14.25" hidden="false" customHeight="false" outlineLevel="0" collapsed="false">
      <c r="A31" s="18"/>
      <c r="B31" s="6"/>
      <c r="C31" s="6"/>
      <c r="D31" s="6"/>
      <c r="E31" s="16" t="str">
        <f aca="false">IF($B31="","",IFERROR(INDEX(Services!$C$2:$C$120,MATCH($B31,Services!$D$2:$D$120,0)),""))</f>
        <v/>
      </c>
      <c r="F31" s="19"/>
      <c r="G31" s="9" t="str">
        <f aca="false">IF(OR($B31="",NOT(ISNUMBER($E31))),"",$E31-IF($F31="",0,$F31))</f>
        <v/>
      </c>
      <c r="H31" s="15" t="str">
        <f aca="false">IF($B31="","",IFERROR(INDEX(Services!$A$2:$A$120,MATCH($B31,Services!$D$2:$D$120,0)),""))</f>
        <v/>
      </c>
      <c r="I31" s="19"/>
      <c r="J31" s="15" t="str">
        <f aca="false">IF($B31="","",IFERROR(INDEX(Services!$E$2:$E$120,MATCH($B31,Services!$D$2:$D$120,0)),""))</f>
        <v/>
      </c>
    </row>
    <row r="32" customFormat="false" ht="14.25" hidden="false" customHeight="false" outlineLevel="0" collapsed="false">
      <c r="A32" s="18"/>
      <c r="B32" s="6"/>
      <c r="C32" s="6"/>
      <c r="D32" s="6"/>
      <c r="E32" s="16" t="str">
        <f aca="false">IF($B32="","",IFERROR(INDEX(Services!$C$2:$C$120,MATCH($B32,Services!$D$2:$D$120,0)),""))</f>
        <v/>
      </c>
      <c r="F32" s="19"/>
      <c r="G32" s="9" t="str">
        <f aca="false">IF(OR($B32="",NOT(ISNUMBER($E32))),"",$E32-IF($F32="",0,$F32))</f>
        <v/>
      </c>
      <c r="H32" s="15" t="str">
        <f aca="false">IF($B32="","",IFERROR(INDEX(Services!$A$2:$A$120,MATCH($B32,Services!$D$2:$D$120,0)),""))</f>
        <v/>
      </c>
      <c r="I32" s="19"/>
      <c r="J32" s="15" t="str">
        <f aca="false">IF($B32="","",IFERROR(INDEX(Services!$E$2:$E$120,MATCH($B32,Services!$D$2:$D$120,0)),""))</f>
        <v/>
      </c>
    </row>
    <row r="33" customFormat="false" ht="14.25" hidden="false" customHeight="false" outlineLevel="0" collapsed="false">
      <c r="A33" s="18"/>
      <c r="B33" s="6"/>
      <c r="C33" s="6"/>
      <c r="D33" s="6"/>
      <c r="E33" s="16" t="str">
        <f aca="false">IF($B33="","",IFERROR(INDEX(Services!$C$2:$C$120,MATCH($B33,Services!$D$2:$D$120,0)),""))</f>
        <v/>
      </c>
      <c r="F33" s="19"/>
      <c r="G33" s="9" t="str">
        <f aca="false">IF(OR($B33="",NOT(ISNUMBER($E33))),"",$E33-IF($F33="",0,$F33))</f>
        <v/>
      </c>
      <c r="H33" s="15" t="str">
        <f aca="false">IF($B33="","",IFERROR(INDEX(Services!$A$2:$A$120,MATCH($B33,Services!$D$2:$D$120,0)),""))</f>
        <v/>
      </c>
      <c r="I33" s="19"/>
      <c r="J33" s="15" t="str">
        <f aca="false">IF($B33="","",IFERROR(INDEX(Services!$E$2:$E$120,MATCH($B33,Services!$D$2:$D$120,0)),""))</f>
        <v/>
      </c>
    </row>
    <row r="34" customFormat="false" ht="14.25" hidden="false" customHeight="false" outlineLevel="0" collapsed="false">
      <c r="A34" s="18"/>
      <c r="B34" s="6"/>
      <c r="C34" s="6"/>
      <c r="D34" s="6"/>
      <c r="E34" s="16" t="str">
        <f aca="false">IF($B34="","",IFERROR(INDEX(Services!$C$2:$C$120,MATCH($B34,Services!$D$2:$D$120,0)),""))</f>
        <v/>
      </c>
      <c r="F34" s="19"/>
      <c r="G34" s="9" t="str">
        <f aca="false">IF(OR($B34="",NOT(ISNUMBER($E34))),"",$E34-IF($F34="",0,$F34))</f>
        <v/>
      </c>
      <c r="H34" s="15" t="str">
        <f aca="false">IF($B34="","",IFERROR(INDEX(Services!$A$2:$A$120,MATCH($B34,Services!$D$2:$D$120,0)),""))</f>
        <v/>
      </c>
      <c r="I34" s="19"/>
      <c r="J34" s="15" t="str">
        <f aca="false">IF($B34="","",IFERROR(INDEX(Services!$E$2:$E$120,MATCH($B34,Services!$D$2:$D$120,0)),""))</f>
        <v/>
      </c>
    </row>
    <row r="35" customFormat="false" ht="14.25" hidden="false" customHeight="false" outlineLevel="0" collapsed="false">
      <c r="A35" s="18"/>
      <c r="B35" s="6"/>
      <c r="C35" s="6"/>
      <c r="D35" s="6"/>
      <c r="E35" s="16" t="str">
        <f aca="false">IF($B35="","",IFERROR(INDEX(Services!$C$2:$C$120,MATCH($B35,Services!$D$2:$D$120,0)),""))</f>
        <v/>
      </c>
      <c r="F35" s="19"/>
      <c r="G35" s="9" t="str">
        <f aca="false">IF(OR($B35="",NOT(ISNUMBER($E35))),"",$E35-IF($F35="",0,$F35))</f>
        <v/>
      </c>
      <c r="H35" s="15" t="str">
        <f aca="false">IF($B35="","",IFERROR(INDEX(Services!$A$2:$A$120,MATCH($B35,Services!$D$2:$D$120,0)),""))</f>
        <v/>
      </c>
      <c r="I35" s="19"/>
      <c r="J35" s="15" t="str">
        <f aca="false">IF($B35="","",IFERROR(INDEX(Services!$E$2:$E$120,MATCH($B35,Services!$D$2:$D$120,0)),""))</f>
        <v/>
      </c>
    </row>
    <row r="36" customFormat="false" ht="14.25" hidden="false" customHeight="false" outlineLevel="0" collapsed="false">
      <c r="A36" s="18"/>
      <c r="B36" s="6"/>
      <c r="C36" s="6"/>
      <c r="D36" s="6"/>
      <c r="E36" s="16" t="str">
        <f aca="false">IF($B36="","",IFERROR(INDEX(Services!$C$2:$C$120,MATCH($B36,Services!$D$2:$D$120,0)),""))</f>
        <v/>
      </c>
      <c r="F36" s="19"/>
      <c r="G36" s="9" t="str">
        <f aca="false">IF(OR($B36="",NOT(ISNUMBER($E36))),"",$E36-IF($F36="",0,$F36))</f>
        <v/>
      </c>
      <c r="H36" s="15" t="str">
        <f aca="false">IF($B36="","",IFERROR(INDEX(Services!$A$2:$A$120,MATCH($B36,Services!$D$2:$D$120,0)),""))</f>
        <v/>
      </c>
      <c r="I36" s="19"/>
      <c r="J36" s="15" t="str">
        <f aca="false">IF($B36="","",IFERROR(INDEX(Services!$E$2:$E$120,MATCH($B36,Services!$D$2:$D$120,0)),""))</f>
        <v/>
      </c>
    </row>
    <row r="37" customFormat="false" ht="14.25" hidden="false" customHeight="false" outlineLevel="0" collapsed="false">
      <c r="A37" s="18"/>
      <c r="B37" s="6"/>
      <c r="C37" s="6"/>
      <c r="D37" s="6"/>
      <c r="E37" s="16" t="str">
        <f aca="false">IF($B37="","",IFERROR(INDEX(Services!$C$2:$C$120,MATCH($B37,Services!$D$2:$D$120,0)),""))</f>
        <v/>
      </c>
      <c r="F37" s="19"/>
      <c r="G37" s="9" t="str">
        <f aca="false">IF(OR($B37="",NOT(ISNUMBER($E37))),"",$E37-IF($F37="",0,$F37))</f>
        <v/>
      </c>
      <c r="H37" s="15" t="str">
        <f aca="false">IF($B37="","",IFERROR(INDEX(Services!$A$2:$A$120,MATCH($B37,Services!$D$2:$D$120,0)),""))</f>
        <v/>
      </c>
      <c r="I37" s="19"/>
      <c r="J37" s="15" t="str">
        <f aca="false">IF($B37="","",IFERROR(INDEX(Services!$E$2:$E$120,MATCH($B37,Services!$D$2:$D$120,0)),""))</f>
        <v/>
      </c>
    </row>
    <row r="38" customFormat="false" ht="14.25" hidden="false" customHeight="false" outlineLevel="0" collapsed="false">
      <c r="A38" s="18"/>
      <c r="B38" s="6"/>
      <c r="C38" s="6"/>
      <c r="D38" s="6"/>
      <c r="E38" s="16" t="str">
        <f aca="false">IF($B38="","",IFERROR(INDEX(Services!$C$2:$C$120,MATCH($B38,Services!$D$2:$D$120,0)),""))</f>
        <v/>
      </c>
      <c r="F38" s="19"/>
      <c r="G38" s="9" t="str">
        <f aca="false">IF(OR($B38="",NOT(ISNUMBER($E38))),"",$E38-IF($F38="",0,$F38))</f>
        <v/>
      </c>
      <c r="H38" s="15" t="str">
        <f aca="false">IF($B38="","",IFERROR(INDEX(Services!$A$2:$A$120,MATCH($B38,Services!$D$2:$D$120,0)),""))</f>
        <v/>
      </c>
      <c r="I38" s="19"/>
      <c r="J38" s="15" t="str">
        <f aca="false">IF($B38="","",IFERROR(INDEX(Services!$E$2:$E$120,MATCH($B38,Services!$D$2:$D$120,0)),""))</f>
        <v/>
      </c>
    </row>
    <row r="39" customFormat="false" ht="14.25" hidden="false" customHeight="false" outlineLevel="0" collapsed="false">
      <c r="A39" s="18"/>
      <c r="B39" s="6"/>
      <c r="C39" s="6"/>
      <c r="D39" s="6"/>
      <c r="E39" s="16" t="str">
        <f aca="false">IF($B39="","",IFERROR(INDEX(Services!$C$2:$C$120,MATCH($B39,Services!$D$2:$D$120,0)),""))</f>
        <v/>
      </c>
      <c r="F39" s="19"/>
      <c r="G39" s="9" t="str">
        <f aca="false">IF(OR($B39="",NOT(ISNUMBER($E39))),"",$E39-IF($F39="",0,$F39))</f>
        <v/>
      </c>
      <c r="H39" s="15" t="str">
        <f aca="false">IF($B39="","",IFERROR(INDEX(Services!$A$2:$A$120,MATCH($B39,Services!$D$2:$D$120,0)),""))</f>
        <v/>
      </c>
      <c r="I39" s="19"/>
      <c r="J39" s="15" t="str">
        <f aca="false">IF($B39="","",IFERROR(INDEX(Services!$E$2:$E$120,MATCH($B39,Services!$D$2:$D$120,0)),""))</f>
        <v/>
      </c>
    </row>
    <row r="40" customFormat="false" ht="14.25" hidden="false" customHeight="false" outlineLevel="0" collapsed="false">
      <c r="A40" s="18"/>
      <c r="B40" s="6"/>
      <c r="C40" s="6"/>
      <c r="D40" s="6"/>
      <c r="E40" s="16" t="str">
        <f aca="false">IF($B40="","",IFERROR(INDEX(Services!$C$2:$C$120,MATCH($B40,Services!$D$2:$D$120,0)),""))</f>
        <v/>
      </c>
      <c r="F40" s="19"/>
      <c r="G40" s="9" t="str">
        <f aca="false">IF(OR($B40="",NOT(ISNUMBER($E40))),"",$E40-IF($F40="",0,$F40))</f>
        <v/>
      </c>
      <c r="H40" s="15" t="str">
        <f aca="false">IF($B40="","",IFERROR(INDEX(Services!$A$2:$A$120,MATCH($B40,Services!$D$2:$D$120,0)),""))</f>
        <v/>
      </c>
      <c r="I40" s="19"/>
      <c r="J40" s="15" t="str">
        <f aca="false">IF($B40="","",IFERROR(INDEX(Services!$E$2:$E$120,MATCH($B40,Services!$D$2:$D$120,0)),""))</f>
        <v/>
      </c>
    </row>
    <row r="41" customFormat="false" ht="14.25" hidden="false" customHeight="false" outlineLevel="0" collapsed="false">
      <c r="A41" s="18"/>
      <c r="B41" s="6"/>
      <c r="C41" s="6"/>
      <c r="D41" s="6"/>
      <c r="E41" s="16" t="str">
        <f aca="false">IF($B41="","",IFERROR(INDEX(Services!$C$2:$C$120,MATCH($B41,Services!$D$2:$D$120,0)),""))</f>
        <v/>
      </c>
      <c r="F41" s="19"/>
      <c r="G41" s="9" t="str">
        <f aca="false">IF(OR($B41="",NOT(ISNUMBER($E41))),"",$E41-IF($F41="",0,$F41))</f>
        <v/>
      </c>
      <c r="H41" s="15" t="str">
        <f aca="false">IF($B41="","",IFERROR(INDEX(Services!$A$2:$A$120,MATCH($B41,Services!$D$2:$D$120,0)),""))</f>
        <v/>
      </c>
      <c r="I41" s="19"/>
      <c r="J41" s="15" t="str">
        <f aca="false">IF($B41="","",IFERROR(INDEX(Services!$E$2:$E$120,MATCH($B41,Services!$D$2:$D$120,0)),""))</f>
        <v/>
      </c>
    </row>
    <row r="42" customFormat="false" ht="14.25" hidden="false" customHeight="false" outlineLevel="0" collapsed="false">
      <c r="A42" s="18"/>
      <c r="B42" s="6"/>
      <c r="C42" s="6"/>
      <c r="D42" s="6"/>
      <c r="E42" s="16" t="str">
        <f aca="false">IF($B42="","",IFERROR(INDEX(Services!$C$2:$C$120,MATCH($B42,Services!$D$2:$D$120,0)),""))</f>
        <v/>
      </c>
      <c r="F42" s="19"/>
      <c r="G42" s="9" t="str">
        <f aca="false">IF(OR($B42="",NOT(ISNUMBER($E42))),"",$E42-IF($F42="",0,$F42))</f>
        <v/>
      </c>
      <c r="H42" s="15" t="str">
        <f aca="false">IF($B42="","",IFERROR(INDEX(Services!$A$2:$A$120,MATCH($B42,Services!$D$2:$D$120,0)),""))</f>
        <v/>
      </c>
      <c r="I42" s="19"/>
      <c r="J42" s="15" t="str">
        <f aca="false">IF($B42="","",IFERROR(INDEX(Services!$E$2:$E$120,MATCH($B42,Services!$D$2:$D$120,0)),""))</f>
        <v/>
      </c>
    </row>
    <row r="43" customFormat="false" ht="14.25" hidden="false" customHeight="false" outlineLevel="0" collapsed="false">
      <c r="A43" s="18"/>
      <c r="B43" s="6"/>
      <c r="C43" s="6"/>
      <c r="D43" s="6"/>
      <c r="E43" s="16" t="str">
        <f aca="false">IF($B43="","",IFERROR(INDEX(Services!$C$2:$C$120,MATCH($B43,Services!$D$2:$D$120,0)),""))</f>
        <v/>
      </c>
      <c r="F43" s="19"/>
      <c r="G43" s="9" t="str">
        <f aca="false">IF(OR($B43="",NOT(ISNUMBER($E43))),"",$E43-IF($F43="",0,$F43))</f>
        <v/>
      </c>
      <c r="H43" s="15" t="str">
        <f aca="false">IF($B43="","",IFERROR(INDEX(Services!$A$2:$A$120,MATCH($B43,Services!$D$2:$D$120,0)),""))</f>
        <v/>
      </c>
      <c r="I43" s="19"/>
      <c r="J43" s="15" t="str">
        <f aca="false">IF($B43="","",IFERROR(INDEX(Services!$E$2:$E$120,MATCH($B43,Services!$D$2:$D$120,0)),""))</f>
        <v/>
      </c>
    </row>
    <row r="44" customFormat="false" ht="14.25" hidden="false" customHeight="false" outlineLevel="0" collapsed="false">
      <c r="A44" s="18"/>
      <c r="B44" s="6"/>
      <c r="C44" s="6"/>
      <c r="D44" s="6"/>
      <c r="E44" s="16" t="str">
        <f aca="false">IF($B44="","",IFERROR(INDEX(Services!$C$2:$C$120,MATCH($B44,Services!$D$2:$D$120,0)),""))</f>
        <v/>
      </c>
      <c r="F44" s="19"/>
      <c r="G44" s="9" t="str">
        <f aca="false">IF(OR($B44="",NOT(ISNUMBER($E44))),"",$E44-IF($F44="",0,$F44))</f>
        <v/>
      </c>
      <c r="H44" s="15" t="str">
        <f aca="false">IF($B44="","",IFERROR(INDEX(Services!$A$2:$A$120,MATCH($B44,Services!$D$2:$D$120,0)),""))</f>
        <v/>
      </c>
      <c r="I44" s="19"/>
      <c r="J44" s="15" t="str">
        <f aca="false">IF($B44="","",IFERROR(INDEX(Services!$E$2:$E$120,MATCH($B44,Services!$D$2:$D$120,0)),""))</f>
        <v/>
      </c>
    </row>
    <row r="45" customFormat="false" ht="14.25" hidden="false" customHeight="false" outlineLevel="0" collapsed="false">
      <c r="A45" s="18"/>
      <c r="B45" s="6"/>
      <c r="C45" s="6"/>
      <c r="D45" s="6"/>
      <c r="E45" s="16" t="str">
        <f aca="false">IF($B45="","",IFERROR(INDEX(Services!$C$2:$C$120,MATCH($B45,Services!$D$2:$D$120,0)),""))</f>
        <v/>
      </c>
      <c r="F45" s="19"/>
      <c r="G45" s="9" t="str">
        <f aca="false">IF(OR($B45="",NOT(ISNUMBER($E45))),"",$E45-IF($F45="",0,$F45))</f>
        <v/>
      </c>
      <c r="H45" s="15" t="str">
        <f aca="false">IF($B45="","",IFERROR(INDEX(Services!$A$2:$A$120,MATCH($B45,Services!$D$2:$D$120,0)),""))</f>
        <v/>
      </c>
      <c r="I45" s="19"/>
      <c r="J45" s="15" t="str">
        <f aca="false">IF($B45="","",IFERROR(INDEX(Services!$E$2:$E$120,MATCH($B45,Services!$D$2:$D$120,0)),""))</f>
        <v/>
      </c>
    </row>
    <row r="46" customFormat="false" ht="14.25" hidden="false" customHeight="false" outlineLevel="0" collapsed="false">
      <c r="A46" s="18"/>
      <c r="B46" s="6"/>
      <c r="C46" s="6"/>
      <c r="D46" s="6"/>
      <c r="E46" s="16" t="str">
        <f aca="false">IF($B46="","",IFERROR(INDEX(Services!$C$2:$C$120,MATCH($B46,Services!$D$2:$D$120,0)),""))</f>
        <v/>
      </c>
      <c r="F46" s="19"/>
      <c r="G46" s="9" t="str">
        <f aca="false">IF(OR($B46="",NOT(ISNUMBER($E46))),"",$E46-IF($F46="",0,$F46))</f>
        <v/>
      </c>
      <c r="H46" s="15" t="str">
        <f aca="false">IF($B46="","",IFERROR(INDEX(Services!$A$2:$A$120,MATCH($B46,Services!$D$2:$D$120,0)),""))</f>
        <v/>
      </c>
      <c r="I46" s="19"/>
      <c r="J46" s="15" t="str">
        <f aca="false">IF($B46="","",IFERROR(INDEX(Services!$E$2:$E$120,MATCH($B46,Services!$D$2:$D$120,0)),""))</f>
        <v/>
      </c>
    </row>
    <row r="47" customFormat="false" ht="14.25" hidden="false" customHeight="false" outlineLevel="0" collapsed="false">
      <c r="A47" s="18"/>
      <c r="B47" s="6"/>
      <c r="C47" s="6"/>
      <c r="D47" s="6"/>
      <c r="E47" s="16" t="str">
        <f aca="false">IF($B47="","",IFERROR(INDEX(Services!$C$2:$C$120,MATCH($B47,Services!$D$2:$D$120,0)),""))</f>
        <v/>
      </c>
      <c r="F47" s="19"/>
      <c r="G47" s="9" t="str">
        <f aca="false">IF(OR($B47="",NOT(ISNUMBER($E47))),"",$E47-IF($F47="",0,$F47))</f>
        <v/>
      </c>
      <c r="H47" s="15" t="str">
        <f aca="false">IF($B47="","",IFERROR(INDEX(Services!$A$2:$A$120,MATCH($B47,Services!$D$2:$D$120,0)),""))</f>
        <v/>
      </c>
      <c r="I47" s="19"/>
      <c r="J47" s="15" t="str">
        <f aca="false">IF($B47="","",IFERROR(INDEX(Services!$E$2:$E$120,MATCH($B47,Services!$D$2:$D$120,0)),""))</f>
        <v/>
      </c>
    </row>
    <row r="48" customFormat="false" ht="14.25" hidden="false" customHeight="false" outlineLevel="0" collapsed="false">
      <c r="A48" s="18"/>
      <c r="B48" s="6"/>
      <c r="C48" s="6"/>
      <c r="D48" s="6"/>
      <c r="E48" s="16" t="str">
        <f aca="false">IF($B48="","",IFERROR(INDEX(Services!$C$2:$C$120,MATCH($B48,Services!$D$2:$D$120,0)),""))</f>
        <v/>
      </c>
      <c r="F48" s="19"/>
      <c r="G48" s="9" t="str">
        <f aca="false">IF(OR($B48="",NOT(ISNUMBER($E48))),"",$E48-IF($F48="",0,$F48))</f>
        <v/>
      </c>
      <c r="H48" s="15" t="str">
        <f aca="false">IF($B48="","",IFERROR(INDEX(Services!$A$2:$A$120,MATCH($B48,Services!$D$2:$D$120,0)),""))</f>
        <v/>
      </c>
      <c r="I48" s="19"/>
      <c r="J48" s="15" t="str">
        <f aca="false">IF($B48="","",IFERROR(INDEX(Services!$E$2:$E$120,MATCH($B48,Services!$D$2:$D$120,0)),""))</f>
        <v/>
      </c>
    </row>
    <row r="49" customFormat="false" ht="14.25" hidden="false" customHeight="false" outlineLevel="0" collapsed="false">
      <c r="A49" s="18"/>
      <c r="B49" s="6"/>
      <c r="C49" s="6"/>
      <c r="D49" s="6"/>
      <c r="E49" s="16" t="str">
        <f aca="false">IF($B49="","",IFERROR(INDEX(Services!$C$2:$C$120,MATCH($B49,Services!$D$2:$D$120,0)),""))</f>
        <v/>
      </c>
      <c r="F49" s="19"/>
      <c r="G49" s="9" t="str">
        <f aca="false">IF(OR($B49="",NOT(ISNUMBER($E49))),"",$E49-IF($F49="",0,$F49))</f>
        <v/>
      </c>
      <c r="H49" s="15" t="str">
        <f aca="false">IF($B49="","",IFERROR(INDEX(Services!$A$2:$A$120,MATCH($B49,Services!$D$2:$D$120,0)),""))</f>
        <v/>
      </c>
      <c r="I49" s="19"/>
      <c r="J49" s="15" t="str">
        <f aca="false">IF($B49="","",IFERROR(INDEX(Services!$E$2:$E$120,MATCH($B49,Services!$D$2:$D$120,0)),""))</f>
        <v/>
      </c>
    </row>
    <row r="50" customFormat="false" ht="14.25" hidden="false" customHeight="false" outlineLevel="0" collapsed="false">
      <c r="A50" s="18"/>
      <c r="B50" s="6"/>
      <c r="C50" s="6"/>
      <c r="D50" s="6"/>
      <c r="E50" s="16" t="str">
        <f aca="false">IF($B50="","",IFERROR(INDEX(Services!$C$2:$C$120,MATCH($B50,Services!$D$2:$D$120,0)),""))</f>
        <v/>
      </c>
      <c r="F50" s="19"/>
      <c r="G50" s="9" t="str">
        <f aca="false">IF(OR($B50="",NOT(ISNUMBER($E50))),"",$E50-IF($F50="",0,$F50))</f>
        <v/>
      </c>
      <c r="H50" s="15" t="str">
        <f aca="false">IF($B50="","",IFERROR(INDEX(Services!$A$2:$A$120,MATCH($B50,Services!$D$2:$D$120,0)),""))</f>
        <v/>
      </c>
      <c r="I50" s="19"/>
      <c r="J50" s="15" t="str">
        <f aca="false">IF($B50="","",IFERROR(INDEX(Services!$E$2:$E$120,MATCH($B50,Services!$D$2:$D$120,0)),""))</f>
        <v/>
      </c>
    </row>
    <row r="51" customFormat="false" ht="14.25" hidden="false" customHeight="false" outlineLevel="0" collapsed="false">
      <c r="A51" s="18"/>
      <c r="B51" s="6"/>
      <c r="C51" s="6"/>
      <c r="D51" s="6"/>
      <c r="E51" s="16" t="str">
        <f aca="false">IF($B51="","",IFERROR(INDEX(Services!$C$2:$C$120,MATCH($B51,Services!$D$2:$D$120,0)),""))</f>
        <v/>
      </c>
      <c r="F51" s="19"/>
      <c r="G51" s="9" t="str">
        <f aca="false">IF(OR($B51="",NOT(ISNUMBER($E51))),"",$E51-IF($F51="",0,$F51))</f>
        <v/>
      </c>
      <c r="H51" s="15" t="str">
        <f aca="false">IF($B51="","",IFERROR(INDEX(Services!$A$2:$A$120,MATCH($B51,Services!$D$2:$D$120,0)),""))</f>
        <v/>
      </c>
      <c r="I51" s="19"/>
      <c r="J51" s="15" t="str">
        <f aca="false">IF($B51="","",IFERROR(INDEX(Services!$E$2:$E$120,MATCH($B51,Services!$D$2:$D$120,0)),""))</f>
        <v/>
      </c>
    </row>
    <row r="52" customFormat="false" ht="14.25" hidden="false" customHeight="false" outlineLevel="0" collapsed="false">
      <c r="A52" s="18"/>
      <c r="B52" s="6"/>
      <c r="C52" s="6"/>
      <c r="D52" s="6"/>
      <c r="E52" s="16" t="str">
        <f aca="false">IF($B52="","",IFERROR(INDEX(Services!$C$2:$C$120,MATCH($B52,Services!$D$2:$D$120,0)),""))</f>
        <v/>
      </c>
      <c r="F52" s="19"/>
      <c r="G52" s="9" t="str">
        <f aca="false">IF(OR($B52="",NOT(ISNUMBER($E52))),"",$E52-IF($F52="",0,$F52))</f>
        <v/>
      </c>
      <c r="H52" s="15" t="str">
        <f aca="false">IF($B52="","",IFERROR(INDEX(Services!$A$2:$A$120,MATCH($B52,Services!$D$2:$D$120,0)),""))</f>
        <v/>
      </c>
      <c r="I52" s="19"/>
      <c r="J52" s="15" t="str">
        <f aca="false">IF($B52="","",IFERROR(INDEX(Services!$E$2:$E$120,MATCH($B52,Services!$D$2:$D$120,0)),""))</f>
        <v/>
      </c>
    </row>
    <row r="53" customFormat="false" ht="14.25" hidden="false" customHeight="false" outlineLevel="0" collapsed="false">
      <c r="A53" s="18"/>
      <c r="B53" s="6"/>
      <c r="C53" s="6"/>
      <c r="D53" s="6"/>
      <c r="E53" s="16" t="str">
        <f aca="false">IF($B53="","",IFERROR(INDEX(Services!$C$2:$C$120,MATCH($B53,Services!$D$2:$D$120,0)),""))</f>
        <v/>
      </c>
      <c r="F53" s="19"/>
      <c r="G53" s="9" t="str">
        <f aca="false">IF(OR($B53="",NOT(ISNUMBER($E53))),"",$E53-IF($F53="",0,$F53))</f>
        <v/>
      </c>
      <c r="H53" s="15" t="str">
        <f aca="false">IF($B53="","",IFERROR(INDEX(Services!$A$2:$A$120,MATCH($B53,Services!$D$2:$D$120,0)),""))</f>
        <v/>
      </c>
      <c r="I53" s="19"/>
      <c r="J53" s="15" t="str">
        <f aca="false">IF($B53="","",IFERROR(INDEX(Services!$E$2:$E$120,MATCH($B53,Services!$D$2:$D$120,0)),""))</f>
        <v/>
      </c>
    </row>
    <row r="54" customFormat="false" ht="14.25" hidden="false" customHeight="false" outlineLevel="0" collapsed="false">
      <c r="A54" s="18"/>
      <c r="B54" s="6"/>
      <c r="C54" s="6"/>
      <c r="D54" s="6"/>
      <c r="E54" s="16" t="str">
        <f aca="false">IF($B54="","",IFERROR(INDEX(Services!$C$2:$C$120,MATCH($B54,Services!$D$2:$D$120,0)),""))</f>
        <v/>
      </c>
      <c r="F54" s="19"/>
      <c r="G54" s="9" t="str">
        <f aca="false">IF(OR($B54="",NOT(ISNUMBER($E54))),"",$E54-IF($F54="",0,$F54))</f>
        <v/>
      </c>
      <c r="H54" s="15" t="str">
        <f aca="false">IF($B54="","",IFERROR(INDEX(Services!$A$2:$A$120,MATCH($B54,Services!$D$2:$D$120,0)),""))</f>
        <v/>
      </c>
      <c r="I54" s="19"/>
      <c r="J54" s="15" t="str">
        <f aca="false">IF($B54="","",IFERROR(INDEX(Services!$E$2:$E$120,MATCH($B54,Services!$D$2:$D$120,0)),""))</f>
        <v/>
      </c>
    </row>
    <row r="55" customFormat="false" ht="14.25" hidden="false" customHeight="false" outlineLevel="0" collapsed="false">
      <c r="A55" s="18"/>
      <c r="B55" s="6"/>
      <c r="C55" s="6"/>
      <c r="D55" s="6"/>
      <c r="E55" s="16" t="str">
        <f aca="false">IF($B55="","",IFERROR(INDEX(Services!$C$2:$C$120,MATCH($B55,Services!$D$2:$D$120,0)),""))</f>
        <v/>
      </c>
      <c r="F55" s="19"/>
      <c r="G55" s="9" t="str">
        <f aca="false">IF(OR($B55="",NOT(ISNUMBER($E55))),"",$E55-IF($F55="",0,$F55))</f>
        <v/>
      </c>
      <c r="H55" s="15" t="str">
        <f aca="false">IF($B55="","",IFERROR(INDEX(Services!$A$2:$A$120,MATCH($B55,Services!$D$2:$D$120,0)),""))</f>
        <v/>
      </c>
      <c r="I55" s="19"/>
      <c r="J55" s="15" t="str">
        <f aca="false">IF($B55="","",IFERROR(INDEX(Services!$E$2:$E$120,MATCH($B55,Services!$D$2:$D$120,0)),""))</f>
        <v/>
      </c>
    </row>
    <row r="56" customFormat="false" ht="14.25" hidden="false" customHeight="false" outlineLevel="0" collapsed="false">
      <c r="A56" s="18"/>
      <c r="B56" s="6"/>
      <c r="C56" s="6"/>
      <c r="D56" s="6"/>
      <c r="E56" s="16" t="str">
        <f aca="false">IF($B56="","",IFERROR(INDEX(Services!$C$2:$C$120,MATCH($B56,Services!$D$2:$D$120,0)),""))</f>
        <v/>
      </c>
      <c r="F56" s="19"/>
      <c r="G56" s="9" t="str">
        <f aca="false">IF(OR($B56="",NOT(ISNUMBER($E56))),"",$E56-IF($F56="",0,$F56))</f>
        <v/>
      </c>
      <c r="H56" s="15" t="str">
        <f aca="false">IF($B56="","",IFERROR(INDEX(Services!$A$2:$A$120,MATCH($B56,Services!$D$2:$D$120,0)),""))</f>
        <v/>
      </c>
      <c r="I56" s="19"/>
      <c r="J56" s="15" t="str">
        <f aca="false">IF($B56="","",IFERROR(INDEX(Services!$E$2:$E$120,MATCH($B56,Services!$D$2:$D$120,0)),""))</f>
        <v/>
      </c>
    </row>
    <row r="57" customFormat="false" ht="14.25" hidden="false" customHeight="false" outlineLevel="0" collapsed="false">
      <c r="A57" s="18"/>
      <c r="B57" s="6"/>
      <c r="C57" s="6"/>
      <c r="D57" s="6"/>
      <c r="E57" s="16" t="str">
        <f aca="false">IF($B57="","",IFERROR(INDEX(Services!$C$2:$C$120,MATCH($B57,Services!$D$2:$D$120,0)),""))</f>
        <v/>
      </c>
      <c r="F57" s="19"/>
      <c r="G57" s="9" t="str">
        <f aca="false">IF(OR($B57="",NOT(ISNUMBER($E57))),"",$E57-IF($F57="",0,$F57))</f>
        <v/>
      </c>
      <c r="H57" s="15" t="str">
        <f aca="false">IF($B57="","",IFERROR(INDEX(Services!$A$2:$A$120,MATCH($B57,Services!$D$2:$D$120,0)),""))</f>
        <v/>
      </c>
      <c r="I57" s="19"/>
      <c r="J57" s="15" t="str">
        <f aca="false">IF($B57="","",IFERROR(INDEX(Services!$E$2:$E$120,MATCH($B57,Services!$D$2:$D$120,0)),""))</f>
        <v/>
      </c>
    </row>
    <row r="58" customFormat="false" ht="14.25" hidden="false" customHeight="false" outlineLevel="0" collapsed="false">
      <c r="A58" s="18"/>
      <c r="B58" s="6"/>
      <c r="C58" s="6"/>
      <c r="D58" s="6"/>
      <c r="E58" s="16" t="str">
        <f aca="false">IF($B58="","",IFERROR(INDEX(Services!$C$2:$C$120,MATCH($B58,Services!$D$2:$D$120,0)),""))</f>
        <v/>
      </c>
      <c r="F58" s="19"/>
      <c r="G58" s="9" t="str">
        <f aca="false">IF(OR($B58="",NOT(ISNUMBER($E58))),"",$E58-IF($F58="",0,$F58))</f>
        <v/>
      </c>
      <c r="H58" s="15" t="str">
        <f aca="false">IF($B58="","",IFERROR(INDEX(Services!$A$2:$A$120,MATCH($B58,Services!$D$2:$D$120,0)),""))</f>
        <v/>
      </c>
      <c r="I58" s="19"/>
      <c r="J58" s="15" t="str">
        <f aca="false">IF($B58="","",IFERROR(INDEX(Services!$E$2:$E$120,MATCH($B58,Services!$D$2:$D$120,0)),""))</f>
        <v/>
      </c>
    </row>
    <row r="59" customFormat="false" ht="14.25" hidden="false" customHeight="false" outlineLevel="0" collapsed="false">
      <c r="A59" s="18"/>
      <c r="B59" s="6"/>
      <c r="C59" s="6"/>
      <c r="D59" s="6"/>
      <c r="E59" s="16" t="str">
        <f aca="false">IF($B59="","",IFERROR(INDEX(Services!$C$2:$C$120,MATCH($B59,Services!$D$2:$D$120,0)),""))</f>
        <v/>
      </c>
      <c r="F59" s="19"/>
      <c r="G59" s="9" t="str">
        <f aca="false">IF(OR($B59="",NOT(ISNUMBER($E59))),"",$E59-IF($F59="",0,$F59))</f>
        <v/>
      </c>
      <c r="H59" s="15" t="str">
        <f aca="false">IF($B59="","",IFERROR(INDEX(Services!$A$2:$A$120,MATCH($B59,Services!$D$2:$D$120,0)),""))</f>
        <v/>
      </c>
      <c r="I59" s="19"/>
      <c r="J59" s="15" t="str">
        <f aca="false">IF($B59="","",IFERROR(INDEX(Services!$E$2:$E$120,MATCH($B59,Services!$D$2:$D$120,0)),""))</f>
        <v/>
      </c>
    </row>
    <row r="60" customFormat="false" ht="14.25" hidden="false" customHeight="false" outlineLevel="0" collapsed="false">
      <c r="A60" s="18"/>
      <c r="B60" s="6"/>
      <c r="C60" s="6"/>
      <c r="D60" s="6"/>
      <c r="E60" s="16" t="str">
        <f aca="false">IF($B60="","",IFERROR(INDEX(Services!$C$2:$C$120,MATCH($B60,Services!$D$2:$D$120,0)),""))</f>
        <v/>
      </c>
      <c r="F60" s="19"/>
      <c r="G60" s="9" t="str">
        <f aca="false">IF(OR($B60="",NOT(ISNUMBER($E60))),"",$E60-IF($F60="",0,$F60))</f>
        <v/>
      </c>
      <c r="H60" s="15" t="str">
        <f aca="false">IF($B60="","",IFERROR(INDEX(Services!$A$2:$A$120,MATCH($B60,Services!$D$2:$D$120,0)),""))</f>
        <v/>
      </c>
      <c r="I60" s="19"/>
      <c r="J60" s="15" t="str">
        <f aca="false">IF($B60="","",IFERROR(INDEX(Services!$E$2:$E$120,MATCH($B60,Services!$D$2:$D$120,0)),""))</f>
        <v/>
      </c>
    </row>
    <row r="61" customFormat="false" ht="14.25" hidden="false" customHeight="false" outlineLevel="0" collapsed="false">
      <c r="A61" s="18"/>
      <c r="B61" s="6"/>
      <c r="C61" s="6"/>
      <c r="D61" s="6"/>
      <c r="E61" s="16" t="str">
        <f aca="false">IF($B61="","",IFERROR(INDEX(Services!$C$2:$C$120,MATCH($B61,Services!$D$2:$D$120,0)),""))</f>
        <v/>
      </c>
      <c r="F61" s="19"/>
      <c r="G61" s="9" t="str">
        <f aca="false">IF(OR($B61="",NOT(ISNUMBER($E61))),"",$E61-IF($F61="",0,$F61))</f>
        <v/>
      </c>
      <c r="H61" s="15" t="str">
        <f aca="false">IF($B61="","",IFERROR(INDEX(Services!$A$2:$A$120,MATCH($B61,Services!$D$2:$D$120,0)),""))</f>
        <v/>
      </c>
      <c r="I61" s="19"/>
      <c r="J61" s="15" t="str">
        <f aca="false">IF($B61="","",IFERROR(INDEX(Services!$E$2:$E$120,MATCH($B61,Services!$D$2:$D$120,0)),""))</f>
        <v/>
      </c>
    </row>
    <row r="62" customFormat="false" ht="14.25" hidden="false" customHeight="false" outlineLevel="0" collapsed="false">
      <c r="A62" s="18"/>
      <c r="B62" s="6"/>
      <c r="C62" s="6"/>
      <c r="D62" s="6"/>
      <c r="E62" s="16" t="str">
        <f aca="false">IF($B62="","",IFERROR(INDEX(Services!$C$2:$C$120,MATCH($B62,Services!$D$2:$D$120,0)),""))</f>
        <v/>
      </c>
      <c r="F62" s="19"/>
      <c r="G62" s="9" t="str">
        <f aca="false">IF(OR($B62="",NOT(ISNUMBER($E62))),"",$E62-IF($F62="",0,$F62))</f>
        <v/>
      </c>
      <c r="H62" s="15" t="str">
        <f aca="false">IF($B62="","",IFERROR(INDEX(Services!$A$2:$A$120,MATCH($B62,Services!$D$2:$D$120,0)),""))</f>
        <v/>
      </c>
      <c r="I62" s="19"/>
      <c r="J62" s="15" t="str">
        <f aca="false">IF($B62="","",IFERROR(INDEX(Services!$E$2:$E$120,MATCH($B62,Services!$D$2:$D$120,0)),""))</f>
        <v/>
      </c>
    </row>
    <row r="63" customFormat="false" ht="14.25" hidden="false" customHeight="false" outlineLevel="0" collapsed="false">
      <c r="A63" s="18"/>
      <c r="B63" s="6"/>
      <c r="C63" s="6"/>
      <c r="D63" s="6"/>
      <c r="E63" s="16" t="str">
        <f aca="false">IF($B63="","",IFERROR(INDEX(Services!$C$2:$C$120,MATCH($B63,Services!$D$2:$D$120,0)),""))</f>
        <v/>
      </c>
      <c r="F63" s="19"/>
      <c r="G63" s="9" t="str">
        <f aca="false">IF(OR($B63="",NOT(ISNUMBER($E63))),"",$E63-IF($F63="",0,$F63))</f>
        <v/>
      </c>
      <c r="H63" s="15" t="str">
        <f aca="false">IF($B63="","",IFERROR(INDEX(Services!$A$2:$A$120,MATCH($B63,Services!$D$2:$D$120,0)),""))</f>
        <v/>
      </c>
      <c r="I63" s="19"/>
      <c r="J63" s="15" t="str">
        <f aca="false">IF($B63="","",IFERROR(INDEX(Services!$E$2:$E$120,MATCH($B63,Services!$D$2:$D$120,0)),""))</f>
        <v/>
      </c>
    </row>
    <row r="64" customFormat="false" ht="14.25" hidden="false" customHeight="false" outlineLevel="0" collapsed="false">
      <c r="A64" s="18"/>
      <c r="B64" s="6"/>
      <c r="C64" s="6"/>
      <c r="D64" s="6"/>
      <c r="E64" s="16" t="str">
        <f aca="false">IF($B64="","",IFERROR(INDEX(Services!$C$2:$C$120,MATCH($B64,Services!$D$2:$D$120,0)),""))</f>
        <v/>
      </c>
      <c r="F64" s="19"/>
      <c r="G64" s="9" t="str">
        <f aca="false">IF(OR($B64="",NOT(ISNUMBER($E64))),"",$E64-IF($F64="",0,$F64))</f>
        <v/>
      </c>
      <c r="H64" s="15" t="str">
        <f aca="false">IF($B64="","",IFERROR(INDEX(Services!$A$2:$A$120,MATCH($B64,Services!$D$2:$D$120,0)),""))</f>
        <v/>
      </c>
      <c r="I64" s="19"/>
      <c r="J64" s="15" t="str">
        <f aca="false">IF($B64="","",IFERROR(INDEX(Services!$E$2:$E$120,MATCH($B64,Services!$D$2:$D$120,0)),""))</f>
        <v/>
      </c>
    </row>
    <row r="65" customFormat="false" ht="14.25" hidden="false" customHeight="false" outlineLevel="0" collapsed="false">
      <c r="A65" s="18"/>
      <c r="B65" s="6"/>
      <c r="C65" s="6"/>
      <c r="D65" s="6"/>
      <c r="E65" s="16" t="str">
        <f aca="false">IF($B65="","",IFERROR(INDEX(Services!$C$2:$C$120,MATCH($B65,Services!$D$2:$D$120,0)),""))</f>
        <v/>
      </c>
      <c r="F65" s="19"/>
      <c r="G65" s="9" t="str">
        <f aca="false">IF(OR($B65="",NOT(ISNUMBER($E65))),"",$E65-IF($F65="",0,$F65))</f>
        <v/>
      </c>
      <c r="H65" s="15" t="str">
        <f aca="false">IF($B65="","",IFERROR(INDEX(Services!$A$2:$A$120,MATCH($B65,Services!$D$2:$D$120,0)),""))</f>
        <v/>
      </c>
      <c r="I65" s="19"/>
      <c r="J65" s="15" t="str">
        <f aca="false">IF($B65="","",IFERROR(INDEX(Services!$E$2:$E$120,MATCH($B65,Services!$D$2:$D$120,0)),""))</f>
        <v/>
      </c>
    </row>
    <row r="66" customFormat="false" ht="14.25" hidden="false" customHeight="false" outlineLevel="0" collapsed="false">
      <c r="A66" s="18"/>
      <c r="B66" s="6"/>
      <c r="C66" s="6"/>
      <c r="D66" s="6"/>
      <c r="E66" s="16" t="str">
        <f aca="false">IF($B66="","",IFERROR(INDEX(Services!$C$2:$C$120,MATCH($B66,Services!$D$2:$D$120,0)),""))</f>
        <v/>
      </c>
      <c r="F66" s="19"/>
      <c r="G66" s="9" t="str">
        <f aca="false">IF(OR($B66="",NOT(ISNUMBER($E66))),"",$E66-IF($F66="",0,$F66))</f>
        <v/>
      </c>
      <c r="H66" s="15" t="str">
        <f aca="false">IF($B66="","",IFERROR(INDEX(Services!$A$2:$A$120,MATCH($B66,Services!$D$2:$D$120,0)),""))</f>
        <v/>
      </c>
      <c r="I66" s="19"/>
      <c r="J66" s="15" t="str">
        <f aca="false">IF($B66="","",IFERROR(INDEX(Services!$E$2:$E$120,MATCH($B66,Services!$D$2:$D$120,0)),""))</f>
        <v/>
      </c>
    </row>
    <row r="67" customFormat="false" ht="14.25" hidden="false" customHeight="false" outlineLevel="0" collapsed="false">
      <c r="A67" s="18"/>
      <c r="B67" s="6"/>
      <c r="C67" s="6"/>
      <c r="D67" s="6"/>
      <c r="E67" s="16" t="str">
        <f aca="false">IF($B67="","",IFERROR(INDEX(Services!$C$2:$C$120,MATCH($B67,Services!$D$2:$D$120,0)),""))</f>
        <v/>
      </c>
      <c r="F67" s="19"/>
      <c r="G67" s="9" t="str">
        <f aca="false">IF(OR($B67="",NOT(ISNUMBER($E67))),"",$E67-IF($F67="",0,$F67))</f>
        <v/>
      </c>
      <c r="H67" s="15" t="str">
        <f aca="false">IF($B67="","",IFERROR(INDEX(Services!$A$2:$A$120,MATCH($B67,Services!$D$2:$D$120,0)),""))</f>
        <v/>
      </c>
      <c r="I67" s="19"/>
      <c r="J67" s="15" t="str">
        <f aca="false">IF($B67="","",IFERROR(INDEX(Services!$E$2:$E$120,MATCH($B67,Services!$D$2:$D$120,0)),""))</f>
        <v/>
      </c>
    </row>
    <row r="68" customFormat="false" ht="14.25" hidden="false" customHeight="false" outlineLevel="0" collapsed="false">
      <c r="A68" s="18"/>
      <c r="B68" s="6"/>
      <c r="C68" s="6"/>
      <c r="D68" s="6"/>
      <c r="E68" s="16" t="str">
        <f aca="false">IF($B68="","",IFERROR(INDEX(Services!$C$2:$C$120,MATCH($B68,Services!$D$2:$D$120,0)),""))</f>
        <v/>
      </c>
      <c r="F68" s="19"/>
      <c r="G68" s="9" t="str">
        <f aca="false">IF(OR($B68="",NOT(ISNUMBER($E68))),"",$E68-IF($F68="",0,$F68))</f>
        <v/>
      </c>
      <c r="H68" s="15" t="str">
        <f aca="false">IF($B68="","",IFERROR(INDEX(Services!$A$2:$A$120,MATCH($B68,Services!$D$2:$D$120,0)),""))</f>
        <v/>
      </c>
      <c r="I68" s="19"/>
      <c r="J68" s="15" t="str">
        <f aca="false">IF($B68="","",IFERROR(INDEX(Services!$E$2:$E$120,MATCH($B68,Services!$D$2:$D$120,0)),""))</f>
        <v/>
      </c>
    </row>
    <row r="69" customFormat="false" ht="14.25" hidden="false" customHeight="false" outlineLevel="0" collapsed="false">
      <c r="A69" s="18"/>
      <c r="B69" s="6"/>
      <c r="C69" s="6"/>
      <c r="D69" s="6"/>
      <c r="E69" s="16" t="str">
        <f aca="false">IF($B69="","",IFERROR(INDEX(Services!$C$2:$C$120,MATCH($B69,Services!$D$2:$D$120,0)),""))</f>
        <v/>
      </c>
      <c r="F69" s="19"/>
      <c r="G69" s="9" t="str">
        <f aca="false">IF(OR($B69="",NOT(ISNUMBER($E69))),"",$E69-IF($F69="",0,$F69))</f>
        <v/>
      </c>
      <c r="H69" s="15" t="str">
        <f aca="false">IF($B69="","",IFERROR(INDEX(Services!$A$2:$A$120,MATCH($B69,Services!$D$2:$D$120,0)),""))</f>
        <v/>
      </c>
      <c r="I69" s="19"/>
      <c r="J69" s="15" t="str">
        <f aca="false">IF($B69="","",IFERROR(INDEX(Services!$E$2:$E$120,MATCH($B69,Services!$D$2:$D$120,0)),""))</f>
        <v/>
      </c>
    </row>
    <row r="70" customFormat="false" ht="14.25" hidden="false" customHeight="false" outlineLevel="0" collapsed="false">
      <c r="A70" s="18"/>
      <c r="B70" s="6"/>
      <c r="C70" s="6"/>
      <c r="D70" s="6"/>
      <c r="E70" s="16" t="str">
        <f aca="false">IF($B70="","",IFERROR(INDEX(Services!$C$2:$C$120,MATCH($B70,Services!$D$2:$D$120,0)),""))</f>
        <v/>
      </c>
      <c r="F70" s="19"/>
      <c r="G70" s="9" t="str">
        <f aca="false">IF(OR($B70="",NOT(ISNUMBER($E70))),"",$E70-IF($F70="",0,$F70))</f>
        <v/>
      </c>
      <c r="H70" s="15" t="str">
        <f aca="false">IF($B70="","",IFERROR(INDEX(Services!$A$2:$A$120,MATCH($B70,Services!$D$2:$D$120,0)),""))</f>
        <v/>
      </c>
      <c r="I70" s="19"/>
      <c r="J70" s="15" t="str">
        <f aca="false">IF($B70="","",IFERROR(INDEX(Services!$E$2:$E$120,MATCH($B70,Services!$D$2:$D$120,0)),""))</f>
        <v/>
      </c>
    </row>
    <row r="71" customFormat="false" ht="14.25" hidden="false" customHeight="false" outlineLevel="0" collapsed="false">
      <c r="A71" s="18"/>
      <c r="B71" s="6"/>
      <c r="C71" s="6"/>
      <c r="D71" s="6"/>
      <c r="E71" s="16" t="str">
        <f aca="false">IF($B71="","",IFERROR(INDEX(Services!$C$2:$C$120,MATCH($B71,Services!$D$2:$D$120,0)),""))</f>
        <v/>
      </c>
      <c r="F71" s="19"/>
      <c r="G71" s="9" t="str">
        <f aca="false">IF(OR($B71="",NOT(ISNUMBER($E71))),"",$E71-IF($F71="",0,$F71))</f>
        <v/>
      </c>
      <c r="H71" s="15" t="str">
        <f aca="false">IF($B71="","",IFERROR(INDEX(Services!$A$2:$A$120,MATCH($B71,Services!$D$2:$D$120,0)),""))</f>
        <v/>
      </c>
      <c r="I71" s="19"/>
      <c r="J71" s="15" t="str">
        <f aca="false">IF($B71="","",IFERROR(INDEX(Services!$E$2:$E$120,MATCH($B71,Services!$D$2:$D$120,0)),""))</f>
        <v/>
      </c>
    </row>
    <row r="72" customFormat="false" ht="14.25" hidden="false" customHeight="false" outlineLevel="0" collapsed="false">
      <c r="A72" s="18"/>
      <c r="B72" s="6"/>
      <c r="C72" s="6"/>
      <c r="D72" s="6"/>
      <c r="E72" s="16" t="str">
        <f aca="false">IF($B72="","",IFERROR(INDEX(Services!$C$2:$C$120,MATCH($B72,Services!$D$2:$D$120,0)),""))</f>
        <v/>
      </c>
      <c r="F72" s="19"/>
      <c r="G72" s="9" t="str">
        <f aca="false">IF(OR($B72="",NOT(ISNUMBER($E72))),"",$E72-IF($F72="",0,$F72))</f>
        <v/>
      </c>
      <c r="H72" s="15" t="str">
        <f aca="false">IF($B72="","",IFERROR(INDEX(Services!$A$2:$A$120,MATCH($B72,Services!$D$2:$D$120,0)),""))</f>
        <v/>
      </c>
      <c r="I72" s="19"/>
      <c r="J72" s="15" t="str">
        <f aca="false">IF($B72="","",IFERROR(INDEX(Services!$E$2:$E$120,MATCH($B72,Services!$D$2:$D$120,0)),""))</f>
        <v/>
      </c>
    </row>
    <row r="73" customFormat="false" ht="14.25" hidden="false" customHeight="false" outlineLevel="0" collapsed="false">
      <c r="A73" s="18"/>
      <c r="B73" s="6"/>
      <c r="C73" s="6"/>
      <c r="D73" s="6"/>
      <c r="E73" s="16" t="str">
        <f aca="false">IF($B73="","",IFERROR(INDEX(Services!$C$2:$C$120,MATCH($B73,Services!$D$2:$D$120,0)),""))</f>
        <v/>
      </c>
      <c r="F73" s="19"/>
      <c r="G73" s="9" t="str">
        <f aca="false">IF(OR($B73="",NOT(ISNUMBER($E73))),"",$E73-IF($F73="",0,$F73))</f>
        <v/>
      </c>
      <c r="H73" s="15" t="str">
        <f aca="false">IF($B73="","",IFERROR(INDEX(Services!$A$2:$A$120,MATCH($B73,Services!$D$2:$D$120,0)),""))</f>
        <v/>
      </c>
      <c r="I73" s="19"/>
      <c r="J73" s="15" t="str">
        <f aca="false">IF($B73="","",IFERROR(INDEX(Services!$E$2:$E$120,MATCH($B73,Services!$D$2:$D$120,0)),""))</f>
        <v/>
      </c>
    </row>
    <row r="74" customFormat="false" ht="14.25" hidden="false" customHeight="false" outlineLevel="0" collapsed="false">
      <c r="A74" s="18"/>
      <c r="B74" s="6"/>
      <c r="C74" s="6"/>
      <c r="D74" s="6"/>
      <c r="E74" s="16" t="str">
        <f aca="false">IF($B74="","",IFERROR(INDEX(Services!$C$2:$C$120,MATCH($B74,Services!$D$2:$D$120,0)),""))</f>
        <v/>
      </c>
      <c r="F74" s="19"/>
      <c r="G74" s="9" t="str">
        <f aca="false">IF(OR($B74="",NOT(ISNUMBER($E74))),"",$E74-IF($F74="",0,$F74))</f>
        <v/>
      </c>
      <c r="H74" s="15" t="str">
        <f aca="false">IF($B74="","",IFERROR(INDEX(Services!$A$2:$A$120,MATCH($B74,Services!$D$2:$D$120,0)),""))</f>
        <v/>
      </c>
      <c r="I74" s="19"/>
      <c r="J74" s="15" t="str">
        <f aca="false">IF($B74="","",IFERROR(INDEX(Services!$E$2:$E$120,MATCH($B74,Services!$D$2:$D$120,0)),""))</f>
        <v/>
      </c>
    </row>
    <row r="75" customFormat="false" ht="14.25" hidden="false" customHeight="false" outlineLevel="0" collapsed="false">
      <c r="A75" s="18"/>
      <c r="B75" s="6"/>
      <c r="C75" s="6"/>
      <c r="D75" s="6"/>
      <c r="E75" s="16" t="str">
        <f aca="false">IF($B75="","",IFERROR(INDEX(Services!$C$2:$C$120,MATCH($B75,Services!$D$2:$D$120,0)),""))</f>
        <v/>
      </c>
      <c r="F75" s="19"/>
      <c r="G75" s="9" t="str">
        <f aca="false">IF(OR($B75="",NOT(ISNUMBER($E75))),"",$E75-IF($F75="",0,$F75))</f>
        <v/>
      </c>
      <c r="H75" s="15" t="str">
        <f aca="false">IF($B75="","",IFERROR(INDEX(Services!$A$2:$A$120,MATCH($B75,Services!$D$2:$D$120,0)),""))</f>
        <v/>
      </c>
      <c r="I75" s="19"/>
      <c r="J75" s="15" t="str">
        <f aca="false">IF($B75="","",IFERROR(INDEX(Services!$E$2:$E$120,MATCH($B75,Services!$D$2:$D$120,0)),""))</f>
        <v/>
      </c>
    </row>
    <row r="76" customFormat="false" ht="14.25" hidden="false" customHeight="false" outlineLevel="0" collapsed="false">
      <c r="A76" s="18"/>
      <c r="B76" s="6"/>
      <c r="C76" s="6"/>
      <c r="D76" s="6"/>
      <c r="E76" s="16" t="str">
        <f aca="false">IF($B76="","",IFERROR(INDEX(Services!$C$2:$C$120,MATCH($B76,Services!$D$2:$D$120,0)),""))</f>
        <v/>
      </c>
      <c r="F76" s="19"/>
      <c r="G76" s="9" t="str">
        <f aca="false">IF(OR($B76="",NOT(ISNUMBER($E76))),"",$E76-IF($F76="",0,$F76))</f>
        <v/>
      </c>
      <c r="H76" s="15" t="str">
        <f aca="false">IF($B76="","",IFERROR(INDEX(Services!$A$2:$A$120,MATCH($B76,Services!$D$2:$D$120,0)),""))</f>
        <v/>
      </c>
      <c r="I76" s="19"/>
      <c r="J76" s="15" t="str">
        <f aca="false">IF($B76="","",IFERROR(INDEX(Services!$E$2:$E$120,MATCH($B76,Services!$D$2:$D$120,0)),""))</f>
        <v/>
      </c>
    </row>
    <row r="77" customFormat="false" ht="14.25" hidden="false" customHeight="false" outlineLevel="0" collapsed="false">
      <c r="A77" s="18"/>
      <c r="B77" s="6"/>
      <c r="C77" s="6"/>
      <c r="D77" s="6"/>
      <c r="E77" s="16" t="str">
        <f aca="false">IF($B77="","",IFERROR(INDEX(Services!$C$2:$C$120,MATCH($B77,Services!$D$2:$D$120,0)),""))</f>
        <v/>
      </c>
      <c r="F77" s="19"/>
      <c r="G77" s="9" t="str">
        <f aca="false">IF(OR($B77="",NOT(ISNUMBER($E77))),"",$E77-IF($F77="",0,$F77))</f>
        <v/>
      </c>
      <c r="H77" s="15" t="str">
        <f aca="false">IF($B77="","",IFERROR(INDEX(Services!$A$2:$A$120,MATCH($B77,Services!$D$2:$D$120,0)),""))</f>
        <v/>
      </c>
      <c r="I77" s="19"/>
      <c r="J77" s="15" t="str">
        <f aca="false">IF($B77="","",IFERROR(INDEX(Services!$E$2:$E$120,MATCH($B77,Services!$D$2:$D$120,0)),""))</f>
        <v/>
      </c>
    </row>
    <row r="78" customFormat="false" ht="14.25" hidden="false" customHeight="false" outlineLevel="0" collapsed="false">
      <c r="A78" s="18"/>
      <c r="B78" s="6"/>
      <c r="C78" s="6"/>
      <c r="D78" s="6"/>
      <c r="E78" s="16" t="str">
        <f aca="false">IF($B78="","",IFERROR(INDEX(Services!$C$2:$C$120,MATCH($B78,Services!$D$2:$D$120,0)),""))</f>
        <v/>
      </c>
      <c r="F78" s="19"/>
      <c r="G78" s="9" t="str">
        <f aca="false">IF(OR($B78="",NOT(ISNUMBER($E78))),"",$E78-IF($F78="",0,$F78))</f>
        <v/>
      </c>
      <c r="H78" s="15" t="str">
        <f aca="false">IF($B78="","",IFERROR(INDEX(Services!$A$2:$A$120,MATCH($B78,Services!$D$2:$D$120,0)),""))</f>
        <v/>
      </c>
      <c r="I78" s="19"/>
      <c r="J78" s="15" t="str">
        <f aca="false">IF($B78="","",IFERROR(INDEX(Services!$E$2:$E$120,MATCH($B78,Services!$D$2:$D$120,0)),""))</f>
        <v/>
      </c>
    </row>
    <row r="79" customFormat="false" ht="14.25" hidden="false" customHeight="false" outlineLevel="0" collapsed="false">
      <c r="A79" s="18"/>
      <c r="B79" s="6"/>
      <c r="C79" s="6"/>
      <c r="D79" s="6"/>
      <c r="E79" s="16" t="str">
        <f aca="false">IF($B79="","",IFERROR(INDEX(Services!$C$2:$C$120,MATCH($B79,Services!$D$2:$D$120,0)),""))</f>
        <v/>
      </c>
      <c r="F79" s="19"/>
      <c r="G79" s="9" t="str">
        <f aca="false">IF(OR($B79="",NOT(ISNUMBER($E79))),"",$E79-IF($F79="",0,$F79))</f>
        <v/>
      </c>
      <c r="H79" s="15" t="str">
        <f aca="false">IF($B79="","",IFERROR(INDEX(Services!$A$2:$A$120,MATCH($B79,Services!$D$2:$D$120,0)),""))</f>
        <v/>
      </c>
      <c r="I79" s="19"/>
      <c r="J79" s="15" t="str">
        <f aca="false">IF($B79="","",IFERROR(INDEX(Services!$E$2:$E$120,MATCH($B79,Services!$D$2:$D$120,0)),""))</f>
        <v/>
      </c>
    </row>
    <row r="80" customFormat="false" ht="14.25" hidden="false" customHeight="false" outlineLevel="0" collapsed="false">
      <c r="A80" s="18"/>
      <c r="B80" s="6"/>
      <c r="C80" s="6"/>
      <c r="D80" s="6"/>
      <c r="E80" s="16" t="str">
        <f aca="false">IF($B80="","",IFERROR(INDEX(Services!$C$2:$C$120,MATCH($B80,Services!$D$2:$D$120,0)),""))</f>
        <v/>
      </c>
      <c r="F80" s="19"/>
      <c r="G80" s="9" t="str">
        <f aca="false">IF(OR($B80="",NOT(ISNUMBER($E80))),"",$E80-IF($F80="",0,$F80))</f>
        <v/>
      </c>
      <c r="H80" s="15" t="str">
        <f aca="false">IF($B80="","",IFERROR(INDEX(Services!$A$2:$A$120,MATCH($B80,Services!$D$2:$D$120,0)),""))</f>
        <v/>
      </c>
      <c r="I80" s="19"/>
      <c r="J80" s="15" t="str">
        <f aca="false">IF($B80="","",IFERROR(INDEX(Services!$E$2:$E$120,MATCH($B80,Services!$D$2:$D$120,0)),""))</f>
        <v/>
      </c>
    </row>
    <row r="81" customFormat="false" ht="14.25" hidden="false" customHeight="false" outlineLevel="0" collapsed="false">
      <c r="A81" s="18"/>
      <c r="B81" s="6"/>
      <c r="C81" s="6"/>
      <c r="D81" s="6"/>
      <c r="E81" s="16" t="str">
        <f aca="false">IF($B81="","",IFERROR(INDEX(Services!$C$2:$C$120,MATCH($B81,Services!$D$2:$D$120,0)),""))</f>
        <v/>
      </c>
      <c r="F81" s="19"/>
      <c r="G81" s="9" t="str">
        <f aca="false">IF(OR($B81="",NOT(ISNUMBER($E81))),"",$E81-IF($F81="",0,$F81))</f>
        <v/>
      </c>
      <c r="H81" s="15" t="str">
        <f aca="false">IF($B81="","",IFERROR(INDEX(Services!$A$2:$A$120,MATCH($B81,Services!$D$2:$D$120,0)),""))</f>
        <v/>
      </c>
      <c r="I81" s="19"/>
      <c r="J81" s="15" t="str">
        <f aca="false">IF($B81="","",IFERROR(INDEX(Services!$E$2:$E$120,MATCH($B81,Services!$D$2:$D$120,0)),""))</f>
        <v/>
      </c>
    </row>
    <row r="82" customFormat="false" ht="14.25" hidden="false" customHeight="false" outlineLevel="0" collapsed="false">
      <c r="A82" s="18"/>
      <c r="B82" s="6"/>
      <c r="C82" s="6"/>
      <c r="D82" s="6"/>
      <c r="E82" s="16" t="str">
        <f aca="false">IF($B82="","",IFERROR(INDEX(Services!$C$2:$C$120,MATCH($B82,Services!$D$2:$D$120,0)),""))</f>
        <v/>
      </c>
      <c r="F82" s="19"/>
      <c r="G82" s="9" t="str">
        <f aca="false">IF(OR($B82="",NOT(ISNUMBER($E82))),"",$E82-IF($F82="",0,$F82))</f>
        <v/>
      </c>
      <c r="H82" s="15" t="str">
        <f aca="false">IF($B82="","",IFERROR(INDEX(Services!$A$2:$A$120,MATCH($B82,Services!$D$2:$D$120,0)),""))</f>
        <v/>
      </c>
      <c r="I82" s="19"/>
      <c r="J82" s="15" t="str">
        <f aca="false">IF($B82="","",IFERROR(INDEX(Services!$E$2:$E$120,MATCH($B82,Services!$D$2:$D$120,0)),""))</f>
        <v/>
      </c>
    </row>
    <row r="83" customFormat="false" ht="14.25" hidden="false" customHeight="false" outlineLevel="0" collapsed="false">
      <c r="A83" s="18"/>
      <c r="B83" s="6"/>
      <c r="C83" s="6"/>
      <c r="D83" s="6"/>
      <c r="E83" s="16" t="str">
        <f aca="false">IF($B83="","",IFERROR(INDEX(Services!$C$2:$C$120,MATCH($B83,Services!$D$2:$D$120,0)),""))</f>
        <v/>
      </c>
      <c r="F83" s="19"/>
      <c r="G83" s="9" t="str">
        <f aca="false">IF(OR($B83="",NOT(ISNUMBER($E83))),"",$E83-IF($F83="",0,$F83))</f>
        <v/>
      </c>
      <c r="H83" s="15" t="str">
        <f aca="false">IF($B83="","",IFERROR(INDEX(Services!$A$2:$A$120,MATCH($B83,Services!$D$2:$D$120,0)),""))</f>
        <v/>
      </c>
      <c r="I83" s="19"/>
      <c r="J83" s="15" t="str">
        <f aca="false">IF($B83="","",IFERROR(INDEX(Services!$E$2:$E$120,MATCH($B83,Services!$D$2:$D$120,0)),""))</f>
        <v/>
      </c>
    </row>
    <row r="84" customFormat="false" ht="14.25" hidden="false" customHeight="false" outlineLevel="0" collapsed="false">
      <c r="A84" s="18"/>
      <c r="B84" s="6"/>
      <c r="C84" s="6"/>
      <c r="D84" s="6"/>
      <c r="E84" s="16" t="str">
        <f aca="false">IF($B84="","",IFERROR(INDEX(Services!$C$2:$C$120,MATCH($B84,Services!$D$2:$D$120,0)),""))</f>
        <v/>
      </c>
      <c r="F84" s="19"/>
      <c r="G84" s="9" t="str">
        <f aca="false">IF(OR($B84="",NOT(ISNUMBER($E84))),"",$E84-IF($F84="",0,$F84))</f>
        <v/>
      </c>
      <c r="H84" s="15" t="str">
        <f aca="false">IF($B84="","",IFERROR(INDEX(Services!$A$2:$A$120,MATCH($B84,Services!$D$2:$D$120,0)),""))</f>
        <v/>
      </c>
      <c r="I84" s="19"/>
      <c r="J84" s="15" t="str">
        <f aca="false">IF($B84="","",IFERROR(INDEX(Services!$E$2:$E$120,MATCH($B84,Services!$D$2:$D$120,0)),""))</f>
        <v/>
      </c>
    </row>
    <row r="85" customFormat="false" ht="14.25" hidden="false" customHeight="false" outlineLevel="0" collapsed="false">
      <c r="A85" s="18"/>
      <c r="B85" s="6"/>
      <c r="C85" s="6"/>
      <c r="D85" s="6"/>
      <c r="E85" s="16" t="str">
        <f aca="false">IF($B85="","",IFERROR(INDEX(Services!$C$2:$C$120,MATCH($B85,Services!$D$2:$D$120,0)),""))</f>
        <v/>
      </c>
      <c r="F85" s="19"/>
      <c r="G85" s="9" t="str">
        <f aca="false">IF(OR($B85="",NOT(ISNUMBER($E85))),"",$E85-IF($F85="",0,$F85))</f>
        <v/>
      </c>
      <c r="H85" s="15" t="str">
        <f aca="false">IF($B85="","",IFERROR(INDEX(Services!$A$2:$A$120,MATCH($B85,Services!$D$2:$D$120,0)),""))</f>
        <v/>
      </c>
      <c r="I85" s="19"/>
      <c r="J85" s="15" t="str">
        <f aca="false">IF($B85="","",IFERROR(INDEX(Services!$E$2:$E$120,MATCH($B85,Services!$D$2:$D$120,0)),""))</f>
        <v/>
      </c>
    </row>
    <row r="86" customFormat="false" ht="14.25" hidden="false" customHeight="false" outlineLevel="0" collapsed="false">
      <c r="A86" s="18"/>
      <c r="B86" s="6"/>
      <c r="C86" s="6"/>
      <c r="D86" s="6"/>
      <c r="E86" s="16" t="str">
        <f aca="false">IF($B86="","",IFERROR(INDEX(Services!$C$2:$C$120,MATCH($B86,Services!$D$2:$D$120,0)),""))</f>
        <v/>
      </c>
      <c r="F86" s="19"/>
      <c r="G86" s="9" t="str">
        <f aca="false">IF(OR($B86="",NOT(ISNUMBER($E86))),"",$E86-IF($F86="",0,$F86))</f>
        <v/>
      </c>
      <c r="H86" s="15" t="str">
        <f aca="false">IF($B86="","",IFERROR(INDEX(Services!$A$2:$A$120,MATCH($B86,Services!$D$2:$D$120,0)),""))</f>
        <v/>
      </c>
      <c r="I86" s="19"/>
      <c r="J86" s="15" t="str">
        <f aca="false">IF($B86="","",IFERROR(INDEX(Services!$E$2:$E$120,MATCH($B86,Services!$D$2:$D$120,0)),""))</f>
        <v/>
      </c>
    </row>
    <row r="87" customFormat="false" ht="14.25" hidden="false" customHeight="false" outlineLevel="0" collapsed="false">
      <c r="A87" s="18"/>
      <c r="B87" s="6"/>
      <c r="C87" s="6"/>
      <c r="D87" s="6"/>
      <c r="E87" s="16" t="str">
        <f aca="false">IF($B87="","",IFERROR(INDEX(Services!$C$2:$C$120,MATCH($B87,Services!$D$2:$D$120,0)),""))</f>
        <v/>
      </c>
      <c r="F87" s="19"/>
      <c r="G87" s="9" t="str">
        <f aca="false">IF(OR($B87="",NOT(ISNUMBER($E87))),"",$E87-IF($F87="",0,$F87))</f>
        <v/>
      </c>
      <c r="H87" s="15" t="str">
        <f aca="false">IF($B87="","",IFERROR(INDEX(Services!$A$2:$A$120,MATCH($B87,Services!$D$2:$D$120,0)),""))</f>
        <v/>
      </c>
      <c r="I87" s="19"/>
      <c r="J87" s="15" t="str">
        <f aca="false">IF($B87="","",IFERROR(INDEX(Services!$E$2:$E$120,MATCH($B87,Services!$D$2:$D$120,0)),""))</f>
        <v/>
      </c>
    </row>
    <row r="88" customFormat="false" ht="14.25" hidden="false" customHeight="false" outlineLevel="0" collapsed="false">
      <c r="A88" s="18"/>
      <c r="B88" s="6"/>
      <c r="C88" s="6"/>
      <c r="D88" s="6"/>
      <c r="E88" s="16" t="str">
        <f aca="false">IF($B88="","",IFERROR(INDEX(Services!$C$2:$C$120,MATCH($B88,Services!$D$2:$D$120,0)),""))</f>
        <v/>
      </c>
      <c r="F88" s="19"/>
      <c r="G88" s="9" t="str">
        <f aca="false">IF(OR($B88="",NOT(ISNUMBER($E88))),"",$E88-IF($F88="",0,$F88))</f>
        <v/>
      </c>
      <c r="H88" s="15" t="str">
        <f aca="false">IF($B88="","",IFERROR(INDEX(Services!$A$2:$A$120,MATCH($B88,Services!$D$2:$D$120,0)),""))</f>
        <v/>
      </c>
      <c r="I88" s="19"/>
      <c r="J88" s="15" t="str">
        <f aca="false">IF($B88="","",IFERROR(INDEX(Services!$E$2:$E$120,MATCH($B88,Services!$D$2:$D$120,0)),""))</f>
        <v/>
      </c>
    </row>
    <row r="89" customFormat="false" ht="14.25" hidden="false" customHeight="false" outlineLevel="0" collapsed="false">
      <c r="A89" s="18"/>
      <c r="B89" s="6"/>
      <c r="C89" s="6"/>
      <c r="D89" s="6"/>
      <c r="E89" s="16" t="str">
        <f aca="false">IF($B89="","",IFERROR(INDEX(Services!$C$2:$C$120,MATCH($B89,Services!$D$2:$D$120,0)),""))</f>
        <v/>
      </c>
      <c r="F89" s="19"/>
      <c r="G89" s="9" t="str">
        <f aca="false">IF(OR($B89="",NOT(ISNUMBER($E89))),"",$E89-IF($F89="",0,$F89))</f>
        <v/>
      </c>
      <c r="H89" s="15" t="str">
        <f aca="false">IF($B89="","",IFERROR(INDEX(Services!$A$2:$A$120,MATCH($B89,Services!$D$2:$D$120,0)),""))</f>
        <v/>
      </c>
      <c r="I89" s="19"/>
      <c r="J89" s="15" t="str">
        <f aca="false">IF($B89="","",IFERROR(INDEX(Services!$E$2:$E$120,MATCH($B89,Services!$D$2:$D$120,0)),""))</f>
        <v/>
      </c>
    </row>
    <row r="90" customFormat="false" ht="14.25" hidden="false" customHeight="false" outlineLevel="0" collapsed="false">
      <c r="A90" s="18"/>
      <c r="B90" s="6"/>
      <c r="C90" s="6"/>
      <c r="D90" s="6"/>
      <c r="E90" s="16" t="str">
        <f aca="false">IF($B90="","",IFERROR(INDEX(Services!$C$2:$C$120,MATCH($B90,Services!$D$2:$D$120,0)),""))</f>
        <v/>
      </c>
      <c r="F90" s="19"/>
      <c r="G90" s="9" t="str">
        <f aca="false">IF(OR($B90="",NOT(ISNUMBER($E90))),"",$E90-IF($F90="",0,$F90))</f>
        <v/>
      </c>
      <c r="H90" s="15" t="str">
        <f aca="false">IF($B90="","",IFERROR(INDEX(Services!$A$2:$A$120,MATCH($B90,Services!$D$2:$D$120,0)),""))</f>
        <v/>
      </c>
      <c r="I90" s="19"/>
      <c r="J90" s="15" t="str">
        <f aca="false">IF($B90="","",IFERROR(INDEX(Services!$E$2:$E$120,MATCH($B90,Services!$D$2:$D$120,0)),""))</f>
        <v/>
      </c>
    </row>
    <row r="91" customFormat="false" ht="14.25" hidden="false" customHeight="false" outlineLevel="0" collapsed="false">
      <c r="A91" s="18"/>
      <c r="B91" s="6"/>
      <c r="C91" s="6"/>
      <c r="D91" s="6"/>
      <c r="E91" s="16" t="str">
        <f aca="false">IF($B91="","",IFERROR(INDEX(Services!$C$2:$C$120,MATCH($B91,Services!$D$2:$D$120,0)),""))</f>
        <v/>
      </c>
      <c r="F91" s="19"/>
      <c r="G91" s="9" t="str">
        <f aca="false">IF(OR($B91="",NOT(ISNUMBER($E91))),"",$E91-IF($F91="",0,$F91))</f>
        <v/>
      </c>
      <c r="H91" s="15" t="str">
        <f aca="false">IF($B91="","",IFERROR(INDEX(Services!$A$2:$A$120,MATCH($B91,Services!$D$2:$D$120,0)),""))</f>
        <v/>
      </c>
      <c r="I91" s="19"/>
      <c r="J91" s="15" t="str">
        <f aca="false">IF($B91="","",IFERROR(INDEX(Services!$E$2:$E$120,MATCH($B91,Services!$D$2:$D$120,0)),""))</f>
        <v/>
      </c>
    </row>
    <row r="92" customFormat="false" ht="14.25" hidden="false" customHeight="false" outlineLevel="0" collapsed="false">
      <c r="A92" s="18"/>
      <c r="B92" s="6"/>
      <c r="C92" s="6"/>
      <c r="D92" s="6"/>
      <c r="E92" s="16" t="str">
        <f aca="false">IF($B92="","",IFERROR(INDEX(Services!$C$2:$C$120,MATCH($B92,Services!$D$2:$D$120,0)),""))</f>
        <v/>
      </c>
      <c r="F92" s="19"/>
      <c r="G92" s="9" t="str">
        <f aca="false">IF(OR($B92="",NOT(ISNUMBER($E92))),"",$E92-IF($F92="",0,$F92))</f>
        <v/>
      </c>
      <c r="H92" s="15" t="str">
        <f aca="false">IF($B92="","",IFERROR(INDEX(Services!$A$2:$A$120,MATCH($B92,Services!$D$2:$D$120,0)),""))</f>
        <v/>
      </c>
      <c r="I92" s="19"/>
      <c r="J92" s="15" t="str">
        <f aca="false">IF($B92="","",IFERROR(INDEX(Services!$E$2:$E$120,MATCH($B92,Services!$D$2:$D$120,0)),""))</f>
        <v/>
      </c>
    </row>
    <row r="93" customFormat="false" ht="14.25" hidden="false" customHeight="false" outlineLevel="0" collapsed="false">
      <c r="A93" s="18"/>
      <c r="B93" s="6"/>
      <c r="C93" s="6"/>
      <c r="D93" s="6"/>
      <c r="E93" s="16" t="str">
        <f aca="false">IF($B93="","",IFERROR(INDEX(Services!$C$2:$C$120,MATCH($B93,Services!$D$2:$D$120,0)),""))</f>
        <v/>
      </c>
      <c r="F93" s="19"/>
      <c r="G93" s="9" t="str">
        <f aca="false">IF(OR($B93="",NOT(ISNUMBER($E93))),"",$E93-IF($F93="",0,$F93))</f>
        <v/>
      </c>
      <c r="H93" s="15" t="str">
        <f aca="false">IF($B93="","",IFERROR(INDEX(Services!$A$2:$A$120,MATCH($B93,Services!$D$2:$D$120,0)),""))</f>
        <v/>
      </c>
      <c r="I93" s="19"/>
      <c r="J93" s="15" t="str">
        <f aca="false">IF($B93="","",IFERROR(INDEX(Services!$E$2:$E$120,MATCH($B93,Services!$D$2:$D$120,0)),""))</f>
        <v/>
      </c>
    </row>
    <row r="94" customFormat="false" ht="14.25" hidden="false" customHeight="false" outlineLevel="0" collapsed="false">
      <c r="A94" s="18"/>
      <c r="B94" s="6"/>
      <c r="C94" s="6"/>
      <c r="D94" s="6"/>
      <c r="E94" s="16" t="str">
        <f aca="false">IF($B94="","",IFERROR(INDEX(Services!$C$2:$C$120,MATCH($B94,Services!$D$2:$D$120,0)),""))</f>
        <v/>
      </c>
      <c r="F94" s="19"/>
      <c r="G94" s="9" t="str">
        <f aca="false">IF(OR($B94="",NOT(ISNUMBER($E94))),"",$E94-IF($F94="",0,$F94))</f>
        <v/>
      </c>
      <c r="H94" s="15" t="str">
        <f aca="false">IF($B94="","",IFERROR(INDEX(Services!$A$2:$A$120,MATCH($B94,Services!$D$2:$D$120,0)),""))</f>
        <v/>
      </c>
      <c r="I94" s="19"/>
      <c r="J94" s="15" t="str">
        <f aca="false">IF($B94="","",IFERROR(INDEX(Services!$E$2:$E$120,MATCH($B94,Services!$D$2:$D$120,0)),""))</f>
        <v/>
      </c>
    </row>
    <row r="95" customFormat="false" ht="14.25" hidden="false" customHeight="false" outlineLevel="0" collapsed="false">
      <c r="A95" s="18"/>
      <c r="B95" s="6"/>
      <c r="C95" s="6"/>
      <c r="D95" s="6"/>
      <c r="E95" s="16" t="str">
        <f aca="false">IF($B95="","",IFERROR(INDEX(Services!$C$2:$C$120,MATCH($B95,Services!$D$2:$D$120,0)),""))</f>
        <v/>
      </c>
      <c r="F95" s="19"/>
      <c r="G95" s="9" t="str">
        <f aca="false">IF(OR($B95="",NOT(ISNUMBER($E95))),"",$E95-IF($F95="",0,$F95))</f>
        <v/>
      </c>
      <c r="H95" s="15" t="str">
        <f aca="false">IF($B95="","",IFERROR(INDEX(Services!$A$2:$A$120,MATCH($B95,Services!$D$2:$D$120,0)),""))</f>
        <v/>
      </c>
      <c r="I95" s="19"/>
      <c r="J95" s="15" t="str">
        <f aca="false">IF($B95="","",IFERROR(INDEX(Services!$E$2:$E$120,MATCH($B95,Services!$D$2:$D$120,0)),""))</f>
        <v/>
      </c>
    </row>
    <row r="96" customFormat="false" ht="14.25" hidden="false" customHeight="false" outlineLevel="0" collapsed="false">
      <c r="A96" s="18"/>
      <c r="B96" s="6"/>
      <c r="C96" s="6"/>
      <c r="D96" s="6"/>
      <c r="E96" s="16" t="str">
        <f aca="false">IF($B96="","",IFERROR(INDEX(Services!$C$2:$C$120,MATCH($B96,Services!$D$2:$D$120,0)),""))</f>
        <v/>
      </c>
      <c r="F96" s="19"/>
      <c r="G96" s="9" t="str">
        <f aca="false">IF(OR($B96="",NOT(ISNUMBER($E96))),"",$E96-IF($F96="",0,$F96))</f>
        <v/>
      </c>
      <c r="H96" s="15" t="str">
        <f aca="false">IF($B96="","",IFERROR(INDEX(Services!$A$2:$A$120,MATCH($B96,Services!$D$2:$D$120,0)),""))</f>
        <v/>
      </c>
      <c r="I96" s="19"/>
      <c r="J96" s="15" t="str">
        <f aca="false">IF($B96="","",IFERROR(INDEX(Services!$E$2:$E$120,MATCH($B96,Services!$D$2:$D$120,0)),""))</f>
        <v/>
      </c>
    </row>
    <row r="97" customFormat="false" ht="14.25" hidden="false" customHeight="false" outlineLevel="0" collapsed="false">
      <c r="A97" s="18"/>
      <c r="B97" s="6"/>
      <c r="C97" s="6"/>
      <c r="D97" s="6"/>
      <c r="E97" s="16" t="str">
        <f aca="false">IF($B97="","",IFERROR(INDEX(Services!$C$2:$C$120,MATCH($B97,Services!$D$2:$D$120,0)),""))</f>
        <v/>
      </c>
      <c r="F97" s="19"/>
      <c r="G97" s="9" t="str">
        <f aca="false">IF(OR($B97="",NOT(ISNUMBER($E97))),"",$E97-IF($F97="",0,$F97))</f>
        <v/>
      </c>
      <c r="H97" s="15" t="str">
        <f aca="false">IF($B97="","",IFERROR(INDEX(Services!$A$2:$A$120,MATCH($B97,Services!$D$2:$D$120,0)),""))</f>
        <v/>
      </c>
      <c r="I97" s="19"/>
      <c r="J97" s="15" t="str">
        <f aca="false">IF($B97="","",IFERROR(INDEX(Services!$E$2:$E$120,MATCH($B97,Services!$D$2:$D$120,0)),""))</f>
        <v/>
      </c>
    </row>
    <row r="98" customFormat="false" ht="14.25" hidden="false" customHeight="false" outlineLevel="0" collapsed="false">
      <c r="A98" s="18"/>
      <c r="B98" s="6"/>
      <c r="C98" s="6"/>
      <c r="D98" s="6"/>
      <c r="E98" s="16" t="str">
        <f aca="false">IF($B98="","",IFERROR(INDEX(Services!$C$2:$C$120,MATCH($B98,Services!$D$2:$D$120,0)),""))</f>
        <v/>
      </c>
      <c r="F98" s="19"/>
      <c r="G98" s="9" t="str">
        <f aca="false">IF(OR($B98="",NOT(ISNUMBER($E98))),"",$E98-IF($F98="",0,$F98))</f>
        <v/>
      </c>
      <c r="H98" s="15" t="str">
        <f aca="false">IF($B98="","",IFERROR(INDEX(Services!$A$2:$A$120,MATCH($B98,Services!$D$2:$D$120,0)),""))</f>
        <v/>
      </c>
      <c r="I98" s="19"/>
      <c r="J98" s="15" t="str">
        <f aca="false">IF($B98="","",IFERROR(INDEX(Services!$E$2:$E$120,MATCH($B98,Services!$D$2:$D$120,0)),""))</f>
        <v/>
      </c>
    </row>
    <row r="99" customFormat="false" ht="14.25" hidden="false" customHeight="false" outlineLevel="0" collapsed="false">
      <c r="A99" s="18"/>
      <c r="B99" s="6"/>
      <c r="C99" s="6"/>
      <c r="D99" s="6"/>
      <c r="E99" s="16" t="str">
        <f aca="false">IF($B99="","",IFERROR(INDEX(Services!$C$2:$C$120,MATCH($B99,Services!$D$2:$D$120,0)),""))</f>
        <v/>
      </c>
      <c r="F99" s="19"/>
      <c r="G99" s="9" t="str">
        <f aca="false">IF(OR($B99="",NOT(ISNUMBER($E99))),"",$E99-IF($F99="",0,$F99))</f>
        <v/>
      </c>
      <c r="H99" s="15" t="str">
        <f aca="false">IF($B99="","",IFERROR(INDEX(Services!$A$2:$A$120,MATCH($B99,Services!$D$2:$D$120,0)),""))</f>
        <v/>
      </c>
      <c r="I99" s="19"/>
      <c r="J99" s="15" t="str">
        <f aca="false">IF($B99="","",IFERROR(INDEX(Services!$E$2:$E$120,MATCH($B99,Services!$D$2:$D$120,0)),""))</f>
        <v/>
      </c>
    </row>
    <row r="100" customFormat="false" ht="14.25" hidden="false" customHeight="false" outlineLevel="0" collapsed="false">
      <c r="A100" s="18"/>
      <c r="B100" s="6"/>
      <c r="C100" s="6"/>
      <c r="D100" s="6"/>
      <c r="E100" s="16" t="str">
        <f aca="false">IF($B100="","",IFERROR(INDEX(Services!$C$2:$C$120,MATCH($B100,Services!$D$2:$D$120,0)),""))</f>
        <v/>
      </c>
      <c r="F100" s="19"/>
      <c r="G100" s="9" t="str">
        <f aca="false">IF(OR($B100="",NOT(ISNUMBER($E100))),"",$E100-IF($F100="",0,$F100))</f>
        <v/>
      </c>
      <c r="H100" s="15" t="str">
        <f aca="false">IF($B100="","",IFERROR(INDEX(Services!$A$2:$A$120,MATCH($B100,Services!$D$2:$D$120,0)),""))</f>
        <v/>
      </c>
      <c r="I100" s="19"/>
      <c r="J100" s="15" t="str">
        <f aca="false">IF($B100="","",IFERROR(INDEX(Services!$E$2:$E$120,MATCH($B100,Services!$D$2:$D$120,0)),""))</f>
        <v/>
      </c>
    </row>
    <row r="101" customFormat="false" ht="14.25" hidden="false" customHeight="false" outlineLevel="0" collapsed="false">
      <c r="A101" s="18"/>
      <c r="B101" s="6"/>
      <c r="C101" s="6"/>
      <c r="D101" s="6"/>
      <c r="E101" s="16" t="str">
        <f aca="false">IF($B101="","",IFERROR(INDEX(Services!$C$2:$C$120,MATCH($B101,Services!$D$2:$D$120,0)),""))</f>
        <v/>
      </c>
      <c r="F101" s="19"/>
      <c r="G101" s="9" t="str">
        <f aca="false">IF(OR($B101="",NOT(ISNUMBER($E101))),"",$E101-IF($F101="",0,$F101))</f>
        <v/>
      </c>
      <c r="H101" s="15" t="str">
        <f aca="false">IF($B101="","",IFERROR(INDEX(Services!$A$2:$A$120,MATCH($B101,Services!$D$2:$D$120,0)),""))</f>
        <v/>
      </c>
      <c r="I101" s="19"/>
      <c r="J101" s="15" t="str">
        <f aca="false">IF($B101="","",IFERROR(INDEX(Services!$E$2:$E$120,MATCH($B101,Services!$D$2:$D$120,0)),""))</f>
        <v/>
      </c>
    </row>
    <row r="102" customFormat="false" ht="14.25" hidden="false" customHeight="false" outlineLevel="0" collapsed="false">
      <c r="A102" s="18"/>
      <c r="B102" s="6"/>
      <c r="C102" s="6"/>
      <c r="D102" s="6"/>
      <c r="E102" s="16" t="str">
        <f aca="false">IF($B102="","",IFERROR(INDEX(Services!$C$2:$C$120,MATCH($B102,Services!$D$2:$D$120,0)),""))</f>
        <v/>
      </c>
      <c r="F102" s="19"/>
      <c r="G102" s="9" t="str">
        <f aca="false">IF(OR($B102="",NOT(ISNUMBER($E102))),"",$E102-IF($F102="",0,$F102))</f>
        <v/>
      </c>
      <c r="H102" s="15" t="str">
        <f aca="false">IF($B102="","",IFERROR(INDEX(Services!$A$2:$A$120,MATCH($B102,Services!$D$2:$D$120,0)),""))</f>
        <v/>
      </c>
      <c r="I102" s="19"/>
      <c r="J102" s="15" t="str">
        <f aca="false">IF($B102="","",IFERROR(INDEX(Services!$E$2:$E$120,MATCH($B102,Services!$D$2:$D$120,0)),""))</f>
        <v/>
      </c>
    </row>
    <row r="103" customFormat="false" ht="14.25" hidden="false" customHeight="false" outlineLevel="0" collapsed="false">
      <c r="A103" s="18"/>
      <c r="B103" s="6"/>
      <c r="C103" s="6"/>
      <c r="D103" s="6"/>
      <c r="E103" s="16" t="str">
        <f aca="false">IF($B103="","",IFERROR(INDEX(Services!$C$2:$C$120,MATCH($B103,Services!$D$2:$D$120,0)),""))</f>
        <v/>
      </c>
      <c r="F103" s="19"/>
      <c r="G103" s="9" t="str">
        <f aca="false">IF(OR($B103="",NOT(ISNUMBER($E103))),"",$E103-IF($F103="",0,$F103))</f>
        <v/>
      </c>
      <c r="H103" s="15" t="str">
        <f aca="false">IF($B103="","",IFERROR(INDEX(Services!$A$2:$A$120,MATCH($B103,Services!$D$2:$D$120,0)),""))</f>
        <v/>
      </c>
      <c r="I103" s="19"/>
      <c r="J103" s="15" t="str">
        <f aca="false">IF($B103="","",IFERROR(INDEX(Services!$E$2:$E$120,MATCH($B103,Services!$D$2:$D$120,0)),""))</f>
        <v/>
      </c>
    </row>
    <row r="104" customFormat="false" ht="14.25" hidden="false" customHeight="false" outlineLevel="0" collapsed="false">
      <c r="A104" s="18"/>
      <c r="B104" s="6"/>
      <c r="C104" s="6"/>
      <c r="D104" s="6"/>
      <c r="E104" s="16" t="str">
        <f aca="false">IF($B104="","",IFERROR(INDEX(Services!$C$2:$C$120,MATCH($B104,Services!$D$2:$D$120,0)),""))</f>
        <v/>
      </c>
      <c r="F104" s="19"/>
      <c r="G104" s="9" t="str">
        <f aca="false">IF(OR($B104="",NOT(ISNUMBER($E104))),"",$E104-IF($F104="",0,$F104))</f>
        <v/>
      </c>
      <c r="H104" s="15" t="str">
        <f aca="false">IF($B104="","",IFERROR(INDEX(Services!$A$2:$A$120,MATCH($B104,Services!$D$2:$D$120,0)),""))</f>
        <v/>
      </c>
      <c r="I104" s="19"/>
      <c r="J104" s="15" t="str">
        <f aca="false">IF($B104="","",IFERROR(INDEX(Services!$E$2:$E$120,MATCH($B104,Services!$D$2:$D$120,0)),""))</f>
        <v/>
      </c>
    </row>
    <row r="105" customFormat="false" ht="14.25" hidden="false" customHeight="false" outlineLevel="0" collapsed="false">
      <c r="A105" s="18"/>
      <c r="B105" s="6"/>
      <c r="C105" s="6"/>
      <c r="D105" s="6"/>
      <c r="E105" s="16" t="str">
        <f aca="false">IF($B105="","",IFERROR(INDEX(Services!$C$2:$C$120,MATCH($B105,Services!$D$2:$D$120,0)),""))</f>
        <v/>
      </c>
      <c r="F105" s="19"/>
      <c r="G105" s="9" t="str">
        <f aca="false">IF(OR($B105="",NOT(ISNUMBER($E105))),"",$E105-IF($F105="",0,$F105))</f>
        <v/>
      </c>
      <c r="H105" s="15" t="str">
        <f aca="false">IF($B105="","",IFERROR(INDEX(Services!$A$2:$A$120,MATCH($B105,Services!$D$2:$D$120,0)),""))</f>
        <v/>
      </c>
      <c r="I105" s="19"/>
      <c r="J105" s="15" t="str">
        <f aca="false">IF($B105="","",IFERROR(INDEX(Services!$E$2:$E$120,MATCH($B105,Services!$D$2:$D$120,0)),""))</f>
        <v/>
      </c>
    </row>
    <row r="106" customFormat="false" ht="14.25" hidden="false" customHeight="false" outlineLevel="0" collapsed="false">
      <c r="A106" s="18"/>
      <c r="B106" s="6"/>
      <c r="C106" s="6"/>
      <c r="D106" s="6"/>
      <c r="E106" s="16" t="str">
        <f aca="false">IF($B106="","",IFERROR(INDEX(Services!$C$2:$C$120,MATCH($B106,Services!$D$2:$D$120,0)),""))</f>
        <v/>
      </c>
      <c r="F106" s="19"/>
      <c r="G106" s="9" t="str">
        <f aca="false">IF(OR($B106="",NOT(ISNUMBER($E106))),"",$E106-IF($F106="",0,$F106))</f>
        <v/>
      </c>
      <c r="H106" s="15" t="str">
        <f aca="false">IF($B106="","",IFERROR(INDEX(Services!$A$2:$A$120,MATCH($B106,Services!$D$2:$D$120,0)),""))</f>
        <v/>
      </c>
      <c r="I106" s="19"/>
      <c r="J106" s="15" t="str">
        <f aca="false">IF($B106="","",IFERROR(INDEX(Services!$E$2:$E$120,MATCH($B106,Services!$D$2:$D$120,0)),""))</f>
        <v/>
      </c>
    </row>
    <row r="107" customFormat="false" ht="14.25" hidden="false" customHeight="false" outlineLevel="0" collapsed="false">
      <c r="A107" s="18"/>
      <c r="B107" s="6"/>
      <c r="C107" s="6"/>
      <c r="D107" s="6"/>
      <c r="E107" s="16" t="str">
        <f aca="false">IF($B107="","",IFERROR(INDEX(Services!$C$2:$C$120,MATCH($B107,Services!$D$2:$D$120,0)),""))</f>
        <v/>
      </c>
      <c r="F107" s="19"/>
      <c r="G107" s="9" t="str">
        <f aca="false">IF(OR($B107="",NOT(ISNUMBER($E107))),"",$E107-IF($F107="",0,$F107))</f>
        <v/>
      </c>
      <c r="H107" s="15" t="str">
        <f aca="false">IF($B107="","",IFERROR(INDEX(Services!$A$2:$A$120,MATCH($B107,Services!$D$2:$D$120,0)),""))</f>
        <v/>
      </c>
      <c r="I107" s="19"/>
      <c r="J107" s="15" t="str">
        <f aca="false">IF($B107="","",IFERROR(INDEX(Services!$E$2:$E$120,MATCH($B107,Services!$D$2:$D$120,0)),""))</f>
        <v/>
      </c>
    </row>
    <row r="108" customFormat="false" ht="14.25" hidden="false" customHeight="false" outlineLevel="0" collapsed="false">
      <c r="A108" s="18"/>
      <c r="B108" s="6"/>
      <c r="C108" s="6"/>
      <c r="D108" s="6"/>
      <c r="E108" s="16" t="str">
        <f aca="false">IF($B108="","",IFERROR(INDEX(Services!$C$2:$C$120,MATCH($B108,Services!$D$2:$D$120,0)),""))</f>
        <v/>
      </c>
      <c r="F108" s="19"/>
      <c r="G108" s="9" t="str">
        <f aca="false">IF(OR($B108="",NOT(ISNUMBER($E108))),"",$E108-IF($F108="",0,$F108))</f>
        <v/>
      </c>
      <c r="H108" s="15" t="str">
        <f aca="false">IF($B108="","",IFERROR(INDEX(Services!$A$2:$A$120,MATCH($B108,Services!$D$2:$D$120,0)),""))</f>
        <v/>
      </c>
      <c r="I108" s="19"/>
      <c r="J108" s="15" t="str">
        <f aca="false">IF($B108="","",IFERROR(INDEX(Services!$E$2:$E$120,MATCH($B108,Services!$D$2:$D$120,0)),""))</f>
        <v/>
      </c>
    </row>
    <row r="109" customFormat="false" ht="14.25" hidden="false" customHeight="false" outlineLevel="0" collapsed="false">
      <c r="A109" s="18"/>
      <c r="B109" s="6"/>
      <c r="C109" s="6"/>
      <c r="D109" s="6"/>
      <c r="E109" s="16" t="str">
        <f aca="false">IF($B109="","",IFERROR(INDEX(Services!$C$2:$C$120,MATCH($B109,Services!$D$2:$D$120,0)),""))</f>
        <v/>
      </c>
      <c r="F109" s="19"/>
      <c r="G109" s="9" t="str">
        <f aca="false">IF(OR($B109="",NOT(ISNUMBER($E109))),"",$E109-IF($F109="",0,$F109))</f>
        <v/>
      </c>
      <c r="H109" s="15" t="str">
        <f aca="false">IF($B109="","",IFERROR(INDEX(Services!$A$2:$A$120,MATCH($B109,Services!$D$2:$D$120,0)),""))</f>
        <v/>
      </c>
      <c r="I109" s="19"/>
      <c r="J109" s="15" t="str">
        <f aca="false">IF($B109="","",IFERROR(INDEX(Services!$E$2:$E$120,MATCH($B109,Services!$D$2:$D$120,0)),""))</f>
        <v/>
      </c>
    </row>
    <row r="110" customFormat="false" ht="14.25" hidden="false" customHeight="false" outlineLevel="0" collapsed="false">
      <c r="A110" s="18"/>
      <c r="B110" s="6"/>
      <c r="C110" s="6"/>
      <c r="D110" s="6"/>
      <c r="E110" s="16" t="str">
        <f aca="false">IF($B110="","",IFERROR(INDEX(Services!$C$2:$C$120,MATCH($B110,Services!$D$2:$D$120,0)),""))</f>
        <v/>
      </c>
      <c r="F110" s="19"/>
      <c r="G110" s="9" t="str">
        <f aca="false">IF(OR($B110="",NOT(ISNUMBER($E110))),"",$E110-IF($F110="",0,$F110))</f>
        <v/>
      </c>
      <c r="H110" s="15" t="str">
        <f aca="false">IF($B110="","",IFERROR(INDEX(Services!$A$2:$A$120,MATCH($B110,Services!$D$2:$D$120,0)),""))</f>
        <v/>
      </c>
      <c r="I110" s="19"/>
      <c r="J110" s="15" t="str">
        <f aca="false">IF($B110="","",IFERROR(INDEX(Services!$E$2:$E$120,MATCH($B110,Services!$D$2:$D$120,0)),""))</f>
        <v/>
      </c>
    </row>
    <row r="111" customFormat="false" ht="14.25" hidden="false" customHeight="false" outlineLevel="0" collapsed="false">
      <c r="A111" s="18"/>
      <c r="B111" s="6"/>
      <c r="C111" s="6"/>
      <c r="D111" s="6"/>
      <c r="E111" s="16" t="str">
        <f aca="false">IF($B111="","",IFERROR(INDEX(Services!$C$2:$C$120,MATCH($B111,Services!$D$2:$D$120,0)),""))</f>
        <v/>
      </c>
      <c r="F111" s="19"/>
      <c r="G111" s="9" t="str">
        <f aca="false">IF(OR($B111="",NOT(ISNUMBER($E111))),"",$E111-IF($F111="",0,$F111))</f>
        <v/>
      </c>
      <c r="H111" s="15" t="str">
        <f aca="false">IF($B111="","",IFERROR(INDEX(Services!$A$2:$A$120,MATCH($B111,Services!$D$2:$D$120,0)),""))</f>
        <v/>
      </c>
      <c r="I111" s="19"/>
      <c r="J111" s="15" t="str">
        <f aca="false">IF($B111="","",IFERROR(INDEX(Services!$E$2:$E$120,MATCH($B111,Services!$D$2:$D$120,0)),""))</f>
        <v/>
      </c>
    </row>
    <row r="112" customFormat="false" ht="14.25" hidden="false" customHeight="false" outlineLevel="0" collapsed="false">
      <c r="A112" s="18"/>
      <c r="B112" s="6"/>
      <c r="C112" s="6"/>
      <c r="D112" s="6"/>
      <c r="E112" s="16" t="str">
        <f aca="false">IF($B112="","",IFERROR(INDEX(Services!$C$2:$C$120,MATCH($B112,Services!$D$2:$D$120,0)),""))</f>
        <v/>
      </c>
      <c r="F112" s="19"/>
      <c r="G112" s="9" t="str">
        <f aca="false">IF(OR($B112="",NOT(ISNUMBER($E112))),"",$E112-IF($F112="",0,$F112))</f>
        <v/>
      </c>
      <c r="H112" s="15" t="str">
        <f aca="false">IF($B112="","",IFERROR(INDEX(Services!$A$2:$A$120,MATCH($B112,Services!$D$2:$D$120,0)),""))</f>
        <v/>
      </c>
      <c r="I112" s="19"/>
      <c r="J112" s="15" t="str">
        <f aca="false">IF($B112="","",IFERROR(INDEX(Services!$E$2:$E$120,MATCH($B112,Services!$D$2:$D$120,0)),""))</f>
        <v/>
      </c>
    </row>
    <row r="113" customFormat="false" ht="14.25" hidden="false" customHeight="false" outlineLevel="0" collapsed="false">
      <c r="A113" s="18"/>
      <c r="B113" s="6"/>
      <c r="C113" s="6"/>
      <c r="D113" s="6"/>
      <c r="E113" s="16" t="str">
        <f aca="false">IF($B113="","",IFERROR(INDEX(Services!$C$2:$C$120,MATCH($B113,Services!$D$2:$D$120,0)),""))</f>
        <v/>
      </c>
      <c r="F113" s="19"/>
      <c r="G113" s="9" t="str">
        <f aca="false">IF(OR($B113="",NOT(ISNUMBER($E113))),"",$E113-IF($F113="",0,$F113))</f>
        <v/>
      </c>
      <c r="H113" s="15" t="str">
        <f aca="false">IF($B113="","",IFERROR(INDEX(Services!$A$2:$A$120,MATCH($B113,Services!$D$2:$D$120,0)),""))</f>
        <v/>
      </c>
      <c r="I113" s="19"/>
      <c r="J113" s="15" t="str">
        <f aca="false">IF($B113="","",IFERROR(INDEX(Services!$E$2:$E$120,MATCH($B113,Services!$D$2:$D$120,0)),""))</f>
        <v/>
      </c>
    </row>
    <row r="114" customFormat="false" ht="14.25" hidden="false" customHeight="false" outlineLevel="0" collapsed="false">
      <c r="A114" s="18"/>
      <c r="B114" s="6"/>
      <c r="C114" s="6"/>
      <c r="D114" s="6"/>
      <c r="E114" s="16" t="str">
        <f aca="false">IF($B114="","",IFERROR(INDEX(Services!$C$2:$C$120,MATCH($B114,Services!$D$2:$D$120,0)),""))</f>
        <v/>
      </c>
      <c r="F114" s="19"/>
      <c r="G114" s="9" t="str">
        <f aca="false">IF(OR($B114="",NOT(ISNUMBER($E114))),"",$E114-IF($F114="",0,$F114))</f>
        <v/>
      </c>
      <c r="H114" s="15" t="str">
        <f aca="false">IF($B114="","",IFERROR(INDEX(Services!$A$2:$A$120,MATCH($B114,Services!$D$2:$D$120,0)),""))</f>
        <v/>
      </c>
      <c r="I114" s="19"/>
      <c r="J114" s="15" t="str">
        <f aca="false">IF($B114="","",IFERROR(INDEX(Services!$E$2:$E$120,MATCH($B114,Services!$D$2:$D$120,0)),""))</f>
        <v/>
      </c>
    </row>
    <row r="115" customFormat="false" ht="14.25" hidden="false" customHeight="false" outlineLevel="0" collapsed="false">
      <c r="A115" s="18"/>
      <c r="B115" s="6"/>
      <c r="C115" s="6"/>
      <c r="D115" s="6"/>
      <c r="E115" s="16" t="str">
        <f aca="false">IF($B115="","",IFERROR(INDEX(Services!$C$2:$C$120,MATCH($B115,Services!$D$2:$D$120,0)),""))</f>
        <v/>
      </c>
      <c r="F115" s="19"/>
      <c r="G115" s="9" t="str">
        <f aca="false">IF(OR($B115="",NOT(ISNUMBER($E115))),"",$E115-IF($F115="",0,$F115))</f>
        <v/>
      </c>
      <c r="H115" s="15" t="str">
        <f aca="false">IF($B115="","",IFERROR(INDEX(Services!$A$2:$A$120,MATCH($B115,Services!$D$2:$D$120,0)),""))</f>
        <v/>
      </c>
      <c r="I115" s="19"/>
      <c r="J115" s="15" t="str">
        <f aca="false">IF($B115="","",IFERROR(INDEX(Services!$E$2:$E$120,MATCH($B115,Services!$D$2:$D$120,0)),""))</f>
        <v/>
      </c>
    </row>
    <row r="116" customFormat="false" ht="14.25" hidden="false" customHeight="false" outlineLevel="0" collapsed="false">
      <c r="A116" s="18"/>
      <c r="B116" s="6"/>
      <c r="C116" s="6"/>
      <c r="D116" s="6"/>
      <c r="E116" s="16" t="str">
        <f aca="false">IF($B116="","",IFERROR(INDEX(Services!$C$2:$C$120,MATCH($B116,Services!$D$2:$D$120,0)),""))</f>
        <v/>
      </c>
      <c r="F116" s="19"/>
      <c r="G116" s="9" t="str">
        <f aca="false">IF(OR($B116="",NOT(ISNUMBER($E116))),"",$E116-IF($F116="",0,$F116))</f>
        <v/>
      </c>
      <c r="H116" s="15" t="str">
        <f aca="false">IF($B116="","",IFERROR(INDEX(Services!$A$2:$A$120,MATCH($B116,Services!$D$2:$D$120,0)),""))</f>
        <v/>
      </c>
      <c r="I116" s="19"/>
      <c r="J116" s="15" t="str">
        <f aca="false">IF($B116="","",IFERROR(INDEX(Services!$E$2:$E$120,MATCH($B116,Services!$D$2:$D$120,0)),""))</f>
        <v/>
      </c>
    </row>
    <row r="117" customFormat="false" ht="14.25" hidden="false" customHeight="false" outlineLevel="0" collapsed="false">
      <c r="A117" s="18"/>
      <c r="B117" s="6"/>
      <c r="C117" s="6"/>
      <c r="D117" s="6"/>
      <c r="E117" s="16" t="str">
        <f aca="false">IF($B117="","",IFERROR(INDEX(Services!$C$2:$C$120,MATCH($B117,Services!$D$2:$D$120,0)),""))</f>
        <v/>
      </c>
      <c r="F117" s="19"/>
      <c r="G117" s="9" t="str">
        <f aca="false">IF(OR($B117="",NOT(ISNUMBER($E117))),"",$E117-IF($F117="",0,$F117))</f>
        <v/>
      </c>
      <c r="H117" s="15" t="str">
        <f aca="false">IF($B117="","",IFERROR(INDEX(Services!$A$2:$A$120,MATCH($B117,Services!$D$2:$D$120,0)),""))</f>
        <v/>
      </c>
      <c r="I117" s="19"/>
      <c r="J117" s="15" t="str">
        <f aca="false">IF($B117="","",IFERROR(INDEX(Services!$E$2:$E$120,MATCH($B117,Services!$D$2:$D$120,0)),""))</f>
        <v/>
      </c>
    </row>
    <row r="118" customFormat="false" ht="14.25" hidden="false" customHeight="false" outlineLevel="0" collapsed="false">
      <c r="A118" s="18"/>
      <c r="B118" s="6"/>
      <c r="C118" s="6"/>
      <c r="D118" s="6"/>
      <c r="E118" s="16" t="str">
        <f aca="false">IF($B118="","",IFERROR(INDEX(Services!$C$2:$C$120,MATCH($B118,Services!$D$2:$D$120,0)),""))</f>
        <v/>
      </c>
      <c r="F118" s="19"/>
      <c r="G118" s="9" t="str">
        <f aca="false">IF(OR($B118="",NOT(ISNUMBER($E118))),"",$E118-IF($F118="",0,$F118))</f>
        <v/>
      </c>
      <c r="H118" s="15" t="str">
        <f aca="false">IF($B118="","",IFERROR(INDEX(Services!$A$2:$A$120,MATCH($B118,Services!$D$2:$D$120,0)),""))</f>
        <v/>
      </c>
      <c r="I118" s="19"/>
      <c r="J118" s="15" t="str">
        <f aca="false">IF($B118="","",IFERROR(INDEX(Services!$E$2:$E$120,MATCH($B118,Services!$D$2:$D$120,0)),""))</f>
        <v/>
      </c>
    </row>
    <row r="119" customFormat="false" ht="14.25" hidden="false" customHeight="false" outlineLevel="0" collapsed="false">
      <c r="A119" s="18"/>
      <c r="B119" s="6"/>
      <c r="C119" s="6"/>
      <c r="D119" s="6"/>
      <c r="E119" s="16" t="str">
        <f aca="false">IF($B119="","",IFERROR(INDEX(Services!$C$2:$C$120,MATCH($B119,Services!$D$2:$D$120,0)),""))</f>
        <v/>
      </c>
      <c r="F119" s="19"/>
      <c r="G119" s="9" t="str">
        <f aca="false">IF(OR($B119="",NOT(ISNUMBER($E119))),"",$E119-IF($F119="",0,$F119))</f>
        <v/>
      </c>
      <c r="H119" s="15" t="str">
        <f aca="false">IF($B119="","",IFERROR(INDEX(Services!$A$2:$A$120,MATCH($B119,Services!$D$2:$D$120,0)),""))</f>
        <v/>
      </c>
      <c r="I119" s="19"/>
      <c r="J119" s="15" t="str">
        <f aca="false">IF($B119="","",IFERROR(INDEX(Services!$E$2:$E$120,MATCH($B119,Services!$D$2:$D$120,0)),""))</f>
        <v/>
      </c>
    </row>
    <row r="120" customFormat="false" ht="14.25" hidden="false" customHeight="false" outlineLevel="0" collapsed="false">
      <c r="A120" s="18"/>
      <c r="B120" s="6"/>
      <c r="C120" s="6"/>
      <c r="D120" s="6"/>
      <c r="E120" s="16" t="str">
        <f aca="false">IF($B120="","",IFERROR(INDEX(Services!$C$2:$C$120,MATCH($B120,Services!$D$2:$D$120,0)),""))</f>
        <v/>
      </c>
      <c r="F120" s="19"/>
      <c r="G120" s="9" t="str">
        <f aca="false">IF(OR($B120="",NOT(ISNUMBER($E120))),"",$E120-IF($F120="",0,$F120))</f>
        <v/>
      </c>
      <c r="H120" s="15" t="str">
        <f aca="false">IF($B120="","",IFERROR(INDEX(Services!$A$2:$A$120,MATCH($B120,Services!$D$2:$D$120,0)),""))</f>
        <v/>
      </c>
      <c r="I120" s="19"/>
      <c r="J120" s="15" t="str">
        <f aca="false">IF($B120="","",IFERROR(INDEX(Services!$E$2:$E$120,MATCH($B120,Services!$D$2:$D$120,0)),""))</f>
        <v/>
      </c>
    </row>
    <row r="121" customFormat="false" ht="14.25" hidden="false" customHeight="false" outlineLevel="0" collapsed="false">
      <c r="A121" s="18"/>
      <c r="B121" s="6"/>
      <c r="C121" s="6"/>
      <c r="D121" s="6"/>
      <c r="E121" s="16" t="str">
        <f aca="false">IF($B121="","",IFERROR(INDEX(Services!$C$2:$C$120,MATCH($B121,Services!$D$2:$D$120,0)),""))</f>
        <v/>
      </c>
      <c r="F121" s="19"/>
      <c r="G121" s="9" t="str">
        <f aca="false">IF(OR($B121="",NOT(ISNUMBER($E121))),"",$E121-IF($F121="",0,$F121))</f>
        <v/>
      </c>
      <c r="H121" s="15" t="str">
        <f aca="false">IF($B121="","",IFERROR(INDEX(Services!$A$2:$A$120,MATCH($B121,Services!$D$2:$D$120,0)),""))</f>
        <v/>
      </c>
      <c r="I121" s="19"/>
      <c r="J121" s="15" t="str">
        <f aca="false">IF($B121="","",IFERROR(INDEX(Services!$E$2:$E$120,MATCH($B121,Services!$D$2:$D$120,0)),""))</f>
        <v/>
      </c>
    </row>
    <row r="122" customFormat="false" ht="14.25" hidden="false" customHeight="false" outlineLevel="0" collapsed="false">
      <c r="A122" s="18"/>
      <c r="B122" s="6"/>
      <c r="C122" s="6"/>
      <c r="D122" s="6"/>
      <c r="E122" s="16" t="str">
        <f aca="false">IF($B122="","",IFERROR(INDEX(Services!$C$2:$C$120,MATCH($B122,Services!$D$2:$D$120,0)),""))</f>
        <v/>
      </c>
      <c r="F122" s="19"/>
      <c r="G122" s="9" t="str">
        <f aca="false">IF(OR($B122="",NOT(ISNUMBER($E122))),"",$E122-IF($F122="",0,$F122))</f>
        <v/>
      </c>
      <c r="H122" s="15" t="str">
        <f aca="false">IF($B122="","",IFERROR(INDEX(Services!$A$2:$A$120,MATCH($B122,Services!$D$2:$D$120,0)),""))</f>
        <v/>
      </c>
      <c r="I122" s="19"/>
      <c r="J122" s="15" t="str">
        <f aca="false">IF($B122="","",IFERROR(INDEX(Services!$E$2:$E$120,MATCH($B122,Services!$D$2:$D$120,0)),""))</f>
        <v/>
      </c>
    </row>
    <row r="123" customFormat="false" ht="14.25" hidden="false" customHeight="false" outlineLevel="0" collapsed="false">
      <c r="A123" s="18"/>
      <c r="B123" s="6"/>
      <c r="C123" s="6"/>
      <c r="D123" s="6"/>
      <c r="E123" s="16" t="str">
        <f aca="false">IF($B123="","",IFERROR(INDEX(Services!$C$2:$C$120,MATCH($B123,Services!$D$2:$D$120,0)),""))</f>
        <v/>
      </c>
      <c r="F123" s="19"/>
      <c r="G123" s="9" t="str">
        <f aca="false">IF(OR($B123="",NOT(ISNUMBER($E123))),"",$E123-IF($F123="",0,$F123))</f>
        <v/>
      </c>
      <c r="H123" s="15" t="str">
        <f aca="false">IF($B123="","",IFERROR(INDEX(Services!$A$2:$A$120,MATCH($B123,Services!$D$2:$D$120,0)),""))</f>
        <v/>
      </c>
      <c r="I123" s="19"/>
      <c r="J123" s="15" t="str">
        <f aca="false">IF($B123="","",IFERROR(INDEX(Services!$E$2:$E$120,MATCH($B123,Services!$D$2:$D$120,0)),""))</f>
        <v/>
      </c>
    </row>
    <row r="124" customFormat="false" ht="14.25" hidden="false" customHeight="false" outlineLevel="0" collapsed="false">
      <c r="A124" s="18"/>
      <c r="B124" s="6"/>
      <c r="C124" s="6"/>
      <c r="D124" s="6"/>
      <c r="E124" s="16" t="str">
        <f aca="false">IF($B124="","",IFERROR(INDEX(Services!$C$2:$C$120,MATCH($B124,Services!$D$2:$D$120,0)),""))</f>
        <v/>
      </c>
      <c r="F124" s="19"/>
      <c r="G124" s="9" t="str">
        <f aca="false">IF(OR($B124="",NOT(ISNUMBER($E124))),"",$E124-IF($F124="",0,$F124))</f>
        <v/>
      </c>
      <c r="H124" s="15" t="str">
        <f aca="false">IF($B124="","",IFERROR(INDEX(Services!$A$2:$A$120,MATCH($B124,Services!$D$2:$D$120,0)),""))</f>
        <v/>
      </c>
      <c r="I124" s="19"/>
      <c r="J124" s="15" t="str">
        <f aca="false">IF($B124="","",IFERROR(INDEX(Services!$E$2:$E$120,MATCH($B124,Services!$D$2:$D$120,0)),""))</f>
        <v/>
      </c>
    </row>
    <row r="125" customFormat="false" ht="14.25" hidden="false" customHeight="false" outlineLevel="0" collapsed="false">
      <c r="A125" s="18"/>
      <c r="B125" s="6"/>
      <c r="C125" s="6"/>
      <c r="D125" s="6"/>
      <c r="E125" s="16" t="str">
        <f aca="false">IF($B125="","",IFERROR(INDEX(Services!$C$2:$C$120,MATCH($B125,Services!$D$2:$D$120,0)),""))</f>
        <v/>
      </c>
      <c r="F125" s="19"/>
      <c r="G125" s="9" t="str">
        <f aca="false">IF(OR($B125="",NOT(ISNUMBER($E125))),"",$E125-IF($F125="",0,$F125))</f>
        <v/>
      </c>
      <c r="H125" s="15" t="str">
        <f aca="false">IF($B125="","",IFERROR(INDEX(Services!$A$2:$A$120,MATCH($B125,Services!$D$2:$D$120,0)),""))</f>
        <v/>
      </c>
      <c r="I125" s="19"/>
      <c r="J125" s="15" t="str">
        <f aca="false">IF($B125="","",IFERROR(INDEX(Services!$E$2:$E$120,MATCH($B125,Services!$D$2:$D$120,0)),""))</f>
        <v/>
      </c>
    </row>
    <row r="126" customFormat="false" ht="14.25" hidden="false" customHeight="false" outlineLevel="0" collapsed="false">
      <c r="A126" s="18"/>
      <c r="B126" s="6"/>
      <c r="C126" s="6"/>
      <c r="D126" s="6"/>
      <c r="E126" s="16" t="str">
        <f aca="false">IF($B126="","",IFERROR(INDEX(Services!$C$2:$C$120,MATCH($B126,Services!$D$2:$D$120,0)),""))</f>
        <v/>
      </c>
      <c r="F126" s="19"/>
      <c r="G126" s="9" t="str">
        <f aca="false">IF(OR($B126="",NOT(ISNUMBER($E126))),"",$E126-IF($F126="",0,$F126))</f>
        <v/>
      </c>
      <c r="H126" s="15" t="str">
        <f aca="false">IF($B126="","",IFERROR(INDEX(Services!$A$2:$A$120,MATCH($B126,Services!$D$2:$D$120,0)),""))</f>
        <v/>
      </c>
      <c r="I126" s="19"/>
      <c r="J126" s="15" t="str">
        <f aca="false">IF($B126="","",IFERROR(INDEX(Services!$E$2:$E$120,MATCH($B126,Services!$D$2:$D$120,0)),""))</f>
        <v/>
      </c>
    </row>
    <row r="127" customFormat="false" ht="14.25" hidden="false" customHeight="false" outlineLevel="0" collapsed="false">
      <c r="A127" s="18"/>
      <c r="B127" s="6"/>
      <c r="C127" s="6"/>
      <c r="D127" s="6"/>
      <c r="E127" s="16" t="str">
        <f aca="false">IF($B127="","",IFERROR(INDEX(Services!$C$2:$C$120,MATCH($B127,Services!$D$2:$D$120,0)),""))</f>
        <v/>
      </c>
      <c r="F127" s="19"/>
      <c r="G127" s="9" t="str">
        <f aca="false">IF(OR($B127="",NOT(ISNUMBER($E127))),"",$E127-IF($F127="",0,$F127))</f>
        <v/>
      </c>
      <c r="H127" s="15" t="str">
        <f aca="false">IF($B127="","",IFERROR(INDEX(Services!$A$2:$A$120,MATCH($B127,Services!$D$2:$D$120,0)),""))</f>
        <v/>
      </c>
      <c r="I127" s="19"/>
      <c r="J127" s="15" t="str">
        <f aca="false">IF($B127="","",IFERROR(INDEX(Services!$E$2:$E$120,MATCH($B127,Services!$D$2:$D$120,0)),""))</f>
        <v/>
      </c>
    </row>
    <row r="128" customFormat="false" ht="14.25" hidden="false" customHeight="false" outlineLevel="0" collapsed="false">
      <c r="A128" s="18"/>
      <c r="B128" s="6"/>
      <c r="C128" s="6"/>
      <c r="D128" s="6"/>
      <c r="E128" s="16" t="str">
        <f aca="false">IF($B128="","",IFERROR(INDEX(Services!$C$2:$C$120,MATCH($B128,Services!$D$2:$D$120,0)),""))</f>
        <v/>
      </c>
      <c r="F128" s="19"/>
      <c r="G128" s="9" t="str">
        <f aca="false">IF(OR($B128="",NOT(ISNUMBER($E128))),"",$E128-IF($F128="",0,$F128))</f>
        <v/>
      </c>
      <c r="H128" s="15" t="str">
        <f aca="false">IF($B128="","",IFERROR(INDEX(Services!$A$2:$A$120,MATCH($B128,Services!$D$2:$D$120,0)),""))</f>
        <v/>
      </c>
      <c r="I128" s="19"/>
      <c r="J128" s="15" t="str">
        <f aca="false">IF($B128="","",IFERROR(INDEX(Services!$E$2:$E$120,MATCH($B128,Services!$D$2:$D$120,0)),""))</f>
        <v/>
      </c>
    </row>
    <row r="129" customFormat="false" ht="14.25" hidden="false" customHeight="false" outlineLevel="0" collapsed="false">
      <c r="A129" s="18"/>
      <c r="B129" s="6"/>
      <c r="C129" s="6"/>
      <c r="D129" s="6"/>
      <c r="E129" s="16" t="str">
        <f aca="false">IF($B129="","",IFERROR(INDEX(Services!$C$2:$C$120,MATCH($B129,Services!$D$2:$D$120,0)),""))</f>
        <v/>
      </c>
      <c r="F129" s="19"/>
      <c r="G129" s="9" t="str">
        <f aca="false">IF(OR($B129="",NOT(ISNUMBER($E129))),"",$E129-IF($F129="",0,$F129))</f>
        <v/>
      </c>
      <c r="H129" s="15" t="str">
        <f aca="false">IF($B129="","",IFERROR(INDEX(Services!$A$2:$A$120,MATCH($B129,Services!$D$2:$D$120,0)),""))</f>
        <v/>
      </c>
      <c r="I129" s="19"/>
      <c r="J129" s="15" t="str">
        <f aca="false">IF($B129="","",IFERROR(INDEX(Services!$E$2:$E$120,MATCH($B129,Services!$D$2:$D$120,0)),""))</f>
        <v/>
      </c>
    </row>
    <row r="130" customFormat="false" ht="14.25" hidden="false" customHeight="false" outlineLevel="0" collapsed="false">
      <c r="A130" s="18"/>
      <c r="B130" s="6"/>
      <c r="C130" s="6"/>
      <c r="D130" s="6"/>
      <c r="E130" s="16" t="str">
        <f aca="false">IF($B130="","",IFERROR(INDEX(Services!$C$2:$C$120,MATCH($B130,Services!$D$2:$D$120,0)),""))</f>
        <v/>
      </c>
      <c r="F130" s="19"/>
      <c r="G130" s="9" t="str">
        <f aca="false">IF(OR($B130="",NOT(ISNUMBER($E130))),"",$E130-IF($F130="",0,$F130))</f>
        <v/>
      </c>
      <c r="H130" s="15" t="str">
        <f aca="false">IF($B130="","",IFERROR(INDEX(Services!$A$2:$A$120,MATCH($B130,Services!$D$2:$D$120,0)),""))</f>
        <v/>
      </c>
      <c r="I130" s="19"/>
      <c r="J130" s="15" t="str">
        <f aca="false">IF($B130="","",IFERROR(INDEX(Services!$E$2:$E$120,MATCH($B130,Services!$D$2:$D$120,0)),""))</f>
        <v/>
      </c>
    </row>
    <row r="131" customFormat="false" ht="14.25" hidden="false" customHeight="false" outlineLevel="0" collapsed="false">
      <c r="A131" s="18"/>
      <c r="B131" s="6"/>
      <c r="C131" s="6"/>
      <c r="D131" s="6"/>
      <c r="E131" s="16" t="str">
        <f aca="false">IF($B131="","",IFERROR(INDEX(Services!$C$2:$C$120,MATCH($B131,Services!$D$2:$D$120,0)),""))</f>
        <v/>
      </c>
      <c r="F131" s="19"/>
      <c r="G131" s="9" t="str">
        <f aca="false">IF(OR($B131="",NOT(ISNUMBER($E131))),"",$E131-IF($F131="",0,$F131))</f>
        <v/>
      </c>
      <c r="H131" s="15" t="str">
        <f aca="false">IF($B131="","",IFERROR(INDEX(Services!$A$2:$A$120,MATCH($B131,Services!$D$2:$D$120,0)),""))</f>
        <v/>
      </c>
      <c r="I131" s="19"/>
      <c r="J131" s="15" t="str">
        <f aca="false">IF($B131="","",IFERROR(INDEX(Services!$E$2:$E$120,MATCH($B131,Services!$D$2:$D$120,0)),""))</f>
        <v/>
      </c>
    </row>
    <row r="132" customFormat="false" ht="14.25" hidden="false" customHeight="false" outlineLevel="0" collapsed="false">
      <c r="A132" s="18"/>
      <c r="B132" s="6"/>
      <c r="C132" s="6"/>
      <c r="D132" s="6"/>
      <c r="E132" s="16" t="str">
        <f aca="false">IF($B132="","",IFERROR(INDEX(Services!$C$2:$C$120,MATCH($B132,Services!$D$2:$D$120,0)),""))</f>
        <v/>
      </c>
      <c r="F132" s="19"/>
      <c r="G132" s="9" t="str">
        <f aca="false">IF(OR($B132="",NOT(ISNUMBER($E132))),"",$E132-IF($F132="",0,$F132))</f>
        <v/>
      </c>
      <c r="H132" s="15" t="str">
        <f aca="false">IF($B132="","",IFERROR(INDEX(Services!$A$2:$A$120,MATCH($B132,Services!$D$2:$D$120,0)),""))</f>
        <v/>
      </c>
      <c r="I132" s="19"/>
      <c r="J132" s="15" t="str">
        <f aca="false">IF($B132="","",IFERROR(INDEX(Services!$E$2:$E$120,MATCH($B132,Services!$D$2:$D$120,0)),""))</f>
        <v/>
      </c>
    </row>
    <row r="133" customFormat="false" ht="14.25" hidden="false" customHeight="false" outlineLevel="0" collapsed="false">
      <c r="A133" s="18"/>
      <c r="B133" s="6"/>
      <c r="C133" s="6"/>
      <c r="D133" s="6"/>
      <c r="E133" s="16" t="str">
        <f aca="false">IF($B133="","",IFERROR(INDEX(Services!$C$2:$C$120,MATCH($B133,Services!$D$2:$D$120,0)),""))</f>
        <v/>
      </c>
      <c r="F133" s="19"/>
      <c r="G133" s="9" t="str">
        <f aca="false">IF(OR($B133="",NOT(ISNUMBER($E133))),"",$E133-IF($F133="",0,$F133))</f>
        <v/>
      </c>
      <c r="H133" s="15" t="str">
        <f aca="false">IF($B133="","",IFERROR(INDEX(Services!$A$2:$A$120,MATCH($B133,Services!$D$2:$D$120,0)),""))</f>
        <v/>
      </c>
      <c r="I133" s="19"/>
      <c r="J133" s="15" t="str">
        <f aca="false">IF($B133="","",IFERROR(INDEX(Services!$E$2:$E$120,MATCH($B133,Services!$D$2:$D$120,0)),""))</f>
        <v/>
      </c>
    </row>
    <row r="134" customFormat="false" ht="14.25" hidden="false" customHeight="false" outlineLevel="0" collapsed="false">
      <c r="A134" s="18"/>
      <c r="B134" s="6"/>
      <c r="C134" s="6"/>
      <c r="D134" s="6"/>
      <c r="E134" s="16" t="str">
        <f aca="false">IF($B134="","",IFERROR(INDEX(Services!$C$2:$C$120,MATCH($B134,Services!$D$2:$D$120,0)),""))</f>
        <v/>
      </c>
      <c r="F134" s="19"/>
      <c r="G134" s="9" t="str">
        <f aca="false">IF(OR($B134="",NOT(ISNUMBER($E134))),"",$E134-IF($F134="",0,$F134))</f>
        <v/>
      </c>
      <c r="H134" s="15" t="str">
        <f aca="false">IF($B134="","",IFERROR(INDEX(Services!$A$2:$A$120,MATCH($B134,Services!$D$2:$D$120,0)),""))</f>
        <v/>
      </c>
      <c r="I134" s="19"/>
      <c r="J134" s="15" t="str">
        <f aca="false">IF($B134="","",IFERROR(INDEX(Services!$E$2:$E$120,MATCH($B134,Services!$D$2:$D$120,0)),""))</f>
        <v/>
      </c>
    </row>
    <row r="135" customFormat="false" ht="14.25" hidden="false" customHeight="false" outlineLevel="0" collapsed="false">
      <c r="A135" s="18"/>
      <c r="B135" s="6"/>
      <c r="C135" s="6"/>
      <c r="D135" s="6"/>
      <c r="E135" s="16" t="str">
        <f aca="false">IF($B135="","",IFERROR(INDEX(Services!$C$2:$C$120,MATCH($B135,Services!$D$2:$D$120,0)),""))</f>
        <v/>
      </c>
      <c r="F135" s="19"/>
      <c r="G135" s="9" t="str">
        <f aca="false">IF(OR($B135="",NOT(ISNUMBER($E135))),"",$E135-IF($F135="",0,$F135))</f>
        <v/>
      </c>
      <c r="H135" s="15" t="str">
        <f aca="false">IF($B135="","",IFERROR(INDEX(Services!$A$2:$A$120,MATCH($B135,Services!$D$2:$D$120,0)),""))</f>
        <v/>
      </c>
      <c r="I135" s="19"/>
      <c r="J135" s="15" t="str">
        <f aca="false">IF($B135="","",IFERROR(INDEX(Services!$E$2:$E$120,MATCH($B135,Services!$D$2:$D$120,0)),""))</f>
        <v/>
      </c>
    </row>
    <row r="136" customFormat="false" ht="14.25" hidden="false" customHeight="false" outlineLevel="0" collapsed="false">
      <c r="A136" s="18"/>
      <c r="B136" s="6"/>
      <c r="C136" s="6"/>
      <c r="D136" s="6"/>
      <c r="E136" s="16" t="str">
        <f aca="false">IF($B136="","",IFERROR(INDEX(Services!$C$2:$C$120,MATCH($B136,Services!$D$2:$D$120,0)),""))</f>
        <v/>
      </c>
      <c r="F136" s="19"/>
      <c r="G136" s="9" t="str">
        <f aca="false">IF(OR($B136="",NOT(ISNUMBER($E136))),"",$E136-IF($F136="",0,$F136))</f>
        <v/>
      </c>
      <c r="H136" s="15" t="str">
        <f aca="false">IF($B136="","",IFERROR(INDEX(Services!$A$2:$A$120,MATCH($B136,Services!$D$2:$D$120,0)),""))</f>
        <v/>
      </c>
      <c r="I136" s="19"/>
      <c r="J136" s="15" t="str">
        <f aca="false">IF($B136="","",IFERROR(INDEX(Services!$E$2:$E$120,MATCH($B136,Services!$D$2:$D$120,0)),""))</f>
        <v/>
      </c>
    </row>
    <row r="137" customFormat="false" ht="14.25" hidden="false" customHeight="false" outlineLevel="0" collapsed="false">
      <c r="A137" s="18"/>
      <c r="B137" s="6"/>
      <c r="C137" s="6"/>
      <c r="D137" s="6"/>
      <c r="E137" s="16" t="str">
        <f aca="false">IF($B137="","",IFERROR(INDEX(Services!$C$2:$C$120,MATCH($B137,Services!$D$2:$D$120,0)),""))</f>
        <v/>
      </c>
      <c r="F137" s="19"/>
      <c r="G137" s="9" t="str">
        <f aca="false">IF(OR($B137="",NOT(ISNUMBER($E137))),"",$E137-IF($F137="",0,$F137))</f>
        <v/>
      </c>
      <c r="H137" s="15" t="str">
        <f aca="false">IF($B137="","",IFERROR(INDEX(Services!$A$2:$A$120,MATCH($B137,Services!$D$2:$D$120,0)),""))</f>
        <v/>
      </c>
      <c r="I137" s="19"/>
      <c r="J137" s="15" t="str">
        <f aca="false">IF($B137="","",IFERROR(INDEX(Services!$E$2:$E$120,MATCH($B137,Services!$D$2:$D$120,0)),""))</f>
        <v/>
      </c>
    </row>
    <row r="138" customFormat="false" ht="14.25" hidden="false" customHeight="false" outlineLevel="0" collapsed="false">
      <c r="A138" s="18"/>
      <c r="B138" s="6"/>
      <c r="C138" s="6"/>
      <c r="D138" s="6"/>
      <c r="E138" s="16" t="str">
        <f aca="false">IF($B138="","",IFERROR(INDEX(Services!$C$2:$C$120,MATCH($B138,Services!$D$2:$D$120,0)),""))</f>
        <v/>
      </c>
      <c r="F138" s="19"/>
      <c r="G138" s="9" t="str">
        <f aca="false">IF(OR($B138="",NOT(ISNUMBER($E138))),"",$E138-IF($F138="",0,$F138))</f>
        <v/>
      </c>
      <c r="H138" s="15" t="str">
        <f aca="false">IF($B138="","",IFERROR(INDEX(Services!$A$2:$A$120,MATCH($B138,Services!$D$2:$D$120,0)),""))</f>
        <v/>
      </c>
      <c r="I138" s="19"/>
      <c r="J138" s="15" t="str">
        <f aca="false">IF($B138="","",IFERROR(INDEX(Services!$E$2:$E$120,MATCH($B138,Services!$D$2:$D$120,0)),""))</f>
        <v/>
      </c>
    </row>
    <row r="139" customFormat="false" ht="14.25" hidden="false" customHeight="false" outlineLevel="0" collapsed="false">
      <c r="A139" s="18"/>
      <c r="B139" s="6"/>
      <c r="C139" s="6"/>
      <c r="D139" s="6"/>
      <c r="E139" s="16" t="str">
        <f aca="false">IF($B139="","",IFERROR(INDEX(Services!$C$2:$C$120,MATCH($B139,Services!$D$2:$D$120,0)),""))</f>
        <v/>
      </c>
      <c r="F139" s="19"/>
      <c r="G139" s="9" t="str">
        <f aca="false">IF(OR($B139="",NOT(ISNUMBER($E139))),"",$E139-IF($F139="",0,$F139))</f>
        <v/>
      </c>
      <c r="H139" s="15" t="str">
        <f aca="false">IF($B139="","",IFERROR(INDEX(Services!$A$2:$A$120,MATCH($B139,Services!$D$2:$D$120,0)),""))</f>
        <v/>
      </c>
      <c r="I139" s="19"/>
      <c r="J139" s="15" t="str">
        <f aca="false">IF($B139="","",IFERROR(INDEX(Services!$E$2:$E$120,MATCH($B139,Services!$D$2:$D$120,0)),""))</f>
        <v/>
      </c>
    </row>
    <row r="140" customFormat="false" ht="14.25" hidden="false" customHeight="false" outlineLevel="0" collapsed="false">
      <c r="A140" s="18"/>
      <c r="B140" s="6"/>
      <c r="C140" s="6"/>
      <c r="D140" s="6"/>
      <c r="E140" s="16" t="str">
        <f aca="false">IF($B140="","",IFERROR(INDEX(Services!$C$2:$C$120,MATCH($B140,Services!$D$2:$D$120,0)),""))</f>
        <v/>
      </c>
      <c r="F140" s="19"/>
      <c r="G140" s="9" t="str">
        <f aca="false">IF(OR($B140="",NOT(ISNUMBER($E140))),"",$E140-IF($F140="",0,$F140))</f>
        <v/>
      </c>
      <c r="H140" s="15" t="str">
        <f aca="false">IF($B140="","",IFERROR(INDEX(Services!$A$2:$A$120,MATCH($B140,Services!$D$2:$D$120,0)),""))</f>
        <v/>
      </c>
      <c r="I140" s="19"/>
      <c r="J140" s="15" t="str">
        <f aca="false">IF($B140="","",IFERROR(INDEX(Services!$E$2:$E$120,MATCH($B140,Services!$D$2:$D$120,0)),""))</f>
        <v/>
      </c>
    </row>
    <row r="141" customFormat="false" ht="14.25" hidden="false" customHeight="false" outlineLevel="0" collapsed="false">
      <c r="A141" s="18"/>
      <c r="B141" s="6"/>
      <c r="C141" s="6"/>
      <c r="D141" s="6"/>
      <c r="E141" s="16" t="str">
        <f aca="false">IF($B141="","",IFERROR(INDEX(Services!$C$2:$C$120,MATCH($B141,Services!$D$2:$D$120,0)),""))</f>
        <v/>
      </c>
      <c r="F141" s="19"/>
      <c r="G141" s="9" t="str">
        <f aca="false">IF(OR($B141="",NOT(ISNUMBER($E141))),"",$E141-IF($F141="",0,$F141))</f>
        <v/>
      </c>
      <c r="H141" s="15" t="str">
        <f aca="false">IF($B141="","",IFERROR(INDEX(Services!$A$2:$A$120,MATCH($B141,Services!$D$2:$D$120,0)),""))</f>
        <v/>
      </c>
      <c r="I141" s="19"/>
      <c r="J141" s="15" t="str">
        <f aca="false">IF($B141="","",IFERROR(INDEX(Services!$E$2:$E$120,MATCH($B141,Services!$D$2:$D$120,0)),""))</f>
        <v/>
      </c>
    </row>
    <row r="142" customFormat="false" ht="14.25" hidden="false" customHeight="false" outlineLevel="0" collapsed="false">
      <c r="A142" s="18"/>
      <c r="B142" s="6"/>
      <c r="C142" s="6"/>
      <c r="D142" s="6"/>
      <c r="E142" s="16" t="str">
        <f aca="false">IF($B142="","",IFERROR(INDEX(Services!$C$2:$C$120,MATCH($B142,Services!$D$2:$D$120,0)),""))</f>
        <v/>
      </c>
      <c r="F142" s="19"/>
      <c r="G142" s="9" t="str">
        <f aca="false">IF(OR($B142="",NOT(ISNUMBER($E142))),"",$E142-IF($F142="",0,$F142))</f>
        <v/>
      </c>
      <c r="H142" s="15" t="str">
        <f aca="false">IF($B142="","",IFERROR(INDEX(Services!$A$2:$A$120,MATCH($B142,Services!$D$2:$D$120,0)),""))</f>
        <v/>
      </c>
      <c r="I142" s="19"/>
      <c r="J142" s="15" t="str">
        <f aca="false">IF($B142="","",IFERROR(INDEX(Services!$E$2:$E$120,MATCH($B142,Services!$D$2:$D$120,0)),""))</f>
        <v/>
      </c>
    </row>
    <row r="143" customFormat="false" ht="14.25" hidden="false" customHeight="false" outlineLevel="0" collapsed="false">
      <c r="A143" s="18"/>
      <c r="B143" s="6"/>
      <c r="C143" s="6"/>
      <c r="D143" s="6"/>
      <c r="E143" s="16" t="str">
        <f aca="false">IF($B143="","",IFERROR(INDEX(Services!$C$2:$C$120,MATCH($B143,Services!$D$2:$D$120,0)),""))</f>
        <v/>
      </c>
      <c r="F143" s="19"/>
      <c r="G143" s="9" t="str">
        <f aca="false">IF(OR($B143="",NOT(ISNUMBER($E143))),"",$E143-IF($F143="",0,$F143))</f>
        <v/>
      </c>
      <c r="H143" s="15" t="str">
        <f aca="false">IF($B143="","",IFERROR(INDEX(Services!$A$2:$A$120,MATCH($B143,Services!$D$2:$D$120,0)),""))</f>
        <v/>
      </c>
      <c r="I143" s="19"/>
      <c r="J143" s="15" t="str">
        <f aca="false">IF($B143="","",IFERROR(INDEX(Services!$E$2:$E$120,MATCH($B143,Services!$D$2:$D$120,0)),""))</f>
        <v/>
      </c>
    </row>
    <row r="144" customFormat="false" ht="14.25" hidden="false" customHeight="false" outlineLevel="0" collapsed="false">
      <c r="A144" s="18"/>
      <c r="B144" s="6"/>
      <c r="C144" s="6"/>
      <c r="D144" s="6"/>
      <c r="E144" s="16" t="str">
        <f aca="false">IF($B144="","",IFERROR(INDEX(Services!$C$2:$C$120,MATCH($B144,Services!$D$2:$D$120,0)),""))</f>
        <v/>
      </c>
      <c r="F144" s="19"/>
      <c r="G144" s="9" t="str">
        <f aca="false">IF(OR($B144="",NOT(ISNUMBER($E144))),"",$E144-IF($F144="",0,$F144))</f>
        <v/>
      </c>
      <c r="H144" s="15" t="str">
        <f aca="false">IF($B144="","",IFERROR(INDEX(Services!$A$2:$A$120,MATCH($B144,Services!$D$2:$D$120,0)),""))</f>
        <v/>
      </c>
      <c r="I144" s="19"/>
      <c r="J144" s="15" t="str">
        <f aca="false">IF($B144="","",IFERROR(INDEX(Services!$E$2:$E$120,MATCH($B144,Services!$D$2:$D$120,0)),""))</f>
        <v/>
      </c>
    </row>
    <row r="145" customFormat="false" ht="14.25" hidden="false" customHeight="false" outlineLevel="0" collapsed="false">
      <c r="A145" s="18"/>
      <c r="B145" s="6"/>
      <c r="C145" s="6"/>
      <c r="D145" s="6"/>
      <c r="E145" s="16" t="str">
        <f aca="false">IF($B145="","",IFERROR(INDEX(Services!$C$2:$C$120,MATCH($B145,Services!$D$2:$D$120,0)),""))</f>
        <v/>
      </c>
      <c r="F145" s="19"/>
      <c r="G145" s="9" t="str">
        <f aca="false">IF(OR($B145="",NOT(ISNUMBER($E145))),"",$E145-IF($F145="",0,$F145))</f>
        <v/>
      </c>
      <c r="H145" s="15" t="str">
        <f aca="false">IF($B145="","",IFERROR(INDEX(Services!$A$2:$A$120,MATCH($B145,Services!$D$2:$D$120,0)),""))</f>
        <v/>
      </c>
      <c r="I145" s="19"/>
      <c r="J145" s="15" t="str">
        <f aca="false">IF($B145="","",IFERROR(INDEX(Services!$E$2:$E$120,MATCH($B145,Services!$D$2:$D$120,0)),""))</f>
        <v/>
      </c>
    </row>
    <row r="146" customFormat="false" ht="14.25" hidden="false" customHeight="false" outlineLevel="0" collapsed="false">
      <c r="A146" s="18"/>
      <c r="B146" s="6"/>
      <c r="C146" s="6"/>
      <c r="D146" s="6"/>
      <c r="E146" s="16" t="str">
        <f aca="false">IF($B146="","",IFERROR(INDEX(Services!$C$2:$C$120,MATCH($B146,Services!$D$2:$D$120,0)),""))</f>
        <v/>
      </c>
      <c r="F146" s="19"/>
      <c r="G146" s="9" t="str">
        <f aca="false">IF(OR($B146="",NOT(ISNUMBER($E146))),"",$E146-IF($F146="",0,$F146))</f>
        <v/>
      </c>
      <c r="H146" s="15" t="str">
        <f aca="false">IF($B146="","",IFERROR(INDEX(Services!$A$2:$A$120,MATCH($B146,Services!$D$2:$D$120,0)),""))</f>
        <v/>
      </c>
      <c r="I146" s="19"/>
      <c r="J146" s="15" t="str">
        <f aca="false">IF($B146="","",IFERROR(INDEX(Services!$E$2:$E$120,MATCH($B146,Services!$D$2:$D$120,0)),""))</f>
        <v/>
      </c>
    </row>
    <row r="147" customFormat="false" ht="14.25" hidden="false" customHeight="false" outlineLevel="0" collapsed="false">
      <c r="A147" s="18"/>
      <c r="B147" s="6"/>
      <c r="C147" s="6"/>
      <c r="D147" s="6"/>
      <c r="E147" s="16" t="str">
        <f aca="false">IF($B147="","",IFERROR(INDEX(Services!$C$2:$C$120,MATCH($B147,Services!$D$2:$D$120,0)),""))</f>
        <v/>
      </c>
      <c r="F147" s="19"/>
      <c r="G147" s="9" t="str">
        <f aca="false">IF(OR($B147="",NOT(ISNUMBER($E147))),"",$E147-IF($F147="",0,$F147))</f>
        <v/>
      </c>
      <c r="H147" s="15" t="str">
        <f aca="false">IF($B147="","",IFERROR(INDEX(Services!$A$2:$A$120,MATCH($B147,Services!$D$2:$D$120,0)),""))</f>
        <v/>
      </c>
      <c r="I147" s="19"/>
      <c r="J147" s="15" t="str">
        <f aca="false">IF($B147="","",IFERROR(INDEX(Services!$E$2:$E$120,MATCH($B147,Services!$D$2:$D$120,0)),""))</f>
        <v/>
      </c>
    </row>
    <row r="148" customFormat="false" ht="14.25" hidden="false" customHeight="false" outlineLevel="0" collapsed="false">
      <c r="A148" s="18"/>
      <c r="B148" s="6"/>
      <c r="C148" s="6"/>
      <c r="D148" s="6"/>
      <c r="E148" s="16" t="str">
        <f aca="false">IF($B148="","",IFERROR(INDEX(Services!$C$2:$C$120,MATCH($B148,Services!$D$2:$D$120,0)),""))</f>
        <v/>
      </c>
      <c r="F148" s="19"/>
      <c r="G148" s="9" t="str">
        <f aca="false">IF(OR($B148="",NOT(ISNUMBER($E148))),"",$E148-IF($F148="",0,$F148))</f>
        <v/>
      </c>
      <c r="H148" s="15" t="str">
        <f aca="false">IF($B148="","",IFERROR(INDEX(Services!$A$2:$A$120,MATCH($B148,Services!$D$2:$D$120,0)),""))</f>
        <v/>
      </c>
      <c r="I148" s="19"/>
      <c r="J148" s="15" t="str">
        <f aca="false">IF($B148="","",IFERROR(INDEX(Services!$E$2:$E$120,MATCH($B148,Services!$D$2:$D$120,0)),""))</f>
        <v/>
      </c>
    </row>
    <row r="149" customFormat="false" ht="14.25" hidden="false" customHeight="false" outlineLevel="0" collapsed="false">
      <c r="A149" s="18"/>
      <c r="B149" s="6"/>
      <c r="C149" s="6"/>
      <c r="D149" s="6"/>
      <c r="E149" s="16" t="str">
        <f aca="false">IF($B149="","",IFERROR(INDEX(Services!$C$2:$C$120,MATCH($B149,Services!$D$2:$D$120,0)),""))</f>
        <v/>
      </c>
      <c r="F149" s="19"/>
      <c r="G149" s="9" t="str">
        <f aca="false">IF(OR($B149="",NOT(ISNUMBER($E149))),"",$E149-IF($F149="",0,$F149))</f>
        <v/>
      </c>
      <c r="H149" s="15" t="str">
        <f aca="false">IF($B149="","",IFERROR(INDEX(Services!$A$2:$A$120,MATCH($B149,Services!$D$2:$D$120,0)),""))</f>
        <v/>
      </c>
      <c r="I149" s="19"/>
      <c r="J149" s="15" t="str">
        <f aca="false">IF($B149="","",IFERROR(INDEX(Services!$E$2:$E$120,MATCH($B149,Services!$D$2:$D$120,0)),""))</f>
        <v/>
      </c>
    </row>
    <row r="150" customFormat="false" ht="14.25" hidden="false" customHeight="false" outlineLevel="0" collapsed="false">
      <c r="A150" s="18"/>
      <c r="B150" s="6"/>
      <c r="C150" s="6"/>
      <c r="D150" s="6"/>
      <c r="E150" s="16" t="str">
        <f aca="false">IF($B150="","",IFERROR(INDEX(Services!$C$2:$C$120,MATCH($B150,Services!$D$2:$D$120,0)),""))</f>
        <v/>
      </c>
      <c r="F150" s="19"/>
      <c r="G150" s="9" t="str">
        <f aca="false">IF(OR($B150="",NOT(ISNUMBER($E150))),"",$E150-IF($F150="",0,$F150))</f>
        <v/>
      </c>
      <c r="H150" s="15" t="str">
        <f aca="false">IF($B150="","",IFERROR(INDEX(Services!$A$2:$A$120,MATCH($B150,Services!$D$2:$D$120,0)),""))</f>
        <v/>
      </c>
      <c r="I150" s="19"/>
      <c r="J150" s="15" t="str">
        <f aca="false">IF($B150="","",IFERROR(INDEX(Services!$E$2:$E$120,MATCH($B150,Services!$D$2:$D$120,0)),""))</f>
        <v/>
      </c>
    </row>
    <row r="151" customFormat="false" ht="14.25" hidden="false" customHeight="false" outlineLevel="0" collapsed="false">
      <c r="A151" s="18"/>
      <c r="B151" s="6"/>
      <c r="C151" s="6"/>
      <c r="D151" s="6"/>
      <c r="E151" s="16" t="str">
        <f aca="false">IF($B151="","",IFERROR(INDEX(Services!$C$2:$C$120,MATCH($B151,Services!$D$2:$D$120,0)),""))</f>
        <v/>
      </c>
      <c r="F151" s="19"/>
      <c r="G151" s="9" t="str">
        <f aca="false">IF(OR($B151="",NOT(ISNUMBER($E151))),"",$E151-IF($F151="",0,$F151))</f>
        <v/>
      </c>
      <c r="H151" s="15" t="str">
        <f aca="false">IF($B151="","",IFERROR(INDEX(Services!$A$2:$A$120,MATCH($B151,Services!$D$2:$D$120,0)),""))</f>
        <v/>
      </c>
      <c r="I151" s="19"/>
      <c r="J151" s="15" t="str">
        <f aca="false">IF($B151="","",IFERROR(INDEX(Services!$E$2:$E$120,MATCH($B151,Services!$D$2:$D$120,0)),""))</f>
        <v/>
      </c>
    </row>
    <row r="152" customFormat="false" ht="14.25" hidden="false" customHeight="false" outlineLevel="0" collapsed="false">
      <c r="A152" s="18"/>
      <c r="B152" s="6"/>
      <c r="C152" s="6"/>
      <c r="D152" s="6"/>
      <c r="E152" s="16" t="str">
        <f aca="false">IF($B152="","",IFERROR(INDEX(Services!$C$2:$C$120,MATCH($B152,Services!$D$2:$D$120,0)),""))</f>
        <v/>
      </c>
      <c r="F152" s="19"/>
      <c r="G152" s="9" t="str">
        <f aca="false">IF(OR($B152="",NOT(ISNUMBER($E152))),"",$E152-IF($F152="",0,$F152))</f>
        <v/>
      </c>
      <c r="H152" s="15" t="str">
        <f aca="false">IF($B152="","",IFERROR(INDEX(Services!$A$2:$A$120,MATCH($B152,Services!$D$2:$D$120,0)),""))</f>
        <v/>
      </c>
      <c r="I152" s="19"/>
      <c r="J152" s="15" t="str">
        <f aca="false">IF($B152="","",IFERROR(INDEX(Services!$E$2:$E$120,MATCH($B152,Services!$D$2:$D$120,0)),""))</f>
        <v/>
      </c>
    </row>
    <row r="153" customFormat="false" ht="14.25" hidden="false" customHeight="false" outlineLevel="0" collapsed="false">
      <c r="A153" s="18"/>
      <c r="B153" s="6"/>
      <c r="C153" s="6"/>
      <c r="D153" s="6"/>
      <c r="E153" s="16" t="str">
        <f aca="false">IF($B153="","",IFERROR(INDEX(Services!$C$2:$C$120,MATCH($B153,Services!$D$2:$D$120,0)),""))</f>
        <v/>
      </c>
      <c r="F153" s="19"/>
      <c r="G153" s="9" t="str">
        <f aca="false">IF(OR($B153="",NOT(ISNUMBER($E153))),"",$E153-IF($F153="",0,$F153))</f>
        <v/>
      </c>
      <c r="H153" s="15" t="str">
        <f aca="false">IF($B153="","",IFERROR(INDEX(Services!$A$2:$A$120,MATCH($B153,Services!$D$2:$D$120,0)),""))</f>
        <v/>
      </c>
      <c r="I153" s="19"/>
      <c r="J153" s="15" t="str">
        <f aca="false">IF($B153="","",IFERROR(INDEX(Services!$E$2:$E$120,MATCH($B153,Services!$D$2:$D$120,0)),""))</f>
        <v/>
      </c>
    </row>
    <row r="154" customFormat="false" ht="14.25" hidden="false" customHeight="false" outlineLevel="0" collapsed="false">
      <c r="A154" s="18"/>
      <c r="B154" s="6"/>
      <c r="C154" s="6"/>
      <c r="D154" s="6"/>
      <c r="E154" s="16" t="str">
        <f aca="false">IF($B154="","",IFERROR(INDEX(Services!$C$2:$C$120,MATCH($B154,Services!$D$2:$D$120,0)),""))</f>
        <v/>
      </c>
      <c r="F154" s="19"/>
      <c r="G154" s="9" t="str">
        <f aca="false">IF(OR($B154="",NOT(ISNUMBER($E154))),"",$E154-IF($F154="",0,$F154))</f>
        <v/>
      </c>
      <c r="H154" s="15" t="str">
        <f aca="false">IF($B154="","",IFERROR(INDEX(Services!$A$2:$A$120,MATCH($B154,Services!$D$2:$D$120,0)),""))</f>
        <v/>
      </c>
      <c r="I154" s="19"/>
      <c r="J154" s="15" t="str">
        <f aca="false">IF($B154="","",IFERROR(INDEX(Services!$E$2:$E$120,MATCH($B154,Services!$D$2:$D$120,0)),""))</f>
        <v/>
      </c>
    </row>
    <row r="155" customFormat="false" ht="14.25" hidden="false" customHeight="false" outlineLevel="0" collapsed="false">
      <c r="A155" s="18"/>
      <c r="B155" s="6"/>
      <c r="C155" s="6"/>
      <c r="D155" s="6"/>
      <c r="E155" s="16" t="str">
        <f aca="false">IF($B155="","",IFERROR(INDEX(Services!$C$2:$C$120,MATCH($B155,Services!$D$2:$D$120,0)),""))</f>
        <v/>
      </c>
      <c r="F155" s="19"/>
      <c r="G155" s="9" t="str">
        <f aca="false">IF(OR($B155="",NOT(ISNUMBER($E155))),"",$E155-IF($F155="",0,$F155))</f>
        <v/>
      </c>
      <c r="H155" s="15" t="str">
        <f aca="false">IF($B155="","",IFERROR(INDEX(Services!$A$2:$A$120,MATCH($B155,Services!$D$2:$D$120,0)),""))</f>
        <v/>
      </c>
      <c r="I155" s="19"/>
      <c r="J155" s="15" t="str">
        <f aca="false">IF($B155="","",IFERROR(INDEX(Services!$E$2:$E$120,MATCH($B155,Services!$D$2:$D$120,0)),""))</f>
        <v/>
      </c>
    </row>
    <row r="156" customFormat="false" ht="14.25" hidden="false" customHeight="false" outlineLevel="0" collapsed="false">
      <c r="A156" s="18"/>
      <c r="B156" s="6"/>
      <c r="C156" s="6"/>
      <c r="D156" s="6"/>
      <c r="E156" s="16" t="str">
        <f aca="false">IF($B156="","",IFERROR(INDEX(Services!$C$2:$C$120,MATCH($B156,Services!$D$2:$D$120,0)),""))</f>
        <v/>
      </c>
      <c r="F156" s="19"/>
      <c r="G156" s="9" t="str">
        <f aca="false">IF(OR($B156="",NOT(ISNUMBER($E156))),"",$E156-IF($F156="",0,$F156))</f>
        <v/>
      </c>
      <c r="H156" s="15" t="str">
        <f aca="false">IF($B156="","",IFERROR(INDEX(Services!$A$2:$A$120,MATCH($B156,Services!$D$2:$D$120,0)),""))</f>
        <v/>
      </c>
      <c r="I156" s="19"/>
      <c r="J156" s="15" t="str">
        <f aca="false">IF($B156="","",IFERROR(INDEX(Services!$E$2:$E$120,MATCH($B156,Services!$D$2:$D$120,0)),""))</f>
        <v/>
      </c>
    </row>
    <row r="157" customFormat="false" ht="14.25" hidden="false" customHeight="false" outlineLevel="0" collapsed="false">
      <c r="A157" s="18"/>
      <c r="B157" s="6"/>
      <c r="C157" s="6"/>
      <c r="D157" s="6"/>
      <c r="E157" s="16" t="str">
        <f aca="false">IF($B157="","",IFERROR(INDEX(Services!$C$2:$C$120,MATCH($B157,Services!$D$2:$D$120,0)),""))</f>
        <v/>
      </c>
      <c r="F157" s="19"/>
      <c r="G157" s="9" t="str">
        <f aca="false">IF(OR($B157="",NOT(ISNUMBER($E157))),"",$E157-IF($F157="",0,$F157))</f>
        <v/>
      </c>
      <c r="H157" s="15" t="str">
        <f aca="false">IF($B157="","",IFERROR(INDEX(Services!$A$2:$A$120,MATCH($B157,Services!$D$2:$D$120,0)),""))</f>
        <v/>
      </c>
      <c r="I157" s="19"/>
      <c r="J157" s="15" t="str">
        <f aca="false">IF($B157="","",IFERROR(INDEX(Services!$E$2:$E$120,MATCH($B157,Services!$D$2:$D$120,0)),""))</f>
        <v/>
      </c>
    </row>
    <row r="158" customFormat="false" ht="14.25" hidden="false" customHeight="false" outlineLevel="0" collapsed="false">
      <c r="A158" s="18"/>
      <c r="B158" s="6"/>
      <c r="C158" s="6"/>
      <c r="D158" s="6"/>
      <c r="E158" s="16" t="str">
        <f aca="false">IF($B158="","",IFERROR(INDEX(Services!$C$2:$C$120,MATCH($B158,Services!$D$2:$D$120,0)),""))</f>
        <v/>
      </c>
      <c r="F158" s="19"/>
      <c r="G158" s="9" t="str">
        <f aca="false">IF(OR($B158="",NOT(ISNUMBER($E158))),"",$E158-IF($F158="",0,$F158))</f>
        <v/>
      </c>
      <c r="H158" s="15" t="str">
        <f aca="false">IF($B158="","",IFERROR(INDEX(Services!$A$2:$A$120,MATCH($B158,Services!$D$2:$D$120,0)),""))</f>
        <v/>
      </c>
      <c r="I158" s="19"/>
      <c r="J158" s="15" t="str">
        <f aca="false">IF($B158="","",IFERROR(INDEX(Services!$E$2:$E$120,MATCH($B158,Services!$D$2:$D$120,0)),""))</f>
        <v/>
      </c>
    </row>
    <row r="159" customFormat="false" ht="14.25" hidden="false" customHeight="false" outlineLevel="0" collapsed="false">
      <c r="A159" s="18"/>
      <c r="B159" s="6"/>
      <c r="C159" s="6"/>
      <c r="D159" s="6"/>
      <c r="E159" s="16" t="str">
        <f aca="false">IF($B159="","",IFERROR(INDEX(Services!$C$2:$C$120,MATCH($B159,Services!$D$2:$D$120,0)),""))</f>
        <v/>
      </c>
      <c r="F159" s="19"/>
      <c r="G159" s="9" t="str">
        <f aca="false">IF(OR($B159="",NOT(ISNUMBER($E159))),"",$E159-IF($F159="",0,$F159))</f>
        <v/>
      </c>
      <c r="H159" s="15" t="str">
        <f aca="false">IF($B159="","",IFERROR(INDEX(Services!$A$2:$A$120,MATCH($B159,Services!$D$2:$D$120,0)),""))</f>
        <v/>
      </c>
      <c r="I159" s="19"/>
      <c r="J159" s="15" t="str">
        <f aca="false">IF($B159="","",IFERROR(INDEX(Services!$E$2:$E$120,MATCH($B159,Services!$D$2:$D$120,0)),""))</f>
        <v/>
      </c>
    </row>
    <row r="160" customFormat="false" ht="14.25" hidden="false" customHeight="false" outlineLevel="0" collapsed="false">
      <c r="A160" s="18"/>
      <c r="B160" s="6"/>
      <c r="C160" s="6"/>
      <c r="D160" s="6"/>
      <c r="E160" s="16" t="str">
        <f aca="false">IF($B160="","",IFERROR(INDEX(Services!$C$2:$C$120,MATCH($B160,Services!$D$2:$D$120,0)),""))</f>
        <v/>
      </c>
      <c r="F160" s="19"/>
      <c r="G160" s="9" t="str">
        <f aca="false">IF(OR($B160="",NOT(ISNUMBER($E160))),"",$E160-IF($F160="",0,$F160))</f>
        <v/>
      </c>
      <c r="H160" s="15" t="str">
        <f aca="false">IF($B160="","",IFERROR(INDEX(Services!$A$2:$A$120,MATCH($B160,Services!$D$2:$D$120,0)),""))</f>
        <v/>
      </c>
      <c r="I160" s="19"/>
      <c r="J160" s="15" t="str">
        <f aca="false">IF($B160="","",IFERROR(INDEX(Services!$E$2:$E$120,MATCH($B160,Services!$D$2:$D$120,0)),""))</f>
        <v/>
      </c>
    </row>
    <row r="161" customFormat="false" ht="14.25" hidden="false" customHeight="false" outlineLevel="0" collapsed="false">
      <c r="A161" s="18"/>
      <c r="B161" s="6"/>
      <c r="C161" s="6"/>
      <c r="D161" s="6"/>
      <c r="E161" s="16" t="str">
        <f aca="false">IF($B161="","",IFERROR(INDEX(Services!$C$2:$C$120,MATCH($B161,Services!$D$2:$D$120,0)),""))</f>
        <v/>
      </c>
      <c r="F161" s="19"/>
      <c r="G161" s="9" t="str">
        <f aca="false">IF(OR($B161="",NOT(ISNUMBER($E161))),"",$E161-IF($F161="",0,$F161))</f>
        <v/>
      </c>
      <c r="H161" s="15" t="str">
        <f aca="false">IF($B161="","",IFERROR(INDEX(Services!$A$2:$A$120,MATCH($B161,Services!$D$2:$D$120,0)),""))</f>
        <v/>
      </c>
      <c r="I161" s="19"/>
      <c r="J161" s="15" t="str">
        <f aca="false">IF($B161="","",IFERROR(INDEX(Services!$E$2:$E$120,MATCH($B161,Services!$D$2:$D$120,0)),""))</f>
        <v/>
      </c>
    </row>
    <row r="162" customFormat="false" ht="14.25" hidden="false" customHeight="false" outlineLevel="0" collapsed="false">
      <c r="A162" s="18"/>
      <c r="B162" s="6"/>
      <c r="C162" s="6"/>
      <c r="D162" s="6"/>
      <c r="E162" s="16" t="str">
        <f aca="false">IF($B162="","",IFERROR(INDEX(Services!$C$2:$C$120,MATCH($B162,Services!$D$2:$D$120,0)),""))</f>
        <v/>
      </c>
      <c r="F162" s="19"/>
      <c r="G162" s="9" t="str">
        <f aca="false">IF(OR($B162="",NOT(ISNUMBER($E162))),"",$E162-IF($F162="",0,$F162))</f>
        <v/>
      </c>
      <c r="H162" s="15" t="str">
        <f aca="false">IF($B162="","",IFERROR(INDEX(Services!$A$2:$A$120,MATCH($B162,Services!$D$2:$D$120,0)),""))</f>
        <v/>
      </c>
      <c r="I162" s="19"/>
      <c r="J162" s="15" t="str">
        <f aca="false">IF($B162="","",IFERROR(INDEX(Services!$E$2:$E$120,MATCH($B162,Services!$D$2:$D$120,0)),""))</f>
        <v/>
      </c>
    </row>
    <row r="163" customFormat="false" ht="14.25" hidden="false" customHeight="false" outlineLevel="0" collapsed="false">
      <c r="A163" s="18"/>
      <c r="B163" s="6"/>
      <c r="C163" s="6"/>
      <c r="D163" s="6"/>
      <c r="E163" s="16" t="str">
        <f aca="false">IF($B163="","",IFERROR(INDEX(Services!$C$2:$C$120,MATCH($B163,Services!$D$2:$D$120,0)),""))</f>
        <v/>
      </c>
      <c r="F163" s="19"/>
      <c r="G163" s="9" t="str">
        <f aca="false">IF(OR($B163="",NOT(ISNUMBER($E163))),"",$E163-IF($F163="",0,$F163))</f>
        <v/>
      </c>
      <c r="H163" s="15" t="str">
        <f aca="false">IF($B163="","",IFERROR(INDEX(Services!$A$2:$A$120,MATCH($B163,Services!$D$2:$D$120,0)),""))</f>
        <v/>
      </c>
      <c r="I163" s="19"/>
      <c r="J163" s="15" t="str">
        <f aca="false">IF($B163="","",IFERROR(INDEX(Services!$E$2:$E$120,MATCH($B163,Services!$D$2:$D$120,0)),""))</f>
        <v/>
      </c>
    </row>
    <row r="164" customFormat="false" ht="14.25" hidden="false" customHeight="false" outlineLevel="0" collapsed="false">
      <c r="A164" s="18"/>
      <c r="B164" s="6"/>
      <c r="C164" s="6"/>
      <c r="D164" s="6"/>
      <c r="E164" s="16" t="str">
        <f aca="false">IF($B164="","",IFERROR(INDEX(Services!$C$2:$C$120,MATCH($B164,Services!$D$2:$D$120,0)),""))</f>
        <v/>
      </c>
      <c r="F164" s="19"/>
      <c r="G164" s="9" t="str">
        <f aca="false">IF(OR($B164="",NOT(ISNUMBER($E164))),"",$E164-IF($F164="",0,$F164))</f>
        <v/>
      </c>
      <c r="H164" s="15" t="str">
        <f aca="false">IF($B164="","",IFERROR(INDEX(Services!$A$2:$A$120,MATCH($B164,Services!$D$2:$D$120,0)),""))</f>
        <v/>
      </c>
      <c r="I164" s="19"/>
      <c r="J164" s="15" t="str">
        <f aca="false">IF($B164="","",IFERROR(INDEX(Services!$E$2:$E$120,MATCH($B164,Services!$D$2:$D$120,0)),""))</f>
        <v/>
      </c>
    </row>
    <row r="165" customFormat="false" ht="14.25" hidden="false" customHeight="false" outlineLevel="0" collapsed="false">
      <c r="A165" s="18"/>
      <c r="B165" s="6"/>
      <c r="C165" s="6"/>
      <c r="D165" s="6"/>
      <c r="E165" s="16" t="str">
        <f aca="false">IF($B165="","",IFERROR(INDEX(Services!$C$2:$C$120,MATCH($B165,Services!$D$2:$D$120,0)),""))</f>
        <v/>
      </c>
      <c r="F165" s="19"/>
      <c r="G165" s="9" t="str">
        <f aca="false">IF(OR($B165="",NOT(ISNUMBER($E165))),"",$E165-IF($F165="",0,$F165))</f>
        <v/>
      </c>
      <c r="H165" s="15" t="str">
        <f aca="false">IF($B165="","",IFERROR(INDEX(Services!$A$2:$A$120,MATCH($B165,Services!$D$2:$D$120,0)),""))</f>
        <v/>
      </c>
      <c r="I165" s="19"/>
      <c r="J165" s="15" t="str">
        <f aca="false">IF($B165="","",IFERROR(INDEX(Services!$E$2:$E$120,MATCH($B165,Services!$D$2:$D$120,0)),""))</f>
        <v/>
      </c>
    </row>
    <row r="166" customFormat="false" ht="14.25" hidden="false" customHeight="false" outlineLevel="0" collapsed="false">
      <c r="A166" s="18"/>
      <c r="B166" s="6"/>
      <c r="C166" s="6"/>
      <c r="D166" s="6"/>
      <c r="E166" s="16" t="str">
        <f aca="false">IF($B166="","",IFERROR(INDEX(Services!$C$2:$C$120,MATCH($B166,Services!$D$2:$D$120,0)),""))</f>
        <v/>
      </c>
      <c r="F166" s="19"/>
      <c r="G166" s="9" t="str">
        <f aca="false">IF(OR($B166="",NOT(ISNUMBER($E166))),"",$E166-IF($F166="",0,$F166))</f>
        <v/>
      </c>
      <c r="H166" s="15" t="str">
        <f aca="false">IF($B166="","",IFERROR(INDEX(Services!$A$2:$A$120,MATCH($B166,Services!$D$2:$D$120,0)),""))</f>
        <v/>
      </c>
      <c r="I166" s="19"/>
      <c r="J166" s="15" t="str">
        <f aca="false">IF($B166="","",IFERROR(INDEX(Services!$E$2:$E$120,MATCH($B166,Services!$D$2:$D$120,0)),""))</f>
        <v/>
      </c>
    </row>
    <row r="167" customFormat="false" ht="14.25" hidden="false" customHeight="false" outlineLevel="0" collapsed="false">
      <c r="A167" s="18"/>
      <c r="B167" s="6"/>
      <c r="C167" s="6"/>
      <c r="D167" s="6"/>
      <c r="E167" s="16" t="str">
        <f aca="false">IF($B167="","",IFERROR(INDEX(Services!$C$2:$C$120,MATCH($B167,Services!$D$2:$D$120,0)),""))</f>
        <v/>
      </c>
      <c r="F167" s="19"/>
      <c r="G167" s="9" t="str">
        <f aca="false">IF(OR($B167="",NOT(ISNUMBER($E167))),"",$E167-IF($F167="",0,$F167))</f>
        <v/>
      </c>
      <c r="H167" s="15" t="str">
        <f aca="false">IF($B167="","",IFERROR(INDEX(Services!$A$2:$A$120,MATCH($B167,Services!$D$2:$D$120,0)),""))</f>
        <v/>
      </c>
      <c r="I167" s="19"/>
      <c r="J167" s="15" t="str">
        <f aca="false">IF($B167="","",IFERROR(INDEX(Services!$E$2:$E$120,MATCH($B167,Services!$D$2:$D$120,0)),""))</f>
        <v/>
      </c>
    </row>
    <row r="168" customFormat="false" ht="14.25" hidden="false" customHeight="false" outlineLevel="0" collapsed="false">
      <c r="A168" s="18"/>
      <c r="B168" s="6"/>
      <c r="C168" s="6"/>
      <c r="D168" s="6"/>
      <c r="E168" s="16" t="str">
        <f aca="false">IF($B168="","",IFERROR(INDEX(Services!$C$2:$C$120,MATCH($B168,Services!$D$2:$D$120,0)),""))</f>
        <v/>
      </c>
      <c r="F168" s="19"/>
      <c r="G168" s="9" t="str">
        <f aca="false">IF(OR($B168="",NOT(ISNUMBER($E168))),"",$E168-IF($F168="",0,$F168))</f>
        <v/>
      </c>
      <c r="H168" s="15" t="str">
        <f aca="false">IF($B168="","",IFERROR(INDEX(Services!$A$2:$A$120,MATCH($B168,Services!$D$2:$D$120,0)),""))</f>
        <v/>
      </c>
      <c r="I168" s="19"/>
      <c r="J168" s="15" t="str">
        <f aca="false">IF($B168="","",IFERROR(INDEX(Services!$E$2:$E$120,MATCH($B168,Services!$D$2:$D$120,0)),""))</f>
        <v/>
      </c>
    </row>
    <row r="169" customFormat="false" ht="14.25" hidden="false" customHeight="false" outlineLevel="0" collapsed="false">
      <c r="A169" s="18"/>
      <c r="B169" s="6"/>
      <c r="C169" s="6"/>
      <c r="D169" s="6"/>
      <c r="E169" s="16" t="str">
        <f aca="false">IF($B169="","",IFERROR(INDEX(Services!$C$2:$C$120,MATCH($B169,Services!$D$2:$D$120,0)),""))</f>
        <v/>
      </c>
      <c r="F169" s="19"/>
      <c r="G169" s="9" t="str">
        <f aca="false">IF(OR($B169="",NOT(ISNUMBER($E169))),"",$E169-IF($F169="",0,$F169))</f>
        <v/>
      </c>
      <c r="H169" s="15" t="str">
        <f aca="false">IF($B169="","",IFERROR(INDEX(Services!$A$2:$A$120,MATCH($B169,Services!$D$2:$D$120,0)),""))</f>
        <v/>
      </c>
      <c r="I169" s="19"/>
      <c r="J169" s="15" t="str">
        <f aca="false">IF($B169="","",IFERROR(INDEX(Services!$E$2:$E$120,MATCH($B169,Services!$D$2:$D$120,0)),""))</f>
        <v/>
      </c>
    </row>
    <row r="170" customFormat="false" ht="14.25" hidden="false" customHeight="false" outlineLevel="0" collapsed="false">
      <c r="A170" s="18"/>
      <c r="B170" s="6"/>
      <c r="C170" s="6"/>
      <c r="D170" s="6"/>
      <c r="E170" s="16" t="str">
        <f aca="false">IF($B170="","",IFERROR(INDEX(Services!$C$2:$C$120,MATCH($B170,Services!$D$2:$D$120,0)),""))</f>
        <v/>
      </c>
      <c r="F170" s="19"/>
      <c r="G170" s="9" t="str">
        <f aca="false">IF(OR($B170="",NOT(ISNUMBER($E170))),"",$E170-IF($F170="",0,$F170))</f>
        <v/>
      </c>
      <c r="H170" s="15" t="str">
        <f aca="false">IF($B170="","",IFERROR(INDEX(Services!$A$2:$A$120,MATCH($B170,Services!$D$2:$D$120,0)),""))</f>
        <v/>
      </c>
      <c r="I170" s="19"/>
      <c r="J170" s="15" t="str">
        <f aca="false">IF($B170="","",IFERROR(INDEX(Services!$E$2:$E$120,MATCH($B170,Services!$D$2:$D$120,0)),""))</f>
        <v/>
      </c>
    </row>
    <row r="171" customFormat="false" ht="14.25" hidden="false" customHeight="false" outlineLevel="0" collapsed="false">
      <c r="A171" s="18"/>
      <c r="B171" s="6"/>
      <c r="C171" s="6"/>
      <c r="D171" s="6"/>
      <c r="E171" s="16" t="str">
        <f aca="false">IF($B171="","",IFERROR(INDEX(Services!$C$2:$C$120,MATCH($B171,Services!$D$2:$D$120,0)),""))</f>
        <v/>
      </c>
      <c r="F171" s="19"/>
      <c r="G171" s="9" t="str">
        <f aca="false">IF(OR($B171="",NOT(ISNUMBER($E171))),"",$E171-IF($F171="",0,$F171))</f>
        <v/>
      </c>
      <c r="H171" s="15" t="str">
        <f aca="false">IF($B171="","",IFERROR(INDEX(Services!$A$2:$A$120,MATCH($B171,Services!$D$2:$D$120,0)),""))</f>
        <v/>
      </c>
      <c r="I171" s="19"/>
      <c r="J171" s="15" t="str">
        <f aca="false">IF($B171="","",IFERROR(INDEX(Services!$E$2:$E$120,MATCH($B171,Services!$D$2:$D$120,0)),""))</f>
        <v/>
      </c>
    </row>
    <row r="172" customFormat="false" ht="14.25" hidden="false" customHeight="false" outlineLevel="0" collapsed="false">
      <c r="A172" s="18"/>
      <c r="B172" s="6"/>
      <c r="C172" s="6"/>
      <c r="D172" s="6"/>
      <c r="E172" s="16" t="str">
        <f aca="false">IF($B172="","",IFERROR(INDEX(Services!$C$2:$C$120,MATCH($B172,Services!$D$2:$D$120,0)),""))</f>
        <v/>
      </c>
      <c r="F172" s="19"/>
      <c r="G172" s="9" t="str">
        <f aca="false">IF(OR($B172="",NOT(ISNUMBER($E172))),"",$E172-IF($F172="",0,$F172))</f>
        <v/>
      </c>
      <c r="H172" s="15" t="str">
        <f aca="false">IF($B172="","",IFERROR(INDEX(Services!$A$2:$A$120,MATCH($B172,Services!$D$2:$D$120,0)),""))</f>
        <v/>
      </c>
      <c r="I172" s="19"/>
      <c r="J172" s="15" t="str">
        <f aca="false">IF($B172="","",IFERROR(INDEX(Services!$E$2:$E$120,MATCH($B172,Services!$D$2:$D$120,0)),""))</f>
        <v/>
      </c>
    </row>
    <row r="173" customFormat="false" ht="14.25" hidden="false" customHeight="false" outlineLevel="0" collapsed="false">
      <c r="A173" s="18"/>
      <c r="B173" s="6"/>
      <c r="C173" s="6"/>
      <c r="D173" s="6"/>
      <c r="E173" s="16" t="str">
        <f aca="false">IF($B173="","",IFERROR(INDEX(Services!$C$2:$C$120,MATCH($B173,Services!$D$2:$D$120,0)),""))</f>
        <v/>
      </c>
      <c r="F173" s="19"/>
      <c r="G173" s="9" t="str">
        <f aca="false">IF(OR($B173="",NOT(ISNUMBER($E173))),"",$E173-IF($F173="",0,$F173))</f>
        <v/>
      </c>
      <c r="H173" s="15" t="str">
        <f aca="false">IF($B173="","",IFERROR(INDEX(Services!$A$2:$A$120,MATCH($B173,Services!$D$2:$D$120,0)),""))</f>
        <v/>
      </c>
      <c r="I173" s="19"/>
      <c r="J173" s="15" t="str">
        <f aca="false">IF($B173="","",IFERROR(INDEX(Services!$E$2:$E$120,MATCH($B173,Services!$D$2:$D$120,0)),""))</f>
        <v/>
      </c>
    </row>
    <row r="174" customFormat="false" ht="14.25" hidden="false" customHeight="false" outlineLevel="0" collapsed="false">
      <c r="A174" s="18"/>
      <c r="B174" s="6"/>
      <c r="C174" s="6"/>
      <c r="D174" s="6"/>
      <c r="E174" s="16" t="str">
        <f aca="false">IF($B174="","",IFERROR(INDEX(Services!$C$2:$C$120,MATCH($B174,Services!$D$2:$D$120,0)),""))</f>
        <v/>
      </c>
      <c r="F174" s="19"/>
      <c r="G174" s="9" t="str">
        <f aca="false">IF(OR($B174="",NOT(ISNUMBER($E174))),"",$E174-IF($F174="",0,$F174))</f>
        <v/>
      </c>
      <c r="H174" s="15" t="str">
        <f aca="false">IF($B174="","",IFERROR(INDEX(Services!$A$2:$A$120,MATCH($B174,Services!$D$2:$D$120,0)),""))</f>
        <v/>
      </c>
      <c r="I174" s="19"/>
      <c r="J174" s="15" t="str">
        <f aca="false">IF($B174="","",IFERROR(INDEX(Services!$E$2:$E$120,MATCH($B174,Services!$D$2:$D$120,0)),""))</f>
        <v/>
      </c>
    </row>
    <row r="175" customFormat="false" ht="14.25" hidden="false" customHeight="false" outlineLevel="0" collapsed="false">
      <c r="A175" s="18"/>
      <c r="B175" s="6"/>
      <c r="C175" s="6"/>
      <c r="D175" s="6"/>
      <c r="E175" s="16" t="str">
        <f aca="false">IF($B175="","",IFERROR(INDEX(Services!$C$2:$C$120,MATCH($B175,Services!$D$2:$D$120,0)),""))</f>
        <v/>
      </c>
      <c r="F175" s="19"/>
      <c r="G175" s="9" t="str">
        <f aca="false">IF(OR($B175="",NOT(ISNUMBER($E175))),"",$E175-IF($F175="",0,$F175))</f>
        <v/>
      </c>
      <c r="H175" s="15" t="str">
        <f aca="false">IF($B175="","",IFERROR(INDEX(Services!$A$2:$A$120,MATCH($B175,Services!$D$2:$D$120,0)),""))</f>
        <v/>
      </c>
      <c r="I175" s="19"/>
      <c r="J175" s="15" t="str">
        <f aca="false">IF($B175="","",IFERROR(INDEX(Services!$E$2:$E$120,MATCH($B175,Services!$D$2:$D$120,0)),""))</f>
        <v/>
      </c>
    </row>
    <row r="176" customFormat="false" ht="14.25" hidden="false" customHeight="false" outlineLevel="0" collapsed="false">
      <c r="A176" s="18"/>
      <c r="B176" s="6"/>
      <c r="C176" s="6"/>
      <c r="D176" s="6"/>
      <c r="E176" s="16" t="str">
        <f aca="false">IF($B176="","",IFERROR(INDEX(Services!$C$2:$C$120,MATCH($B176,Services!$D$2:$D$120,0)),""))</f>
        <v/>
      </c>
      <c r="F176" s="19"/>
      <c r="G176" s="9" t="str">
        <f aca="false">IF(OR($B176="",NOT(ISNUMBER($E176))),"",$E176-IF($F176="",0,$F176))</f>
        <v/>
      </c>
      <c r="H176" s="15" t="str">
        <f aca="false">IF($B176="","",IFERROR(INDEX(Services!$A$2:$A$120,MATCH($B176,Services!$D$2:$D$120,0)),""))</f>
        <v/>
      </c>
      <c r="I176" s="19"/>
      <c r="J176" s="15" t="str">
        <f aca="false">IF($B176="","",IFERROR(INDEX(Services!$E$2:$E$120,MATCH($B176,Services!$D$2:$D$120,0)),""))</f>
        <v/>
      </c>
    </row>
    <row r="177" customFormat="false" ht="14.25" hidden="false" customHeight="false" outlineLevel="0" collapsed="false">
      <c r="A177" s="18"/>
      <c r="B177" s="6"/>
      <c r="C177" s="6"/>
      <c r="D177" s="6"/>
      <c r="E177" s="16" t="str">
        <f aca="false">IF($B177="","",IFERROR(INDEX(Services!$C$2:$C$120,MATCH($B177,Services!$D$2:$D$120,0)),""))</f>
        <v/>
      </c>
      <c r="F177" s="19"/>
      <c r="G177" s="9" t="str">
        <f aca="false">IF(OR($B177="",NOT(ISNUMBER($E177))),"",$E177-IF($F177="",0,$F177))</f>
        <v/>
      </c>
      <c r="H177" s="15" t="str">
        <f aca="false">IF($B177="","",IFERROR(INDEX(Services!$A$2:$A$120,MATCH($B177,Services!$D$2:$D$120,0)),""))</f>
        <v/>
      </c>
      <c r="I177" s="19"/>
      <c r="J177" s="15" t="str">
        <f aca="false">IF($B177="","",IFERROR(INDEX(Services!$E$2:$E$120,MATCH($B177,Services!$D$2:$D$120,0)),""))</f>
        <v/>
      </c>
    </row>
    <row r="178" customFormat="false" ht="14.25" hidden="false" customHeight="false" outlineLevel="0" collapsed="false">
      <c r="A178" s="18"/>
      <c r="B178" s="6"/>
      <c r="C178" s="6"/>
      <c r="D178" s="6"/>
      <c r="E178" s="16" t="str">
        <f aca="false">IF($B178="","",IFERROR(INDEX(Services!$C$2:$C$120,MATCH($B178,Services!$D$2:$D$120,0)),""))</f>
        <v/>
      </c>
      <c r="F178" s="19"/>
      <c r="G178" s="9" t="str">
        <f aca="false">IF(OR($B178="",NOT(ISNUMBER($E178))),"",$E178-IF($F178="",0,$F178))</f>
        <v/>
      </c>
      <c r="H178" s="15" t="str">
        <f aca="false">IF($B178="","",IFERROR(INDEX(Services!$A$2:$A$120,MATCH($B178,Services!$D$2:$D$120,0)),""))</f>
        <v/>
      </c>
      <c r="I178" s="19"/>
      <c r="J178" s="15" t="str">
        <f aca="false">IF($B178="","",IFERROR(INDEX(Services!$E$2:$E$120,MATCH($B178,Services!$D$2:$D$120,0)),""))</f>
        <v/>
      </c>
    </row>
    <row r="179" customFormat="false" ht="14.25" hidden="false" customHeight="false" outlineLevel="0" collapsed="false">
      <c r="A179" s="18"/>
      <c r="B179" s="6"/>
      <c r="C179" s="6"/>
      <c r="D179" s="6"/>
      <c r="E179" s="16" t="str">
        <f aca="false">IF($B179="","",IFERROR(INDEX(Services!$C$2:$C$120,MATCH($B179,Services!$D$2:$D$120,0)),""))</f>
        <v/>
      </c>
      <c r="F179" s="19"/>
      <c r="G179" s="9" t="str">
        <f aca="false">IF(OR($B179="",NOT(ISNUMBER($E179))),"",$E179-IF($F179="",0,$F179))</f>
        <v/>
      </c>
      <c r="H179" s="15" t="str">
        <f aca="false">IF($B179="","",IFERROR(INDEX(Services!$A$2:$A$120,MATCH($B179,Services!$D$2:$D$120,0)),""))</f>
        <v/>
      </c>
      <c r="I179" s="19"/>
      <c r="J179" s="15" t="str">
        <f aca="false">IF($B179="","",IFERROR(INDEX(Services!$E$2:$E$120,MATCH($B179,Services!$D$2:$D$120,0)),""))</f>
        <v/>
      </c>
    </row>
    <row r="180" customFormat="false" ht="14.25" hidden="false" customHeight="false" outlineLevel="0" collapsed="false">
      <c r="A180" s="18"/>
      <c r="B180" s="6"/>
      <c r="C180" s="6"/>
      <c r="D180" s="6"/>
      <c r="E180" s="16" t="str">
        <f aca="false">IF($B180="","",IFERROR(INDEX(Services!$C$2:$C$120,MATCH($B180,Services!$D$2:$D$120,0)),""))</f>
        <v/>
      </c>
      <c r="F180" s="19"/>
      <c r="G180" s="9" t="str">
        <f aca="false">IF(OR($B180="",NOT(ISNUMBER($E180))),"",$E180-IF($F180="",0,$F180))</f>
        <v/>
      </c>
      <c r="H180" s="15" t="str">
        <f aca="false">IF($B180="","",IFERROR(INDEX(Services!$A$2:$A$120,MATCH($B180,Services!$D$2:$D$120,0)),""))</f>
        <v/>
      </c>
      <c r="I180" s="19"/>
      <c r="J180" s="15" t="str">
        <f aca="false">IF($B180="","",IFERROR(INDEX(Services!$E$2:$E$120,MATCH($B180,Services!$D$2:$D$120,0)),""))</f>
        <v/>
      </c>
    </row>
    <row r="181" customFormat="false" ht="14.25" hidden="false" customHeight="false" outlineLevel="0" collapsed="false">
      <c r="A181" s="18"/>
      <c r="B181" s="6"/>
      <c r="C181" s="6"/>
      <c r="D181" s="6"/>
      <c r="E181" s="16" t="str">
        <f aca="false">IF($B181="","",IFERROR(INDEX(Services!$C$2:$C$120,MATCH($B181,Services!$D$2:$D$120,0)),""))</f>
        <v/>
      </c>
      <c r="F181" s="19"/>
      <c r="G181" s="9" t="str">
        <f aca="false">IF(OR($B181="",NOT(ISNUMBER($E181))),"",$E181-IF($F181="",0,$F181))</f>
        <v/>
      </c>
      <c r="H181" s="15" t="str">
        <f aca="false">IF($B181="","",IFERROR(INDEX(Services!$A$2:$A$120,MATCH($B181,Services!$D$2:$D$120,0)),""))</f>
        <v/>
      </c>
      <c r="I181" s="19"/>
      <c r="J181" s="15" t="str">
        <f aca="false">IF($B181="","",IFERROR(INDEX(Services!$E$2:$E$120,MATCH($B181,Services!$D$2:$D$120,0)),""))</f>
        <v/>
      </c>
    </row>
    <row r="182" customFormat="false" ht="14.25" hidden="false" customHeight="false" outlineLevel="0" collapsed="false">
      <c r="A182" s="18"/>
      <c r="B182" s="6"/>
      <c r="C182" s="6"/>
      <c r="D182" s="6"/>
      <c r="E182" s="16" t="str">
        <f aca="false">IF($B182="","",IFERROR(INDEX(Services!$C$2:$C$120,MATCH($B182,Services!$D$2:$D$120,0)),""))</f>
        <v/>
      </c>
      <c r="F182" s="19"/>
      <c r="G182" s="9" t="str">
        <f aca="false">IF(OR($B182="",NOT(ISNUMBER($E182))),"",$E182-IF($F182="",0,$F182))</f>
        <v/>
      </c>
      <c r="H182" s="15" t="str">
        <f aca="false">IF($B182="","",IFERROR(INDEX(Services!$A$2:$A$120,MATCH($B182,Services!$D$2:$D$120,0)),""))</f>
        <v/>
      </c>
      <c r="I182" s="19"/>
      <c r="J182" s="15" t="str">
        <f aca="false">IF($B182="","",IFERROR(INDEX(Services!$E$2:$E$120,MATCH($B182,Services!$D$2:$D$120,0)),""))</f>
        <v/>
      </c>
    </row>
    <row r="183" customFormat="false" ht="14.25" hidden="false" customHeight="false" outlineLevel="0" collapsed="false">
      <c r="A183" s="18"/>
      <c r="B183" s="6"/>
      <c r="C183" s="6"/>
      <c r="D183" s="6"/>
      <c r="E183" s="16" t="str">
        <f aca="false">IF($B183="","",IFERROR(INDEX(Services!$C$2:$C$120,MATCH($B183,Services!$D$2:$D$120,0)),""))</f>
        <v/>
      </c>
      <c r="F183" s="19"/>
      <c r="G183" s="9" t="str">
        <f aca="false">IF(OR($B183="",NOT(ISNUMBER($E183))),"",$E183-IF($F183="",0,$F183))</f>
        <v/>
      </c>
      <c r="H183" s="15" t="str">
        <f aca="false">IF($B183="","",IFERROR(INDEX(Services!$A$2:$A$120,MATCH($B183,Services!$D$2:$D$120,0)),""))</f>
        <v/>
      </c>
      <c r="I183" s="19"/>
      <c r="J183" s="15" t="str">
        <f aca="false">IF($B183="","",IFERROR(INDEX(Services!$E$2:$E$120,MATCH($B183,Services!$D$2:$D$120,0)),""))</f>
        <v/>
      </c>
    </row>
    <row r="184" customFormat="false" ht="14.25" hidden="false" customHeight="false" outlineLevel="0" collapsed="false">
      <c r="A184" s="18"/>
      <c r="B184" s="6"/>
      <c r="C184" s="6"/>
      <c r="D184" s="6"/>
      <c r="E184" s="16" t="str">
        <f aca="false">IF($B184="","",IFERROR(INDEX(Services!$C$2:$C$120,MATCH($B184,Services!$D$2:$D$120,0)),""))</f>
        <v/>
      </c>
      <c r="F184" s="19"/>
      <c r="G184" s="9" t="str">
        <f aca="false">IF(OR($B184="",NOT(ISNUMBER($E184))),"",$E184-IF($F184="",0,$F184))</f>
        <v/>
      </c>
      <c r="H184" s="15" t="str">
        <f aca="false">IF($B184="","",IFERROR(INDEX(Services!$A$2:$A$120,MATCH($B184,Services!$D$2:$D$120,0)),""))</f>
        <v/>
      </c>
      <c r="I184" s="19"/>
      <c r="J184" s="15" t="str">
        <f aca="false">IF($B184="","",IFERROR(INDEX(Services!$E$2:$E$120,MATCH($B184,Services!$D$2:$D$120,0)),""))</f>
        <v/>
      </c>
    </row>
    <row r="185" customFormat="false" ht="14.25" hidden="false" customHeight="false" outlineLevel="0" collapsed="false">
      <c r="A185" s="18"/>
      <c r="B185" s="6"/>
      <c r="C185" s="6"/>
      <c r="D185" s="6"/>
      <c r="E185" s="16" t="str">
        <f aca="false">IF($B185="","",IFERROR(INDEX(Services!$C$2:$C$120,MATCH($B185,Services!$D$2:$D$120,0)),""))</f>
        <v/>
      </c>
      <c r="F185" s="19"/>
      <c r="G185" s="9" t="str">
        <f aca="false">IF(OR($B185="",NOT(ISNUMBER($E185))),"",$E185-IF($F185="",0,$F185))</f>
        <v/>
      </c>
      <c r="H185" s="15" t="str">
        <f aca="false">IF($B185="","",IFERROR(INDEX(Services!$A$2:$A$120,MATCH($B185,Services!$D$2:$D$120,0)),""))</f>
        <v/>
      </c>
      <c r="I185" s="19"/>
      <c r="J185" s="15" t="str">
        <f aca="false">IF($B185="","",IFERROR(INDEX(Services!$E$2:$E$120,MATCH($B185,Services!$D$2:$D$120,0)),""))</f>
        <v/>
      </c>
    </row>
    <row r="186" customFormat="false" ht="14.25" hidden="false" customHeight="false" outlineLevel="0" collapsed="false">
      <c r="A186" s="18"/>
      <c r="B186" s="6"/>
      <c r="C186" s="6"/>
      <c r="D186" s="6"/>
      <c r="E186" s="16" t="str">
        <f aca="false">IF($B186="","",IFERROR(INDEX(Services!$C$2:$C$120,MATCH($B186,Services!$D$2:$D$120,0)),""))</f>
        <v/>
      </c>
      <c r="F186" s="19"/>
      <c r="G186" s="9" t="str">
        <f aca="false">IF(OR($B186="",NOT(ISNUMBER($E186))),"",$E186-IF($F186="",0,$F186))</f>
        <v/>
      </c>
      <c r="H186" s="15" t="str">
        <f aca="false">IF($B186="","",IFERROR(INDEX(Services!$A$2:$A$120,MATCH($B186,Services!$D$2:$D$120,0)),""))</f>
        <v/>
      </c>
      <c r="I186" s="19"/>
      <c r="J186" s="15" t="str">
        <f aca="false">IF($B186="","",IFERROR(INDEX(Services!$E$2:$E$120,MATCH($B186,Services!$D$2:$D$120,0)),""))</f>
        <v/>
      </c>
    </row>
    <row r="187" customFormat="false" ht="14.25" hidden="false" customHeight="false" outlineLevel="0" collapsed="false">
      <c r="A187" s="18"/>
      <c r="B187" s="6"/>
      <c r="C187" s="6"/>
      <c r="D187" s="6"/>
      <c r="E187" s="16" t="str">
        <f aca="false">IF($B187="","",IFERROR(INDEX(Services!$C$2:$C$120,MATCH($B187,Services!$D$2:$D$120,0)),""))</f>
        <v/>
      </c>
      <c r="F187" s="19"/>
      <c r="G187" s="9" t="str">
        <f aca="false">IF(OR($B187="",NOT(ISNUMBER($E187))),"",$E187-IF($F187="",0,$F187))</f>
        <v/>
      </c>
      <c r="H187" s="15" t="str">
        <f aca="false">IF($B187="","",IFERROR(INDEX(Services!$A$2:$A$120,MATCH($B187,Services!$D$2:$D$120,0)),""))</f>
        <v/>
      </c>
      <c r="I187" s="19"/>
      <c r="J187" s="15" t="str">
        <f aca="false">IF($B187="","",IFERROR(INDEX(Services!$E$2:$E$120,MATCH($B187,Services!$D$2:$D$120,0)),""))</f>
        <v/>
      </c>
    </row>
    <row r="188" customFormat="false" ht="14.25" hidden="false" customHeight="false" outlineLevel="0" collapsed="false">
      <c r="A188" s="18"/>
      <c r="B188" s="6"/>
      <c r="C188" s="6"/>
      <c r="D188" s="6"/>
      <c r="E188" s="16" t="str">
        <f aca="false">IF($B188="","",IFERROR(INDEX(Services!$C$2:$C$120,MATCH($B188,Services!$D$2:$D$120,0)),""))</f>
        <v/>
      </c>
      <c r="F188" s="19"/>
      <c r="G188" s="9" t="str">
        <f aca="false">IF(OR($B188="",NOT(ISNUMBER($E188))),"",$E188-IF($F188="",0,$F188))</f>
        <v/>
      </c>
      <c r="H188" s="15" t="str">
        <f aca="false">IF($B188="","",IFERROR(INDEX(Services!$A$2:$A$120,MATCH($B188,Services!$D$2:$D$120,0)),""))</f>
        <v/>
      </c>
      <c r="I188" s="19"/>
      <c r="J188" s="15" t="str">
        <f aca="false">IF($B188="","",IFERROR(INDEX(Services!$E$2:$E$120,MATCH($B188,Services!$D$2:$D$120,0)),""))</f>
        <v/>
      </c>
    </row>
    <row r="189" customFormat="false" ht="14.25" hidden="false" customHeight="false" outlineLevel="0" collapsed="false">
      <c r="A189" s="18"/>
      <c r="B189" s="6"/>
      <c r="C189" s="6"/>
      <c r="D189" s="6"/>
      <c r="E189" s="16" t="str">
        <f aca="false">IF($B189="","",IFERROR(INDEX(Services!$C$2:$C$120,MATCH($B189,Services!$D$2:$D$120,0)),""))</f>
        <v/>
      </c>
      <c r="F189" s="19"/>
      <c r="G189" s="9" t="str">
        <f aca="false">IF(OR($B189="",NOT(ISNUMBER($E189))),"",$E189-IF($F189="",0,$F189))</f>
        <v/>
      </c>
      <c r="H189" s="15" t="str">
        <f aca="false">IF($B189="","",IFERROR(INDEX(Services!$A$2:$A$120,MATCH($B189,Services!$D$2:$D$120,0)),""))</f>
        <v/>
      </c>
      <c r="I189" s="19"/>
      <c r="J189" s="15" t="str">
        <f aca="false">IF($B189="","",IFERROR(INDEX(Services!$E$2:$E$120,MATCH($B189,Services!$D$2:$D$120,0)),""))</f>
        <v/>
      </c>
    </row>
    <row r="190" customFormat="false" ht="14.25" hidden="false" customHeight="false" outlineLevel="0" collapsed="false">
      <c r="A190" s="18"/>
      <c r="B190" s="6"/>
      <c r="C190" s="6"/>
      <c r="D190" s="6"/>
      <c r="E190" s="16" t="str">
        <f aca="false">IF($B190="","",IFERROR(INDEX(Services!$C$2:$C$120,MATCH($B190,Services!$D$2:$D$120,0)),""))</f>
        <v/>
      </c>
      <c r="F190" s="19"/>
      <c r="G190" s="9" t="str">
        <f aca="false">IF(OR($B190="",NOT(ISNUMBER($E190))),"",$E190-IF($F190="",0,$F190))</f>
        <v/>
      </c>
      <c r="H190" s="15" t="str">
        <f aca="false">IF($B190="","",IFERROR(INDEX(Services!$A$2:$A$120,MATCH($B190,Services!$D$2:$D$120,0)),""))</f>
        <v/>
      </c>
      <c r="I190" s="19"/>
      <c r="J190" s="15" t="str">
        <f aca="false">IF($B190="","",IFERROR(INDEX(Services!$E$2:$E$120,MATCH($B190,Services!$D$2:$D$120,0)),""))</f>
        <v/>
      </c>
    </row>
    <row r="191" customFormat="false" ht="14.25" hidden="false" customHeight="false" outlineLevel="0" collapsed="false">
      <c r="A191" s="18"/>
      <c r="B191" s="6"/>
      <c r="C191" s="6"/>
      <c r="D191" s="6"/>
      <c r="E191" s="16" t="str">
        <f aca="false">IF($B191="","",IFERROR(INDEX(Services!$C$2:$C$120,MATCH($B191,Services!$D$2:$D$120,0)),""))</f>
        <v/>
      </c>
      <c r="F191" s="19"/>
      <c r="G191" s="9" t="str">
        <f aca="false">IF(OR($B191="",NOT(ISNUMBER($E191))),"",$E191-IF($F191="",0,$F191))</f>
        <v/>
      </c>
      <c r="H191" s="15" t="str">
        <f aca="false">IF($B191="","",IFERROR(INDEX(Services!$A$2:$A$120,MATCH($B191,Services!$D$2:$D$120,0)),""))</f>
        <v/>
      </c>
      <c r="I191" s="19"/>
      <c r="J191" s="15" t="str">
        <f aca="false">IF($B191="","",IFERROR(INDEX(Services!$E$2:$E$120,MATCH($B191,Services!$D$2:$D$120,0)),""))</f>
        <v/>
      </c>
    </row>
    <row r="192" customFormat="false" ht="14.25" hidden="false" customHeight="false" outlineLevel="0" collapsed="false">
      <c r="A192" s="18"/>
      <c r="B192" s="6"/>
      <c r="C192" s="6"/>
      <c r="D192" s="6"/>
      <c r="E192" s="16" t="str">
        <f aca="false">IF($B192="","",IFERROR(INDEX(Services!$C$2:$C$120,MATCH($B192,Services!$D$2:$D$120,0)),""))</f>
        <v/>
      </c>
      <c r="F192" s="19"/>
      <c r="G192" s="9" t="str">
        <f aca="false">IF(OR($B192="",NOT(ISNUMBER($E192))),"",$E192-IF($F192="",0,$F192))</f>
        <v/>
      </c>
      <c r="H192" s="15" t="str">
        <f aca="false">IF($B192="","",IFERROR(INDEX(Services!$A$2:$A$120,MATCH($B192,Services!$D$2:$D$120,0)),""))</f>
        <v/>
      </c>
      <c r="I192" s="19"/>
      <c r="J192" s="15" t="str">
        <f aca="false">IF($B192="","",IFERROR(INDEX(Services!$E$2:$E$120,MATCH($B192,Services!$D$2:$D$120,0)),""))</f>
        <v/>
      </c>
    </row>
    <row r="193" customFormat="false" ht="14.25" hidden="false" customHeight="false" outlineLevel="0" collapsed="false">
      <c r="A193" s="18"/>
      <c r="B193" s="6"/>
      <c r="C193" s="6"/>
      <c r="D193" s="6"/>
      <c r="E193" s="16" t="str">
        <f aca="false">IF($B193="","",IFERROR(INDEX(Services!$C$2:$C$120,MATCH($B193,Services!$D$2:$D$120,0)),""))</f>
        <v/>
      </c>
      <c r="F193" s="19"/>
      <c r="G193" s="9" t="str">
        <f aca="false">IF(OR($B193="",NOT(ISNUMBER($E193))),"",$E193-IF($F193="",0,$F193))</f>
        <v/>
      </c>
      <c r="H193" s="15" t="str">
        <f aca="false">IF($B193="","",IFERROR(INDEX(Services!$A$2:$A$120,MATCH($B193,Services!$D$2:$D$120,0)),""))</f>
        <v/>
      </c>
      <c r="I193" s="19"/>
      <c r="J193" s="15" t="str">
        <f aca="false">IF($B193="","",IFERROR(INDEX(Services!$E$2:$E$120,MATCH($B193,Services!$D$2:$D$120,0)),""))</f>
        <v/>
      </c>
    </row>
    <row r="194" customFormat="false" ht="14.25" hidden="false" customHeight="false" outlineLevel="0" collapsed="false">
      <c r="A194" s="18"/>
      <c r="B194" s="6"/>
      <c r="C194" s="6"/>
      <c r="D194" s="6"/>
      <c r="E194" s="16" t="str">
        <f aca="false">IF($B194="","",IFERROR(INDEX(Services!$C$2:$C$120,MATCH($B194,Services!$D$2:$D$120,0)),""))</f>
        <v/>
      </c>
      <c r="F194" s="19"/>
      <c r="G194" s="9" t="str">
        <f aca="false">IF(OR($B194="",NOT(ISNUMBER($E194))),"",$E194-IF($F194="",0,$F194))</f>
        <v/>
      </c>
      <c r="H194" s="15" t="str">
        <f aca="false">IF($B194="","",IFERROR(INDEX(Services!$A$2:$A$120,MATCH($B194,Services!$D$2:$D$120,0)),""))</f>
        <v/>
      </c>
      <c r="I194" s="19"/>
      <c r="J194" s="15" t="str">
        <f aca="false">IF($B194="","",IFERROR(INDEX(Services!$E$2:$E$120,MATCH($B194,Services!$D$2:$D$120,0)),""))</f>
        <v/>
      </c>
    </row>
    <row r="195" customFormat="false" ht="14.25" hidden="false" customHeight="false" outlineLevel="0" collapsed="false">
      <c r="A195" s="18"/>
      <c r="B195" s="6"/>
      <c r="C195" s="6"/>
      <c r="D195" s="6"/>
      <c r="E195" s="16" t="str">
        <f aca="false">IF($B195="","",IFERROR(INDEX(Services!$C$2:$C$120,MATCH($B195,Services!$D$2:$D$120,0)),""))</f>
        <v/>
      </c>
      <c r="F195" s="19"/>
      <c r="G195" s="9" t="str">
        <f aca="false">IF(OR($B195="",NOT(ISNUMBER($E195))),"",$E195-IF($F195="",0,$F195))</f>
        <v/>
      </c>
      <c r="H195" s="15" t="str">
        <f aca="false">IF($B195="","",IFERROR(INDEX(Services!$A$2:$A$120,MATCH($B195,Services!$D$2:$D$120,0)),""))</f>
        <v/>
      </c>
      <c r="I195" s="19"/>
      <c r="J195" s="15" t="str">
        <f aca="false">IF($B195="","",IFERROR(INDEX(Services!$E$2:$E$120,MATCH($B195,Services!$D$2:$D$120,0)),""))</f>
        <v/>
      </c>
    </row>
    <row r="196" customFormat="false" ht="14.25" hidden="false" customHeight="false" outlineLevel="0" collapsed="false">
      <c r="A196" s="18"/>
      <c r="B196" s="6"/>
      <c r="C196" s="6"/>
      <c r="D196" s="6"/>
      <c r="E196" s="16" t="str">
        <f aca="false">IF($B196="","",IFERROR(INDEX(Services!$C$2:$C$120,MATCH($B196,Services!$D$2:$D$120,0)),""))</f>
        <v/>
      </c>
      <c r="F196" s="19"/>
      <c r="G196" s="9" t="str">
        <f aca="false">IF(OR($B196="",NOT(ISNUMBER($E196))),"",$E196-IF($F196="",0,$F196))</f>
        <v/>
      </c>
      <c r="H196" s="15" t="str">
        <f aca="false">IF($B196="","",IFERROR(INDEX(Services!$A$2:$A$120,MATCH($B196,Services!$D$2:$D$120,0)),""))</f>
        <v/>
      </c>
      <c r="I196" s="19"/>
      <c r="J196" s="15" t="str">
        <f aca="false">IF($B196="","",IFERROR(INDEX(Services!$E$2:$E$120,MATCH($B196,Services!$D$2:$D$120,0)),""))</f>
        <v/>
      </c>
    </row>
    <row r="197" customFormat="false" ht="14.25" hidden="false" customHeight="false" outlineLevel="0" collapsed="false">
      <c r="A197" s="18"/>
      <c r="B197" s="6"/>
      <c r="C197" s="6"/>
      <c r="D197" s="6"/>
      <c r="E197" s="16" t="str">
        <f aca="false">IF($B197="","",IFERROR(INDEX(Services!$C$2:$C$120,MATCH($B197,Services!$D$2:$D$120,0)),""))</f>
        <v/>
      </c>
      <c r="F197" s="19"/>
      <c r="G197" s="9" t="str">
        <f aca="false">IF(OR($B197="",NOT(ISNUMBER($E197))),"",$E197-IF($F197="",0,$F197))</f>
        <v/>
      </c>
      <c r="H197" s="15" t="str">
        <f aca="false">IF($B197="","",IFERROR(INDEX(Services!$A$2:$A$120,MATCH($B197,Services!$D$2:$D$120,0)),""))</f>
        <v/>
      </c>
      <c r="I197" s="19"/>
      <c r="J197" s="15" t="str">
        <f aca="false">IF($B197="","",IFERROR(INDEX(Services!$E$2:$E$120,MATCH($B197,Services!$D$2:$D$120,0)),""))</f>
        <v/>
      </c>
    </row>
    <row r="198" customFormat="false" ht="14.25" hidden="false" customHeight="false" outlineLevel="0" collapsed="false">
      <c r="A198" s="18"/>
      <c r="B198" s="6"/>
      <c r="C198" s="6"/>
      <c r="D198" s="6"/>
      <c r="E198" s="16" t="str">
        <f aca="false">IF($B198="","",IFERROR(INDEX(Services!$C$2:$C$120,MATCH($B198,Services!$D$2:$D$120,0)),""))</f>
        <v/>
      </c>
      <c r="F198" s="19"/>
      <c r="G198" s="9" t="str">
        <f aca="false">IF(OR($B198="",NOT(ISNUMBER($E198))),"",$E198-IF($F198="",0,$F198))</f>
        <v/>
      </c>
      <c r="H198" s="15" t="str">
        <f aca="false">IF($B198="","",IFERROR(INDEX(Services!$A$2:$A$120,MATCH($B198,Services!$D$2:$D$120,0)),""))</f>
        <v/>
      </c>
      <c r="I198" s="19"/>
      <c r="J198" s="15" t="str">
        <f aca="false">IF($B198="","",IFERROR(INDEX(Services!$E$2:$E$120,MATCH($B198,Services!$D$2:$D$120,0)),""))</f>
        <v/>
      </c>
    </row>
    <row r="199" customFormat="false" ht="14.25" hidden="false" customHeight="false" outlineLevel="0" collapsed="false">
      <c r="A199" s="18"/>
      <c r="B199" s="6"/>
      <c r="C199" s="6"/>
      <c r="D199" s="6"/>
      <c r="E199" s="16" t="str">
        <f aca="false">IF($B199="","",IFERROR(INDEX(Services!$C$2:$C$120,MATCH($B199,Services!$D$2:$D$120,0)),""))</f>
        <v/>
      </c>
      <c r="F199" s="19"/>
      <c r="G199" s="9" t="str">
        <f aca="false">IF(OR($B199="",NOT(ISNUMBER($E199))),"",$E199-IF($F199="",0,$F199))</f>
        <v/>
      </c>
      <c r="H199" s="15" t="str">
        <f aca="false">IF($B199="","",IFERROR(INDEX(Services!$A$2:$A$120,MATCH($B199,Services!$D$2:$D$120,0)),""))</f>
        <v/>
      </c>
      <c r="I199" s="19"/>
      <c r="J199" s="15" t="str">
        <f aca="false">IF($B199="","",IFERROR(INDEX(Services!$E$2:$E$120,MATCH($B199,Services!$D$2:$D$120,0)),""))</f>
        <v/>
      </c>
    </row>
    <row r="200" customFormat="false" ht="14.25" hidden="false" customHeight="false" outlineLevel="0" collapsed="false">
      <c r="A200" s="18"/>
      <c r="B200" s="6"/>
      <c r="C200" s="6"/>
      <c r="D200" s="6"/>
      <c r="E200" s="16" t="str">
        <f aca="false">IF($B200="","",IFERROR(INDEX(Services!$C$2:$C$120,MATCH($B200,Services!$D$2:$D$120,0)),""))</f>
        <v/>
      </c>
      <c r="F200" s="19"/>
      <c r="G200" s="9" t="str">
        <f aca="false">IF(OR($B200="",NOT(ISNUMBER($E200))),"",$E200-IF($F200="",0,$F200))</f>
        <v/>
      </c>
      <c r="H200" s="15" t="str">
        <f aca="false">IF($B200="","",IFERROR(INDEX(Services!$A$2:$A$120,MATCH($B200,Services!$D$2:$D$120,0)),""))</f>
        <v/>
      </c>
      <c r="I200" s="19"/>
      <c r="J200" s="15" t="str">
        <f aca="false">IF($B200="","",IFERROR(INDEX(Services!$E$2:$E$120,MATCH($B200,Services!$D$2:$D$120,0)),""))</f>
        <v/>
      </c>
    </row>
    <row r="201" customFormat="false" ht="14.25" hidden="false" customHeight="false" outlineLevel="0" collapsed="false">
      <c r="A201" s="18"/>
      <c r="B201" s="6"/>
      <c r="C201" s="6"/>
      <c r="D201" s="6"/>
      <c r="E201" s="16" t="str">
        <f aca="false">IF($B201="","",IFERROR(INDEX(Services!$C$2:$C$120,MATCH($B201,Services!$D$2:$D$120,0)),""))</f>
        <v/>
      </c>
      <c r="F201" s="19"/>
      <c r="G201" s="9" t="str">
        <f aca="false">IF(OR($B201="",NOT(ISNUMBER($E201))),"",$E201-IF($F201="",0,$F201))</f>
        <v/>
      </c>
      <c r="H201" s="15" t="str">
        <f aca="false">IF($B201="","",IFERROR(INDEX(Services!$A$2:$A$120,MATCH($B201,Services!$D$2:$D$120,0)),""))</f>
        <v/>
      </c>
      <c r="I201" s="19"/>
      <c r="J201" s="15" t="str">
        <f aca="false">IF($B201="","",IFERROR(INDEX(Services!$E$2:$E$120,MATCH($B201,Services!$D$2:$D$120,0)),""))</f>
        <v/>
      </c>
    </row>
    <row r="202" customFormat="false" ht="14.25" hidden="false" customHeight="false" outlineLevel="0" collapsed="false">
      <c r="A202" s="18"/>
      <c r="B202" s="6"/>
      <c r="C202" s="6"/>
      <c r="D202" s="6"/>
      <c r="E202" s="16" t="str">
        <f aca="false">IF($B202="","",IFERROR(INDEX(Services!$C$2:$C$120,MATCH($B202,Services!$D$2:$D$120,0)),""))</f>
        <v/>
      </c>
      <c r="F202" s="19"/>
      <c r="G202" s="9" t="str">
        <f aca="false">IF(OR($B202="",NOT(ISNUMBER($E202))),"",$E202-IF($F202="",0,$F202))</f>
        <v/>
      </c>
      <c r="H202" s="15" t="str">
        <f aca="false">IF($B202="","",IFERROR(INDEX(Services!$A$2:$A$120,MATCH($B202,Services!$D$2:$D$120,0)),""))</f>
        <v/>
      </c>
      <c r="I202" s="19"/>
      <c r="J202" s="15" t="str">
        <f aca="false">IF($B202="","",IFERROR(INDEX(Services!$E$2:$E$120,MATCH($B202,Services!$D$2:$D$120,0)),""))</f>
        <v/>
      </c>
    </row>
    <row r="203" customFormat="false" ht="14.25" hidden="false" customHeight="false" outlineLevel="0" collapsed="false">
      <c r="A203" s="18"/>
      <c r="B203" s="6"/>
      <c r="C203" s="6"/>
      <c r="D203" s="6"/>
      <c r="E203" s="16" t="str">
        <f aca="false">IF($B203="","",IFERROR(INDEX(Services!$C$2:$C$120,MATCH($B203,Services!$D$2:$D$120,0)),""))</f>
        <v/>
      </c>
      <c r="F203" s="19"/>
      <c r="G203" s="9" t="str">
        <f aca="false">IF(OR($B203="",NOT(ISNUMBER($E203))),"",$E203-IF($F203="",0,$F203))</f>
        <v/>
      </c>
      <c r="H203" s="15" t="str">
        <f aca="false">IF($B203="","",IFERROR(INDEX(Services!$A$2:$A$120,MATCH($B203,Services!$D$2:$D$120,0)),""))</f>
        <v/>
      </c>
      <c r="I203" s="19"/>
      <c r="J203" s="15" t="str">
        <f aca="false">IF($B203="","",IFERROR(INDEX(Services!$E$2:$E$120,MATCH($B203,Services!$D$2:$D$120,0)),""))</f>
        <v/>
      </c>
    </row>
    <row r="204" customFormat="false" ht="14.25" hidden="false" customHeight="false" outlineLevel="0" collapsed="false">
      <c r="A204" s="18"/>
      <c r="B204" s="6"/>
      <c r="C204" s="6"/>
      <c r="D204" s="6"/>
      <c r="E204" s="16" t="str">
        <f aca="false">IF($B204="","",IFERROR(INDEX(Services!$C$2:$C$120,MATCH($B204,Services!$D$2:$D$120,0)),""))</f>
        <v/>
      </c>
      <c r="F204" s="19"/>
      <c r="G204" s="9" t="str">
        <f aca="false">IF(OR($B204="",NOT(ISNUMBER($E204))),"",$E204-IF($F204="",0,$F204))</f>
        <v/>
      </c>
      <c r="H204" s="15" t="str">
        <f aca="false">IF($B204="","",IFERROR(INDEX(Services!$A$2:$A$120,MATCH($B204,Services!$D$2:$D$120,0)),""))</f>
        <v/>
      </c>
      <c r="I204" s="19"/>
      <c r="J204" s="15" t="str">
        <f aca="false">IF($B204="","",IFERROR(INDEX(Services!$E$2:$E$120,MATCH($B204,Services!$D$2:$D$120,0)),""))</f>
        <v/>
      </c>
    </row>
    <row r="205" customFormat="false" ht="14.25" hidden="false" customHeight="false" outlineLevel="0" collapsed="false">
      <c r="A205" s="18"/>
      <c r="B205" s="6"/>
      <c r="C205" s="6"/>
      <c r="D205" s="6"/>
      <c r="E205" s="16" t="str">
        <f aca="false">IF($B205="","",IFERROR(INDEX(Services!$C$2:$C$120,MATCH($B205,Services!$D$2:$D$120,0)),""))</f>
        <v/>
      </c>
      <c r="F205" s="19"/>
      <c r="G205" s="9" t="str">
        <f aca="false">IF(OR($B205="",NOT(ISNUMBER($E205))),"",$E205-IF($F205="",0,$F205))</f>
        <v/>
      </c>
      <c r="H205" s="15" t="str">
        <f aca="false">IF($B205="","",IFERROR(INDEX(Services!$A$2:$A$120,MATCH($B205,Services!$D$2:$D$120,0)),""))</f>
        <v/>
      </c>
      <c r="I205" s="19"/>
      <c r="J205" s="15" t="str">
        <f aca="false">IF($B205="","",IFERROR(INDEX(Services!$E$2:$E$120,MATCH($B205,Services!$D$2:$D$120,0)),""))</f>
        <v/>
      </c>
    </row>
    <row r="206" customFormat="false" ht="14.25" hidden="false" customHeight="false" outlineLevel="0" collapsed="false">
      <c r="A206" s="18"/>
      <c r="B206" s="6"/>
      <c r="C206" s="6"/>
      <c r="D206" s="6"/>
      <c r="E206" s="16" t="str">
        <f aca="false">IF($B206="","",IFERROR(INDEX(Services!$C$2:$C$120,MATCH($B206,Services!$D$2:$D$120,0)),""))</f>
        <v/>
      </c>
      <c r="F206" s="19"/>
      <c r="G206" s="9" t="str">
        <f aca="false">IF(OR($B206="",NOT(ISNUMBER($E206))),"",$E206-IF($F206="",0,$F206))</f>
        <v/>
      </c>
      <c r="H206" s="15" t="str">
        <f aca="false">IF($B206="","",IFERROR(INDEX(Services!$A$2:$A$120,MATCH($B206,Services!$D$2:$D$120,0)),""))</f>
        <v/>
      </c>
      <c r="I206" s="19"/>
      <c r="J206" s="15" t="str">
        <f aca="false">IF($B206="","",IFERROR(INDEX(Services!$E$2:$E$120,MATCH($B206,Services!$D$2:$D$120,0)),""))</f>
        <v/>
      </c>
    </row>
    <row r="207" customFormat="false" ht="14.25" hidden="false" customHeight="false" outlineLevel="0" collapsed="false">
      <c r="A207" s="18"/>
      <c r="B207" s="6"/>
      <c r="C207" s="6"/>
      <c r="D207" s="6"/>
      <c r="E207" s="16" t="str">
        <f aca="false">IF($B207="","",IFERROR(INDEX(Services!$C$2:$C$120,MATCH($B207,Services!$D$2:$D$120,0)),""))</f>
        <v/>
      </c>
      <c r="F207" s="19"/>
      <c r="G207" s="9" t="str">
        <f aca="false">IF(OR($B207="",NOT(ISNUMBER($E207))),"",$E207-IF($F207="",0,$F207))</f>
        <v/>
      </c>
      <c r="H207" s="15" t="str">
        <f aca="false">IF($B207="","",IFERROR(INDEX(Services!$A$2:$A$120,MATCH($B207,Services!$D$2:$D$120,0)),""))</f>
        <v/>
      </c>
      <c r="I207" s="19"/>
      <c r="J207" s="15" t="str">
        <f aca="false">IF($B207="","",IFERROR(INDEX(Services!$E$2:$E$120,MATCH($B207,Services!$D$2:$D$120,0)),""))</f>
        <v/>
      </c>
    </row>
    <row r="208" customFormat="false" ht="14.25" hidden="false" customHeight="false" outlineLevel="0" collapsed="false">
      <c r="A208" s="18"/>
      <c r="B208" s="6"/>
      <c r="C208" s="6"/>
      <c r="D208" s="6"/>
      <c r="E208" s="16" t="str">
        <f aca="false">IF($B208="","",IFERROR(INDEX(Services!$C$2:$C$120,MATCH($B208,Services!$D$2:$D$120,0)),""))</f>
        <v/>
      </c>
      <c r="F208" s="19"/>
      <c r="G208" s="9" t="str">
        <f aca="false">IF(OR($B208="",NOT(ISNUMBER($E208))),"",$E208-IF($F208="",0,$F208))</f>
        <v/>
      </c>
      <c r="H208" s="15" t="str">
        <f aca="false">IF($B208="","",IFERROR(INDEX(Services!$A$2:$A$120,MATCH($B208,Services!$D$2:$D$120,0)),""))</f>
        <v/>
      </c>
      <c r="I208" s="19"/>
      <c r="J208" s="15" t="str">
        <f aca="false">IF($B208="","",IFERROR(INDEX(Services!$E$2:$E$120,MATCH($B208,Services!$D$2:$D$120,0)),""))</f>
        <v/>
      </c>
    </row>
    <row r="209" customFormat="false" ht="14.25" hidden="false" customHeight="false" outlineLevel="0" collapsed="false">
      <c r="A209" s="18"/>
      <c r="B209" s="6"/>
      <c r="C209" s="6"/>
      <c r="D209" s="6"/>
      <c r="E209" s="16" t="str">
        <f aca="false">IF($B209="","",IFERROR(INDEX(Services!$C$2:$C$120,MATCH($B209,Services!$D$2:$D$120,0)),""))</f>
        <v/>
      </c>
      <c r="F209" s="19"/>
      <c r="G209" s="9" t="str">
        <f aca="false">IF(OR($B209="",NOT(ISNUMBER($E209))),"",$E209-IF($F209="",0,$F209))</f>
        <v/>
      </c>
      <c r="H209" s="15" t="str">
        <f aca="false">IF($B209="","",IFERROR(INDEX(Services!$A$2:$A$120,MATCH($B209,Services!$D$2:$D$120,0)),""))</f>
        <v/>
      </c>
      <c r="I209" s="19"/>
      <c r="J209" s="15" t="str">
        <f aca="false">IF($B209="","",IFERROR(INDEX(Services!$E$2:$E$120,MATCH($B209,Services!$D$2:$D$120,0)),""))</f>
        <v/>
      </c>
    </row>
    <row r="210" customFormat="false" ht="14.25" hidden="false" customHeight="false" outlineLevel="0" collapsed="false">
      <c r="A210" s="18"/>
      <c r="B210" s="6"/>
      <c r="C210" s="6"/>
      <c r="D210" s="6"/>
      <c r="E210" s="16" t="str">
        <f aca="false">IF($B210="","",IFERROR(INDEX(Services!$C$2:$C$120,MATCH($B210,Services!$D$2:$D$120,0)),""))</f>
        <v/>
      </c>
      <c r="F210" s="19"/>
      <c r="G210" s="9" t="str">
        <f aca="false">IF(OR($B210="",NOT(ISNUMBER($E210))),"",$E210-IF($F210="",0,$F210))</f>
        <v/>
      </c>
      <c r="H210" s="15" t="str">
        <f aca="false">IF($B210="","",IFERROR(INDEX(Services!$A$2:$A$120,MATCH($B210,Services!$D$2:$D$120,0)),""))</f>
        <v/>
      </c>
      <c r="I210" s="19"/>
      <c r="J210" s="15" t="str">
        <f aca="false">IF($B210="","",IFERROR(INDEX(Services!$E$2:$E$120,MATCH($B210,Services!$D$2:$D$120,0)),""))</f>
        <v/>
      </c>
    </row>
    <row r="211" customFormat="false" ht="14.25" hidden="false" customHeight="false" outlineLevel="0" collapsed="false">
      <c r="A211" s="18"/>
      <c r="B211" s="6"/>
      <c r="C211" s="6"/>
      <c r="D211" s="6"/>
      <c r="E211" s="16" t="str">
        <f aca="false">IF($B211="","",IFERROR(INDEX(Services!$C$2:$C$120,MATCH($B211,Services!$D$2:$D$120,0)),""))</f>
        <v/>
      </c>
      <c r="F211" s="19"/>
      <c r="G211" s="9" t="str">
        <f aca="false">IF(OR($B211="",NOT(ISNUMBER($E211))),"",$E211-IF($F211="",0,$F211))</f>
        <v/>
      </c>
      <c r="H211" s="15" t="str">
        <f aca="false">IF($B211="","",IFERROR(INDEX(Services!$A$2:$A$120,MATCH($B211,Services!$D$2:$D$120,0)),""))</f>
        <v/>
      </c>
      <c r="I211" s="19"/>
      <c r="J211" s="15" t="str">
        <f aca="false">IF($B211="","",IFERROR(INDEX(Services!$E$2:$E$120,MATCH($B211,Services!$D$2:$D$120,0)),""))</f>
        <v/>
      </c>
    </row>
    <row r="212" customFormat="false" ht="14.25" hidden="false" customHeight="false" outlineLevel="0" collapsed="false">
      <c r="A212" s="18"/>
      <c r="B212" s="6"/>
      <c r="C212" s="6"/>
      <c r="D212" s="6"/>
      <c r="E212" s="16" t="str">
        <f aca="false">IF($B212="","",IFERROR(INDEX(Services!$C$2:$C$120,MATCH($B212,Services!$D$2:$D$120,0)),""))</f>
        <v/>
      </c>
      <c r="F212" s="19"/>
      <c r="G212" s="9" t="str">
        <f aca="false">IF(OR($B212="",NOT(ISNUMBER($E212))),"",$E212-IF($F212="",0,$F212))</f>
        <v/>
      </c>
      <c r="H212" s="15" t="str">
        <f aca="false">IF($B212="","",IFERROR(INDEX(Services!$A$2:$A$120,MATCH($B212,Services!$D$2:$D$120,0)),""))</f>
        <v/>
      </c>
      <c r="I212" s="19"/>
      <c r="J212" s="15" t="str">
        <f aca="false">IF($B212="","",IFERROR(INDEX(Services!$E$2:$E$120,MATCH($B212,Services!$D$2:$D$120,0)),""))</f>
        <v/>
      </c>
    </row>
    <row r="213" customFormat="false" ht="14.25" hidden="false" customHeight="false" outlineLevel="0" collapsed="false">
      <c r="A213" s="18"/>
      <c r="B213" s="6"/>
      <c r="C213" s="6"/>
      <c r="D213" s="6"/>
      <c r="E213" s="16" t="str">
        <f aca="false">IF($B213="","",IFERROR(INDEX(Services!$C$2:$C$120,MATCH($B213,Services!$D$2:$D$120,0)),""))</f>
        <v/>
      </c>
      <c r="F213" s="19"/>
      <c r="G213" s="9" t="str">
        <f aca="false">IF(OR($B213="",NOT(ISNUMBER($E213))),"",$E213-IF($F213="",0,$F213))</f>
        <v/>
      </c>
      <c r="H213" s="15" t="str">
        <f aca="false">IF($B213="","",IFERROR(INDEX(Services!$A$2:$A$120,MATCH($B213,Services!$D$2:$D$120,0)),""))</f>
        <v/>
      </c>
      <c r="I213" s="19"/>
      <c r="J213" s="15" t="str">
        <f aca="false">IF($B213="","",IFERROR(INDEX(Services!$E$2:$E$120,MATCH($B213,Services!$D$2:$D$120,0)),""))</f>
        <v/>
      </c>
    </row>
    <row r="214" customFormat="false" ht="14.25" hidden="false" customHeight="false" outlineLevel="0" collapsed="false">
      <c r="A214" s="18"/>
      <c r="B214" s="6"/>
      <c r="C214" s="6"/>
      <c r="D214" s="6"/>
      <c r="E214" s="16" t="str">
        <f aca="false">IF($B214="","",IFERROR(INDEX(Services!$C$2:$C$120,MATCH($B214,Services!$D$2:$D$120,0)),""))</f>
        <v/>
      </c>
      <c r="F214" s="19"/>
      <c r="G214" s="9" t="str">
        <f aca="false">IF(OR($B214="",NOT(ISNUMBER($E214))),"",$E214-IF($F214="",0,$F214))</f>
        <v/>
      </c>
      <c r="H214" s="15" t="str">
        <f aca="false">IF($B214="","",IFERROR(INDEX(Services!$A$2:$A$120,MATCH($B214,Services!$D$2:$D$120,0)),""))</f>
        <v/>
      </c>
      <c r="I214" s="19"/>
      <c r="J214" s="15" t="str">
        <f aca="false">IF($B214="","",IFERROR(INDEX(Services!$E$2:$E$120,MATCH($B214,Services!$D$2:$D$120,0)),""))</f>
        <v/>
      </c>
    </row>
    <row r="215" customFormat="false" ht="14.25" hidden="false" customHeight="false" outlineLevel="0" collapsed="false">
      <c r="A215" s="18"/>
      <c r="B215" s="6"/>
      <c r="C215" s="6"/>
      <c r="D215" s="6"/>
      <c r="E215" s="16" t="str">
        <f aca="false">IF($B215="","",IFERROR(INDEX(Services!$C$2:$C$120,MATCH($B215,Services!$D$2:$D$120,0)),""))</f>
        <v/>
      </c>
      <c r="F215" s="19"/>
      <c r="G215" s="9" t="str">
        <f aca="false">IF(OR($B215="",NOT(ISNUMBER($E215))),"",$E215-IF($F215="",0,$F215))</f>
        <v/>
      </c>
      <c r="H215" s="15" t="str">
        <f aca="false">IF($B215="","",IFERROR(INDEX(Services!$A$2:$A$120,MATCH($B215,Services!$D$2:$D$120,0)),""))</f>
        <v/>
      </c>
      <c r="I215" s="19"/>
      <c r="J215" s="15" t="str">
        <f aca="false">IF($B215="","",IFERROR(INDEX(Services!$E$2:$E$120,MATCH($B215,Services!$D$2:$D$120,0)),""))</f>
        <v/>
      </c>
    </row>
    <row r="216" customFormat="false" ht="14.25" hidden="false" customHeight="false" outlineLevel="0" collapsed="false">
      <c r="A216" s="18"/>
      <c r="B216" s="6"/>
      <c r="C216" s="6"/>
      <c r="D216" s="6"/>
      <c r="E216" s="16" t="str">
        <f aca="false">IF($B216="","",IFERROR(INDEX(Services!$C$2:$C$120,MATCH($B216,Services!$D$2:$D$120,0)),""))</f>
        <v/>
      </c>
      <c r="F216" s="19"/>
      <c r="G216" s="9" t="str">
        <f aca="false">IF(OR($B216="",NOT(ISNUMBER($E216))),"",$E216-IF($F216="",0,$F216))</f>
        <v/>
      </c>
      <c r="H216" s="15" t="str">
        <f aca="false">IF($B216="","",IFERROR(INDEX(Services!$A$2:$A$120,MATCH($B216,Services!$D$2:$D$120,0)),""))</f>
        <v/>
      </c>
      <c r="I216" s="19"/>
      <c r="J216" s="15" t="str">
        <f aca="false">IF($B216="","",IFERROR(INDEX(Services!$E$2:$E$120,MATCH($B216,Services!$D$2:$D$120,0)),""))</f>
        <v/>
      </c>
    </row>
    <row r="217" customFormat="false" ht="14.25" hidden="false" customHeight="false" outlineLevel="0" collapsed="false">
      <c r="A217" s="18"/>
      <c r="B217" s="6"/>
      <c r="C217" s="6"/>
      <c r="D217" s="6"/>
      <c r="E217" s="16" t="str">
        <f aca="false">IF($B217="","",IFERROR(INDEX(Services!$C$2:$C$120,MATCH($B217,Services!$D$2:$D$120,0)),""))</f>
        <v/>
      </c>
      <c r="F217" s="19"/>
      <c r="G217" s="9" t="str">
        <f aca="false">IF(OR($B217="",NOT(ISNUMBER($E217))),"",$E217-IF($F217="",0,$F217))</f>
        <v/>
      </c>
      <c r="H217" s="15" t="str">
        <f aca="false">IF($B217="","",IFERROR(INDEX(Services!$A$2:$A$120,MATCH($B217,Services!$D$2:$D$120,0)),""))</f>
        <v/>
      </c>
      <c r="I217" s="19"/>
      <c r="J217" s="15" t="str">
        <f aca="false">IF($B217="","",IFERROR(INDEX(Services!$E$2:$E$120,MATCH($B217,Services!$D$2:$D$120,0)),""))</f>
        <v/>
      </c>
    </row>
    <row r="218" customFormat="false" ht="14.25" hidden="false" customHeight="false" outlineLevel="0" collapsed="false">
      <c r="A218" s="18"/>
      <c r="B218" s="6"/>
      <c r="C218" s="6"/>
      <c r="D218" s="6"/>
      <c r="E218" s="16" t="str">
        <f aca="false">IF($B218="","",IFERROR(INDEX(Services!$C$2:$C$120,MATCH($B218,Services!$D$2:$D$120,0)),""))</f>
        <v/>
      </c>
      <c r="F218" s="19"/>
      <c r="G218" s="9" t="str">
        <f aca="false">IF(OR($B218="",NOT(ISNUMBER($E218))),"",$E218-IF($F218="",0,$F218))</f>
        <v/>
      </c>
      <c r="H218" s="15" t="str">
        <f aca="false">IF($B218="","",IFERROR(INDEX(Services!$A$2:$A$120,MATCH($B218,Services!$D$2:$D$120,0)),""))</f>
        <v/>
      </c>
      <c r="I218" s="19"/>
      <c r="J218" s="15" t="str">
        <f aca="false">IF($B218="","",IFERROR(INDEX(Services!$E$2:$E$120,MATCH($B218,Services!$D$2:$D$120,0)),""))</f>
        <v/>
      </c>
    </row>
    <row r="219" customFormat="false" ht="14.25" hidden="false" customHeight="false" outlineLevel="0" collapsed="false">
      <c r="A219" s="18"/>
      <c r="B219" s="6"/>
      <c r="C219" s="6"/>
      <c r="D219" s="6"/>
      <c r="E219" s="16" t="str">
        <f aca="false">IF($B219="","",IFERROR(INDEX(Services!$C$2:$C$120,MATCH($B219,Services!$D$2:$D$120,0)),""))</f>
        <v/>
      </c>
      <c r="F219" s="19"/>
      <c r="G219" s="9" t="str">
        <f aca="false">IF(OR($B219="",NOT(ISNUMBER($E219))),"",$E219-IF($F219="",0,$F219))</f>
        <v/>
      </c>
      <c r="H219" s="15" t="str">
        <f aca="false">IF($B219="","",IFERROR(INDEX(Services!$A$2:$A$120,MATCH($B219,Services!$D$2:$D$120,0)),""))</f>
        <v/>
      </c>
      <c r="I219" s="19"/>
      <c r="J219" s="15" t="str">
        <f aca="false">IF($B219="","",IFERROR(INDEX(Services!$E$2:$E$120,MATCH($B219,Services!$D$2:$D$120,0)),""))</f>
        <v/>
      </c>
    </row>
    <row r="220" customFormat="false" ht="14.25" hidden="false" customHeight="false" outlineLevel="0" collapsed="false">
      <c r="A220" s="18"/>
      <c r="B220" s="6"/>
      <c r="C220" s="6"/>
      <c r="D220" s="6"/>
      <c r="E220" s="16" t="str">
        <f aca="false">IF($B220="","",IFERROR(INDEX(Services!$C$2:$C$120,MATCH($B220,Services!$D$2:$D$120,0)),""))</f>
        <v/>
      </c>
      <c r="F220" s="19"/>
      <c r="G220" s="9" t="str">
        <f aca="false">IF(OR($B220="",NOT(ISNUMBER($E220))),"",$E220-IF($F220="",0,$F220))</f>
        <v/>
      </c>
      <c r="H220" s="15" t="str">
        <f aca="false">IF($B220="","",IFERROR(INDEX(Services!$A$2:$A$120,MATCH($B220,Services!$D$2:$D$120,0)),""))</f>
        <v/>
      </c>
      <c r="I220" s="19"/>
      <c r="J220" s="15" t="str">
        <f aca="false">IF($B220="","",IFERROR(INDEX(Services!$E$2:$E$120,MATCH($B220,Services!$D$2:$D$120,0)),""))</f>
        <v/>
      </c>
    </row>
    <row r="221" customFormat="false" ht="14.25" hidden="false" customHeight="false" outlineLevel="0" collapsed="false">
      <c r="A221" s="18"/>
      <c r="B221" s="6"/>
      <c r="C221" s="6"/>
      <c r="D221" s="6"/>
      <c r="E221" s="16" t="str">
        <f aca="false">IF($B221="","",IFERROR(INDEX(Services!$C$2:$C$120,MATCH($B221,Services!$D$2:$D$120,0)),""))</f>
        <v/>
      </c>
      <c r="F221" s="19"/>
      <c r="G221" s="9" t="str">
        <f aca="false">IF(OR($B221="",NOT(ISNUMBER($E221))),"",$E221-IF($F221="",0,$F221))</f>
        <v/>
      </c>
      <c r="H221" s="15" t="str">
        <f aca="false">IF($B221="","",IFERROR(INDEX(Services!$A$2:$A$120,MATCH($B221,Services!$D$2:$D$120,0)),""))</f>
        <v/>
      </c>
      <c r="I221" s="19"/>
      <c r="J221" s="15" t="str">
        <f aca="false">IF($B221="","",IFERROR(INDEX(Services!$E$2:$E$120,MATCH($B221,Services!$D$2:$D$120,0)),""))</f>
        <v/>
      </c>
    </row>
    <row r="222" customFormat="false" ht="14.25" hidden="false" customHeight="false" outlineLevel="0" collapsed="false">
      <c r="A222" s="18"/>
      <c r="B222" s="6"/>
      <c r="C222" s="6"/>
      <c r="D222" s="6"/>
      <c r="E222" s="16" t="str">
        <f aca="false">IF($B222="","",IFERROR(INDEX(Services!$C$2:$C$120,MATCH($B222,Services!$D$2:$D$120,0)),""))</f>
        <v/>
      </c>
      <c r="F222" s="19"/>
      <c r="G222" s="9" t="str">
        <f aca="false">IF(OR($B222="",NOT(ISNUMBER($E222))),"",$E222-IF($F222="",0,$F222))</f>
        <v/>
      </c>
      <c r="H222" s="15" t="str">
        <f aca="false">IF($B222="","",IFERROR(INDEX(Services!$A$2:$A$120,MATCH($B222,Services!$D$2:$D$120,0)),""))</f>
        <v/>
      </c>
      <c r="I222" s="19"/>
      <c r="J222" s="15" t="str">
        <f aca="false">IF($B222="","",IFERROR(INDEX(Services!$E$2:$E$120,MATCH($B222,Services!$D$2:$D$120,0)),""))</f>
        <v/>
      </c>
    </row>
    <row r="223" customFormat="false" ht="14.25" hidden="false" customHeight="false" outlineLevel="0" collapsed="false">
      <c r="A223" s="18"/>
      <c r="B223" s="6"/>
      <c r="C223" s="6"/>
      <c r="D223" s="6"/>
      <c r="E223" s="16" t="str">
        <f aca="false">IF($B223="","",IFERROR(INDEX(Services!$C$2:$C$120,MATCH($B223,Services!$D$2:$D$120,0)),""))</f>
        <v/>
      </c>
      <c r="F223" s="19"/>
      <c r="G223" s="9" t="str">
        <f aca="false">IF(OR($B223="",NOT(ISNUMBER($E223))),"",$E223-IF($F223="",0,$F223))</f>
        <v/>
      </c>
      <c r="H223" s="15" t="str">
        <f aca="false">IF($B223="","",IFERROR(INDEX(Services!$A$2:$A$120,MATCH($B223,Services!$D$2:$D$120,0)),""))</f>
        <v/>
      </c>
      <c r="I223" s="19"/>
      <c r="J223" s="15" t="str">
        <f aca="false">IF($B223="","",IFERROR(INDEX(Services!$E$2:$E$120,MATCH($B223,Services!$D$2:$D$120,0)),""))</f>
        <v/>
      </c>
    </row>
    <row r="224" customFormat="false" ht="14.25" hidden="false" customHeight="false" outlineLevel="0" collapsed="false">
      <c r="A224" s="18"/>
      <c r="B224" s="6"/>
      <c r="C224" s="6"/>
      <c r="D224" s="6"/>
      <c r="E224" s="16" t="str">
        <f aca="false">IF($B224="","",IFERROR(INDEX(Services!$C$2:$C$120,MATCH($B224,Services!$D$2:$D$120,0)),""))</f>
        <v/>
      </c>
      <c r="F224" s="19"/>
      <c r="G224" s="9" t="str">
        <f aca="false">IF(OR($B224="",NOT(ISNUMBER($E224))),"",$E224-IF($F224="",0,$F224))</f>
        <v/>
      </c>
      <c r="H224" s="15" t="str">
        <f aca="false">IF($B224="","",IFERROR(INDEX(Services!$A$2:$A$120,MATCH($B224,Services!$D$2:$D$120,0)),""))</f>
        <v/>
      </c>
      <c r="I224" s="19"/>
      <c r="J224" s="15" t="str">
        <f aca="false">IF($B224="","",IFERROR(INDEX(Services!$E$2:$E$120,MATCH($B224,Services!$D$2:$D$120,0)),""))</f>
        <v/>
      </c>
    </row>
    <row r="225" customFormat="false" ht="14.25" hidden="false" customHeight="false" outlineLevel="0" collapsed="false">
      <c r="A225" s="18"/>
      <c r="B225" s="6"/>
      <c r="C225" s="6"/>
      <c r="D225" s="6"/>
      <c r="E225" s="16" t="str">
        <f aca="false">IF($B225="","",IFERROR(INDEX(Services!$C$2:$C$120,MATCH($B225,Services!$D$2:$D$120,0)),""))</f>
        <v/>
      </c>
      <c r="F225" s="19"/>
      <c r="G225" s="9" t="str">
        <f aca="false">IF(OR($B225="",NOT(ISNUMBER($E225))),"",$E225-IF($F225="",0,$F225))</f>
        <v/>
      </c>
      <c r="H225" s="15" t="str">
        <f aca="false">IF($B225="","",IFERROR(INDEX(Services!$A$2:$A$120,MATCH($B225,Services!$D$2:$D$120,0)),""))</f>
        <v/>
      </c>
      <c r="I225" s="19"/>
      <c r="J225" s="15" t="str">
        <f aca="false">IF($B225="","",IFERROR(INDEX(Services!$E$2:$E$120,MATCH($B225,Services!$D$2:$D$120,0)),""))</f>
        <v/>
      </c>
    </row>
    <row r="226" customFormat="false" ht="14.25" hidden="false" customHeight="false" outlineLevel="0" collapsed="false">
      <c r="A226" s="18"/>
      <c r="B226" s="6"/>
      <c r="C226" s="6"/>
      <c r="D226" s="6"/>
      <c r="E226" s="16" t="str">
        <f aca="false">IF($B226="","",IFERROR(INDEX(Services!$C$2:$C$120,MATCH($B226,Services!$D$2:$D$120,0)),""))</f>
        <v/>
      </c>
      <c r="F226" s="19"/>
      <c r="G226" s="9" t="str">
        <f aca="false">IF(OR($B226="",NOT(ISNUMBER($E226))),"",$E226-IF($F226="",0,$F226))</f>
        <v/>
      </c>
      <c r="H226" s="15" t="str">
        <f aca="false">IF($B226="","",IFERROR(INDEX(Services!$A$2:$A$120,MATCH($B226,Services!$D$2:$D$120,0)),""))</f>
        <v/>
      </c>
      <c r="I226" s="19"/>
      <c r="J226" s="15" t="str">
        <f aca="false">IF($B226="","",IFERROR(INDEX(Services!$E$2:$E$120,MATCH($B226,Services!$D$2:$D$120,0)),""))</f>
        <v/>
      </c>
    </row>
    <row r="227" customFormat="false" ht="14.25" hidden="false" customHeight="false" outlineLevel="0" collapsed="false">
      <c r="A227" s="18"/>
      <c r="B227" s="6"/>
      <c r="C227" s="6"/>
      <c r="D227" s="6"/>
      <c r="E227" s="16" t="str">
        <f aca="false">IF($B227="","",IFERROR(INDEX(Services!$C$2:$C$120,MATCH($B227,Services!$D$2:$D$120,0)),""))</f>
        <v/>
      </c>
      <c r="F227" s="19"/>
      <c r="G227" s="9" t="str">
        <f aca="false">IF(OR($B227="",NOT(ISNUMBER($E227))),"",$E227-IF($F227="",0,$F227))</f>
        <v/>
      </c>
      <c r="H227" s="15" t="str">
        <f aca="false">IF($B227="","",IFERROR(INDEX(Services!$A$2:$A$120,MATCH($B227,Services!$D$2:$D$120,0)),""))</f>
        <v/>
      </c>
      <c r="I227" s="19"/>
      <c r="J227" s="15" t="str">
        <f aca="false">IF($B227="","",IFERROR(INDEX(Services!$E$2:$E$120,MATCH($B227,Services!$D$2:$D$120,0)),""))</f>
        <v/>
      </c>
    </row>
    <row r="228" customFormat="false" ht="14.25" hidden="false" customHeight="false" outlineLevel="0" collapsed="false">
      <c r="A228" s="18"/>
      <c r="B228" s="6"/>
      <c r="C228" s="6"/>
      <c r="D228" s="6"/>
      <c r="E228" s="16" t="str">
        <f aca="false">IF($B228="","",IFERROR(INDEX(Services!$C$2:$C$120,MATCH($B228,Services!$D$2:$D$120,0)),""))</f>
        <v/>
      </c>
      <c r="F228" s="19"/>
      <c r="G228" s="9" t="str">
        <f aca="false">IF(OR($B228="",NOT(ISNUMBER($E228))),"",$E228-IF($F228="",0,$F228))</f>
        <v/>
      </c>
      <c r="H228" s="15" t="str">
        <f aca="false">IF($B228="","",IFERROR(INDEX(Services!$A$2:$A$120,MATCH($B228,Services!$D$2:$D$120,0)),""))</f>
        <v/>
      </c>
      <c r="I228" s="19"/>
      <c r="J228" s="15" t="str">
        <f aca="false">IF($B228="","",IFERROR(INDEX(Services!$E$2:$E$120,MATCH($B228,Services!$D$2:$D$120,0)),""))</f>
        <v/>
      </c>
    </row>
    <row r="229" customFormat="false" ht="14.25" hidden="false" customHeight="false" outlineLevel="0" collapsed="false">
      <c r="A229" s="18"/>
      <c r="B229" s="6"/>
      <c r="C229" s="6"/>
      <c r="D229" s="6"/>
      <c r="E229" s="16" t="str">
        <f aca="false">IF($B229="","",IFERROR(INDEX(Services!$C$2:$C$120,MATCH($B229,Services!$D$2:$D$120,0)),""))</f>
        <v/>
      </c>
      <c r="F229" s="19"/>
      <c r="G229" s="9" t="str">
        <f aca="false">IF(OR($B229="",NOT(ISNUMBER($E229))),"",$E229-IF($F229="",0,$F229))</f>
        <v/>
      </c>
      <c r="H229" s="15" t="str">
        <f aca="false">IF($B229="","",IFERROR(INDEX(Services!$A$2:$A$120,MATCH($B229,Services!$D$2:$D$120,0)),""))</f>
        <v/>
      </c>
      <c r="I229" s="19"/>
      <c r="J229" s="15" t="str">
        <f aca="false">IF($B229="","",IFERROR(INDEX(Services!$E$2:$E$120,MATCH($B229,Services!$D$2:$D$120,0)),""))</f>
        <v/>
      </c>
    </row>
    <row r="230" customFormat="false" ht="14.25" hidden="false" customHeight="false" outlineLevel="0" collapsed="false">
      <c r="A230" s="18"/>
      <c r="B230" s="6"/>
      <c r="C230" s="6"/>
      <c r="D230" s="6"/>
      <c r="E230" s="16" t="str">
        <f aca="false">IF($B230="","",IFERROR(INDEX(Services!$C$2:$C$120,MATCH($B230,Services!$D$2:$D$120,0)),""))</f>
        <v/>
      </c>
      <c r="F230" s="19"/>
      <c r="G230" s="9" t="str">
        <f aca="false">IF(OR($B230="",NOT(ISNUMBER($E230))),"",$E230-IF($F230="",0,$F230))</f>
        <v/>
      </c>
      <c r="H230" s="15" t="str">
        <f aca="false">IF($B230="","",IFERROR(INDEX(Services!$A$2:$A$120,MATCH($B230,Services!$D$2:$D$120,0)),""))</f>
        <v/>
      </c>
      <c r="I230" s="19"/>
      <c r="J230" s="15" t="str">
        <f aca="false">IF($B230="","",IFERROR(INDEX(Services!$E$2:$E$120,MATCH($B230,Services!$D$2:$D$120,0)),""))</f>
        <v/>
      </c>
    </row>
    <row r="231" customFormat="false" ht="14.25" hidden="false" customHeight="false" outlineLevel="0" collapsed="false">
      <c r="A231" s="18"/>
      <c r="B231" s="6"/>
      <c r="C231" s="6"/>
      <c r="D231" s="6"/>
      <c r="E231" s="16" t="str">
        <f aca="false">IF($B231="","",IFERROR(INDEX(Services!$C$2:$C$120,MATCH($B231,Services!$D$2:$D$120,0)),""))</f>
        <v/>
      </c>
      <c r="F231" s="19"/>
      <c r="G231" s="9" t="str">
        <f aca="false">IF(OR($B231="",NOT(ISNUMBER($E231))),"",$E231-IF($F231="",0,$F231))</f>
        <v/>
      </c>
      <c r="H231" s="15" t="str">
        <f aca="false">IF($B231="","",IFERROR(INDEX(Services!$A$2:$A$120,MATCH($B231,Services!$D$2:$D$120,0)),""))</f>
        <v/>
      </c>
      <c r="I231" s="19"/>
      <c r="J231" s="15" t="str">
        <f aca="false">IF($B231="","",IFERROR(INDEX(Services!$E$2:$E$120,MATCH($B231,Services!$D$2:$D$120,0)),""))</f>
        <v/>
      </c>
    </row>
    <row r="232" customFormat="false" ht="14.25" hidden="false" customHeight="false" outlineLevel="0" collapsed="false">
      <c r="A232" s="18"/>
      <c r="B232" s="6"/>
      <c r="C232" s="6"/>
      <c r="D232" s="6"/>
      <c r="E232" s="16" t="str">
        <f aca="false">IF($B232="","",IFERROR(INDEX(Services!$C$2:$C$120,MATCH($B232,Services!$D$2:$D$120,0)),""))</f>
        <v/>
      </c>
      <c r="F232" s="19"/>
      <c r="G232" s="9" t="str">
        <f aca="false">IF(OR($B232="",NOT(ISNUMBER($E232))),"",$E232-IF($F232="",0,$F232))</f>
        <v/>
      </c>
      <c r="H232" s="15" t="str">
        <f aca="false">IF($B232="","",IFERROR(INDEX(Services!$A$2:$A$120,MATCH($B232,Services!$D$2:$D$120,0)),""))</f>
        <v/>
      </c>
      <c r="I232" s="19"/>
      <c r="J232" s="15" t="str">
        <f aca="false">IF($B232="","",IFERROR(INDEX(Services!$E$2:$E$120,MATCH($B232,Services!$D$2:$D$120,0)),""))</f>
        <v/>
      </c>
    </row>
    <row r="233" customFormat="false" ht="14.25" hidden="false" customHeight="false" outlineLevel="0" collapsed="false">
      <c r="A233" s="18"/>
      <c r="B233" s="6"/>
      <c r="C233" s="6"/>
      <c r="D233" s="6"/>
      <c r="E233" s="16" t="str">
        <f aca="false">IF($B233="","",IFERROR(INDEX(Services!$C$2:$C$120,MATCH($B233,Services!$D$2:$D$120,0)),""))</f>
        <v/>
      </c>
      <c r="F233" s="19"/>
      <c r="G233" s="9" t="str">
        <f aca="false">IF(OR($B233="",NOT(ISNUMBER($E233))),"",$E233-IF($F233="",0,$F233))</f>
        <v/>
      </c>
      <c r="H233" s="15" t="str">
        <f aca="false">IF($B233="","",IFERROR(INDEX(Services!$A$2:$A$120,MATCH($B233,Services!$D$2:$D$120,0)),""))</f>
        <v/>
      </c>
      <c r="I233" s="19"/>
      <c r="J233" s="15" t="str">
        <f aca="false">IF($B233="","",IFERROR(INDEX(Services!$E$2:$E$120,MATCH($B233,Services!$D$2:$D$120,0)),""))</f>
        <v/>
      </c>
    </row>
    <row r="234" customFormat="false" ht="14.25" hidden="false" customHeight="false" outlineLevel="0" collapsed="false">
      <c r="A234" s="18"/>
      <c r="B234" s="6"/>
      <c r="C234" s="6"/>
      <c r="D234" s="6"/>
      <c r="E234" s="16" t="str">
        <f aca="false">IF($B234="","",IFERROR(INDEX(Services!$C$2:$C$120,MATCH($B234,Services!$D$2:$D$120,0)),""))</f>
        <v/>
      </c>
      <c r="F234" s="19"/>
      <c r="G234" s="9" t="str">
        <f aca="false">IF(OR($B234="",NOT(ISNUMBER($E234))),"",$E234-IF($F234="",0,$F234))</f>
        <v/>
      </c>
      <c r="H234" s="15" t="str">
        <f aca="false">IF($B234="","",IFERROR(INDEX(Services!$A$2:$A$120,MATCH($B234,Services!$D$2:$D$120,0)),""))</f>
        <v/>
      </c>
      <c r="I234" s="19"/>
      <c r="J234" s="15" t="str">
        <f aca="false">IF($B234="","",IFERROR(INDEX(Services!$E$2:$E$120,MATCH($B234,Services!$D$2:$D$120,0)),""))</f>
        <v/>
      </c>
    </row>
    <row r="235" customFormat="false" ht="14.25" hidden="false" customHeight="false" outlineLevel="0" collapsed="false">
      <c r="A235" s="18"/>
      <c r="B235" s="6"/>
      <c r="C235" s="6"/>
      <c r="D235" s="6"/>
      <c r="E235" s="16" t="str">
        <f aca="false">IF($B235="","",IFERROR(INDEX(Services!$C$2:$C$120,MATCH($B235,Services!$D$2:$D$120,0)),""))</f>
        <v/>
      </c>
      <c r="F235" s="19"/>
      <c r="G235" s="9" t="str">
        <f aca="false">IF(OR($B235="",NOT(ISNUMBER($E235))),"",$E235-IF($F235="",0,$F235))</f>
        <v/>
      </c>
      <c r="H235" s="15" t="str">
        <f aca="false">IF($B235="","",IFERROR(INDEX(Services!$A$2:$A$120,MATCH($B235,Services!$D$2:$D$120,0)),""))</f>
        <v/>
      </c>
      <c r="I235" s="19"/>
      <c r="J235" s="15" t="str">
        <f aca="false">IF($B235="","",IFERROR(INDEX(Services!$E$2:$E$120,MATCH($B235,Services!$D$2:$D$120,0)),""))</f>
        <v/>
      </c>
    </row>
    <row r="236" customFormat="false" ht="14.25" hidden="false" customHeight="false" outlineLevel="0" collapsed="false">
      <c r="A236" s="18"/>
      <c r="B236" s="6"/>
      <c r="C236" s="6"/>
      <c r="D236" s="6"/>
      <c r="E236" s="16" t="str">
        <f aca="false">IF($B236="","",IFERROR(INDEX(Services!$C$2:$C$120,MATCH($B236,Services!$D$2:$D$120,0)),""))</f>
        <v/>
      </c>
      <c r="F236" s="19"/>
      <c r="G236" s="9" t="str">
        <f aca="false">IF(OR($B236="",NOT(ISNUMBER($E236))),"",$E236-IF($F236="",0,$F236))</f>
        <v/>
      </c>
      <c r="H236" s="15" t="str">
        <f aca="false">IF($B236="","",IFERROR(INDEX(Services!$A$2:$A$120,MATCH($B236,Services!$D$2:$D$120,0)),""))</f>
        <v/>
      </c>
      <c r="I236" s="19"/>
      <c r="J236" s="15" t="str">
        <f aca="false">IF($B236="","",IFERROR(INDEX(Services!$E$2:$E$120,MATCH($B236,Services!$D$2:$D$120,0)),""))</f>
        <v/>
      </c>
    </row>
    <row r="237" customFormat="false" ht="14.25" hidden="false" customHeight="false" outlineLevel="0" collapsed="false">
      <c r="A237" s="18"/>
      <c r="B237" s="6"/>
      <c r="C237" s="6"/>
      <c r="D237" s="6"/>
      <c r="E237" s="16" t="str">
        <f aca="false">IF($B237="","",IFERROR(INDEX(Services!$C$2:$C$120,MATCH($B237,Services!$D$2:$D$120,0)),""))</f>
        <v/>
      </c>
      <c r="F237" s="19"/>
      <c r="G237" s="9" t="str">
        <f aca="false">IF(OR($B237="",NOT(ISNUMBER($E237))),"",$E237-IF($F237="",0,$F237))</f>
        <v/>
      </c>
      <c r="H237" s="15" t="str">
        <f aca="false">IF($B237="","",IFERROR(INDEX(Services!$A$2:$A$120,MATCH($B237,Services!$D$2:$D$120,0)),""))</f>
        <v/>
      </c>
      <c r="I237" s="19"/>
      <c r="J237" s="15" t="str">
        <f aca="false">IF($B237="","",IFERROR(INDEX(Services!$E$2:$E$120,MATCH($B237,Services!$D$2:$D$120,0)),""))</f>
        <v/>
      </c>
    </row>
    <row r="238" customFormat="false" ht="14.25" hidden="false" customHeight="false" outlineLevel="0" collapsed="false">
      <c r="A238" s="18"/>
      <c r="B238" s="6"/>
      <c r="C238" s="6"/>
      <c r="D238" s="6"/>
      <c r="E238" s="16" t="str">
        <f aca="false">IF($B238="","",IFERROR(INDEX(Services!$C$2:$C$120,MATCH($B238,Services!$D$2:$D$120,0)),""))</f>
        <v/>
      </c>
      <c r="F238" s="19"/>
      <c r="G238" s="9" t="str">
        <f aca="false">IF(OR($B238="",NOT(ISNUMBER($E238))),"",$E238-IF($F238="",0,$F238))</f>
        <v/>
      </c>
      <c r="H238" s="15" t="str">
        <f aca="false">IF($B238="","",IFERROR(INDEX(Services!$A$2:$A$120,MATCH($B238,Services!$D$2:$D$120,0)),""))</f>
        <v/>
      </c>
      <c r="I238" s="19"/>
      <c r="J238" s="15" t="str">
        <f aca="false">IF($B238="","",IFERROR(INDEX(Services!$E$2:$E$120,MATCH($B238,Services!$D$2:$D$120,0)),""))</f>
        <v/>
      </c>
    </row>
    <row r="239" customFormat="false" ht="14.25" hidden="false" customHeight="false" outlineLevel="0" collapsed="false">
      <c r="A239" s="18"/>
      <c r="B239" s="6"/>
      <c r="C239" s="6"/>
      <c r="D239" s="6"/>
      <c r="E239" s="16" t="str">
        <f aca="false">IF($B239="","",IFERROR(INDEX(Services!$C$2:$C$120,MATCH($B239,Services!$D$2:$D$120,0)),""))</f>
        <v/>
      </c>
      <c r="F239" s="19"/>
      <c r="G239" s="9" t="str">
        <f aca="false">IF(OR($B239="",NOT(ISNUMBER($E239))),"",$E239-IF($F239="",0,$F239))</f>
        <v/>
      </c>
      <c r="H239" s="15" t="str">
        <f aca="false">IF($B239="","",IFERROR(INDEX(Services!$A$2:$A$120,MATCH($B239,Services!$D$2:$D$120,0)),""))</f>
        <v/>
      </c>
      <c r="I239" s="19"/>
      <c r="J239" s="15" t="str">
        <f aca="false">IF($B239="","",IFERROR(INDEX(Services!$E$2:$E$120,MATCH($B239,Services!$D$2:$D$120,0)),""))</f>
        <v/>
      </c>
    </row>
    <row r="240" customFormat="false" ht="14.25" hidden="false" customHeight="false" outlineLevel="0" collapsed="false">
      <c r="A240" s="18"/>
      <c r="B240" s="6"/>
      <c r="C240" s="6"/>
      <c r="D240" s="6"/>
      <c r="E240" s="16" t="str">
        <f aca="false">IF($B240="","",IFERROR(INDEX(Services!$C$2:$C$120,MATCH($B240,Services!$D$2:$D$120,0)),""))</f>
        <v/>
      </c>
      <c r="F240" s="19"/>
      <c r="G240" s="9" t="str">
        <f aca="false">IF(OR($B240="",NOT(ISNUMBER($E240))),"",$E240-IF($F240="",0,$F240))</f>
        <v/>
      </c>
      <c r="H240" s="15" t="str">
        <f aca="false">IF($B240="","",IFERROR(INDEX(Services!$A$2:$A$120,MATCH($B240,Services!$D$2:$D$120,0)),""))</f>
        <v/>
      </c>
      <c r="I240" s="19"/>
      <c r="J240" s="15" t="str">
        <f aca="false">IF($B240="","",IFERROR(INDEX(Services!$E$2:$E$120,MATCH($B240,Services!$D$2:$D$120,0)),""))</f>
        <v/>
      </c>
    </row>
    <row r="241" customFormat="false" ht="14.25" hidden="false" customHeight="false" outlineLevel="0" collapsed="false">
      <c r="A241" s="18"/>
      <c r="B241" s="6"/>
      <c r="C241" s="6"/>
      <c r="D241" s="6"/>
      <c r="E241" s="16" t="str">
        <f aca="false">IF($B241="","",IFERROR(INDEX(Services!$C$2:$C$120,MATCH($B241,Services!$D$2:$D$120,0)),""))</f>
        <v/>
      </c>
      <c r="F241" s="19"/>
      <c r="G241" s="9" t="str">
        <f aca="false">IF(OR($B241="",NOT(ISNUMBER($E241))),"",$E241-IF($F241="",0,$F241))</f>
        <v/>
      </c>
      <c r="H241" s="15" t="str">
        <f aca="false">IF($B241="","",IFERROR(INDEX(Services!$A$2:$A$120,MATCH($B241,Services!$D$2:$D$120,0)),""))</f>
        <v/>
      </c>
      <c r="I241" s="19"/>
      <c r="J241" s="15" t="str">
        <f aca="false">IF($B241="","",IFERROR(INDEX(Services!$E$2:$E$120,MATCH($B241,Services!$D$2:$D$120,0)),""))</f>
        <v/>
      </c>
    </row>
    <row r="242" customFormat="false" ht="14.25" hidden="false" customHeight="false" outlineLevel="0" collapsed="false">
      <c r="A242" s="18"/>
      <c r="B242" s="6"/>
      <c r="C242" s="6"/>
      <c r="D242" s="6"/>
      <c r="E242" s="16" t="str">
        <f aca="false">IF($B242="","",IFERROR(INDEX(Services!$C$2:$C$120,MATCH($B242,Services!$D$2:$D$120,0)),""))</f>
        <v/>
      </c>
      <c r="F242" s="19"/>
      <c r="G242" s="9" t="str">
        <f aca="false">IF(OR($B242="",NOT(ISNUMBER($E242))),"",$E242-IF($F242="",0,$F242))</f>
        <v/>
      </c>
      <c r="H242" s="15" t="str">
        <f aca="false">IF($B242="","",IFERROR(INDEX(Services!$A$2:$A$120,MATCH($B242,Services!$D$2:$D$120,0)),""))</f>
        <v/>
      </c>
      <c r="I242" s="19"/>
      <c r="J242" s="15" t="str">
        <f aca="false">IF($B242="","",IFERROR(INDEX(Services!$E$2:$E$120,MATCH($B242,Services!$D$2:$D$120,0)),""))</f>
        <v/>
      </c>
    </row>
    <row r="243" customFormat="false" ht="14.25" hidden="false" customHeight="false" outlineLevel="0" collapsed="false">
      <c r="A243" s="18"/>
      <c r="B243" s="6"/>
      <c r="C243" s="6"/>
      <c r="D243" s="6"/>
      <c r="E243" s="16" t="str">
        <f aca="false">IF($B243="","",IFERROR(INDEX(Services!$C$2:$C$120,MATCH($B243,Services!$D$2:$D$120,0)),""))</f>
        <v/>
      </c>
      <c r="F243" s="19"/>
      <c r="G243" s="9" t="str">
        <f aca="false">IF(OR($B243="",NOT(ISNUMBER($E243))),"",$E243-IF($F243="",0,$F243))</f>
        <v/>
      </c>
      <c r="H243" s="15" t="str">
        <f aca="false">IF($B243="","",IFERROR(INDEX(Services!$A$2:$A$120,MATCH($B243,Services!$D$2:$D$120,0)),""))</f>
        <v/>
      </c>
      <c r="I243" s="19"/>
      <c r="J243" s="15" t="str">
        <f aca="false">IF($B243="","",IFERROR(INDEX(Services!$E$2:$E$120,MATCH($B243,Services!$D$2:$D$120,0)),""))</f>
        <v/>
      </c>
    </row>
    <row r="244" customFormat="false" ht="14.25" hidden="false" customHeight="false" outlineLevel="0" collapsed="false">
      <c r="A244" s="18"/>
      <c r="B244" s="6"/>
      <c r="C244" s="6"/>
      <c r="D244" s="6"/>
      <c r="E244" s="16" t="str">
        <f aca="false">IF($B244="","",IFERROR(INDEX(Services!$C$2:$C$120,MATCH($B244,Services!$D$2:$D$120,0)),""))</f>
        <v/>
      </c>
      <c r="F244" s="19"/>
      <c r="G244" s="9" t="str">
        <f aca="false">IF(OR($B244="",NOT(ISNUMBER($E244))),"",$E244-IF($F244="",0,$F244))</f>
        <v/>
      </c>
      <c r="H244" s="15" t="str">
        <f aca="false">IF($B244="","",IFERROR(INDEX(Services!$A$2:$A$120,MATCH($B244,Services!$D$2:$D$120,0)),""))</f>
        <v/>
      </c>
      <c r="I244" s="19"/>
      <c r="J244" s="15" t="str">
        <f aca="false">IF($B244="","",IFERROR(INDEX(Services!$E$2:$E$120,MATCH($B244,Services!$D$2:$D$120,0)),""))</f>
        <v/>
      </c>
    </row>
    <row r="245" customFormat="false" ht="14.25" hidden="false" customHeight="false" outlineLevel="0" collapsed="false">
      <c r="A245" s="18"/>
      <c r="B245" s="6"/>
      <c r="C245" s="6"/>
      <c r="D245" s="6"/>
      <c r="E245" s="16" t="str">
        <f aca="false">IF($B245="","",IFERROR(INDEX(Services!$C$2:$C$120,MATCH($B245,Services!$D$2:$D$120,0)),""))</f>
        <v/>
      </c>
      <c r="F245" s="19"/>
      <c r="G245" s="9" t="str">
        <f aca="false">IF(OR($B245="",NOT(ISNUMBER($E245))),"",$E245-IF($F245="",0,$F245))</f>
        <v/>
      </c>
      <c r="H245" s="15" t="str">
        <f aca="false">IF($B245="","",IFERROR(INDEX(Services!$A$2:$A$120,MATCH($B245,Services!$D$2:$D$120,0)),""))</f>
        <v/>
      </c>
      <c r="I245" s="19"/>
      <c r="J245" s="15" t="str">
        <f aca="false">IF($B245="","",IFERROR(INDEX(Services!$E$2:$E$120,MATCH($B245,Services!$D$2:$D$120,0)),""))</f>
        <v/>
      </c>
    </row>
    <row r="246" customFormat="false" ht="14.25" hidden="false" customHeight="false" outlineLevel="0" collapsed="false">
      <c r="A246" s="18"/>
      <c r="B246" s="6"/>
      <c r="C246" s="6"/>
      <c r="D246" s="6"/>
      <c r="E246" s="16" t="str">
        <f aca="false">IF($B246="","",IFERROR(INDEX(Services!$C$2:$C$120,MATCH($B246,Services!$D$2:$D$120,0)),""))</f>
        <v/>
      </c>
      <c r="F246" s="19"/>
      <c r="G246" s="9" t="str">
        <f aca="false">IF(OR($B246="",NOT(ISNUMBER($E246))),"",$E246-IF($F246="",0,$F246))</f>
        <v/>
      </c>
      <c r="H246" s="15" t="str">
        <f aca="false">IF($B246="","",IFERROR(INDEX(Services!$A$2:$A$120,MATCH($B246,Services!$D$2:$D$120,0)),""))</f>
        <v/>
      </c>
      <c r="I246" s="19"/>
      <c r="J246" s="15" t="str">
        <f aca="false">IF($B246="","",IFERROR(INDEX(Services!$E$2:$E$120,MATCH($B246,Services!$D$2:$D$120,0)),""))</f>
        <v/>
      </c>
    </row>
    <row r="247" customFormat="false" ht="14.25" hidden="false" customHeight="false" outlineLevel="0" collapsed="false">
      <c r="A247" s="18"/>
      <c r="B247" s="6"/>
      <c r="C247" s="6"/>
      <c r="D247" s="6"/>
      <c r="E247" s="16" t="str">
        <f aca="false">IF($B247="","",IFERROR(INDEX(Services!$C$2:$C$120,MATCH($B247,Services!$D$2:$D$120,0)),""))</f>
        <v/>
      </c>
      <c r="F247" s="19"/>
      <c r="G247" s="9" t="str">
        <f aca="false">IF(OR($B247="",NOT(ISNUMBER($E247))),"",$E247-IF($F247="",0,$F247))</f>
        <v/>
      </c>
      <c r="H247" s="15" t="str">
        <f aca="false">IF($B247="","",IFERROR(INDEX(Services!$A$2:$A$120,MATCH($B247,Services!$D$2:$D$120,0)),""))</f>
        <v/>
      </c>
      <c r="I247" s="19"/>
      <c r="J247" s="15" t="str">
        <f aca="false">IF($B247="","",IFERROR(INDEX(Services!$E$2:$E$120,MATCH($B247,Services!$D$2:$D$120,0)),""))</f>
        <v/>
      </c>
    </row>
    <row r="248" customFormat="false" ht="14.25" hidden="false" customHeight="false" outlineLevel="0" collapsed="false">
      <c r="A248" s="18"/>
      <c r="B248" s="6"/>
      <c r="C248" s="6"/>
      <c r="D248" s="6"/>
      <c r="E248" s="16" t="str">
        <f aca="false">IF($B248="","",IFERROR(INDEX(Services!$C$2:$C$120,MATCH($B248,Services!$D$2:$D$120,0)),""))</f>
        <v/>
      </c>
      <c r="F248" s="19"/>
      <c r="G248" s="9" t="str">
        <f aca="false">IF(OR($B248="",NOT(ISNUMBER($E248))),"",$E248-IF($F248="",0,$F248))</f>
        <v/>
      </c>
      <c r="H248" s="15" t="str">
        <f aca="false">IF($B248="","",IFERROR(INDEX(Services!$A$2:$A$120,MATCH($B248,Services!$D$2:$D$120,0)),""))</f>
        <v/>
      </c>
      <c r="I248" s="19"/>
      <c r="J248" s="15" t="str">
        <f aca="false">IF($B248="","",IFERROR(INDEX(Services!$E$2:$E$120,MATCH($B248,Services!$D$2:$D$120,0)),""))</f>
        <v/>
      </c>
    </row>
    <row r="249" customFormat="false" ht="14.25" hidden="false" customHeight="false" outlineLevel="0" collapsed="false">
      <c r="A249" s="18"/>
      <c r="B249" s="6"/>
      <c r="C249" s="6"/>
      <c r="D249" s="6"/>
      <c r="E249" s="16" t="str">
        <f aca="false">IF($B249="","",IFERROR(INDEX(Services!$C$2:$C$120,MATCH($B249,Services!$D$2:$D$120,0)),""))</f>
        <v/>
      </c>
      <c r="F249" s="19"/>
      <c r="G249" s="9" t="str">
        <f aca="false">IF(OR($B249="",NOT(ISNUMBER($E249))),"",$E249-IF($F249="",0,$F249))</f>
        <v/>
      </c>
      <c r="H249" s="15" t="str">
        <f aca="false">IF($B249="","",IFERROR(INDEX(Services!$A$2:$A$120,MATCH($B249,Services!$D$2:$D$120,0)),""))</f>
        <v/>
      </c>
      <c r="I249" s="19"/>
      <c r="J249" s="15" t="str">
        <f aca="false">IF($B249="","",IFERROR(INDEX(Services!$E$2:$E$120,MATCH($B249,Services!$D$2:$D$120,0)),""))</f>
        <v/>
      </c>
    </row>
    <row r="250" customFormat="false" ht="14.25" hidden="false" customHeight="false" outlineLevel="0" collapsed="false">
      <c r="A250" s="18"/>
      <c r="B250" s="6"/>
      <c r="C250" s="6"/>
      <c r="D250" s="6"/>
      <c r="E250" s="16" t="str">
        <f aca="false">IF($B250="","",IFERROR(INDEX(Services!$C$2:$C$120,MATCH($B250,Services!$D$2:$D$120,0)),""))</f>
        <v/>
      </c>
      <c r="F250" s="19"/>
      <c r="G250" s="9" t="str">
        <f aca="false">IF(OR($B250="",NOT(ISNUMBER($E250))),"",$E250-IF($F250="",0,$F250))</f>
        <v/>
      </c>
      <c r="H250" s="15" t="str">
        <f aca="false">IF($B250="","",IFERROR(INDEX(Services!$A$2:$A$120,MATCH($B250,Services!$D$2:$D$120,0)),""))</f>
        <v/>
      </c>
      <c r="I250" s="19"/>
      <c r="J250" s="15" t="str">
        <f aca="false">IF($B250="","",IFERROR(INDEX(Services!$E$2:$E$120,MATCH($B250,Services!$D$2:$D$120,0)),""))</f>
        <v/>
      </c>
    </row>
    <row r="251" customFormat="false" ht="14.25" hidden="false" customHeight="false" outlineLevel="0" collapsed="false">
      <c r="A251" s="18"/>
      <c r="B251" s="6"/>
      <c r="C251" s="6"/>
      <c r="D251" s="6"/>
      <c r="E251" s="16" t="str">
        <f aca="false">IF($B251="","",IFERROR(INDEX(Services!$C$2:$C$120,MATCH($B251,Services!$D$2:$D$120,0)),""))</f>
        <v/>
      </c>
      <c r="F251" s="19"/>
      <c r="G251" s="9" t="str">
        <f aca="false">IF(OR($B251="",NOT(ISNUMBER($E251))),"",$E251-IF($F251="",0,$F251))</f>
        <v/>
      </c>
      <c r="H251" s="15" t="str">
        <f aca="false">IF($B251="","",IFERROR(INDEX(Services!$A$2:$A$120,MATCH($B251,Services!$D$2:$D$120,0)),""))</f>
        <v/>
      </c>
      <c r="I251" s="19"/>
      <c r="J251" s="15" t="str">
        <f aca="false">IF($B251="","",IFERROR(INDEX(Services!$E$2:$E$120,MATCH($B251,Services!$D$2:$D$120,0)),""))</f>
        <v/>
      </c>
    </row>
    <row r="252" customFormat="false" ht="14.25" hidden="false" customHeight="false" outlineLevel="0" collapsed="false">
      <c r="A252" s="18"/>
      <c r="B252" s="6"/>
      <c r="C252" s="6"/>
      <c r="D252" s="6"/>
      <c r="E252" s="16" t="str">
        <f aca="false">IF($B252="","",IFERROR(INDEX(Services!$C$2:$C$120,MATCH($B252,Services!$D$2:$D$120,0)),""))</f>
        <v/>
      </c>
      <c r="F252" s="19"/>
      <c r="G252" s="9" t="str">
        <f aca="false">IF(OR($B252="",NOT(ISNUMBER($E252))),"",$E252-IF($F252="",0,$F252))</f>
        <v/>
      </c>
      <c r="H252" s="15" t="str">
        <f aca="false">IF($B252="","",IFERROR(INDEX(Services!$A$2:$A$120,MATCH($B252,Services!$D$2:$D$120,0)),""))</f>
        <v/>
      </c>
      <c r="I252" s="19"/>
      <c r="J252" s="15" t="str">
        <f aca="false">IF($B252="","",IFERROR(INDEX(Services!$E$2:$E$120,MATCH($B252,Services!$D$2:$D$120,0)),""))</f>
        <v/>
      </c>
    </row>
    <row r="253" customFormat="false" ht="14.25" hidden="false" customHeight="false" outlineLevel="0" collapsed="false">
      <c r="A253" s="18"/>
      <c r="B253" s="6"/>
      <c r="C253" s="6"/>
      <c r="D253" s="6"/>
      <c r="E253" s="16" t="str">
        <f aca="false">IF($B253="","",IFERROR(INDEX(Services!$C$2:$C$120,MATCH($B253,Services!$D$2:$D$120,0)),""))</f>
        <v/>
      </c>
      <c r="F253" s="19"/>
      <c r="G253" s="9" t="str">
        <f aca="false">IF(OR($B253="",NOT(ISNUMBER($E253))),"",$E253-IF($F253="",0,$F253))</f>
        <v/>
      </c>
      <c r="H253" s="15" t="str">
        <f aca="false">IF($B253="","",IFERROR(INDEX(Services!$A$2:$A$120,MATCH($B253,Services!$D$2:$D$120,0)),""))</f>
        <v/>
      </c>
      <c r="I253" s="19"/>
      <c r="J253" s="15" t="str">
        <f aca="false">IF($B253="","",IFERROR(INDEX(Services!$E$2:$E$120,MATCH($B253,Services!$D$2:$D$120,0)),""))</f>
        <v/>
      </c>
    </row>
    <row r="254" customFormat="false" ht="14.25" hidden="false" customHeight="false" outlineLevel="0" collapsed="false">
      <c r="A254" s="18"/>
      <c r="B254" s="6"/>
      <c r="C254" s="6"/>
      <c r="D254" s="6"/>
      <c r="E254" s="16" t="str">
        <f aca="false">IF($B254="","",IFERROR(INDEX(Services!$C$2:$C$120,MATCH($B254,Services!$D$2:$D$120,0)),""))</f>
        <v/>
      </c>
      <c r="F254" s="19"/>
      <c r="G254" s="9" t="str">
        <f aca="false">IF(OR($B254="",NOT(ISNUMBER($E254))),"",$E254-IF($F254="",0,$F254))</f>
        <v/>
      </c>
      <c r="H254" s="15" t="str">
        <f aca="false">IF($B254="","",IFERROR(INDEX(Services!$A$2:$A$120,MATCH($B254,Services!$D$2:$D$120,0)),""))</f>
        <v/>
      </c>
      <c r="I254" s="19"/>
      <c r="J254" s="15" t="str">
        <f aca="false">IF($B254="","",IFERROR(INDEX(Services!$E$2:$E$120,MATCH($B254,Services!$D$2:$D$120,0)),""))</f>
        <v/>
      </c>
    </row>
    <row r="255" customFormat="false" ht="14.25" hidden="false" customHeight="false" outlineLevel="0" collapsed="false">
      <c r="A255" s="18"/>
      <c r="B255" s="6"/>
      <c r="C255" s="6"/>
      <c r="D255" s="6"/>
      <c r="E255" s="16" t="str">
        <f aca="false">IF($B255="","",IFERROR(INDEX(Services!$C$2:$C$120,MATCH($B255,Services!$D$2:$D$120,0)),""))</f>
        <v/>
      </c>
      <c r="F255" s="19"/>
      <c r="G255" s="9" t="str">
        <f aca="false">IF(OR($B255="",NOT(ISNUMBER($E255))),"",$E255-IF($F255="",0,$F255))</f>
        <v/>
      </c>
      <c r="H255" s="15" t="str">
        <f aca="false">IF($B255="","",IFERROR(INDEX(Services!$A$2:$A$120,MATCH($B255,Services!$D$2:$D$120,0)),""))</f>
        <v/>
      </c>
      <c r="I255" s="19"/>
      <c r="J255" s="15" t="str">
        <f aca="false">IF($B255="","",IFERROR(INDEX(Services!$E$2:$E$120,MATCH($B255,Services!$D$2:$D$120,0)),""))</f>
        <v/>
      </c>
    </row>
    <row r="256" customFormat="false" ht="14.25" hidden="false" customHeight="false" outlineLevel="0" collapsed="false">
      <c r="A256" s="18"/>
      <c r="B256" s="6"/>
      <c r="C256" s="6"/>
      <c r="D256" s="6"/>
      <c r="E256" s="16" t="str">
        <f aca="false">IF($B256="","",IFERROR(INDEX(Services!$C$2:$C$120,MATCH($B256,Services!$D$2:$D$120,0)),""))</f>
        <v/>
      </c>
      <c r="F256" s="19"/>
      <c r="G256" s="9" t="str">
        <f aca="false">IF(OR($B256="",NOT(ISNUMBER($E256))),"",$E256-IF($F256="",0,$F256))</f>
        <v/>
      </c>
      <c r="H256" s="15" t="str">
        <f aca="false">IF($B256="","",IFERROR(INDEX(Services!$A$2:$A$120,MATCH($B256,Services!$D$2:$D$120,0)),""))</f>
        <v/>
      </c>
      <c r="I256" s="19"/>
      <c r="J256" s="15" t="str">
        <f aca="false">IF($B256="","",IFERROR(INDEX(Services!$E$2:$E$120,MATCH($B256,Services!$D$2:$D$120,0)),""))</f>
        <v/>
      </c>
    </row>
    <row r="257" customFormat="false" ht="14.25" hidden="false" customHeight="false" outlineLevel="0" collapsed="false">
      <c r="A257" s="18"/>
      <c r="B257" s="6"/>
      <c r="C257" s="6"/>
      <c r="D257" s="6"/>
      <c r="E257" s="16" t="str">
        <f aca="false">IF($B257="","",IFERROR(INDEX(Services!$C$2:$C$120,MATCH($B257,Services!$D$2:$D$120,0)),""))</f>
        <v/>
      </c>
      <c r="F257" s="19"/>
      <c r="G257" s="9" t="str">
        <f aca="false">IF(OR($B257="",NOT(ISNUMBER($E257))),"",$E257-IF($F257="",0,$F257))</f>
        <v/>
      </c>
      <c r="H257" s="15" t="str">
        <f aca="false">IF($B257="","",IFERROR(INDEX(Services!$A$2:$A$120,MATCH($B257,Services!$D$2:$D$120,0)),""))</f>
        <v/>
      </c>
      <c r="I257" s="19"/>
      <c r="J257" s="15" t="str">
        <f aca="false">IF($B257="","",IFERROR(INDEX(Services!$E$2:$E$120,MATCH($B257,Services!$D$2:$D$120,0)),""))</f>
        <v/>
      </c>
    </row>
    <row r="258" customFormat="false" ht="14.25" hidden="false" customHeight="false" outlineLevel="0" collapsed="false">
      <c r="A258" s="18"/>
      <c r="B258" s="6"/>
      <c r="C258" s="6"/>
      <c r="D258" s="6"/>
      <c r="E258" s="16" t="str">
        <f aca="false">IF($B258="","",IFERROR(INDEX(Services!$C$2:$C$120,MATCH($B258,Services!$D$2:$D$120,0)),""))</f>
        <v/>
      </c>
      <c r="F258" s="19"/>
      <c r="G258" s="9" t="str">
        <f aca="false">IF(OR($B258="",NOT(ISNUMBER($E258))),"",$E258-IF($F258="",0,$F258))</f>
        <v/>
      </c>
      <c r="H258" s="15" t="str">
        <f aca="false">IF($B258="","",IFERROR(INDEX(Services!$A$2:$A$120,MATCH($B258,Services!$D$2:$D$120,0)),""))</f>
        <v/>
      </c>
      <c r="I258" s="19"/>
      <c r="J258" s="15" t="str">
        <f aca="false">IF($B258="","",IFERROR(INDEX(Services!$E$2:$E$120,MATCH($B258,Services!$D$2:$D$120,0)),""))</f>
        <v/>
      </c>
    </row>
    <row r="259" customFormat="false" ht="14.25" hidden="false" customHeight="false" outlineLevel="0" collapsed="false">
      <c r="A259" s="18"/>
      <c r="B259" s="6"/>
      <c r="C259" s="6"/>
      <c r="D259" s="6"/>
      <c r="E259" s="16" t="str">
        <f aca="false">IF($B259="","",IFERROR(INDEX(Services!$C$2:$C$120,MATCH($B259,Services!$D$2:$D$120,0)),""))</f>
        <v/>
      </c>
      <c r="F259" s="19"/>
      <c r="G259" s="9" t="str">
        <f aca="false">IF(OR($B259="",NOT(ISNUMBER($E259))),"",$E259-IF($F259="",0,$F259))</f>
        <v/>
      </c>
      <c r="H259" s="15" t="str">
        <f aca="false">IF($B259="","",IFERROR(INDEX(Services!$A$2:$A$120,MATCH($B259,Services!$D$2:$D$120,0)),""))</f>
        <v/>
      </c>
      <c r="I259" s="19"/>
      <c r="J259" s="15" t="str">
        <f aca="false">IF($B259="","",IFERROR(INDEX(Services!$E$2:$E$120,MATCH($B259,Services!$D$2:$D$120,0)),""))</f>
        <v/>
      </c>
    </row>
    <row r="260" customFormat="false" ht="14.25" hidden="false" customHeight="false" outlineLevel="0" collapsed="false">
      <c r="A260" s="18"/>
      <c r="B260" s="6"/>
      <c r="C260" s="6"/>
      <c r="D260" s="6"/>
      <c r="E260" s="16" t="str">
        <f aca="false">IF($B260="","",IFERROR(INDEX(Services!$C$2:$C$120,MATCH($B260,Services!$D$2:$D$120,0)),""))</f>
        <v/>
      </c>
      <c r="F260" s="19"/>
      <c r="G260" s="9" t="str">
        <f aca="false">IF(OR($B260="",NOT(ISNUMBER($E260))),"",$E260-IF($F260="",0,$F260))</f>
        <v/>
      </c>
      <c r="H260" s="15" t="str">
        <f aca="false">IF($B260="","",IFERROR(INDEX(Services!$A$2:$A$120,MATCH($B260,Services!$D$2:$D$120,0)),""))</f>
        <v/>
      </c>
      <c r="I260" s="19"/>
      <c r="J260" s="15" t="str">
        <f aca="false">IF($B260="","",IFERROR(INDEX(Services!$E$2:$E$120,MATCH($B260,Services!$D$2:$D$120,0)),""))</f>
        <v/>
      </c>
    </row>
    <row r="261" customFormat="false" ht="14.25" hidden="false" customHeight="false" outlineLevel="0" collapsed="false">
      <c r="A261" s="18"/>
      <c r="B261" s="6"/>
      <c r="C261" s="6"/>
      <c r="D261" s="6"/>
      <c r="E261" s="16" t="str">
        <f aca="false">IF($B261="","",IFERROR(INDEX(Services!$C$2:$C$120,MATCH($B261,Services!$D$2:$D$120,0)),""))</f>
        <v/>
      </c>
      <c r="F261" s="19"/>
      <c r="G261" s="9" t="str">
        <f aca="false">IF(OR($B261="",NOT(ISNUMBER($E261))),"",$E261-IF($F261="",0,$F261))</f>
        <v/>
      </c>
      <c r="H261" s="15" t="str">
        <f aca="false">IF($B261="","",IFERROR(INDEX(Services!$A$2:$A$120,MATCH($B261,Services!$D$2:$D$120,0)),""))</f>
        <v/>
      </c>
      <c r="I261" s="19"/>
      <c r="J261" s="15" t="str">
        <f aca="false">IF($B261="","",IFERROR(INDEX(Services!$E$2:$E$120,MATCH($B261,Services!$D$2:$D$120,0)),""))</f>
        <v/>
      </c>
    </row>
    <row r="262" customFormat="false" ht="14.25" hidden="false" customHeight="false" outlineLevel="0" collapsed="false">
      <c r="A262" s="18"/>
      <c r="B262" s="6"/>
      <c r="C262" s="6"/>
      <c r="D262" s="6"/>
      <c r="E262" s="16" t="str">
        <f aca="false">IF($B262="","",IFERROR(INDEX(Services!$C$2:$C$120,MATCH($B262,Services!$D$2:$D$120,0)),""))</f>
        <v/>
      </c>
      <c r="F262" s="19"/>
      <c r="G262" s="9" t="str">
        <f aca="false">IF(OR($B262="",NOT(ISNUMBER($E262))),"",$E262-IF($F262="",0,$F262))</f>
        <v/>
      </c>
      <c r="H262" s="15" t="str">
        <f aca="false">IF($B262="","",IFERROR(INDEX(Services!$A$2:$A$120,MATCH($B262,Services!$D$2:$D$120,0)),""))</f>
        <v/>
      </c>
      <c r="I262" s="19"/>
      <c r="J262" s="15" t="str">
        <f aca="false">IF($B262="","",IFERROR(INDEX(Services!$E$2:$E$120,MATCH($B262,Services!$D$2:$D$120,0)),""))</f>
        <v/>
      </c>
    </row>
    <row r="263" customFormat="false" ht="14.25" hidden="false" customHeight="false" outlineLevel="0" collapsed="false">
      <c r="A263" s="18"/>
      <c r="B263" s="6"/>
      <c r="C263" s="6"/>
      <c r="D263" s="6"/>
      <c r="E263" s="16" t="str">
        <f aca="false">IF($B263="","",IFERROR(INDEX(Services!$C$2:$C$120,MATCH($B263,Services!$D$2:$D$120,0)),""))</f>
        <v/>
      </c>
      <c r="F263" s="19"/>
      <c r="G263" s="9" t="str">
        <f aca="false">IF(OR($B263="",NOT(ISNUMBER($E263))),"",$E263-IF($F263="",0,$F263))</f>
        <v/>
      </c>
      <c r="H263" s="15" t="str">
        <f aca="false">IF($B263="","",IFERROR(INDEX(Services!$A$2:$A$120,MATCH($B263,Services!$D$2:$D$120,0)),""))</f>
        <v/>
      </c>
      <c r="I263" s="19"/>
      <c r="J263" s="15" t="str">
        <f aca="false">IF($B263="","",IFERROR(INDEX(Services!$E$2:$E$120,MATCH($B263,Services!$D$2:$D$120,0)),""))</f>
        <v/>
      </c>
    </row>
    <row r="264" customFormat="false" ht="14.25" hidden="false" customHeight="false" outlineLevel="0" collapsed="false">
      <c r="A264" s="18"/>
      <c r="B264" s="6"/>
      <c r="C264" s="6"/>
      <c r="D264" s="6"/>
      <c r="E264" s="16" t="str">
        <f aca="false">IF($B264="","",IFERROR(INDEX(Services!$C$2:$C$120,MATCH($B264,Services!$D$2:$D$120,0)),""))</f>
        <v/>
      </c>
      <c r="F264" s="19"/>
      <c r="G264" s="9" t="str">
        <f aca="false">IF(OR($B264="",NOT(ISNUMBER($E264))),"",$E264-IF($F264="",0,$F264))</f>
        <v/>
      </c>
      <c r="H264" s="15" t="str">
        <f aca="false">IF($B264="","",IFERROR(INDEX(Services!$A$2:$A$120,MATCH($B264,Services!$D$2:$D$120,0)),""))</f>
        <v/>
      </c>
      <c r="I264" s="19"/>
      <c r="J264" s="15" t="str">
        <f aca="false">IF($B264="","",IFERROR(INDEX(Services!$E$2:$E$120,MATCH($B264,Services!$D$2:$D$120,0)),""))</f>
        <v/>
      </c>
    </row>
    <row r="265" customFormat="false" ht="14.25" hidden="false" customHeight="false" outlineLevel="0" collapsed="false">
      <c r="A265" s="18"/>
      <c r="B265" s="6"/>
      <c r="C265" s="6"/>
      <c r="D265" s="6"/>
      <c r="E265" s="16" t="str">
        <f aca="false">IF($B265="","",IFERROR(INDEX(Services!$C$2:$C$120,MATCH($B265,Services!$D$2:$D$120,0)),""))</f>
        <v/>
      </c>
      <c r="F265" s="19"/>
      <c r="G265" s="9" t="str">
        <f aca="false">IF(OR($B265="",NOT(ISNUMBER($E265))),"",$E265-IF($F265="",0,$F265))</f>
        <v/>
      </c>
      <c r="H265" s="15" t="str">
        <f aca="false">IF($B265="","",IFERROR(INDEX(Services!$A$2:$A$120,MATCH($B265,Services!$D$2:$D$120,0)),""))</f>
        <v/>
      </c>
      <c r="I265" s="19"/>
      <c r="J265" s="15" t="str">
        <f aca="false">IF($B265="","",IFERROR(INDEX(Services!$E$2:$E$120,MATCH($B265,Services!$D$2:$D$120,0)),""))</f>
        <v/>
      </c>
    </row>
    <row r="266" customFormat="false" ht="14.25" hidden="false" customHeight="false" outlineLevel="0" collapsed="false">
      <c r="A266" s="18"/>
      <c r="B266" s="6"/>
      <c r="C266" s="6"/>
      <c r="D266" s="6"/>
      <c r="E266" s="16" t="str">
        <f aca="false">IF($B266="","",IFERROR(INDEX(Services!$C$2:$C$120,MATCH($B266,Services!$D$2:$D$120,0)),""))</f>
        <v/>
      </c>
      <c r="F266" s="19"/>
      <c r="G266" s="9" t="str">
        <f aca="false">IF(OR($B266="",NOT(ISNUMBER($E266))),"",$E266-IF($F266="",0,$F266))</f>
        <v/>
      </c>
      <c r="H266" s="15" t="str">
        <f aca="false">IF($B266="","",IFERROR(INDEX(Services!$A$2:$A$120,MATCH($B266,Services!$D$2:$D$120,0)),""))</f>
        <v/>
      </c>
      <c r="I266" s="19"/>
      <c r="J266" s="15" t="str">
        <f aca="false">IF($B266="","",IFERROR(INDEX(Services!$E$2:$E$120,MATCH($B266,Services!$D$2:$D$120,0)),""))</f>
        <v/>
      </c>
    </row>
    <row r="267" customFormat="false" ht="14.25" hidden="false" customHeight="false" outlineLevel="0" collapsed="false">
      <c r="A267" s="18"/>
      <c r="B267" s="6"/>
      <c r="C267" s="6"/>
      <c r="D267" s="6"/>
      <c r="E267" s="16" t="str">
        <f aca="false">IF($B267="","",IFERROR(INDEX(Services!$C$2:$C$120,MATCH($B267,Services!$D$2:$D$120,0)),""))</f>
        <v/>
      </c>
      <c r="F267" s="19"/>
      <c r="G267" s="9" t="str">
        <f aca="false">IF(OR($B267="",NOT(ISNUMBER($E267))),"",$E267-IF($F267="",0,$F267))</f>
        <v/>
      </c>
      <c r="H267" s="15" t="str">
        <f aca="false">IF($B267="","",IFERROR(INDEX(Services!$A$2:$A$120,MATCH($B267,Services!$D$2:$D$120,0)),""))</f>
        <v/>
      </c>
      <c r="I267" s="19"/>
      <c r="J267" s="15" t="str">
        <f aca="false">IF($B267="","",IFERROR(INDEX(Services!$E$2:$E$120,MATCH($B267,Services!$D$2:$D$120,0)),""))</f>
        <v/>
      </c>
    </row>
    <row r="268" customFormat="false" ht="14.25" hidden="false" customHeight="false" outlineLevel="0" collapsed="false">
      <c r="A268" s="18"/>
      <c r="B268" s="6"/>
      <c r="C268" s="6"/>
      <c r="D268" s="6"/>
      <c r="E268" s="16" t="str">
        <f aca="false">IF($B268="","",IFERROR(INDEX(Services!$C$2:$C$120,MATCH($B268,Services!$D$2:$D$120,0)),""))</f>
        <v/>
      </c>
      <c r="F268" s="19"/>
      <c r="G268" s="9" t="str">
        <f aca="false">IF(OR($B268="",NOT(ISNUMBER($E268))),"",$E268-IF($F268="",0,$F268))</f>
        <v/>
      </c>
      <c r="H268" s="15" t="str">
        <f aca="false">IF($B268="","",IFERROR(INDEX(Services!$A$2:$A$120,MATCH($B268,Services!$D$2:$D$120,0)),""))</f>
        <v/>
      </c>
      <c r="I268" s="19"/>
      <c r="J268" s="15" t="str">
        <f aca="false">IF($B268="","",IFERROR(INDEX(Services!$E$2:$E$120,MATCH($B268,Services!$D$2:$D$120,0)),""))</f>
        <v/>
      </c>
    </row>
    <row r="269" customFormat="false" ht="14.25" hidden="false" customHeight="false" outlineLevel="0" collapsed="false">
      <c r="A269" s="18"/>
      <c r="B269" s="6"/>
      <c r="C269" s="6"/>
      <c r="D269" s="6"/>
      <c r="E269" s="16" t="str">
        <f aca="false">IF($B269="","",IFERROR(INDEX(Services!$C$2:$C$120,MATCH($B269,Services!$D$2:$D$120,0)),""))</f>
        <v/>
      </c>
      <c r="F269" s="19"/>
      <c r="G269" s="9" t="str">
        <f aca="false">IF(OR($B269="",NOT(ISNUMBER($E269))),"",$E269-IF($F269="",0,$F269))</f>
        <v/>
      </c>
      <c r="H269" s="15" t="str">
        <f aca="false">IF($B269="","",IFERROR(INDEX(Services!$A$2:$A$120,MATCH($B269,Services!$D$2:$D$120,0)),""))</f>
        <v/>
      </c>
      <c r="I269" s="19"/>
      <c r="J269" s="15" t="str">
        <f aca="false">IF($B269="","",IFERROR(INDEX(Services!$E$2:$E$120,MATCH($B269,Services!$D$2:$D$120,0)),""))</f>
        <v/>
      </c>
    </row>
    <row r="270" customFormat="false" ht="14.25" hidden="false" customHeight="false" outlineLevel="0" collapsed="false">
      <c r="A270" s="18"/>
      <c r="B270" s="6"/>
      <c r="C270" s="6"/>
      <c r="D270" s="6"/>
      <c r="E270" s="16" t="str">
        <f aca="false">IF($B270="","",IFERROR(INDEX(Services!$C$2:$C$120,MATCH($B270,Services!$D$2:$D$120,0)),""))</f>
        <v/>
      </c>
      <c r="F270" s="19"/>
      <c r="G270" s="9" t="str">
        <f aca="false">IF(OR($B270="",NOT(ISNUMBER($E270))),"",$E270-IF($F270="",0,$F270))</f>
        <v/>
      </c>
      <c r="H270" s="15" t="str">
        <f aca="false">IF($B270="","",IFERROR(INDEX(Services!$A$2:$A$120,MATCH($B270,Services!$D$2:$D$120,0)),""))</f>
        <v/>
      </c>
      <c r="I270" s="19"/>
      <c r="J270" s="15" t="str">
        <f aca="false">IF($B270="","",IFERROR(INDEX(Services!$E$2:$E$120,MATCH($B270,Services!$D$2:$D$120,0)),""))</f>
        <v/>
      </c>
    </row>
    <row r="271" customFormat="false" ht="14.25" hidden="false" customHeight="false" outlineLevel="0" collapsed="false">
      <c r="A271" s="18"/>
      <c r="B271" s="6"/>
      <c r="C271" s="6"/>
      <c r="D271" s="6"/>
      <c r="E271" s="16" t="str">
        <f aca="false">IF($B271="","",IFERROR(INDEX(Services!$C$2:$C$120,MATCH($B271,Services!$D$2:$D$120,0)),""))</f>
        <v/>
      </c>
      <c r="F271" s="19"/>
      <c r="G271" s="9" t="str">
        <f aca="false">IF(OR($B271="",NOT(ISNUMBER($E271))),"",$E271-IF($F271="",0,$F271))</f>
        <v/>
      </c>
      <c r="H271" s="15" t="str">
        <f aca="false">IF($B271="","",IFERROR(INDEX(Services!$A$2:$A$120,MATCH($B271,Services!$D$2:$D$120,0)),""))</f>
        <v/>
      </c>
      <c r="I271" s="19"/>
      <c r="J271" s="15" t="str">
        <f aca="false">IF($B271="","",IFERROR(INDEX(Services!$E$2:$E$120,MATCH($B271,Services!$D$2:$D$120,0)),""))</f>
        <v/>
      </c>
    </row>
    <row r="272" customFormat="false" ht="14.25" hidden="false" customHeight="false" outlineLevel="0" collapsed="false">
      <c r="A272" s="18"/>
      <c r="B272" s="6"/>
      <c r="C272" s="6"/>
      <c r="D272" s="6"/>
      <c r="E272" s="16" t="str">
        <f aca="false">IF($B272="","",IFERROR(INDEX(Services!$C$2:$C$120,MATCH($B272,Services!$D$2:$D$120,0)),""))</f>
        <v/>
      </c>
      <c r="F272" s="19"/>
      <c r="G272" s="9" t="str">
        <f aca="false">IF(OR($B272="",NOT(ISNUMBER($E272))),"",$E272-IF($F272="",0,$F272))</f>
        <v/>
      </c>
      <c r="H272" s="15" t="str">
        <f aca="false">IF($B272="","",IFERROR(INDEX(Services!$A$2:$A$120,MATCH($B272,Services!$D$2:$D$120,0)),""))</f>
        <v/>
      </c>
      <c r="I272" s="19"/>
      <c r="J272" s="15" t="str">
        <f aca="false">IF($B272="","",IFERROR(INDEX(Services!$E$2:$E$120,MATCH($B272,Services!$D$2:$D$120,0)),""))</f>
        <v/>
      </c>
    </row>
    <row r="273" customFormat="false" ht="14.25" hidden="false" customHeight="false" outlineLevel="0" collapsed="false">
      <c r="A273" s="18"/>
      <c r="B273" s="6"/>
      <c r="C273" s="6"/>
      <c r="D273" s="6"/>
      <c r="E273" s="16" t="str">
        <f aca="false">IF($B273="","",IFERROR(INDEX(Services!$C$2:$C$120,MATCH($B273,Services!$D$2:$D$120,0)),""))</f>
        <v/>
      </c>
      <c r="F273" s="19"/>
      <c r="G273" s="9" t="str">
        <f aca="false">IF(OR($B273="",NOT(ISNUMBER($E273))),"",$E273-IF($F273="",0,$F273))</f>
        <v/>
      </c>
      <c r="H273" s="15" t="str">
        <f aca="false">IF($B273="","",IFERROR(INDEX(Services!$A$2:$A$120,MATCH($B273,Services!$D$2:$D$120,0)),""))</f>
        <v/>
      </c>
      <c r="I273" s="19"/>
      <c r="J273" s="15" t="str">
        <f aca="false">IF($B273="","",IFERROR(INDEX(Services!$E$2:$E$120,MATCH($B273,Services!$D$2:$D$120,0)),""))</f>
        <v/>
      </c>
    </row>
    <row r="274" customFormat="false" ht="14.25" hidden="false" customHeight="false" outlineLevel="0" collapsed="false">
      <c r="A274" s="18"/>
      <c r="B274" s="6"/>
      <c r="C274" s="6"/>
      <c r="D274" s="6"/>
      <c r="E274" s="16" t="str">
        <f aca="false">IF($B274="","",IFERROR(INDEX(Services!$C$2:$C$120,MATCH($B274,Services!$D$2:$D$120,0)),""))</f>
        <v/>
      </c>
      <c r="F274" s="19"/>
      <c r="G274" s="9" t="str">
        <f aca="false">IF(OR($B274="",NOT(ISNUMBER($E274))),"",$E274-IF($F274="",0,$F274))</f>
        <v/>
      </c>
      <c r="H274" s="15" t="str">
        <f aca="false">IF($B274="","",IFERROR(INDEX(Services!$A$2:$A$120,MATCH($B274,Services!$D$2:$D$120,0)),""))</f>
        <v/>
      </c>
      <c r="I274" s="19"/>
      <c r="J274" s="15" t="str">
        <f aca="false">IF($B274="","",IFERROR(INDEX(Services!$E$2:$E$120,MATCH($B274,Services!$D$2:$D$120,0)),""))</f>
        <v/>
      </c>
    </row>
    <row r="275" customFormat="false" ht="14.25" hidden="false" customHeight="false" outlineLevel="0" collapsed="false">
      <c r="A275" s="18"/>
      <c r="B275" s="6"/>
      <c r="C275" s="6"/>
      <c r="D275" s="6"/>
      <c r="E275" s="16" t="str">
        <f aca="false">IF($B275="","",IFERROR(INDEX(Services!$C$2:$C$120,MATCH($B275,Services!$D$2:$D$120,0)),""))</f>
        <v/>
      </c>
      <c r="F275" s="19"/>
      <c r="G275" s="9" t="str">
        <f aca="false">IF(OR($B275="",NOT(ISNUMBER($E275))),"",$E275-IF($F275="",0,$F275))</f>
        <v/>
      </c>
      <c r="H275" s="15" t="str">
        <f aca="false">IF($B275="","",IFERROR(INDEX(Services!$A$2:$A$120,MATCH($B275,Services!$D$2:$D$120,0)),""))</f>
        <v/>
      </c>
      <c r="I275" s="19"/>
      <c r="J275" s="15" t="str">
        <f aca="false">IF($B275="","",IFERROR(INDEX(Services!$E$2:$E$120,MATCH($B275,Services!$D$2:$D$120,0)),""))</f>
        <v/>
      </c>
    </row>
    <row r="276" customFormat="false" ht="14.25" hidden="false" customHeight="false" outlineLevel="0" collapsed="false">
      <c r="A276" s="18"/>
      <c r="B276" s="6"/>
      <c r="C276" s="6"/>
      <c r="D276" s="6"/>
      <c r="E276" s="16" t="str">
        <f aca="false">IF($B276="","",IFERROR(INDEX(Services!$C$2:$C$120,MATCH($B276,Services!$D$2:$D$120,0)),""))</f>
        <v/>
      </c>
      <c r="F276" s="19"/>
      <c r="G276" s="9" t="str">
        <f aca="false">IF(OR($B276="",NOT(ISNUMBER($E276))),"",$E276-IF($F276="",0,$F276))</f>
        <v/>
      </c>
      <c r="H276" s="15" t="str">
        <f aca="false">IF($B276="","",IFERROR(INDEX(Services!$A$2:$A$120,MATCH($B276,Services!$D$2:$D$120,0)),""))</f>
        <v/>
      </c>
      <c r="I276" s="19"/>
      <c r="J276" s="15" t="str">
        <f aca="false">IF($B276="","",IFERROR(INDEX(Services!$E$2:$E$120,MATCH($B276,Services!$D$2:$D$120,0)),""))</f>
        <v/>
      </c>
    </row>
    <row r="277" customFormat="false" ht="14.25" hidden="false" customHeight="false" outlineLevel="0" collapsed="false">
      <c r="A277" s="18"/>
      <c r="B277" s="6"/>
      <c r="C277" s="6"/>
      <c r="D277" s="6"/>
      <c r="E277" s="16" t="str">
        <f aca="false">IF($B277="","",IFERROR(INDEX(Services!$C$2:$C$120,MATCH($B277,Services!$D$2:$D$120,0)),""))</f>
        <v/>
      </c>
      <c r="F277" s="19"/>
      <c r="G277" s="9" t="str">
        <f aca="false">IF(OR($B277="",NOT(ISNUMBER($E277))),"",$E277-IF($F277="",0,$F277))</f>
        <v/>
      </c>
      <c r="H277" s="15" t="str">
        <f aca="false">IF($B277="","",IFERROR(INDEX(Services!$A$2:$A$120,MATCH($B277,Services!$D$2:$D$120,0)),""))</f>
        <v/>
      </c>
      <c r="I277" s="19"/>
      <c r="J277" s="15" t="str">
        <f aca="false">IF($B277="","",IFERROR(INDEX(Services!$E$2:$E$120,MATCH($B277,Services!$D$2:$D$120,0)),""))</f>
        <v/>
      </c>
    </row>
    <row r="278" customFormat="false" ht="14.25" hidden="false" customHeight="false" outlineLevel="0" collapsed="false">
      <c r="A278" s="18"/>
      <c r="B278" s="6"/>
      <c r="C278" s="6"/>
      <c r="D278" s="6"/>
      <c r="E278" s="16" t="str">
        <f aca="false">IF($B278="","",IFERROR(INDEX(Services!$C$2:$C$120,MATCH($B278,Services!$D$2:$D$120,0)),""))</f>
        <v/>
      </c>
      <c r="F278" s="19"/>
      <c r="G278" s="9" t="str">
        <f aca="false">IF(OR($B278="",NOT(ISNUMBER($E278))),"",$E278-IF($F278="",0,$F278))</f>
        <v/>
      </c>
      <c r="H278" s="15" t="str">
        <f aca="false">IF($B278="","",IFERROR(INDEX(Services!$A$2:$A$120,MATCH($B278,Services!$D$2:$D$120,0)),""))</f>
        <v/>
      </c>
      <c r="I278" s="19"/>
      <c r="J278" s="15" t="str">
        <f aca="false">IF($B278="","",IFERROR(INDEX(Services!$E$2:$E$120,MATCH($B278,Services!$D$2:$D$120,0)),""))</f>
        <v/>
      </c>
    </row>
    <row r="279" customFormat="false" ht="14.25" hidden="false" customHeight="false" outlineLevel="0" collapsed="false">
      <c r="A279" s="18"/>
      <c r="B279" s="6"/>
      <c r="C279" s="6"/>
      <c r="D279" s="6"/>
      <c r="E279" s="16" t="str">
        <f aca="false">IF($B279="","",IFERROR(INDEX(Services!$C$2:$C$120,MATCH($B279,Services!$D$2:$D$120,0)),""))</f>
        <v/>
      </c>
      <c r="F279" s="19"/>
      <c r="G279" s="9" t="str">
        <f aca="false">IF(OR($B279="",NOT(ISNUMBER($E279))),"",$E279-IF($F279="",0,$F279))</f>
        <v/>
      </c>
      <c r="H279" s="15" t="str">
        <f aca="false">IF($B279="","",IFERROR(INDEX(Services!$A$2:$A$120,MATCH($B279,Services!$D$2:$D$120,0)),""))</f>
        <v/>
      </c>
      <c r="I279" s="19"/>
      <c r="J279" s="15" t="str">
        <f aca="false">IF($B279="","",IFERROR(INDEX(Services!$E$2:$E$120,MATCH($B279,Services!$D$2:$D$120,0)),""))</f>
        <v/>
      </c>
    </row>
    <row r="280" customFormat="false" ht="14.25" hidden="false" customHeight="false" outlineLevel="0" collapsed="false">
      <c r="A280" s="18"/>
      <c r="B280" s="6"/>
      <c r="C280" s="6"/>
      <c r="D280" s="6"/>
      <c r="E280" s="16" t="str">
        <f aca="false">IF($B280="","",IFERROR(INDEX(Services!$C$2:$C$120,MATCH($B280,Services!$D$2:$D$120,0)),""))</f>
        <v/>
      </c>
      <c r="F280" s="19"/>
      <c r="G280" s="9" t="str">
        <f aca="false">IF(OR($B280="",NOT(ISNUMBER($E280))),"",$E280-IF($F280="",0,$F280))</f>
        <v/>
      </c>
      <c r="H280" s="15" t="str">
        <f aca="false">IF($B280="","",IFERROR(INDEX(Services!$A$2:$A$120,MATCH($B280,Services!$D$2:$D$120,0)),""))</f>
        <v/>
      </c>
      <c r="I280" s="19"/>
      <c r="J280" s="15" t="str">
        <f aca="false">IF($B280="","",IFERROR(INDEX(Services!$E$2:$E$120,MATCH($B280,Services!$D$2:$D$120,0)),""))</f>
        <v/>
      </c>
    </row>
    <row r="281" customFormat="false" ht="14.25" hidden="false" customHeight="false" outlineLevel="0" collapsed="false">
      <c r="A281" s="18"/>
      <c r="B281" s="6"/>
      <c r="C281" s="6"/>
      <c r="D281" s="6"/>
      <c r="E281" s="16" t="str">
        <f aca="false">IF($B281="","",IFERROR(INDEX(Services!$C$2:$C$120,MATCH($B281,Services!$D$2:$D$120,0)),""))</f>
        <v/>
      </c>
      <c r="F281" s="19"/>
      <c r="G281" s="9" t="str">
        <f aca="false">IF(OR($B281="",NOT(ISNUMBER($E281))),"",$E281-IF($F281="",0,$F281))</f>
        <v/>
      </c>
      <c r="H281" s="15" t="str">
        <f aca="false">IF($B281="","",IFERROR(INDEX(Services!$A$2:$A$120,MATCH($B281,Services!$D$2:$D$120,0)),""))</f>
        <v/>
      </c>
      <c r="I281" s="19"/>
      <c r="J281" s="15" t="str">
        <f aca="false">IF($B281="","",IFERROR(INDEX(Services!$E$2:$E$120,MATCH($B281,Services!$D$2:$D$120,0)),""))</f>
        <v/>
      </c>
    </row>
    <row r="282" customFormat="false" ht="14.25" hidden="false" customHeight="false" outlineLevel="0" collapsed="false">
      <c r="A282" s="18"/>
      <c r="B282" s="6"/>
      <c r="C282" s="6"/>
      <c r="D282" s="6"/>
      <c r="E282" s="16" t="str">
        <f aca="false">IF($B282="","",IFERROR(INDEX(Services!$C$2:$C$120,MATCH($B282,Services!$D$2:$D$120,0)),""))</f>
        <v/>
      </c>
      <c r="F282" s="19"/>
      <c r="G282" s="9" t="str">
        <f aca="false">IF(OR($B282="",NOT(ISNUMBER($E282))),"",$E282-IF($F282="",0,$F282))</f>
        <v/>
      </c>
      <c r="H282" s="15" t="str">
        <f aca="false">IF($B282="","",IFERROR(INDEX(Services!$A$2:$A$120,MATCH($B282,Services!$D$2:$D$120,0)),""))</f>
        <v/>
      </c>
      <c r="I282" s="19"/>
      <c r="J282" s="15" t="str">
        <f aca="false">IF($B282="","",IFERROR(INDEX(Services!$E$2:$E$120,MATCH($B282,Services!$D$2:$D$120,0)),""))</f>
        <v/>
      </c>
    </row>
    <row r="283" customFormat="false" ht="14.25" hidden="false" customHeight="false" outlineLevel="0" collapsed="false">
      <c r="A283" s="18"/>
      <c r="B283" s="6"/>
      <c r="C283" s="6"/>
      <c r="D283" s="6"/>
      <c r="E283" s="16" t="str">
        <f aca="false">IF($B283="","",IFERROR(INDEX(Services!$C$2:$C$120,MATCH($B283,Services!$D$2:$D$120,0)),""))</f>
        <v/>
      </c>
      <c r="F283" s="19"/>
      <c r="G283" s="9" t="str">
        <f aca="false">IF(OR($B283="",NOT(ISNUMBER($E283))),"",$E283-IF($F283="",0,$F283))</f>
        <v/>
      </c>
      <c r="H283" s="15" t="str">
        <f aca="false">IF($B283="","",IFERROR(INDEX(Services!$A$2:$A$120,MATCH($B283,Services!$D$2:$D$120,0)),""))</f>
        <v/>
      </c>
      <c r="I283" s="19"/>
      <c r="J283" s="15" t="str">
        <f aca="false">IF($B283="","",IFERROR(INDEX(Services!$E$2:$E$120,MATCH($B283,Services!$D$2:$D$120,0)),""))</f>
        <v/>
      </c>
    </row>
    <row r="284" customFormat="false" ht="14.25" hidden="false" customHeight="false" outlineLevel="0" collapsed="false">
      <c r="A284" s="18"/>
      <c r="B284" s="6"/>
      <c r="C284" s="6"/>
      <c r="D284" s="6"/>
      <c r="E284" s="16" t="str">
        <f aca="false">IF($B284="","",IFERROR(INDEX(Services!$C$2:$C$120,MATCH($B284,Services!$D$2:$D$120,0)),""))</f>
        <v/>
      </c>
      <c r="F284" s="19"/>
      <c r="G284" s="9" t="str">
        <f aca="false">IF(OR($B284="",NOT(ISNUMBER($E284))),"",$E284-IF($F284="",0,$F284))</f>
        <v/>
      </c>
      <c r="H284" s="15" t="str">
        <f aca="false">IF($B284="","",IFERROR(INDEX(Services!$A$2:$A$120,MATCH($B284,Services!$D$2:$D$120,0)),""))</f>
        <v/>
      </c>
      <c r="I284" s="19"/>
      <c r="J284" s="15" t="str">
        <f aca="false">IF($B284="","",IFERROR(INDEX(Services!$E$2:$E$120,MATCH($B284,Services!$D$2:$D$120,0)),""))</f>
        <v/>
      </c>
    </row>
    <row r="285" customFormat="false" ht="14.25" hidden="false" customHeight="false" outlineLevel="0" collapsed="false">
      <c r="A285" s="18"/>
      <c r="B285" s="6"/>
      <c r="C285" s="6"/>
      <c r="D285" s="6"/>
      <c r="E285" s="16" t="str">
        <f aca="false">IF($B285="","",IFERROR(INDEX(Services!$C$2:$C$120,MATCH($B285,Services!$D$2:$D$120,0)),""))</f>
        <v/>
      </c>
      <c r="F285" s="19"/>
      <c r="G285" s="9" t="str">
        <f aca="false">IF(OR($B285="",NOT(ISNUMBER($E285))),"",$E285-IF($F285="",0,$F285))</f>
        <v/>
      </c>
      <c r="H285" s="15" t="str">
        <f aca="false">IF($B285="","",IFERROR(INDEX(Services!$A$2:$A$120,MATCH($B285,Services!$D$2:$D$120,0)),""))</f>
        <v/>
      </c>
      <c r="I285" s="19"/>
      <c r="J285" s="15" t="str">
        <f aca="false">IF($B285="","",IFERROR(INDEX(Services!$E$2:$E$120,MATCH($B285,Services!$D$2:$D$120,0)),""))</f>
        <v/>
      </c>
    </row>
    <row r="286" customFormat="false" ht="14.25" hidden="false" customHeight="false" outlineLevel="0" collapsed="false">
      <c r="A286" s="18"/>
      <c r="B286" s="6"/>
      <c r="C286" s="6"/>
      <c r="D286" s="6"/>
      <c r="E286" s="16" t="str">
        <f aca="false">IF($B286="","",IFERROR(INDEX(Services!$C$2:$C$120,MATCH($B286,Services!$D$2:$D$120,0)),""))</f>
        <v/>
      </c>
      <c r="F286" s="19"/>
      <c r="G286" s="9" t="str">
        <f aca="false">IF(OR($B286="",NOT(ISNUMBER($E286))),"",$E286-IF($F286="",0,$F286))</f>
        <v/>
      </c>
      <c r="H286" s="15" t="str">
        <f aca="false">IF($B286="","",IFERROR(INDEX(Services!$A$2:$A$120,MATCH($B286,Services!$D$2:$D$120,0)),""))</f>
        <v/>
      </c>
      <c r="I286" s="19"/>
      <c r="J286" s="15" t="str">
        <f aca="false">IF($B286="","",IFERROR(INDEX(Services!$E$2:$E$120,MATCH($B286,Services!$D$2:$D$120,0)),""))</f>
        <v/>
      </c>
    </row>
    <row r="287" customFormat="false" ht="14.25" hidden="false" customHeight="false" outlineLevel="0" collapsed="false">
      <c r="A287" s="18"/>
      <c r="B287" s="6"/>
      <c r="C287" s="6"/>
      <c r="D287" s="6"/>
      <c r="E287" s="16" t="str">
        <f aca="false">IF($B287="","",IFERROR(INDEX(Services!$C$2:$C$120,MATCH($B287,Services!$D$2:$D$120,0)),""))</f>
        <v/>
      </c>
      <c r="F287" s="19"/>
      <c r="G287" s="9" t="str">
        <f aca="false">IF(OR($B287="",NOT(ISNUMBER($E287))),"",$E287-IF($F287="",0,$F287))</f>
        <v/>
      </c>
      <c r="H287" s="15" t="str">
        <f aca="false">IF($B287="","",IFERROR(INDEX(Services!$A$2:$A$120,MATCH($B287,Services!$D$2:$D$120,0)),""))</f>
        <v/>
      </c>
      <c r="I287" s="19"/>
      <c r="J287" s="15" t="str">
        <f aca="false">IF($B287="","",IFERROR(INDEX(Services!$E$2:$E$120,MATCH($B287,Services!$D$2:$D$120,0)),""))</f>
        <v/>
      </c>
    </row>
    <row r="288" customFormat="false" ht="14.25" hidden="false" customHeight="false" outlineLevel="0" collapsed="false">
      <c r="A288" s="18"/>
      <c r="B288" s="6"/>
      <c r="C288" s="6"/>
      <c r="D288" s="6"/>
      <c r="E288" s="16" t="str">
        <f aca="false">IF($B288="","",IFERROR(INDEX(Services!$C$2:$C$120,MATCH($B288,Services!$D$2:$D$120,0)),""))</f>
        <v/>
      </c>
      <c r="F288" s="19"/>
      <c r="G288" s="9" t="str">
        <f aca="false">IF(OR($B288="",NOT(ISNUMBER($E288))),"",$E288-IF($F288="",0,$F288))</f>
        <v/>
      </c>
      <c r="H288" s="15" t="str">
        <f aca="false">IF($B288="","",IFERROR(INDEX(Services!$A$2:$A$120,MATCH($B288,Services!$D$2:$D$120,0)),""))</f>
        <v/>
      </c>
      <c r="I288" s="19"/>
      <c r="J288" s="15" t="str">
        <f aca="false">IF($B288="","",IFERROR(INDEX(Services!$E$2:$E$120,MATCH($B288,Services!$D$2:$D$120,0)),""))</f>
        <v/>
      </c>
    </row>
    <row r="289" customFormat="false" ht="14.25" hidden="false" customHeight="false" outlineLevel="0" collapsed="false">
      <c r="A289" s="18"/>
      <c r="B289" s="6"/>
      <c r="C289" s="6"/>
      <c r="D289" s="6"/>
      <c r="E289" s="16" t="str">
        <f aca="false">IF($B289="","",IFERROR(INDEX(Services!$C$2:$C$120,MATCH($B289,Services!$D$2:$D$120,0)),""))</f>
        <v/>
      </c>
      <c r="F289" s="19"/>
      <c r="G289" s="9" t="str">
        <f aca="false">IF(OR($B289="",NOT(ISNUMBER($E289))),"",$E289-IF($F289="",0,$F289))</f>
        <v/>
      </c>
      <c r="H289" s="15" t="str">
        <f aca="false">IF($B289="","",IFERROR(INDEX(Services!$A$2:$A$120,MATCH($B289,Services!$D$2:$D$120,0)),""))</f>
        <v/>
      </c>
      <c r="I289" s="19"/>
      <c r="J289" s="15" t="str">
        <f aca="false">IF($B289="","",IFERROR(INDEX(Services!$E$2:$E$120,MATCH($B289,Services!$D$2:$D$120,0)),""))</f>
        <v/>
      </c>
    </row>
    <row r="290" customFormat="false" ht="14.25" hidden="false" customHeight="false" outlineLevel="0" collapsed="false">
      <c r="A290" s="18"/>
      <c r="B290" s="6"/>
      <c r="C290" s="6"/>
      <c r="D290" s="6"/>
      <c r="E290" s="16" t="str">
        <f aca="false">IF($B290="","",IFERROR(INDEX(Services!$C$2:$C$120,MATCH($B290,Services!$D$2:$D$120,0)),""))</f>
        <v/>
      </c>
      <c r="F290" s="19"/>
      <c r="G290" s="9" t="str">
        <f aca="false">IF(OR($B290="",NOT(ISNUMBER($E290))),"",$E290-IF($F290="",0,$F290))</f>
        <v/>
      </c>
      <c r="H290" s="15" t="str">
        <f aca="false">IF($B290="","",IFERROR(INDEX(Services!$A$2:$A$120,MATCH($B290,Services!$D$2:$D$120,0)),""))</f>
        <v/>
      </c>
      <c r="I290" s="19"/>
      <c r="J290" s="15" t="str">
        <f aca="false">IF($B290="","",IFERROR(INDEX(Services!$E$2:$E$120,MATCH($B290,Services!$D$2:$D$120,0)),""))</f>
        <v/>
      </c>
    </row>
    <row r="291" customFormat="false" ht="14.25" hidden="false" customHeight="false" outlineLevel="0" collapsed="false">
      <c r="A291" s="18"/>
      <c r="B291" s="6"/>
      <c r="C291" s="6"/>
      <c r="D291" s="6"/>
      <c r="E291" s="16" t="str">
        <f aca="false">IF($B291="","",IFERROR(INDEX(Services!$C$2:$C$120,MATCH($B291,Services!$D$2:$D$120,0)),""))</f>
        <v/>
      </c>
      <c r="F291" s="19"/>
      <c r="G291" s="9" t="str">
        <f aca="false">IF(OR($B291="",NOT(ISNUMBER($E291))),"",$E291-IF($F291="",0,$F291))</f>
        <v/>
      </c>
      <c r="H291" s="15" t="str">
        <f aca="false">IF($B291="","",IFERROR(INDEX(Services!$A$2:$A$120,MATCH($B291,Services!$D$2:$D$120,0)),""))</f>
        <v/>
      </c>
      <c r="I291" s="19"/>
      <c r="J291" s="15" t="str">
        <f aca="false">IF($B291="","",IFERROR(INDEX(Services!$E$2:$E$120,MATCH($B291,Services!$D$2:$D$120,0)),""))</f>
        <v/>
      </c>
    </row>
    <row r="292" customFormat="false" ht="14.25" hidden="false" customHeight="false" outlineLevel="0" collapsed="false">
      <c r="A292" s="18"/>
      <c r="B292" s="6"/>
      <c r="C292" s="6"/>
      <c r="D292" s="6"/>
      <c r="E292" s="16" t="str">
        <f aca="false">IF($B292="","",IFERROR(INDEX(Services!$C$2:$C$120,MATCH($B292,Services!$D$2:$D$120,0)),""))</f>
        <v/>
      </c>
      <c r="F292" s="19"/>
      <c r="G292" s="9" t="str">
        <f aca="false">IF(OR($B292="",NOT(ISNUMBER($E292))),"",$E292-IF($F292="",0,$F292))</f>
        <v/>
      </c>
      <c r="H292" s="15" t="str">
        <f aca="false">IF($B292="","",IFERROR(INDEX(Services!$A$2:$A$120,MATCH($B292,Services!$D$2:$D$120,0)),""))</f>
        <v/>
      </c>
      <c r="I292" s="19"/>
      <c r="J292" s="15" t="str">
        <f aca="false">IF($B292="","",IFERROR(INDEX(Services!$E$2:$E$120,MATCH($B292,Services!$D$2:$D$120,0)),""))</f>
        <v/>
      </c>
    </row>
    <row r="293" customFormat="false" ht="14.25" hidden="false" customHeight="false" outlineLevel="0" collapsed="false">
      <c r="A293" s="18"/>
      <c r="B293" s="6"/>
      <c r="C293" s="6"/>
      <c r="D293" s="6"/>
      <c r="E293" s="16" t="str">
        <f aca="false">IF($B293="","",IFERROR(INDEX(Services!$C$2:$C$120,MATCH($B293,Services!$D$2:$D$120,0)),""))</f>
        <v/>
      </c>
      <c r="F293" s="19"/>
      <c r="G293" s="9" t="str">
        <f aca="false">IF(OR($B293="",NOT(ISNUMBER($E293))),"",$E293-IF($F293="",0,$F293))</f>
        <v/>
      </c>
      <c r="H293" s="15" t="str">
        <f aca="false">IF($B293="","",IFERROR(INDEX(Services!$A$2:$A$120,MATCH($B293,Services!$D$2:$D$120,0)),""))</f>
        <v/>
      </c>
      <c r="I293" s="19"/>
      <c r="J293" s="15" t="str">
        <f aca="false">IF($B293="","",IFERROR(INDEX(Services!$E$2:$E$120,MATCH($B293,Services!$D$2:$D$120,0)),""))</f>
        <v/>
      </c>
    </row>
    <row r="294" customFormat="false" ht="14.25" hidden="false" customHeight="false" outlineLevel="0" collapsed="false">
      <c r="A294" s="18"/>
      <c r="B294" s="6"/>
      <c r="C294" s="6"/>
      <c r="D294" s="6"/>
      <c r="E294" s="16" t="str">
        <f aca="false">IF($B294="","",IFERROR(INDEX(Services!$C$2:$C$120,MATCH($B294,Services!$D$2:$D$120,0)),""))</f>
        <v/>
      </c>
      <c r="F294" s="19"/>
      <c r="G294" s="9" t="str">
        <f aca="false">IF(OR($B294="",NOT(ISNUMBER($E294))),"",$E294-IF($F294="",0,$F294))</f>
        <v/>
      </c>
      <c r="H294" s="15" t="str">
        <f aca="false">IF($B294="","",IFERROR(INDEX(Services!$A$2:$A$120,MATCH($B294,Services!$D$2:$D$120,0)),""))</f>
        <v/>
      </c>
      <c r="I294" s="19"/>
      <c r="J294" s="15" t="str">
        <f aca="false">IF($B294="","",IFERROR(INDEX(Services!$E$2:$E$120,MATCH($B294,Services!$D$2:$D$120,0)),""))</f>
        <v/>
      </c>
    </row>
    <row r="295" customFormat="false" ht="14.25" hidden="false" customHeight="false" outlineLevel="0" collapsed="false">
      <c r="A295" s="18"/>
      <c r="B295" s="6"/>
      <c r="C295" s="6"/>
      <c r="D295" s="6"/>
      <c r="E295" s="16" t="str">
        <f aca="false">IF($B295="","",IFERROR(INDEX(Services!$C$2:$C$120,MATCH($B295,Services!$D$2:$D$120,0)),""))</f>
        <v/>
      </c>
      <c r="F295" s="19"/>
      <c r="G295" s="9" t="str">
        <f aca="false">IF(OR($B295="",NOT(ISNUMBER($E295))),"",$E295-IF($F295="",0,$F295))</f>
        <v/>
      </c>
      <c r="H295" s="15" t="str">
        <f aca="false">IF($B295="","",IFERROR(INDEX(Services!$A$2:$A$120,MATCH($B295,Services!$D$2:$D$120,0)),""))</f>
        <v/>
      </c>
      <c r="I295" s="19"/>
      <c r="J295" s="15" t="str">
        <f aca="false">IF($B295="","",IFERROR(INDEX(Services!$E$2:$E$120,MATCH($B295,Services!$D$2:$D$120,0)),""))</f>
        <v/>
      </c>
    </row>
    <row r="296" customFormat="false" ht="14.25" hidden="false" customHeight="false" outlineLevel="0" collapsed="false">
      <c r="A296" s="18"/>
      <c r="B296" s="6"/>
      <c r="C296" s="6"/>
      <c r="D296" s="6"/>
      <c r="E296" s="16" t="str">
        <f aca="false">IF($B296="","",IFERROR(INDEX(Services!$C$2:$C$120,MATCH($B296,Services!$D$2:$D$120,0)),""))</f>
        <v/>
      </c>
      <c r="F296" s="19"/>
      <c r="G296" s="9" t="str">
        <f aca="false">IF(OR($B296="",NOT(ISNUMBER($E296))),"",$E296-IF($F296="",0,$F296))</f>
        <v/>
      </c>
      <c r="H296" s="15" t="str">
        <f aca="false">IF($B296="","",IFERROR(INDEX(Services!$A$2:$A$120,MATCH($B296,Services!$D$2:$D$120,0)),""))</f>
        <v/>
      </c>
      <c r="I296" s="19"/>
      <c r="J296" s="15" t="str">
        <f aca="false">IF($B296="","",IFERROR(INDEX(Services!$E$2:$E$120,MATCH($B296,Services!$D$2:$D$120,0)),""))</f>
        <v/>
      </c>
    </row>
    <row r="297" customFormat="false" ht="14.25" hidden="false" customHeight="false" outlineLevel="0" collapsed="false">
      <c r="A297" s="18"/>
      <c r="B297" s="6"/>
      <c r="C297" s="6"/>
      <c r="D297" s="6"/>
      <c r="E297" s="16" t="str">
        <f aca="false">IF($B297="","",IFERROR(INDEX(Services!$C$2:$C$120,MATCH($B297,Services!$D$2:$D$120,0)),""))</f>
        <v/>
      </c>
      <c r="F297" s="19"/>
      <c r="G297" s="9" t="str">
        <f aca="false">IF(OR($B297="",NOT(ISNUMBER($E297))),"",$E297-IF($F297="",0,$F297))</f>
        <v/>
      </c>
      <c r="H297" s="15" t="str">
        <f aca="false">IF($B297="","",IFERROR(INDEX(Services!$A$2:$A$120,MATCH($B297,Services!$D$2:$D$120,0)),""))</f>
        <v/>
      </c>
      <c r="I297" s="19"/>
      <c r="J297" s="15" t="str">
        <f aca="false">IF($B297="","",IFERROR(INDEX(Services!$E$2:$E$120,MATCH($B297,Services!$D$2:$D$120,0)),""))</f>
        <v/>
      </c>
    </row>
    <row r="298" customFormat="false" ht="14.25" hidden="false" customHeight="false" outlineLevel="0" collapsed="false">
      <c r="A298" s="18"/>
      <c r="B298" s="6"/>
      <c r="C298" s="6"/>
      <c r="D298" s="6"/>
      <c r="E298" s="16" t="str">
        <f aca="false">IF($B298="","",IFERROR(INDEX(Services!$C$2:$C$120,MATCH($B298,Services!$D$2:$D$120,0)),""))</f>
        <v/>
      </c>
      <c r="F298" s="19"/>
      <c r="G298" s="9" t="str">
        <f aca="false">IF(OR($B298="",NOT(ISNUMBER($E298))),"",$E298-IF($F298="",0,$F298))</f>
        <v/>
      </c>
      <c r="H298" s="15" t="str">
        <f aca="false">IF($B298="","",IFERROR(INDEX(Services!$A$2:$A$120,MATCH($B298,Services!$D$2:$D$120,0)),""))</f>
        <v/>
      </c>
      <c r="I298" s="19"/>
      <c r="J298" s="15" t="str">
        <f aca="false">IF($B298="","",IFERROR(INDEX(Services!$E$2:$E$120,MATCH($B298,Services!$D$2:$D$120,0)),""))</f>
        <v/>
      </c>
    </row>
    <row r="299" customFormat="false" ht="14.25" hidden="false" customHeight="false" outlineLevel="0" collapsed="false">
      <c r="A299" s="18"/>
      <c r="B299" s="6"/>
      <c r="C299" s="6"/>
      <c r="D299" s="6"/>
      <c r="E299" s="16" t="str">
        <f aca="false">IF($B299="","",IFERROR(INDEX(Services!$C$2:$C$120,MATCH($B299,Services!$D$2:$D$120,0)),""))</f>
        <v/>
      </c>
      <c r="F299" s="19"/>
      <c r="G299" s="9" t="str">
        <f aca="false">IF(OR($B299="",NOT(ISNUMBER($E299))),"",$E299-IF($F299="",0,$F299))</f>
        <v/>
      </c>
      <c r="H299" s="15" t="str">
        <f aca="false">IF($B299="","",IFERROR(INDEX(Services!$A$2:$A$120,MATCH($B299,Services!$D$2:$D$120,0)),""))</f>
        <v/>
      </c>
      <c r="I299" s="19"/>
      <c r="J299" s="15" t="str">
        <f aca="false">IF($B299="","",IFERROR(INDEX(Services!$E$2:$E$120,MATCH($B299,Services!$D$2:$D$120,0)),""))</f>
        <v/>
      </c>
    </row>
    <row r="300" customFormat="false" ht="14.25" hidden="false" customHeight="false" outlineLevel="0" collapsed="false">
      <c r="A300" s="18"/>
      <c r="B300" s="6"/>
      <c r="C300" s="6"/>
      <c r="D300" s="6"/>
      <c r="E300" s="16" t="str">
        <f aca="false">IF($B300="","",IFERROR(INDEX(Services!$C$2:$C$120,MATCH($B300,Services!$D$2:$D$120,0)),""))</f>
        <v/>
      </c>
      <c r="F300" s="19"/>
      <c r="G300" s="9" t="str">
        <f aca="false">IF(OR($B300="",NOT(ISNUMBER($E300))),"",$E300-IF($F300="",0,$F300))</f>
        <v/>
      </c>
      <c r="H300" s="15" t="str">
        <f aca="false">IF($B300="","",IFERROR(INDEX(Services!$A$2:$A$120,MATCH($B300,Services!$D$2:$D$120,0)),""))</f>
        <v/>
      </c>
      <c r="I300" s="19"/>
      <c r="J300" s="15" t="str">
        <f aca="false">IF($B300="","",IFERROR(INDEX(Services!$E$2:$E$120,MATCH($B300,Services!$D$2:$D$120,0)),""))</f>
        <v/>
      </c>
    </row>
    <row r="301" customFormat="false" ht="14.25" hidden="false" customHeight="false" outlineLevel="0" collapsed="false">
      <c r="A301" s="18"/>
      <c r="B301" s="6"/>
      <c r="C301" s="6"/>
      <c r="D301" s="6"/>
      <c r="E301" s="16" t="str">
        <f aca="false">IF($B301="","",IFERROR(INDEX(Services!$C$2:$C$120,MATCH($B301,Services!$D$2:$D$120,0)),""))</f>
        <v/>
      </c>
      <c r="F301" s="19"/>
      <c r="G301" s="9" t="str">
        <f aca="false">IF(OR($B301="",NOT(ISNUMBER($E301))),"",$E301-IF($F301="",0,$F301))</f>
        <v/>
      </c>
      <c r="H301" s="15" t="str">
        <f aca="false">IF($B301="","",IFERROR(INDEX(Services!$A$2:$A$120,MATCH($B301,Services!$D$2:$D$120,0)),""))</f>
        <v/>
      </c>
      <c r="I301" s="19"/>
      <c r="J301" s="15" t="str">
        <f aca="false">IF($B301="","",IFERROR(INDEX(Services!$E$2:$E$120,MATCH($B301,Services!$D$2:$D$120,0)),""))</f>
        <v/>
      </c>
    </row>
    <row r="302" customFormat="false" ht="14.25" hidden="false" customHeight="false" outlineLevel="0" collapsed="false">
      <c r="A302" s="18"/>
      <c r="B302" s="6"/>
      <c r="C302" s="6"/>
      <c r="D302" s="6"/>
      <c r="E302" s="16" t="str">
        <f aca="false">IF($B302="","",IFERROR(INDEX(Services!$C$2:$C$120,MATCH($B302,Services!$D$2:$D$120,0)),""))</f>
        <v/>
      </c>
      <c r="F302" s="19"/>
      <c r="G302" s="9" t="str">
        <f aca="false">IF(OR($B302="",NOT(ISNUMBER($E302))),"",$E302-IF($F302="",0,$F302))</f>
        <v/>
      </c>
      <c r="H302" s="15" t="str">
        <f aca="false">IF($B302="","",IFERROR(INDEX(Services!$A$2:$A$120,MATCH($B302,Services!$D$2:$D$120,0)),""))</f>
        <v/>
      </c>
      <c r="I302" s="19"/>
      <c r="J302" s="15" t="str">
        <f aca="false">IF($B302="","",IFERROR(INDEX(Services!$E$2:$E$120,MATCH($B302,Services!$D$2:$D$120,0)),""))</f>
        <v/>
      </c>
    </row>
    <row r="303" customFormat="false" ht="14.25" hidden="false" customHeight="false" outlineLevel="0" collapsed="false">
      <c r="A303" s="18"/>
      <c r="B303" s="6"/>
      <c r="C303" s="6"/>
      <c r="D303" s="6"/>
      <c r="E303" s="16" t="str">
        <f aca="false">IF($B303="","",IFERROR(INDEX(Services!$C$2:$C$120,MATCH($B303,Services!$D$2:$D$120,0)),""))</f>
        <v/>
      </c>
      <c r="F303" s="19"/>
      <c r="G303" s="9" t="str">
        <f aca="false">IF(OR($B303="",NOT(ISNUMBER($E303))),"",$E303-IF($F303="",0,$F303))</f>
        <v/>
      </c>
      <c r="H303" s="15" t="str">
        <f aca="false">IF($B303="","",IFERROR(INDEX(Services!$A$2:$A$120,MATCH($B303,Services!$D$2:$D$120,0)),""))</f>
        <v/>
      </c>
      <c r="I303" s="19"/>
      <c r="J303" s="15" t="str">
        <f aca="false">IF($B303="","",IFERROR(INDEX(Services!$E$2:$E$120,MATCH($B303,Services!$D$2:$D$120,0)),""))</f>
        <v/>
      </c>
    </row>
    <row r="304" customFormat="false" ht="14.25" hidden="false" customHeight="false" outlineLevel="0" collapsed="false">
      <c r="A304" s="18"/>
      <c r="B304" s="6"/>
      <c r="C304" s="6"/>
      <c r="D304" s="6"/>
      <c r="E304" s="16" t="str">
        <f aca="false">IF($B304="","",IFERROR(INDEX(Services!$C$2:$C$120,MATCH($B304,Services!$D$2:$D$120,0)),""))</f>
        <v/>
      </c>
      <c r="F304" s="19"/>
      <c r="G304" s="9" t="str">
        <f aca="false">IF(OR($B304="",NOT(ISNUMBER($E304))),"",$E304-IF($F304="",0,$F304))</f>
        <v/>
      </c>
      <c r="H304" s="15" t="str">
        <f aca="false">IF($B304="","",IFERROR(INDEX(Services!$A$2:$A$120,MATCH($B304,Services!$D$2:$D$120,0)),""))</f>
        <v/>
      </c>
      <c r="I304" s="19"/>
      <c r="J304" s="15" t="str">
        <f aca="false">IF($B304="","",IFERROR(INDEX(Services!$E$2:$E$120,MATCH($B304,Services!$D$2:$D$120,0)),""))</f>
        <v/>
      </c>
    </row>
    <row r="305" customFormat="false" ht="14.25" hidden="false" customHeight="false" outlineLevel="0" collapsed="false">
      <c r="A305" s="18"/>
      <c r="B305" s="6"/>
      <c r="C305" s="6"/>
      <c r="D305" s="6"/>
      <c r="E305" s="16" t="str">
        <f aca="false">IF($B305="","",IFERROR(INDEX(Services!$C$2:$C$120,MATCH($B305,Services!$D$2:$D$120,0)),""))</f>
        <v/>
      </c>
      <c r="F305" s="19"/>
      <c r="G305" s="9" t="str">
        <f aca="false">IF(OR($B305="",NOT(ISNUMBER($E305))),"",$E305-IF($F305="",0,$F305))</f>
        <v/>
      </c>
      <c r="H305" s="15" t="str">
        <f aca="false">IF($B305="","",IFERROR(INDEX(Services!$A$2:$A$120,MATCH($B305,Services!$D$2:$D$120,0)),""))</f>
        <v/>
      </c>
      <c r="I305" s="19"/>
      <c r="J305" s="15" t="str">
        <f aca="false">IF($B305="","",IFERROR(INDEX(Services!$E$2:$E$120,MATCH($B305,Services!$D$2:$D$120,0)),""))</f>
        <v/>
      </c>
    </row>
    <row r="306" customFormat="false" ht="14.25" hidden="false" customHeight="false" outlineLevel="0" collapsed="false">
      <c r="A306" s="18"/>
      <c r="B306" s="6"/>
      <c r="C306" s="6"/>
      <c r="D306" s="6"/>
      <c r="E306" s="16" t="str">
        <f aca="false">IF($B306="","",IFERROR(INDEX(Services!$C$2:$C$120,MATCH($B306,Services!$D$2:$D$120,0)),""))</f>
        <v/>
      </c>
      <c r="F306" s="19"/>
      <c r="G306" s="9" t="str">
        <f aca="false">IF(OR($B306="",NOT(ISNUMBER($E306))),"",$E306-IF($F306="",0,$F306))</f>
        <v/>
      </c>
      <c r="H306" s="15" t="str">
        <f aca="false">IF($B306="","",IFERROR(INDEX(Services!$A$2:$A$120,MATCH($B306,Services!$D$2:$D$120,0)),""))</f>
        <v/>
      </c>
      <c r="I306" s="19"/>
      <c r="J306" s="15" t="str">
        <f aca="false">IF($B306="","",IFERROR(INDEX(Services!$E$2:$E$120,MATCH($B306,Services!$D$2:$D$120,0)),""))</f>
        <v/>
      </c>
    </row>
    <row r="307" customFormat="false" ht="14.25" hidden="false" customHeight="false" outlineLevel="0" collapsed="false">
      <c r="A307" s="18"/>
      <c r="B307" s="6"/>
      <c r="C307" s="6"/>
      <c r="D307" s="6"/>
      <c r="E307" s="16" t="str">
        <f aca="false">IF($B307="","",IFERROR(INDEX(Services!$C$2:$C$120,MATCH($B307,Services!$D$2:$D$120,0)),""))</f>
        <v/>
      </c>
      <c r="F307" s="19"/>
      <c r="G307" s="9" t="str">
        <f aca="false">IF(OR($B307="",NOT(ISNUMBER($E307))),"",$E307-IF($F307="",0,$F307))</f>
        <v/>
      </c>
      <c r="H307" s="15" t="str">
        <f aca="false">IF($B307="","",IFERROR(INDEX(Services!$A$2:$A$120,MATCH($B307,Services!$D$2:$D$120,0)),""))</f>
        <v/>
      </c>
      <c r="I307" s="19"/>
      <c r="J307" s="15" t="str">
        <f aca="false">IF($B307="","",IFERROR(INDEX(Services!$E$2:$E$120,MATCH($B307,Services!$D$2:$D$120,0)),""))</f>
        <v/>
      </c>
    </row>
    <row r="308" customFormat="false" ht="14.25" hidden="false" customHeight="false" outlineLevel="0" collapsed="false">
      <c r="A308" s="18"/>
      <c r="B308" s="6"/>
      <c r="C308" s="6"/>
      <c r="D308" s="6"/>
      <c r="E308" s="16" t="str">
        <f aca="false">IF($B308="","",IFERROR(INDEX(Services!$C$2:$C$120,MATCH($B308,Services!$D$2:$D$120,0)),""))</f>
        <v/>
      </c>
      <c r="F308" s="19"/>
      <c r="G308" s="9" t="str">
        <f aca="false">IF(OR($B308="",NOT(ISNUMBER($E308))),"",$E308-IF($F308="",0,$F308))</f>
        <v/>
      </c>
      <c r="H308" s="15" t="str">
        <f aca="false">IF($B308="","",IFERROR(INDEX(Services!$A$2:$A$120,MATCH($B308,Services!$D$2:$D$120,0)),""))</f>
        <v/>
      </c>
      <c r="I308" s="19"/>
      <c r="J308" s="15" t="str">
        <f aca="false">IF($B308="","",IFERROR(INDEX(Services!$E$2:$E$120,MATCH($B308,Services!$D$2:$D$120,0)),""))</f>
        <v/>
      </c>
    </row>
    <row r="309" customFormat="false" ht="14.25" hidden="false" customHeight="false" outlineLevel="0" collapsed="false">
      <c r="A309" s="18"/>
      <c r="B309" s="6"/>
      <c r="C309" s="6"/>
      <c r="D309" s="6"/>
      <c r="E309" s="16" t="str">
        <f aca="false">IF($B309="","",IFERROR(INDEX(Services!$C$2:$C$120,MATCH($B309,Services!$D$2:$D$120,0)),""))</f>
        <v/>
      </c>
      <c r="F309" s="19"/>
      <c r="G309" s="9" t="str">
        <f aca="false">IF(OR($B309="",NOT(ISNUMBER($E309))),"",$E309-IF($F309="",0,$F309))</f>
        <v/>
      </c>
      <c r="H309" s="15" t="str">
        <f aca="false">IF($B309="","",IFERROR(INDEX(Services!$A$2:$A$120,MATCH($B309,Services!$D$2:$D$120,0)),""))</f>
        <v/>
      </c>
      <c r="I309" s="19"/>
      <c r="J309" s="15" t="str">
        <f aca="false">IF($B309="","",IFERROR(INDEX(Services!$E$2:$E$120,MATCH($B309,Services!$D$2:$D$120,0)),""))</f>
        <v/>
      </c>
    </row>
    <row r="310" customFormat="false" ht="14.25" hidden="false" customHeight="false" outlineLevel="0" collapsed="false">
      <c r="A310" s="18"/>
      <c r="B310" s="6"/>
      <c r="C310" s="6"/>
      <c r="D310" s="6"/>
      <c r="E310" s="16" t="str">
        <f aca="false">IF($B310="","",IFERROR(INDEX(Services!$C$2:$C$120,MATCH($B310,Services!$D$2:$D$120,0)),""))</f>
        <v/>
      </c>
      <c r="F310" s="19"/>
      <c r="G310" s="9" t="str">
        <f aca="false">IF(OR($B310="",NOT(ISNUMBER($E310))),"",$E310-IF($F310="",0,$F310))</f>
        <v/>
      </c>
      <c r="H310" s="15" t="str">
        <f aca="false">IF($B310="","",IFERROR(INDEX(Services!$A$2:$A$120,MATCH($B310,Services!$D$2:$D$120,0)),""))</f>
        <v/>
      </c>
      <c r="I310" s="19"/>
      <c r="J310" s="15" t="str">
        <f aca="false">IF($B310="","",IFERROR(INDEX(Services!$E$2:$E$120,MATCH($B310,Services!$D$2:$D$120,0)),""))</f>
        <v/>
      </c>
    </row>
    <row r="311" customFormat="false" ht="14.25" hidden="false" customHeight="false" outlineLevel="0" collapsed="false">
      <c r="A311" s="18"/>
      <c r="B311" s="6"/>
      <c r="C311" s="6"/>
      <c r="D311" s="6"/>
      <c r="E311" s="16" t="str">
        <f aca="false">IF($B311="","",IFERROR(INDEX(Services!$C$2:$C$120,MATCH($B311,Services!$D$2:$D$120,0)),""))</f>
        <v/>
      </c>
      <c r="F311" s="19"/>
      <c r="G311" s="9" t="str">
        <f aca="false">IF(OR($B311="",NOT(ISNUMBER($E311))),"",$E311-IF($F311="",0,$F311))</f>
        <v/>
      </c>
      <c r="H311" s="15" t="str">
        <f aca="false">IF($B311="","",IFERROR(INDEX(Services!$A$2:$A$120,MATCH($B311,Services!$D$2:$D$120,0)),""))</f>
        <v/>
      </c>
      <c r="I311" s="19"/>
      <c r="J311" s="15" t="str">
        <f aca="false">IF($B311="","",IFERROR(INDEX(Services!$E$2:$E$120,MATCH($B311,Services!$D$2:$D$120,0)),""))</f>
        <v/>
      </c>
    </row>
    <row r="312" customFormat="false" ht="14.25" hidden="false" customHeight="false" outlineLevel="0" collapsed="false">
      <c r="A312" s="18"/>
      <c r="B312" s="6"/>
      <c r="C312" s="6"/>
      <c r="D312" s="6"/>
      <c r="E312" s="16" t="str">
        <f aca="false">IF($B312="","",IFERROR(INDEX(Services!$C$2:$C$120,MATCH($B312,Services!$D$2:$D$120,0)),""))</f>
        <v/>
      </c>
      <c r="F312" s="19"/>
      <c r="G312" s="9" t="str">
        <f aca="false">IF(OR($B312="",NOT(ISNUMBER($E312))),"",$E312-IF($F312="",0,$F312))</f>
        <v/>
      </c>
      <c r="H312" s="15" t="str">
        <f aca="false">IF($B312="","",IFERROR(INDEX(Services!$A$2:$A$120,MATCH($B312,Services!$D$2:$D$120,0)),""))</f>
        <v/>
      </c>
      <c r="I312" s="19"/>
      <c r="J312" s="15" t="str">
        <f aca="false">IF($B312="","",IFERROR(INDEX(Services!$E$2:$E$120,MATCH($B312,Services!$D$2:$D$120,0)),""))</f>
        <v/>
      </c>
    </row>
    <row r="313" customFormat="false" ht="14.25" hidden="false" customHeight="false" outlineLevel="0" collapsed="false">
      <c r="A313" s="18"/>
      <c r="B313" s="6"/>
      <c r="C313" s="6"/>
      <c r="D313" s="6"/>
      <c r="E313" s="16" t="str">
        <f aca="false">IF($B313="","",IFERROR(INDEX(Services!$C$2:$C$120,MATCH($B313,Services!$D$2:$D$120,0)),""))</f>
        <v/>
      </c>
      <c r="F313" s="19"/>
      <c r="G313" s="9" t="str">
        <f aca="false">IF(OR($B313="",NOT(ISNUMBER($E313))),"",$E313-IF($F313="",0,$F313))</f>
        <v/>
      </c>
      <c r="H313" s="15" t="str">
        <f aca="false">IF($B313="","",IFERROR(INDEX(Services!$A$2:$A$120,MATCH($B313,Services!$D$2:$D$120,0)),""))</f>
        <v/>
      </c>
      <c r="I313" s="19"/>
      <c r="J313" s="15" t="str">
        <f aca="false">IF($B313="","",IFERROR(INDEX(Services!$E$2:$E$120,MATCH($B313,Services!$D$2:$D$120,0)),""))</f>
        <v/>
      </c>
    </row>
    <row r="314" customFormat="false" ht="14.25" hidden="false" customHeight="false" outlineLevel="0" collapsed="false">
      <c r="A314" s="18"/>
      <c r="B314" s="6"/>
      <c r="C314" s="6"/>
      <c r="D314" s="6"/>
      <c r="E314" s="16" t="str">
        <f aca="false">IF($B314="","",IFERROR(INDEX(Services!$C$2:$C$120,MATCH($B314,Services!$D$2:$D$120,0)),""))</f>
        <v/>
      </c>
      <c r="F314" s="19"/>
      <c r="G314" s="9" t="str">
        <f aca="false">IF(OR($B314="",NOT(ISNUMBER($E314))),"",$E314-IF($F314="",0,$F314))</f>
        <v/>
      </c>
      <c r="H314" s="15" t="str">
        <f aca="false">IF($B314="","",IFERROR(INDEX(Services!$A$2:$A$120,MATCH($B314,Services!$D$2:$D$120,0)),""))</f>
        <v/>
      </c>
      <c r="I314" s="19"/>
      <c r="J314" s="15" t="str">
        <f aca="false">IF($B314="","",IFERROR(INDEX(Services!$E$2:$E$120,MATCH($B314,Services!$D$2:$D$120,0)),""))</f>
        <v/>
      </c>
    </row>
    <row r="315" customFormat="false" ht="14.25" hidden="false" customHeight="false" outlineLevel="0" collapsed="false">
      <c r="A315" s="18"/>
      <c r="B315" s="6"/>
      <c r="C315" s="6"/>
      <c r="D315" s="6"/>
      <c r="E315" s="16" t="str">
        <f aca="false">IF($B315="","",IFERROR(INDEX(Services!$C$2:$C$120,MATCH($B315,Services!$D$2:$D$120,0)),""))</f>
        <v/>
      </c>
      <c r="F315" s="19"/>
      <c r="G315" s="9" t="str">
        <f aca="false">IF(OR($B315="",NOT(ISNUMBER($E315))),"",$E315-IF($F315="",0,$F315))</f>
        <v/>
      </c>
      <c r="H315" s="15" t="str">
        <f aca="false">IF($B315="","",IFERROR(INDEX(Services!$A$2:$A$120,MATCH($B315,Services!$D$2:$D$120,0)),""))</f>
        <v/>
      </c>
      <c r="I315" s="19"/>
      <c r="J315" s="15" t="str">
        <f aca="false">IF($B315="","",IFERROR(INDEX(Services!$E$2:$E$120,MATCH($B315,Services!$D$2:$D$120,0)),""))</f>
        <v/>
      </c>
    </row>
    <row r="316" customFormat="false" ht="14.25" hidden="false" customHeight="false" outlineLevel="0" collapsed="false">
      <c r="A316" s="18"/>
      <c r="B316" s="6"/>
      <c r="C316" s="6"/>
      <c r="D316" s="6"/>
      <c r="E316" s="16" t="str">
        <f aca="false">IF($B316="","",IFERROR(INDEX(Services!$C$2:$C$120,MATCH($B316,Services!$D$2:$D$120,0)),""))</f>
        <v/>
      </c>
      <c r="F316" s="19"/>
      <c r="G316" s="9" t="str">
        <f aca="false">IF(OR($B316="",NOT(ISNUMBER($E316))),"",$E316-IF($F316="",0,$F316))</f>
        <v/>
      </c>
      <c r="H316" s="15" t="str">
        <f aca="false">IF($B316="","",IFERROR(INDEX(Services!$A$2:$A$120,MATCH($B316,Services!$D$2:$D$120,0)),""))</f>
        <v/>
      </c>
      <c r="I316" s="19"/>
      <c r="J316" s="15" t="str">
        <f aca="false">IF($B316="","",IFERROR(INDEX(Services!$E$2:$E$120,MATCH($B316,Services!$D$2:$D$120,0)),""))</f>
        <v/>
      </c>
    </row>
    <row r="317" customFormat="false" ht="14.25" hidden="false" customHeight="false" outlineLevel="0" collapsed="false">
      <c r="A317" s="18"/>
      <c r="B317" s="6"/>
      <c r="C317" s="6"/>
      <c r="D317" s="6"/>
      <c r="E317" s="16" t="str">
        <f aca="false">IF($B317="","",IFERROR(INDEX(Services!$C$2:$C$120,MATCH($B317,Services!$D$2:$D$120,0)),""))</f>
        <v/>
      </c>
      <c r="F317" s="19"/>
      <c r="G317" s="9" t="str">
        <f aca="false">IF(OR($B317="",NOT(ISNUMBER($E317))),"",$E317-IF($F317="",0,$F317))</f>
        <v/>
      </c>
      <c r="H317" s="15" t="str">
        <f aca="false">IF($B317="","",IFERROR(INDEX(Services!$A$2:$A$120,MATCH($B317,Services!$D$2:$D$120,0)),""))</f>
        <v/>
      </c>
      <c r="I317" s="19"/>
      <c r="J317" s="15" t="str">
        <f aca="false">IF($B317="","",IFERROR(INDEX(Services!$E$2:$E$120,MATCH($B317,Services!$D$2:$D$120,0)),""))</f>
        <v/>
      </c>
    </row>
    <row r="318" customFormat="false" ht="14.25" hidden="false" customHeight="false" outlineLevel="0" collapsed="false">
      <c r="A318" s="18"/>
      <c r="B318" s="6"/>
      <c r="C318" s="6"/>
      <c r="D318" s="6"/>
      <c r="E318" s="16" t="str">
        <f aca="false">IF($B318="","",IFERROR(INDEX(Services!$C$2:$C$120,MATCH($B318,Services!$D$2:$D$120,0)),""))</f>
        <v/>
      </c>
      <c r="F318" s="19"/>
      <c r="G318" s="9" t="str">
        <f aca="false">IF(OR($B318="",NOT(ISNUMBER($E318))),"",$E318-IF($F318="",0,$F318))</f>
        <v/>
      </c>
      <c r="H318" s="15" t="str">
        <f aca="false">IF($B318="","",IFERROR(INDEX(Services!$A$2:$A$120,MATCH($B318,Services!$D$2:$D$120,0)),""))</f>
        <v/>
      </c>
      <c r="I318" s="19"/>
      <c r="J318" s="15" t="str">
        <f aca="false">IF($B318="","",IFERROR(INDEX(Services!$E$2:$E$120,MATCH($B318,Services!$D$2:$D$120,0)),""))</f>
        <v/>
      </c>
    </row>
    <row r="319" customFormat="false" ht="14.25" hidden="false" customHeight="false" outlineLevel="0" collapsed="false">
      <c r="A319" s="18"/>
      <c r="B319" s="6"/>
      <c r="C319" s="6"/>
      <c r="D319" s="6"/>
      <c r="E319" s="16" t="str">
        <f aca="false">IF($B319="","",IFERROR(INDEX(Services!$C$2:$C$120,MATCH($B319,Services!$D$2:$D$120,0)),""))</f>
        <v/>
      </c>
      <c r="F319" s="19"/>
      <c r="G319" s="9" t="str">
        <f aca="false">IF(OR($B319="",NOT(ISNUMBER($E319))),"",$E319-IF($F319="",0,$F319))</f>
        <v/>
      </c>
      <c r="H319" s="15" t="str">
        <f aca="false">IF($B319="","",IFERROR(INDEX(Services!$A$2:$A$120,MATCH($B319,Services!$D$2:$D$120,0)),""))</f>
        <v/>
      </c>
      <c r="I319" s="19"/>
      <c r="J319" s="15" t="str">
        <f aca="false">IF($B319="","",IFERROR(INDEX(Services!$E$2:$E$120,MATCH($B319,Services!$D$2:$D$120,0)),""))</f>
        <v/>
      </c>
    </row>
    <row r="320" customFormat="false" ht="14.25" hidden="false" customHeight="false" outlineLevel="0" collapsed="false">
      <c r="A320" s="18"/>
      <c r="B320" s="6"/>
      <c r="C320" s="6"/>
      <c r="D320" s="6"/>
      <c r="E320" s="16" t="str">
        <f aca="false">IF($B320="","",IFERROR(INDEX(Services!$C$2:$C$120,MATCH($B320,Services!$D$2:$D$120,0)),""))</f>
        <v/>
      </c>
      <c r="F320" s="19"/>
      <c r="G320" s="9" t="str">
        <f aca="false">IF(OR($B320="",NOT(ISNUMBER($E320))),"",$E320-IF($F320="",0,$F320))</f>
        <v/>
      </c>
      <c r="H320" s="15" t="str">
        <f aca="false">IF($B320="","",IFERROR(INDEX(Services!$A$2:$A$120,MATCH($B320,Services!$D$2:$D$120,0)),""))</f>
        <v/>
      </c>
      <c r="I320" s="19"/>
      <c r="J320" s="15" t="str">
        <f aca="false">IF($B320="","",IFERROR(INDEX(Services!$E$2:$E$120,MATCH($B320,Services!$D$2:$D$120,0)),""))</f>
        <v/>
      </c>
    </row>
    <row r="321" customFormat="false" ht="14.25" hidden="false" customHeight="false" outlineLevel="0" collapsed="false">
      <c r="A321" s="18"/>
      <c r="B321" s="6"/>
      <c r="C321" s="6"/>
      <c r="D321" s="6"/>
      <c r="E321" s="16" t="str">
        <f aca="false">IF($B321="","",IFERROR(INDEX(Services!$C$2:$C$120,MATCH($B321,Services!$D$2:$D$120,0)),""))</f>
        <v/>
      </c>
      <c r="F321" s="19"/>
      <c r="G321" s="9" t="str">
        <f aca="false">IF(OR($B321="",NOT(ISNUMBER($E321))),"",$E321-IF($F321="",0,$F321))</f>
        <v/>
      </c>
      <c r="H321" s="15" t="str">
        <f aca="false">IF($B321="","",IFERROR(INDEX(Services!$A$2:$A$120,MATCH($B321,Services!$D$2:$D$120,0)),""))</f>
        <v/>
      </c>
      <c r="I321" s="19"/>
      <c r="J321" s="15" t="str">
        <f aca="false">IF($B321="","",IFERROR(INDEX(Services!$E$2:$E$120,MATCH($B321,Services!$D$2:$D$120,0)),""))</f>
        <v/>
      </c>
    </row>
    <row r="322" customFormat="false" ht="14.25" hidden="false" customHeight="false" outlineLevel="0" collapsed="false">
      <c r="A322" s="18"/>
      <c r="B322" s="6"/>
      <c r="C322" s="6"/>
      <c r="D322" s="6"/>
      <c r="E322" s="16" t="str">
        <f aca="false">IF($B322="","",IFERROR(INDEX(Services!$C$2:$C$120,MATCH($B322,Services!$D$2:$D$120,0)),""))</f>
        <v/>
      </c>
      <c r="F322" s="19"/>
      <c r="G322" s="9" t="str">
        <f aca="false">IF(OR($B322="",NOT(ISNUMBER($E322))),"",$E322-IF($F322="",0,$F322))</f>
        <v/>
      </c>
      <c r="H322" s="15" t="str">
        <f aca="false">IF($B322="","",IFERROR(INDEX(Services!$A$2:$A$120,MATCH($B322,Services!$D$2:$D$120,0)),""))</f>
        <v/>
      </c>
      <c r="I322" s="19"/>
      <c r="J322" s="15" t="str">
        <f aca="false">IF($B322="","",IFERROR(INDEX(Services!$E$2:$E$120,MATCH($B322,Services!$D$2:$D$120,0)),""))</f>
        <v/>
      </c>
    </row>
    <row r="323" customFormat="false" ht="14.25" hidden="false" customHeight="false" outlineLevel="0" collapsed="false">
      <c r="A323" s="18"/>
      <c r="B323" s="6"/>
      <c r="C323" s="6"/>
      <c r="D323" s="6"/>
      <c r="E323" s="16" t="str">
        <f aca="false">IF($B323="","",IFERROR(INDEX(Services!$C$2:$C$120,MATCH($B323,Services!$D$2:$D$120,0)),""))</f>
        <v/>
      </c>
      <c r="F323" s="19"/>
      <c r="G323" s="9" t="str">
        <f aca="false">IF(OR($B323="",NOT(ISNUMBER($E323))),"",$E323-IF($F323="",0,$F323))</f>
        <v/>
      </c>
      <c r="H323" s="15" t="str">
        <f aca="false">IF($B323="","",IFERROR(INDEX(Services!$A$2:$A$120,MATCH($B323,Services!$D$2:$D$120,0)),""))</f>
        <v/>
      </c>
      <c r="I323" s="19"/>
      <c r="J323" s="15" t="str">
        <f aca="false">IF($B323="","",IFERROR(INDEX(Services!$E$2:$E$120,MATCH($B323,Services!$D$2:$D$120,0)),""))</f>
        <v/>
      </c>
    </row>
    <row r="324" customFormat="false" ht="14.25" hidden="false" customHeight="false" outlineLevel="0" collapsed="false">
      <c r="A324" s="18"/>
      <c r="B324" s="6"/>
      <c r="C324" s="6"/>
      <c r="D324" s="6"/>
      <c r="E324" s="16" t="str">
        <f aca="false">IF($B324="","",IFERROR(INDEX(Services!$C$2:$C$120,MATCH($B324,Services!$D$2:$D$120,0)),""))</f>
        <v/>
      </c>
      <c r="F324" s="19"/>
      <c r="G324" s="9" t="str">
        <f aca="false">IF(OR($B324="",NOT(ISNUMBER($E324))),"",$E324-IF($F324="",0,$F324))</f>
        <v/>
      </c>
      <c r="H324" s="15" t="str">
        <f aca="false">IF($B324="","",IFERROR(INDEX(Services!$A$2:$A$120,MATCH($B324,Services!$D$2:$D$120,0)),""))</f>
        <v/>
      </c>
      <c r="I324" s="19"/>
      <c r="J324" s="15" t="str">
        <f aca="false">IF($B324="","",IFERROR(INDEX(Services!$E$2:$E$120,MATCH($B324,Services!$D$2:$D$120,0)),""))</f>
        <v/>
      </c>
    </row>
    <row r="325" customFormat="false" ht="14.25" hidden="false" customHeight="false" outlineLevel="0" collapsed="false">
      <c r="A325" s="18"/>
      <c r="B325" s="6"/>
      <c r="C325" s="6"/>
      <c r="D325" s="6"/>
      <c r="E325" s="16" t="str">
        <f aca="false">IF($B325="","",IFERROR(INDEX(Services!$C$2:$C$120,MATCH($B325,Services!$D$2:$D$120,0)),""))</f>
        <v/>
      </c>
      <c r="F325" s="19"/>
      <c r="G325" s="9" t="str">
        <f aca="false">IF(OR($B325="",NOT(ISNUMBER($E325))),"",$E325-IF($F325="",0,$F325))</f>
        <v/>
      </c>
      <c r="H325" s="15" t="str">
        <f aca="false">IF($B325="","",IFERROR(INDEX(Services!$A$2:$A$120,MATCH($B325,Services!$D$2:$D$120,0)),""))</f>
        <v/>
      </c>
      <c r="I325" s="19"/>
      <c r="J325" s="15" t="str">
        <f aca="false">IF($B325="","",IFERROR(INDEX(Services!$E$2:$E$120,MATCH($B325,Services!$D$2:$D$120,0)),""))</f>
        <v/>
      </c>
    </row>
    <row r="326" customFormat="false" ht="14.25" hidden="false" customHeight="false" outlineLevel="0" collapsed="false">
      <c r="A326" s="18"/>
      <c r="B326" s="6"/>
      <c r="C326" s="6"/>
      <c r="D326" s="6"/>
      <c r="E326" s="16" t="str">
        <f aca="false">IF($B326="","",IFERROR(INDEX(Services!$C$2:$C$120,MATCH($B326,Services!$D$2:$D$120,0)),""))</f>
        <v/>
      </c>
      <c r="F326" s="19"/>
      <c r="G326" s="9" t="str">
        <f aca="false">IF(OR($B326="",NOT(ISNUMBER($E326))),"",$E326-IF($F326="",0,$F326))</f>
        <v/>
      </c>
      <c r="H326" s="15" t="str">
        <f aca="false">IF($B326="","",IFERROR(INDEX(Services!$A$2:$A$120,MATCH($B326,Services!$D$2:$D$120,0)),""))</f>
        <v/>
      </c>
      <c r="I326" s="19"/>
      <c r="J326" s="15" t="str">
        <f aca="false">IF($B326="","",IFERROR(INDEX(Services!$E$2:$E$120,MATCH($B326,Services!$D$2:$D$120,0)),""))</f>
        <v/>
      </c>
    </row>
    <row r="327" customFormat="false" ht="14.25" hidden="false" customHeight="false" outlineLevel="0" collapsed="false">
      <c r="A327" s="18"/>
      <c r="B327" s="6"/>
      <c r="C327" s="6"/>
      <c r="D327" s="6"/>
      <c r="E327" s="16" t="str">
        <f aca="false">IF($B327="","",IFERROR(INDEX(Services!$C$2:$C$120,MATCH($B327,Services!$D$2:$D$120,0)),""))</f>
        <v/>
      </c>
      <c r="F327" s="19"/>
      <c r="G327" s="9" t="str">
        <f aca="false">IF(OR($B327="",NOT(ISNUMBER($E327))),"",$E327-IF($F327="",0,$F327))</f>
        <v/>
      </c>
      <c r="H327" s="15" t="str">
        <f aca="false">IF($B327="","",IFERROR(INDEX(Services!$A$2:$A$120,MATCH($B327,Services!$D$2:$D$120,0)),""))</f>
        <v/>
      </c>
      <c r="I327" s="19"/>
      <c r="J327" s="15" t="str">
        <f aca="false">IF($B327="","",IFERROR(INDEX(Services!$E$2:$E$120,MATCH($B327,Services!$D$2:$D$120,0)),""))</f>
        <v/>
      </c>
    </row>
    <row r="328" customFormat="false" ht="14.25" hidden="false" customHeight="false" outlineLevel="0" collapsed="false">
      <c r="A328" s="18"/>
      <c r="B328" s="6"/>
      <c r="C328" s="6"/>
      <c r="D328" s="6"/>
      <c r="E328" s="16" t="str">
        <f aca="false">IF($B328="","",IFERROR(INDEX(Services!$C$2:$C$120,MATCH($B328,Services!$D$2:$D$120,0)),""))</f>
        <v/>
      </c>
      <c r="F328" s="19"/>
      <c r="G328" s="9" t="str">
        <f aca="false">IF(OR($B328="",NOT(ISNUMBER($E328))),"",$E328-IF($F328="",0,$F328))</f>
        <v/>
      </c>
      <c r="H328" s="15" t="str">
        <f aca="false">IF($B328="","",IFERROR(INDEX(Services!$A$2:$A$120,MATCH($B328,Services!$D$2:$D$120,0)),""))</f>
        <v/>
      </c>
      <c r="I328" s="19"/>
      <c r="J328" s="15" t="str">
        <f aca="false">IF($B328="","",IFERROR(INDEX(Services!$E$2:$E$120,MATCH($B328,Services!$D$2:$D$120,0)),""))</f>
        <v/>
      </c>
    </row>
    <row r="329" customFormat="false" ht="14.25" hidden="false" customHeight="false" outlineLevel="0" collapsed="false">
      <c r="A329" s="18"/>
      <c r="B329" s="6"/>
      <c r="C329" s="6"/>
      <c r="D329" s="6"/>
      <c r="E329" s="16" t="str">
        <f aca="false">IF($B329="","",IFERROR(INDEX(Services!$C$2:$C$120,MATCH($B329,Services!$D$2:$D$120,0)),""))</f>
        <v/>
      </c>
      <c r="F329" s="19"/>
      <c r="G329" s="9" t="str">
        <f aca="false">IF(OR($B329="",NOT(ISNUMBER($E329))),"",$E329-IF($F329="",0,$F329))</f>
        <v/>
      </c>
      <c r="H329" s="15" t="str">
        <f aca="false">IF($B329="","",IFERROR(INDEX(Services!$A$2:$A$120,MATCH($B329,Services!$D$2:$D$120,0)),""))</f>
        <v/>
      </c>
      <c r="I329" s="19"/>
      <c r="J329" s="15" t="str">
        <f aca="false">IF($B329="","",IFERROR(INDEX(Services!$E$2:$E$120,MATCH($B329,Services!$D$2:$D$120,0)),""))</f>
        <v/>
      </c>
    </row>
    <row r="330" customFormat="false" ht="14.25" hidden="false" customHeight="false" outlineLevel="0" collapsed="false">
      <c r="A330" s="18"/>
      <c r="B330" s="6"/>
      <c r="C330" s="6"/>
      <c r="D330" s="6"/>
      <c r="E330" s="16" t="str">
        <f aca="false">IF($B330="","",IFERROR(INDEX(Services!$C$2:$C$120,MATCH($B330,Services!$D$2:$D$120,0)),""))</f>
        <v/>
      </c>
      <c r="F330" s="19"/>
      <c r="G330" s="9" t="str">
        <f aca="false">IF(OR($B330="",NOT(ISNUMBER($E330))),"",$E330-IF($F330="",0,$F330))</f>
        <v/>
      </c>
      <c r="H330" s="15" t="str">
        <f aca="false">IF($B330="","",IFERROR(INDEX(Services!$A$2:$A$120,MATCH($B330,Services!$D$2:$D$120,0)),""))</f>
        <v/>
      </c>
      <c r="I330" s="19"/>
      <c r="J330" s="15" t="str">
        <f aca="false">IF($B330="","",IFERROR(INDEX(Services!$E$2:$E$120,MATCH($B330,Services!$D$2:$D$120,0)),""))</f>
        <v/>
      </c>
    </row>
    <row r="331" customFormat="false" ht="14.25" hidden="false" customHeight="false" outlineLevel="0" collapsed="false">
      <c r="A331" s="18"/>
      <c r="B331" s="6"/>
      <c r="C331" s="6"/>
      <c r="D331" s="6"/>
      <c r="E331" s="16" t="str">
        <f aca="false">IF($B331="","",IFERROR(INDEX(Services!$C$2:$C$120,MATCH($B331,Services!$D$2:$D$120,0)),""))</f>
        <v/>
      </c>
      <c r="F331" s="19"/>
      <c r="G331" s="9" t="str">
        <f aca="false">IF(OR($B331="",NOT(ISNUMBER($E331))),"",$E331-IF($F331="",0,$F331))</f>
        <v/>
      </c>
      <c r="H331" s="15" t="str">
        <f aca="false">IF($B331="","",IFERROR(INDEX(Services!$A$2:$A$120,MATCH($B331,Services!$D$2:$D$120,0)),""))</f>
        <v/>
      </c>
      <c r="I331" s="19"/>
      <c r="J331" s="15" t="str">
        <f aca="false">IF($B331="","",IFERROR(INDEX(Services!$E$2:$E$120,MATCH($B331,Services!$D$2:$D$120,0)),""))</f>
        <v/>
      </c>
    </row>
    <row r="332" customFormat="false" ht="14.25" hidden="false" customHeight="false" outlineLevel="0" collapsed="false">
      <c r="A332" s="18"/>
      <c r="B332" s="6"/>
      <c r="C332" s="6"/>
      <c r="D332" s="6"/>
      <c r="E332" s="16" t="str">
        <f aca="false">IF($B332="","",IFERROR(INDEX(Services!$C$2:$C$120,MATCH($B332,Services!$D$2:$D$120,0)),""))</f>
        <v/>
      </c>
      <c r="F332" s="19"/>
      <c r="G332" s="9" t="str">
        <f aca="false">IF(OR($B332="",NOT(ISNUMBER($E332))),"",$E332-IF($F332="",0,$F332))</f>
        <v/>
      </c>
      <c r="H332" s="15" t="str">
        <f aca="false">IF($B332="","",IFERROR(INDEX(Services!$A$2:$A$120,MATCH($B332,Services!$D$2:$D$120,0)),""))</f>
        <v/>
      </c>
      <c r="I332" s="19"/>
      <c r="J332" s="15" t="str">
        <f aca="false">IF($B332="","",IFERROR(INDEX(Services!$E$2:$E$120,MATCH($B332,Services!$D$2:$D$120,0)),""))</f>
        <v/>
      </c>
    </row>
    <row r="333" customFormat="false" ht="14.25" hidden="false" customHeight="false" outlineLevel="0" collapsed="false">
      <c r="A333" s="18"/>
      <c r="B333" s="6"/>
      <c r="C333" s="6"/>
      <c r="D333" s="6"/>
      <c r="E333" s="16" t="str">
        <f aca="false">IF($B333="","",IFERROR(INDEX(Services!$C$2:$C$120,MATCH($B333,Services!$D$2:$D$120,0)),""))</f>
        <v/>
      </c>
      <c r="F333" s="19"/>
      <c r="G333" s="9" t="str">
        <f aca="false">IF(OR($B333="",NOT(ISNUMBER($E333))),"",$E333-IF($F333="",0,$F333))</f>
        <v/>
      </c>
      <c r="H333" s="15" t="str">
        <f aca="false">IF($B333="","",IFERROR(INDEX(Services!$A$2:$A$120,MATCH($B333,Services!$D$2:$D$120,0)),""))</f>
        <v/>
      </c>
      <c r="I333" s="19"/>
      <c r="J333" s="15" t="str">
        <f aca="false">IF($B333="","",IFERROR(INDEX(Services!$E$2:$E$120,MATCH($B333,Services!$D$2:$D$120,0)),""))</f>
        <v/>
      </c>
    </row>
    <row r="334" customFormat="false" ht="14.25" hidden="false" customHeight="false" outlineLevel="0" collapsed="false">
      <c r="A334" s="18"/>
      <c r="B334" s="6"/>
      <c r="C334" s="6"/>
      <c r="D334" s="6"/>
      <c r="E334" s="16" t="str">
        <f aca="false">IF($B334="","",IFERROR(INDEX(Services!$C$2:$C$120,MATCH($B334,Services!$D$2:$D$120,0)),""))</f>
        <v/>
      </c>
      <c r="F334" s="19"/>
      <c r="G334" s="9" t="str">
        <f aca="false">IF(OR($B334="",NOT(ISNUMBER($E334))),"",$E334-IF($F334="",0,$F334))</f>
        <v/>
      </c>
      <c r="H334" s="15" t="str">
        <f aca="false">IF($B334="","",IFERROR(INDEX(Services!$A$2:$A$120,MATCH($B334,Services!$D$2:$D$120,0)),""))</f>
        <v/>
      </c>
      <c r="I334" s="19"/>
      <c r="J334" s="15" t="str">
        <f aca="false">IF($B334="","",IFERROR(INDEX(Services!$E$2:$E$120,MATCH($B334,Services!$D$2:$D$120,0)),""))</f>
        <v/>
      </c>
    </row>
    <row r="335" customFormat="false" ht="14.25" hidden="false" customHeight="false" outlineLevel="0" collapsed="false">
      <c r="A335" s="18"/>
      <c r="B335" s="6"/>
      <c r="C335" s="6"/>
      <c r="D335" s="6"/>
      <c r="E335" s="16" t="str">
        <f aca="false">IF($B335="","",IFERROR(INDEX(Services!$C$2:$C$120,MATCH($B335,Services!$D$2:$D$120,0)),""))</f>
        <v/>
      </c>
      <c r="F335" s="19"/>
      <c r="G335" s="9" t="str">
        <f aca="false">IF(OR($B335="",NOT(ISNUMBER($E335))),"",$E335-IF($F335="",0,$F335))</f>
        <v/>
      </c>
      <c r="H335" s="15" t="str">
        <f aca="false">IF($B335="","",IFERROR(INDEX(Services!$A$2:$A$120,MATCH($B335,Services!$D$2:$D$120,0)),""))</f>
        <v/>
      </c>
      <c r="I335" s="19"/>
      <c r="J335" s="15" t="str">
        <f aca="false">IF($B335="","",IFERROR(INDEX(Services!$E$2:$E$120,MATCH($B335,Services!$D$2:$D$120,0)),""))</f>
        <v/>
      </c>
    </row>
    <row r="336" customFormat="false" ht="14.25" hidden="false" customHeight="false" outlineLevel="0" collapsed="false">
      <c r="A336" s="18"/>
      <c r="B336" s="6"/>
      <c r="C336" s="6"/>
      <c r="D336" s="6"/>
      <c r="E336" s="16" t="str">
        <f aca="false">IF($B336="","",IFERROR(INDEX(Services!$C$2:$C$120,MATCH($B336,Services!$D$2:$D$120,0)),""))</f>
        <v/>
      </c>
      <c r="F336" s="19"/>
      <c r="G336" s="9" t="str">
        <f aca="false">IF(OR($B336="",NOT(ISNUMBER($E336))),"",$E336-IF($F336="",0,$F336))</f>
        <v/>
      </c>
      <c r="H336" s="15" t="str">
        <f aca="false">IF($B336="","",IFERROR(INDEX(Services!$A$2:$A$120,MATCH($B336,Services!$D$2:$D$120,0)),""))</f>
        <v/>
      </c>
      <c r="I336" s="19"/>
      <c r="J336" s="15" t="str">
        <f aca="false">IF($B336="","",IFERROR(INDEX(Services!$E$2:$E$120,MATCH($B336,Services!$D$2:$D$120,0)),""))</f>
        <v/>
      </c>
    </row>
    <row r="337" customFormat="false" ht="14.25" hidden="false" customHeight="false" outlineLevel="0" collapsed="false">
      <c r="A337" s="18"/>
      <c r="B337" s="6"/>
      <c r="C337" s="6"/>
      <c r="D337" s="6"/>
      <c r="E337" s="16" t="str">
        <f aca="false">IF($B337="","",IFERROR(INDEX(Services!$C$2:$C$120,MATCH($B337,Services!$D$2:$D$120,0)),""))</f>
        <v/>
      </c>
      <c r="F337" s="19"/>
      <c r="G337" s="9" t="str">
        <f aca="false">IF(OR($B337="",NOT(ISNUMBER($E337))),"",$E337-IF($F337="",0,$F337))</f>
        <v/>
      </c>
      <c r="H337" s="15" t="str">
        <f aca="false">IF($B337="","",IFERROR(INDEX(Services!$A$2:$A$120,MATCH($B337,Services!$D$2:$D$120,0)),""))</f>
        <v/>
      </c>
      <c r="I337" s="19"/>
      <c r="J337" s="15" t="str">
        <f aca="false">IF($B337="","",IFERROR(INDEX(Services!$E$2:$E$120,MATCH($B337,Services!$D$2:$D$120,0)),""))</f>
        <v/>
      </c>
    </row>
    <row r="338" customFormat="false" ht="14.25" hidden="false" customHeight="false" outlineLevel="0" collapsed="false">
      <c r="A338" s="18"/>
      <c r="B338" s="6"/>
      <c r="C338" s="6"/>
      <c r="D338" s="6"/>
      <c r="E338" s="16" t="str">
        <f aca="false">IF($B338="","",IFERROR(INDEX(Services!$C$2:$C$120,MATCH($B338,Services!$D$2:$D$120,0)),""))</f>
        <v/>
      </c>
      <c r="F338" s="19"/>
      <c r="G338" s="9" t="str">
        <f aca="false">IF(OR($B338="",NOT(ISNUMBER($E338))),"",$E338-IF($F338="",0,$F338))</f>
        <v/>
      </c>
      <c r="H338" s="15" t="str">
        <f aca="false">IF($B338="","",IFERROR(INDEX(Services!$A$2:$A$120,MATCH($B338,Services!$D$2:$D$120,0)),""))</f>
        <v/>
      </c>
      <c r="I338" s="19"/>
      <c r="J338" s="15" t="str">
        <f aca="false">IF($B338="","",IFERROR(INDEX(Services!$E$2:$E$120,MATCH($B338,Services!$D$2:$D$120,0)),""))</f>
        <v/>
      </c>
    </row>
    <row r="339" customFormat="false" ht="14.25" hidden="false" customHeight="false" outlineLevel="0" collapsed="false">
      <c r="A339" s="18"/>
      <c r="B339" s="6"/>
      <c r="C339" s="6"/>
      <c r="D339" s="6"/>
      <c r="E339" s="16" t="str">
        <f aca="false">IF($B339="","",IFERROR(INDEX(Services!$C$2:$C$120,MATCH($B339,Services!$D$2:$D$120,0)),""))</f>
        <v/>
      </c>
      <c r="F339" s="19"/>
      <c r="G339" s="9" t="str">
        <f aca="false">IF(OR($B339="",NOT(ISNUMBER($E339))),"",$E339-IF($F339="",0,$F339))</f>
        <v/>
      </c>
      <c r="H339" s="15" t="str">
        <f aca="false">IF($B339="","",IFERROR(INDEX(Services!$A$2:$A$120,MATCH($B339,Services!$D$2:$D$120,0)),""))</f>
        <v/>
      </c>
      <c r="I339" s="19"/>
      <c r="J339" s="15" t="str">
        <f aca="false">IF($B339="","",IFERROR(INDEX(Services!$E$2:$E$120,MATCH($B339,Services!$D$2:$D$120,0)),""))</f>
        <v/>
      </c>
    </row>
    <row r="340" customFormat="false" ht="14.25" hidden="false" customHeight="false" outlineLevel="0" collapsed="false">
      <c r="A340" s="18"/>
      <c r="B340" s="6"/>
      <c r="C340" s="6"/>
      <c r="D340" s="6"/>
      <c r="E340" s="16" t="str">
        <f aca="false">IF($B340="","",IFERROR(INDEX(Services!$C$2:$C$120,MATCH($B340,Services!$D$2:$D$120,0)),""))</f>
        <v/>
      </c>
      <c r="F340" s="19"/>
      <c r="G340" s="9" t="str">
        <f aca="false">IF(OR($B340="",NOT(ISNUMBER($E340))),"",$E340-IF($F340="",0,$F340))</f>
        <v/>
      </c>
      <c r="H340" s="15" t="str">
        <f aca="false">IF($B340="","",IFERROR(INDEX(Services!$A$2:$A$120,MATCH($B340,Services!$D$2:$D$120,0)),""))</f>
        <v/>
      </c>
      <c r="I340" s="19"/>
      <c r="J340" s="15" t="str">
        <f aca="false">IF($B340="","",IFERROR(INDEX(Services!$E$2:$E$120,MATCH($B340,Services!$D$2:$D$120,0)),""))</f>
        <v/>
      </c>
    </row>
    <row r="341" customFormat="false" ht="14.25" hidden="false" customHeight="false" outlineLevel="0" collapsed="false">
      <c r="A341" s="18"/>
      <c r="B341" s="6"/>
      <c r="C341" s="6"/>
      <c r="D341" s="6"/>
      <c r="E341" s="16" t="str">
        <f aca="false">IF($B341="","",IFERROR(INDEX(Services!$C$2:$C$120,MATCH($B341,Services!$D$2:$D$120,0)),""))</f>
        <v/>
      </c>
      <c r="F341" s="19"/>
      <c r="G341" s="9" t="str">
        <f aca="false">IF(OR($B341="",NOT(ISNUMBER($E341))),"",$E341-IF($F341="",0,$F341))</f>
        <v/>
      </c>
      <c r="H341" s="15" t="str">
        <f aca="false">IF($B341="","",IFERROR(INDEX(Services!$A$2:$A$120,MATCH($B341,Services!$D$2:$D$120,0)),""))</f>
        <v/>
      </c>
      <c r="I341" s="19"/>
      <c r="J341" s="15" t="str">
        <f aca="false">IF($B341="","",IFERROR(INDEX(Services!$E$2:$E$120,MATCH($B341,Services!$D$2:$D$120,0)),""))</f>
        <v/>
      </c>
    </row>
    <row r="342" customFormat="false" ht="14.25" hidden="false" customHeight="false" outlineLevel="0" collapsed="false">
      <c r="A342" s="18"/>
      <c r="B342" s="6"/>
      <c r="C342" s="6"/>
      <c r="D342" s="6"/>
      <c r="E342" s="16" t="str">
        <f aca="false">IF($B342="","",IFERROR(INDEX(Services!$C$2:$C$120,MATCH($B342,Services!$D$2:$D$120,0)),""))</f>
        <v/>
      </c>
      <c r="F342" s="19"/>
      <c r="G342" s="9" t="str">
        <f aca="false">IF(OR($B342="",NOT(ISNUMBER($E342))),"",$E342-IF($F342="",0,$F342))</f>
        <v/>
      </c>
      <c r="H342" s="15" t="str">
        <f aca="false">IF($B342="","",IFERROR(INDEX(Services!$A$2:$A$120,MATCH($B342,Services!$D$2:$D$120,0)),""))</f>
        <v/>
      </c>
      <c r="I342" s="19"/>
      <c r="J342" s="15" t="str">
        <f aca="false">IF($B342="","",IFERROR(INDEX(Services!$E$2:$E$120,MATCH($B342,Services!$D$2:$D$120,0)),""))</f>
        <v/>
      </c>
    </row>
    <row r="343" customFormat="false" ht="14.25" hidden="false" customHeight="false" outlineLevel="0" collapsed="false">
      <c r="A343" s="18"/>
      <c r="B343" s="6"/>
      <c r="C343" s="6"/>
      <c r="D343" s="6"/>
      <c r="E343" s="16" t="str">
        <f aca="false">IF($B343="","",IFERROR(INDEX(Services!$C$2:$C$120,MATCH($B343,Services!$D$2:$D$120,0)),""))</f>
        <v/>
      </c>
      <c r="F343" s="19"/>
      <c r="G343" s="9" t="str">
        <f aca="false">IF(OR($B343="",NOT(ISNUMBER($E343))),"",$E343-IF($F343="",0,$F343))</f>
        <v/>
      </c>
      <c r="H343" s="15" t="str">
        <f aca="false">IF($B343="","",IFERROR(INDEX(Services!$A$2:$A$120,MATCH($B343,Services!$D$2:$D$120,0)),""))</f>
        <v/>
      </c>
      <c r="I343" s="19"/>
      <c r="J343" s="15" t="str">
        <f aca="false">IF($B343="","",IFERROR(INDEX(Services!$E$2:$E$120,MATCH($B343,Services!$D$2:$D$120,0)),""))</f>
        <v/>
      </c>
    </row>
    <row r="344" customFormat="false" ht="14.25" hidden="false" customHeight="false" outlineLevel="0" collapsed="false">
      <c r="A344" s="18"/>
      <c r="B344" s="6"/>
      <c r="C344" s="6"/>
      <c r="D344" s="6"/>
      <c r="E344" s="16" t="str">
        <f aca="false">IF($B344="","",IFERROR(INDEX(Services!$C$2:$C$120,MATCH($B344,Services!$D$2:$D$120,0)),""))</f>
        <v/>
      </c>
      <c r="F344" s="19"/>
      <c r="G344" s="9" t="str">
        <f aca="false">IF(OR($B344="",NOT(ISNUMBER($E344))),"",$E344-IF($F344="",0,$F344))</f>
        <v/>
      </c>
      <c r="H344" s="15" t="str">
        <f aca="false">IF($B344="","",IFERROR(INDEX(Services!$A$2:$A$120,MATCH($B344,Services!$D$2:$D$120,0)),""))</f>
        <v/>
      </c>
      <c r="I344" s="19"/>
      <c r="J344" s="15" t="str">
        <f aca="false">IF($B344="","",IFERROR(INDEX(Services!$E$2:$E$120,MATCH($B344,Services!$D$2:$D$120,0)),""))</f>
        <v/>
      </c>
    </row>
    <row r="345" customFormat="false" ht="14.25" hidden="false" customHeight="false" outlineLevel="0" collapsed="false">
      <c r="A345" s="18"/>
      <c r="B345" s="6"/>
      <c r="C345" s="6"/>
      <c r="D345" s="6"/>
      <c r="E345" s="16" t="str">
        <f aca="false">IF($B345="","",IFERROR(INDEX(Services!$C$2:$C$120,MATCH($B345,Services!$D$2:$D$120,0)),""))</f>
        <v/>
      </c>
      <c r="F345" s="19"/>
      <c r="G345" s="9" t="str">
        <f aca="false">IF(OR($B345="",NOT(ISNUMBER($E345))),"",$E345-IF($F345="",0,$F345))</f>
        <v/>
      </c>
      <c r="H345" s="15" t="str">
        <f aca="false">IF($B345="","",IFERROR(INDEX(Services!$A$2:$A$120,MATCH($B345,Services!$D$2:$D$120,0)),""))</f>
        <v/>
      </c>
      <c r="I345" s="19"/>
      <c r="J345" s="15" t="str">
        <f aca="false">IF($B345="","",IFERROR(INDEX(Services!$E$2:$E$120,MATCH($B345,Services!$D$2:$D$120,0)),""))</f>
        <v/>
      </c>
    </row>
    <row r="346" customFormat="false" ht="14.25" hidden="false" customHeight="false" outlineLevel="0" collapsed="false">
      <c r="A346" s="18"/>
      <c r="B346" s="6"/>
      <c r="C346" s="6"/>
      <c r="D346" s="6"/>
      <c r="E346" s="16" t="str">
        <f aca="false">IF($B346="","",IFERROR(INDEX(Services!$C$2:$C$120,MATCH($B346,Services!$D$2:$D$120,0)),""))</f>
        <v/>
      </c>
      <c r="F346" s="19"/>
      <c r="G346" s="9" t="str">
        <f aca="false">IF(OR($B346="",NOT(ISNUMBER($E346))),"",$E346-IF($F346="",0,$F346))</f>
        <v/>
      </c>
      <c r="H346" s="15" t="str">
        <f aca="false">IF($B346="","",IFERROR(INDEX(Services!$A$2:$A$120,MATCH($B346,Services!$D$2:$D$120,0)),""))</f>
        <v/>
      </c>
      <c r="I346" s="19"/>
      <c r="J346" s="15" t="str">
        <f aca="false">IF($B346="","",IFERROR(INDEX(Services!$E$2:$E$120,MATCH($B346,Services!$D$2:$D$120,0)),""))</f>
        <v/>
      </c>
    </row>
    <row r="347" customFormat="false" ht="14.25" hidden="false" customHeight="false" outlineLevel="0" collapsed="false">
      <c r="A347" s="18"/>
      <c r="B347" s="6"/>
      <c r="C347" s="6"/>
      <c r="D347" s="6"/>
      <c r="E347" s="16" t="str">
        <f aca="false">IF($B347="","",IFERROR(INDEX(Services!$C$2:$C$120,MATCH($B347,Services!$D$2:$D$120,0)),""))</f>
        <v/>
      </c>
      <c r="F347" s="19"/>
      <c r="G347" s="9" t="str">
        <f aca="false">IF(OR($B347="",NOT(ISNUMBER($E347))),"",$E347-IF($F347="",0,$F347))</f>
        <v/>
      </c>
      <c r="H347" s="15" t="str">
        <f aca="false">IF($B347="","",IFERROR(INDEX(Services!$A$2:$A$120,MATCH($B347,Services!$D$2:$D$120,0)),""))</f>
        <v/>
      </c>
      <c r="I347" s="19"/>
      <c r="J347" s="15" t="str">
        <f aca="false">IF($B347="","",IFERROR(INDEX(Services!$E$2:$E$120,MATCH($B347,Services!$D$2:$D$120,0)),""))</f>
        <v/>
      </c>
    </row>
    <row r="348" customFormat="false" ht="14.25" hidden="false" customHeight="false" outlineLevel="0" collapsed="false">
      <c r="A348" s="18"/>
      <c r="B348" s="6"/>
      <c r="C348" s="6"/>
      <c r="D348" s="6"/>
      <c r="E348" s="16" t="str">
        <f aca="false">IF($B348="","",IFERROR(INDEX(Services!$C$2:$C$120,MATCH($B348,Services!$D$2:$D$120,0)),""))</f>
        <v/>
      </c>
      <c r="F348" s="19"/>
      <c r="G348" s="9" t="str">
        <f aca="false">IF(OR($B348="",NOT(ISNUMBER($E348))),"",$E348-IF($F348="",0,$F348))</f>
        <v/>
      </c>
      <c r="H348" s="15" t="str">
        <f aca="false">IF($B348="","",IFERROR(INDEX(Services!$A$2:$A$120,MATCH($B348,Services!$D$2:$D$120,0)),""))</f>
        <v/>
      </c>
      <c r="I348" s="19"/>
      <c r="J348" s="15" t="str">
        <f aca="false">IF($B348="","",IFERROR(INDEX(Services!$E$2:$E$120,MATCH($B348,Services!$D$2:$D$120,0)),""))</f>
        <v/>
      </c>
    </row>
    <row r="349" customFormat="false" ht="14.25" hidden="false" customHeight="false" outlineLevel="0" collapsed="false">
      <c r="A349" s="18"/>
      <c r="B349" s="6"/>
      <c r="C349" s="6"/>
      <c r="D349" s="6"/>
      <c r="E349" s="16" t="str">
        <f aca="false">IF($B349="","",IFERROR(INDEX(Services!$C$2:$C$120,MATCH($B349,Services!$D$2:$D$120,0)),""))</f>
        <v/>
      </c>
      <c r="F349" s="19"/>
      <c r="G349" s="9" t="str">
        <f aca="false">IF(OR($B349="",NOT(ISNUMBER($E349))),"",$E349-IF($F349="",0,$F349))</f>
        <v/>
      </c>
      <c r="H349" s="15" t="str">
        <f aca="false">IF($B349="","",IFERROR(INDEX(Services!$A$2:$A$120,MATCH($B349,Services!$D$2:$D$120,0)),""))</f>
        <v/>
      </c>
      <c r="I349" s="19"/>
      <c r="J349" s="15" t="str">
        <f aca="false">IF($B349="","",IFERROR(INDEX(Services!$E$2:$E$120,MATCH($B349,Services!$D$2:$D$120,0)),""))</f>
        <v/>
      </c>
    </row>
    <row r="350" customFormat="false" ht="14.25" hidden="false" customHeight="false" outlineLevel="0" collapsed="false">
      <c r="A350" s="18"/>
      <c r="B350" s="6"/>
      <c r="C350" s="6"/>
      <c r="D350" s="6"/>
      <c r="E350" s="16" t="str">
        <f aca="false">IF($B350="","",IFERROR(INDEX(Services!$C$2:$C$120,MATCH($B350,Services!$D$2:$D$120,0)),""))</f>
        <v/>
      </c>
      <c r="F350" s="19"/>
      <c r="G350" s="9" t="str">
        <f aca="false">IF(OR($B350="",NOT(ISNUMBER($E350))),"",$E350-IF($F350="",0,$F350))</f>
        <v/>
      </c>
      <c r="H350" s="15" t="str">
        <f aca="false">IF($B350="","",IFERROR(INDEX(Services!$A$2:$A$120,MATCH($B350,Services!$D$2:$D$120,0)),""))</f>
        <v/>
      </c>
      <c r="I350" s="19"/>
      <c r="J350" s="15" t="str">
        <f aca="false">IF($B350="","",IFERROR(INDEX(Services!$E$2:$E$120,MATCH($B350,Services!$D$2:$D$120,0)),""))</f>
        <v/>
      </c>
    </row>
    <row r="351" customFormat="false" ht="14.25" hidden="false" customHeight="false" outlineLevel="0" collapsed="false">
      <c r="A351" s="18"/>
      <c r="B351" s="6"/>
      <c r="C351" s="6"/>
      <c r="D351" s="6"/>
      <c r="E351" s="16" t="str">
        <f aca="false">IF($B351="","",IFERROR(INDEX(Services!$C$2:$C$120,MATCH($B351,Services!$D$2:$D$120,0)),""))</f>
        <v/>
      </c>
      <c r="F351" s="19"/>
      <c r="G351" s="9" t="str">
        <f aca="false">IF(OR($B351="",NOT(ISNUMBER($E351))),"",$E351-IF($F351="",0,$F351))</f>
        <v/>
      </c>
      <c r="H351" s="15" t="str">
        <f aca="false">IF($B351="","",IFERROR(INDEX(Services!$A$2:$A$120,MATCH($B351,Services!$D$2:$D$120,0)),""))</f>
        <v/>
      </c>
      <c r="I351" s="19"/>
      <c r="J351" s="15" t="str">
        <f aca="false">IF($B351="","",IFERROR(INDEX(Services!$E$2:$E$120,MATCH($B351,Services!$D$2:$D$120,0)),""))</f>
        <v/>
      </c>
    </row>
    <row r="352" customFormat="false" ht="14.25" hidden="false" customHeight="false" outlineLevel="0" collapsed="false">
      <c r="A352" s="18"/>
      <c r="B352" s="6"/>
      <c r="C352" s="6"/>
      <c r="D352" s="6"/>
      <c r="E352" s="16" t="str">
        <f aca="false">IF($B352="","",IFERROR(INDEX(Services!$C$2:$C$120,MATCH($B352,Services!$D$2:$D$120,0)),""))</f>
        <v/>
      </c>
      <c r="F352" s="19"/>
      <c r="G352" s="9" t="str">
        <f aca="false">IF(OR($B352="",NOT(ISNUMBER($E352))),"",$E352-IF($F352="",0,$F352))</f>
        <v/>
      </c>
      <c r="H352" s="15" t="str">
        <f aca="false">IF($B352="","",IFERROR(INDEX(Services!$A$2:$A$120,MATCH($B352,Services!$D$2:$D$120,0)),""))</f>
        <v/>
      </c>
      <c r="I352" s="19"/>
      <c r="J352" s="15" t="str">
        <f aca="false">IF($B352="","",IFERROR(INDEX(Services!$E$2:$E$120,MATCH($B352,Services!$D$2:$D$120,0)),""))</f>
        <v/>
      </c>
    </row>
    <row r="353" customFormat="false" ht="14.25" hidden="false" customHeight="false" outlineLevel="0" collapsed="false">
      <c r="A353" s="18"/>
      <c r="B353" s="6"/>
      <c r="C353" s="6"/>
      <c r="D353" s="6"/>
      <c r="E353" s="16" t="str">
        <f aca="false">IF($B353="","",IFERROR(INDEX(Services!$C$2:$C$120,MATCH($B353,Services!$D$2:$D$120,0)),""))</f>
        <v/>
      </c>
      <c r="F353" s="19"/>
      <c r="G353" s="9" t="str">
        <f aca="false">IF(OR($B353="",NOT(ISNUMBER($E353))),"",$E353-IF($F353="",0,$F353))</f>
        <v/>
      </c>
      <c r="H353" s="15" t="str">
        <f aca="false">IF($B353="","",IFERROR(INDEX(Services!$A$2:$A$120,MATCH($B353,Services!$D$2:$D$120,0)),""))</f>
        <v/>
      </c>
      <c r="I353" s="19"/>
      <c r="J353" s="15" t="str">
        <f aca="false">IF($B353="","",IFERROR(INDEX(Services!$E$2:$E$120,MATCH($B353,Services!$D$2:$D$120,0)),""))</f>
        <v/>
      </c>
    </row>
    <row r="354" customFormat="false" ht="14.25" hidden="false" customHeight="false" outlineLevel="0" collapsed="false">
      <c r="A354" s="18"/>
      <c r="B354" s="6"/>
      <c r="C354" s="6"/>
      <c r="D354" s="6"/>
      <c r="E354" s="16" t="str">
        <f aca="false">IF($B354="","",IFERROR(INDEX(Services!$C$2:$C$120,MATCH($B354,Services!$D$2:$D$120,0)),""))</f>
        <v/>
      </c>
      <c r="F354" s="19"/>
      <c r="G354" s="9" t="str">
        <f aca="false">IF(OR($B354="",NOT(ISNUMBER($E354))),"",$E354-IF($F354="",0,$F354))</f>
        <v/>
      </c>
      <c r="H354" s="15" t="str">
        <f aca="false">IF($B354="","",IFERROR(INDEX(Services!$A$2:$A$120,MATCH($B354,Services!$D$2:$D$120,0)),""))</f>
        <v/>
      </c>
      <c r="I354" s="19"/>
      <c r="J354" s="15" t="str">
        <f aca="false">IF($B354="","",IFERROR(INDEX(Services!$E$2:$E$120,MATCH($B354,Services!$D$2:$D$120,0)),""))</f>
        <v/>
      </c>
    </row>
    <row r="355" customFormat="false" ht="14.25" hidden="false" customHeight="false" outlineLevel="0" collapsed="false">
      <c r="A355" s="18"/>
      <c r="B355" s="6"/>
      <c r="C355" s="6"/>
      <c r="D355" s="6"/>
      <c r="E355" s="16" t="str">
        <f aca="false">IF($B355="","",IFERROR(INDEX(Services!$C$2:$C$120,MATCH($B355,Services!$D$2:$D$120,0)),""))</f>
        <v/>
      </c>
      <c r="F355" s="19"/>
      <c r="G355" s="9" t="str">
        <f aca="false">IF(OR($B355="",NOT(ISNUMBER($E355))),"",$E355-IF($F355="",0,$F355))</f>
        <v/>
      </c>
      <c r="H355" s="15" t="str">
        <f aca="false">IF($B355="","",IFERROR(INDEX(Services!$A$2:$A$120,MATCH($B355,Services!$D$2:$D$120,0)),""))</f>
        <v/>
      </c>
      <c r="I355" s="19"/>
      <c r="J355" s="15" t="str">
        <f aca="false">IF($B355="","",IFERROR(INDEX(Services!$E$2:$E$120,MATCH($B355,Services!$D$2:$D$120,0)),""))</f>
        <v/>
      </c>
    </row>
    <row r="356" customFormat="false" ht="14.25" hidden="false" customHeight="false" outlineLevel="0" collapsed="false">
      <c r="A356" s="18"/>
      <c r="B356" s="6"/>
      <c r="C356" s="6"/>
      <c r="D356" s="6"/>
      <c r="E356" s="16" t="str">
        <f aca="false">IF($B356="","",IFERROR(INDEX(Services!$C$2:$C$120,MATCH($B356,Services!$D$2:$D$120,0)),""))</f>
        <v/>
      </c>
      <c r="F356" s="19"/>
      <c r="G356" s="9" t="str">
        <f aca="false">IF(OR($B356="",NOT(ISNUMBER($E356))),"",$E356-IF($F356="",0,$F356))</f>
        <v/>
      </c>
      <c r="H356" s="15" t="str">
        <f aca="false">IF($B356="","",IFERROR(INDEX(Services!$A$2:$A$120,MATCH($B356,Services!$D$2:$D$120,0)),""))</f>
        <v/>
      </c>
      <c r="I356" s="19"/>
      <c r="J356" s="15" t="str">
        <f aca="false">IF($B356="","",IFERROR(INDEX(Services!$E$2:$E$120,MATCH($B356,Services!$D$2:$D$120,0)),""))</f>
        <v/>
      </c>
    </row>
    <row r="357" customFormat="false" ht="14.25" hidden="false" customHeight="false" outlineLevel="0" collapsed="false">
      <c r="A357" s="18"/>
      <c r="B357" s="6"/>
      <c r="C357" s="6"/>
      <c r="D357" s="6"/>
      <c r="E357" s="16" t="str">
        <f aca="false">IF($B357="","",IFERROR(INDEX(Services!$C$2:$C$120,MATCH($B357,Services!$D$2:$D$120,0)),""))</f>
        <v/>
      </c>
      <c r="F357" s="19"/>
      <c r="G357" s="9" t="str">
        <f aca="false">IF(OR($B357="",NOT(ISNUMBER($E357))),"",$E357-IF($F357="",0,$F357))</f>
        <v/>
      </c>
      <c r="H357" s="15" t="str">
        <f aca="false">IF($B357="","",IFERROR(INDEX(Services!$A$2:$A$120,MATCH($B357,Services!$D$2:$D$120,0)),""))</f>
        <v/>
      </c>
      <c r="I357" s="19"/>
      <c r="J357" s="15" t="str">
        <f aca="false">IF($B357="","",IFERROR(INDEX(Services!$E$2:$E$120,MATCH($B357,Services!$D$2:$D$120,0)),""))</f>
        <v/>
      </c>
    </row>
    <row r="358" customFormat="false" ht="14.25" hidden="false" customHeight="false" outlineLevel="0" collapsed="false">
      <c r="A358" s="18"/>
      <c r="B358" s="6"/>
      <c r="C358" s="6"/>
      <c r="D358" s="6"/>
      <c r="E358" s="16" t="str">
        <f aca="false">IF($B358="","",IFERROR(INDEX(Services!$C$2:$C$120,MATCH($B358,Services!$D$2:$D$120,0)),""))</f>
        <v/>
      </c>
      <c r="F358" s="19"/>
      <c r="G358" s="9" t="str">
        <f aca="false">IF(OR($B358="",NOT(ISNUMBER($E358))),"",$E358-IF($F358="",0,$F358))</f>
        <v/>
      </c>
      <c r="H358" s="15" t="str">
        <f aca="false">IF($B358="","",IFERROR(INDEX(Services!$A$2:$A$120,MATCH($B358,Services!$D$2:$D$120,0)),""))</f>
        <v/>
      </c>
      <c r="I358" s="19"/>
      <c r="J358" s="15" t="str">
        <f aca="false">IF($B358="","",IFERROR(INDEX(Services!$E$2:$E$120,MATCH($B358,Services!$D$2:$D$120,0)),""))</f>
        <v/>
      </c>
    </row>
    <row r="359" customFormat="false" ht="14.25" hidden="false" customHeight="false" outlineLevel="0" collapsed="false">
      <c r="A359" s="18"/>
      <c r="B359" s="6"/>
      <c r="C359" s="6"/>
      <c r="D359" s="6"/>
      <c r="E359" s="16" t="str">
        <f aca="false">IF($B359="","",IFERROR(INDEX(Services!$C$2:$C$120,MATCH($B359,Services!$D$2:$D$120,0)),""))</f>
        <v/>
      </c>
      <c r="F359" s="19"/>
      <c r="G359" s="9" t="str">
        <f aca="false">IF(OR($B359="",NOT(ISNUMBER($E359))),"",$E359-IF($F359="",0,$F359))</f>
        <v/>
      </c>
      <c r="H359" s="15" t="str">
        <f aca="false">IF($B359="","",IFERROR(INDEX(Services!$A$2:$A$120,MATCH($B359,Services!$D$2:$D$120,0)),""))</f>
        <v/>
      </c>
      <c r="I359" s="19"/>
      <c r="J359" s="15" t="str">
        <f aca="false">IF($B359="","",IFERROR(INDEX(Services!$E$2:$E$120,MATCH($B359,Services!$D$2:$D$120,0)),""))</f>
        <v/>
      </c>
    </row>
    <row r="360" customFormat="false" ht="14.25" hidden="false" customHeight="false" outlineLevel="0" collapsed="false">
      <c r="A360" s="18"/>
      <c r="B360" s="6"/>
      <c r="C360" s="6"/>
      <c r="D360" s="6"/>
      <c r="E360" s="16" t="str">
        <f aca="false">IF($B360="","",IFERROR(INDEX(Services!$C$2:$C$120,MATCH($B360,Services!$D$2:$D$120,0)),""))</f>
        <v/>
      </c>
      <c r="F360" s="19"/>
      <c r="G360" s="9" t="str">
        <f aca="false">IF(OR($B360="",NOT(ISNUMBER($E360))),"",$E360-IF($F360="",0,$F360))</f>
        <v/>
      </c>
      <c r="H360" s="15" t="str">
        <f aca="false">IF($B360="","",IFERROR(INDEX(Services!$A$2:$A$120,MATCH($B360,Services!$D$2:$D$120,0)),""))</f>
        <v/>
      </c>
      <c r="I360" s="19"/>
      <c r="J360" s="15" t="str">
        <f aca="false">IF($B360="","",IFERROR(INDEX(Services!$E$2:$E$120,MATCH($B360,Services!$D$2:$D$120,0)),""))</f>
        <v/>
      </c>
    </row>
    <row r="361" customFormat="false" ht="14.25" hidden="false" customHeight="false" outlineLevel="0" collapsed="false">
      <c r="A361" s="18"/>
      <c r="B361" s="6"/>
      <c r="C361" s="6"/>
      <c r="D361" s="6"/>
      <c r="E361" s="16" t="str">
        <f aca="false">IF($B361="","",IFERROR(INDEX(Services!$C$2:$C$120,MATCH($B361,Services!$D$2:$D$120,0)),""))</f>
        <v/>
      </c>
      <c r="F361" s="19"/>
      <c r="G361" s="9" t="str">
        <f aca="false">IF(OR($B361="",NOT(ISNUMBER($E361))),"",$E361-IF($F361="",0,$F361))</f>
        <v/>
      </c>
      <c r="H361" s="15" t="str">
        <f aca="false">IF($B361="","",IFERROR(INDEX(Services!$A$2:$A$120,MATCH($B361,Services!$D$2:$D$120,0)),""))</f>
        <v/>
      </c>
      <c r="I361" s="19"/>
      <c r="J361" s="15" t="str">
        <f aca="false">IF($B361="","",IFERROR(INDEX(Services!$E$2:$E$120,MATCH($B361,Services!$D$2:$D$120,0)),""))</f>
        <v/>
      </c>
    </row>
    <row r="362" customFormat="false" ht="14.25" hidden="false" customHeight="false" outlineLevel="0" collapsed="false">
      <c r="A362" s="18"/>
      <c r="B362" s="6"/>
      <c r="C362" s="6"/>
      <c r="D362" s="6"/>
      <c r="E362" s="16" t="str">
        <f aca="false">IF($B362="","",IFERROR(INDEX(Services!$C$2:$C$120,MATCH($B362,Services!$D$2:$D$120,0)),""))</f>
        <v/>
      </c>
      <c r="F362" s="19"/>
      <c r="G362" s="9" t="str">
        <f aca="false">IF(OR($B362="",NOT(ISNUMBER($E362))),"",$E362-IF($F362="",0,$F362))</f>
        <v/>
      </c>
      <c r="H362" s="15" t="str">
        <f aca="false">IF($B362="","",IFERROR(INDEX(Services!$A$2:$A$120,MATCH($B362,Services!$D$2:$D$120,0)),""))</f>
        <v/>
      </c>
      <c r="I362" s="19"/>
      <c r="J362" s="15" t="str">
        <f aca="false">IF($B362="","",IFERROR(INDEX(Services!$E$2:$E$120,MATCH($B362,Services!$D$2:$D$120,0)),""))</f>
        <v/>
      </c>
    </row>
    <row r="363" customFormat="false" ht="14.25" hidden="false" customHeight="false" outlineLevel="0" collapsed="false">
      <c r="A363" s="18"/>
      <c r="B363" s="6"/>
      <c r="C363" s="6"/>
      <c r="D363" s="6"/>
      <c r="E363" s="16" t="str">
        <f aca="false">IF($B363="","",IFERROR(INDEX(Services!$C$2:$C$120,MATCH($B363,Services!$D$2:$D$120,0)),""))</f>
        <v/>
      </c>
      <c r="F363" s="19"/>
      <c r="G363" s="9" t="str">
        <f aca="false">IF(OR($B363="",NOT(ISNUMBER($E363))),"",$E363-IF($F363="",0,$F363))</f>
        <v/>
      </c>
      <c r="H363" s="15" t="str">
        <f aca="false">IF($B363="","",IFERROR(INDEX(Services!$A$2:$A$120,MATCH($B363,Services!$D$2:$D$120,0)),""))</f>
        <v/>
      </c>
      <c r="I363" s="19"/>
      <c r="J363" s="15" t="str">
        <f aca="false">IF($B363="","",IFERROR(INDEX(Services!$E$2:$E$120,MATCH($B363,Services!$D$2:$D$120,0)),""))</f>
        <v/>
      </c>
    </row>
    <row r="364" customFormat="false" ht="14.25" hidden="false" customHeight="false" outlineLevel="0" collapsed="false">
      <c r="A364" s="18"/>
      <c r="B364" s="6"/>
      <c r="C364" s="6"/>
      <c r="D364" s="6"/>
      <c r="E364" s="16" t="str">
        <f aca="false">IF($B364="","",IFERROR(INDEX(Services!$C$2:$C$120,MATCH($B364,Services!$D$2:$D$120,0)),""))</f>
        <v/>
      </c>
      <c r="F364" s="19"/>
      <c r="G364" s="9" t="str">
        <f aca="false">IF(OR($B364="",NOT(ISNUMBER($E364))),"",$E364-IF($F364="",0,$F364))</f>
        <v/>
      </c>
      <c r="H364" s="15" t="str">
        <f aca="false">IF($B364="","",IFERROR(INDEX(Services!$A$2:$A$120,MATCH($B364,Services!$D$2:$D$120,0)),""))</f>
        <v/>
      </c>
      <c r="I364" s="19"/>
      <c r="J364" s="15" t="str">
        <f aca="false">IF($B364="","",IFERROR(INDEX(Services!$E$2:$E$120,MATCH($B364,Services!$D$2:$D$120,0)),""))</f>
        <v/>
      </c>
    </row>
    <row r="365" customFormat="false" ht="14.25" hidden="false" customHeight="false" outlineLevel="0" collapsed="false">
      <c r="A365" s="18"/>
      <c r="B365" s="6"/>
      <c r="C365" s="6"/>
      <c r="D365" s="6"/>
      <c r="E365" s="16" t="str">
        <f aca="false">IF($B365="","",IFERROR(INDEX(Services!$C$2:$C$120,MATCH($B365,Services!$D$2:$D$120,0)),""))</f>
        <v/>
      </c>
      <c r="F365" s="19"/>
      <c r="G365" s="9" t="str">
        <f aca="false">IF(OR($B365="",NOT(ISNUMBER($E365))),"",$E365-IF($F365="",0,$F365))</f>
        <v/>
      </c>
      <c r="H365" s="15" t="str">
        <f aca="false">IF($B365="","",IFERROR(INDEX(Services!$A$2:$A$120,MATCH($B365,Services!$D$2:$D$120,0)),""))</f>
        <v/>
      </c>
      <c r="I365" s="19"/>
      <c r="J365" s="15" t="str">
        <f aca="false">IF($B365="","",IFERROR(INDEX(Services!$E$2:$E$120,MATCH($B365,Services!$D$2:$D$120,0)),""))</f>
        <v/>
      </c>
    </row>
    <row r="366" customFormat="false" ht="14.25" hidden="false" customHeight="false" outlineLevel="0" collapsed="false">
      <c r="A366" s="18"/>
      <c r="B366" s="6"/>
      <c r="C366" s="6"/>
      <c r="D366" s="6"/>
      <c r="E366" s="16" t="str">
        <f aca="false">IF($B366="","",IFERROR(INDEX(Services!$C$2:$C$120,MATCH($B366,Services!$D$2:$D$120,0)),""))</f>
        <v/>
      </c>
      <c r="F366" s="19"/>
      <c r="G366" s="9" t="str">
        <f aca="false">IF(OR($B366="",NOT(ISNUMBER($E366))),"",$E366-IF($F366="",0,$F366))</f>
        <v/>
      </c>
      <c r="H366" s="15" t="str">
        <f aca="false">IF($B366="","",IFERROR(INDEX(Services!$A$2:$A$120,MATCH($B366,Services!$D$2:$D$120,0)),""))</f>
        <v/>
      </c>
      <c r="I366" s="19"/>
      <c r="J366" s="15" t="str">
        <f aca="false">IF($B366="","",IFERROR(INDEX(Services!$E$2:$E$120,MATCH($B366,Services!$D$2:$D$120,0)),""))</f>
        <v/>
      </c>
    </row>
    <row r="367" customFormat="false" ht="14.25" hidden="false" customHeight="false" outlineLevel="0" collapsed="false">
      <c r="A367" s="18"/>
      <c r="B367" s="6"/>
      <c r="C367" s="6"/>
      <c r="D367" s="6"/>
      <c r="E367" s="16" t="str">
        <f aca="false">IF($B367="","",IFERROR(INDEX(Services!$C$2:$C$120,MATCH($B367,Services!$D$2:$D$120,0)),""))</f>
        <v/>
      </c>
      <c r="F367" s="19"/>
      <c r="G367" s="9" t="str">
        <f aca="false">IF(OR($B367="",NOT(ISNUMBER($E367))),"",$E367-IF($F367="",0,$F367))</f>
        <v/>
      </c>
      <c r="H367" s="15" t="str">
        <f aca="false">IF($B367="","",IFERROR(INDEX(Services!$A$2:$A$120,MATCH($B367,Services!$D$2:$D$120,0)),""))</f>
        <v/>
      </c>
      <c r="I367" s="19"/>
      <c r="J367" s="15" t="str">
        <f aca="false">IF($B367="","",IFERROR(INDEX(Services!$E$2:$E$120,MATCH($B367,Services!$D$2:$D$120,0)),""))</f>
        <v/>
      </c>
    </row>
    <row r="368" customFormat="false" ht="14.25" hidden="false" customHeight="false" outlineLevel="0" collapsed="false">
      <c r="A368" s="18"/>
      <c r="B368" s="6"/>
      <c r="C368" s="6"/>
      <c r="D368" s="6"/>
      <c r="E368" s="16" t="str">
        <f aca="false">IF($B368="","",IFERROR(INDEX(Services!$C$2:$C$120,MATCH($B368,Services!$D$2:$D$120,0)),""))</f>
        <v/>
      </c>
      <c r="F368" s="19"/>
      <c r="G368" s="9" t="str">
        <f aca="false">IF(OR($B368="",NOT(ISNUMBER($E368))),"",$E368-IF($F368="",0,$F368))</f>
        <v/>
      </c>
      <c r="H368" s="15" t="str">
        <f aca="false">IF($B368="","",IFERROR(INDEX(Services!$A$2:$A$120,MATCH($B368,Services!$D$2:$D$120,0)),""))</f>
        <v/>
      </c>
      <c r="I368" s="19"/>
      <c r="J368" s="15" t="str">
        <f aca="false">IF($B368="","",IFERROR(INDEX(Services!$E$2:$E$120,MATCH($B368,Services!$D$2:$D$120,0)),""))</f>
        <v/>
      </c>
    </row>
    <row r="369" customFormat="false" ht="14.25" hidden="false" customHeight="false" outlineLevel="0" collapsed="false">
      <c r="A369" s="18"/>
      <c r="B369" s="6"/>
      <c r="C369" s="6"/>
      <c r="D369" s="6"/>
      <c r="E369" s="16" t="str">
        <f aca="false">IF($B369="","",IFERROR(INDEX(Services!$C$2:$C$120,MATCH($B369,Services!$D$2:$D$120,0)),""))</f>
        <v/>
      </c>
      <c r="F369" s="19"/>
      <c r="G369" s="9" t="str">
        <f aca="false">IF(OR($B369="",NOT(ISNUMBER($E369))),"",$E369-IF($F369="",0,$F369))</f>
        <v/>
      </c>
      <c r="H369" s="15" t="str">
        <f aca="false">IF($B369="","",IFERROR(INDEX(Services!$A$2:$A$120,MATCH($B369,Services!$D$2:$D$120,0)),""))</f>
        <v/>
      </c>
      <c r="I369" s="19"/>
      <c r="J369" s="15" t="str">
        <f aca="false">IF($B369="","",IFERROR(INDEX(Services!$E$2:$E$120,MATCH($B369,Services!$D$2:$D$120,0)),""))</f>
        <v/>
      </c>
    </row>
    <row r="370" customFormat="false" ht="14.25" hidden="false" customHeight="false" outlineLevel="0" collapsed="false">
      <c r="A370" s="18"/>
      <c r="B370" s="6"/>
      <c r="C370" s="6"/>
      <c r="D370" s="6"/>
      <c r="E370" s="16" t="str">
        <f aca="false">IF($B370="","",IFERROR(INDEX(Services!$C$2:$C$120,MATCH($B370,Services!$D$2:$D$120,0)),""))</f>
        <v/>
      </c>
      <c r="F370" s="19"/>
      <c r="G370" s="9" t="str">
        <f aca="false">IF(OR($B370="",NOT(ISNUMBER($E370))),"",$E370-IF($F370="",0,$F370))</f>
        <v/>
      </c>
      <c r="H370" s="15" t="str">
        <f aca="false">IF($B370="","",IFERROR(INDEX(Services!$A$2:$A$120,MATCH($B370,Services!$D$2:$D$120,0)),""))</f>
        <v/>
      </c>
      <c r="I370" s="19"/>
      <c r="J370" s="15" t="str">
        <f aca="false">IF($B370="","",IFERROR(INDEX(Services!$E$2:$E$120,MATCH($B370,Services!$D$2:$D$120,0)),""))</f>
        <v/>
      </c>
    </row>
    <row r="371" customFormat="false" ht="14.25" hidden="false" customHeight="false" outlineLevel="0" collapsed="false">
      <c r="A371" s="18"/>
      <c r="B371" s="6"/>
      <c r="C371" s="6"/>
      <c r="D371" s="6"/>
      <c r="E371" s="16" t="str">
        <f aca="false">IF($B371="","",IFERROR(INDEX(Services!$C$2:$C$120,MATCH($B371,Services!$D$2:$D$120,0)),""))</f>
        <v/>
      </c>
      <c r="F371" s="19"/>
      <c r="G371" s="9" t="str">
        <f aca="false">IF(OR($B371="",NOT(ISNUMBER($E371))),"",$E371-IF($F371="",0,$F371))</f>
        <v/>
      </c>
      <c r="H371" s="15" t="str">
        <f aca="false">IF($B371="","",IFERROR(INDEX(Services!$A$2:$A$120,MATCH($B371,Services!$D$2:$D$120,0)),""))</f>
        <v/>
      </c>
      <c r="I371" s="19"/>
      <c r="J371" s="15" t="str">
        <f aca="false">IF($B371="","",IFERROR(INDEX(Services!$E$2:$E$120,MATCH($B371,Services!$D$2:$D$120,0)),""))</f>
        <v/>
      </c>
    </row>
    <row r="372" customFormat="false" ht="14.25" hidden="false" customHeight="false" outlineLevel="0" collapsed="false">
      <c r="A372" s="18"/>
      <c r="B372" s="6"/>
      <c r="C372" s="6"/>
      <c r="D372" s="6"/>
      <c r="E372" s="16" t="str">
        <f aca="false">IF($B372="","",IFERROR(INDEX(Services!$C$2:$C$120,MATCH($B372,Services!$D$2:$D$120,0)),""))</f>
        <v/>
      </c>
      <c r="F372" s="19"/>
      <c r="G372" s="9" t="str">
        <f aca="false">IF(OR($B372="",NOT(ISNUMBER($E372))),"",$E372-IF($F372="",0,$F372))</f>
        <v/>
      </c>
      <c r="H372" s="15" t="str">
        <f aca="false">IF($B372="","",IFERROR(INDEX(Services!$A$2:$A$120,MATCH($B372,Services!$D$2:$D$120,0)),""))</f>
        <v/>
      </c>
      <c r="I372" s="19"/>
      <c r="J372" s="15" t="str">
        <f aca="false">IF($B372="","",IFERROR(INDEX(Services!$E$2:$E$120,MATCH($B372,Services!$D$2:$D$120,0)),""))</f>
        <v/>
      </c>
    </row>
    <row r="373" customFormat="false" ht="14.25" hidden="false" customHeight="false" outlineLevel="0" collapsed="false">
      <c r="A373" s="18"/>
      <c r="B373" s="6"/>
      <c r="C373" s="6"/>
      <c r="D373" s="6"/>
      <c r="E373" s="16" t="str">
        <f aca="false">IF($B373="","",IFERROR(INDEX(Services!$C$2:$C$120,MATCH($B373,Services!$D$2:$D$120,0)),""))</f>
        <v/>
      </c>
      <c r="F373" s="19"/>
      <c r="G373" s="9" t="str">
        <f aca="false">IF(OR($B373="",NOT(ISNUMBER($E373))),"",$E373-IF($F373="",0,$F373))</f>
        <v/>
      </c>
      <c r="H373" s="15" t="str">
        <f aca="false">IF($B373="","",IFERROR(INDEX(Services!$A$2:$A$120,MATCH($B373,Services!$D$2:$D$120,0)),""))</f>
        <v/>
      </c>
      <c r="I373" s="19"/>
      <c r="J373" s="15" t="str">
        <f aca="false">IF($B373="","",IFERROR(INDEX(Services!$E$2:$E$120,MATCH($B373,Services!$D$2:$D$120,0)),""))</f>
        <v/>
      </c>
    </row>
    <row r="374" customFormat="false" ht="14.25" hidden="false" customHeight="false" outlineLevel="0" collapsed="false">
      <c r="A374" s="18"/>
      <c r="B374" s="6"/>
      <c r="C374" s="6"/>
      <c r="D374" s="6"/>
      <c r="E374" s="16" t="str">
        <f aca="false">IF($B374="","",IFERROR(INDEX(Services!$C$2:$C$120,MATCH($B374,Services!$D$2:$D$120,0)),""))</f>
        <v/>
      </c>
      <c r="F374" s="19"/>
      <c r="G374" s="9" t="str">
        <f aca="false">IF(OR($B374="",NOT(ISNUMBER($E374))),"",$E374-IF($F374="",0,$F374))</f>
        <v/>
      </c>
      <c r="H374" s="15" t="str">
        <f aca="false">IF($B374="","",IFERROR(INDEX(Services!$A$2:$A$120,MATCH($B374,Services!$D$2:$D$120,0)),""))</f>
        <v/>
      </c>
      <c r="I374" s="19"/>
      <c r="J374" s="15" t="str">
        <f aca="false">IF($B374="","",IFERROR(INDEX(Services!$E$2:$E$120,MATCH($B374,Services!$D$2:$D$120,0)),""))</f>
        <v/>
      </c>
    </row>
    <row r="375" customFormat="false" ht="14.25" hidden="false" customHeight="false" outlineLevel="0" collapsed="false">
      <c r="A375" s="18"/>
      <c r="B375" s="6"/>
      <c r="C375" s="6"/>
      <c r="D375" s="6"/>
      <c r="E375" s="16" t="str">
        <f aca="false">IF($B375="","",IFERROR(INDEX(Services!$C$2:$C$120,MATCH($B375,Services!$D$2:$D$120,0)),""))</f>
        <v/>
      </c>
      <c r="F375" s="19"/>
      <c r="G375" s="9" t="str">
        <f aca="false">IF(OR($B375="",NOT(ISNUMBER($E375))),"",$E375-IF($F375="",0,$F375))</f>
        <v/>
      </c>
      <c r="H375" s="15" t="str">
        <f aca="false">IF($B375="","",IFERROR(INDEX(Services!$A$2:$A$120,MATCH($B375,Services!$D$2:$D$120,0)),""))</f>
        <v/>
      </c>
      <c r="I375" s="19"/>
      <c r="J375" s="15" t="str">
        <f aca="false">IF($B375="","",IFERROR(INDEX(Services!$E$2:$E$120,MATCH($B375,Services!$D$2:$D$120,0)),""))</f>
        <v/>
      </c>
    </row>
    <row r="376" customFormat="false" ht="14.25" hidden="false" customHeight="false" outlineLevel="0" collapsed="false">
      <c r="A376" s="18"/>
      <c r="B376" s="6"/>
      <c r="C376" s="6"/>
      <c r="D376" s="6"/>
      <c r="E376" s="16" t="str">
        <f aca="false">IF($B376="","",IFERROR(INDEX(Services!$C$2:$C$120,MATCH($B376,Services!$D$2:$D$120,0)),""))</f>
        <v/>
      </c>
      <c r="F376" s="19"/>
      <c r="G376" s="9" t="str">
        <f aca="false">IF(OR($B376="",NOT(ISNUMBER($E376))),"",$E376-IF($F376="",0,$F376))</f>
        <v/>
      </c>
      <c r="H376" s="15" t="str">
        <f aca="false">IF($B376="","",IFERROR(INDEX(Services!$A$2:$A$120,MATCH($B376,Services!$D$2:$D$120,0)),""))</f>
        <v/>
      </c>
      <c r="I376" s="19"/>
      <c r="J376" s="15" t="str">
        <f aca="false">IF($B376="","",IFERROR(INDEX(Services!$E$2:$E$120,MATCH($B376,Services!$D$2:$D$120,0)),""))</f>
        <v/>
      </c>
    </row>
    <row r="377" customFormat="false" ht="14.25" hidden="false" customHeight="false" outlineLevel="0" collapsed="false">
      <c r="A377" s="18"/>
      <c r="B377" s="6"/>
      <c r="C377" s="6"/>
      <c r="D377" s="6"/>
      <c r="E377" s="16" t="str">
        <f aca="false">IF($B377="","",IFERROR(INDEX(Services!$C$2:$C$120,MATCH($B377,Services!$D$2:$D$120,0)),""))</f>
        <v/>
      </c>
      <c r="F377" s="19"/>
      <c r="G377" s="9" t="str">
        <f aca="false">IF(OR($B377="",NOT(ISNUMBER($E377))),"",$E377-IF($F377="",0,$F377))</f>
        <v/>
      </c>
      <c r="H377" s="15" t="str">
        <f aca="false">IF($B377="","",IFERROR(INDEX(Services!$A$2:$A$120,MATCH($B377,Services!$D$2:$D$120,0)),""))</f>
        <v/>
      </c>
      <c r="I377" s="19"/>
      <c r="J377" s="15" t="str">
        <f aca="false">IF($B377="","",IFERROR(INDEX(Services!$E$2:$E$120,MATCH($B377,Services!$D$2:$D$120,0)),""))</f>
        <v/>
      </c>
    </row>
    <row r="378" customFormat="false" ht="14.25" hidden="false" customHeight="false" outlineLevel="0" collapsed="false">
      <c r="A378" s="18"/>
      <c r="B378" s="6"/>
      <c r="C378" s="6"/>
      <c r="D378" s="6"/>
      <c r="E378" s="16" t="str">
        <f aca="false">IF($B378="","",IFERROR(INDEX(Services!$C$2:$C$120,MATCH($B378,Services!$D$2:$D$120,0)),""))</f>
        <v/>
      </c>
      <c r="F378" s="19"/>
      <c r="G378" s="9" t="str">
        <f aca="false">IF(OR($B378="",NOT(ISNUMBER($E378))),"",$E378-IF($F378="",0,$F378))</f>
        <v/>
      </c>
      <c r="H378" s="15" t="str">
        <f aca="false">IF($B378="","",IFERROR(INDEX(Services!$A$2:$A$120,MATCH($B378,Services!$D$2:$D$120,0)),""))</f>
        <v/>
      </c>
      <c r="I378" s="19"/>
      <c r="J378" s="15" t="str">
        <f aca="false">IF($B378="","",IFERROR(INDEX(Services!$E$2:$E$120,MATCH($B378,Services!$D$2:$D$120,0)),""))</f>
        <v/>
      </c>
    </row>
    <row r="379" customFormat="false" ht="14.25" hidden="false" customHeight="false" outlineLevel="0" collapsed="false">
      <c r="A379" s="18"/>
      <c r="B379" s="6"/>
      <c r="C379" s="6"/>
      <c r="D379" s="6"/>
      <c r="E379" s="16" t="str">
        <f aca="false">IF($B379="","",IFERROR(INDEX(Services!$C$2:$C$120,MATCH($B379,Services!$D$2:$D$120,0)),""))</f>
        <v/>
      </c>
      <c r="F379" s="19"/>
      <c r="G379" s="9" t="str">
        <f aca="false">IF(OR($B379="",NOT(ISNUMBER($E379))),"",$E379-IF($F379="",0,$F379))</f>
        <v/>
      </c>
      <c r="H379" s="15" t="str">
        <f aca="false">IF($B379="","",IFERROR(INDEX(Services!$A$2:$A$120,MATCH($B379,Services!$D$2:$D$120,0)),""))</f>
        <v/>
      </c>
      <c r="I379" s="19"/>
      <c r="J379" s="15" t="str">
        <f aca="false">IF($B379="","",IFERROR(INDEX(Services!$E$2:$E$120,MATCH($B379,Services!$D$2:$D$120,0)),""))</f>
        <v/>
      </c>
    </row>
    <row r="380" customFormat="false" ht="14.25" hidden="false" customHeight="false" outlineLevel="0" collapsed="false">
      <c r="A380" s="18"/>
      <c r="B380" s="6"/>
      <c r="C380" s="6"/>
      <c r="D380" s="6"/>
      <c r="E380" s="16" t="str">
        <f aca="false">IF($B380="","",IFERROR(INDEX(Services!$C$2:$C$120,MATCH($B380,Services!$D$2:$D$120,0)),""))</f>
        <v/>
      </c>
      <c r="F380" s="19"/>
      <c r="G380" s="9" t="str">
        <f aca="false">IF(OR($B380="",NOT(ISNUMBER($E380))),"",$E380-IF($F380="",0,$F380))</f>
        <v/>
      </c>
      <c r="H380" s="15" t="str">
        <f aca="false">IF($B380="","",IFERROR(INDEX(Services!$A$2:$A$120,MATCH($B380,Services!$D$2:$D$120,0)),""))</f>
        <v/>
      </c>
      <c r="I380" s="19"/>
      <c r="J380" s="15" t="str">
        <f aca="false">IF($B380="","",IFERROR(INDEX(Services!$E$2:$E$120,MATCH($B380,Services!$D$2:$D$120,0)),""))</f>
        <v/>
      </c>
    </row>
    <row r="381" customFormat="false" ht="14.25" hidden="false" customHeight="false" outlineLevel="0" collapsed="false">
      <c r="A381" s="18"/>
      <c r="B381" s="6"/>
      <c r="C381" s="6"/>
      <c r="D381" s="6"/>
      <c r="E381" s="16" t="str">
        <f aca="false">IF($B381="","",IFERROR(INDEX(Services!$C$2:$C$120,MATCH($B381,Services!$D$2:$D$120,0)),""))</f>
        <v/>
      </c>
      <c r="F381" s="19"/>
      <c r="G381" s="9" t="str">
        <f aca="false">IF(OR($B381="",NOT(ISNUMBER($E381))),"",$E381-IF($F381="",0,$F381))</f>
        <v/>
      </c>
      <c r="H381" s="15" t="str">
        <f aca="false">IF($B381="","",IFERROR(INDEX(Services!$A$2:$A$120,MATCH($B381,Services!$D$2:$D$120,0)),""))</f>
        <v/>
      </c>
      <c r="I381" s="19"/>
      <c r="J381" s="15" t="str">
        <f aca="false">IF($B381="","",IFERROR(INDEX(Services!$E$2:$E$120,MATCH($B381,Services!$D$2:$D$120,0)),""))</f>
        <v/>
      </c>
    </row>
    <row r="382" customFormat="false" ht="14.25" hidden="false" customHeight="false" outlineLevel="0" collapsed="false">
      <c r="A382" s="18"/>
      <c r="B382" s="6"/>
      <c r="C382" s="6"/>
      <c r="D382" s="6"/>
      <c r="E382" s="16" t="str">
        <f aca="false">IF($B382="","",IFERROR(INDEX(Services!$C$2:$C$120,MATCH($B382,Services!$D$2:$D$120,0)),""))</f>
        <v/>
      </c>
      <c r="F382" s="19"/>
      <c r="G382" s="9" t="str">
        <f aca="false">IF(OR($B382="",NOT(ISNUMBER($E382))),"",$E382-IF($F382="",0,$F382))</f>
        <v/>
      </c>
      <c r="H382" s="15" t="str">
        <f aca="false">IF($B382="","",IFERROR(INDEX(Services!$A$2:$A$120,MATCH($B382,Services!$D$2:$D$120,0)),""))</f>
        <v/>
      </c>
      <c r="I382" s="19"/>
      <c r="J382" s="15" t="str">
        <f aca="false">IF($B382="","",IFERROR(INDEX(Services!$E$2:$E$120,MATCH($B382,Services!$D$2:$D$120,0)),""))</f>
        <v/>
      </c>
    </row>
    <row r="383" customFormat="false" ht="14.25" hidden="false" customHeight="false" outlineLevel="0" collapsed="false">
      <c r="A383" s="18"/>
      <c r="B383" s="6"/>
      <c r="C383" s="6"/>
      <c r="D383" s="6"/>
      <c r="E383" s="16" t="str">
        <f aca="false">IF($B383="","",IFERROR(INDEX(Services!$C$2:$C$120,MATCH($B383,Services!$D$2:$D$120,0)),""))</f>
        <v/>
      </c>
      <c r="F383" s="19"/>
      <c r="G383" s="9" t="str">
        <f aca="false">IF(OR($B383="",NOT(ISNUMBER($E383))),"",$E383-IF($F383="",0,$F383))</f>
        <v/>
      </c>
      <c r="H383" s="15" t="str">
        <f aca="false">IF($B383="","",IFERROR(INDEX(Services!$A$2:$A$120,MATCH($B383,Services!$D$2:$D$120,0)),""))</f>
        <v/>
      </c>
      <c r="I383" s="19"/>
      <c r="J383" s="15" t="str">
        <f aca="false">IF($B383="","",IFERROR(INDEX(Services!$E$2:$E$120,MATCH($B383,Services!$D$2:$D$120,0)),""))</f>
        <v/>
      </c>
    </row>
    <row r="384" customFormat="false" ht="14.25" hidden="false" customHeight="false" outlineLevel="0" collapsed="false">
      <c r="A384" s="18"/>
      <c r="B384" s="6"/>
      <c r="C384" s="6"/>
      <c r="D384" s="6"/>
      <c r="E384" s="16" t="str">
        <f aca="false">IF($B384="","",IFERROR(INDEX(Services!$C$2:$C$120,MATCH($B384,Services!$D$2:$D$120,0)),""))</f>
        <v/>
      </c>
      <c r="F384" s="19"/>
      <c r="G384" s="9" t="str">
        <f aca="false">IF(OR($B384="",NOT(ISNUMBER($E384))),"",$E384-IF($F384="",0,$F384))</f>
        <v/>
      </c>
      <c r="H384" s="15" t="str">
        <f aca="false">IF($B384="","",IFERROR(INDEX(Services!$A$2:$A$120,MATCH($B384,Services!$D$2:$D$120,0)),""))</f>
        <v/>
      </c>
      <c r="I384" s="19"/>
      <c r="J384" s="15" t="str">
        <f aca="false">IF($B384="","",IFERROR(INDEX(Services!$E$2:$E$120,MATCH($B384,Services!$D$2:$D$120,0)),""))</f>
        <v/>
      </c>
    </row>
    <row r="385" customFormat="false" ht="14.25" hidden="false" customHeight="false" outlineLevel="0" collapsed="false">
      <c r="A385" s="18"/>
      <c r="B385" s="6"/>
      <c r="C385" s="6"/>
      <c r="D385" s="6"/>
      <c r="E385" s="16" t="str">
        <f aca="false">IF($B385="","",IFERROR(INDEX(Services!$C$2:$C$120,MATCH($B385,Services!$D$2:$D$120,0)),""))</f>
        <v/>
      </c>
      <c r="F385" s="19"/>
      <c r="G385" s="9" t="str">
        <f aca="false">IF(OR($B385="",NOT(ISNUMBER($E385))),"",$E385-IF($F385="",0,$F385))</f>
        <v/>
      </c>
      <c r="H385" s="15" t="str">
        <f aca="false">IF($B385="","",IFERROR(INDEX(Services!$A$2:$A$120,MATCH($B385,Services!$D$2:$D$120,0)),""))</f>
        <v/>
      </c>
      <c r="I385" s="19"/>
      <c r="J385" s="15" t="str">
        <f aca="false">IF($B385="","",IFERROR(INDEX(Services!$E$2:$E$120,MATCH($B385,Services!$D$2:$D$120,0)),""))</f>
        <v/>
      </c>
    </row>
    <row r="386" customFormat="false" ht="14.25" hidden="false" customHeight="false" outlineLevel="0" collapsed="false">
      <c r="A386" s="18"/>
      <c r="B386" s="6"/>
      <c r="C386" s="6"/>
      <c r="D386" s="6"/>
      <c r="E386" s="16" t="str">
        <f aca="false">IF($B386="","",IFERROR(INDEX(Services!$C$2:$C$120,MATCH($B386,Services!$D$2:$D$120,0)),""))</f>
        <v/>
      </c>
      <c r="F386" s="19"/>
      <c r="G386" s="9" t="str">
        <f aca="false">IF(OR($B386="",NOT(ISNUMBER($E386))),"",$E386-IF($F386="",0,$F386))</f>
        <v/>
      </c>
      <c r="H386" s="15" t="str">
        <f aca="false">IF($B386="","",IFERROR(INDEX(Services!$A$2:$A$120,MATCH($B386,Services!$D$2:$D$120,0)),""))</f>
        <v/>
      </c>
      <c r="I386" s="19"/>
      <c r="J386" s="15" t="str">
        <f aca="false">IF($B386="","",IFERROR(INDEX(Services!$E$2:$E$120,MATCH($B386,Services!$D$2:$D$120,0)),""))</f>
        <v/>
      </c>
    </row>
    <row r="387" customFormat="false" ht="14.25" hidden="false" customHeight="false" outlineLevel="0" collapsed="false">
      <c r="A387" s="18"/>
      <c r="B387" s="6"/>
      <c r="C387" s="6"/>
      <c r="D387" s="6"/>
      <c r="E387" s="16" t="str">
        <f aca="false">IF($B387="","",IFERROR(INDEX(Services!$C$2:$C$120,MATCH($B387,Services!$D$2:$D$120,0)),""))</f>
        <v/>
      </c>
      <c r="F387" s="19"/>
      <c r="G387" s="9" t="str">
        <f aca="false">IF(OR($B387="",NOT(ISNUMBER($E387))),"",$E387-IF($F387="",0,$F387))</f>
        <v/>
      </c>
      <c r="H387" s="15" t="str">
        <f aca="false">IF($B387="","",IFERROR(INDEX(Services!$A$2:$A$120,MATCH($B387,Services!$D$2:$D$120,0)),""))</f>
        <v/>
      </c>
      <c r="I387" s="19"/>
      <c r="J387" s="15" t="str">
        <f aca="false">IF($B387="","",IFERROR(INDEX(Services!$E$2:$E$120,MATCH($B387,Services!$D$2:$D$120,0)),""))</f>
        <v/>
      </c>
    </row>
    <row r="388" customFormat="false" ht="14.25" hidden="false" customHeight="false" outlineLevel="0" collapsed="false">
      <c r="A388" s="18"/>
      <c r="B388" s="6"/>
      <c r="C388" s="6"/>
      <c r="D388" s="6"/>
      <c r="E388" s="16" t="str">
        <f aca="false">IF($B388="","",IFERROR(INDEX(Services!$C$2:$C$120,MATCH($B388,Services!$D$2:$D$120,0)),""))</f>
        <v/>
      </c>
      <c r="F388" s="19"/>
      <c r="G388" s="9" t="str">
        <f aca="false">IF(OR($B388="",NOT(ISNUMBER($E388))),"",$E388-IF($F388="",0,$F388))</f>
        <v/>
      </c>
      <c r="H388" s="15" t="str">
        <f aca="false">IF($B388="","",IFERROR(INDEX(Services!$A$2:$A$120,MATCH($B388,Services!$D$2:$D$120,0)),""))</f>
        <v/>
      </c>
      <c r="I388" s="19"/>
      <c r="J388" s="15" t="str">
        <f aca="false">IF($B388="","",IFERROR(INDEX(Services!$E$2:$E$120,MATCH($B388,Services!$D$2:$D$120,0)),""))</f>
        <v/>
      </c>
    </row>
    <row r="389" customFormat="false" ht="14.25" hidden="false" customHeight="false" outlineLevel="0" collapsed="false">
      <c r="A389" s="18"/>
      <c r="B389" s="6"/>
      <c r="C389" s="6"/>
      <c r="D389" s="6"/>
      <c r="E389" s="16" t="str">
        <f aca="false">IF($B389="","",IFERROR(INDEX(Services!$C$2:$C$120,MATCH($B389,Services!$D$2:$D$120,0)),""))</f>
        <v/>
      </c>
      <c r="F389" s="19"/>
      <c r="G389" s="9" t="str">
        <f aca="false">IF(OR($B389="",NOT(ISNUMBER($E389))),"",$E389-IF($F389="",0,$F389))</f>
        <v/>
      </c>
      <c r="H389" s="15" t="str">
        <f aca="false">IF($B389="","",IFERROR(INDEX(Services!$A$2:$A$120,MATCH($B389,Services!$D$2:$D$120,0)),""))</f>
        <v/>
      </c>
      <c r="I389" s="19"/>
      <c r="J389" s="15" t="str">
        <f aca="false">IF($B389="","",IFERROR(INDEX(Services!$E$2:$E$120,MATCH($B389,Services!$D$2:$D$120,0)),""))</f>
        <v/>
      </c>
    </row>
    <row r="390" customFormat="false" ht="14.25" hidden="false" customHeight="false" outlineLevel="0" collapsed="false">
      <c r="A390" s="18"/>
      <c r="B390" s="6"/>
      <c r="C390" s="6"/>
      <c r="D390" s="6"/>
      <c r="E390" s="16" t="str">
        <f aca="false">IF($B390="","",IFERROR(INDEX(Services!$C$2:$C$120,MATCH($B390,Services!$D$2:$D$120,0)),""))</f>
        <v/>
      </c>
      <c r="F390" s="19"/>
      <c r="G390" s="9" t="str">
        <f aca="false">IF(OR($B390="",NOT(ISNUMBER($E390))),"",$E390-IF($F390="",0,$F390))</f>
        <v/>
      </c>
      <c r="H390" s="15" t="str">
        <f aca="false">IF($B390="","",IFERROR(INDEX(Services!$A$2:$A$120,MATCH($B390,Services!$D$2:$D$120,0)),""))</f>
        <v/>
      </c>
      <c r="I390" s="19"/>
      <c r="J390" s="15" t="str">
        <f aca="false">IF($B390="","",IFERROR(INDEX(Services!$E$2:$E$120,MATCH($B390,Services!$D$2:$D$120,0)),""))</f>
        <v/>
      </c>
    </row>
    <row r="391" customFormat="false" ht="14.25" hidden="false" customHeight="false" outlineLevel="0" collapsed="false">
      <c r="A391" s="18"/>
      <c r="B391" s="6"/>
      <c r="C391" s="6"/>
      <c r="D391" s="6"/>
      <c r="E391" s="16" t="str">
        <f aca="false">IF($B391="","",IFERROR(INDEX(Services!$C$2:$C$120,MATCH($B391,Services!$D$2:$D$120,0)),""))</f>
        <v/>
      </c>
      <c r="F391" s="19"/>
      <c r="G391" s="9" t="str">
        <f aca="false">IF(OR($B391="",NOT(ISNUMBER($E391))),"",$E391-IF($F391="",0,$F391))</f>
        <v/>
      </c>
      <c r="H391" s="15" t="str">
        <f aca="false">IF($B391="","",IFERROR(INDEX(Services!$A$2:$A$120,MATCH($B391,Services!$D$2:$D$120,0)),""))</f>
        <v/>
      </c>
      <c r="I391" s="19"/>
      <c r="J391" s="15" t="str">
        <f aca="false">IF($B391="","",IFERROR(INDEX(Services!$E$2:$E$120,MATCH($B391,Services!$D$2:$D$120,0)),""))</f>
        <v/>
      </c>
    </row>
    <row r="392" customFormat="false" ht="14.25" hidden="false" customHeight="false" outlineLevel="0" collapsed="false">
      <c r="A392" s="18"/>
      <c r="B392" s="6"/>
      <c r="C392" s="6"/>
      <c r="D392" s="6"/>
      <c r="E392" s="16" t="str">
        <f aca="false">IF($B392="","",IFERROR(INDEX(Services!$C$2:$C$120,MATCH($B392,Services!$D$2:$D$120,0)),""))</f>
        <v/>
      </c>
      <c r="F392" s="19"/>
      <c r="G392" s="9" t="str">
        <f aca="false">IF(OR($B392="",NOT(ISNUMBER($E392))),"",$E392-IF($F392="",0,$F392))</f>
        <v/>
      </c>
      <c r="H392" s="15" t="str">
        <f aca="false">IF($B392="","",IFERROR(INDEX(Services!$A$2:$A$120,MATCH($B392,Services!$D$2:$D$120,0)),""))</f>
        <v/>
      </c>
      <c r="I392" s="19"/>
      <c r="J392" s="15" t="str">
        <f aca="false">IF($B392="","",IFERROR(INDEX(Services!$E$2:$E$120,MATCH($B392,Services!$D$2:$D$120,0)),""))</f>
        <v/>
      </c>
    </row>
    <row r="393" customFormat="false" ht="14.25" hidden="false" customHeight="false" outlineLevel="0" collapsed="false">
      <c r="A393" s="18"/>
      <c r="B393" s="6"/>
      <c r="C393" s="6"/>
      <c r="D393" s="6"/>
      <c r="E393" s="16" t="str">
        <f aca="false">IF($B393="","",IFERROR(INDEX(Services!$C$2:$C$120,MATCH($B393,Services!$D$2:$D$120,0)),""))</f>
        <v/>
      </c>
      <c r="F393" s="19"/>
      <c r="G393" s="9" t="str">
        <f aca="false">IF(OR($B393="",NOT(ISNUMBER($E393))),"",$E393-IF($F393="",0,$F393))</f>
        <v/>
      </c>
      <c r="H393" s="15" t="str">
        <f aca="false">IF($B393="","",IFERROR(INDEX(Services!$A$2:$A$120,MATCH($B393,Services!$D$2:$D$120,0)),""))</f>
        <v/>
      </c>
      <c r="I393" s="19"/>
      <c r="J393" s="15" t="str">
        <f aca="false">IF($B393="","",IFERROR(INDEX(Services!$E$2:$E$120,MATCH($B393,Services!$D$2:$D$120,0)),""))</f>
        <v/>
      </c>
    </row>
    <row r="394" customFormat="false" ht="14.25" hidden="false" customHeight="false" outlineLevel="0" collapsed="false">
      <c r="A394" s="18"/>
      <c r="B394" s="6"/>
      <c r="C394" s="6"/>
      <c r="D394" s="6"/>
      <c r="E394" s="16" t="str">
        <f aca="false">IF($B394="","",IFERROR(INDEX(Services!$C$2:$C$120,MATCH($B394,Services!$D$2:$D$120,0)),""))</f>
        <v/>
      </c>
      <c r="F394" s="19"/>
      <c r="G394" s="9" t="str">
        <f aca="false">IF(OR($B394="",NOT(ISNUMBER($E394))),"",$E394-IF($F394="",0,$F394))</f>
        <v/>
      </c>
      <c r="H394" s="15" t="str">
        <f aca="false">IF($B394="","",IFERROR(INDEX(Services!$A$2:$A$120,MATCH($B394,Services!$D$2:$D$120,0)),""))</f>
        <v/>
      </c>
      <c r="I394" s="19"/>
      <c r="J394" s="15" t="str">
        <f aca="false">IF($B394="","",IFERROR(INDEX(Services!$E$2:$E$120,MATCH($B394,Services!$D$2:$D$120,0)),""))</f>
        <v/>
      </c>
    </row>
    <row r="395" customFormat="false" ht="14.25" hidden="false" customHeight="false" outlineLevel="0" collapsed="false">
      <c r="A395" s="18"/>
      <c r="B395" s="6"/>
      <c r="C395" s="6"/>
      <c r="D395" s="6"/>
      <c r="E395" s="16" t="str">
        <f aca="false">IF($B395="","",IFERROR(INDEX(Services!$C$2:$C$120,MATCH($B395,Services!$D$2:$D$120,0)),""))</f>
        <v/>
      </c>
      <c r="F395" s="19"/>
      <c r="G395" s="9" t="str">
        <f aca="false">IF(OR($B395="",NOT(ISNUMBER($E395))),"",$E395-IF($F395="",0,$F395))</f>
        <v/>
      </c>
      <c r="H395" s="15" t="str">
        <f aca="false">IF($B395="","",IFERROR(INDEX(Services!$A$2:$A$120,MATCH($B395,Services!$D$2:$D$120,0)),""))</f>
        <v/>
      </c>
      <c r="I395" s="19"/>
      <c r="J395" s="15" t="str">
        <f aca="false">IF($B395="","",IFERROR(INDEX(Services!$E$2:$E$120,MATCH($B395,Services!$D$2:$D$120,0)),""))</f>
        <v/>
      </c>
    </row>
    <row r="396" customFormat="false" ht="14.25" hidden="false" customHeight="false" outlineLevel="0" collapsed="false">
      <c r="A396" s="18"/>
      <c r="B396" s="6"/>
      <c r="C396" s="6"/>
      <c r="D396" s="6"/>
      <c r="E396" s="16" t="str">
        <f aca="false">IF($B396="","",IFERROR(INDEX(Services!$C$2:$C$120,MATCH($B396,Services!$D$2:$D$120,0)),""))</f>
        <v/>
      </c>
      <c r="F396" s="19"/>
      <c r="G396" s="9" t="str">
        <f aca="false">IF(OR($B396="",NOT(ISNUMBER($E396))),"",$E396-IF($F396="",0,$F396))</f>
        <v/>
      </c>
      <c r="H396" s="15" t="str">
        <f aca="false">IF($B396="","",IFERROR(INDEX(Services!$A$2:$A$120,MATCH($B396,Services!$D$2:$D$120,0)),""))</f>
        <v/>
      </c>
      <c r="I396" s="19"/>
      <c r="J396" s="15" t="str">
        <f aca="false">IF($B396="","",IFERROR(INDEX(Services!$E$2:$E$120,MATCH($B396,Services!$D$2:$D$120,0)),""))</f>
        <v/>
      </c>
    </row>
    <row r="397" customFormat="false" ht="14.25" hidden="false" customHeight="false" outlineLevel="0" collapsed="false">
      <c r="A397" s="18"/>
      <c r="B397" s="6"/>
      <c r="C397" s="6"/>
      <c r="D397" s="6"/>
      <c r="E397" s="16" t="str">
        <f aca="false">IF($B397="","",IFERROR(INDEX(Services!$C$2:$C$120,MATCH($B397,Services!$D$2:$D$120,0)),""))</f>
        <v/>
      </c>
      <c r="F397" s="19"/>
      <c r="G397" s="9" t="str">
        <f aca="false">IF(OR($B397="",NOT(ISNUMBER($E397))),"",$E397-IF($F397="",0,$F397))</f>
        <v/>
      </c>
      <c r="H397" s="15" t="str">
        <f aca="false">IF($B397="","",IFERROR(INDEX(Services!$A$2:$A$120,MATCH($B397,Services!$D$2:$D$120,0)),""))</f>
        <v/>
      </c>
      <c r="I397" s="19"/>
      <c r="J397" s="15" t="str">
        <f aca="false">IF($B397="","",IFERROR(INDEX(Services!$E$2:$E$120,MATCH($B397,Services!$D$2:$D$120,0)),""))</f>
        <v/>
      </c>
    </row>
    <row r="398" customFormat="false" ht="14.25" hidden="false" customHeight="false" outlineLevel="0" collapsed="false">
      <c r="A398" s="18"/>
      <c r="B398" s="6"/>
      <c r="C398" s="6"/>
      <c r="D398" s="6"/>
      <c r="E398" s="16" t="str">
        <f aca="false">IF($B398="","",IFERROR(INDEX(Services!$C$2:$C$120,MATCH($B398,Services!$D$2:$D$120,0)),""))</f>
        <v/>
      </c>
      <c r="F398" s="19"/>
      <c r="G398" s="9" t="str">
        <f aca="false">IF(OR($B398="",NOT(ISNUMBER($E398))),"",$E398-IF($F398="",0,$F398))</f>
        <v/>
      </c>
      <c r="H398" s="15" t="str">
        <f aca="false">IF($B398="","",IFERROR(INDEX(Services!$A$2:$A$120,MATCH($B398,Services!$D$2:$D$120,0)),""))</f>
        <v/>
      </c>
      <c r="I398" s="19"/>
      <c r="J398" s="15" t="str">
        <f aca="false">IF($B398="","",IFERROR(INDEX(Services!$E$2:$E$120,MATCH($B398,Services!$D$2:$D$120,0)),""))</f>
        <v/>
      </c>
    </row>
    <row r="399" customFormat="false" ht="14.25" hidden="false" customHeight="false" outlineLevel="0" collapsed="false">
      <c r="A399" s="18"/>
      <c r="B399" s="6"/>
      <c r="C399" s="6"/>
      <c r="D399" s="6"/>
      <c r="E399" s="16" t="str">
        <f aca="false">IF($B399="","",IFERROR(INDEX(Services!$C$2:$C$120,MATCH($B399,Services!$D$2:$D$120,0)),""))</f>
        <v/>
      </c>
      <c r="F399" s="19"/>
      <c r="G399" s="9" t="str">
        <f aca="false">IF(OR($B399="",NOT(ISNUMBER($E399))),"",$E399-IF($F399="",0,$F399))</f>
        <v/>
      </c>
      <c r="H399" s="15" t="str">
        <f aca="false">IF($B399="","",IFERROR(INDEX(Services!$A$2:$A$120,MATCH($B399,Services!$D$2:$D$120,0)),""))</f>
        <v/>
      </c>
      <c r="I399" s="19"/>
      <c r="J399" s="15" t="str">
        <f aca="false">IF($B399="","",IFERROR(INDEX(Services!$E$2:$E$120,MATCH($B399,Services!$D$2:$D$120,0)),""))</f>
        <v/>
      </c>
    </row>
    <row r="400" customFormat="false" ht="14.25" hidden="false" customHeight="false" outlineLevel="0" collapsed="false">
      <c r="A400" s="18"/>
      <c r="B400" s="6"/>
      <c r="C400" s="6"/>
      <c r="D400" s="6"/>
      <c r="E400" s="16" t="str">
        <f aca="false">IF($B400="","",IFERROR(INDEX(Services!$C$2:$C$120,MATCH($B400,Services!$D$2:$D$120,0)),""))</f>
        <v/>
      </c>
      <c r="F400" s="19"/>
      <c r="G400" s="9" t="str">
        <f aca="false">IF(OR($B400="",NOT(ISNUMBER($E400))),"",$E400-IF($F400="",0,$F400))</f>
        <v/>
      </c>
      <c r="H400" s="15" t="str">
        <f aca="false">IF($B400="","",IFERROR(INDEX(Services!$A$2:$A$120,MATCH($B400,Services!$D$2:$D$120,0)),""))</f>
        <v/>
      </c>
      <c r="I400" s="19"/>
      <c r="J400" s="15" t="str">
        <f aca="false">IF($B400="","",IFERROR(INDEX(Services!$E$2:$E$120,MATCH($B400,Services!$D$2:$D$120,0)),""))</f>
        <v/>
      </c>
    </row>
    <row r="401" customFormat="false" ht="14.25" hidden="false" customHeight="false" outlineLevel="0" collapsed="false">
      <c r="A401" s="18"/>
      <c r="B401" s="6"/>
      <c r="C401" s="6"/>
      <c r="D401" s="6"/>
      <c r="E401" s="16" t="str">
        <f aca="false">IF($B401="","",IFERROR(INDEX(Services!$C$2:$C$120,MATCH($B401,Services!$D$2:$D$120,0)),""))</f>
        <v/>
      </c>
      <c r="F401" s="19"/>
      <c r="G401" s="9" t="str">
        <f aca="false">IF(OR($B401="",NOT(ISNUMBER($E401))),"",$E401-IF($F401="",0,$F401))</f>
        <v/>
      </c>
      <c r="H401" s="15" t="str">
        <f aca="false">IF($B401="","",IFERROR(INDEX(Services!$A$2:$A$120,MATCH($B401,Services!$D$2:$D$120,0)),""))</f>
        <v/>
      </c>
      <c r="I401" s="19"/>
      <c r="J401" s="15" t="str">
        <f aca="false">IF($B401="","",IFERROR(INDEX(Services!$E$2:$E$120,MATCH($B401,Services!$D$2:$D$120,0)),""))</f>
        <v/>
      </c>
    </row>
    <row r="402" customFormat="false" ht="14.25" hidden="false" customHeight="false" outlineLevel="0" collapsed="false">
      <c r="A402" s="18"/>
      <c r="B402" s="6"/>
      <c r="C402" s="6"/>
      <c r="D402" s="6"/>
      <c r="E402" s="16" t="str">
        <f aca="false">IF($B402="","",IFERROR(INDEX(Services!$C$2:$C$120,MATCH($B402,Services!$D$2:$D$120,0)),""))</f>
        <v/>
      </c>
      <c r="F402" s="19"/>
      <c r="G402" s="9" t="str">
        <f aca="false">IF(OR($B402="",NOT(ISNUMBER($E402))),"",$E402-IF($F402="",0,$F402))</f>
        <v/>
      </c>
      <c r="H402" s="15" t="str">
        <f aca="false">IF($B402="","",IFERROR(INDEX(Services!$A$2:$A$120,MATCH($B402,Services!$D$2:$D$120,0)),""))</f>
        <v/>
      </c>
      <c r="I402" s="19"/>
      <c r="J402" s="15" t="str">
        <f aca="false">IF($B402="","",IFERROR(INDEX(Services!$E$2:$E$120,MATCH($B402,Services!$D$2:$D$120,0)),""))</f>
        <v/>
      </c>
    </row>
    <row r="403" customFormat="false" ht="14.25" hidden="false" customHeight="false" outlineLevel="0" collapsed="false">
      <c r="A403" s="18"/>
      <c r="B403" s="6"/>
      <c r="C403" s="6"/>
      <c r="D403" s="6"/>
      <c r="E403" s="16" t="str">
        <f aca="false">IF($B403="","",IFERROR(INDEX(Services!$C$2:$C$120,MATCH($B403,Services!$D$2:$D$120,0)),""))</f>
        <v/>
      </c>
      <c r="F403" s="19"/>
      <c r="G403" s="9" t="str">
        <f aca="false">IF(OR($B403="",NOT(ISNUMBER($E403))),"",$E403-IF($F403="",0,$F403))</f>
        <v/>
      </c>
      <c r="H403" s="15" t="str">
        <f aca="false">IF($B403="","",IFERROR(INDEX(Services!$A$2:$A$120,MATCH($B403,Services!$D$2:$D$120,0)),""))</f>
        <v/>
      </c>
      <c r="I403" s="19"/>
      <c r="J403" s="15" t="str">
        <f aca="false">IF($B403="","",IFERROR(INDEX(Services!$E$2:$E$120,MATCH($B403,Services!$D$2:$D$120,0)),""))</f>
        <v/>
      </c>
    </row>
    <row r="404" customFormat="false" ht="14.25" hidden="false" customHeight="false" outlineLevel="0" collapsed="false">
      <c r="A404" s="18"/>
      <c r="B404" s="6"/>
      <c r="C404" s="6"/>
      <c r="D404" s="6"/>
      <c r="E404" s="16" t="str">
        <f aca="false">IF($B404="","",IFERROR(INDEX(Services!$C$2:$C$120,MATCH($B404,Services!$D$2:$D$120,0)),""))</f>
        <v/>
      </c>
      <c r="F404" s="19"/>
      <c r="G404" s="9" t="str">
        <f aca="false">IF(OR($B404="",NOT(ISNUMBER($E404))),"",$E404-IF($F404="",0,$F404))</f>
        <v/>
      </c>
      <c r="H404" s="15" t="str">
        <f aca="false">IF($B404="","",IFERROR(INDEX(Services!$A$2:$A$120,MATCH($B404,Services!$D$2:$D$120,0)),""))</f>
        <v/>
      </c>
      <c r="I404" s="19"/>
      <c r="J404" s="15" t="str">
        <f aca="false">IF($B404="","",IFERROR(INDEX(Services!$E$2:$E$120,MATCH($B404,Services!$D$2:$D$120,0)),""))</f>
        <v/>
      </c>
    </row>
    <row r="405" customFormat="false" ht="14.25" hidden="false" customHeight="false" outlineLevel="0" collapsed="false">
      <c r="A405" s="18"/>
      <c r="B405" s="6"/>
      <c r="C405" s="6"/>
      <c r="D405" s="6"/>
      <c r="E405" s="16" t="str">
        <f aca="false">IF($B405="","",IFERROR(INDEX(Services!$C$2:$C$120,MATCH($B405,Services!$D$2:$D$120,0)),""))</f>
        <v/>
      </c>
      <c r="F405" s="19"/>
      <c r="G405" s="9" t="str">
        <f aca="false">IF(OR($B405="",NOT(ISNUMBER($E405))),"",$E405-IF($F405="",0,$F405))</f>
        <v/>
      </c>
      <c r="H405" s="15" t="str">
        <f aca="false">IF($B405="","",IFERROR(INDEX(Services!$A$2:$A$120,MATCH($B405,Services!$D$2:$D$120,0)),""))</f>
        <v/>
      </c>
      <c r="I405" s="19"/>
      <c r="J405" s="15" t="str">
        <f aca="false">IF($B405="","",IFERROR(INDEX(Services!$E$2:$E$120,MATCH($B405,Services!$D$2:$D$120,0)),""))</f>
        <v/>
      </c>
    </row>
    <row r="406" customFormat="false" ht="14.25" hidden="false" customHeight="false" outlineLevel="0" collapsed="false">
      <c r="A406" s="18"/>
      <c r="B406" s="6"/>
      <c r="C406" s="6"/>
      <c r="D406" s="6"/>
      <c r="E406" s="16" t="str">
        <f aca="false">IF($B406="","",IFERROR(INDEX(Services!$C$2:$C$120,MATCH($B406,Services!$D$2:$D$120,0)),""))</f>
        <v/>
      </c>
      <c r="F406" s="19"/>
      <c r="G406" s="9" t="str">
        <f aca="false">IF(OR($B406="",NOT(ISNUMBER($E406))),"",$E406-IF($F406="",0,$F406))</f>
        <v/>
      </c>
      <c r="H406" s="15" t="str">
        <f aca="false">IF($B406="","",IFERROR(INDEX(Services!$A$2:$A$120,MATCH($B406,Services!$D$2:$D$120,0)),""))</f>
        <v/>
      </c>
      <c r="I406" s="19"/>
      <c r="J406" s="15" t="str">
        <f aca="false">IF($B406="","",IFERROR(INDEX(Services!$E$2:$E$120,MATCH($B406,Services!$D$2:$D$120,0)),""))</f>
        <v/>
      </c>
    </row>
    <row r="407" customFormat="false" ht="14.25" hidden="false" customHeight="false" outlineLevel="0" collapsed="false">
      <c r="A407" s="18"/>
      <c r="B407" s="6"/>
      <c r="C407" s="6"/>
      <c r="D407" s="6"/>
      <c r="E407" s="16" t="str">
        <f aca="false">IF($B407="","",IFERROR(INDEX(Services!$C$2:$C$120,MATCH($B407,Services!$D$2:$D$120,0)),""))</f>
        <v/>
      </c>
      <c r="F407" s="19"/>
      <c r="G407" s="9" t="str">
        <f aca="false">IF(OR($B407="",NOT(ISNUMBER($E407))),"",$E407-IF($F407="",0,$F407))</f>
        <v/>
      </c>
      <c r="H407" s="15" t="str">
        <f aca="false">IF($B407="","",IFERROR(INDEX(Services!$A$2:$A$120,MATCH($B407,Services!$D$2:$D$120,0)),""))</f>
        <v/>
      </c>
      <c r="I407" s="19"/>
      <c r="J407" s="15" t="str">
        <f aca="false">IF($B407="","",IFERROR(INDEX(Services!$E$2:$E$120,MATCH($B407,Services!$D$2:$D$120,0)),""))</f>
        <v/>
      </c>
    </row>
    <row r="408" customFormat="false" ht="14.25" hidden="false" customHeight="false" outlineLevel="0" collapsed="false">
      <c r="A408" s="18"/>
      <c r="B408" s="6"/>
      <c r="C408" s="6"/>
      <c r="D408" s="6"/>
      <c r="E408" s="16" t="str">
        <f aca="false">IF($B408="","",IFERROR(INDEX(Services!$C$2:$C$120,MATCH($B408,Services!$D$2:$D$120,0)),""))</f>
        <v/>
      </c>
      <c r="F408" s="19"/>
      <c r="G408" s="9" t="str">
        <f aca="false">IF(OR($B408="",NOT(ISNUMBER($E408))),"",$E408-IF($F408="",0,$F408))</f>
        <v/>
      </c>
      <c r="H408" s="15" t="str">
        <f aca="false">IF($B408="","",IFERROR(INDEX(Services!$A$2:$A$120,MATCH($B408,Services!$D$2:$D$120,0)),""))</f>
        <v/>
      </c>
      <c r="I408" s="19"/>
      <c r="J408" s="15" t="str">
        <f aca="false">IF($B408="","",IFERROR(INDEX(Services!$E$2:$E$120,MATCH($B408,Services!$D$2:$D$120,0)),""))</f>
        <v/>
      </c>
    </row>
    <row r="409" customFormat="false" ht="14.25" hidden="false" customHeight="false" outlineLevel="0" collapsed="false">
      <c r="A409" s="18"/>
      <c r="B409" s="6"/>
      <c r="C409" s="6"/>
      <c r="D409" s="6"/>
      <c r="E409" s="16" t="str">
        <f aca="false">IF($B409="","",IFERROR(INDEX(Services!$C$2:$C$120,MATCH($B409,Services!$D$2:$D$120,0)),""))</f>
        <v/>
      </c>
      <c r="F409" s="19"/>
      <c r="G409" s="9" t="str">
        <f aca="false">IF(OR($B409="",NOT(ISNUMBER($E409))),"",$E409-IF($F409="",0,$F409))</f>
        <v/>
      </c>
      <c r="H409" s="15" t="str">
        <f aca="false">IF($B409="","",IFERROR(INDEX(Services!$A$2:$A$120,MATCH($B409,Services!$D$2:$D$120,0)),""))</f>
        <v/>
      </c>
      <c r="I409" s="19"/>
      <c r="J409" s="15" t="str">
        <f aca="false">IF($B409="","",IFERROR(INDEX(Services!$E$2:$E$120,MATCH($B409,Services!$D$2:$D$120,0)),""))</f>
        <v/>
      </c>
    </row>
    <row r="410" customFormat="false" ht="14.25" hidden="false" customHeight="false" outlineLevel="0" collapsed="false">
      <c r="A410" s="18"/>
      <c r="B410" s="6"/>
      <c r="C410" s="6"/>
      <c r="D410" s="6"/>
      <c r="E410" s="16" t="str">
        <f aca="false">IF($B410="","",IFERROR(INDEX(Services!$C$2:$C$120,MATCH($B410,Services!$D$2:$D$120,0)),""))</f>
        <v/>
      </c>
      <c r="F410" s="19"/>
      <c r="G410" s="9" t="str">
        <f aca="false">IF(OR($B410="",NOT(ISNUMBER($E410))),"",$E410-IF($F410="",0,$F410))</f>
        <v/>
      </c>
      <c r="H410" s="15" t="str">
        <f aca="false">IF($B410="","",IFERROR(INDEX(Services!$A$2:$A$120,MATCH($B410,Services!$D$2:$D$120,0)),""))</f>
        <v/>
      </c>
      <c r="I410" s="19"/>
      <c r="J410" s="15" t="str">
        <f aca="false">IF($B410="","",IFERROR(INDEX(Services!$E$2:$E$120,MATCH($B410,Services!$D$2:$D$120,0)),""))</f>
        <v/>
      </c>
    </row>
    <row r="411" customFormat="false" ht="14.25" hidden="false" customHeight="false" outlineLevel="0" collapsed="false">
      <c r="A411" s="18"/>
      <c r="B411" s="6"/>
      <c r="C411" s="6"/>
      <c r="D411" s="6"/>
      <c r="E411" s="16" t="str">
        <f aca="false">IF($B411="","",IFERROR(INDEX(Services!$C$2:$C$120,MATCH($B411,Services!$D$2:$D$120,0)),""))</f>
        <v/>
      </c>
      <c r="F411" s="19"/>
      <c r="G411" s="9" t="str">
        <f aca="false">IF(OR($B411="",NOT(ISNUMBER($E411))),"",$E411-IF($F411="",0,$F411))</f>
        <v/>
      </c>
      <c r="H411" s="15" t="str">
        <f aca="false">IF($B411="","",IFERROR(INDEX(Services!$A$2:$A$120,MATCH($B411,Services!$D$2:$D$120,0)),""))</f>
        <v/>
      </c>
      <c r="I411" s="19"/>
      <c r="J411" s="15" t="str">
        <f aca="false">IF($B411="","",IFERROR(INDEX(Services!$E$2:$E$120,MATCH($B411,Services!$D$2:$D$120,0)),""))</f>
        <v/>
      </c>
    </row>
    <row r="412" customFormat="false" ht="14.25" hidden="false" customHeight="false" outlineLevel="0" collapsed="false">
      <c r="A412" s="18"/>
      <c r="B412" s="6"/>
      <c r="C412" s="6"/>
      <c r="D412" s="6"/>
      <c r="E412" s="16" t="str">
        <f aca="false">IF($B412="","",IFERROR(INDEX(Services!$C$2:$C$120,MATCH($B412,Services!$D$2:$D$120,0)),""))</f>
        <v/>
      </c>
      <c r="F412" s="19"/>
      <c r="G412" s="9" t="str">
        <f aca="false">IF(OR($B412="",NOT(ISNUMBER($E412))),"",$E412-IF($F412="",0,$F412))</f>
        <v/>
      </c>
      <c r="H412" s="15" t="str">
        <f aca="false">IF($B412="","",IFERROR(INDEX(Services!$A$2:$A$120,MATCH($B412,Services!$D$2:$D$120,0)),""))</f>
        <v/>
      </c>
      <c r="I412" s="19"/>
      <c r="J412" s="15" t="str">
        <f aca="false">IF($B412="","",IFERROR(INDEX(Services!$E$2:$E$120,MATCH($B412,Services!$D$2:$D$120,0)),""))</f>
        <v/>
      </c>
    </row>
    <row r="413" customFormat="false" ht="14.25" hidden="false" customHeight="false" outlineLevel="0" collapsed="false">
      <c r="A413" s="18"/>
      <c r="B413" s="6"/>
      <c r="C413" s="6"/>
      <c r="D413" s="6"/>
      <c r="E413" s="16" t="str">
        <f aca="false">IF($B413="","",IFERROR(INDEX(Services!$C$2:$C$120,MATCH($B413,Services!$D$2:$D$120,0)),""))</f>
        <v/>
      </c>
      <c r="F413" s="19"/>
      <c r="G413" s="9" t="str">
        <f aca="false">IF(OR($B413="",NOT(ISNUMBER($E413))),"",$E413-IF($F413="",0,$F413))</f>
        <v/>
      </c>
      <c r="H413" s="15" t="str">
        <f aca="false">IF($B413="","",IFERROR(INDEX(Services!$A$2:$A$120,MATCH($B413,Services!$D$2:$D$120,0)),""))</f>
        <v/>
      </c>
      <c r="I413" s="19"/>
      <c r="J413" s="15" t="str">
        <f aca="false">IF($B413="","",IFERROR(INDEX(Services!$E$2:$E$120,MATCH($B413,Services!$D$2:$D$120,0)),""))</f>
        <v/>
      </c>
    </row>
    <row r="414" customFormat="false" ht="14.25" hidden="false" customHeight="false" outlineLevel="0" collapsed="false">
      <c r="A414" s="18"/>
      <c r="B414" s="6"/>
      <c r="C414" s="6"/>
      <c r="D414" s="6"/>
      <c r="E414" s="16" t="str">
        <f aca="false">IF($B414="","",IFERROR(INDEX(Services!$C$2:$C$120,MATCH($B414,Services!$D$2:$D$120,0)),""))</f>
        <v/>
      </c>
      <c r="F414" s="19"/>
      <c r="G414" s="9" t="str">
        <f aca="false">IF(OR($B414="",NOT(ISNUMBER($E414))),"",$E414-IF($F414="",0,$F414))</f>
        <v/>
      </c>
      <c r="H414" s="15" t="str">
        <f aca="false">IF($B414="","",IFERROR(INDEX(Services!$A$2:$A$120,MATCH($B414,Services!$D$2:$D$120,0)),""))</f>
        <v/>
      </c>
      <c r="I414" s="19"/>
      <c r="J414" s="15" t="str">
        <f aca="false">IF($B414="","",IFERROR(INDEX(Services!$E$2:$E$120,MATCH($B414,Services!$D$2:$D$120,0)),""))</f>
        <v/>
      </c>
    </row>
    <row r="415" customFormat="false" ht="14.25" hidden="false" customHeight="false" outlineLevel="0" collapsed="false">
      <c r="A415" s="18"/>
      <c r="B415" s="6"/>
      <c r="C415" s="6"/>
      <c r="D415" s="6"/>
      <c r="E415" s="16" t="str">
        <f aca="false">IF($B415="","",IFERROR(INDEX(Services!$C$2:$C$120,MATCH($B415,Services!$D$2:$D$120,0)),""))</f>
        <v/>
      </c>
      <c r="F415" s="19"/>
      <c r="G415" s="9" t="str">
        <f aca="false">IF(OR($B415="",NOT(ISNUMBER($E415))),"",$E415-IF($F415="",0,$F415))</f>
        <v/>
      </c>
      <c r="H415" s="15" t="str">
        <f aca="false">IF($B415="","",IFERROR(INDEX(Services!$A$2:$A$120,MATCH($B415,Services!$D$2:$D$120,0)),""))</f>
        <v/>
      </c>
      <c r="I415" s="19"/>
      <c r="J415" s="15" t="str">
        <f aca="false">IF($B415="","",IFERROR(INDEX(Services!$E$2:$E$120,MATCH($B415,Services!$D$2:$D$120,0)),""))</f>
        <v/>
      </c>
    </row>
    <row r="416" customFormat="false" ht="14.25" hidden="false" customHeight="false" outlineLevel="0" collapsed="false">
      <c r="A416" s="18"/>
      <c r="B416" s="6"/>
      <c r="C416" s="6"/>
      <c r="D416" s="6"/>
      <c r="E416" s="16" t="str">
        <f aca="false">IF($B416="","",IFERROR(INDEX(Services!$C$2:$C$120,MATCH($B416,Services!$D$2:$D$120,0)),""))</f>
        <v/>
      </c>
      <c r="F416" s="19"/>
      <c r="G416" s="9" t="str">
        <f aca="false">IF(OR($B416="",NOT(ISNUMBER($E416))),"",$E416-IF($F416="",0,$F416))</f>
        <v/>
      </c>
      <c r="H416" s="15" t="str">
        <f aca="false">IF($B416="","",IFERROR(INDEX(Services!$A$2:$A$120,MATCH($B416,Services!$D$2:$D$120,0)),""))</f>
        <v/>
      </c>
      <c r="I416" s="19"/>
      <c r="J416" s="15" t="str">
        <f aca="false">IF($B416="","",IFERROR(INDEX(Services!$E$2:$E$120,MATCH($B416,Services!$D$2:$D$120,0)),""))</f>
        <v/>
      </c>
    </row>
    <row r="417" customFormat="false" ht="14.25" hidden="false" customHeight="false" outlineLevel="0" collapsed="false">
      <c r="A417" s="18"/>
      <c r="B417" s="6"/>
      <c r="C417" s="6"/>
      <c r="D417" s="6"/>
      <c r="E417" s="16" t="str">
        <f aca="false">IF($B417="","",IFERROR(INDEX(Services!$C$2:$C$120,MATCH($B417,Services!$D$2:$D$120,0)),""))</f>
        <v/>
      </c>
      <c r="F417" s="19"/>
      <c r="G417" s="9" t="str">
        <f aca="false">IF(OR($B417="",NOT(ISNUMBER($E417))),"",$E417-IF($F417="",0,$F417))</f>
        <v/>
      </c>
      <c r="H417" s="15" t="str">
        <f aca="false">IF($B417="","",IFERROR(INDEX(Services!$A$2:$A$120,MATCH($B417,Services!$D$2:$D$120,0)),""))</f>
        <v/>
      </c>
      <c r="I417" s="19"/>
      <c r="J417" s="15" t="str">
        <f aca="false">IF($B417="","",IFERROR(INDEX(Services!$E$2:$E$120,MATCH($B417,Services!$D$2:$D$120,0)),""))</f>
        <v/>
      </c>
    </row>
    <row r="418" customFormat="false" ht="14.25" hidden="false" customHeight="false" outlineLevel="0" collapsed="false">
      <c r="A418" s="18"/>
      <c r="B418" s="6"/>
      <c r="C418" s="6"/>
      <c r="D418" s="6"/>
      <c r="E418" s="16" t="str">
        <f aca="false">IF($B418="","",IFERROR(INDEX(Services!$C$2:$C$120,MATCH($B418,Services!$D$2:$D$120,0)),""))</f>
        <v/>
      </c>
      <c r="F418" s="19"/>
      <c r="G418" s="9" t="str">
        <f aca="false">IF(OR($B418="",NOT(ISNUMBER($E418))),"",$E418-IF($F418="",0,$F418))</f>
        <v/>
      </c>
      <c r="H418" s="15" t="str">
        <f aca="false">IF($B418="","",IFERROR(INDEX(Services!$A$2:$A$120,MATCH($B418,Services!$D$2:$D$120,0)),""))</f>
        <v/>
      </c>
      <c r="I418" s="19"/>
      <c r="J418" s="15" t="str">
        <f aca="false">IF($B418="","",IFERROR(INDEX(Services!$E$2:$E$120,MATCH($B418,Services!$D$2:$D$120,0)),""))</f>
        <v/>
      </c>
    </row>
    <row r="419" customFormat="false" ht="14.25" hidden="false" customHeight="false" outlineLevel="0" collapsed="false">
      <c r="A419" s="18"/>
      <c r="B419" s="6"/>
      <c r="C419" s="6"/>
      <c r="D419" s="6"/>
      <c r="E419" s="16" t="str">
        <f aca="false">IF($B419="","",IFERROR(INDEX(Services!$C$2:$C$120,MATCH($B419,Services!$D$2:$D$120,0)),""))</f>
        <v/>
      </c>
      <c r="F419" s="19"/>
      <c r="G419" s="9" t="str">
        <f aca="false">IF(OR($B419="",NOT(ISNUMBER($E419))),"",$E419-IF($F419="",0,$F419))</f>
        <v/>
      </c>
      <c r="H419" s="15" t="str">
        <f aca="false">IF($B419="","",IFERROR(INDEX(Services!$A$2:$A$120,MATCH($B419,Services!$D$2:$D$120,0)),""))</f>
        <v/>
      </c>
      <c r="I419" s="19"/>
      <c r="J419" s="15" t="str">
        <f aca="false">IF($B419="","",IFERROR(INDEX(Services!$E$2:$E$120,MATCH($B419,Services!$D$2:$D$120,0)),""))</f>
        <v/>
      </c>
    </row>
    <row r="420" customFormat="false" ht="14.25" hidden="false" customHeight="false" outlineLevel="0" collapsed="false">
      <c r="A420" s="18"/>
      <c r="B420" s="6"/>
      <c r="C420" s="6"/>
      <c r="D420" s="6"/>
      <c r="E420" s="16" t="str">
        <f aca="false">IF($B420="","",IFERROR(INDEX(Services!$C$2:$C$120,MATCH($B420,Services!$D$2:$D$120,0)),""))</f>
        <v/>
      </c>
      <c r="F420" s="19"/>
      <c r="G420" s="9" t="str">
        <f aca="false">IF(OR($B420="",NOT(ISNUMBER($E420))),"",$E420-IF($F420="",0,$F420))</f>
        <v/>
      </c>
      <c r="H420" s="15" t="str">
        <f aca="false">IF($B420="","",IFERROR(INDEX(Services!$A$2:$A$120,MATCH($B420,Services!$D$2:$D$120,0)),""))</f>
        <v/>
      </c>
      <c r="I420" s="19"/>
      <c r="J420" s="15" t="str">
        <f aca="false">IF($B420="","",IFERROR(INDEX(Services!$E$2:$E$120,MATCH($B420,Services!$D$2:$D$120,0)),""))</f>
        <v/>
      </c>
    </row>
    <row r="421" customFormat="false" ht="14.25" hidden="false" customHeight="false" outlineLevel="0" collapsed="false">
      <c r="A421" s="18"/>
      <c r="B421" s="6"/>
      <c r="C421" s="6"/>
      <c r="D421" s="6"/>
      <c r="E421" s="16" t="str">
        <f aca="false">IF($B421="","",IFERROR(INDEX(Services!$C$2:$C$120,MATCH($B421,Services!$D$2:$D$120,0)),""))</f>
        <v/>
      </c>
      <c r="F421" s="19"/>
      <c r="G421" s="9" t="str">
        <f aca="false">IF(OR($B421="",NOT(ISNUMBER($E421))),"",$E421-IF($F421="",0,$F421))</f>
        <v/>
      </c>
      <c r="H421" s="15" t="str">
        <f aca="false">IF($B421="","",IFERROR(INDEX(Services!$A$2:$A$120,MATCH($B421,Services!$D$2:$D$120,0)),""))</f>
        <v/>
      </c>
      <c r="I421" s="19"/>
      <c r="J421" s="15" t="str">
        <f aca="false">IF($B421="","",IFERROR(INDEX(Services!$E$2:$E$120,MATCH($B421,Services!$D$2:$D$120,0)),""))</f>
        <v/>
      </c>
    </row>
    <row r="422" customFormat="false" ht="14.25" hidden="false" customHeight="false" outlineLevel="0" collapsed="false">
      <c r="A422" s="18"/>
      <c r="B422" s="6"/>
      <c r="C422" s="6"/>
      <c r="D422" s="6"/>
      <c r="E422" s="16" t="str">
        <f aca="false">IF($B422="","",IFERROR(INDEX(Services!$C$2:$C$120,MATCH($B422,Services!$D$2:$D$120,0)),""))</f>
        <v/>
      </c>
      <c r="F422" s="19"/>
      <c r="G422" s="9" t="str">
        <f aca="false">IF(OR($B422="",NOT(ISNUMBER($E422))),"",$E422-IF($F422="",0,$F422))</f>
        <v/>
      </c>
      <c r="H422" s="15" t="str">
        <f aca="false">IF($B422="","",IFERROR(INDEX(Services!$A$2:$A$120,MATCH($B422,Services!$D$2:$D$120,0)),""))</f>
        <v/>
      </c>
      <c r="I422" s="19"/>
      <c r="J422" s="15" t="str">
        <f aca="false">IF($B422="","",IFERROR(INDEX(Services!$E$2:$E$120,MATCH($B422,Services!$D$2:$D$120,0)),""))</f>
        <v/>
      </c>
    </row>
    <row r="423" customFormat="false" ht="14.25" hidden="false" customHeight="false" outlineLevel="0" collapsed="false">
      <c r="A423" s="18"/>
      <c r="B423" s="6"/>
      <c r="C423" s="6"/>
      <c r="D423" s="6"/>
      <c r="E423" s="16" t="str">
        <f aca="false">IF($B423="","",IFERROR(INDEX(Services!$C$2:$C$120,MATCH($B423,Services!$D$2:$D$120,0)),""))</f>
        <v/>
      </c>
      <c r="F423" s="19"/>
      <c r="G423" s="9" t="str">
        <f aca="false">IF(OR($B423="",NOT(ISNUMBER($E423))),"",$E423-IF($F423="",0,$F423))</f>
        <v/>
      </c>
      <c r="H423" s="15" t="str">
        <f aca="false">IF($B423="","",IFERROR(INDEX(Services!$A$2:$A$120,MATCH($B423,Services!$D$2:$D$120,0)),""))</f>
        <v/>
      </c>
      <c r="I423" s="19"/>
      <c r="J423" s="15" t="str">
        <f aca="false">IF($B423="","",IFERROR(INDEX(Services!$E$2:$E$120,MATCH($B423,Services!$D$2:$D$120,0)),""))</f>
        <v/>
      </c>
    </row>
    <row r="424" customFormat="false" ht="14.25" hidden="false" customHeight="false" outlineLevel="0" collapsed="false">
      <c r="A424" s="18"/>
      <c r="B424" s="6"/>
      <c r="C424" s="6"/>
      <c r="D424" s="6"/>
      <c r="E424" s="16" t="str">
        <f aca="false">IF($B424="","",IFERROR(INDEX(Services!$C$2:$C$120,MATCH($B424,Services!$D$2:$D$120,0)),""))</f>
        <v/>
      </c>
      <c r="F424" s="19"/>
      <c r="G424" s="9" t="str">
        <f aca="false">IF(OR($B424="",NOT(ISNUMBER($E424))),"",$E424-IF($F424="",0,$F424))</f>
        <v/>
      </c>
      <c r="H424" s="15" t="str">
        <f aca="false">IF($B424="","",IFERROR(INDEX(Services!$A$2:$A$120,MATCH($B424,Services!$D$2:$D$120,0)),""))</f>
        <v/>
      </c>
      <c r="I424" s="19"/>
      <c r="J424" s="15" t="str">
        <f aca="false">IF($B424="","",IFERROR(INDEX(Services!$E$2:$E$120,MATCH($B424,Services!$D$2:$D$120,0)),""))</f>
        <v/>
      </c>
    </row>
    <row r="425" customFormat="false" ht="14.25" hidden="false" customHeight="false" outlineLevel="0" collapsed="false">
      <c r="A425" s="18"/>
      <c r="B425" s="6"/>
      <c r="C425" s="6"/>
      <c r="D425" s="6"/>
      <c r="E425" s="16" t="str">
        <f aca="false">IF($B425="","",IFERROR(INDEX(Services!$C$2:$C$120,MATCH($B425,Services!$D$2:$D$120,0)),""))</f>
        <v/>
      </c>
      <c r="F425" s="19"/>
      <c r="G425" s="9" t="str">
        <f aca="false">IF(OR($B425="",NOT(ISNUMBER($E425))),"",$E425-IF($F425="",0,$F425))</f>
        <v/>
      </c>
      <c r="H425" s="15" t="str">
        <f aca="false">IF($B425="","",IFERROR(INDEX(Services!$A$2:$A$120,MATCH($B425,Services!$D$2:$D$120,0)),""))</f>
        <v/>
      </c>
      <c r="I425" s="19"/>
      <c r="J425" s="15" t="str">
        <f aca="false">IF($B425="","",IFERROR(INDEX(Services!$E$2:$E$120,MATCH($B425,Services!$D$2:$D$120,0)),""))</f>
        <v/>
      </c>
    </row>
    <row r="426" customFormat="false" ht="14.25" hidden="false" customHeight="false" outlineLevel="0" collapsed="false">
      <c r="A426" s="18"/>
      <c r="B426" s="6"/>
      <c r="C426" s="6"/>
      <c r="D426" s="6"/>
      <c r="E426" s="16" t="str">
        <f aca="false">IF($B426="","",IFERROR(INDEX(Services!$C$2:$C$120,MATCH($B426,Services!$D$2:$D$120,0)),""))</f>
        <v/>
      </c>
      <c r="F426" s="19"/>
      <c r="G426" s="9" t="str">
        <f aca="false">IF(OR($B426="",NOT(ISNUMBER($E426))),"",$E426-IF($F426="",0,$F426))</f>
        <v/>
      </c>
      <c r="H426" s="15" t="str">
        <f aca="false">IF($B426="","",IFERROR(INDEX(Services!$A$2:$A$120,MATCH($B426,Services!$D$2:$D$120,0)),""))</f>
        <v/>
      </c>
      <c r="I426" s="19"/>
      <c r="J426" s="15" t="str">
        <f aca="false">IF($B426="","",IFERROR(INDEX(Services!$E$2:$E$120,MATCH($B426,Services!$D$2:$D$120,0)),""))</f>
        <v/>
      </c>
    </row>
    <row r="427" customFormat="false" ht="14.25" hidden="false" customHeight="false" outlineLevel="0" collapsed="false">
      <c r="A427" s="18"/>
      <c r="B427" s="6"/>
      <c r="C427" s="6"/>
      <c r="D427" s="6"/>
      <c r="E427" s="16" t="str">
        <f aca="false">IF($B427="","",IFERROR(INDEX(Services!$C$2:$C$120,MATCH($B427,Services!$D$2:$D$120,0)),""))</f>
        <v/>
      </c>
      <c r="F427" s="19"/>
      <c r="G427" s="9" t="str">
        <f aca="false">IF(OR($B427="",NOT(ISNUMBER($E427))),"",$E427-IF($F427="",0,$F427))</f>
        <v/>
      </c>
      <c r="H427" s="15" t="str">
        <f aca="false">IF($B427="","",IFERROR(INDEX(Services!$A$2:$A$120,MATCH($B427,Services!$D$2:$D$120,0)),""))</f>
        <v/>
      </c>
      <c r="I427" s="19"/>
      <c r="J427" s="15" t="str">
        <f aca="false">IF($B427="","",IFERROR(INDEX(Services!$E$2:$E$120,MATCH($B427,Services!$D$2:$D$120,0)),""))</f>
        <v/>
      </c>
    </row>
    <row r="428" customFormat="false" ht="14.25" hidden="false" customHeight="false" outlineLevel="0" collapsed="false">
      <c r="A428" s="18"/>
      <c r="B428" s="6"/>
      <c r="C428" s="6"/>
      <c r="D428" s="6"/>
      <c r="E428" s="16" t="str">
        <f aca="false">IF($B428="","",IFERROR(INDEX(Services!$C$2:$C$120,MATCH($B428,Services!$D$2:$D$120,0)),""))</f>
        <v/>
      </c>
      <c r="F428" s="19"/>
      <c r="G428" s="9" t="str">
        <f aca="false">IF(OR($B428="",NOT(ISNUMBER($E428))),"",$E428-IF($F428="",0,$F428))</f>
        <v/>
      </c>
      <c r="H428" s="15" t="str">
        <f aca="false">IF($B428="","",IFERROR(INDEX(Services!$A$2:$A$120,MATCH($B428,Services!$D$2:$D$120,0)),""))</f>
        <v/>
      </c>
      <c r="I428" s="19"/>
      <c r="J428" s="15" t="str">
        <f aca="false">IF($B428="","",IFERROR(INDEX(Services!$E$2:$E$120,MATCH($B428,Services!$D$2:$D$120,0)),""))</f>
        <v/>
      </c>
    </row>
    <row r="429" customFormat="false" ht="14.25" hidden="false" customHeight="false" outlineLevel="0" collapsed="false">
      <c r="A429" s="18"/>
      <c r="B429" s="6"/>
      <c r="C429" s="6"/>
      <c r="D429" s="6"/>
      <c r="E429" s="16" t="str">
        <f aca="false">IF($B429="","",IFERROR(INDEX(Services!$C$2:$C$120,MATCH($B429,Services!$D$2:$D$120,0)),""))</f>
        <v/>
      </c>
      <c r="F429" s="19"/>
      <c r="G429" s="9" t="str">
        <f aca="false">IF(OR($B429="",NOT(ISNUMBER($E429))),"",$E429-IF($F429="",0,$F429))</f>
        <v/>
      </c>
      <c r="H429" s="15" t="str">
        <f aca="false">IF($B429="","",IFERROR(INDEX(Services!$A$2:$A$120,MATCH($B429,Services!$D$2:$D$120,0)),""))</f>
        <v/>
      </c>
      <c r="I429" s="19"/>
      <c r="J429" s="15" t="str">
        <f aca="false">IF($B429="","",IFERROR(INDEX(Services!$E$2:$E$120,MATCH($B429,Services!$D$2:$D$120,0)),""))</f>
        <v/>
      </c>
    </row>
    <row r="430" customFormat="false" ht="14.25" hidden="false" customHeight="false" outlineLevel="0" collapsed="false">
      <c r="A430" s="18"/>
      <c r="B430" s="6"/>
      <c r="C430" s="6"/>
      <c r="D430" s="6"/>
      <c r="E430" s="16" t="str">
        <f aca="false">IF($B430="","",IFERROR(INDEX(Services!$C$2:$C$120,MATCH($B430,Services!$D$2:$D$120,0)),""))</f>
        <v/>
      </c>
      <c r="F430" s="19"/>
      <c r="G430" s="9" t="str">
        <f aca="false">IF(OR($B430="",NOT(ISNUMBER($E430))),"",$E430-IF($F430="",0,$F430))</f>
        <v/>
      </c>
      <c r="H430" s="15" t="str">
        <f aca="false">IF($B430="","",IFERROR(INDEX(Services!$A$2:$A$120,MATCH($B430,Services!$D$2:$D$120,0)),""))</f>
        <v/>
      </c>
      <c r="I430" s="19"/>
      <c r="J430" s="15" t="str">
        <f aca="false">IF($B430="","",IFERROR(INDEX(Services!$E$2:$E$120,MATCH($B430,Services!$D$2:$D$120,0)),""))</f>
        <v/>
      </c>
    </row>
    <row r="431" customFormat="false" ht="14.25" hidden="false" customHeight="false" outlineLevel="0" collapsed="false">
      <c r="A431" s="18"/>
      <c r="B431" s="6"/>
      <c r="C431" s="6"/>
      <c r="D431" s="6"/>
      <c r="E431" s="16" t="str">
        <f aca="false">IF($B431="","",IFERROR(INDEX(Services!$C$2:$C$120,MATCH($B431,Services!$D$2:$D$120,0)),""))</f>
        <v/>
      </c>
      <c r="F431" s="19"/>
      <c r="G431" s="9" t="str">
        <f aca="false">IF(OR($B431="",NOT(ISNUMBER($E431))),"",$E431-IF($F431="",0,$F431))</f>
        <v/>
      </c>
      <c r="H431" s="15" t="str">
        <f aca="false">IF($B431="","",IFERROR(INDEX(Services!$A$2:$A$120,MATCH($B431,Services!$D$2:$D$120,0)),""))</f>
        <v/>
      </c>
      <c r="I431" s="19"/>
      <c r="J431" s="15" t="str">
        <f aca="false">IF($B431="","",IFERROR(INDEX(Services!$E$2:$E$120,MATCH($B431,Services!$D$2:$D$120,0)),""))</f>
        <v/>
      </c>
    </row>
    <row r="432" customFormat="false" ht="14.25" hidden="false" customHeight="false" outlineLevel="0" collapsed="false">
      <c r="A432" s="18"/>
      <c r="B432" s="6"/>
      <c r="C432" s="6"/>
      <c r="D432" s="6"/>
      <c r="E432" s="16" t="str">
        <f aca="false">IF($B432="","",IFERROR(INDEX(Services!$C$2:$C$120,MATCH($B432,Services!$D$2:$D$120,0)),""))</f>
        <v/>
      </c>
      <c r="F432" s="19"/>
      <c r="G432" s="9" t="str">
        <f aca="false">IF(OR($B432="",NOT(ISNUMBER($E432))),"",$E432-IF($F432="",0,$F432))</f>
        <v/>
      </c>
      <c r="H432" s="15" t="str">
        <f aca="false">IF($B432="","",IFERROR(INDEX(Services!$A$2:$A$120,MATCH($B432,Services!$D$2:$D$120,0)),""))</f>
        <v/>
      </c>
      <c r="I432" s="19"/>
      <c r="J432" s="15" t="str">
        <f aca="false">IF($B432="","",IFERROR(INDEX(Services!$E$2:$E$120,MATCH($B432,Services!$D$2:$D$120,0)),""))</f>
        <v/>
      </c>
    </row>
    <row r="433" customFormat="false" ht="14.25" hidden="false" customHeight="false" outlineLevel="0" collapsed="false">
      <c r="A433" s="18"/>
      <c r="B433" s="6"/>
      <c r="C433" s="6"/>
      <c r="D433" s="6"/>
      <c r="E433" s="16" t="str">
        <f aca="false">IF($B433="","",IFERROR(INDEX(Services!$C$2:$C$120,MATCH($B433,Services!$D$2:$D$120,0)),""))</f>
        <v/>
      </c>
      <c r="F433" s="19"/>
      <c r="G433" s="9" t="str">
        <f aca="false">IF(OR($B433="",NOT(ISNUMBER($E433))),"",$E433-IF($F433="",0,$F433))</f>
        <v/>
      </c>
      <c r="H433" s="15" t="str">
        <f aca="false">IF($B433="","",IFERROR(INDEX(Services!$A$2:$A$120,MATCH($B433,Services!$D$2:$D$120,0)),""))</f>
        <v/>
      </c>
      <c r="I433" s="19"/>
      <c r="J433" s="15" t="str">
        <f aca="false">IF($B433="","",IFERROR(INDEX(Services!$E$2:$E$120,MATCH($B433,Services!$D$2:$D$120,0)),""))</f>
        <v/>
      </c>
    </row>
    <row r="434" customFormat="false" ht="14.25" hidden="false" customHeight="false" outlineLevel="0" collapsed="false">
      <c r="A434" s="18"/>
      <c r="B434" s="6"/>
      <c r="C434" s="6"/>
      <c r="D434" s="6"/>
      <c r="E434" s="16" t="str">
        <f aca="false">IF($B434="","",IFERROR(INDEX(Services!$C$2:$C$120,MATCH($B434,Services!$D$2:$D$120,0)),""))</f>
        <v/>
      </c>
      <c r="F434" s="19"/>
      <c r="G434" s="9" t="str">
        <f aca="false">IF(OR($B434="",NOT(ISNUMBER($E434))),"",$E434-IF($F434="",0,$F434))</f>
        <v/>
      </c>
      <c r="H434" s="15" t="str">
        <f aca="false">IF($B434="","",IFERROR(INDEX(Services!$A$2:$A$120,MATCH($B434,Services!$D$2:$D$120,0)),""))</f>
        <v/>
      </c>
      <c r="I434" s="19"/>
      <c r="J434" s="15" t="str">
        <f aca="false">IF($B434="","",IFERROR(INDEX(Services!$E$2:$E$120,MATCH($B434,Services!$D$2:$D$120,0)),""))</f>
        <v/>
      </c>
    </row>
    <row r="435" customFormat="false" ht="14.25" hidden="false" customHeight="false" outlineLevel="0" collapsed="false">
      <c r="A435" s="18"/>
      <c r="B435" s="6"/>
      <c r="C435" s="6"/>
      <c r="D435" s="6"/>
      <c r="E435" s="16" t="str">
        <f aca="false">IF($B435="","",IFERROR(INDEX(Services!$C$2:$C$120,MATCH($B435,Services!$D$2:$D$120,0)),""))</f>
        <v/>
      </c>
      <c r="F435" s="19"/>
      <c r="G435" s="9" t="str">
        <f aca="false">IF(OR($B435="",NOT(ISNUMBER($E435))),"",$E435-IF($F435="",0,$F435))</f>
        <v/>
      </c>
      <c r="H435" s="15" t="str">
        <f aca="false">IF($B435="","",IFERROR(INDEX(Services!$A$2:$A$120,MATCH($B435,Services!$D$2:$D$120,0)),""))</f>
        <v/>
      </c>
      <c r="I435" s="19"/>
      <c r="J435" s="15" t="str">
        <f aca="false">IF($B435="","",IFERROR(INDEX(Services!$E$2:$E$120,MATCH($B435,Services!$D$2:$D$120,0)),""))</f>
        <v/>
      </c>
    </row>
    <row r="436" customFormat="false" ht="14.25" hidden="false" customHeight="false" outlineLevel="0" collapsed="false">
      <c r="A436" s="18"/>
      <c r="B436" s="6"/>
      <c r="C436" s="6"/>
      <c r="D436" s="6"/>
      <c r="E436" s="16" t="str">
        <f aca="false">IF($B436="","",IFERROR(INDEX(Services!$C$2:$C$120,MATCH($B436,Services!$D$2:$D$120,0)),""))</f>
        <v/>
      </c>
      <c r="F436" s="19"/>
      <c r="G436" s="9" t="str">
        <f aca="false">IF(OR($B436="",NOT(ISNUMBER($E436))),"",$E436-IF($F436="",0,$F436))</f>
        <v/>
      </c>
      <c r="H436" s="15" t="str">
        <f aca="false">IF($B436="","",IFERROR(INDEX(Services!$A$2:$A$120,MATCH($B436,Services!$D$2:$D$120,0)),""))</f>
        <v/>
      </c>
      <c r="I436" s="19"/>
      <c r="J436" s="15" t="str">
        <f aca="false">IF($B436="","",IFERROR(INDEX(Services!$E$2:$E$120,MATCH($B436,Services!$D$2:$D$120,0)),""))</f>
        <v/>
      </c>
    </row>
    <row r="437" customFormat="false" ht="14.25" hidden="false" customHeight="false" outlineLevel="0" collapsed="false">
      <c r="A437" s="18"/>
      <c r="B437" s="6"/>
      <c r="C437" s="6"/>
      <c r="D437" s="6"/>
      <c r="E437" s="16" t="str">
        <f aca="false">IF($B437="","",IFERROR(INDEX(Services!$C$2:$C$120,MATCH($B437,Services!$D$2:$D$120,0)),""))</f>
        <v/>
      </c>
      <c r="F437" s="19"/>
      <c r="G437" s="9" t="str">
        <f aca="false">IF(OR($B437="",NOT(ISNUMBER($E437))),"",$E437-IF($F437="",0,$F437))</f>
        <v/>
      </c>
      <c r="H437" s="15" t="str">
        <f aca="false">IF($B437="","",IFERROR(INDEX(Services!$A$2:$A$120,MATCH($B437,Services!$D$2:$D$120,0)),""))</f>
        <v/>
      </c>
      <c r="I437" s="19"/>
      <c r="J437" s="15" t="str">
        <f aca="false">IF($B437="","",IFERROR(INDEX(Services!$E$2:$E$120,MATCH($B437,Services!$D$2:$D$120,0)),""))</f>
        <v/>
      </c>
    </row>
    <row r="438" customFormat="false" ht="14.25" hidden="false" customHeight="false" outlineLevel="0" collapsed="false">
      <c r="A438" s="18"/>
      <c r="B438" s="6"/>
      <c r="C438" s="6"/>
      <c r="D438" s="6"/>
      <c r="E438" s="16" t="str">
        <f aca="false">IF($B438="","",IFERROR(INDEX(Services!$C$2:$C$120,MATCH($B438,Services!$D$2:$D$120,0)),""))</f>
        <v/>
      </c>
      <c r="F438" s="19"/>
      <c r="G438" s="9" t="str">
        <f aca="false">IF(OR($B438="",NOT(ISNUMBER($E438))),"",$E438-IF($F438="",0,$F438))</f>
        <v/>
      </c>
      <c r="H438" s="15" t="str">
        <f aca="false">IF($B438="","",IFERROR(INDEX(Services!$A$2:$A$120,MATCH($B438,Services!$D$2:$D$120,0)),""))</f>
        <v/>
      </c>
      <c r="I438" s="19"/>
      <c r="J438" s="15" t="str">
        <f aca="false">IF($B438="","",IFERROR(INDEX(Services!$E$2:$E$120,MATCH($B438,Services!$D$2:$D$120,0)),""))</f>
        <v/>
      </c>
    </row>
    <row r="439" customFormat="false" ht="14.25" hidden="false" customHeight="false" outlineLevel="0" collapsed="false">
      <c r="A439" s="18"/>
      <c r="B439" s="6"/>
      <c r="C439" s="6"/>
      <c r="D439" s="6"/>
      <c r="E439" s="16" t="str">
        <f aca="false">IF($B439="","",IFERROR(INDEX(Services!$C$2:$C$120,MATCH($B439,Services!$D$2:$D$120,0)),""))</f>
        <v/>
      </c>
      <c r="F439" s="19"/>
      <c r="G439" s="9" t="str">
        <f aca="false">IF(OR($B439="",NOT(ISNUMBER($E439))),"",$E439-IF($F439="",0,$F439))</f>
        <v/>
      </c>
      <c r="H439" s="15" t="str">
        <f aca="false">IF($B439="","",IFERROR(INDEX(Services!$A$2:$A$120,MATCH($B439,Services!$D$2:$D$120,0)),""))</f>
        <v/>
      </c>
      <c r="I439" s="19"/>
      <c r="J439" s="15" t="str">
        <f aca="false">IF($B439="","",IFERROR(INDEX(Services!$E$2:$E$120,MATCH($B439,Services!$D$2:$D$120,0)),""))</f>
        <v/>
      </c>
    </row>
    <row r="440" customFormat="false" ht="14.25" hidden="false" customHeight="false" outlineLevel="0" collapsed="false">
      <c r="A440" s="18"/>
      <c r="B440" s="6"/>
      <c r="C440" s="6"/>
      <c r="D440" s="6"/>
      <c r="E440" s="16" t="str">
        <f aca="false">IF($B440="","",IFERROR(INDEX(Services!$C$2:$C$120,MATCH($B440,Services!$D$2:$D$120,0)),""))</f>
        <v/>
      </c>
      <c r="F440" s="19"/>
      <c r="G440" s="9" t="str">
        <f aca="false">IF(OR($B440="",NOT(ISNUMBER($E440))),"",$E440-IF($F440="",0,$F440))</f>
        <v/>
      </c>
      <c r="H440" s="15" t="str">
        <f aca="false">IF($B440="","",IFERROR(INDEX(Services!$A$2:$A$120,MATCH($B440,Services!$D$2:$D$120,0)),""))</f>
        <v/>
      </c>
      <c r="I440" s="19"/>
      <c r="J440" s="15" t="str">
        <f aca="false">IF($B440="","",IFERROR(INDEX(Services!$E$2:$E$120,MATCH($B440,Services!$D$2:$D$120,0)),""))</f>
        <v/>
      </c>
    </row>
    <row r="441" customFormat="false" ht="14.25" hidden="false" customHeight="false" outlineLevel="0" collapsed="false">
      <c r="A441" s="18"/>
      <c r="B441" s="6"/>
      <c r="C441" s="6"/>
      <c r="D441" s="6"/>
      <c r="E441" s="16" t="str">
        <f aca="false">IF($B441="","",IFERROR(INDEX(Services!$C$2:$C$120,MATCH($B441,Services!$D$2:$D$120,0)),""))</f>
        <v/>
      </c>
      <c r="F441" s="19"/>
      <c r="G441" s="9" t="str">
        <f aca="false">IF(OR($B441="",NOT(ISNUMBER($E441))),"",$E441-IF($F441="",0,$F441))</f>
        <v/>
      </c>
      <c r="H441" s="15" t="str">
        <f aca="false">IF($B441="","",IFERROR(INDEX(Services!$A$2:$A$120,MATCH($B441,Services!$D$2:$D$120,0)),""))</f>
        <v/>
      </c>
      <c r="I441" s="19"/>
      <c r="J441" s="15" t="str">
        <f aca="false">IF($B441="","",IFERROR(INDEX(Services!$E$2:$E$120,MATCH($B441,Services!$D$2:$D$120,0)),""))</f>
        <v/>
      </c>
    </row>
    <row r="442" customFormat="false" ht="14.25" hidden="false" customHeight="false" outlineLevel="0" collapsed="false">
      <c r="A442" s="18"/>
      <c r="B442" s="6"/>
      <c r="C442" s="6"/>
      <c r="D442" s="6"/>
      <c r="E442" s="16" t="str">
        <f aca="false">IF($B442="","",IFERROR(INDEX(Services!$C$2:$C$120,MATCH($B442,Services!$D$2:$D$120,0)),""))</f>
        <v/>
      </c>
      <c r="F442" s="19"/>
      <c r="G442" s="9" t="str">
        <f aca="false">IF(OR($B442="",NOT(ISNUMBER($E442))),"",$E442-IF($F442="",0,$F442))</f>
        <v/>
      </c>
      <c r="H442" s="15" t="str">
        <f aca="false">IF($B442="","",IFERROR(INDEX(Services!$A$2:$A$120,MATCH($B442,Services!$D$2:$D$120,0)),""))</f>
        <v/>
      </c>
      <c r="I442" s="19"/>
      <c r="J442" s="15" t="str">
        <f aca="false">IF($B442="","",IFERROR(INDEX(Services!$E$2:$E$120,MATCH($B442,Services!$D$2:$D$120,0)),""))</f>
        <v/>
      </c>
    </row>
    <row r="443" customFormat="false" ht="14.25" hidden="false" customHeight="false" outlineLevel="0" collapsed="false">
      <c r="A443" s="18"/>
      <c r="B443" s="6"/>
      <c r="C443" s="6"/>
      <c r="D443" s="6"/>
      <c r="E443" s="16" t="str">
        <f aca="false">IF($B443="","",IFERROR(INDEX(Services!$C$2:$C$120,MATCH($B443,Services!$D$2:$D$120,0)),""))</f>
        <v/>
      </c>
      <c r="F443" s="19"/>
      <c r="G443" s="9" t="str">
        <f aca="false">IF(OR($B443="",NOT(ISNUMBER($E443))),"",$E443-IF($F443="",0,$F443))</f>
        <v/>
      </c>
      <c r="H443" s="15" t="str">
        <f aca="false">IF($B443="","",IFERROR(INDEX(Services!$A$2:$A$120,MATCH($B443,Services!$D$2:$D$120,0)),""))</f>
        <v/>
      </c>
      <c r="I443" s="19"/>
      <c r="J443" s="15" t="str">
        <f aca="false">IF($B443="","",IFERROR(INDEX(Services!$E$2:$E$120,MATCH($B443,Services!$D$2:$D$120,0)),""))</f>
        <v/>
      </c>
    </row>
    <row r="444" customFormat="false" ht="14.25" hidden="false" customHeight="false" outlineLevel="0" collapsed="false">
      <c r="A444" s="18"/>
      <c r="B444" s="6"/>
      <c r="C444" s="6"/>
      <c r="D444" s="6"/>
      <c r="E444" s="16" t="str">
        <f aca="false">IF($B444="","",IFERROR(INDEX(Services!$C$2:$C$120,MATCH($B444,Services!$D$2:$D$120,0)),""))</f>
        <v/>
      </c>
      <c r="F444" s="19"/>
      <c r="G444" s="9" t="str">
        <f aca="false">IF(OR($B444="",NOT(ISNUMBER($E444))),"",$E444-IF($F444="",0,$F444))</f>
        <v/>
      </c>
      <c r="H444" s="15" t="str">
        <f aca="false">IF($B444="","",IFERROR(INDEX(Services!$A$2:$A$120,MATCH($B444,Services!$D$2:$D$120,0)),""))</f>
        <v/>
      </c>
      <c r="I444" s="19"/>
      <c r="J444" s="15" t="str">
        <f aca="false">IF($B444="","",IFERROR(INDEX(Services!$E$2:$E$120,MATCH($B444,Services!$D$2:$D$120,0)),""))</f>
        <v/>
      </c>
    </row>
    <row r="445" customFormat="false" ht="14.25" hidden="false" customHeight="false" outlineLevel="0" collapsed="false">
      <c r="A445" s="18"/>
      <c r="B445" s="6"/>
      <c r="C445" s="6"/>
      <c r="D445" s="6"/>
      <c r="E445" s="16" t="str">
        <f aca="false">IF($B445="","",IFERROR(INDEX(Services!$C$2:$C$120,MATCH($B445,Services!$D$2:$D$120,0)),""))</f>
        <v/>
      </c>
      <c r="F445" s="19"/>
      <c r="G445" s="9" t="str">
        <f aca="false">IF(OR($B445="",NOT(ISNUMBER($E445))),"",$E445-IF($F445="",0,$F445))</f>
        <v/>
      </c>
      <c r="H445" s="15" t="str">
        <f aca="false">IF($B445="","",IFERROR(INDEX(Services!$A$2:$A$120,MATCH($B445,Services!$D$2:$D$120,0)),""))</f>
        <v/>
      </c>
      <c r="I445" s="19"/>
      <c r="J445" s="15" t="str">
        <f aca="false">IF($B445="","",IFERROR(INDEX(Services!$E$2:$E$120,MATCH($B445,Services!$D$2:$D$120,0)),""))</f>
        <v/>
      </c>
    </row>
    <row r="446" customFormat="false" ht="14.25" hidden="false" customHeight="false" outlineLevel="0" collapsed="false">
      <c r="A446" s="18"/>
      <c r="B446" s="6"/>
      <c r="C446" s="6"/>
      <c r="D446" s="6"/>
      <c r="E446" s="16" t="str">
        <f aca="false">IF($B446="","",IFERROR(INDEX(Services!$C$2:$C$120,MATCH($B446,Services!$D$2:$D$120,0)),""))</f>
        <v/>
      </c>
      <c r="F446" s="19"/>
      <c r="G446" s="9" t="str">
        <f aca="false">IF(OR($B446="",NOT(ISNUMBER($E446))),"",$E446-IF($F446="",0,$F446))</f>
        <v/>
      </c>
      <c r="H446" s="15" t="str">
        <f aca="false">IF($B446="","",IFERROR(INDEX(Services!$A$2:$A$120,MATCH($B446,Services!$D$2:$D$120,0)),""))</f>
        <v/>
      </c>
      <c r="I446" s="19"/>
      <c r="J446" s="15" t="str">
        <f aca="false">IF($B446="","",IFERROR(INDEX(Services!$E$2:$E$120,MATCH($B446,Services!$D$2:$D$120,0)),""))</f>
        <v/>
      </c>
    </row>
    <row r="447" customFormat="false" ht="14.25" hidden="false" customHeight="false" outlineLevel="0" collapsed="false">
      <c r="A447" s="18"/>
      <c r="B447" s="6"/>
      <c r="C447" s="6"/>
      <c r="D447" s="6"/>
      <c r="E447" s="16" t="str">
        <f aca="false">IF($B447="","",IFERROR(INDEX(Services!$C$2:$C$120,MATCH($B447,Services!$D$2:$D$120,0)),""))</f>
        <v/>
      </c>
      <c r="F447" s="19"/>
      <c r="G447" s="9" t="str">
        <f aca="false">IF(OR($B447="",NOT(ISNUMBER($E447))),"",$E447-IF($F447="",0,$F447))</f>
        <v/>
      </c>
      <c r="H447" s="15" t="str">
        <f aca="false">IF($B447="","",IFERROR(INDEX(Services!$A$2:$A$120,MATCH($B447,Services!$D$2:$D$120,0)),""))</f>
        <v/>
      </c>
      <c r="I447" s="19"/>
      <c r="J447" s="15" t="str">
        <f aca="false">IF($B447="","",IFERROR(INDEX(Services!$E$2:$E$120,MATCH($B447,Services!$D$2:$D$120,0)),""))</f>
        <v/>
      </c>
    </row>
    <row r="448" customFormat="false" ht="14.25" hidden="false" customHeight="false" outlineLevel="0" collapsed="false">
      <c r="A448" s="18"/>
      <c r="B448" s="6"/>
      <c r="C448" s="6"/>
      <c r="D448" s="6"/>
      <c r="E448" s="16" t="str">
        <f aca="false">IF($B448="","",IFERROR(INDEX(Services!$C$2:$C$120,MATCH($B448,Services!$D$2:$D$120,0)),""))</f>
        <v/>
      </c>
      <c r="F448" s="19"/>
      <c r="G448" s="9" t="str">
        <f aca="false">IF(OR($B448="",NOT(ISNUMBER($E448))),"",$E448-IF($F448="",0,$F448))</f>
        <v/>
      </c>
      <c r="H448" s="15" t="str">
        <f aca="false">IF($B448="","",IFERROR(INDEX(Services!$A$2:$A$120,MATCH($B448,Services!$D$2:$D$120,0)),""))</f>
        <v/>
      </c>
      <c r="I448" s="19"/>
      <c r="J448" s="15" t="str">
        <f aca="false">IF($B448="","",IFERROR(INDEX(Services!$E$2:$E$120,MATCH($B448,Services!$D$2:$D$120,0)),""))</f>
        <v/>
      </c>
    </row>
    <row r="449" customFormat="false" ht="14.25" hidden="false" customHeight="false" outlineLevel="0" collapsed="false">
      <c r="A449" s="18"/>
      <c r="B449" s="6"/>
      <c r="C449" s="6"/>
      <c r="D449" s="6"/>
      <c r="E449" s="16" t="str">
        <f aca="false">IF($B449="","",IFERROR(INDEX(Services!$C$2:$C$120,MATCH($B449,Services!$D$2:$D$120,0)),""))</f>
        <v/>
      </c>
      <c r="F449" s="19"/>
      <c r="G449" s="9" t="str">
        <f aca="false">IF(OR($B449="",NOT(ISNUMBER($E449))),"",$E449-IF($F449="",0,$F449))</f>
        <v/>
      </c>
      <c r="H449" s="15" t="str">
        <f aca="false">IF($B449="","",IFERROR(INDEX(Services!$A$2:$A$120,MATCH($B449,Services!$D$2:$D$120,0)),""))</f>
        <v/>
      </c>
      <c r="I449" s="19"/>
      <c r="J449" s="15" t="str">
        <f aca="false">IF($B449="","",IFERROR(INDEX(Services!$E$2:$E$120,MATCH($B449,Services!$D$2:$D$120,0)),""))</f>
        <v/>
      </c>
    </row>
    <row r="450" customFormat="false" ht="14.25" hidden="false" customHeight="false" outlineLevel="0" collapsed="false">
      <c r="A450" s="18"/>
      <c r="B450" s="6"/>
      <c r="C450" s="6"/>
      <c r="D450" s="6"/>
      <c r="E450" s="16" t="str">
        <f aca="false">IF($B450="","",IFERROR(INDEX(Services!$C$2:$C$120,MATCH($B450,Services!$D$2:$D$120,0)),""))</f>
        <v/>
      </c>
      <c r="F450" s="19"/>
      <c r="G450" s="9" t="str">
        <f aca="false">IF(OR($B450="",NOT(ISNUMBER($E450))),"",$E450-IF($F450="",0,$F450))</f>
        <v/>
      </c>
      <c r="H450" s="15" t="str">
        <f aca="false">IF($B450="","",IFERROR(INDEX(Services!$A$2:$A$120,MATCH($B450,Services!$D$2:$D$120,0)),""))</f>
        <v/>
      </c>
      <c r="I450" s="19"/>
      <c r="J450" s="15" t="str">
        <f aca="false">IF($B450="","",IFERROR(INDEX(Services!$E$2:$E$120,MATCH($B450,Services!$D$2:$D$120,0)),""))</f>
        <v/>
      </c>
    </row>
    <row r="451" customFormat="false" ht="14.25" hidden="false" customHeight="false" outlineLevel="0" collapsed="false">
      <c r="A451" s="18"/>
      <c r="B451" s="6"/>
      <c r="C451" s="6"/>
      <c r="D451" s="6"/>
      <c r="E451" s="16" t="str">
        <f aca="false">IF($B451="","",IFERROR(INDEX(Services!$C$2:$C$120,MATCH($B451,Services!$D$2:$D$120,0)),""))</f>
        <v/>
      </c>
      <c r="F451" s="19"/>
      <c r="G451" s="9" t="str">
        <f aca="false">IF(OR($B451="",NOT(ISNUMBER($E451))),"",$E451-IF($F451="",0,$F451))</f>
        <v/>
      </c>
      <c r="H451" s="15" t="str">
        <f aca="false">IF($B451="","",IFERROR(INDEX(Services!$A$2:$A$120,MATCH($B451,Services!$D$2:$D$120,0)),""))</f>
        <v/>
      </c>
      <c r="I451" s="19"/>
      <c r="J451" s="15" t="str">
        <f aca="false">IF($B451="","",IFERROR(INDEX(Services!$E$2:$E$120,MATCH($B451,Services!$D$2:$D$120,0)),""))</f>
        <v/>
      </c>
    </row>
    <row r="452" customFormat="false" ht="14.25" hidden="false" customHeight="false" outlineLevel="0" collapsed="false">
      <c r="A452" s="18"/>
      <c r="B452" s="6"/>
      <c r="C452" s="6"/>
      <c r="D452" s="6"/>
      <c r="E452" s="16" t="str">
        <f aca="false">IF($B452="","",IFERROR(INDEX(Services!$C$2:$C$120,MATCH($B452,Services!$D$2:$D$120,0)),""))</f>
        <v/>
      </c>
      <c r="F452" s="19"/>
      <c r="G452" s="9" t="str">
        <f aca="false">IF(OR($B452="",NOT(ISNUMBER($E452))),"",$E452-IF($F452="",0,$F452))</f>
        <v/>
      </c>
      <c r="H452" s="15" t="str">
        <f aca="false">IF($B452="","",IFERROR(INDEX(Services!$A$2:$A$120,MATCH($B452,Services!$D$2:$D$120,0)),""))</f>
        <v/>
      </c>
      <c r="I452" s="19"/>
      <c r="J452" s="15" t="str">
        <f aca="false">IF($B452="","",IFERROR(INDEX(Services!$E$2:$E$120,MATCH($B452,Services!$D$2:$D$120,0)),""))</f>
        <v/>
      </c>
    </row>
    <row r="453" customFormat="false" ht="14.25" hidden="false" customHeight="false" outlineLevel="0" collapsed="false">
      <c r="A453" s="18"/>
      <c r="B453" s="6"/>
      <c r="C453" s="6"/>
      <c r="D453" s="6"/>
      <c r="E453" s="16" t="str">
        <f aca="false">IF($B453="","",IFERROR(INDEX(Services!$C$2:$C$120,MATCH($B453,Services!$D$2:$D$120,0)),""))</f>
        <v/>
      </c>
      <c r="F453" s="19"/>
      <c r="G453" s="9" t="str">
        <f aca="false">IF(OR($B453="",NOT(ISNUMBER($E453))),"",$E453-IF($F453="",0,$F453))</f>
        <v/>
      </c>
      <c r="H453" s="15" t="str">
        <f aca="false">IF($B453="","",IFERROR(INDEX(Services!$A$2:$A$120,MATCH($B453,Services!$D$2:$D$120,0)),""))</f>
        <v/>
      </c>
      <c r="I453" s="19"/>
      <c r="J453" s="15" t="str">
        <f aca="false">IF($B453="","",IFERROR(INDEX(Services!$E$2:$E$120,MATCH($B453,Services!$D$2:$D$120,0)),""))</f>
        <v/>
      </c>
    </row>
    <row r="454" customFormat="false" ht="14.25" hidden="false" customHeight="false" outlineLevel="0" collapsed="false">
      <c r="A454" s="18"/>
      <c r="B454" s="6"/>
      <c r="C454" s="6"/>
      <c r="D454" s="6"/>
      <c r="E454" s="16" t="str">
        <f aca="false">IF($B454="","",IFERROR(INDEX(Services!$C$2:$C$120,MATCH($B454,Services!$D$2:$D$120,0)),""))</f>
        <v/>
      </c>
      <c r="F454" s="19"/>
      <c r="G454" s="9" t="str">
        <f aca="false">IF(OR($B454="",NOT(ISNUMBER($E454))),"",$E454-IF($F454="",0,$F454))</f>
        <v/>
      </c>
      <c r="H454" s="15" t="str">
        <f aca="false">IF($B454="","",IFERROR(INDEX(Services!$A$2:$A$120,MATCH($B454,Services!$D$2:$D$120,0)),""))</f>
        <v/>
      </c>
      <c r="I454" s="19"/>
      <c r="J454" s="15" t="str">
        <f aca="false">IF($B454="","",IFERROR(INDEX(Services!$E$2:$E$120,MATCH($B454,Services!$D$2:$D$120,0)),""))</f>
        <v/>
      </c>
    </row>
    <row r="455" customFormat="false" ht="14.25" hidden="false" customHeight="false" outlineLevel="0" collapsed="false">
      <c r="A455" s="18"/>
      <c r="B455" s="6"/>
      <c r="C455" s="6"/>
      <c r="D455" s="6"/>
      <c r="E455" s="16" t="str">
        <f aca="false">IF($B455="","",IFERROR(INDEX(Services!$C$2:$C$120,MATCH($B455,Services!$D$2:$D$120,0)),""))</f>
        <v/>
      </c>
      <c r="F455" s="19"/>
      <c r="G455" s="9" t="str">
        <f aca="false">IF(OR($B455="",NOT(ISNUMBER($E455))),"",$E455-IF($F455="",0,$F455))</f>
        <v/>
      </c>
      <c r="H455" s="15" t="str">
        <f aca="false">IF($B455="","",IFERROR(INDEX(Services!$A$2:$A$120,MATCH($B455,Services!$D$2:$D$120,0)),""))</f>
        <v/>
      </c>
      <c r="I455" s="19"/>
      <c r="J455" s="15" t="str">
        <f aca="false">IF($B455="","",IFERROR(INDEX(Services!$E$2:$E$120,MATCH($B455,Services!$D$2:$D$120,0)),""))</f>
        <v/>
      </c>
    </row>
    <row r="456" customFormat="false" ht="14.25" hidden="false" customHeight="false" outlineLevel="0" collapsed="false">
      <c r="A456" s="18"/>
      <c r="B456" s="6"/>
      <c r="C456" s="6"/>
      <c r="D456" s="6"/>
      <c r="E456" s="16" t="str">
        <f aca="false">IF($B456="","",IFERROR(INDEX(Services!$C$2:$C$120,MATCH($B456,Services!$D$2:$D$120,0)),""))</f>
        <v/>
      </c>
      <c r="F456" s="19"/>
      <c r="G456" s="9" t="str">
        <f aca="false">IF(OR($B456="",NOT(ISNUMBER($E456))),"",$E456-IF($F456="",0,$F456))</f>
        <v/>
      </c>
      <c r="H456" s="15" t="str">
        <f aca="false">IF($B456="","",IFERROR(INDEX(Services!$A$2:$A$120,MATCH($B456,Services!$D$2:$D$120,0)),""))</f>
        <v/>
      </c>
      <c r="I456" s="19"/>
      <c r="J456" s="15" t="str">
        <f aca="false">IF($B456="","",IFERROR(INDEX(Services!$E$2:$E$120,MATCH($B456,Services!$D$2:$D$120,0)),""))</f>
        <v/>
      </c>
    </row>
    <row r="457" customFormat="false" ht="14.25" hidden="false" customHeight="false" outlineLevel="0" collapsed="false">
      <c r="A457" s="18"/>
      <c r="B457" s="6"/>
      <c r="C457" s="6"/>
      <c r="D457" s="6"/>
      <c r="E457" s="16" t="str">
        <f aca="false">IF($B457="","",IFERROR(INDEX(Services!$C$2:$C$120,MATCH($B457,Services!$D$2:$D$120,0)),""))</f>
        <v/>
      </c>
      <c r="F457" s="19"/>
      <c r="G457" s="9" t="str">
        <f aca="false">IF(OR($B457="",NOT(ISNUMBER($E457))),"",$E457-IF($F457="",0,$F457))</f>
        <v/>
      </c>
      <c r="H457" s="15" t="str">
        <f aca="false">IF($B457="","",IFERROR(INDEX(Services!$A$2:$A$120,MATCH($B457,Services!$D$2:$D$120,0)),""))</f>
        <v/>
      </c>
      <c r="I457" s="19"/>
      <c r="J457" s="15" t="str">
        <f aca="false">IF($B457="","",IFERROR(INDEX(Services!$E$2:$E$120,MATCH($B457,Services!$D$2:$D$120,0)),""))</f>
        <v/>
      </c>
    </row>
    <row r="458" customFormat="false" ht="14.25" hidden="false" customHeight="false" outlineLevel="0" collapsed="false">
      <c r="A458" s="18"/>
      <c r="B458" s="6"/>
      <c r="C458" s="6"/>
      <c r="D458" s="6"/>
      <c r="E458" s="16" t="str">
        <f aca="false">IF($B458="","",IFERROR(INDEX(Services!$C$2:$C$120,MATCH($B458,Services!$D$2:$D$120,0)),""))</f>
        <v/>
      </c>
      <c r="F458" s="19"/>
      <c r="G458" s="9" t="str">
        <f aca="false">IF(OR($B458="",NOT(ISNUMBER($E458))),"",$E458-IF($F458="",0,$F458))</f>
        <v/>
      </c>
      <c r="H458" s="15" t="str">
        <f aca="false">IF($B458="","",IFERROR(INDEX(Services!$A$2:$A$120,MATCH($B458,Services!$D$2:$D$120,0)),""))</f>
        <v/>
      </c>
      <c r="I458" s="19"/>
      <c r="J458" s="15" t="str">
        <f aca="false">IF($B458="","",IFERROR(INDEX(Services!$E$2:$E$120,MATCH($B458,Services!$D$2:$D$120,0)),""))</f>
        <v/>
      </c>
    </row>
    <row r="459" customFormat="false" ht="14.25" hidden="false" customHeight="false" outlineLevel="0" collapsed="false">
      <c r="A459" s="18"/>
      <c r="B459" s="6"/>
      <c r="C459" s="6"/>
      <c r="D459" s="6"/>
      <c r="E459" s="16" t="str">
        <f aca="false">IF($B459="","",IFERROR(INDEX(Services!$C$2:$C$120,MATCH($B459,Services!$D$2:$D$120,0)),""))</f>
        <v/>
      </c>
      <c r="F459" s="19"/>
      <c r="G459" s="9" t="str">
        <f aca="false">IF(OR($B459="",NOT(ISNUMBER($E459))),"",$E459-IF($F459="",0,$F459))</f>
        <v/>
      </c>
      <c r="H459" s="15" t="str">
        <f aca="false">IF($B459="","",IFERROR(INDEX(Services!$A$2:$A$120,MATCH($B459,Services!$D$2:$D$120,0)),""))</f>
        <v/>
      </c>
      <c r="I459" s="19"/>
      <c r="J459" s="15" t="str">
        <f aca="false">IF($B459="","",IFERROR(INDEX(Services!$E$2:$E$120,MATCH($B459,Services!$D$2:$D$120,0)),""))</f>
        <v/>
      </c>
    </row>
    <row r="460" customFormat="false" ht="14.25" hidden="false" customHeight="false" outlineLevel="0" collapsed="false">
      <c r="A460" s="18"/>
      <c r="B460" s="6"/>
      <c r="C460" s="6"/>
      <c r="D460" s="6"/>
      <c r="E460" s="16" t="str">
        <f aca="false">IF($B460="","",IFERROR(INDEX(Services!$C$2:$C$120,MATCH($B460,Services!$D$2:$D$120,0)),""))</f>
        <v/>
      </c>
      <c r="F460" s="19"/>
      <c r="G460" s="9" t="str">
        <f aca="false">IF(OR($B460="",NOT(ISNUMBER($E460))),"",$E460-IF($F460="",0,$F460))</f>
        <v/>
      </c>
      <c r="H460" s="15" t="str">
        <f aca="false">IF($B460="","",IFERROR(INDEX(Services!$A$2:$A$120,MATCH($B460,Services!$D$2:$D$120,0)),""))</f>
        <v/>
      </c>
      <c r="I460" s="19"/>
      <c r="J460" s="15" t="str">
        <f aca="false">IF($B460="","",IFERROR(INDEX(Services!$E$2:$E$120,MATCH($B460,Services!$D$2:$D$120,0)),""))</f>
        <v/>
      </c>
    </row>
    <row r="461" customFormat="false" ht="14.25" hidden="false" customHeight="false" outlineLevel="0" collapsed="false">
      <c r="A461" s="18"/>
      <c r="B461" s="6"/>
      <c r="C461" s="6"/>
      <c r="D461" s="6"/>
      <c r="E461" s="16" t="str">
        <f aca="false">IF($B461="","",IFERROR(INDEX(Services!$C$2:$C$120,MATCH($B461,Services!$D$2:$D$120,0)),""))</f>
        <v/>
      </c>
      <c r="F461" s="19"/>
      <c r="G461" s="9" t="str">
        <f aca="false">IF(OR($B461="",NOT(ISNUMBER($E461))),"",$E461-IF($F461="",0,$F461))</f>
        <v/>
      </c>
      <c r="H461" s="15" t="str">
        <f aca="false">IF($B461="","",IFERROR(INDEX(Services!$A$2:$A$120,MATCH($B461,Services!$D$2:$D$120,0)),""))</f>
        <v/>
      </c>
      <c r="I461" s="19"/>
      <c r="J461" s="15" t="str">
        <f aca="false">IF($B461="","",IFERROR(INDEX(Services!$E$2:$E$120,MATCH($B461,Services!$D$2:$D$120,0)),""))</f>
        <v/>
      </c>
    </row>
    <row r="462" customFormat="false" ht="14.25" hidden="false" customHeight="false" outlineLevel="0" collapsed="false">
      <c r="A462" s="18"/>
      <c r="B462" s="6"/>
      <c r="C462" s="6"/>
      <c r="D462" s="6"/>
      <c r="E462" s="16" t="str">
        <f aca="false">IF($B462="","",IFERROR(INDEX(Services!$C$2:$C$120,MATCH($B462,Services!$D$2:$D$120,0)),""))</f>
        <v/>
      </c>
      <c r="F462" s="19"/>
      <c r="G462" s="9" t="str">
        <f aca="false">IF(OR($B462="",NOT(ISNUMBER($E462))),"",$E462-IF($F462="",0,$F462))</f>
        <v/>
      </c>
      <c r="H462" s="15" t="str">
        <f aca="false">IF($B462="","",IFERROR(INDEX(Services!$A$2:$A$120,MATCH($B462,Services!$D$2:$D$120,0)),""))</f>
        <v/>
      </c>
      <c r="I462" s="19"/>
      <c r="J462" s="15" t="str">
        <f aca="false">IF($B462="","",IFERROR(INDEX(Services!$E$2:$E$120,MATCH($B462,Services!$D$2:$D$120,0)),""))</f>
        <v/>
      </c>
    </row>
    <row r="463" customFormat="false" ht="14.25" hidden="false" customHeight="false" outlineLevel="0" collapsed="false">
      <c r="A463" s="18"/>
      <c r="B463" s="6"/>
      <c r="C463" s="6"/>
      <c r="D463" s="6"/>
      <c r="E463" s="16" t="str">
        <f aca="false">IF($B463="","",IFERROR(INDEX(Services!$C$2:$C$120,MATCH($B463,Services!$D$2:$D$120,0)),""))</f>
        <v/>
      </c>
      <c r="F463" s="19"/>
      <c r="G463" s="9" t="str">
        <f aca="false">IF(OR($B463="",NOT(ISNUMBER($E463))),"",$E463-IF($F463="",0,$F463))</f>
        <v/>
      </c>
      <c r="H463" s="15" t="str">
        <f aca="false">IF($B463="","",IFERROR(INDEX(Services!$A$2:$A$120,MATCH($B463,Services!$D$2:$D$120,0)),""))</f>
        <v/>
      </c>
      <c r="I463" s="19"/>
      <c r="J463" s="15" t="str">
        <f aca="false">IF($B463="","",IFERROR(INDEX(Services!$E$2:$E$120,MATCH($B463,Services!$D$2:$D$120,0)),""))</f>
        <v/>
      </c>
    </row>
    <row r="464" customFormat="false" ht="14.25" hidden="false" customHeight="false" outlineLevel="0" collapsed="false">
      <c r="A464" s="18"/>
      <c r="B464" s="6"/>
      <c r="C464" s="6"/>
      <c r="D464" s="6"/>
      <c r="E464" s="16" t="str">
        <f aca="false">IF($B464="","",IFERROR(INDEX(Services!$C$2:$C$120,MATCH($B464,Services!$D$2:$D$120,0)),""))</f>
        <v/>
      </c>
      <c r="F464" s="19"/>
      <c r="G464" s="9" t="str">
        <f aca="false">IF(OR($B464="",NOT(ISNUMBER($E464))),"",$E464-IF($F464="",0,$F464))</f>
        <v/>
      </c>
      <c r="H464" s="15" t="str">
        <f aca="false">IF($B464="","",IFERROR(INDEX(Services!$A$2:$A$120,MATCH($B464,Services!$D$2:$D$120,0)),""))</f>
        <v/>
      </c>
      <c r="I464" s="19"/>
      <c r="J464" s="15" t="str">
        <f aca="false">IF($B464="","",IFERROR(INDEX(Services!$E$2:$E$120,MATCH($B464,Services!$D$2:$D$120,0)),""))</f>
        <v/>
      </c>
    </row>
    <row r="465" customFormat="false" ht="14.25" hidden="false" customHeight="false" outlineLevel="0" collapsed="false">
      <c r="A465" s="18"/>
      <c r="B465" s="6"/>
      <c r="C465" s="6"/>
      <c r="D465" s="6"/>
      <c r="E465" s="16" t="str">
        <f aca="false">IF($B465="","",IFERROR(INDEX(Services!$C$2:$C$120,MATCH($B465,Services!$D$2:$D$120,0)),""))</f>
        <v/>
      </c>
      <c r="F465" s="19"/>
      <c r="G465" s="9" t="str">
        <f aca="false">IF(OR($B465="",NOT(ISNUMBER($E465))),"",$E465-IF($F465="",0,$F465))</f>
        <v/>
      </c>
      <c r="H465" s="15" t="str">
        <f aca="false">IF($B465="","",IFERROR(INDEX(Services!$A$2:$A$120,MATCH($B465,Services!$D$2:$D$120,0)),""))</f>
        <v/>
      </c>
      <c r="I465" s="19"/>
      <c r="J465" s="15" t="str">
        <f aca="false">IF($B465="","",IFERROR(INDEX(Services!$E$2:$E$120,MATCH($B465,Services!$D$2:$D$120,0)),""))</f>
        <v/>
      </c>
    </row>
    <row r="466" customFormat="false" ht="14.25" hidden="false" customHeight="false" outlineLevel="0" collapsed="false">
      <c r="A466" s="18"/>
      <c r="B466" s="6"/>
      <c r="C466" s="6"/>
      <c r="D466" s="6"/>
      <c r="E466" s="16" t="str">
        <f aca="false">IF($B466="","",IFERROR(INDEX(Services!$C$2:$C$120,MATCH($B466,Services!$D$2:$D$120,0)),""))</f>
        <v/>
      </c>
      <c r="F466" s="19"/>
      <c r="G466" s="9" t="str">
        <f aca="false">IF(OR($B466="",NOT(ISNUMBER($E466))),"",$E466-IF($F466="",0,$F466))</f>
        <v/>
      </c>
      <c r="H466" s="15" t="str">
        <f aca="false">IF($B466="","",IFERROR(INDEX(Services!$A$2:$A$120,MATCH($B466,Services!$D$2:$D$120,0)),""))</f>
        <v/>
      </c>
      <c r="I466" s="19"/>
      <c r="J466" s="15" t="str">
        <f aca="false">IF($B466="","",IFERROR(INDEX(Services!$E$2:$E$120,MATCH($B466,Services!$D$2:$D$120,0)),""))</f>
        <v/>
      </c>
    </row>
    <row r="467" customFormat="false" ht="14.25" hidden="false" customHeight="false" outlineLevel="0" collapsed="false">
      <c r="A467" s="18"/>
      <c r="B467" s="6"/>
      <c r="C467" s="6"/>
      <c r="D467" s="6"/>
      <c r="E467" s="16" t="str">
        <f aca="false">IF($B467="","",IFERROR(INDEX(Services!$C$2:$C$120,MATCH($B467,Services!$D$2:$D$120,0)),""))</f>
        <v/>
      </c>
      <c r="F467" s="19"/>
      <c r="G467" s="9" t="str">
        <f aca="false">IF(OR($B467="",NOT(ISNUMBER($E467))),"",$E467-IF($F467="",0,$F467))</f>
        <v/>
      </c>
      <c r="H467" s="15" t="str">
        <f aca="false">IF($B467="","",IFERROR(INDEX(Services!$A$2:$A$120,MATCH($B467,Services!$D$2:$D$120,0)),""))</f>
        <v/>
      </c>
      <c r="I467" s="19"/>
      <c r="J467" s="15" t="str">
        <f aca="false">IF($B467="","",IFERROR(INDEX(Services!$E$2:$E$120,MATCH($B467,Services!$D$2:$D$120,0)),""))</f>
        <v/>
      </c>
    </row>
    <row r="468" customFormat="false" ht="14.25" hidden="false" customHeight="false" outlineLevel="0" collapsed="false">
      <c r="A468" s="18"/>
      <c r="B468" s="6"/>
      <c r="C468" s="6"/>
      <c r="D468" s="6"/>
      <c r="E468" s="16" t="str">
        <f aca="false">IF($B468="","",IFERROR(INDEX(Services!$C$2:$C$120,MATCH($B468,Services!$D$2:$D$120,0)),""))</f>
        <v/>
      </c>
      <c r="F468" s="19"/>
      <c r="G468" s="9" t="str">
        <f aca="false">IF(OR($B468="",NOT(ISNUMBER($E468))),"",$E468-IF($F468="",0,$F468))</f>
        <v/>
      </c>
      <c r="H468" s="15" t="str">
        <f aca="false">IF($B468="","",IFERROR(INDEX(Services!$A$2:$A$120,MATCH($B468,Services!$D$2:$D$120,0)),""))</f>
        <v/>
      </c>
      <c r="I468" s="19"/>
      <c r="J468" s="15" t="str">
        <f aca="false">IF($B468="","",IFERROR(INDEX(Services!$E$2:$E$120,MATCH($B468,Services!$D$2:$D$120,0)),""))</f>
        <v/>
      </c>
    </row>
    <row r="469" customFormat="false" ht="14.25" hidden="false" customHeight="false" outlineLevel="0" collapsed="false">
      <c r="A469" s="18"/>
      <c r="B469" s="6"/>
      <c r="C469" s="6"/>
      <c r="D469" s="6"/>
      <c r="E469" s="16" t="str">
        <f aca="false">IF($B469="","",IFERROR(INDEX(Services!$C$2:$C$120,MATCH($B469,Services!$D$2:$D$120,0)),""))</f>
        <v/>
      </c>
      <c r="F469" s="19"/>
      <c r="G469" s="9" t="str">
        <f aca="false">IF(OR($B469="",NOT(ISNUMBER($E469))),"",$E469-IF($F469="",0,$F469))</f>
        <v/>
      </c>
      <c r="H469" s="15" t="str">
        <f aca="false">IF($B469="","",IFERROR(INDEX(Services!$A$2:$A$120,MATCH($B469,Services!$D$2:$D$120,0)),""))</f>
        <v/>
      </c>
      <c r="I469" s="19"/>
      <c r="J469" s="15" t="str">
        <f aca="false">IF($B469="","",IFERROR(INDEX(Services!$E$2:$E$120,MATCH($B469,Services!$D$2:$D$120,0)),""))</f>
        <v/>
      </c>
    </row>
    <row r="470" customFormat="false" ht="14.25" hidden="false" customHeight="false" outlineLevel="0" collapsed="false">
      <c r="A470" s="18"/>
      <c r="B470" s="6"/>
      <c r="C470" s="6"/>
      <c r="D470" s="6"/>
      <c r="E470" s="16" t="str">
        <f aca="false">IF($B470="","",IFERROR(INDEX(Services!$C$2:$C$120,MATCH($B470,Services!$D$2:$D$120,0)),""))</f>
        <v/>
      </c>
      <c r="F470" s="19"/>
      <c r="G470" s="9" t="str">
        <f aca="false">IF(OR($B470="",NOT(ISNUMBER($E470))),"",$E470-IF($F470="",0,$F470))</f>
        <v/>
      </c>
      <c r="H470" s="15" t="str">
        <f aca="false">IF($B470="","",IFERROR(INDEX(Services!$A$2:$A$120,MATCH($B470,Services!$D$2:$D$120,0)),""))</f>
        <v/>
      </c>
      <c r="I470" s="19"/>
      <c r="J470" s="15" t="str">
        <f aca="false">IF($B470="","",IFERROR(INDEX(Services!$E$2:$E$120,MATCH($B470,Services!$D$2:$D$120,0)),""))</f>
        <v/>
      </c>
    </row>
    <row r="471" customFormat="false" ht="14.25" hidden="false" customHeight="false" outlineLevel="0" collapsed="false">
      <c r="A471" s="18"/>
      <c r="B471" s="6"/>
      <c r="C471" s="6"/>
      <c r="D471" s="6"/>
      <c r="E471" s="16" t="str">
        <f aca="false">IF($B471="","",IFERROR(INDEX(Services!$C$2:$C$120,MATCH($B471,Services!$D$2:$D$120,0)),""))</f>
        <v/>
      </c>
      <c r="F471" s="19"/>
      <c r="G471" s="9" t="str">
        <f aca="false">IF(OR($B471="",NOT(ISNUMBER($E471))),"",$E471-IF($F471="",0,$F471))</f>
        <v/>
      </c>
      <c r="H471" s="15" t="str">
        <f aca="false">IF($B471="","",IFERROR(INDEX(Services!$A$2:$A$120,MATCH($B471,Services!$D$2:$D$120,0)),""))</f>
        <v/>
      </c>
      <c r="I471" s="19"/>
      <c r="J471" s="15" t="str">
        <f aca="false">IF($B471="","",IFERROR(INDEX(Services!$E$2:$E$120,MATCH($B471,Services!$D$2:$D$120,0)),""))</f>
        <v/>
      </c>
    </row>
    <row r="472" customFormat="false" ht="14.25" hidden="false" customHeight="false" outlineLevel="0" collapsed="false">
      <c r="A472" s="18"/>
      <c r="B472" s="6"/>
      <c r="C472" s="6"/>
      <c r="D472" s="6"/>
      <c r="E472" s="16" t="str">
        <f aca="false">IF($B472="","",IFERROR(INDEX(Services!$C$2:$C$120,MATCH($B472,Services!$D$2:$D$120,0)),""))</f>
        <v/>
      </c>
      <c r="F472" s="19"/>
      <c r="G472" s="9" t="str">
        <f aca="false">IF(OR($B472="",NOT(ISNUMBER($E472))),"",$E472-IF($F472="",0,$F472))</f>
        <v/>
      </c>
      <c r="H472" s="15" t="str">
        <f aca="false">IF($B472="","",IFERROR(INDEX(Services!$A$2:$A$120,MATCH($B472,Services!$D$2:$D$120,0)),""))</f>
        <v/>
      </c>
      <c r="I472" s="19"/>
      <c r="J472" s="15" t="str">
        <f aca="false">IF($B472="","",IFERROR(INDEX(Services!$E$2:$E$120,MATCH($B472,Services!$D$2:$D$120,0)),""))</f>
        <v/>
      </c>
    </row>
    <row r="473" customFormat="false" ht="14.25" hidden="false" customHeight="false" outlineLevel="0" collapsed="false">
      <c r="A473" s="18"/>
      <c r="B473" s="6"/>
      <c r="C473" s="6"/>
      <c r="D473" s="6"/>
      <c r="E473" s="16" t="str">
        <f aca="false">IF($B473="","",IFERROR(INDEX(Services!$C$2:$C$120,MATCH($B473,Services!$D$2:$D$120,0)),""))</f>
        <v/>
      </c>
      <c r="F473" s="19"/>
      <c r="G473" s="9" t="str">
        <f aca="false">IF(OR($B473="",NOT(ISNUMBER($E473))),"",$E473-IF($F473="",0,$F473))</f>
        <v/>
      </c>
      <c r="H473" s="15" t="str">
        <f aca="false">IF($B473="","",IFERROR(INDEX(Services!$A$2:$A$120,MATCH($B473,Services!$D$2:$D$120,0)),""))</f>
        <v/>
      </c>
      <c r="I473" s="19"/>
      <c r="J473" s="15" t="str">
        <f aca="false">IF($B473="","",IFERROR(INDEX(Services!$E$2:$E$120,MATCH($B473,Services!$D$2:$D$120,0)),""))</f>
        <v/>
      </c>
    </row>
    <row r="474" customFormat="false" ht="14.25" hidden="false" customHeight="false" outlineLevel="0" collapsed="false">
      <c r="A474" s="18"/>
      <c r="B474" s="6"/>
      <c r="C474" s="6"/>
      <c r="D474" s="6"/>
      <c r="E474" s="16" t="str">
        <f aca="false">IF($B474="","",IFERROR(INDEX(Services!$C$2:$C$120,MATCH($B474,Services!$D$2:$D$120,0)),""))</f>
        <v/>
      </c>
      <c r="F474" s="19"/>
      <c r="G474" s="9" t="str">
        <f aca="false">IF(OR($B474="",NOT(ISNUMBER($E474))),"",$E474-IF($F474="",0,$F474))</f>
        <v/>
      </c>
      <c r="H474" s="15" t="str">
        <f aca="false">IF($B474="","",IFERROR(INDEX(Services!$A$2:$A$120,MATCH($B474,Services!$D$2:$D$120,0)),""))</f>
        <v/>
      </c>
      <c r="I474" s="19"/>
      <c r="J474" s="15" t="str">
        <f aca="false">IF($B474="","",IFERROR(INDEX(Services!$E$2:$E$120,MATCH($B474,Services!$D$2:$D$120,0)),""))</f>
        <v/>
      </c>
    </row>
    <row r="475" customFormat="false" ht="14.25" hidden="false" customHeight="false" outlineLevel="0" collapsed="false">
      <c r="A475" s="18"/>
      <c r="B475" s="6"/>
      <c r="C475" s="6"/>
      <c r="D475" s="6"/>
      <c r="E475" s="16" t="str">
        <f aca="false">IF($B475="","",IFERROR(INDEX(Services!$C$2:$C$120,MATCH($B475,Services!$D$2:$D$120,0)),""))</f>
        <v/>
      </c>
      <c r="F475" s="19"/>
      <c r="G475" s="9" t="str">
        <f aca="false">IF(OR($B475="",NOT(ISNUMBER($E475))),"",$E475-IF($F475="",0,$F475))</f>
        <v/>
      </c>
      <c r="H475" s="15" t="str">
        <f aca="false">IF($B475="","",IFERROR(INDEX(Services!$A$2:$A$120,MATCH($B475,Services!$D$2:$D$120,0)),""))</f>
        <v/>
      </c>
      <c r="I475" s="19"/>
      <c r="J475" s="15" t="str">
        <f aca="false">IF($B475="","",IFERROR(INDEX(Services!$E$2:$E$120,MATCH($B475,Services!$D$2:$D$120,0)),""))</f>
        <v/>
      </c>
    </row>
    <row r="476" customFormat="false" ht="14.25" hidden="false" customHeight="false" outlineLevel="0" collapsed="false">
      <c r="A476" s="18"/>
      <c r="B476" s="6"/>
      <c r="C476" s="6"/>
      <c r="D476" s="6"/>
      <c r="E476" s="16" t="str">
        <f aca="false">IF($B476="","",IFERROR(INDEX(Services!$C$2:$C$120,MATCH($B476,Services!$D$2:$D$120,0)),""))</f>
        <v/>
      </c>
      <c r="F476" s="19"/>
      <c r="G476" s="9" t="str">
        <f aca="false">IF(OR($B476="",NOT(ISNUMBER($E476))),"",$E476-IF($F476="",0,$F476))</f>
        <v/>
      </c>
      <c r="H476" s="15" t="str">
        <f aca="false">IF($B476="","",IFERROR(INDEX(Services!$A$2:$A$120,MATCH($B476,Services!$D$2:$D$120,0)),""))</f>
        <v/>
      </c>
      <c r="I476" s="19"/>
      <c r="J476" s="15" t="str">
        <f aca="false">IF($B476="","",IFERROR(INDEX(Services!$E$2:$E$120,MATCH($B476,Services!$D$2:$D$120,0)),""))</f>
        <v/>
      </c>
    </row>
    <row r="477" customFormat="false" ht="14.25" hidden="false" customHeight="false" outlineLevel="0" collapsed="false">
      <c r="A477" s="18"/>
      <c r="B477" s="6"/>
      <c r="C477" s="6"/>
      <c r="D477" s="6"/>
      <c r="E477" s="16" t="str">
        <f aca="false">IF($B477="","",IFERROR(INDEX(Services!$C$2:$C$120,MATCH($B477,Services!$D$2:$D$120,0)),""))</f>
        <v/>
      </c>
      <c r="F477" s="19"/>
      <c r="G477" s="9" t="str">
        <f aca="false">IF(OR($B477="",NOT(ISNUMBER($E477))),"",$E477-IF($F477="",0,$F477))</f>
        <v/>
      </c>
      <c r="H477" s="15" t="str">
        <f aca="false">IF($B477="","",IFERROR(INDEX(Services!$A$2:$A$120,MATCH($B477,Services!$D$2:$D$120,0)),""))</f>
        <v/>
      </c>
      <c r="I477" s="19"/>
      <c r="J477" s="15" t="str">
        <f aca="false">IF($B477="","",IFERROR(INDEX(Services!$E$2:$E$120,MATCH($B477,Services!$D$2:$D$120,0)),""))</f>
        <v/>
      </c>
    </row>
    <row r="478" customFormat="false" ht="14.25" hidden="false" customHeight="false" outlineLevel="0" collapsed="false">
      <c r="A478" s="18"/>
      <c r="B478" s="6"/>
      <c r="C478" s="6"/>
      <c r="D478" s="6"/>
      <c r="E478" s="16" t="str">
        <f aca="false">IF($B478="","",IFERROR(INDEX(Services!$C$2:$C$120,MATCH($B478,Services!$D$2:$D$120,0)),""))</f>
        <v/>
      </c>
      <c r="F478" s="19"/>
      <c r="G478" s="9" t="str">
        <f aca="false">IF(OR($B478="",NOT(ISNUMBER($E478))),"",$E478-IF($F478="",0,$F478))</f>
        <v/>
      </c>
      <c r="H478" s="15" t="str">
        <f aca="false">IF($B478="","",IFERROR(INDEX(Services!$A$2:$A$120,MATCH($B478,Services!$D$2:$D$120,0)),""))</f>
        <v/>
      </c>
      <c r="I478" s="19"/>
      <c r="J478" s="15" t="str">
        <f aca="false">IF($B478="","",IFERROR(INDEX(Services!$E$2:$E$120,MATCH($B478,Services!$D$2:$D$120,0)),""))</f>
        <v/>
      </c>
    </row>
    <row r="479" customFormat="false" ht="14.25" hidden="false" customHeight="false" outlineLevel="0" collapsed="false">
      <c r="A479" s="18"/>
      <c r="B479" s="6"/>
      <c r="C479" s="6"/>
      <c r="D479" s="6"/>
      <c r="E479" s="16" t="str">
        <f aca="false">IF($B479="","",IFERROR(INDEX(Services!$C$2:$C$120,MATCH($B479,Services!$D$2:$D$120,0)),""))</f>
        <v/>
      </c>
      <c r="F479" s="19"/>
      <c r="G479" s="9" t="str">
        <f aca="false">IF(OR($B479="",NOT(ISNUMBER($E479))),"",$E479-IF($F479="",0,$F479))</f>
        <v/>
      </c>
      <c r="H479" s="15" t="str">
        <f aca="false">IF($B479="","",IFERROR(INDEX(Services!$A$2:$A$120,MATCH($B479,Services!$D$2:$D$120,0)),""))</f>
        <v/>
      </c>
      <c r="I479" s="19"/>
      <c r="J479" s="15" t="str">
        <f aca="false">IF($B479="","",IFERROR(INDEX(Services!$E$2:$E$120,MATCH($B479,Services!$D$2:$D$120,0)),""))</f>
        <v/>
      </c>
    </row>
    <row r="480" customFormat="false" ht="14.25" hidden="false" customHeight="false" outlineLevel="0" collapsed="false">
      <c r="A480" s="18"/>
      <c r="B480" s="6"/>
      <c r="C480" s="6"/>
      <c r="D480" s="6"/>
      <c r="E480" s="16" t="str">
        <f aca="false">IF($B480="","",IFERROR(INDEX(Services!$C$2:$C$120,MATCH($B480,Services!$D$2:$D$120,0)),""))</f>
        <v/>
      </c>
      <c r="F480" s="19"/>
      <c r="G480" s="9" t="str">
        <f aca="false">IF(OR($B480="",NOT(ISNUMBER($E480))),"",$E480-IF($F480="",0,$F480))</f>
        <v/>
      </c>
      <c r="H480" s="15" t="str">
        <f aca="false">IF($B480="","",IFERROR(INDEX(Services!$A$2:$A$120,MATCH($B480,Services!$D$2:$D$120,0)),""))</f>
        <v/>
      </c>
      <c r="I480" s="19"/>
      <c r="J480" s="15" t="str">
        <f aca="false">IF($B480="","",IFERROR(INDEX(Services!$E$2:$E$120,MATCH($B480,Services!$D$2:$D$120,0)),""))</f>
        <v/>
      </c>
    </row>
    <row r="481" customFormat="false" ht="14.25" hidden="false" customHeight="false" outlineLevel="0" collapsed="false">
      <c r="A481" s="18"/>
      <c r="B481" s="6"/>
      <c r="C481" s="6"/>
      <c r="D481" s="6"/>
      <c r="E481" s="16" t="str">
        <f aca="false">IF($B481="","",IFERROR(INDEX(Services!$C$2:$C$120,MATCH($B481,Services!$D$2:$D$120,0)),""))</f>
        <v/>
      </c>
      <c r="F481" s="19"/>
      <c r="G481" s="9" t="str">
        <f aca="false">IF(OR($B481="",NOT(ISNUMBER($E481))),"",$E481-IF($F481="",0,$F481))</f>
        <v/>
      </c>
      <c r="H481" s="15" t="str">
        <f aca="false">IF($B481="","",IFERROR(INDEX(Services!$A$2:$A$120,MATCH($B481,Services!$D$2:$D$120,0)),""))</f>
        <v/>
      </c>
      <c r="I481" s="19"/>
      <c r="J481" s="15" t="str">
        <f aca="false">IF($B481="","",IFERROR(INDEX(Services!$E$2:$E$120,MATCH($B481,Services!$D$2:$D$120,0)),""))</f>
        <v/>
      </c>
    </row>
    <row r="482" customFormat="false" ht="14.25" hidden="false" customHeight="false" outlineLevel="0" collapsed="false">
      <c r="A482" s="18"/>
      <c r="B482" s="6"/>
      <c r="C482" s="6"/>
      <c r="D482" s="6"/>
      <c r="E482" s="16" t="str">
        <f aca="false">IF($B482="","",IFERROR(INDEX(Services!$C$2:$C$120,MATCH($B482,Services!$D$2:$D$120,0)),""))</f>
        <v/>
      </c>
      <c r="F482" s="19"/>
      <c r="G482" s="9" t="str">
        <f aca="false">IF(OR($B482="",NOT(ISNUMBER($E482))),"",$E482-IF($F482="",0,$F482))</f>
        <v/>
      </c>
      <c r="H482" s="15" t="str">
        <f aca="false">IF($B482="","",IFERROR(INDEX(Services!$A$2:$A$120,MATCH($B482,Services!$D$2:$D$120,0)),""))</f>
        <v/>
      </c>
      <c r="I482" s="19"/>
      <c r="J482" s="15" t="str">
        <f aca="false">IF($B482="","",IFERROR(INDEX(Services!$E$2:$E$120,MATCH($B482,Services!$D$2:$D$120,0)),""))</f>
        <v/>
      </c>
    </row>
    <row r="483" customFormat="false" ht="14.25" hidden="false" customHeight="false" outlineLevel="0" collapsed="false">
      <c r="A483" s="18"/>
      <c r="B483" s="6"/>
      <c r="C483" s="6"/>
      <c r="D483" s="6"/>
      <c r="E483" s="16" t="str">
        <f aca="false">IF($B483="","",IFERROR(INDEX(Services!$C$2:$C$120,MATCH($B483,Services!$D$2:$D$120,0)),""))</f>
        <v/>
      </c>
      <c r="F483" s="19"/>
      <c r="G483" s="9" t="str">
        <f aca="false">IF(OR($B483="",NOT(ISNUMBER($E483))),"",$E483-IF($F483="",0,$F483))</f>
        <v/>
      </c>
      <c r="H483" s="15" t="str">
        <f aca="false">IF($B483="","",IFERROR(INDEX(Services!$A$2:$A$120,MATCH($B483,Services!$D$2:$D$120,0)),""))</f>
        <v/>
      </c>
      <c r="I483" s="19"/>
      <c r="J483" s="15" t="str">
        <f aca="false">IF($B483="","",IFERROR(INDEX(Services!$E$2:$E$120,MATCH($B483,Services!$D$2:$D$120,0)),""))</f>
        <v/>
      </c>
    </row>
    <row r="484" customFormat="false" ht="14.25" hidden="false" customHeight="false" outlineLevel="0" collapsed="false">
      <c r="A484" s="18"/>
      <c r="B484" s="6"/>
      <c r="C484" s="6"/>
      <c r="D484" s="6"/>
      <c r="E484" s="16" t="str">
        <f aca="false">IF($B484="","",IFERROR(INDEX(Services!$C$2:$C$120,MATCH($B484,Services!$D$2:$D$120,0)),""))</f>
        <v/>
      </c>
      <c r="F484" s="19"/>
      <c r="G484" s="9" t="str">
        <f aca="false">IF(OR($B484="",NOT(ISNUMBER($E484))),"",$E484-IF($F484="",0,$F484))</f>
        <v/>
      </c>
      <c r="H484" s="15" t="str">
        <f aca="false">IF($B484="","",IFERROR(INDEX(Services!$A$2:$A$120,MATCH($B484,Services!$D$2:$D$120,0)),""))</f>
        <v/>
      </c>
      <c r="I484" s="19"/>
      <c r="J484" s="15" t="str">
        <f aca="false">IF($B484="","",IFERROR(INDEX(Services!$E$2:$E$120,MATCH($B484,Services!$D$2:$D$120,0)),""))</f>
        <v/>
      </c>
    </row>
    <row r="485" customFormat="false" ht="14.25" hidden="false" customHeight="false" outlineLevel="0" collapsed="false">
      <c r="A485" s="18"/>
      <c r="B485" s="6"/>
      <c r="C485" s="6"/>
      <c r="D485" s="6"/>
      <c r="E485" s="16" t="str">
        <f aca="false">IF($B485="","",IFERROR(INDEX(Services!$C$2:$C$120,MATCH($B485,Services!$D$2:$D$120,0)),""))</f>
        <v/>
      </c>
      <c r="F485" s="19"/>
      <c r="G485" s="9" t="str">
        <f aca="false">IF(OR($B485="",NOT(ISNUMBER($E485))),"",$E485-IF($F485="",0,$F485))</f>
        <v/>
      </c>
      <c r="H485" s="15" t="str">
        <f aca="false">IF($B485="","",IFERROR(INDEX(Services!$A$2:$A$120,MATCH($B485,Services!$D$2:$D$120,0)),""))</f>
        <v/>
      </c>
      <c r="I485" s="19"/>
      <c r="J485" s="15" t="str">
        <f aca="false">IF($B485="","",IFERROR(INDEX(Services!$E$2:$E$120,MATCH($B485,Services!$D$2:$D$120,0)),""))</f>
        <v/>
      </c>
    </row>
    <row r="486" customFormat="false" ht="14.25" hidden="false" customHeight="false" outlineLevel="0" collapsed="false">
      <c r="A486" s="18"/>
      <c r="B486" s="6"/>
      <c r="C486" s="6"/>
      <c r="D486" s="6"/>
      <c r="E486" s="16" t="str">
        <f aca="false">IF($B486="","",IFERROR(INDEX(Services!$C$2:$C$120,MATCH($B486,Services!$D$2:$D$120,0)),""))</f>
        <v/>
      </c>
      <c r="F486" s="19"/>
      <c r="G486" s="9" t="str">
        <f aca="false">IF(OR($B486="",NOT(ISNUMBER($E486))),"",$E486-IF($F486="",0,$F486))</f>
        <v/>
      </c>
      <c r="H486" s="15" t="str">
        <f aca="false">IF($B486="","",IFERROR(INDEX(Services!$A$2:$A$120,MATCH($B486,Services!$D$2:$D$120,0)),""))</f>
        <v/>
      </c>
      <c r="I486" s="19"/>
      <c r="J486" s="15" t="str">
        <f aca="false">IF($B486="","",IFERROR(INDEX(Services!$E$2:$E$120,MATCH($B486,Services!$D$2:$D$120,0)),""))</f>
        <v/>
      </c>
    </row>
    <row r="487" customFormat="false" ht="14.25" hidden="false" customHeight="false" outlineLevel="0" collapsed="false">
      <c r="A487" s="18"/>
      <c r="B487" s="6"/>
      <c r="C487" s="6"/>
      <c r="D487" s="6"/>
      <c r="E487" s="16" t="str">
        <f aca="false">IF($B487="","",IFERROR(INDEX(Services!$C$2:$C$120,MATCH($B487,Services!$D$2:$D$120,0)),""))</f>
        <v/>
      </c>
      <c r="F487" s="19"/>
      <c r="G487" s="9" t="str">
        <f aca="false">IF(OR($B487="",NOT(ISNUMBER($E487))),"",$E487-IF($F487="",0,$F487))</f>
        <v/>
      </c>
      <c r="H487" s="15" t="str">
        <f aca="false">IF($B487="","",IFERROR(INDEX(Services!$A$2:$A$120,MATCH($B487,Services!$D$2:$D$120,0)),""))</f>
        <v/>
      </c>
      <c r="I487" s="19"/>
      <c r="J487" s="15" t="str">
        <f aca="false">IF($B487="","",IFERROR(INDEX(Services!$E$2:$E$120,MATCH($B487,Services!$D$2:$D$120,0)),""))</f>
        <v/>
      </c>
    </row>
    <row r="488" customFormat="false" ht="14.25" hidden="false" customHeight="false" outlineLevel="0" collapsed="false">
      <c r="A488" s="18"/>
      <c r="B488" s="6"/>
      <c r="C488" s="6"/>
      <c r="D488" s="6"/>
      <c r="E488" s="16" t="str">
        <f aca="false">IF($B488="","",IFERROR(INDEX(Services!$C$2:$C$120,MATCH($B488,Services!$D$2:$D$120,0)),""))</f>
        <v/>
      </c>
      <c r="F488" s="19"/>
      <c r="G488" s="9" t="str">
        <f aca="false">IF(OR($B488="",NOT(ISNUMBER($E488))),"",$E488-IF($F488="",0,$F488))</f>
        <v/>
      </c>
      <c r="H488" s="15" t="str">
        <f aca="false">IF($B488="","",IFERROR(INDEX(Services!$A$2:$A$120,MATCH($B488,Services!$D$2:$D$120,0)),""))</f>
        <v/>
      </c>
      <c r="I488" s="19"/>
      <c r="J488" s="15" t="str">
        <f aca="false">IF($B488="","",IFERROR(INDEX(Services!$E$2:$E$120,MATCH($B488,Services!$D$2:$D$120,0)),""))</f>
        <v/>
      </c>
    </row>
    <row r="489" customFormat="false" ht="14.25" hidden="false" customHeight="false" outlineLevel="0" collapsed="false">
      <c r="A489" s="18"/>
      <c r="B489" s="6"/>
      <c r="C489" s="6"/>
      <c r="D489" s="6"/>
      <c r="E489" s="16" t="str">
        <f aca="false">IF($B489="","",IFERROR(INDEX(Services!$C$2:$C$120,MATCH($B489,Services!$D$2:$D$120,0)),""))</f>
        <v/>
      </c>
      <c r="F489" s="19"/>
      <c r="G489" s="9" t="str">
        <f aca="false">IF(OR($B489="",NOT(ISNUMBER($E489))),"",$E489-IF($F489="",0,$F489))</f>
        <v/>
      </c>
      <c r="H489" s="15" t="str">
        <f aca="false">IF($B489="","",IFERROR(INDEX(Services!$A$2:$A$120,MATCH($B489,Services!$D$2:$D$120,0)),""))</f>
        <v/>
      </c>
      <c r="I489" s="19"/>
      <c r="J489" s="15" t="str">
        <f aca="false">IF($B489="","",IFERROR(INDEX(Services!$E$2:$E$120,MATCH($B489,Services!$D$2:$D$120,0)),""))</f>
        <v/>
      </c>
    </row>
    <row r="490" customFormat="false" ht="14.25" hidden="false" customHeight="false" outlineLevel="0" collapsed="false">
      <c r="A490" s="18"/>
      <c r="B490" s="6"/>
      <c r="C490" s="6"/>
      <c r="D490" s="6"/>
      <c r="E490" s="16" t="str">
        <f aca="false">IF($B490="","",IFERROR(INDEX(Services!$C$2:$C$120,MATCH($B490,Services!$D$2:$D$120,0)),""))</f>
        <v/>
      </c>
      <c r="F490" s="19"/>
      <c r="G490" s="9" t="str">
        <f aca="false">IF(OR($B490="",NOT(ISNUMBER($E490))),"",$E490-IF($F490="",0,$F490))</f>
        <v/>
      </c>
      <c r="H490" s="15" t="str">
        <f aca="false">IF($B490="","",IFERROR(INDEX(Services!$A$2:$A$120,MATCH($B490,Services!$D$2:$D$120,0)),""))</f>
        <v/>
      </c>
      <c r="I490" s="19"/>
      <c r="J490" s="15" t="str">
        <f aca="false">IF($B490="","",IFERROR(INDEX(Services!$E$2:$E$120,MATCH($B490,Services!$D$2:$D$120,0)),""))</f>
        <v/>
      </c>
    </row>
    <row r="491" customFormat="false" ht="14.25" hidden="false" customHeight="false" outlineLevel="0" collapsed="false">
      <c r="A491" s="18"/>
      <c r="B491" s="6"/>
      <c r="C491" s="6"/>
      <c r="D491" s="6"/>
      <c r="E491" s="16" t="str">
        <f aca="false">IF($B491="","",IFERROR(INDEX(Services!$C$2:$C$120,MATCH($B491,Services!$D$2:$D$120,0)),""))</f>
        <v/>
      </c>
      <c r="F491" s="19"/>
      <c r="G491" s="9" t="str">
        <f aca="false">IF(OR($B491="",NOT(ISNUMBER($E491))),"",$E491-IF($F491="",0,$F491))</f>
        <v/>
      </c>
      <c r="H491" s="15" t="str">
        <f aca="false">IF($B491="","",IFERROR(INDEX(Services!$A$2:$A$120,MATCH($B491,Services!$D$2:$D$120,0)),""))</f>
        <v/>
      </c>
      <c r="I491" s="19"/>
      <c r="J491" s="15" t="str">
        <f aca="false">IF($B491="","",IFERROR(INDEX(Services!$E$2:$E$120,MATCH($B491,Services!$D$2:$D$120,0)),""))</f>
        <v/>
      </c>
    </row>
    <row r="492" customFormat="false" ht="14.25" hidden="false" customHeight="false" outlineLevel="0" collapsed="false">
      <c r="A492" s="18"/>
      <c r="B492" s="6"/>
      <c r="C492" s="6"/>
      <c r="D492" s="6"/>
      <c r="E492" s="16" t="str">
        <f aca="false">IF($B492="","",IFERROR(INDEX(Services!$C$2:$C$120,MATCH($B492,Services!$D$2:$D$120,0)),""))</f>
        <v/>
      </c>
      <c r="F492" s="19"/>
      <c r="G492" s="9" t="str">
        <f aca="false">IF(OR($B492="",NOT(ISNUMBER($E492))),"",$E492-IF($F492="",0,$F492))</f>
        <v/>
      </c>
      <c r="H492" s="15" t="str">
        <f aca="false">IF($B492="","",IFERROR(INDEX(Services!$A$2:$A$120,MATCH($B492,Services!$D$2:$D$120,0)),""))</f>
        <v/>
      </c>
      <c r="I492" s="19"/>
      <c r="J492" s="15" t="str">
        <f aca="false">IF($B492="","",IFERROR(INDEX(Services!$E$2:$E$120,MATCH($B492,Services!$D$2:$D$120,0)),""))</f>
        <v/>
      </c>
    </row>
    <row r="493" customFormat="false" ht="14.25" hidden="false" customHeight="false" outlineLevel="0" collapsed="false">
      <c r="A493" s="18"/>
      <c r="B493" s="6"/>
      <c r="C493" s="6"/>
      <c r="D493" s="6"/>
      <c r="E493" s="16" t="str">
        <f aca="false">IF($B493="","",IFERROR(INDEX(Services!$C$2:$C$120,MATCH($B493,Services!$D$2:$D$120,0)),""))</f>
        <v/>
      </c>
      <c r="F493" s="19"/>
      <c r="G493" s="9" t="str">
        <f aca="false">IF(OR($B493="",NOT(ISNUMBER($E493))),"",$E493-IF($F493="",0,$F493))</f>
        <v/>
      </c>
      <c r="H493" s="15" t="str">
        <f aca="false">IF($B493="","",IFERROR(INDEX(Services!$A$2:$A$120,MATCH($B493,Services!$D$2:$D$120,0)),""))</f>
        <v/>
      </c>
      <c r="I493" s="19"/>
      <c r="J493" s="15" t="str">
        <f aca="false">IF($B493="","",IFERROR(INDEX(Services!$E$2:$E$120,MATCH($B493,Services!$D$2:$D$120,0)),""))</f>
        <v/>
      </c>
    </row>
    <row r="494" customFormat="false" ht="14.25" hidden="false" customHeight="false" outlineLevel="0" collapsed="false">
      <c r="A494" s="18"/>
      <c r="B494" s="6"/>
      <c r="C494" s="6"/>
      <c r="D494" s="6"/>
      <c r="E494" s="16" t="str">
        <f aca="false">IF($B494="","",IFERROR(INDEX(Services!$C$2:$C$120,MATCH($B494,Services!$D$2:$D$120,0)),""))</f>
        <v/>
      </c>
      <c r="F494" s="19"/>
      <c r="G494" s="9" t="str">
        <f aca="false">IF(OR($B494="",NOT(ISNUMBER($E494))),"",$E494-IF($F494="",0,$F494))</f>
        <v/>
      </c>
      <c r="H494" s="15" t="str">
        <f aca="false">IF($B494="","",IFERROR(INDEX(Services!$A$2:$A$120,MATCH($B494,Services!$D$2:$D$120,0)),""))</f>
        <v/>
      </c>
      <c r="I494" s="19"/>
      <c r="J494" s="15" t="str">
        <f aca="false">IF($B494="","",IFERROR(INDEX(Services!$E$2:$E$120,MATCH($B494,Services!$D$2:$D$120,0)),""))</f>
        <v/>
      </c>
    </row>
    <row r="495" customFormat="false" ht="14.25" hidden="false" customHeight="false" outlineLevel="0" collapsed="false">
      <c r="A495" s="18"/>
      <c r="B495" s="6"/>
      <c r="C495" s="6"/>
      <c r="D495" s="6"/>
      <c r="E495" s="16" t="str">
        <f aca="false">IF($B495="","",IFERROR(INDEX(Services!$C$2:$C$120,MATCH($B495,Services!$D$2:$D$120,0)),""))</f>
        <v/>
      </c>
      <c r="F495" s="19"/>
      <c r="G495" s="9" t="str">
        <f aca="false">IF(OR($B495="",NOT(ISNUMBER($E495))),"",$E495-IF($F495="",0,$F495))</f>
        <v/>
      </c>
      <c r="H495" s="15" t="str">
        <f aca="false">IF($B495="","",IFERROR(INDEX(Services!$A$2:$A$120,MATCH($B495,Services!$D$2:$D$120,0)),""))</f>
        <v/>
      </c>
      <c r="I495" s="19"/>
      <c r="J495" s="15" t="str">
        <f aca="false">IF($B495="","",IFERROR(INDEX(Services!$E$2:$E$120,MATCH($B495,Services!$D$2:$D$120,0)),""))</f>
        <v/>
      </c>
    </row>
    <row r="496" customFormat="false" ht="14.25" hidden="false" customHeight="false" outlineLevel="0" collapsed="false">
      <c r="A496" s="18"/>
      <c r="B496" s="6"/>
      <c r="C496" s="6"/>
      <c r="D496" s="6"/>
      <c r="E496" s="16" t="str">
        <f aca="false">IF($B496="","",IFERROR(INDEX(Services!$C$2:$C$120,MATCH($B496,Services!$D$2:$D$120,0)),""))</f>
        <v/>
      </c>
      <c r="F496" s="19"/>
      <c r="G496" s="9" t="str">
        <f aca="false">IF(OR($B496="",NOT(ISNUMBER($E496))),"",$E496-IF($F496="",0,$F496))</f>
        <v/>
      </c>
      <c r="H496" s="15" t="str">
        <f aca="false">IF($B496="","",IFERROR(INDEX(Services!$A$2:$A$120,MATCH($B496,Services!$D$2:$D$120,0)),""))</f>
        <v/>
      </c>
      <c r="I496" s="19"/>
      <c r="J496" s="15" t="str">
        <f aca="false">IF($B496="","",IFERROR(INDEX(Services!$E$2:$E$120,MATCH($B496,Services!$D$2:$D$120,0)),""))</f>
        <v/>
      </c>
    </row>
    <row r="497" customFormat="false" ht="14.25" hidden="false" customHeight="false" outlineLevel="0" collapsed="false">
      <c r="A497" s="18"/>
      <c r="B497" s="6"/>
      <c r="C497" s="6"/>
      <c r="D497" s="6"/>
      <c r="E497" s="16" t="str">
        <f aca="false">IF($B497="","",IFERROR(INDEX(Services!$C$2:$C$120,MATCH($B497,Services!$D$2:$D$120,0)),""))</f>
        <v/>
      </c>
      <c r="F497" s="19"/>
      <c r="G497" s="9" t="str">
        <f aca="false">IF(OR($B497="",NOT(ISNUMBER($E497))),"",$E497-IF($F497="",0,$F497))</f>
        <v/>
      </c>
      <c r="H497" s="15" t="str">
        <f aca="false">IF($B497="","",IFERROR(INDEX(Services!$A$2:$A$120,MATCH($B497,Services!$D$2:$D$120,0)),""))</f>
        <v/>
      </c>
      <c r="I497" s="19"/>
      <c r="J497" s="15" t="str">
        <f aca="false">IF($B497="","",IFERROR(INDEX(Services!$E$2:$E$120,MATCH($B497,Services!$D$2:$D$120,0)),""))</f>
        <v/>
      </c>
    </row>
    <row r="498" customFormat="false" ht="14.25" hidden="false" customHeight="false" outlineLevel="0" collapsed="false">
      <c r="A498" s="18"/>
      <c r="B498" s="6"/>
      <c r="C498" s="6"/>
      <c r="D498" s="6"/>
      <c r="E498" s="16" t="str">
        <f aca="false">IF($B498="","",IFERROR(INDEX(Services!$C$2:$C$120,MATCH($B498,Services!$D$2:$D$120,0)),""))</f>
        <v/>
      </c>
      <c r="F498" s="19"/>
      <c r="G498" s="9" t="str">
        <f aca="false">IF(OR($B498="",NOT(ISNUMBER($E498))),"",$E498-IF($F498="",0,$F498))</f>
        <v/>
      </c>
      <c r="H498" s="15" t="str">
        <f aca="false">IF($B498="","",IFERROR(INDEX(Services!$A$2:$A$120,MATCH($B498,Services!$D$2:$D$120,0)),""))</f>
        <v/>
      </c>
      <c r="I498" s="19"/>
      <c r="J498" s="15" t="str">
        <f aca="false">IF($B498="","",IFERROR(INDEX(Services!$E$2:$E$120,MATCH($B498,Services!$D$2:$D$120,0)),""))</f>
        <v/>
      </c>
    </row>
    <row r="499" customFormat="false" ht="14.25" hidden="false" customHeight="false" outlineLevel="0" collapsed="false">
      <c r="A499" s="18"/>
      <c r="B499" s="6"/>
      <c r="C499" s="6"/>
      <c r="D499" s="6"/>
      <c r="E499" s="16" t="str">
        <f aca="false">IF($B499="","",IFERROR(INDEX(Services!$C$2:$C$120,MATCH($B499,Services!$D$2:$D$120,0)),""))</f>
        <v/>
      </c>
      <c r="F499" s="19"/>
      <c r="G499" s="9" t="str">
        <f aca="false">IF(OR($B499="",NOT(ISNUMBER($E499))),"",$E499-IF($F499="",0,$F499))</f>
        <v/>
      </c>
      <c r="H499" s="15" t="str">
        <f aca="false">IF($B499="","",IFERROR(INDEX(Services!$A$2:$A$120,MATCH($B499,Services!$D$2:$D$120,0)),""))</f>
        <v/>
      </c>
      <c r="I499" s="19"/>
      <c r="J499" s="15" t="str">
        <f aca="false">IF($B499="","",IFERROR(INDEX(Services!$E$2:$E$120,MATCH($B499,Services!$D$2:$D$120,0)),""))</f>
        <v/>
      </c>
    </row>
    <row r="500" customFormat="false" ht="14.25" hidden="false" customHeight="false" outlineLevel="0" collapsed="false">
      <c r="A500" s="18"/>
      <c r="B500" s="6"/>
      <c r="C500" s="6"/>
      <c r="D500" s="6"/>
      <c r="E500" s="16" t="str">
        <f aca="false">IF($B500="","",IFERROR(INDEX(Services!$C$2:$C$120,MATCH($B500,Services!$D$2:$D$120,0)),""))</f>
        <v/>
      </c>
      <c r="F500" s="19"/>
      <c r="G500" s="9" t="str">
        <f aca="false">IF(OR($B500="",NOT(ISNUMBER($E500))),"",$E500-IF($F500="",0,$F500))</f>
        <v/>
      </c>
      <c r="H500" s="15" t="str">
        <f aca="false">IF($B500="","",IFERROR(INDEX(Services!$A$2:$A$120,MATCH($B500,Services!$D$2:$D$120,0)),""))</f>
        <v/>
      </c>
      <c r="I500" s="19"/>
      <c r="J500" s="15" t="str">
        <f aca="false">IF($B500="","",IFERROR(INDEX(Services!$E$2:$E$120,MATCH($B500,Services!$D$2:$D$120,0)),""))</f>
        <v/>
      </c>
    </row>
    <row r="501" customFormat="false" ht="14.25" hidden="false" customHeight="false" outlineLevel="0" collapsed="false">
      <c r="A501" s="18"/>
      <c r="B501" s="6"/>
      <c r="C501" s="6"/>
      <c r="D501" s="6"/>
      <c r="E501" s="16" t="str">
        <f aca="false">IF($B501="","",IFERROR(INDEX(Services!$C$2:$C$120,MATCH($B501,Services!$D$2:$D$120,0)),""))</f>
        <v/>
      </c>
      <c r="F501" s="19"/>
      <c r="G501" s="9" t="str">
        <f aca="false">IF(OR($B501="",NOT(ISNUMBER($E501))),"",$E501-IF($F501="",0,$F501))</f>
        <v/>
      </c>
      <c r="H501" s="15" t="str">
        <f aca="false">IF($B501="","",IFERROR(INDEX(Services!$A$2:$A$120,MATCH($B501,Services!$D$2:$D$120,0)),""))</f>
        <v/>
      </c>
      <c r="I501" s="19"/>
      <c r="J501" s="15" t="str">
        <f aca="false">IF($B501="","",IFERROR(INDEX(Services!$E$2:$E$120,MATCH($B501,Services!$D$2:$D$120,0)),""))</f>
        <v/>
      </c>
    </row>
    <row r="502" customFormat="false" ht="14.25" hidden="false" customHeight="false" outlineLevel="0" collapsed="false">
      <c r="A502" s="18"/>
      <c r="B502" s="6"/>
      <c r="C502" s="6"/>
      <c r="D502" s="6"/>
      <c r="E502" s="16" t="str">
        <f aca="false">IF($B502="","",IFERROR(INDEX(Services!$C$2:$C$120,MATCH($B502,Services!$D$2:$D$120,0)),""))</f>
        <v/>
      </c>
      <c r="F502" s="19"/>
      <c r="G502" s="9" t="str">
        <f aca="false">IF(OR($B502="",NOT(ISNUMBER($E502))),"",$E502-IF($F502="",0,$F502))</f>
        <v/>
      </c>
      <c r="H502" s="15" t="str">
        <f aca="false">IF($B502="","",IFERROR(INDEX(Services!$A$2:$A$120,MATCH($B502,Services!$D$2:$D$120,0)),""))</f>
        <v/>
      </c>
      <c r="I502" s="19"/>
      <c r="J502" s="15" t="str">
        <f aca="false">IF($B502="","",IFERROR(INDEX(Services!$E$2:$E$120,MATCH($B502,Services!$D$2:$D$120,0)),""))</f>
        <v/>
      </c>
    </row>
    <row r="503" customFormat="false" ht="14.25" hidden="false" customHeight="false" outlineLevel="0" collapsed="false">
      <c r="A503" s="18"/>
      <c r="B503" s="6"/>
      <c r="C503" s="6"/>
      <c r="D503" s="6"/>
      <c r="E503" s="16" t="str">
        <f aca="false">IF($B503="","",IFERROR(INDEX(Services!$C$2:$C$120,MATCH($B503,Services!$D$2:$D$120,0)),""))</f>
        <v/>
      </c>
      <c r="F503" s="19"/>
      <c r="G503" s="9" t="str">
        <f aca="false">IF(OR($B503="",NOT(ISNUMBER($E503))),"",$E503-IF($F503="",0,$F503))</f>
        <v/>
      </c>
      <c r="H503" s="15" t="str">
        <f aca="false">IF($B503="","",IFERROR(INDEX(Services!$A$2:$A$120,MATCH($B503,Services!$D$2:$D$120,0)),""))</f>
        <v/>
      </c>
      <c r="I503" s="19"/>
      <c r="J503" s="15" t="str">
        <f aca="false">IF($B503="","",IFERROR(INDEX(Services!$E$2:$E$120,MATCH($B503,Services!$D$2:$D$120,0)),""))</f>
        <v/>
      </c>
    </row>
    <row r="504" customFormat="false" ht="14.25" hidden="false" customHeight="false" outlineLevel="0" collapsed="false">
      <c r="A504" s="18"/>
      <c r="B504" s="6"/>
      <c r="C504" s="6"/>
      <c r="D504" s="6"/>
      <c r="E504" s="16" t="str">
        <f aca="false">IF($B504="","",IFERROR(INDEX(Services!$C$2:$C$120,MATCH($B504,Services!$D$2:$D$120,0)),""))</f>
        <v/>
      </c>
      <c r="F504" s="19"/>
      <c r="G504" s="9" t="str">
        <f aca="false">IF(OR($B504="",NOT(ISNUMBER($E504))),"",$E504-IF($F504="",0,$F504))</f>
        <v/>
      </c>
      <c r="H504" s="15" t="str">
        <f aca="false">IF($B504="","",IFERROR(INDEX(Services!$A$2:$A$120,MATCH($B504,Services!$D$2:$D$120,0)),""))</f>
        <v/>
      </c>
      <c r="I504" s="19"/>
      <c r="J504" s="15" t="str">
        <f aca="false">IF($B504="","",IFERROR(INDEX(Services!$E$2:$E$120,MATCH($B504,Services!$D$2:$D$120,0)),""))</f>
        <v/>
      </c>
    </row>
    <row r="505" customFormat="false" ht="14.25" hidden="false" customHeight="false" outlineLevel="0" collapsed="false">
      <c r="A505" s="18"/>
      <c r="B505" s="6"/>
      <c r="C505" s="6"/>
      <c r="D505" s="6"/>
      <c r="E505" s="16" t="str">
        <f aca="false">IF($B505="","",IFERROR(INDEX(Services!$C$2:$C$120,MATCH($B505,Services!$D$2:$D$120,0)),""))</f>
        <v/>
      </c>
      <c r="F505" s="19"/>
      <c r="G505" s="9" t="str">
        <f aca="false">IF(OR($B505="",NOT(ISNUMBER($E505))),"",$E505-IF($F505="",0,$F505))</f>
        <v/>
      </c>
      <c r="H505" s="15" t="str">
        <f aca="false">IF($B505="","",IFERROR(INDEX(Services!$A$2:$A$120,MATCH($B505,Services!$D$2:$D$120,0)),""))</f>
        <v/>
      </c>
      <c r="I505" s="19"/>
      <c r="J505" s="15" t="str">
        <f aca="false">IF($B505="","",IFERROR(INDEX(Services!$E$2:$E$120,MATCH($B505,Services!$D$2:$D$120,0)),""))</f>
        <v/>
      </c>
    </row>
    <row r="506" customFormat="false" ht="14.25" hidden="false" customHeight="false" outlineLevel="0" collapsed="false">
      <c r="A506" s="18"/>
      <c r="B506" s="6"/>
      <c r="C506" s="6"/>
      <c r="D506" s="6"/>
      <c r="E506" s="16" t="str">
        <f aca="false">IF($B506="","",IFERROR(INDEX(Services!$C$2:$C$120,MATCH($B506,Services!$D$2:$D$120,0)),""))</f>
        <v/>
      </c>
      <c r="F506" s="19"/>
      <c r="G506" s="9" t="str">
        <f aca="false">IF(OR($B506="",NOT(ISNUMBER($E506))),"",$E506-IF($F506="",0,$F506))</f>
        <v/>
      </c>
      <c r="H506" s="15" t="str">
        <f aca="false">IF($B506="","",IFERROR(INDEX(Services!$A$2:$A$120,MATCH($B506,Services!$D$2:$D$120,0)),""))</f>
        <v/>
      </c>
      <c r="I506" s="19"/>
      <c r="J506" s="15" t="str">
        <f aca="false">IF($B506="","",IFERROR(INDEX(Services!$E$2:$E$120,MATCH($B506,Services!$D$2:$D$120,0)),""))</f>
        <v/>
      </c>
    </row>
    <row r="507" customFormat="false" ht="14.25" hidden="false" customHeight="false" outlineLevel="0" collapsed="false">
      <c r="A507" s="18"/>
      <c r="B507" s="6"/>
      <c r="C507" s="6"/>
      <c r="D507" s="6"/>
      <c r="E507" s="16" t="str">
        <f aca="false">IF($B507="","",IFERROR(INDEX(Services!$C$2:$C$120,MATCH($B507,Services!$D$2:$D$120,0)),""))</f>
        <v/>
      </c>
      <c r="F507" s="19"/>
      <c r="G507" s="9" t="str">
        <f aca="false">IF(OR($B507="",NOT(ISNUMBER($E507))),"",$E507-IF($F507="",0,$F507))</f>
        <v/>
      </c>
      <c r="H507" s="15" t="str">
        <f aca="false">IF($B507="","",IFERROR(INDEX(Services!$A$2:$A$120,MATCH($B507,Services!$D$2:$D$120,0)),""))</f>
        <v/>
      </c>
      <c r="I507" s="19"/>
      <c r="J507" s="15" t="str">
        <f aca="false">IF($B507="","",IFERROR(INDEX(Services!$E$2:$E$120,MATCH($B507,Services!$D$2:$D$120,0)),""))</f>
        <v/>
      </c>
    </row>
    <row r="508" customFormat="false" ht="14.25" hidden="false" customHeight="false" outlineLevel="0" collapsed="false">
      <c r="A508" s="18"/>
      <c r="B508" s="6"/>
      <c r="C508" s="6"/>
      <c r="D508" s="6"/>
      <c r="E508" s="16" t="str">
        <f aca="false">IF($B508="","",IFERROR(INDEX(Services!$C$2:$C$120,MATCH($B508,Services!$D$2:$D$120,0)),""))</f>
        <v/>
      </c>
      <c r="F508" s="19"/>
      <c r="G508" s="9" t="str">
        <f aca="false">IF(OR($B508="",NOT(ISNUMBER($E508))),"",$E508-IF($F508="",0,$F508))</f>
        <v/>
      </c>
      <c r="H508" s="15" t="str">
        <f aca="false">IF($B508="","",IFERROR(INDEX(Services!$A$2:$A$120,MATCH($B508,Services!$D$2:$D$120,0)),""))</f>
        <v/>
      </c>
      <c r="I508" s="19"/>
      <c r="J508" s="15" t="str">
        <f aca="false">IF($B508="","",IFERROR(INDEX(Services!$E$2:$E$120,MATCH($B508,Services!$D$2:$D$120,0)),""))</f>
        <v/>
      </c>
    </row>
    <row r="509" customFormat="false" ht="14.25" hidden="false" customHeight="false" outlineLevel="0" collapsed="false">
      <c r="A509" s="18"/>
      <c r="B509" s="6"/>
      <c r="C509" s="6"/>
      <c r="D509" s="6"/>
      <c r="E509" s="16" t="str">
        <f aca="false">IF($B509="","",IFERROR(INDEX(Services!$C$2:$C$120,MATCH($B509,Services!$D$2:$D$120,0)),""))</f>
        <v/>
      </c>
      <c r="F509" s="19"/>
      <c r="G509" s="9" t="str">
        <f aca="false">IF(OR($B509="",NOT(ISNUMBER($E509))),"",$E509-IF($F509="",0,$F509))</f>
        <v/>
      </c>
      <c r="H509" s="15" t="str">
        <f aca="false">IF($B509="","",IFERROR(INDEX(Services!$A$2:$A$120,MATCH($B509,Services!$D$2:$D$120,0)),""))</f>
        <v/>
      </c>
      <c r="I509" s="19"/>
      <c r="J509" s="15" t="str">
        <f aca="false">IF($B509="","",IFERROR(INDEX(Services!$E$2:$E$120,MATCH($B509,Services!$D$2:$D$120,0)),""))</f>
        <v/>
      </c>
    </row>
    <row r="510" customFormat="false" ht="14.25" hidden="false" customHeight="false" outlineLevel="0" collapsed="false">
      <c r="A510" s="18"/>
      <c r="B510" s="6"/>
      <c r="C510" s="6"/>
      <c r="D510" s="6"/>
      <c r="E510" s="16" t="str">
        <f aca="false">IF($B510="","",IFERROR(INDEX(Services!$C$2:$C$120,MATCH($B510,Services!$D$2:$D$120,0)),""))</f>
        <v/>
      </c>
      <c r="F510" s="19"/>
      <c r="G510" s="9" t="str">
        <f aca="false">IF(OR($B510="",NOT(ISNUMBER($E510))),"",$E510-IF($F510="",0,$F510))</f>
        <v/>
      </c>
      <c r="H510" s="15" t="str">
        <f aca="false">IF($B510="","",IFERROR(INDEX(Services!$A$2:$A$120,MATCH($B510,Services!$D$2:$D$120,0)),""))</f>
        <v/>
      </c>
      <c r="I510" s="19"/>
      <c r="J510" s="15" t="str">
        <f aca="false">IF($B510="","",IFERROR(INDEX(Services!$E$2:$E$120,MATCH($B510,Services!$D$2:$D$120,0)),""))</f>
        <v/>
      </c>
    </row>
    <row r="511" customFormat="false" ht="14.25" hidden="false" customHeight="false" outlineLevel="0" collapsed="false">
      <c r="A511" s="18"/>
      <c r="B511" s="6"/>
      <c r="C511" s="6"/>
      <c r="D511" s="6"/>
      <c r="E511" s="16" t="str">
        <f aca="false">IF($B511="","",IFERROR(INDEX(Services!$C$2:$C$120,MATCH($B511,Services!$D$2:$D$120,0)),""))</f>
        <v/>
      </c>
      <c r="F511" s="19"/>
      <c r="G511" s="9" t="str">
        <f aca="false">IF(OR($B511="",NOT(ISNUMBER($E511))),"",$E511-IF($F511="",0,$F511))</f>
        <v/>
      </c>
      <c r="H511" s="15" t="str">
        <f aca="false">IF($B511="","",IFERROR(INDEX(Services!$A$2:$A$120,MATCH($B511,Services!$D$2:$D$120,0)),""))</f>
        <v/>
      </c>
      <c r="I511" s="19"/>
      <c r="J511" s="15" t="str">
        <f aca="false">IF($B511="","",IFERROR(INDEX(Services!$E$2:$E$120,MATCH($B511,Services!$D$2:$D$120,0)),""))</f>
        <v/>
      </c>
    </row>
    <row r="512" customFormat="false" ht="14.25" hidden="false" customHeight="false" outlineLevel="0" collapsed="false">
      <c r="A512" s="18"/>
      <c r="B512" s="6"/>
      <c r="C512" s="6"/>
      <c r="D512" s="6"/>
      <c r="E512" s="16" t="str">
        <f aca="false">IF($B512="","",IFERROR(INDEX(Services!$C$2:$C$120,MATCH($B512,Services!$D$2:$D$120,0)),""))</f>
        <v/>
      </c>
      <c r="F512" s="19"/>
      <c r="G512" s="9" t="str">
        <f aca="false">IF(OR($B512="",NOT(ISNUMBER($E512))),"",$E512-IF($F512="",0,$F512))</f>
        <v/>
      </c>
      <c r="H512" s="15" t="str">
        <f aca="false">IF($B512="","",IFERROR(INDEX(Services!$A$2:$A$120,MATCH($B512,Services!$D$2:$D$120,0)),""))</f>
        <v/>
      </c>
      <c r="I512" s="19"/>
      <c r="J512" s="15" t="str">
        <f aca="false">IF($B512="","",IFERROR(INDEX(Services!$E$2:$E$120,MATCH($B512,Services!$D$2:$D$120,0)),""))</f>
        <v/>
      </c>
    </row>
    <row r="513" customFormat="false" ht="14.25" hidden="false" customHeight="false" outlineLevel="0" collapsed="false">
      <c r="A513" s="18"/>
      <c r="B513" s="6"/>
      <c r="C513" s="6"/>
      <c r="D513" s="6"/>
      <c r="E513" s="16" t="str">
        <f aca="false">IF($B513="","",IFERROR(INDEX(Services!$C$2:$C$120,MATCH($B513,Services!$D$2:$D$120,0)),""))</f>
        <v/>
      </c>
      <c r="F513" s="19"/>
      <c r="G513" s="9" t="str">
        <f aca="false">IF(OR($B513="",NOT(ISNUMBER($E513))),"",$E513-IF($F513="",0,$F513))</f>
        <v/>
      </c>
      <c r="H513" s="15" t="str">
        <f aca="false">IF($B513="","",IFERROR(INDEX(Services!$A$2:$A$120,MATCH($B513,Services!$D$2:$D$120,0)),""))</f>
        <v/>
      </c>
      <c r="I513" s="19"/>
      <c r="J513" s="15" t="str">
        <f aca="false">IF($B513="","",IFERROR(INDEX(Services!$E$2:$E$120,MATCH($B513,Services!$D$2:$D$120,0)),""))</f>
        <v/>
      </c>
    </row>
    <row r="514" customFormat="false" ht="14.25" hidden="false" customHeight="false" outlineLevel="0" collapsed="false">
      <c r="A514" s="18"/>
      <c r="B514" s="6"/>
      <c r="C514" s="6"/>
      <c r="D514" s="6"/>
      <c r="E514" s="16" t="str">
        <f aca="false">IF($B514="","",IFERROR(INDEX(Services!$C$2:$C$120,MATCH($B514,Services!$D$2:$D$120,0)),""))</f>
        <v/>
      </c>
      <c r="F514" s="19"/>
      <c r="G514" s="9" t="str">
        <f aca="false">IF(OR($B514="",NOT(ISNUMBER($E514))),"",$E514-IF($F514="",0,$F514))</f>
        <v/>
      </c>
      <c r="H514" s="15" t="str">
        <f aca="false">IF($B514="","",IFERROR(INDEX(Services!$A$2:$A$120,MATCH($B514,Services!$D$2:$D$120,0)),""))</f>
        <v/>
      </c>
      <c r="I514" s="19"/>
      <c r="J514" s="15" t="str">
        <f aca="false">IF($B514="","",IFERROR(INDEX(Services!$E$2:$E$120,MATCH($B514,Services!$D$2:$D$120,0)),""))</f>
        <v/>
      </c>
    </row>
    <row r="515" customFormat="false" ht="14.25" hidden="false" customHeight="false" outlineLevel="0" collapsed="false">
      <c r="A515" s="18"/>
      <c r="B515" s="6"/>
      <c r="C515" s="6"/>
      <c r="D515" s="6"/>
      <c r="E515" s="16" t="str">
        <f aca="false">IF($B515="","",IFERROR(INDEX(Services!$C$2:$C$120,MATCH($B515,Services!$D$2:$D$120,0)),""))</f>
        <v/>
      </c>
      <c r="F515" s="19"/>
      <c r="G515" s="9" t="str">
        <f aca="false">IF(OR($B515="",NOT(ISNUMBER($E515))),"",$E515-IF($F515="",0,$F515))</f>
        <v/>
      </c>
      <c r="H515" s="15" t="str">
        <f aca="false">IF($B515="","",IFERROR(INDEX(Services!$A$2:$A$120,MATCH($B515,Services!$D$2:$D$120,0)),""))</f>
        <v/>
      </c>
      <c r="I515" s="19"/>
      <c r="J515" s="15" t="str">
        <f aca="false">IF($B515="","",IFERROR(INDEX(Services!$E$2:$E$120,MATCH($B515,Services!$D$2:$D$120,0)),""))</f>
        <v/>
      </c>
    </row>
    <row r="516" customFormat="false" ht="14.25" hidden="false" customHeight="false" outlineLevel="0" collapsed="false">
      <c r="A516" s="18"/>
      <c r="B516" s="6"/>
      <c r="C516" s="6"/>
      <c r="D516" s="6"/>
      <c r="E516" s="16" t="str">
        <f aca="false">IF($B516="","",IFERROR(INDEX(Services!$C$2:$C$120,MATCH($B516,Services!$D$2:$D$120,0)),""))</f>
        <v/>
      </c>
      <c r="F516" s="19"/>
      <c r="G516" s="9" t="str">
        <f aca="false">IF(OR($B516="",NOT(ISNUMBER($E516))),"",$E516-IF($F516="",0,$F516))</f>
        <v/>
      </c>
      <c r="H516" s="15" t="str">
        <f aca="false">IF($B516="","",IFERROR(INDEX(Services!$A$2:$A$120,MATCH($B516,Services!$D$2:$D$120,0)),""))</f>
        <v/>
      </c>
      <c r="I516" s="19"/>
      <c r="J516" s="15" t="str">
        <f aca="false">IF($B516="","",IFERROR(INDEX(Services!$E$2:$E$120,MATCH($B516,Services!$D$2:$D$120,0)),""))</f>
        <v/>
      </c>
    </row>
    <row r="517" customFormat="false" ht="14.25" hidden="false" customHeight="false" outlineLevel="0" collapsed="false">
      <c r="A517" s="18"/>
      <c r="B517" s="6"/>
      <c r="C517" s="6"/>
      <c r="D517" s="6"/>
      <c r="E517" s="16" t="str">
        <f aca="false">IF($B517="","",IFERROR(INDEX(Services!$C$2:$C$120,MATCH($B517,Services!$D$2:$D$120,0)),""))</f>
        <v/>
      </c>
      <c r="F517" s="19"/>
      <c r="G517" s="9" t="str">
        <f aca="false">IF(OR($B517="",NOT(ISNUMBER($E517))),"",$E517-IF($F517="",0,$F517))</f>
        <v/>
      </c>
      <c r="H517" s="15" t="str">
        <f aca="false">IF($B517="","",IFERROR(INDEX(Services!$A$2:$A$120,MATCH($B517,Services!$D$2:$D$120,0)),""))</f>
        <v/>
      </c>
      <c r="I517" s="19"/>
      <c r="J517" s="15" t="str">
        <f aca="false">IF($B517="","",IFERROR(INDEX(Services!$E$2:$E$120,MATCH($B517,Services!$D$2:$D$120,0)),""))</f>
        <v/>
      </c>
    </row>
    <row r="518" customFormat="false" ht="14.25" hidden="false" customHeight="false" outlineLevel="0" collapsed="false">
      <c r="A518" s="18"/>
      <c r="B518" s="6"/>
      <c r="C518" s="6"/>
      <c r="D518" s="6"/>
      <c r="E518" s="16" t="str">
        <f aca="false">IF($B518="","",IFERROR(INDEX(Services!$C$2:$C$120,MATCH($B518,Services!$D$2:$D$120,0)),""))</f>
        <v/>
      </c>
      <c r="F518" s="19"/>
      <c r="G518" s="9" t="str">
        <f aca="false">IF(OR($B518="",NOT(ISNUMBER($E518))),"",$E518-IF($F518="",0,$F518))</f>
        <v/>
      </c>
      <c r="H518" s="15" t="str">
        <f aca="false">IF($B518="","",IFERROR(INDEX(Services!$A$2:$A$120,MATCH($B518,Services!$D$2:$D$120,0)),""))</f>
        <v/>
      </c>
      <c r="I518" s="19"/>
      <c r="J518" s="15" t="str">
        <f aca="false">IF($B518="","",IFERROR(INDEX(Services!$E$2:$E$120,MATCH($B518,Services!$D$2:$D$120,0)),""))</f>
        <v/>
      </c>
    </row>
    <row r="519" customFormat="false" ht="14.25" hidden="false" customHeight="false" outlineLevel="0" collapsed="false">
      <c r="A519" s="18"/>
      <c r="B519" s="6"/>
      <c r="C519" s="6"/>
      <c r="D519" s="6"/>
      <c r="E519" s="16" t="str">
        <f aca="false">IF($B519="","",IFERROR(INDEX(Services!$C$2:$C$120,MATCH($B519,Services!$D$2:$D$120,0)),""))</f>
        <v/>
      </c>
      <c r="F519" s="19"/>
      <c r="G519" s="9" t="str">
        <f aca="false">IF(OR($B519="",NOT(ISNUMBER($E519))),"",$E519-IF($F519="",0,$F519))</f>
        <v/>
      </c>
      <c r="H519" s="15" t="str">
        <f aca="false">IF($B519="","",IFERROR(INDEX(Services!$A$2:$A$120,MATCH($B519,Services!$D$2:$D$120,0)),""))</f>
        <v/>
      </c>
      <c r="I519" s="19"/>
      <c r="J519" s="15" t="str">
        <f aca="false">IF($B519="","",IFERROR(INDEX(Services!$E$2:$E$120,MATCH($B519,Services!$D$2:$D$120,0)),""))</f>
        <v/>
      </c>
    </row>
    <row r="520" customFormat="false" ht="14.25" hidden="false" customHeight="false" outlineLevel="0" collapsed="false">
      <c r="A520" s="18"/>
      <c r="B520" s="6"/>
      <c r="C520" s="6"/>
      <c r="D520" s="6"/>
      <c r="E520" s="16" t="str">
        <f aca="false">IF($B520="","",IFERROR(INDEX(Services!$C$2:$C$120,MATCH($B520,Services!$D$2:$D$120,0)),""))</f>
        <v/>
      </c>
      <c r="F520" s="19"/>
      <c r="G520" s="9" t="str">
        <f aca="false">IF(OR($B520="",NOT(ISNUMBER($E520))),"",$E520-IF($F520="",0,$F520))</f>
        <v/>
      </c>
      <c r="H520" s="15" t="str">
        <f aca="false">IF($B520="","",IFERROR(INDEX(Services!$A$2:$A$120,MATCH($B520,Services!$D$2:$D$120,0)),""))</f>
        <v/>
      </c>
      <c r="I520" s="19"/>
      <c r="J520" s="15" t="str">
        <f aca="false">IF($B520="","",IFERROR(INDEX(Services!$E$2:$E$120,MATCH($B520,Services!$D$2:$D$120,0)),""))</f>
        <v/>
      </c>
    </row>
    <row r="521" customFormat="false" ht="14.25" hidden="false" customHeight="false" outlineLevel="0" collapsed="false">
      <c r="A521" s="18"/>
      <c r="B521" s="6"/>
      <c r="C521" s="6"/>
      <c r="D521" s="6"/>
      <c r="E521" s="16" t="str">
        <f aca="false">IF($B521="","",IFERROR(INDEX(Services!$C$2:$C$120,MATCH($B521,Services!$D$2:$D$120,0)),""))</f>
        <v/>
      </c>
      <c r="F521" s="19"/>
      <c r="G521" s="9" t="str">
        <f aca="false">IF(OR($B521="",NOT(ISNUMBER($E521))),"",$E521-IF($F521="",0,$F521))</f>
        <v/>
      </c>
      <c r="H521" s="15" t="str">
        <f aca="false">IF($B521="","",IFERROR(INDEX(Services!$A$2:$A$120,MATCH($B521,Services!$D$2:$D$120,0)),""))</f>
        <v/>
      </c>
      <c r="I521" s="19"/>
      <c r="J521" s="15" t="str">
        <f aca="false">IF($B521="","",IFERROR(INDEX(Services!$E$2:$E$120,MATCH($B521,Services!$D$2:$D$120,0)),""))</f>
        <v/>
      </c>
    </row>
    <row r="522" customFormat="false" ht="14.25" hidden="false" customHeight="false" outlineLevel="0" collapsed="false">
      <c r="A522" s="18"/>
      <c r="B522" s="6"/>
      <c r="C522" s="6"/>
      <c r="D522" s="6"/>
      <c r="E522" s="16" t="str">
        <f aca="false">IF($B522="","",IFERROR(INDEX(Services!$C$2:$C$120,MATCH($B522,Services!$D$2:$D$120,0)),""))</f>
        <v/>
      </c>
      <c r="F522" s="19"/>
      <c r="G522" s="9" t="str">
        <f aca="false">IF(OR($B522="",NOT(ISNUMBER($E522))),"",$E522-IF($F522="",0,$F522))</f>
        <v/>
      </c>
      <c r="H522" s="15" t="str">
        <f aca="false">IF($B522="","",IFERROR(INDEX(Services!$A$2:$A$120,MATCH($B522,Services!$D$2:$D$120,0)),""))</f>
        <v/>
      </c>
      <c r="I522" s="19"/>
      <c r="J522" s="15" t="str">
        <f aca="false">IF($B522="","",IFERROR(INDEX(Services!$E$2:$E$120,MATCH($B522,Services!$D$2:$D$120,0)),""))</f>
        <v/>
      </c>
    </row>
    <row r="523" customFormat="false" ht="14.25" hidden="false" customHeight="false" outlineLevel="0" collapsed="false">
      <c r="A523" s="18"/>
      <c r="B523" s="6"/>
      <c r="C523" s="6"/>
      <c r="D523" s="6"/>
      <c r="E523" s="16" t="str">
        <f aca="false">IF($B523="","",IFERROR(INDEX(Services!$C$2:$C$120,MATCH($B523,Services!$D$2:$D$120,0)),""))</f>
        <v/>
      </c>
      <c r="F523" s="19"/>
      <c r="G523" s="9" t="str">
        <f aca="false">IF(OR($B523="",NOT(ISNUMBER($E523))),"",$E523-IF($F523="",0,$F523))</f>
        <v/>
      </c>
      <c r="H523" s="15" t="str">
        <f aca="false">IF($B523="","",IFERROR(INDEX(Services!$A$2:$A$120,MATCH($B523,Services!$D$2:$D$120,0)),""))</f>
        <v/>
      </c>
      <c r="I523" s="19"/>
      <c r="J523" s="15" t="str">
        <f aca="false">IF($B523="","",IFERROR(INDEX(Services!$E$2:$E$120,MATCH($B523,Services!$D$2:$D$120,0)),""))</f>
        <v/>
      </c>
    </row>
    <row r="524" customFormat="false" ht="14.25" hidden="false" customHeight="false" outlineLevel="0" collapsed="false">
      <c r="A524" s="18"/>
      <c r="B524" s="6"/>
      <c r="C524" s="6"/>
      <c r="D524" s="6"/>
      <c r="E524" s="16" t="str">
        <f aca="false">IF($B524="","",IFERROR(INDEX(Services!$C$2:$C$120,MATCH($B524,Services!$D$2:$D$120,0)),""))</f>
        <v/>
      </c>
      <c r="F524" s="19"/>
      <c r="G524" s="9" t="str">
        <f aca="false">IF(OR($B524="",NOT(ISNUMBER($E524))),"",$E524-IF($F524="",0,$F524))</f>
        <v/>
      </c>
      <c r="H524" s="15" t="str">
        <f aca="false">IF($B524="","",IFERROR(INDEX(Services!$A$2:$A$120,MATCH($B524,Services!$D$2:$D$120,0)),""))</f>
        <v/>
      </c>
      <c r="I524" s="19"/>
      <c r="J524" s="15" t="str">
        <f aca="false">IF($B524="","",IFERROR(INDEX(Services!$E$2:$E$120,MATCH($B524,Services!$D$2:$D$120,0)),""))</f>
        <v/>
      </c>
    </row>
    <row r="525" customFormat="false" ht="14.25" hidden="false" customHeight="false" outlineLevel="0" collapsed="false">
      <c r="A525" s="18"/>
      <c r="B525" s="6"/>
      <c r="C525" s="6"/>
      <c r="D525" s="6"/>
      <c r="E525" s="16" t="str">
        <f aca="false">IF($B525="","",IFERROR(INDEX(Services!$C$2:$C$120,MATCH($B525,Services!$D$2:$D$120,0)),""))</f>
        <v/>
      </c>
      <c r="F525" s="19"/>
      <c r="G525" s="9" t="str">
        <f aca="false">IF(OR($B525="",NOT(ISNUMBER($E525))),"",$E525-IF($F525="",0,$F525))</f>
        <v/>
      </c>
      <c r="H525" s="15" t="str">
        <f aca="false">IF($B525="","",IFERROR(INDEX(Services!$A$2:$A$120,MATCH($B525,Services!$D$2:$D$120,0)),""))</f>
        <v/>
      </c>
      <c r="I525" s="19"/>
      <c r="J525" s="15" t="str">
        <f aca="false">IF($B525="","",IFERROR(INDEX(Services!$E$2:$E$120,MATCH($B525,Services!$D$2:$D$120,0)),""))</f>
        <v/>
      </c>
    </row>
    <row r="526" customFormat="false" ht="14.25" hidden="false" customHeight="false" outlineLevel="0" collapsed="false">
      <c r="A526" s="18"/>
      <c r="B526" s="6"/>
      <c r="C526" s="6"/>
      <c r="D526" s="6"/>
      <c r="E526" s="16" t="str">
        <f aca="false">IF($B526="","",IFERROR(INDEX(Services!$C$2:$C$120,MATCH($B526,Services!$D$2:$D$120,0)),""))</f>
        <v/>
      </c>
      <c r="F526" s="19"/>
      <c r="G526" s="9" t="str">
        <f aca="false">IF(OR($B526="",NOT(ISNUMBER($E526))),"",$E526-IF($F526="",0,$F526))</f>
        <v/>
      </c>
      <c r="H526" s="15" t="str">
        <f aca="false">IF($B526="","",IFERROR(INDEX(Services!$A$2:$A$120,MATCH($B526,Services!$D$2:$D$120,0)),""))</f>
        <v/>
      </c>
      <c r="I526" s="19"/>
      <c r="J526" s="15" t="str">
        <f aca="false">IF($B526="","",IFERROR(INDEX(Services!$E$2:$E$120,MATCH($B526,Services!$D$2:$D$120,0)),""))</f>
        <v/>
      </c>
    </row>
    <row r="527" customFormat="false" ht="14.25" hidden="false" customHeight="false" outlineLevel="0" collapsed="false">
      <c r="A527" s="18"/>
      <c r="B527" s="6"/>
      <c r="C527" s="6"/>
      <c r="D527" s="6"/>
      <c r="E527" s="16" t="str">
        <f aca="false">IF($B527="","",IFERROR(INDEX(Services!$C$2:$C$120,MATCH($B527,Services!$D$2:$D$120,0)),""))</f>
        <v/>
      </c>
      <c r="F527" s="19"/>
      <c r="G527" s="9" t="str">
        <f aca="false">IF(OR($B527="",NOT(ISNUMBER($E527))),"",$E527-IF($F527="",0,$F527))</f>
        <v/>
      </c>
      <c r="H527" s="15" t="str">
        <f aca="false">IF($B527="","",IFERROR(INDEX(Services!$A$2:$A$120,MATCH($B527,Services!$D$2:$D$120,0)),""))</f>
        <v/>
      </c>
      <c r="I527" s="19"/>
      <c r="J527" s="15" t="str">
        <f aca="false">IF($B527="","",IFERROR(INDEX(Services!$E$2:$E$120,MATCH($B527,Services!$D$2:$D$120,0)),""))</f>
        <v/>
      </c>
    </row>
    <row r="528" customFormat="false" ht="14.25" hidden="false" customHeight="false" outlineLevel="0" collapsed="false">
      <c r="A528" s="18"/>
      <c r="B528" s="6"/>
      <c r="C528" s="6"/>
      <c r="D528" s="6"/>
      <c r="E528" s="16" t="str">
        <f aca="false">IF($B528="","",IFERROR(INDEX(Services!$C$2:$C$120,MATCH($B528,Services!$D$2:$D$120,0)),""))</f>
        <v/>
      </c>
      <c r="F528" s="19"/>
      <c r="G528" s="9" t="str">
        <f aca="false">IF(OR($B528="",NOT(ISNUMBER($E528))),"",$E528-IF($F528="",0,$F528))</f>
        <v/>
      </c>
      <c r="H528" s="15" t="str">
        <f aca="false">IF($B528="","",IFERROR(INDEX(Services!$A$2:$A$120,MATCH($B528,Services!$D$2:$D$120,0)),""))</f>
        <v/>
      </c>
      <c r="I528" s="19"/>
      <c r="J528" s="15" t="str">
        <f aca="false">IF($B528="","",IFERROR(INDEX(Services!$E$2:$E$120,MATCH($B528,Services!$D$2:$D$120,0)),""))</f>
        <v/>
      </c>
    </row>
    <row r="529" customFormat="false" ht="14.25" hidden="false" customHeight="false" outlineLevel="0" collapsed="false">
      <c r="A529" s="18"/>
      <c r="B529" s="6"/>
      <c r="C529" s="6"/>
      <c r="D529" s="6"/>
      <c r="E529" s="16" t="str">
        <f aca="false">IF($B529="","",IFERROR(INDEX(Services!$C$2:$C$120,MATCH($B529,Services!$D$2:$D$120,0)),""))</f>
        <v/>
      </c>
      <c r="F529" s="19"/>
      <c r="G529" s="9" t="str">
        <f aca="false">IF(OR($B529="",NOT(ISNUMBER($E529))),"",$E529-IF($F529="",0,$F529))</f>
        <v/>
      </c>
      <c r="H529" s="15" t="str">
        <f aca="false">IF($B529="","",IFERROR(INDEX(Services!$A$2:$A$120,MATCH($B529,Services!$D$2:$D$120,0)),""))</f>
        <v/>
      </c>
      <c r="I529" s="19"/>
      <c r="J529" s="15" t="str">
        <f aca="false">IF($B529="","",IFERROR(INDEX(Services!$E$2:$E$120,MATCH($B529,Services!$D$2:$D$120,0)),""))</f>
        <v/>
      </c>
    </row>
    <row r="530" customFormat="false" ht="14.25" hidden="false" customHeight="false" outlineLevel="0" collapsed="false">
      <c r="A530" s="18"/>
      <c r="B530" s="6"/>
      <c r="C530" s="6"/>
      <c r="D530" s="6"/>
      <c r="E530" s="16" t="str">
        <f aca="false">IF($B530="","",IFERROR(INDEX(Services!$C$2:$C$120,MATCH($B530,Services!$D$2:$D$120,0)),""))</f>
        <v/>
      </c>
      <c r="F530" s="19"/>
      <c r="G530" s="9" t="str">
        <f aca="false">IF(OR($B530="",NOT(ISNUMBER($E530))),"",$E530-IF($F530="",0,$F530))</f>
        <v/>
      </c>
      <c r="H530" s="15" t="str">
        <f aca="false">IF($B530="","",IFERROR(INDEX(Services!$A$2:$A$120,MATCH($B530,Services!$D$2:$D$120,0)),""))</f>
        <v/>
      </c>
      <c r="I530" s="19"/>
      <c r="J530" s="15" t="str">
        <f aca="false">IF($B530="","",IFERROR(INDEX(Services!$E$2:$E$120,MATCH($B530,Services!$D$2:$D$120,0)),""))</f>
        <v/>
      </c>
    </row>
    <row r="531" customFormat="false" ht="14.25" hidden="false" customHeight="false" outlineLevel="0" collapsed="false">
      <c r="A531" s="18"/>
      <c r="B531" s="6"/>
      <c r="C531" s="6"/>
      <c r="D531" s="6"/>
      <c r="E531" s="16" t="str">
        <f aca="false">IF($B531="","",IFERROR(INDEX(Services!$C$2:$C$120,MATCH($B531,Services!$D$2:$D$120,0)),""))</f>
        <v/>
      </c>
      <c r="F531" s="19"/>
      <c r="G531" s="9" t="str">
        <f aca="false">IF(OR($B531="",NOT(ISNUMBER($E531))),"",$E531-IF($F531="",0,$F531))</f>
        <v/>
      </c>
      <c r="H531" s="15" t="str">
        <f aca="false">IF($B531="","",IFERROR(INDEX(Services!$A$2:$A$120,MATCH($B531,Services!$D$2:$D$120,0)),""))</f>
        <v/>
      </c>
      <c r="I531" s="19"/>
      <c r="J531" s="15" t="str">
        <f aca="false">IF($B531="","",IFERROR(INDEX(Services!$E$2:$E$120,MATCH($B531,Services!$D$2:$D$120,0)),""))</f>
        <v/>
      </c>
    </row>
    <row r="532" customFormat="false" ht="14.25" hidden="false" customHeight="false" outlineLevel="0" collapsed="false">
      <c r="A532" s="18"/>
      <c r="B532" s="6"/>
      <c r="C532" s="6"/>
      <c r="D532" s="6"/>
      <c r="E532" s="16" t="str">
        <f aca="false">IF($B532="","",IFERROR(INDEX(Services!$C$2:$C$120,MATCH($B532,Services!$D$2:$D$120,0)),""))</f>
        <v/>
      </c>
      <c r="F532" s="19"/>
      <c r="G532" s="9" t="str">
        <f aca="false">IF(OR($B532="",NOT(ISNUMBER($E532))),"",$E532-IF($F532="",0,$F532))</f>
        <v/>
      </c>
      <c r="H532" s="15" t="str">
        <f aca="false">IF($B532="","",IFERROR(INDEX(Services!$A$2:$A$120,MATCH($B532,Services!$D$2:$D$120,0)),""))</f>
        <v/>
      </c>
      <c r="I532" s="19"/>
      <c r="J532" s="15" t="str">
        <f aca="false">IF($B532="","",IFERROR(INDEX(Services!$E$2:$E$120,MATCH($B532,Services!$D$2:$D$120,0)),""))</f>
        <v/>
      </c>
    </row>
    <row r="533" customFormat="false" ht="14.25" hidden="false" customHeight="false" outlineLevel="0" collapsed="false">
      <c r="A533" s="18"/>
      <c r="B533" s="6"/>
      <c r="C533" s="6"/>
      <c r="D533" s="6"/>
      <c r="E533" s="16" t="str">
        <f aca="false">IF($B533="","",IFERROR(INDEX(Services!$C$2:$C$120,MATCH($B533,Services!$D$2:$D$120,0)),""))</f>
        <v/>
      </c>
      <c r="F533" s="19"/>
      <c r="G533" s="9" t="str">
        <f aca="false">IF(OR($B533="",NOT(ISNUMBER($E533))),"",$E533-IF($F533="",0,$F533))</f>
        <v/>
      </c>
      <c r="H533" s="15" t="str">
        <f aca="false">IF($B533="","",IFERROR(INDEX(Services!$A$2:$A$120,MATCH($B533,Services!$D$2:$D$120,0)),""))</f>
        <v/>
      </c>
      <c r="I533" s="19"/>
      <c r="J533" s="15" t="str">
        <f aca="false">IF($B533="","",IFERROR(INDEX(Services!$E$2:$E$120,MATCH($B533,Services!$D$2:$D$120,0)),""))</f>
        <v/>
      </c>
    </row>
    <row r="534" customFormat="false" ht="14.25" hidden="false" customHeight="false" outlineLevel="0" collapsed="false">
      <c r="A534" s="18"/>
      <c r="B534" s="6"/>
      <c r="C534" s="6"/>
      <c r="D534" s="6"/>
      <c r="E534" s="16" t="str">
        <f aca="false">IF($B534="","",IFERROR(INDEX(Services!$C$2:$C$120,MATCH($B534,Services!$D$2:$D$120,0)),""))</f>
        <v/>
      </c>
      <c r="F534" s="19"/>
      <c r="G534" s="9" t="str">
        <f aca="false">IF(OR($B534="",NOT(ISNUMBER($E534))),"",$E534-IF($F534="",0,$F534))</f>
        <v/>
      </c>
      <c r="H534" s="15" t="str">
        <f aca="false">IF($B534="","",IFERROR(INDEX(Services!$A$2:$A$120,MATCH($B534,Services!$D$2:$D$120,0)),""))</f>
        <v/>
      </c>
      <c r="I534" s="19"/>
      <c r="J534" s="15" t="str">
        <f aca="false">IF($B534="","",IFERROR(INDEX(Services!$E$2:$E$120,MATCH($B534,Services!$D$2:$D$120,0)),""))</f>
        <v/>
      </c>
    </row>
    <row r="535" customFormat="false" ht="14.25" hidden="false" customHeight="false" outlineLevel="0" collapsed="false">
      <c r="A535" s="18"/>
      <c r="B535" s="6"/>
      <c r="C535" s="6"/>
      <c r="D535" s="6"/>
      <c r="E535" s="16" t="str">
        <f aca="false">IF($B535="","",IFERROR(INDEX(Services!$C$2:$C$120,MATCH($B535,Services!$D$2:$D$120,0)),""))</f>
        <v/>
      </c>
      <c r="F535" s="19"/>
      <c r="G535" s="9" t="str">
        <f aca="false">IF(OR($B535="",NOT(ISNUMBER($E535))),"",$E535-IF($F535="",0,$F535))</f>
        <v/>
      </c>
      <c r="H535" s="15" t="str">
        <f aca="false">IF($B535="","",IFERROR(INDEX(Services!$A$2:$A$120,MATCH($B535,Services!$D$2:$D$120,0)),""))</f>
        <v/>
      </c>
      <c r="I535" s="19"/>
      <c r="J535" s="15" t="str">
        <f aca="false">IF($B535="","",IFERROR(INDEX(Services!$E$2:$E$120,MATCH($B535,Services!$D$2:$D$120,0)),""))</f>
        <v/>
      </c>
    </row>
    <row r="536" customFormat="false" ht="14.25" hidden="false" customHeight="false" outlineLevel="0" collapsed="false">
      <c r="A536" s="18"/>
      <c r="B536" s="6"/>
      <c r="C536" s="6"/>
      <c r="D536" s="6"/>
      <c r="E536" s="16" t="str">
        <f aca="false">IF($B536="","",IFERROR(INDEX(Services!$C$2:$C$120,MATCH($B536,Services!$D$2:$D$120,0)),""))</f>
        <v/>
      </c>
      <c r="F536" s="19"/>
      <c r="G536" s="9" t="str">
        <f aca="false">IF(OR($B536="",NOT(ISNUMBER($E536))),"",$E536-IF($F536="",0,$F536))</f>
        <v/>
      </c>
      <c r="H536" s="15" t="str">
        <f aca="false">IF($B536="","",IFERROR(INDEX(Services!$A$2:$A$120,MATCH($B536,Services!$D$2:$D$120,0)),""))</f>
        <v/>
      </c>
      <c r="I536" s="19"/>
      <c r="J536" s="15" t="str">
        <f aca="false">IF($B536="","",IFERROR(INDEX(Services!$E$2:$E$120,MATCH($B536,Services!$D$2:$D$120,0)),""))</f>
        <v/>
      </c>
    </row>
    <row r="537" customFormat="false" ht="14.25" hidden="false" customHeight="false" outlineLevel="0" collapsed="false">
      <c r="A537" s="18"/>
      <c r="B537" s="6"/>
      <c r="C537" s="6"/>
      <c r="D537" s="6"/>
      <c r="E537" s="16" t="str">
        <f aca="false">IF($B537="","",IFERROR(INDEX(Services!$C$2:$C$120,MATCH($B537,Services!$D$2:$D$120,0)),""))</f>
        <v/>
      </c>
      <c r="F537" s="19"/>
      <c r="G537" s="9" t="str">
        <f aca="false">IF(OR($B537="",NOT(ISNUMBER($E537))),"",$E537-IF($F537="",0,$F537))</f>
        <v/>
      </c>
      <c r="H537" s="15" t="str">
        <f aca="false">IF($B537="","",IFERROR(INDEX(Services!$A$2:$A$120,MATCH($B537,Services!$D$2:$D$120,0)),""))</f>
        <v/>
      </c>
      <c r="I537" s="19"/>
      <c r="J537" s="15" t="str">
        <f aca="false">IF($B537="","",IFERROR(INDEX(Services!$E$2:$E$120,MATCH($B537,Services!$D$2:$D$120,0)),""))</f>
        <v/>
      </c>
    </row>
    <row r="538" customFormat="false" ht="14.25" hidden="false" customHeight="false" outlineLevel="0" collapsed="false">
      <c r="A538" s="18"/>
      <c r="B538" s="6"/>
      <c r="C538" s="6"/>
      <c r="D538" s="6"/>
      <c r="E538" s="16" t="str">
        <f aca="false">IF($B538="","",IFERROR(INDEX(Services!$C$2:$C$120,MATCH($B538,Services!$D$2:$D$120,0)),""))</f>
        <v/>
      </c>
      <c r="F538" s="19"/>
      <c r="G538" s="9" t="str">
        <f aca="false">IF(OR($B538="",NOT(ISNUMBER($E538))),"",$E538-IF($F538="",0,$F538))</f>
        <v/>
      </c>
      <c r="H538" s="15" t="str">
        <f aca="false">IF($B538="","",IFERROR(INDEX(Services!$A$2:$A$120,MATCH($B538,Services!$D$2:$D$120,0)),""))</f>
        <v/>
      </c>
      <c r="I538" s="19"/>
      <c r="J538" s="15" t="str">
        <f aca="false">IF($B538="","",IFERROR(INDEX(Services!$E$2:$E$120,MATCH($B538,Services!$D$2:$D$120,0)),""))</f>
        <v/>
      </c>
    </row>
    <row r="539" customFormat="false" ht="14.25" hidden="false" customHeight="false" outlineLevel="0" collapsed="false">
      <c r="A539" s="18"/>
      <c r="B539" s="6"/>
      <c r="C539" s="6"/>
      <c r="D539" s="6"/>
      <c r="E539" s="16" t="str">
        <f aca="false">IF($B539="","",IFERROR(INDEX(Services!$C$2:$C$120,MATCH($B539,Services!$D$2:$D$120,0)),""))</f>
        <v/>
      </c>
      <c r="F539" s="19"/>
      <c r="G539" s="9" t="str">
        <f aca="false">IF(OR($B539="",NOT(ISNUMBER($E539))),"",$E539-IF($F539="",0,$F539))</f>
        <v/>
      </c>
      <c r="H539" s="15" t="str">
        <f aca="false">IF($B539="","",IFERROR(INDEX(Services!$A$2:$A$120,MATCH($B539,Services!$D$2:$D$120,0)),""))</f>
        <v/>
      </c>
      <c r="I539" s="19"/>
      <c r="J539" s="15" t="str">
        <f aca="false">IF($B539="","",IFERROR(INDEX(Services!$E$2:$E$120,MATCH($B539,Services!$D$2:$D$120,0)),""))</f>
        <v/>
      </c>
    </row>
    <row r="540" customFormat="false" ht="14.25" hidden="false" customHeight="false" outlineLevel="0" collapsed="false">
      <c r="A540" s="18"/>
      <c r="B540" s="6"/>
      <c r="C540" s="6"/>
      <c r="D540" s="6"/>
      <c r="E540" s="16" t="str">
        <f aca="false">IF($B540="","",IFERROR(INDEX(Services!$C$2:$C$120,MATCH($B540,Services!$D$2:$D$120,0)),""))</f>
        <v/>
      </c>
      <c r="F540" s="19"/>
      <c r="G540" s="9" t="str">
        <f aca="false">IF(OR($B540="",NOT(ISNUMBER($E540))),"",$E540-IF($F540="",0,$F540))</f>
        <v/>
      </c>
      <c r="H540" s="15" t="str">
        <f aca="false">IF($B540="","",IFERROR(INDEX(Services!$A$2:$A$120,MATCH($B540,Services!$D$2:$D$120,0)),""))</f>
        <v/>
      </c>
      <c r="I540" s="19"/>
      <c r="J540" s="15" t="str">
        <f aca="false">IF($B540="","",IFERROR(INDEX(Services!$E$2:$E$120,MATCH($B540,Services!$D$2:$D$120,0)),""))</f>
        <v/>
      </c>
    </row>
    <row r="541" customFormat="false" ht="14.25" hidden="false" customHeight="false" outlineLevel="0" collapsed="false">
      <c r="A541" s="18"/>
      <c r="B541" s="6"/>
      <c r="C541" s="6"/>
      <c r="D541" s="6"/>
      <c r="E541" s="16" t="str">
        <f aca="false">IF($B541="","",IFERROR(INDEX(Services!$C$2:$C$120,MATCH($B541,Services!$D$2:$D$120,0)),""))</f>
        <v/>
      </c>
      <c r="F541" s="19"/>
      <c r="G541" s="9" t="str">
        <f aca="false">IF(OR($B541="",NOT(ISNUMBER($E541))),"",$E541-IF($F541="",0,$F541))</f>
        <v/>
      </c>
      <c r="H541" s="15" t="str">
        <f aca="false">IF($B541="","",IFERROR(INDEX(Services!$A$2:$A$120,MATCH($B541,Services!$D$2:$D$120,0)),""))</f>
        <v/>
      </c>
      <c r="I541" s="19"/>
      <c r="J541" s="15" t="str">
        <f aca="false">IF($B541="","",IFERROR(INDEX(Services!$E$2:$E$120,MATCH($B541,Services!$D$2:$D$120,0)),""))</f>
        <v/>
      </c>
    </row>
    <row r="542" customFormat="false" ht="14.25" hidden="false" customHeight="false" outlineLevel="0" collapsed="false">
      <c r="A542" s="18"/>
      <c r="B542" s="6"/>
      <c r="C542" s="6"/>
      <c r="D542" s="6"/>
      <c r="E542" s="16" t="str">
        <f aca="false">IF($B542="","",IFERROR(INDEX(Services!$C$2:$C$120,MATCH($B542,Services!$D$2:$D$120,0)),""))</f>
        <v/>
      </c>
      <c r="F542" s="19"/>
      <c r="G542" s="9" t="str">
        <f aca="false">IF(OR($B542="",NOT(ISNUMBER($E542))),"",$E542-IF($F542="",0,$F542))</f>
        <v/>
      </c>
      <c r="H542" s="15" t="str">
        <f aca="false">IF($B542="","",IFERROR(INDEX(Services!$A$2:$A$120,MATCH($B542,Services!$D$2:$D$120,0)),""))</f>
        <v/>
      </c>
      <c r="I542" s="19"/>
      <c r="J542" s="15" t="str">
        <f aca="false">IF($B542="","",IFERROR(INDEX(Services!$E$2:$E$120,MATCH($B542,Services!$D$2:$D$120,0)),""))</f>
        <v/>
      </c>
    </row>
    <row r="543" customFormat="false" ht="14.25" hidden="false" customHeight="false" outlineLevel="0" collapsed="false">
      <c r="A543" s="18"/>
      <c r="B543" s="6"/>
      <c r="C543" s="6"/>
      <c r="D543" s="6"/>
      <c r="E543" s="16" t="str">
        <f aca="false">IF($B543="","",IFERROR(INDEX(Services!$C$2:$C$120,MATCH($B543,Services!$D$2:$D$120,0)),""))</f>
        <v/>
      </c>
      <c r="F543" s="19"/>
      <c r="G543" s="9" t="str">
        <f aca="false">IF(OR($B543="",NOT(ISNUMBER($E543))),"",$E543-IF($F543="",0,$F543))</f>
        <v/>
      </c>
      <c r="H543" s="15" t="str">
        <f aca="false">IF($B543="","",IFERROR(INDEX(Services!$A$2:$A$120,MATCH($B543,Services!$D$2:$D$120,0)),""))</f>
        <v/>
      </c>
      <c r="I543" s="19"/>
      <c r="J543" s="15" t="str">
        <f aca="false">IF($B543="","",IFERROR(INDEX(Services!$E$2:$E$120,MATCH($B543,Services!$D$2:$D$120,0)),""))</f>
        <v/>
      </c>
    </row>
    <row r="544" customFormat="false" ht="14.25" hidden="false" customHeight="false" outlineLevel="0" collapsed="false">
      <c r="A544" s="18"/>
      <c r="B544" s="6"/>
      <c r="C544" s="6"/>
      <c r="D544" s="6"/>
      <c r="E544" s="16" t="str">
        <f aca="false">IF($B544="","",IFERROR(INDEX(Services!$C$2:$C$120,MATCH($B544,Services!$D$2:$D$120,0)),""))</f>
        <v/>
      </c>
      <c r="F544" s="19"/>
      <c r="G544" s="9" t="str">
        <f aca="false">IF(OR($B544="",NOT(ISNUMBER($E544))),"",$E544-IF($F544="",0,$F544))</f>
        <v/>
      </c>
      <c r="H544" s="15" t="str">
        <f aca="false">IF($B544="","",IFERROR(INDEX(Services!$A$2:$A$120,MATCH($B544,Services!$D$2:$D$120,0)),""))</f>
        <v/>
      </c>
      <c r="I544" s="19"/>
      <c r="J544" s="15" t="str">
        <f aca="false">IF($B544="","",IFERROR(INDEX(Services!$E$2:$E$120,MATCH($B544,Services!$D$2:$D$120,0)),""))</f>
        <v/>
      </c>
    </row>
    <row r="545" customFormat="false" ht="14.25" hidden="false" customHeight="false" outlineLevel="0" collapsed="false">
      <c r="A545" s="18"/>
      <c r="B545" s="6"/>
      <c r="C545" s="6"/>
      <c r="D545" s="6"/>
      <c r="E545" s="16" t="str">
        <f aca="false">IF($B545="","",IFERROR(INDEX(Services!$C$2:$C$120,MATCH($B545,Services!$D$2:$D$120,0)),""))</f>
        <v/>
      </c>
      <c r="F545" s="19"/>
      <c r="G545" s="9" t="str">
        <f aca="false">IF(OR($B545="",NOT(ISNUMBER($E545))),"",$E545-IF($F545="",0,$F545))</f>
        <v/>
      </c>
      <c r="H545" s="15" t="str">
        <f aca="false">IF($B545="","",IFERROR(INDEX(Services!$A$2:$A$120,MATCH($B545,Services!$D$2:$D$120,0)),""))</f>
        <v/>
      </c>
      <c r="I545" s="19"/>
      <c r="J545" s="15" t="str">
        <f aca="false">IF($B545="","",IFERROR(INDEX(Services!$E$2:$E$120,MATCH($B545,Services!$D$2:$D$120,0)),""))</f>
        <v/>
      </c>
    </row>
    <row r="546" customFormat="false" ht="14.25" hidden="false" customHeight="false" outlineLevel="0" collapsed="false">
      <c r="A546" s="18"/>
      <c r="B546" s="6"/>
      <c r="C546" s="6"/>
      <c r="D546" s="6"/>
      <c r="E546" s="16" t="str">
        <f aca="false">IF($B546="","",IFERROR(INDEX(Services!$C$2:$C$120,MATCH($B546,Services!$D$2:$D$120,0)),""))</f>
        <v/>
      </c>
      <c r="F546" s="19"/>
      <c r="G546" s="9" t="str">
        <f aca="false">IF(OR($B546="",NOT(ISNUMBER($E546))),"",$E546-IF($F546="",0,$F546))</f>
        <v/>
      </c>
      <c r="H546" s="15" t="str">
        <f aca="false">IF($B546="","",IFERROR(INDEX(Services!$A$2:$A$120,MATCH($B546,Services!$D$2:$D$120,0)),""))</f>
        <v/>
      </c>
      <c r="I546" s="19"/>
      <c r="J546" s="15" t="str">
        <f aca="false">IF($B546="","",IFERROR(INDEX(Services!$E$2:$E$120,MATCH($B546,Services!$D$2:$D$120,0)),""))</f>
        <v/>
      </c>
    </row>
    <row r="547" customFormat="false" ht="14.25" hidden="false" customHeight="false" outlineLevel="0" collapsed="false">
      <c r="A547" s="18"/>
      <c r="B547" s="6"/>
      <c r="C547" s="6"/>
      <c r="D547" s="6"/>
      <c r="E547" s="16" t="str">
        <f aca="false">IF($B547="","",IFERROR(INDEX(Services!$C$2:$C$120,MATCH($B547,Services!$D$2:$D$120,0)),""))</f>
        <v/>
      </c>
      <c r="F547" s="19"/>
      <c r="G547" s="9" t="str">
        <f aca="false">IF(OR($B547="",NOT(ISNUMBER($E547))),"",$E547-IF($F547="",0,$F547))</f>
        <v/>
      </c>
      <c r="H547" s="15" t="str">
        <f aca="false">IF($B547="","",IFERROR(INDEX(Services!$A$2:$A$120,MATCH($B547,Services!$D$2:$D$120,0)),""))</f>
        <v/>
      </c>
      <c r="I547" s="19"/>
      <c r="J547" s="15" t="str">
        <f aca="false">IF($B547="","",IFERROR(INDEX(Services!$E$2:$E$120,MATCH($B547,Services!$D$2:$D$120,0)),""))</f>
        <v/>
      </c>
    </row>
    <row r="548" customFormat="false" ht="14.25" hidden="false" customHeight="false" outlineLevel="0" collapsed="false">
      <c r="A548" s="18"/>
      <c r="B548" s="6"/>
      <c r="C548" s="6"/>
      <c r="D548" s="6"/>
      <c r="E548" s="16" t="str">
        <f aca="false">IF($B548="","",IFERROR(INDEX(Services!$C$2:$C$120,MATCH($B548,Services!$D$2:$D$120,0)),""))</f>
        <v/>
      </c>
      <c r="F548" s="19"/>
      <c r="G548" s="9" t="str">
        <f aca="false">IF(OR($B548="",NOT(ISNUMBER($E548))),"",$E548-IF($F548="",0,$F548))</f>
        <v/>
      </c>
      <c r="H548" s="15" t="str">
        <f aca="false">IF($B548="","",IFERROR(INDEX(Services!$A$2:$A$120,MATCH($B548,Services!$D$2:$D$120,0)),""))</f>
        <v/>
      </c>
      <c r="I548" s="19"/>
      <c r="J548" s="15" t="str">
        <f aca="false">IF($B548="","",IFERROR(INDEX(Services!$E$2:$E$120,MATCH($B548,Services!$D$2:$D$120,0)),""))</f>
        <v/>
      </c>
    </row>
    <row r="549" customFormat="false" ht="14.25" hidden="false" customHeight="false" outlineLevel="0" collapsed="false">
      <c r="A549" s="18"/>
      <c r="B549" s="6"/>
      <c r="C549" s="6"/>
      <c r="D549" s="6"/>
      <c r="E549" s="16" t="str">
        <f aca="false">IF($B549="","",IFERROR(INDEX(Services!$C$2:$C$120,MATCH($B549,Services!$D$2:$D$120,0)),""))</f>
        <v/>
      </c>
      <c r="F549" s="19"/>
      <c r="G549" s="9" t="str">
        <f aca="false">IF(OR($B549="",NOT(ISNUMBER($E549))),"",$E549-IF($F549="",0,$F549))</f>
        <v/>
      </c>
      <c r="H549" s="15" t="str">
        <f aca="false">IF($B549="","",IFERROR(INDEX(Services!$A$2:$A$120,MATCH($B549,Services!$D$2:$D$120,0)),""))</f>
        <v/>
      </c>
      <c r="I549" s="19"/>
      <c r="J549" s="15" t="str">
        <f aca="false">IF($B549="","",IFERROR(INDEX(Services!$E$2:$E$120,MATCH($B549,Services!$D$2:$D$120,0)),""))</f>
        <v/>
      </c>
    </row>
    <row r="550" customFormat="false" ht="14.25" hidden="false" customHeight="false" outlineLevel="0" collapsed="false">
      <c r="A550" s="18"/>
      <c r="B550" s="6"/>
      <c r="C550" s="6"/>
      <c r="D550" s="6"/>
      <c r="E550" s="16" t="str">
        <f aca="false">IF($B550="","",IFERROR(INDEX(Services!$C$2:$C$120,MATCH($B550,Services!$D$2:$D$120,0)),""))</f>
        <v/>
      </c>
      <c r="F550" s="19"/>
      <c r="G550" s="9" t="str">
        <f aca="false">IF(OR($B550="",NOT(ISNUMBER($E550))),"",$E550-IF($F550="",0,$F550))</f>
        <v/>
      </c>
      <c r="H550" s="15" t="str">
        <f aca="false">IF($B550="","",IFERROR(INDEX(Services!$A$2:$A$120,MATCH($B550,Services!$D$2:$D$120,0)),""))</f>
        <v/>
      </c>
      <c r="I550" s="19"/>
      <c r="J550" s="15" t="str">
        <f aca="false">IF($B550="","",IFERROR(INDEX(Services!$E$2:$E$120,MATCH($B550,Services!$D$2:$D$120,0)),""))</f>
        <v/>
      </c>
    </row>
    <row r="551" customFormat="false" ht="14.25" hidden="false" customHeight="false" outlineLevel="0" collapsed="false">
      <c r="A551" s="18"/>
      <c r="B551" s="6"/>
      <c r="C551" s="6"/>
      <c r="D551" s="6"/>
      <c r="E551" s="16" t="str">
        <f aca="false">IF($B551="","",IFERROR(INDEX(Services!$C$2:$C$120,MATCH($B551,Services!$D$2:$D$120,0)),""))</f>
        <v/>
      </c>
      <c r="F551" s="19"/>
      <c r="G551" s="9" t="str">
        <f aca="false">IF(OR($B551="",NOT(ISNUMBER($E551))),"",$E551-IF($F551="",0,$F551))</f>
        <v/>
      </c>
      <c r="H551" s="15" t="str">
        <f aca="false">IF($B551="","",IFERROR(INDEX(Services!$A$2:$A$120,MATCH($B551,Services!$D$2:$D$120,0)),""))</f>
        <v/>
      </c>
      <c r="I551" s="19"/>
      <c r="J551" s="15" t="str">
        <f aca="false">IF($B551="","",IFERROR(INDEX(Services!$E$2:$E$120,MATCH($B551,Services!$D$2:$D$120,0)),""))</f>
        <v/>
      </c>
    </row>
    <row r="552" customFormat="false" ht="14.25" hidden="false" customHeight="false" outlineLevel="0" collapsed="false">
      <c r="A552" s="18"/>
      <c r="B552" s="6"/>
      <c r="C552" s="6"/>
      <c r="D552" s="6"/>
      <c r="E552" s="16" t="str">
        <f aca="false">IF($B552="","",IFERROR(INDEX(Services!$C$2:$C$120,MATCH($B552,Services!$D$2:$D$120,0)),""))</f>
        <v/>
      </c>
      <c r="F552" s="19"/>
      <c r="G552" s="9" t="str">
        <f aca="false">IF(OR($B552="",NOT(ISNUMBER($E552))),"",$E552-IF($F552="",0,$F552))</f>
        <v/>
      </c>
      <c r="H552" s="15" t="str">
        <f aca="false">IF($B552="","",IFERROR(INDEX(Services!$A$2:$A$120,MATCH($B552,Services!$D$2:$D$120,0)),""))</f>
        <v/>
      </c>
      <c r="I552" s="19"/>
      <c r="J552" s="15" t="str">
        <f aca="false">IF($B552="","",IFERROR(INDEX(Services!$E$2:$E$120,MATCH($B552,Services!$D$2:$D$120,0)),""))</f>
        <v/>
      </c>
    </row>
    <row r="553" customFormat="false" ht="14.25" hidden="false" customHeight="false" outlineLevel="0" collapsed="false">
      <c r="A553" s="18"/>
      <c r="B553" s="6"/>
      <c r="C553" s="6"/>
      <c r="D553" s="6"/>
      <c r="E553" s="16" t="str">
        <f aca="false">IF($B553="","",IFERROR(INDEX(Services!$C$2:$C$120,MATCH($B553,Services!$D$2:$D$120,0)),""))</f>
        <v/>
      </c>
      <c r="F553" s="19"/>
      <c r="G553" s="9" t="str">
        <f aca="false">IF(OR($B553="",NOT(ISNUMBER($E553))),"",$E553-IF($F553="",0,$F553))</f>
        <v/>
      </c>
      <c r="H553" s="15" t="str">
        <f aca="false">IF($B553="","",IFERROR(INDEX(Services!$A$2:$A$120,MATCH($B553,Services!$D$2:$D$120,0)),""))</f>
        <v/>
      </c>
      <c r="I553" s="19"/>
      <c r="J553" s="15" t="str">
        <f aca="false">IF($B553="","",IFERROR(INDEX(Services!$E$2:$E$120,MATCH($B553,Services!$D$2:$D$120,0)),""))</f>
        <v/>
      </c>
    </row>
    <row r="554" customFormat="false" ht="14.25" hidden="false" customHeight="false" outlineLevel="0" collapsed="false">
      <c r="A554" s="18"/>
      <c r="B554" s="6"/>
      <c r="C554" s="6"/>
      <c r="D554" s="6"/>
      <c r="E554" s="16" t="str">
        <f aca="false">IF($B554="","",IFERROR(INDEX(Services!$C$2:$C$120,MATCH($B554,Services!$D$2:$D$120,0)),""))</f>
        <v/>
      </c>
      <c r="F554" s="19"/>
      <c r="G554" s="9" t="str">
        <f aca="false">IF(OR($B554="",NOT(ISNUMBER($E554))),"",$E554-IF($F554="",0,$F554))</f>
        <v/>
      </c>
      <c r="H554" s="15" t="str">
        <f aca="false">IF($B554="","",IFERROR(INDEX(Services!$A$2:$A$120,MATCH($B554,Services!$D$2:$D$120,0)),""))</f>
        <v/>
      </c>
      <c r="I554" s="19"/>
      <c r="J554" s="15" t="str">
        <f aca="false">IF($B554="","",IFERROR(INDEX(Services!$E$2:$E$120,MATCH($B554,Services!$D$2:$D$120,0)),""))</f>
        <v/>
      </c>
    </row>
    <row r="555" customFormat="false" ht="14.25" hidden="false" customHeight="false" outlineLevel="0" collapsed="false">
      <c r="A555" s="18"/>
      <c r="B555" s="6"/>
      <c r="C555" s="6"/>
      <c r="D555" s="6"/>
      <c r="E555" s="16" t="str">
        <f aca="false">IF($B555="","",IFERROR(INDEX(Services!$C$2:$C$120,MATCH($B555,Services!$D$2:$D$120,0)),""))</f>
        <v/>
      </c>
      <c r="F555" s="19"/>
      <c r="G555" s="9" t="str">
        <f aca="false">IF(OR($B555="",NOT(ISNUMBER($E555))),"",$E555-IF($F555="",0,$F555))</f>
        <v/>
      </c>
      <c r="H555" s="15" t="str">
        <f aca="false">IF($B555="","",IFERROR(INDEX(Services!$A$2:$A$120,MATCH($B555,Services!$D$2:$D$120,0)),""))</f>
        <v/>
      </c>
      <c r="I555" s="19"/>
      <c r="J555" s="15" t="str">
        <f aca="false">IF($B555="","",IFERROR(INDEX(Services!$E$2:$E$120,MATCH($B555,Services!$D$2:$D$120,0)),""))</f>
        <v/>
      </c>
    </row>
    <row r="556" customFormat="false" ht="14.25" hidden="false" customHeight="false" outlineLevel="0" collapsed="false">
      <c r="A556" s="18"/>
      <c r="B556" s="6"/>
      <c r="C556" s="6"/>
      <c r="D556" s="6"/>
      <c r="E556" s="16" t="str">
        <f aca="false">IF($B556="","",IFERROR(INDEX(Services!$C$2:$C$120,MATCH($B556,Services!$D$2:$D$120,0)),""))</f>
        <v/>
      </c>
      <c r="F556" s="19"/>
      <c r="G556" s="9" t="str">
        <f aca="false">IF(OR($B556="",NOT(ISNUMBER($E556))),"",$E556-IF($F556="",0,$F556))</f>
        <v/>
      </c>
      <c r="H556" s="15" t="str">
        <f aca="false">IF($B556="","",IFERROR(INDEX(Services!$A$2:$A$120,MATCH($B556,Services!$D$2:$D$120,0)),""))</f>
        <v/>
      </c>
      <c r="I556" s="19"/>
      <c r="J556" s="15" t="str">
        <f aca="false">IF($B556="","",IFERROR(INDEX(Services!$E$2:$E$120,MATCH($B556,Services!$D$2:$D$120,0)),""))</f>
        <v/>
      </c>
    </row>
    <row r="557" customFormat="false" ht="14.25" hidden="false" customHeight="false" outlineLevel="0" collapsed="false">
      <c r="A557" s="18"/>
      <c r="B557" s="6"/>
      <c r="C557" s="6"/>
      <c r="D557" s="6"/>
      <c r="E557" s="16" t="str">
        <f aca="false">IF($B557="","",IFERROR(INDEX(Services!$C$2:$C$120,MATCH($B557,Services!$D$2:$D$120,0)),""))</f>
        <v/>
      </c>
      <c r="F557" s="19"/>
      <c r="G557" s="9" t="str">
        <f aca="false">IF(OR($B557="",NOT(ISNUMBER($E557))),"",$E557-IF($F557="",0,$F557))</f>
        <v/>
      </c>
      <c r="H557" s="15" t="str">
        <f aca="false">IF($B557="","",IFERROR(INDEX(Services!$A$2:$A$120,MATCH($B557,Services!$D$2:$D$120,0)),""))</f>
        <v/>
      </c>
      <c r="I557" s="19"/>
      <c r="J557" s="15" t="str">
        <f aca="false">IF($B557="","",IFERROR(INDEX(Services!$E$2:$E$120,MATCH($B557,Services!$D$2:$D$120,0)),""))</f>
        <v/>
      </c>
    </row>
    <row r="558" customFormat="false" ht="14.25" hidden="false" customHeight="false" outlineLevel="0" collapsed="false">
      <c r="A558" s="18"/>
      <c r="B558" s="6"/>
      <c r="C558" s="6"/>
      <c r="D558" s="6"/>
      <c r="E558" s="16" t="str">
        <f aca="false">IF($B558="","",IFERROR(INDEX(Services!$C$2:$C$120,MATCH($B558,Services!$D$2:$D$120,0)),""))</f>
        <v/>
      </c>
      <c r="F558" s="19"/>
      <c r="G558" s="9" t="str">
        <f aca="false">IF(OR($B558="",NOT(ISNUMBER($E558))),"",$E558-IF($F558="",0,$F558))</f>
        <v/>
      </c>
      <c r="H558" s="15" t="str">
        <f aca="false">IF($B558="","",IFERROR(INDEX(Services!$A$2:$A$120,MATCH($B558,Services!$D$2:$D$120,0)),""))</f>
        <v/>
      </c>
      <c r="I558" s="19"/>
      <c r="J558" s="15" t="str">
        <f aca="false">IF($B558="","",IFERROR(INDEX(Services!$E$2:$E$120,MATCH($B558,Services!$D$2:$D$120,0)),""))</f>
        <v/>
      </c>
    </row>
    <row r="559" customFormat="false" ht="14.25" hidden="false" customHeight="false" outlineLevel="0" collapsed="false">
      <c r="A559" s="18"/>
      <c r="B559" s="6"/>
      <c r="C559" s="6"/>
      <c r="D559" s="6"/>
      <c r="E559" s="16" t="str">
        <f aca="false">IF($B559="","",IFERROR(INDEX(Services!$C$2:$C$120,MATCH($B559,Services!$D$2:$D$120,0)),""))</f>
        <v/>
      </c>
      <c r="F559" s="19"/>
      <c r="G559" s="9" t="str">
        <f aca="false">IF(OR($B559="",NOT(ISNUMBER($E559))),"",$E559-IF($F559="",0,$F559))</f>
        <v/>
      </c>
      <c r="H559" s="15" t="str">
        <f aca="false">IF($B559="","",IFERROR(INDEX(Services!$A$2:$A$120,MATCH($B559,Services!$D$2:$D$120,0)),""))</f>
        <v/>
      </c>
      <c r="I559" s="19"/>
      <c r="J559" s="15" t="str">
        <f aca="false">IF($B559="","",IFERROR(INDEX(Services!$E$2:$E$120,MATCH($B559,Services!$D$2:$D$120,0)),""))</f>
        <v/>
      </c>
    </row>
    <row r="560" customFormat="false" ht="14.25" hidden="false" customHeight="false" outlineLevel="0" collapsed="false">
      <c r="A560" s="18"/>
      <c r="B560" s="6"/>
      <c r="C560" s="6"/>
      <c r="D560" s="6"/>
      <c r="E560" s="16" t="str">
        <f aca="false">IF($B560="","",IFERROR(INDEX(Services!$C$2:$C$120,MATCH($B560,Services!$D$2:$D$120,0)),""))</f>
        <v/>
      </c>
      <c r="F560" s="19"/>
      <c r="G560" s="9" t="str">
        <f aca="false">IF(OR($B560="",NOT(ISNUMBER($E560))),"",$E560-IF($F560="",0,$F560))</f>
        <v/>
      </c>
      <c r="H560" s="15" t="str">
        <f aca="false">IF($B560="","",IFERROR(INDEX(Services!$A$2:$A$120,MATCH($B560,Services!$D$2:$D$120,0)),""))</f>
        <v/>
      </c>
      <c r="I560" s="19"/>
      <c r="J560" s="15" t="str">
        <f aca="false">IF($B560="","",IFERROR(INDEX(Services!$E$2:$E$120,MATCH($B560,Services!$D$2:$D$120,0)),""))</f>
        <v/>
      </c>
    </row>
    <row r="561" customFormat="false" ht="14.25" hidden="false" customHeight="false" outlineLevel="0" collapsed="false">
      <c r="A561" s="18"/>
      <c r="B561" s="6"/>
      <c r="C561" s="6"/>
      <c r="D561" s="6"/>
      <c r="E561" s="16" t="str">
        <f aca="false">IF($B561="","",IFERROR(INDEX(Services!$C$2:$C$120,MATCH($B561,Services!$D$2:$D$120,0)),""))</f>
        <v/>
      </c>
      <c r="F561" s="19"/>
      <c r="G561" s="9" t="str">
        <f aca="false">IF(OR($B561="",NOT(ISNUMBER($E561))),"",$E561-IF($F561="",0,$F561))</f>
        <v/>
      </c>
      <c r="H561" s="15" t="str">
        <f aca="false">IF($B561="","",IFERROR(INDEX(Services!$A$2:$A$120,MATCH($B561,Services!$D$2:$D$120,0)),""))</f>
        <v/>
      </c>
      <c r="I561" s="19"/>
      <c r="J561" s="15" t="str">
        <f aca="false">IF($B561="","",IFERROR(INDEX(Services!$E$2:$E$120,MATCH($B561,Services!$D$2:$D$120,0)),""))</f>
        <v/>
      </c>
    </row>
    <row r="562" customFormat="false" ht="14.25" hidden="false" customHeight="false" outlineLevel="0" collapsed="false">
      <c r="A562" s="18"/>
      <c r="B562" s="6"/>
      <c r="C562" s="6"/>
      <c r="D562" s="6"/>
      <c r="E562" s="16" t="str">
        <f aca="false">IF($B562="","",IFERROR(INDEX(Services!$C$2:$C$120,MATCH($B562,Services!$D$2:$D$120,0)),""))</f>
        <v/>
      </c>
      <c r="F562" s="19"/>
      <c r="G562" s="9" t="str">
        <f aca="false">IF(OR($B562="",NOT(ISNUMBER($E562))),"",$E562-IF($F562="",0,$F562))</f>
        <v/>
      </c>
      <c r="H562" s="15" t="str">
        <f aca="false">IF($B562="","",IFERROR(INDEX(Services!$A$2:$A$120,MATCH($B562,Services!$D$2:$D$120,0)),""))</f>
        <v/>
      </c>
      <c r="I562" s="19"/>
      <c r="J562" s="15" t="str">
        <f aca="false">IF($B562="","",IFERROR(INDEX(Services!$E$2:$E$120,MATCH($B562,Services!$D$2:$D$120,0)),""))</f>
        <v/>
      </c>
    </row>
    <row r="563" customFormat="false" ht="14.25" hidden="false" customHeight="false" outlineLevel="0" collapsed="false">
      <c r="A563" s="18"/>
      <c r="B563" s="6"/>
      <c r="C563" s="6"/>
      <c r="D563" s="6"/>
      <c r="E563" s="16" t="str">
        <f aca="false">IF($B563="","",IFERROR(INDEX(Services!$C$2:$C$120,MATCH($B563,Services!$D$2:$D$120,0)),""))</f>
        <v/>
      </c>
      <c r="F563" s="19"/>
      <c r="G563" s="9" t="str">
        <f aca="false">IF(OR($B563="",NOT(ISNUMBER($E563))),"",$E563-IF($F563="",0,$F563))</f>
        <v/>
      </c>
      <c r="H563" s="15" t="str">
        <f aca="false">IF($B563="","",IFERROR(INDEX(Services!$A$2:$A$120,MATCH($B563,Services!$D$2:$D$120,0)),""))</f>
        <v/>
      </c>
      <c r="I563" s="19"/>
      <c r="J563" s="15" t="str">
        <f aca="false">IF($B563="","",IFERROR(INDEX(Services!$E$2:$E$120,MATCH($B563,Services!$D$2:$D$120,0)),""))</f>
        <v/>
      </c>
    </row>
    <row r="564" customFormat="false" ht="14.25" hidden="false" customHeight="false" outlineLevel="0" collapsed="false">
      <c r="A564" s="18"/>
      <c r="B564" s="6"/>
      <c r="C564" s="6"/>
      <c r="D564" s="6"/>
      <c r="E564" s="16" t="str">
        <f aca="false">IF($B564="","",IFERROR(INDEX(Services!$C$2:$C$120,MATCH($B564,Services!$D$2:$D$120,0)),""))</f>
        <v/>
      </c>
      <c r="F564" s="19"/>
      <c r="G564" s="9" t="str">
        <f aca="false">IF(OR($B564="",NOT(ISNUMBER($E564))),"",$E564-IF($F564="",0,$F564))</f>
        <v/>
      </c>
      <c r="H564" s="15" t="str">
        <f aca="false">IF($B564="","",IFERROR(INDEX(Services!$A$2:$A$120,MATCH($B564,Services!$D$2:$D$120,0)),""))</f>
        <v/>
      </c>
      <c r="I564" s="19"/>
      <c r="J564" s="15" t="str">
        <f aca="false">IF($B564="","",IFERROR(INDEX(Services!$E$2:$E$120,MATCH($B564,Services!$D$2:$D$120,0)),""))</f>
        <v/>
      </c>
    </row>
    <row r="565" customFormat="false" ht="14.25" hidden="false" customHeight="false" outlineLevel="0" collapsed="false">
      <c r="A565" s="18"/>
      <c r="B565" s="6"/>
      <c r="C565" s="6"/>
      <c r="D565" s="6"/>
      <c r="E565" s="16" t="str">
        <f aca="false">IF($B565="","",IFERROR(INDEX(Services!$C$2:$C$120,MATCH($B565,Services!$D$2:$D$120,0)),""))</f>
        <v/>
      </c>
      <c r="F565" s="19"/>
      <c r="G565" s="9" t="str">
        <f aca="false">IF(OR($B565="",NOT(ISNUMBER($E565))),"",$E565-IF($F565="",0,$F565))</f>
        <v/>
      </c>
      <c r="H565" s="15" t="str">
        <f aca="false">IF($B565="","",IFERROR(INDEX(Services!$A$2:$A$120,MATCH($B565,Services!$D$2:$D$120,0)),""))</f>
        <v/>
      </c>
      <c r="I565" s="19"/>
      <c r="J565" s="15" t="str">
        <f aca="false">IF($B565="","",IFERROR(INDEX(Services!$E$2:$E$120,MATCH($B565,Services!$D$2:$D$120,0)),""))</f>
        <v/>
      </c>
    </row>
    <row r="566" customFormat="false" ht="14.25" hidden="false" customHeight="false" outlineLevel="0" collapsed="false">
      <c r="A566" s="18"/>
      <c r="B566" s="6"/>
      <c r="C566" s="6"/>
      <c r="D566" s="6"/>
      <c r="E566" s="16" t="str">
        <f aca="false">IF($B566="","",IFERROR(INDEX(Services!$C$2:$C$120,MATCH($B566,Services!$D$2:$D$120,0)),""))</f>
        <v/>
      </c>
      <c r="F566" s="19"/>
      <c r="G566" s="9" t="str">
        <f aca="false">IF(OR($B566="",NOT(ISNUMBER($E566))),"",$E566-IF($F566="",0,$F566))</f>
        <v/>
      </c>
      <c r="H566" s="15" t="str">
        <f aca="false">IF($B566="","",IFERROR(INDEX(Services!$A$2:$A$120,MATCH($B566,Services!$D$2:$D$120,0)),""))</f>
        <v/>
      </c>
      <c r="I566" s="19"/>
      <c r="J566" s="15" t="str">
        <f aca="false">IF($B566="","",IFERROR(INDEX(Services!$E$2:$E$120,MATCH($B566,Services!$D$2:$D$120,0)),""))</f>
        <v/>
      </c>
    </row>
    <row r="567" customFormat="false" ht="14.25" hidden="false" customHeight="false" outlineLevel="0" collapsed="false">
      <c r="A567" s="18"/>
      <c r="B567" s="6"/>
      <c r="C567" s="6"/>
      <c r="D567" s="6"/>
      <c r="E567" s="16" t="str">
        <f aca="false">IF($B567="","",IFERROR(INDEX(Services!$C$2:$C$120,MATCH($B567,Services!$D$2:$D$120,0)),""))</f>
        <v/>
      </c>
      <c r="F567" s="19"/>
      <c r="G567" s="9" t="str">
        <f aca="false">IF(OR($B567="",NOT(ISNUMBER($E567))),"",$E567-IF($F567="",0,$F567))</f>
        <v/>
      </c>
      <c r="H567" s="15" t="str">
        <f aca="false">IF($B567="","",IFERROR(INDEX(Services!$A$2:$A$120,MATCH($B567,Services!$D$2:$D$120,0)),""))</f>
        <v/>
      </c>
      <c r="I567" s="19"/>
      <c r="J567" s="15" t="str">
        <f aca="false">IF($B567="","",IFERROR(INDEX(Services!$E$2:$E$120,MATCH($B567,Services!$D$2:$D$120,0)),""))</f>
        <v/>
      </c>
    </row>
    <row r="568" customFormat="false" ht="14.25" hidden="false" customHeight="false" outlineLevel="0" collapsed="false">
      <c r="A568" s="18"/>
      <c r="B568" s="6"/>
      <c r="C568" s="6"/>
      <c r="D568" s="6"/>
      <c r="E568" s="16" t="str">
        <f aca="false">IF($B568="","",IFERROR(INDEX(Services!$C$2:$C$120,MATCH($B568,Services!$D$2:$D$120,0)),""))</f>
        <v/>
      </c>
      <c r="F568" s="19"/>
      <c r="G568" s="9" t="str">
        <f aca="false">IF(OR($B568="",NOT(ISNUMBER($E568))),"",$E568-IF($F568="",0,$F568))</f>
        <v/>
      </c>
      <c r="H568" s="15" t="str">
        <f aca="false">IF($B568="","",IFERROR(INDEX(Services!$A$2:$A$120,MATCH($B568,Services!$D$2:$D$120,0)),""))</f>
        <v/>
      </c>
      <c r="I568" s="19"/>
      <c r="J568" s="15" t="str">
        <f aca="false">IF($B568="","",IFERROR(INDEX(Services!$E$2:$E$120,MATCH($B568,Services!$D$2:$D$120,0)),""))</f>
        <v/>
      </c>
    </row>
    <row r="569" customFormat="false" ht="14.25" hidden="false" customHeight="false" outlineLevel="0" collapsed="false">
      <c r="A569" s="18"/>
      <c r="B569" s="6"/>
      <c r="C569" s="6"/>
      <c r="D569" s="6"/>
      <c r="E569" s="16" t="str">
        <f aca="false">IF($B569="","",IFERROR(INDEX(Services!$C$2:$C$120,MATCH($B569,Services!$D$2:$D$120,0)),""))</f>
        <v/>
      </c>
      <c r="F569" s="19"/>
      <c r="G569" s="9" t="str">
        <f aca="false">IF(OR($B569="",NOT(ISNUMBER($E569))),"",$E569-IF($F569="",0,$F569))</f>
        <v/>
      </c>
      <c r="H569" s="15" t="str">
        <f aca="false">IF($B569="","",IFERROR(INDEX(Services!$A$2:$A$120,MATCH($B569,Services!$D$2:$D$120,0)),""))</f>
        <v/>
      </c>
      <c r="I569" s="19"/>
      <c r="J569" s="15" t="str">
        <f aca="false">IF($B569="","",IFERROR(INDEX(Services!$E$2:$E$120,MATCH($B569,Services!$D$2:$D$120,0)),""))</f>
        <v/>
      </c>
    </row>
    <row r="570" customFormat="false" ht="14.25" hidden="false" customHeight="false" outlineLevel="0" collapsed="false">
      <c r="A570" s="18"/>
      <c r="B570" s="6"/>
      <c r="C570" s="6"/>
      <c r="D570" s="6"/>
      <c r="E570" s="16" t="str">
        <f aca="false">IF($B570="","",IFERROR(INDEX(Services!$C$2:$C$120,MATCH($B570,Services!$D$2:$D$120,0)),""))</f>
        <v/>
      </c>
      <c r="F570" s="19"/>
      <c r="G570" s="9" t="str">
        <f aca="false">IF(OR($B570="",NOT(ISNUMBER($E570))),"",$E570-IF($F570="",0,$F570))</f>
        <v/>
      </c>
      <c r="H570" s="15" t="str">
        <f aca="false">IF($B570="","",IFERROR(INDEX(Services!$A$2:$A$120,MATCH($B570,Services!$D$2:$D$120,0)),""))</f>
        <v/>
      </c>
      <c r="I570" s="19"/>
      <c r="J570" s="15" t="str">
        <f aca="false">IF($B570="","",IFERROR(INDEX(Services!$E$2:$E$120,MATCH($B570,Services!$D$2:$D$120,0)),""))</f>
        <v/>
      </c>
    </row>
    <row r="571" customFormat="false" ht="14.25" hidden="false" customHeight="false" outlineLevel="0" collapsed="false">
      <c r="A571" s="18"/>
      <c r="B571" s="6"/>
      <c r="C571" s="6"/>
      <c r="D571" s="6"/>
      <c r="E571" s="16" t="str">
        <f aca="false">IF($B571="","",IFERROR(INDEX(Services!$C$2:$C$120,MATCH($B571,Services!$D$2:$D$120,0)),""))</f>
        <v/>
      </c>
      <c r="F571" s="19"/>
      <c r="G571" s="9" t="str">
        <f aca="false">IF(OR($B571="",NOT(ISNUMBER($E571))),"",$E571-IF($F571="",0,$F571))</f>
        <v/>
      </c>
      <c r="H571" s="15" t="str">
        <f aca="false">IF($B571="","",IFERROR(INDEX(Services!$A$2:$A$120,MATCH($B571,Services!$D$2:$D$120,0)),""))</f>
        <v/>
      </c>
      <c r="I571" s="19"/>
      <c r="J571" s="15" t="str">
        <f aca="false">IF($B571="","",IFERROR(INDEX(Services!$E$2:$E$120,MATCH($B571,Services!$D$2:$D$120,0)),""))</f>
        <v/>
      </c>
    </row>
    <row r="572" customFormat="false" ht="14.25" hidden="false" customHeight="false" outlineLevel="0" collapsed="false">
      <c r="A572" s="18"/>
      <c r="B572" s="6"/>
      <c r="C572" s="6"/>
      <c r="D572" s="6"/>
      <c r="E572" s="16" t="str">
        <f aca="false">IF($B572="","",IFERROR(INDEX(Services!$C$2:$C$120,MATCH($B572,Services!$D$2:$D$120,0)),""))</f>
        <v/>
      </c>
      <c r="F572" s="19"/>
      <c r="G572" s="9" t="str">
        <f aca="false">IF(OR($B572="",NOT(ISNUMBER($E572))),"",$E572-IF($F572="",0,$F572))</f>
        <v/>
      </c>
      <c r="H572" s="15" t="str">
        <f aca="false">IF($B572="","",IFERROR(INDEX(Services!$A$2:$A$120,MATCH($B572,Services!$D$2:$D$120,0)),""))</f>
        <v/>
      </c>
      <c r="I572" s="19"/>
      <c r="J572" s="15" t="str">
        <f aca="false">IF($B572="","",IFERROR(INDEX(Services!$E$2:$E$120,MATCH($B572,Services!$D$2:$D$120,0)),""))</f>
        <v/>
      </c>
    </row>
    <row r="573" customFormat="false" ht="14.25" hidden="false" customHeight="false" outlineLevel="0" collapsed="false">
      <c r="A573" s="18"/>
      <c r="B573" s="6"/>
      <c r="C573" s="6"/>
      <c r="D573" s="6"/>
      <c r="E573" s="16" t="str">
        <f aca="false">IF($B573="","",IFERROR(INDEX(Services!$C$2:$C$120,MATCH($B573,Services!$D$2:$D$120,0)),""))</f>
        <v/>
      </c>
      <c r="F573" s="19"/>
      <c r="G573" s="9" t="str">
        <f aca="false">IF(OR($B573="",NOT(ISNUMBER($E573))),"",$E573-IF($F573="",0,$F573))</f>
        <v/>
      </c>
      <c r="H573" s="15" t="str">
        <f aca="false">IF($B573="","",IFERROR(INDEX(Services!$A$2:$A$120,MATCH($B573,Services!$D$2:$D$120,0)),""))</f>
        <v/>
      </c>
      <c r="I573" s="19"/>
      <c r="J573" s="15" t="str">
        <f aca="false">IF($B573="","",IFERROR(INDEX(Services!$E$2:$E$120,MATCH($B573,Services!$D$2:$D$120,0)),""))</f>
        <v/>
      </c>
    </row>
    <row r="574" customFormat="false" ht="14.25" hidden="false" customHeight="false" outlineLevel="0" collapsed="false">
      <c r="A574" s="18"/>
      <c r="B574" s="6"/>
      <c r="C574" s="6"/>
      <c r="D574" s="6"/>
      <c r="E574" s="16" t="str">
        <f aca="false">IF($B574="","",IFERROR(INDEX(Services!$C$2:$C$120,MATCH($B574,Services!$D$2:$D$120,0)),""))</f>
        <v/>
      </c>
      <c r="F574" s="19"/>
      <c r="G574" s="9" t="str">
        <f aca="false">IF(OR($B574="",NOT(ISNUMBER($E574))),"",$E574-IF($F574="",0,$F574))</f>
        <v/>
      </c>
      <c r="H574" s="15" t="str">
        <f aca="false">IF($B574="","",IFERROR(INDEX(Services!$A$2:$A$120,MATCH($B574,Services!$D$2:$D$120,0)),""))</f>
        <v/>
      </c>
      <c r="I574" s="19"/>
      <c r="J574" s="15" t="str">
        <f aca="false">IF($B574="","",IFERROR(INDEX(Services!$E$2:$E$120,MATCH($B574,Services!$D$2:$D$120,0)),""))</f>
        <v/>
      </c>
    </row>
    <row r="575" customFormat="false" ht="14.25" hidden="false" customHeight="false" outlineLevel="0" collapsed="false">
      <c r="A575" s="18"/>
      <c r="B575" s="6"/>
      <c r="C575" s="6"/>
      <c r="D575" s="6"/>
      <c r="E575" s="16" t="str">
        <f aca="false">IF($B575="","",IFERROR(INDEX(Services!$C$2:$C$120,MATCH($B575,Services!$D$2:$D$120,0)),""))</f>
        <v/>
      </c>
      <c r="F575" s="19"/>
      <c r="G575" s="9" t="str">
        <f aca="false">IF(OR($B575="",NOT(ISNUMBER($E575))),"",$E575-IF($F575="",0,$F575))</f>
        <v/>
      </c>
      <c r="H575" s="15" t="str">
        <f aca="false">IF($B575="","",IFERROR(INDEX(Services!$A$2:$A$120,MATCH($B575,Services!$D$2:$D$120,0)),""))</f>
        <v/>
      </c>
      <c r="I575" s="19"/>
      <c r="J575" s="15" t="str">
        <f aca="false">IF($B575="","",IFERROR(INDEX(Services!$E$2:$E$120,MATCH($B575,Services!$D$2:$D$120,0)),""))</f>
        <v/>
      </c>
    </row>
    <row r="576" customFormat="false" ht="14.25" hidden="false" customHeight="false" outlineLevel="0" collapsed="false">
      <c r="A576" s="18"/>
      <c r="B576" s="6"/>
      <c r="C576" s="6"/>
      <c r="D576" s="6"/>
      <c r="E576" s="16" t="str">
        <f aca="false">IF($B576="","",IFERROR(INDEX(Services!$C$2:$C$120,MATCH($B576,Services!$D$2:$D$120,0)),""))</f>
        <v/>
      </c>
      <c r="F576" s="19"/>
      <c r="G576" s="9" t="str">
        <f aca="false">IF(OR($B576="",NOT(ISNUMBER($E576))),"",$E576-IF($F576="",0,$F576))</f>
        <v/>
      </c>
      <c r="H576" s="15" t="str">
        <f aca="false">IF($B576="","",IFERROR(INDEX(Services!$A$2:$A$120,MATCH($B576,Services!$D$2:$D$120,0)),""))</f>
        <v/>
      </c>
      <c r="I576" s="19"/>
      <c r="J576" s="15" t="str">
        <f aca="false">IF($B576="","",IFERROR(INDEX(Services!$E$2:$E$120,MATCH($B576,Services!$D$2:$D$120,0)),""))</f>
        <v/>
      </c>
    </row>
    <row r="577" customFormat="false" ht="14.25" hidden="false" customHeight="false" outlineLevel="0" collapsed="false">
      <c r="A577" s="18"/>
      <c r="B577" s="6"/>
      <c r="C577" s="6"/>
      <c r="D577" s="6"/>
      <c r="E577" s="16" t="str">
        <f aca="false">IF($B577="","",IFERROR(INDEX(Services!$C$2:$C$120,MATCH($B577,Services!$D$2:$D$120,0)),""))</f>
        <v/>
      </c>
      <c r="F577" s="19"/>
      <c r="G577" s="9" t="str">
        <f aca="false">IF(OR($B577="",NOT(ISNUMBER($E577))),"",$E577-IF($F577="",0,$F577))</f>
        <v/>
      </c>
      <c r="H577" s="15" t="str">
        <f aca="false">IF($B577="","",IFERROR(INDEX(Services!$A$2:$A$120,MATCH($B577,Services!$D$2:$D$120,0)),""))</f>
        <v/>
      </c>
      <c r="I577" s="19"/>
      <c r="J577" s="15" t="str">
        <f aca="false">IF($B577="","",IFERROR(INDEX(Services!$E$2:$E$120,MATCH($B577,Services!$D$2:$D$120,0)),""))</f>
        <v/>
      </c>
    </row>
    <row r="578" customFormat="false" ht="14.25" hidden="false" customHeight="false" outlineLevel="0" collapsed="false">
      <c r="A578" s="18"/>
      <c r="B578" s="6"/>
      <c r="C578" s="6"/>
      <c r="D578" s="6"/>
      <c r="E578" s="16" t="str">
        <f aca="false">IF($B578="","",IFERROR(INDEX(Services!$C$2:$C$120,MATCH($B578,Services!$D$2:$D$120,0)),""))</f>
        <v/>
      </c>
      <c r="F578" s="19"/>
      <c r="G578" s="9" t="str">
        <f aca="false">IF(OR($B578="",NOT(ISNUMBER($E578))),"",$E578-IF($F578="",0,$F578))</f>
        <v/>
      </c>
      <c r="H578" s="15" t="str">
        <f aca="false">IF($B578="","",IFERROR(INDEX(Services!$A$2:$A$120,MATCH($B578,Services!$D$2:$D$120,0)),""))</f>
        <v/>
      </c>
      <c r="I578" s="19"/>
      <c r="J578" s="15" t="str">
        <f aca="false">IF($B578="","",IFERROR(INDEX(Services!$E$2:$E$120,MATCH($B578,Services!$D$2:$D$120,0)),""))</f>
        <v/>
      </c>
    </row>
    <row r="579" customFormat="false" ht="14.25" hidden="false" customHeight="false" outlineLevel="0" collapsed="false">
      <c r="A579" s="18"/>
      <c r="B579" s="6"/>
      <c r="C579" s="6"/>
      <c r="D579" s="6"/>
      <c r="E579" s="16" t="str">
        <f aca="false">IF($B579="","",IFERROR(INDEX(Services!$C$2:$C$120,MATCH($B579,Services!$D$2:$D$120,0)),""))</f>
        <v/>
      </c>
      <c r="F579" s="19"/>
      <c r="G579" s="9" t="str">
        <f aca="false">IF(OR($B579="",NOT(ISNUMBER($E579))),"",$E579-IF($F579="",0,$F579))</f>
        <v/>
      </c>
      <c r="H579" s="15" t="str">
        <f aca="false">IF($B579="","",IFERROR(INDEX(Services!$A$2:$A$120,MATCH($B579,Services!$D$2:$D$120,0)),""))</f>
        <v/>
      </c>
      <c r="I579" s="19"/>
      <c r="J579" s="15" t="str">
        <f aca="false">IF($B579="","",IFERROR(INDEX(Services!$E$2:$E$120,MATCH($B579,Services!$D$2:$D$120,0)),""))</f>
        <v/>
      </c>
    </row>
    <row r="580" customFormat="false" ht="14.25" hidden="false" customHeight="false" outlineLevel="0" collapsed="false">
      <c r="A580" s="18"/>
      <c r="B580" s="6"/>
      <c r="C580" s="6"/>
      <c r="D580" s="6"/>
      <c r="E580" s="16" t="str">
        <f aca="false">IF($B580="","",IFERROR(INDEX(Services!$C$2:$C$120,MATCH($B580,Services!$D$2:$D$120,0)),""))</f>
        <v/>
      </c>
      <c r="F580" s="19"/>
      <c r="G580" s="9" t="str">
        <f aca="false">IF(OR($B580="",NOT(ISNUMBER($E580))),"",$E580-IF($F580="",0,$F580))</f>
        <v/>
      </c>
      <c r="H580" s="15" t="str">
        <f aca="false">IF($B580="","",IFERROR(INDEX(Services!$A$2:$A$120,MATCH($B580,Services!$D$2:$D$120,0)),""))</f>
        <v/>
      </c>
      <c r="I580" s="19"/>
      <c r="J580" s="15" t="str">
        <f aca="false">IF($B580="","",IFERROR(INDEX(Services!$E$2:$E$120,MATCH($B580,Services!$D$2:$D$120,0)),""))</f>
        <v/>
      </c>
    </row>
    <row r="581" customFormat="false" ht="14.25" hidden="false" customHeight="false" outlineLevel="0" collapsed="false">
      <c r="A581" s="18"/>
      <c r="B581" s="6"/>
      <c r="C581" s="6"/>
      <c r="D581" s="6"/>
      <c r="E581" s="16" t="str">
        <f aca="false">IF($B581="","",IFERROR(INDEX(Services!$C$2:$C$120,MATCH($B581,Services!$D$2:$D$120,0)),""))</f>
        <v/>
      </c>
      <c r="F581" s="19"/>
      <c r="G581" s="9" t="str">
        <f aca="false">IF(OR($B581="",NOT(ISNUMBER($E581))),"",$E581-IF($F581="",0,$F581))</f>
        <v/>
      </c>
      <c r="H581" s="15" t="str">
        <f aca="false">IF($B581="","",IFERROR(INDEX(Services!$A$2:$A$120,MATCH($B581,Services!$D$2:$D$120,0)),""))</f>
        <v/>
      </c>
      <c r="I581" s="19"/>
      <c r="J581" s="15" t="str">
        <f aca="false">IF($B581="","",IFERROR(INDEX(Services!$E$2:$E$120,MATCH($B581,Services!$D$2:$D$120,0)),""))</f>
        <v/>
      </c>
    </row>
    <row r="582" customFormat="false" ht="14.25" hidden="false" customHeight="false" outlineLevel="0" collapsed="false">
      <c r="A582" s="18"/>
      <c r="B582" s="6"/>
      <c r="C582" s="6"/>
      <c r="D582" s="6"/>
      <c r="E582" s="16" t="str">
        <f aca="false">IF($B582="","",IFERROR(INDEX(Services!$C$2:$C$120,MATCH($B582,Services!$D$2:$D$120,0)),""))</f>
        <v/>
      </c>
      <c r="F582" s="19"/>
      <c r="G582" s="9" t="str">
        <f aca="false">IF(OR($B582="",NOT(ISNUMBER($E582))),"",$E582-IF($F582="",0,$F582))</f>
        <v/>
      </c>
      <c r="H582" s="15" t="str">
        <f aca="false">IF($B582="","",IFERROR(INDEX(Services!$A$2:$A$120,MATCH($B582,Services!$D$2:$D$120,0)),""))</f>
        <v/>
      </c>
      <c r="I582" s="19"/>
      <c r="J582" s="15" t="str">
        <f aca="false">IF($B582="","",IFERROR(INDEX(Services!$E$2:$E$120,MATCH($B582,Services!$D$2:$D$120,0)),""))</f>
        <v/>
      </c>
    </row>
    <row r="583" customFormat="false" ht="14.25" hidden="false" customHeight="false" outlineLevel="0" collapsed="false">
      <c r="A583" s="18"/>
      <c r="B583" s="6"/>
      <c r="C583" s="6"/>
      <c r="D583" s="6"/>
      <c r="E583" s="16" t="str">
        <f aca="false">IF($B583="","",IFERROR(INDEX(Services!$C$2:$C$120,MATCH($B583,Services!$D$2:$D$120,0)),""))</f>
        <v/>
      </c>
      <c r="F583" s="19"/>
      <c r="G583" s="9" t="str">
        <f aca="false">IF(OR($B583="",NOT(ISNUMBER($E583))),"",$E583-IF($F583="",0,$F583))</f>
        <v/>
      </c>
      <c r="H583" s="15" t="str">
        <f aca="false">IF($B583="","",IFERROR(INDEX(Services!$A$2:$A$120,MATCH($B583,Services!$D$2:$D$120,0)),""))</f>
        <v/>
      </c>
      <c r="I583" s="19"/>
      <c r="J583" s="15" t="str">
        <f aca="false">IF($B583="","",IFERROR(INDEX(Services!$E$2:$E$120,MATCH($B583,Services!$D$2:$D$120,0)),""))</f>
        <v/>
      </c>
    </row>
    <row r="584" customFormat="false" ht="14.25" hidden="false" customHeight="false" outlineLevel="0" collapsed="false">
      <c r="A584" s="18"/>
      <c r="B584" s="6"/>
      <c r="C584" s="6"/>
      <c r="D584" s="6"/>
      <c r="E584" s="16" t="str">
        <f aca="false">IF($B584="","",IFERROR(INDEX(Services!$C$2:$C$120,MATCH($B584,Services!$D$2:$D$120,0)),""))</f>
        <v/>
      </c>
      <c r="F584" s="19"/>
      <c r="G584" s="9" t="str">
        <f aca="false">IF(OR($B584="",NOT(ISNUMBER($E584))),"",$E584-IF($F584="",0,$F584))</f>
        <v/>
      </c>
      <c r="H584" s="15" t="str">
        <f aca="false">IF($B584="","",IFERROR(INDEX(Services!$A$2:$A$120,MATCH($B584,Services!$D$2:$D$120,0)),""))</f>
        <v/>
      </c>
      <c r="I584" s="19"/>
      <c r="J584" s="15" t="str">
        <f aca="false">IF($B584="","",IFERROR(INDEX(Services!$E$2:$E$120,MATCH($B584,Services!$D$2:$D$120,0)),""))</f>
        <v/>
      </c>
    </row>
    <row r="585" customFormat="false" ht="14.25" hidden="false" customHeight="false" outlineLevel="0" collapsed="false">
      <c r="A585" s="18"/>
      <c r="B585" s="6"/>
      <c r="C585" s="6"/>
      <c r="D585" s="6"/>
      <c r="E585" s="16" t="str">
        <f aca="false">IF($B585="","",IFERROR(INDEX(Services!$C$2:$C$120,MATCH($B585,Services!$D$2:$D$120,0)),""))</f>
        <v/>
      </c>
      <c r="F585" s="19"/>
      <c r="G585" s="9" t="str">
        <f aca="false">IF(OR($B585="",NOT(ISNUMBER($E585))),"",$E585-IF($F585="",0,$F585))</f>
        <v/>
      </c>
      <c r="H585" s="15" t="str">
        <f aca="false">IF($B585="","",IFERROR(INDEX(Services!$A$2:$A$120,MATCH($B585,Services!$D$2:$D$120,0)),""))</f>
        <v/>
      </c>
      <c r="I585" s="19"/>
      <c r="J585" s="15" t="str">
        <f aca="false">IF($B585="","",IFERROR(INDEX(Services!$E$2:$E$120,MATCH($B585,Services!$D$2:$D$120,0)),""))</f>
        <v/>
      </c>
    </row>
    <row r="586" customFormat="false" ht="14.25" hidden="false" customHeight="false" outlineLevel="0" collapsed="false">
      <c r="A586" s="18"/>
      <c r="B586" s="6"/>
      <c r="C586" s="6"/>
      <c r="D586" s="6"/>
      <c r="E586" s="16" t="str">
        <f aca="false">IF($B586="","",IFERROR(INDEX(Services!$C$2:$C$120,MATCH($B586,Services!$D$2:$D$120,0)),""))</f>
        <v/>
      </c>
      <c r="F586" s="19"/>
      <c r="G586" s="9" t="str">
        <f aca="false">IF(OR($B586="",NOT(ISNUMBER($E586))),"",$E586-IF($F586="",0,$F586))</f>
        <v/>
      </c>
      <c r="H586" s="15" t="str">
        <f aca="false">IF($B586="","",IFERROR(INDEX(Services!$A$2:$A$120,MATCH($B586,Services!$D$2:$D$120,0)),""))</f>
        <v/>
      </c>
      <c r="I586" s="19"/>
      <c r="J586" s="15" t="str">
        <f aca="false">IF($B586="","",IFERROR(INDEX(Services!$E$2:$E$120,MATCH($B586,Services!$D$2:$D$120,0)),""))</f>
        <v/>
      </c>
    </row>
    <row r="587" customFormat="false" ht="14.25" hidden="false" customHeight="false" outlineLevel="0" collapsed="false">
      <c r="A587" s="18"/>
      <c r="B587" s="6"/>
      <c r="C587" s="6"/>
      <c r="D587" s="6"/>
      <c r="E587" s="16" t="str">
        <f aca="false">IF($B587="","",IFERROR(INDEX(Services!$C$2:$C$120,MATCH($B587,Services!$D$2:$D$120,0)),""))</f>
        <v/>
      </c>
      <c r="F587" s="19"/>
      <c r="G587" s="9" t="str">
        <f aca="false">IF(OR($B587="",NOT(ISNUMBER($E587))),"",$E587-IF($F587="",0,$F587))</f>
        <v/>
      </c>
      <c r="H587" s="15" t="str">
        <f aca="false">IF($B587="","",IFERROR(INDEX(Services!$A$2:$A$120,MATCH($B587,Services!$D$2:$D$120,0)),""))</f>
        <v/>
      </c>
      <c r="I587" s="19"/>
      <c r="J587" s="15" t="str">
        <f aca="false">IF($B587="","",IFERROR(INDEX(Services!$E$2:$E$120,MATCH($B587,Services!$D$2:$D$120,0)),""))</f>
        <v/>
      </c>
    </row>
    <row r="588" customFormat="false" ht="14.25" hidden="false" customHeight="false" outlineLevel="0" collapsed="false">
      <c r="A588" s="18"/>
      <c r="B588" s="6"/>
      <c r="C588" s="6"/>
      <c r="D588" s="6"/>
      <c r="E588" s="16" t="str">
        <f aca="false">IF($B588="","",IFERROR(INDEX(Services!$C$2:$C$120,MATCH($B588,Services!$D$2:$D$120,0)),""))</f>
        <v/>
      </c>
      <c r="F588" s="19"/>
      <c r="G588" s="9" t="str">
        <f aca="false">IF(OR($B588="",NOT(ISNUMBER($E588))),"",$E588-IF($F588="",0,$F588))</f>
        <v/>
      </c>
      <c r="H588" s="15" t="str">
        <f aca="false">IF($B588="","",IFERROR(INDEX(Services!$A$2:$A$120,MATCH($B588,Services!$D$2:$D$120,0)),""))</f>
        <v/>
      </c>
      <c r="I588" s="19"/>
      <c r="J588" s="15" t="str">
        <f aca="false">IF($B588="","",IFERROR(INDEX(Services!$E$2:$E$120,MATCH($B588,Services!$D$2:$D$120,0)),""))</f>
        <v/>
      </c>
    </row>
    <row r="589" customFormat="false" ht="14.25" hidden="false" customHeight="false" outlineLevel="0" collapsed="false">
      <c r="A589" s="18"/>
      <c r="B589" s="6"/>
      <c r="C589" s="6"/>
      <c r="D589" s="6"/>
      <c r="E589" s="16" t="str">
        <f aca="false">IF($B589="","",IFERROR(INDEX(Services!$C$2:$C$120,MATCH($B589,Services!$D$2:$D$120,0)),""))</f>
        <v/>
      </c>
      <c r="F589" s="19"/>
      <c r="G589" s="9" t="str">
        <f aca="false">IF(OR($B589="",NOT(ISNUMBER($E589))),"",$E589-IF($F589="",0,$F589))</f>
        <v/>
      </c>
      <c r="H589" s="15" t="str">
        <f aca="false">IF($B589="","",IFERROR(INDEX(Services!$A$2:$A$120,MATCH($B589,Services!$D$2:$D$120,0)),""))</f>
        <v/>
      </c>
      <c r="I589" s="19"/>
      <c r="J589" s="15" t="str">
        <f aca="false">IF($B589="","",IFERROR(INDEX(Services!$E$2:$E$120,MATCH($B589,Services!$D$2:$D$120,0)),""))</f>
        <v/>
      </c>
    </row>
    <row r="590" customFormat="false" ht="14.25" hidden="false" customHeight="false" outlineLevel="0" collapsed="false">
      <c r="A590" s="18"/>
      <c r="B590" s="6"/>
      <c r="C590" s="6"/>
      <c r="D590" s="6"/>
      <c r="E590" s="16" t="str">
        <f aca="false">IF($B590="","",IFERROR(INDEX(Services!$C$2:$C$120,MATCH($B590,Services!$D$2:$D$120,0)),""))</f>
        <v/>
      </c>
      <c r="F590" s="19"/>
      <c r="G590" s="9" t="str">
        <f aca="false">IF(OR($B590="",NOT(ISNUMBER($E590))),"",$E590-IF($F590="",0,$F590))</f>
        <v/>
      </c>
      <c r="H590" s="15" t="str">
        <f aca="false">IF($B590="","",IFERROR(INDEX(Services!$A$2:$A$120,MATCH($B590,Services!$D$2:$D$120,0)),""))</f>
        <v/>
      </c>
      <c r="I590" s="19"/>
      <c r="J590" s="15" t="str">
        <f aca="false">IF($B590="","",IFERROR(INDEX(Services!$E$2:$E$120,MATCH($B590,Services!$D$2:$D$120,0)),""))</f>
        <v/>
      </c>
    </row>
    <row r="591" customFormat="false" ht="14.25" hidden="false" customHeight="false" outlineLevel="0" collapsed="false">
      <c r="A591" s="18"/>
      <c r="B591" s="6"/>
      <c r="C591" s="6"/>
      <c r="D591" s="6"/>
      <c r="E591" s="16" t="str">
        <f aca="false">IF($B591="","",IFERROR(INDEX(Services!$C$2:$C$120,MATCH($B591,Services!$D$2:$D$120,0)),""))</f>
        <v/>
      </c>
      <c r="F591" s="19"/>
      <c r="G591" s="9" t="str">
        <f aca="false">IF(OR($B591="",NOT(ISNUMBER($E591))),"",$E591-IF($F591="",0,$F591))</f>
        <v/>
      </c>
      <c r="H591" s="15" t="str">
        <f aca="false">IF($B591="","",IFERROR(INDEX(Services!$A$2:$A$120,MATCH($B591,Services!$D$2:$D$120,0)),""))</f>
        <v/>
      </c>
      <c r="I591" s="19"/>
      <c r="J591" s="15" t="str">
        <f aca="false">IF($B591="","",IFERROR(INDEX(Services!$E$2:$E$120,MATCH($B591,Services!$D$2:$D$120,0)),""))</f>
        <v/>
      </c>
    </row>
    <row r="592" customFormat="false" ht="14.25" hidden="false" customHeight="false" outlineLevel="0" collapsed="false">
      <c r="A592" s="18"/>
      <c r="B592" s="6"/>
      <c r="C592" s="6"/>
      <c r="D592" s="6"/>
      <c r="E592" s="16" t="str">
        <f aca="false">IF($B592="","",IFERROR(INDEX(Services!$C$2:$C$120,MATCH($B592,Services!$D$2:$D$120,0)),""))</f>
        <v/>
      </c>
      <c r="F592" s="19"/>
      <c r="G592" s="9" t="str">
        <f aca="false">IF(OR($B592="",NOT(ISNUMBER($E592))),"",$E592-IF($F592="",0,$F592))</f>
        <v/>
      </c>
      <c r="H592" s="15" t="str">
        <f aca="false">IF($B592="","",IFERROR(INDEX(Services!$A$2:$A$120,MATCH($B592,Services!$D$2:$D$120,0)),""))</f>
        <v/>
      </c>
      <c r="I592" s="19"/>
      <c r="J592" s="15" t="str">
        <f aca="false">IF($B592="","",IFERROR(INDEX(Services!$E$2:$E$120,MATCH($B592,Services!$D$2:$D$120,0)),""))</f>
        <v/>
      </c>
    </row>
    <row r="593" customFormat="false" ht="14.25" hidden="false" customHeight="false" outlineLevel="0" collapsed="false">
      <c r="A593" s="18"/>
      <c r="B593" s="6"/>
      <c r="C593" s="6"/>
      <c r="D593" s="6"/>
      <c r="E593" s="16" t="str">
        <f aca="false">IF($B593="","",IFERROR(INDEX(Services!$C$2:$C$120,MATCH($B593,Services!$D$2:$D$120,0)),""))</f>
        <v/>
      </c>
      <c r="F593" s="19"/>
      <c r="G593" s="9" t="str">
        <f aca="false">IF(OR($B593="",NOT(ISNUMBER($E593))),"",$E593-IF($F593="",0,$F593))</f>
        <v/>
      </c>
      <c r="H593" s="15" t="str">
        <f aca="false">IF($B593="","",IFERROR(INDEX(Services!$A$2:$A$120,MATCH($B593,Services!$D$2:$D$120,0)),""))</f>
        <v/>
      </c>
      <c r="I593" s="19"/>
      <c r="J593" s="15" t="str">
        <f aca="false">IF($B593="","",IFERROR(INDEX(Services!$E$2:$E$120,MATCH($B593,Services!$D$2:$D$120,0)),""))</f>
        <v/>
      </c>
    </row>
    <row r="594" customFormat="false" ht="14.25" hidden="false" customHeight="false" outlineLevel="0" collapsed="false">
      <c r="A594" s="18"/>
      <c r="B594" s="6"/>
      <c r="C594" s="6"/>
      <c r="D594" s="6"/>
      <c r="E594" s="16" t="str">
        <f aca="false">IF($B594="","",IFERROR(INDEX(Services!$C$2:$C$120,MATCH($B594,Services!$D$2:$D$120,0)),""))</f>
        <v/>
      </c>
      <c r="F594" s="19"/>
      <c r="G594" s="9" t="str">
        <f aca="false">IF(OR($B594="",NOT(ISNUMBER($E594))),"",$E594-IF($F594="",0,$F594))</f>
        <v/>
      </c>
      <c r="H594" s="15" t="str">
        <f aca="false">IF($B594="","",IFERROR(INDEX(Services!$A$2:$A$120,MATCH($B594,Services!$D$2:$D$120,0)),""))</f>
        <v/>
      </c>
      <c r="I594" s="19"/>
      <c r="J594" s="15" t="str">
        <f aca="false">IF($B594="","",IFERROR(INDEX(Services!$E$2:$E$120,MATCH($B594,Services!$D$2:$D$120,0)),""))</f>
        <v/>
      </c>
    </row>
    <row r="595" customFormat="false" ht="14.25" hidden="false" customHeight="false" outlineLevel="0" collapsed="false">
      <c r="A595" s="18"/>
      <c r="B595" s="6"/>
      <c r="C595" s="6"/>
      <c r="D595" s="6"/>
      <c r="E595" s="16" t="str">
        <f aca="false">IF($B595="","",IFERROR(INDEX(Services!$C$2:$C$120,MATCH($B595,Services!$D$2:$D$120,0)),""))</f>
        <v/>
      </c>
      <c r="F595" s="19"/>
      <c r="G595" s="9" t="str">
        <f aca="false">IF(OR($B595="",NOT(ISNUMBER($E595))),"",$E595-IF($F595="",0,$F595))</f>
        <v/>
      </c>
      <c r="H595" s="15" t="str">
        <f aca="false">IF($B595="","",IFERROR(INDEX(Services!$A$2:$A$120,MATCH($B595,Services!$D$2:$D$120,0)),""))</f>
        <v/>
      </c>
      <c r="I595" s="19"/>
      <c r="J595" s="15" t="str">
        <f aca="false">IF($B595="","",IFERROR(INDEX(Services!$E$2:$E$120,MATCH($B595,Services!$D$2:$D$120,0)),""))</f>
        <v/>
      </c>
    </row>
    <row r="596" customFormat="false" ht="14.25" hidden="false" customHeight="false" outlineLevel="0" collapsed="false">
      <c r="A596" s="18"/>
      <c r="B596" s="6"/>
      <c r="C596" s="6"/>
      <c r="D596" s="6"/>
      <c r="E596" s="16" t="str">
        <f aca="false">IF($B596="","",IFERROR(INDEX(Services!$C$2:$C$120,MATCH($B596,Services!$D$2:$D$120,0)),""))</f>
        <v/>
      </c>
      <c r="F596" s="19"/>
      <c r="G596" s="9" t="str">
        <f aca="false">IF(OR($B596="",NOT(ISNUMBER($E596))),"",$E596-IF($F596="",0,$F596))</f>
        <v/>
      </c>
      <c r="H596" s="15" t="str">
        <f aca="false">IF($B596="","",IFERROR(INDEX(Services!$A$2:$A$120,MATCH($B596,Services!$D$2:$D$120,0)),""))</f>
        <v/>
      </c>
      <c r="I596" s="19"/>
      <c r="J596" s="15" t="str">
        <f aca="false">IF($B596="","",IFERROR(INDEX(Services!$E$2:$E$120,MATCH($B596,Services!$D$2:$D$120,0)),""))</f>
        <v/>
      </c>
    </row>
    <row r="597" customFormat="false" ht="14.25" hidden="false" customHeight="false" outlineLevel="0" collapsed="false">
      <c r="A597" s="18"/>
      <c r="B597" s="6"/>
      <c r="C597" s="6"/>
      <c r="D597" s="6"/>
      <c r="E597" s="16" t="str">
        <f aca="false">IF($B597="","",IFERROR(INDEX(Services!$C$2:$C$120,MATCH($B597,Services!$D$2:$D$120,0)),""))</f>
        <v/>
      </c>
      <c r="F597" s="19"/>
      <c r="G597" s="9" t="str">
        <f aca="false">IF(OR($B597="",NOT(ISNUMBER($E597))),"",$E597-IF($F597="",0,$F597))</f>
        <v/>
      </c>
      <c r="H597" s="15" t="str">
        <f aca="false">IF($B597="","",IFERROR(INDEX(Services!$A$2:$A$120,MATCH($B597,Services!$D$2:$D$120,0)),""))</f>
        <v/>
      </c>
      <c r="I597" s="19"/>
      <c r="J597" s="15" t="str">
        <f aca="false">IF($B597="","",IFERROR(INDEX(Services!$E$2:$E$120,MATCH($B597,Services!$D$2:$D$120,0)),""))</f>
        <v/>
      </c>
    </row>
    <row r="598" customFormat="false" ht="14.25" hidden="false" customHeight="false" outlineLevel="0" collapsed="false">
      <c r="A598" s="18"/>
      <c r="B598" s="6"/>
      <c r="C598" s="6"/>
      <c r="D598" s="6"/>
      <c r="E598" s="16" t="str">
        <f aca="false">IF($B598="","",IFERROR(INDEX(Services!$C$2:$C$120,MATCH($B598,Services!$D$2:$D$120,0)),""))</f>
        <v/>
      </c>
      <c r="F598" s="19"/>
      <c r="G598" s="9" t="str">
        <f aca="false">IF(OR($B598="",NOT(ISNUMBER($E598))),"",$E598-IF($F598="",0,$F598))</f>
        <v/>
      </c>
      <c r="H598" s="15" t="str">
        <f aca="false">IF($B598="","",IFERROR(INDEX(Services!$A$2:$A$120,MATCH($B598,Services!$D$2:$D$120,0)),""))</f>
        <v/>
      </c>
      <c r="I598" s="19"/>
      <c r="J598" s="15" t="str">
        <f aca="false">IF($B598="","",IFERROR(INDEX(Services!$E$2:$E$120,MATCH($B598,Services!$D$2:$D$120,0)),""))</f>
        <v/>
      </c>
    </row>
    <row r="599" customFormat="false" ht="14.25" hidden="false" customHeight="false" outlineLevel="0" collapsed="false">
      <c r="A599" s="18"/>
      <c r="B599" s="6"/>
      <c r="C599" s="6"/>
      <c r="D599" s="6"/>
      <c r="E599" s="16" t="str">
        <f aca="false">IF($B599="","",IFERROR(INDEX(Services!$C$2:$C$120,MATCH($B599,Services!$D$2:$D$120,0)),""))</f>
        <v/>
      </c>
      <c r="F599" s="19"/>
      <c r="G599" s="9" t="str">
        <f aca="false">IF(OR($B599="",NOT(ISNUMBER($E599))),"",$E599-IF($F599="",0,$F599))</f>
        <v/>
      </c>
      <c r="H599" s="15" t="str">
        <f aca="false">IF($B599="","",IFERROR(INDEX(Services!$A$2:$A$120,MATCH($B599,Services!$D$2:$D$120,0)),""))</f>
        <v/>
      </c>
      <c r="I599" s="19"/>
      <c r="J599" s="15" t="str">
        <f aca="false">IF($B599="","",IFERROR(INDEX(Services!$E$2:$E$120,MATCH($B599,Services!$D$2:$D$120,0)),""))</f>
        <v/>
      </c>
    </row>
    <row r="600" customFormat="false" ht="14.25" hidden="false" customHeight="false" outlineLevel="0" collapsed="false">
      <c r="A600" s="18"/>
      <c r="B600" s="6"/>
      <c r="C600" s="6"/>
      <c r="D600" s="6"/>
      <c r="E600" s="16" t="str">
        <f aca="false">IF($B600="","",IFERROR(INDEX(Services!$C$2:$C$120,MATCH($B600,Services!$D$2:$D$120,0)),""))</f>
        <v/>
      </c>
      <c r="F600" s="19"/>
      <c r="G600" s="9" t="str">
        <f aca="false">IF(OR($B600="",NOT(ISNUMBER($E600))),"",$E600-IF($F600="",0,$F600))</f>
        <v/>
      </c>
      <c r="H600" s="15" t="str">
        <f aca="false">IF($B600="","",IFERROR(INDEX(Services!$A$2:$A$120,MATCH($B600,Services!$D$2:$D$120,0)),""))</f>
        <v/>
      </c>
      <c r="I600" s="19"/>
      <c r="J600" s="15" t="str">
        <f aca="false">IF($B600="","",IFERROR(INDEX(Services!$E$2:$E$120,MATCH($B600,Services!$D$2:$D$120,0)),""))</f>
        <v/>
      </c>
    </row>
    <row r="601" customFormat="false" ht="14.25" hidden="false" customHeight="false" outlineLevel="0" collapsed="false">
      <c r="A601" s="18"/>
      <c r="B601" s="6"/>
      <c r="C601" s="6"/>
      <c r="D601" s="6"/>
      <c r="E601" s="16" t="str">
        <f aca="false">IF($B601="","",IFERROR(INDEX(Services!$C$2:$C$120,MATCH($B601,Services!$D$2:$D$120,0)),""))</f>
        <v/>
      </c>
      <c r="F601" s="19"/>
      <c r="G601" s="9" t="str">
        <f aca="false">IF(OR($B601="",NOT(ISNUMBER($E601))),"",$E601-IF($F601="",0,$F601))</f>
        <v/>
      </c>
      <c r="H601" s="15" t="str">
        <f aca="false">IF($B601="","",IFERROR(INDEX(Services!$A$2:$A$120,MATCH($B601,Services!$D$2:$D$120,0)),""))</f>
        <v/>
      </c>
      <c r="I601" s="19"/>
      <c r="J601" s="15" t="str">
        <f aca="false">IF($B601="","",IFERROR(INDEX(Services!$E$2:$E$120,MATCH($B601,Services!$D$2:$D$120,0)),""))</f>
        <v/>
      </c>
    </row>
    <row r="602" customFormat="false" ht="14.25" hidden="false" customHeight="false" outlineLevel="0" collapsed="false">
      <c r="A602" s="18"/>
      <c r="B602" s="6"/>
      <c r="C602" s="6"/>
      <c r="D602" s="6"/>
      <c r="E602" s="16" t="str">
        <f aca="false">IF($B602="","",IFERROR(INDEX(Services!$C$2:$C$120,MATCH($B602,Services!$D$2:$D$120,0)),""))</f>
        <v/>
      </c>
      <c r="F602" s="19"/>
      <c r="G602" s="9" t="str">
        <f aca="false">IF(OR($B602="",NOT(ISNUMBER($E602))),"",$E602-IF($F602="",0,$F602))</f>
        <v/>
      </c>
      <c r="H602" s="15" t="str">
        <f aca="false">IF($B602="","",IFERROR(INDEX(Services!$A$2:$A$120,MATCH($B602,Services!$D$2:$D$120,0)),""))</f>
        <v/>
      </c>
      <c r="I602" s="19"/>
      <c r="J602" s="15" t="str">
        <f aca="false">IF($B602="","",IFERROR(INDEX(Services!$E$2:$E$120,MATCH($B602,Services!$D$2:$D$120,0)),""))</f>
        <v/>
      </c>
    </row>
    <row r="603" customFormat="false" ht="14.25" hidden="false" customHeight="false" outlineLevel="0" collapsed="false">
      <c r="A603" s="18"/>
      <c r="B603" s="6"/>
      <c r="C603" s="6"/>
      <c r="D603" s="6"/>
      <c r="E603" s="16" t="str">
        <f aca="false">IF($B603="","",IFERROR(INDEX(Services!$C$2:$C$120,MATCH($B603,Services!$D$2:$D$120,0)),""))</f>
        <v/>
      </c>
      <c r="F603" s="19"/>
      <c r="G603" s="9" t="str">
        <f aca="false">IF(OR($B603="",NOT(ISNUMBER($E603))),"",$E603-IF($F603="",0,$F603))</f>
        <v/>
      </c>
      <c r="H603" s="15" t="str">
        <f aca="false">IF($B603="","",IFERROR(INDEX(Services!$A$2:$A$120,MATCH($B603,Services!$D$2:$D$120,0)),""))</f>
        <v/>
      </c>
      <c r="I603" s="19"/>
      <c r="J603" s="15" t="str">
        <f aca="false">IF($B603="","",IFERROR(INDEX(Services!$E$2:$E$120,MATCH($B603,Services!$D$2:$D$120,0)),""))</f>
        <v/>
      </c>
    </row>
    <row r="604" customFormat="false" ht="14.25" hidden="false" customHeight="false" outlineLevel="0" collapsed="false">
      <c r="A604" s="18"/>
      <c r="B604" s="6"/>
      <c r="C604" s="6"/>
      <c r="D604" s="6"/>
      <c r="E604" s="16" t="str">
        <f aca="false">IF($B604="","",IFERROR(INDEX(Services!$C$2:$C$120,MATCH($B604,Services!$D$2:$D$120,0)),""))</f>
        <v/>
      </c>
      <c r="F604" s="19"/>
      <c r="G604" s="9" t="str">
        <f aca="false">IF(OR($B604="",NOT(ISNUMBER($E604))),"",$E604-IF($F604="",0,$F604))</f>
        <v/>
      </c>
      <c r="H604" s="15" t="str">
        <f aca="false">IF($B604="","",IFERROR(INDEX(Services!$A$2:$A$120,MATCH($B604,Services!$D$2:$D$120,0)),""))</f>
        <v/>
      </c>
      <c r="I604" s="19"/>
      <c r="J604" s="15" t="str">
        <f aca="false">IF($B604="","",IFERROR(INDEX(Services!$E$2:$E$120,MATCH($B604,Services!$D$2:$D$120,0)),""))</f>
        <v/>
      </c>
    </row>
    <row r="605" customFormat="false" ht="14.25" hidden="false" customHeight="false" outlineLevel="0" collapsed="false">
      <c r="A605" s="18"/>
      <c r="B605" s="6"/>
      <c r="C605" s="6"/>
      <c r="D605" s="6"/>
      <c r="E605" s="16" t="str">
        <f aca="false">IF($B605="","",IFERROR(INDEX(Services!$C$2:$C$120,MATCH($B605,Services!$D$2:$D$120,0)),""))</f>
        <v/>
      </c>
      <c r="F605" s="19"/>
      <c r="G605" s="9" t="str">
        <f aca="false">IF(OR($B605="",NOT(ISNUMBER($E605))),"",$E605-IF($F605="",0,$F605))</f>
        <v/>
      </c>
      <c r="H605" s="15" t="str">
        <f aca="false">IF($B605="","",IFERROR(INDEX(Services!$A$2:$A$120,MATCH($B605,Services!$D$2:$D$120,0)),""))</f>
        <v/>
      </c>
      <c r="I605" s="19"/>
      <c r="J605" s="15" t="str">
        <f aca="false">IF($B605="","",IFERROR(INDEX(Services!$E$2:$E$120,MATCH($B605,Services!$D$2:$D$120,0)),""))</f>
        <v/>
      </c>
    </row>
    <row r="606" customFormat="false" ht="14.25" hidden="false" customHeight="false" outlineLevel="0" collapsed="false">
      <c r="A606" s="18"/>
      <c r="B606" s="6"/>
      <c r="C606" s="6"/>
      <c r="D606" s="6"/>
      <c r="E606" s="16" t="str">
        <f aca="false">IF($B606="","",IFERROR(INDEX(Services!$C$2:$C$120,MATCH($B606,Services!$D$2:$D$120,0)),""))</f>
        <v/>
      </c>
      <c r="F606" s="19"/>
      <c r="G606" s="9" t="str">
        <f aca="false">IF(OR($B606="",NOT(ISNUMBER($E606))),"",$E606-IF($F606="",0,$F606))</f>
        <v/>
      </c>
      <c r="H606" s="15" t="str">
        <f aca="false">IF($B606="","",IFERROR(INDEX(Services!$A$2:$A$120,MATCH($B606,Services!$D$2:$D$120,0)),""))</f>
        <v/>
      </c>
      <c r="I606" s="19"/>
      <c r="J606" s="15" t="str">
        <f aca="false">IF($B606="","",IFERROR(INDEX(Services!$E$2:$E$120,MATCH($B606,Services!$D$2:$D$120,0)),""))</f>
        <v/>
      </c>
    </row>
    <row r="607" customFormat="false" ht="14.25" hidden="false" customHeight="false" outlineLevel="0" collapsed="false">
      <c r="A607" s="18"/>
      <c r="B607" s="6"/>
      <c r="C607" s="6"/>
      <c r="D607" s="6"/>
      <c r="E607" s="16" t="str">
        <f aca="false">IF($B607="","",IFERROR(INDEX(Services!$C$2:$C$120,MATCH($B607,Services!$D$2:$D$120,0)),""))</f>
        <v/>
      </c>
      <c r="F607" s="19"/>
      <c r="G607" s="9" t="str">
        <f aca="false">IF(OR($B607="",NOT(ISNUMBER($E607))),"",$E607-IF($F607="",0,$F607))</f>
        <v/>
      </c>
      <c r="H607" s="15" t="str">
        <f aca="false">IF($B607="","",IFERROR(INDEX(Services!$A$2:$A$120,MATCH($B607,Services!$D$2:$D$120,0)),""))</f>
        <v/>
      </c>
      <c r="I607" s="19"/>
      <c r="J607" s="15" t="str">
        <f aca="false">IF($B607="","",IFERROR(INDEX(Services!$E$2:$E$120,MATCH($B607,Services!$D$2:$D$120,0)),""))</f>
        <v/>
      </c>
    </row>
    <row r="608" customFormat="false" ht="14.25" hidden="false" customHeight="false" outlineLevel="0" collapsed="false">
      <c r="A608" s="18"/>
      <c r="B608" s="6"/>
      <c r="C608" s="6"/>
      <c r="D608" s="6"/>
      <c r="E608" s="16" t="str">
        <f aca="false">IF($B608="","",IFERROR(INDEX(Services!$C$2:$C$120,MATCH($B608,Services!$D$2:$D$120,0)),""))</f>
        <v/>
      </c>
      <c r="F608" s="19"/>
      <c r="G608" s="9" t="str">
        <f aca="false">IF(OR($B608="",NOT(ISNUMBER($E608))),"",$E608-IF($F608="",0,$F608))</f>
        <v/>
      </c>
      <c r="H608" s="15" t="str">
        <f aca="false">IF($B608="","",IFERROR(INDEX(Services!$A$2:$A$120,MATCH($B608,Services!$D$2:$D$120,0)),""))</f>
        <v/>
      </c>
      <c r="I608" s="19"/>
      <c r="J608" s="15" t="str">
        <f aca="false">IF($B608="","",IFERROR(INDEX(Services!$E$2:$E$120,MATCH($B608,Services!$D$2:$D$120,0)),""))</f>
        <v/>
      </c>
    </row>
    <row r="609" customFormat="false" ht="14.25" hidden="false" customHeight="false" outlineLevel="0" collapsed="false">
      <c r="A609" s="18"/>
      <c r="B609" s="6"/>
      <c r="C609" s="6"/>
      <c r="D609" s="6"/>
      <c r="E609" s="16" t="str">
        <f aca="false">IF($B609="","",IFERROR(INDEX(Services!$C$2:$C$120,MATCH($B609,Services!$D$2:$D$120,0)),""))</f>
        <v/>
      </c>
      <c r="F609" s="19"/>
      <c r="G609" s="9" t="str">
        <f aca="false">IF(OR($B609="",NOT(ISNUMBER($E609))),"",$E609-IF($F609="",0,$F609))</f>
        <v/>
      </c>
      <c r="H609" s="15" t="str">
        <f aca="false">IF($B609="","",IFERROR(INDEX(Services!$A$2:$A$120,MATCH($B609,Services!$D$2:$D$120,0)),""))</f>
        <v/>
      </c>
      <c r="I609" s="19"/>
      <c r="J609" s="15" t="str">
        <f aca="false">IF($B609="","",IFERROR(INDEX(Services!$E$2:$E$120,MATCH($B609,Services!$D$2:$D$120,0)),""))</f>
        <v/>
      </c>
    </row>
    <row r="610" customFormat="false" ht="14.25" hidden="false" customHeight="false" outlineLevel="0" collapsed="false">
      <c r="A610" s="18"/>
      <c r="B610" s="6"/>
      <c r="C610" s="6"/>
      <c r="D610" s="6"/>
      <c r="E610" s="16" t="str">
        <f aca="false">IF($B610="","",IFERROR(INDEX(Services!$C$2:$C$120,MATCH($B610,Services!$D$2:$D$120,0)),""))</f>
        <v/>
      </c>
      <c r="F610" s="19"/>
      <c r="G610" s="9" t="str">
        <f aca="false">IF(OR($B610="",NOT(ISNUMBER($E610))),"",$E610-IF($F610="",0,$F610))</f>
        <v/>
      </c>
      <c r="H610" s="15" t="str">
        <f aca="false">IF($B610="","",IFERROR(INDEX(Services!$A$2:$A$120,MATCH($B610,Services!$D$2:$D$120,0)),""))</f>
        <v/>
      </c>
      <c r="I610" s="19"/>
      <c r="J610" s="15" t="str">
        <f aca="false">IF($B610="","",IFERROR(INDEX(Services!$E$2:$E$120,MATCH($B610,Services!$D$2:$D$120,0)),""))</f>
        <v/>
      </c>
    </row>
    <row r="611" customFormat="false" ht="14.25" hidden="false" customHeight="false" outlineLevel="0" collapsed="false">
      <c r="A611" s="18"/>
      <c r="B611" s="6"/>
      <c r="C611" s="6"/>
      <c r="D611" s="6"/>
      <c r="E611" s="16" t="str">
        <f aca="false">IF($B611="","",IFERROR(INDEX(Services!$C$2:$C$120,MATCH($B611,Services!$D$2:$D$120,0)),""))</f>
        <v/>
      </c>
      <c r="F611" s="19"/>
      <c r="G611" s="9" t="str">
        <f aca="false">IF(OR($B611="",NOT(ISNUMBER($E611))),"",$E611-IF($F611="",0,$F611))</f>
        <v/>
      </c>
      <c r="H611" s="15" t="str">
        <f aca="false">IF($B611="","",IFERROR(INDEX(Services!$A$2:$A$120,MATCH($B611,Services!$D$2:$D$120,0)),""))</f>
        <v/>
      </c>
      <c r="I611" s="19"/>
      <c r="J611" s="15" t="str">
        <f aca="false">IF($B611="","",IFERROR(INDEX(Services!$E$2:$E$120,MATCH($B611,Services!$D$2:$D$120,0)),""))</f>
        <v/>
      </c>
    </row>
    <row r="612" customFormat="false" ht="14.25" hidden="false" customHeight="false" outlineLevel="0" collapsed="false">
      <c r="A612" s="18"/>
      <c r="B612" s="6"/>
      <c r="C612" s="6"/>
      <c r="D612" s="6"/>
      <c r="E612" s="16" t="str">
        <f aca="false">IF($B612="","",IFERROR(INDEX(Services!$C$2:$C$120,MATCH($B612,Services!$D$2:$D$120,0)),""))</f>
        <v/>
      </c>
      <c r="F612" s="19"/>
      <c r="G612" s="9" t="str">
        <f aca="false">IF(OR($B612="",NOT(ISNUMBER($E612))),"",$E612-IF($F612="",0,$F612))</f>
        <v/>
      </c>
      <c r="H612" s="15" t="str">
        <f aca="false">IF($B612="","",IFERROR(INDEX(Services!$A$2:$A$120,MATCH($B612,Services!$D$2:$D$120,0)),""))</f>
        <v/>
      </c>
      <c r="I612" s="19"/>
      <c r="J612" s="15" t="str">
        <f aca="false">IF($B612="","",IFERROR(INDEX(Services!$E$2:$E$120,MATCH($B612,Services!$D$2:$D$120,0)),""))</f>
        <v/>
      </c>
    </row>
    <row r="613" customFormat="false" ht="14.25" hidden="false" customHeight="false" outlineLevel="0" collapsed="false">
      <c r="A613" s="18"/>
      <c r="B613" s="6"/>
      <c r="C613" s="6"/>
      <c r="D613" s="6"/>
      <c r="E613" s="16" t="str">
        <f aca="false">IF($B613="","",IFERROR(INDEX(Services!$C$2:$C$120,MATCH($B613,Services!$D$2:$D$120,0)),""))</f>
        <v/>
      </c>
      <c r="F613" s="19"/>
      <c r="G613" s="9" t="str">
        <f aca="false">IF(OR($B613="",NOT(ISNUMBER($E613))),"",$E613-IF($F613="",0,$F613))</f>
        <v/>
      </c>
      <c r="H613" s="15" t="str">
        <f aca="false">IF($B613="","",IFERROR(INDEX(Services!$A$2:$A$120,MATCH($B613,Services!$D$2:$D$120,0)),""))</f>
        <v/>
      </c>
      <c r="I613" s="19"/>
      <c r="J613" s="15" t="str">
        <f aca="false">IF($B613="","",IFERROR(INDEX(Services!$E$2:$E$120,MATCH($B613,Services!$D$2:$D$120,0)),""))</f>
        <v/>
      </c>
    </row>
    <row r="614" customFormat="false" ht="14.25" hidden="false" customHeight="false" outlineLevel="0" collapsed="false">
      <c r="A614" s="18"/>
      <c r="B614" s="6"/>
      <c r="C614" s="6"/>
      <c r="D614" s="6"/>
      <c r="E614" s="16" t="str">
        <f aca="false">IF($B614="","",IFERROR(INDEX(Services!$C$2:$C$120,MATCH($B614,Services!$D$2:$D$120,0)),""))</f>
        <v/>
      </c>
      <c r="F614" s="19"/>
      <c r="G614" s="9" t="str">
        <f aca="false">IF(OR($B614="",NOT(ISNUMBER($E614))),"",$E614-IF($F614="",0,$F614))</f>
        <v/>
      </c>
      <c r="H614" s="15" t="str">
        <f aca="false">IF($B614="","",IFERROR(INDEX(Services!$A$2:$A$120,MATCH($B614,Services!$D$2:$D$120,0)),""))</f>
        <v/>
      </c>
      <c r="I614" s="19"/>
      <c r="J614" s="15" t="str">
        <f aca="false">IF($B614="","",IFERROR(INDEX(Services!$E$2:$E$120,MATCH($B614,Services!$D$2:$D$120,0)),""))</f>
        <v/>
      </c>
    </row>
    <row r="615" customFormat="false" ht="14.25" hidden="false" customHeight="false" outlineLevel="0" collapsed="false">
      <c r="A615" s="18"/>
      <c r="B615" s="6"/>
      <c r="C615" s="6"/>
      <c r="D615" s="6"/>
      <c r="E615" s="16" t="str">
        <f aca="false">IF($B615="","",IFERROR(INDEX(Services!$C$2:$C$120,MATCH($B615,Services!$D$2:$D$120,0)),""))</f>
        <v/>
      </c>
      <c r="F615" s="19"/>
      <c r="G615" s="9" t="str">
        <f aca="false">IF(OR($B615="",NOT(ISNUMBER($E615))),"",$E615-IF($F615="",0,$F615))</f>
        <v/>
      </c>
      <c r="H615" s="15" t="str">
        <f aca="false">IF($B615="","",IFERROR(INDEX(Services!$A$2:$A$120,MATCH($B615,Services!$D$2:$D$120,0)),""))</f>
        <v/>
      </c>
      <c r="I615" s="19"/>
      <c r="J615" s="15" t="str">
        <f aca="false">IF($B615="","",IFERROR(INDEX(Services!$E$2:$E$120,MATCH($B615,Services!$D$2:$D$120,0)),""))</f>
        <v/>
      </c>
    </row>
    <row r="616" customFormat="false" ht="14.25" hidden="false" customHeight="false" outlineLevel="0" collapsed="false">
      <c r="A616" s="18"/>
      <c r="B616" s="6"/>
      <c r="C616" s="6"/>
      <c r="D616" s="6"/>
      <c r="E616" s="16" t="str">
        <f aca="false">IF($B616="","",IFERROR(INDEX(Services!$C$2:$C$120,MATCH($B616,Services!$D$2:$D$120,0)),""))</f>
        <v/>
      </c>
      <c r="F616" s="19"/>
      <c r="G616" s="9" t="str">
        <f aca="false">IF(OR($B616="",NOT(ISNUMBER($E616))),"",$E616-IF($F616="",0,$F616))</f>
        <v/>
      </c>
      <c r="H616" s="15" t="str">
        <f aca="false">IF($B616="","",IFERROR(INDEX(Services!$A$2:$A$120,MATCH($B616,Services!$D$2:$D$120,0)),""))</f>
        <v/>
      </c>
      <c r="I616" s="19"/>
      <c r="J616" s="15" t="str">
        <f aca="false">IF($B616="","",IFERROR(INDEX(Services!$E$2:$E$120,MATCH($B616,Services!$D$2:$D$120,0)),""))</f>
        <v/>
      </c>
    </row>
    <row r="617" customFormat="false" ht="14.25" hidden="false" customHeight="false" outlineLevel="0" collapsed="false">
      <c r="A617" s="18"/>
      <c r="B617" s="6"/>
      <c r="C617" s="6"/>
      <c r="D617" s="6"/>
      <c r="E617" s="16" t="str">
        <f aca="false">IF($B617="","",IFERROR(INDEX(Services!$C$2:$C$120,MATCH($B617,Services!$D$2:$D$120,0)),""))</f>
        <v/>
      </c>
      <c r="F617" s="19"/>
      <c r="G617" s="9" t="str">
        <f aca="false">IF(OR($B617="",NOT(ISNUMBER($E617))),"",$E617-IF($F617="",0,$F617))</f>
        <v/>
      </c>
      <c r="H617" s="15" t="str">
        <f aca="false">IF($B617="","",IFERROR(INDEX(Services!$A$2:$A$120,MATCH($B617,Services!$D$2:$D$120,0)),""))</f>
        <v/>
      </c>
      <c r="I617" s="19"/>
      <c r="J617" s="15" t="str">
        <f aca="false">IF($B617="","",IFERROR(INDEX(Services!$E$2:$E$120,MATCH($B617,Services!$D$2:$D$120,0)),""))</f>
        <v/>
      </c>
    </row>
    <row r="618" customFormat="false" ht="14.25" hidden="false" customHeight="false" outlineLevel="0" collapsed="false">
      <c r="A618" s="18"/>
      <c r="B618" s="6"/>
      <c r="C618" s="6"/>
      <c r="D618" s="6"/>
      <c r="E618" s="16" t="str">
        <f aca="false">IF($B618="","",IFERROR(INDEX(Services!$C$2:$C$120,MATCH($B618,Services!$D$2:$D$120,0)),""))</f>
        <v/>
      </c>
      <c r="F618" s="19"/>
      <c r="G618" s="9" t="str">
        <f aca="false">IF(OR($B618="",NOT(ISNUMBER($E618))),"",$E618-IF($F618="",0,$F618))</f>
        <v/>
      </c>
      <c r="H618" s="15" t="str">
        <f aca="false">IF($B618="","",IFERROR(INDEX(Services!$A$2:$A$120,MATCH($B618,Services!$D$2:$D$120,0)),""))</f>
        <v/>
      </c>
      <c r="I618" s="19"/>
      <c r="J618" s="15" t="str">
        <f aca="false">IF($B618="","",IFERROR(INDEX(Services!$E$2:$E$120,MATCH($B618,Services!$D$2:$D$120,0)),""))</f>
        <v/>
      </c>
    </row>
    <row r="619" customFormat="false" ht="14.25" hidden="false" customHeight="false" outlineLevel="0" collapsed="false">
      <c r="A619" s="18"/>
      <c r="B619" s="6"/>
      <c r="C619" s="6"/>
      <c r="D619" s="6"/>
      <c r="E619" s="16" t="str">
        <f aca="false">IF($B619="","",IFERROR(INDEX(Services!$C$2:$C$120,MATCH($B619,Services!$D$2:$D$120,0)),""))</f>
        <v/>
      </c>
      <c r="F619" s="19"/>
      <c r="G619" s="9" t="str">
        <f aca="false">IF(OR($B619="",NOT(ISNUMBER($E619))),"",$E619-IF($F619="",0,$F619))</f>
        <v/>
      </c>
      <c r="H619" s="15" t="str">
        <f aca="false">IF($B619="","",IFERROR(INDEX(Services!$A$2:$A$120,MATCH($B619,Services!$D$2:$D$120,0)),""))</f>
        <v/>
      </c>
      <c r="I619" s="19"/>
      <c r="J619" s="15" t="str">
        <f aca="false">IF($B619="","",IFERROR(INDEX(Services!$E$2:$E$120,MATCH($B619,Services!$D$2:$D$120,0)),""))</f>
        <v/>
      </c>
    </row>
    <row r="620" customFormat="false" ht="14.25" hidden="false" customHeight="false" outlineLevel="0" collapsed="false">
      <c r="A620" s="18"/>
      <c r="B620" s="6"/>
      <c r="C620" s="6"/>
      <c r="D620" s="6"/>
      <c r="E620" s="16" t="str">
        <f aca="false">IF($B620="","",IFERROR(INDEX(Services!$C$2:$C$120,MATCH($B620,Services!$D$2:$D$120,0)),""))</f>
        <v/>
      </c>
      <c r="F620" s="19"/>
      <c r="G620" s="9" t="str">
        <f aca="false">IF(OR($B620="",NOT(ISNUMBER($E620))),"",$E620-IF($F620="",0,$F620))</f>
        <v/>
      </c>
      <c r="H620" s="15" t="str">
        <f aca="false">IF($B620="","",IFERROR(INDEX(Services!$A$2:$A$120,MATCH($B620,Services!$D$2:$D$120,0)),""))</f>
        <v/>
      </c>
      <c r="I620" s="19"/>
      <c r="J620" s="15" t="str">
        <f aca="false">IF($B620="","",IFERROR(INDEX(Services!$E$2:$E$120,MATCH($B620,Services!$D$2:$D$120,0)),""))</f>
        <v/>
      </c>
    </row>
    <row r="621" customFormat="false" ht="14.25" hidden="false" customHeight="false" outlineLevel="0" collapsed="false">
      <c r="A621" s="18"/>
      <c r="B621" s="6"/>
      <c r="C621" s="6"/>
      <c r="D621" s="6"/>
      <c r="E621" s="16" t="str">
        <f aca="false">IF($B621="","",IFERROR(INDEX(Services!$C$2:$C$120,MATCH($B621,Services!$D$2:$D$120,0)),""))</f>
        <v/>
      </c>
      <c r="F621" s="19"/>
      <c r="G621" s="9" t="str">
        <f aca="false">IF(OR($B621="",NOT(ISNUMBER($E621))),"",$E621-IF($F621="",0,$F621))</f>
        <v/>
      </c>
      <c r="H621" s="15" t="str">
        <f aca="false">IF($B621="","",IFERROR(INDEX(Services!$A$2:$A$120,MATCH($B621,Services!$D$2:$D$120,0)),""))</f>
        <v/>
      </c>
      <c r="I621" s="19"/>
      <c r="J621" s="15" t="str">
        <f aca="false">IF($B621="","",IFERROR(INDEX(Services!$E$2:$E$120,MATCH($B621,Services!$D$2:$D$120,0)),""))</f>
        <v/>
      </c>
    </row>
    <row r="622" customFormat="false" ht="14.25" hidden="false" customHeight="false" outlineLevel="0" collapsed="false">
      <c r="A622" s="18"/>
      <c r="B622" s="6"/>
      <c r="C622" s="6"/>
      <c r="D622" s="6"/>
      <c r="E622" s="16" t="str">
        <f aca="false">IF($B622="","",IFERROR(INDEX(Services!$C$2:$C$120,MATCH($B622,Services!$D$2:$D$120,0)),""))</f>
        <v/>
      </c>
      <c r="F622" s="19"/>
      <c r="G622" s="9" t="str">
        <f aca="false">IF(OR($B622="",NOT(ISNUMBER($E622))),"",$E622-IF($F622="",0,$F622))</f>
        <v/>
      </c>
      <c r="H622" s="15" t="str">
        <f aca="false">IF($B622="","",IFERROR(INDEX(Services!$A$2:$A$120,MATCH($B622,Services!$D$2:$D$120,0)),""))</f>
        <v/>
      </c>
      <c r="I622" s="19"/>
      <c r="J622" s="15" t="str">
        <f aca="false">IF($B622="","",IFERROR(INDEX(Services!$E$2:$E$120,MATCH($B622,Services!$D$2:$D$120,0)),""))</f>
        <v/>
      </c>
    </row>
    <row r="623" customFormat="false" ht="14.25" hidden="false" customHeight="false" outlineLevel="0" collapsed="false">
      <c r="A623" s="18"/>
      <c r="B623" s="6"/>
      <c r="C623" s="6"/>
      <c r="D623" s="6"/>
      <c r="E623" s="16" t="str">
        <f aca="false">IF($B623="","",IFERROR(INDEX(Services!$C$2:$C$120,MATCH($B623,Services!$D$2:$D$120,0)),""))</f>
        <v/>
      </c>
      <c r="F623" s="19"/>
      <c r="G623" s="9" t="str">
        <f aca="false">IF(OR($B623="",NOT(ISNUMBER($E623))),"",$E623-IF($F623="",0,$F623))</f>
        <v/>
      </c>
      <c r="H623" s="15" t="str">
        <f aca="false">IF($B623="","",IFERROR(INDEX(Services!$A$2:$A$120,MATCH($B623,Services!$D$2:$D$120,0)),""))</f>
        <v/>
      </c>
      <c r="I623" s="19"/>
      <c r="J623" s="15" t="str">
        <f aca="false">IF($B623="","",IFERROR(INDEX(Services!$E$2:$E$120,MATCH($B623,Services!$D$2:$D$120,0)),""))</f>
        <v/>
      </c>
    </row>
    <row r="624" customFormat="false" ht="14.25" hidden="false" customHeight="false" outlineLevel="0" collapsed="false">
      <c r="A624" s="18"/>
      <c r="B624" s="6"/>
      <c r="C624" s="6"/>
      <c r="D624" s="6"/>
      <c r="E624" s="16" t="str">
        <f aca="false">IF($B624="","",IFERROR(INDEX(Services!$C$2:$C$120,MATCH($B624,Services!$D$2:$D$120,0)),""))</f>
        <v/>
      </c>
      <c r="F624" s="19"/>
      <c r="G624" s="9" t="str">
        <f aca="false">IF(OR($B624="",NOT(ISNUMBER($E624))),"",$E624-IF($F624="",0,$F624))</f>
        <v/>
      </c>
      <c r="H624" s="15" t="str">
        <f aca="false">IF($B624="","",IFERROR(INDEX(Services!$A$2:$A$120,MATCH($B624,Services!$D$2:$D$120,0)),""))</f>
        <v/>
      </c>
      <c r="I624" s="19"/>
      <c r="J624" s="15" t="str">
        <f aca="false">IF($B624="","",IFERROR(INDEX(Services!$E$2:$E$120,MATCH($B624,Services!$D$2:$D$120,0)),""))</f>
        <v/>
      </c>
    </row>
    <row r="625" customFormat="false" ht="14.25" hidden="false" customHeight="false" outlineLevel="0" collapsed="false">
      <c r="A625" s="18"/>
      <c r="B625" s="6"/>
      <c r="C625" s="6"/>
      <c r="D625" s="6"/>
      <c r="E625" s="16" t="str">
        <f aca="false">IF($B625="","",IFERROR(INDEX(Services!$C$2:$C$120,MATCH($B625,Services!$D$2:$D$120,0)),""))</f>
        <v/>
      </c>
      <c r="F625" s="19"/>
      <c r="G625" s="9" t="str">
        <f aca="false">IF(OR($B625="",NOT(ISNUMBER($E625))),"",$E625-IF($F625="",0,$F625))</f>
        <v/>
      </c>
      <c r="H625" s="15" t="str">
        <f aca="false">IF($B625="","",IFERROR(INDEX(Services!$A$2:$A$120,MATCH($B625,Services!$D$2:$D$120,0)),""))</f>
        <v/>
      </c>
      <c r="I625" s="19"/>
      <c r="J625" s="15" t="str">
        <f aca="false">IF($B625="","",IFERROR(INDEX(Services!$E$2:$E$120,MATCH($B625,Services!$D$2:$D$120,0)),""))</f>
        <v/>
      </c>
    </row>
    <row r="626" customFormat="false" ht="14.25" hidden="false" customHeight="false" outlineLevel="0" collapsed="false">
      <c r="A626" s="18"/>
      <c r="B626" s="6"/>
      <c r="C626" s="6"/>
      <c r="D626" s="6"/>
      <c r="E626" s="16" t="str">
        <f aca="false">IF($B626="","",IFERROR(INDEX(Services!$C$2:$C$120,MATCH($B626,Services!$D$2:$D$120,0)),""))</f>
        <v/>
      </c>
      <c r="F626" s="19"/>
      <c r="G626" s="9" t="str">
        <f aca="false">IF(OR($B626="",NOT(ISNUMBER($E626))),"",$E626-IF($F626="",0,$F626))</f>
        <v/>
      </c>
      <c r="H626" s="15" t="str">
        <f aca="false">IF($B626="","",IFERROR(INDEX(Services!$A$2:$A$120,MATCH($B626,Services!$D$2:$D$120,0)),""))</f>
        <v/>
      </c>
      <c r="I626" s="19"/>
      <c r="J626" s="15" t="str">
        <f aca="false">IF($B626="","",IFERROR(INDEX(Services!$E$2:$E$120,MATCH($B626,Services!$D$2:$D$120,0)),""))</f>
        <v/>
      </c>
    </row>
    <row r="627" customFormat="false" ht="14.25" hidden="false" customHeight="false" outlineLevel="0" collapsed="false">
      <c r="A627" s="18"/>
      <c r="B627" s="6"/>
      <c r="C627" s="6"/>
      <c r="D627" s="6"/>
      <c r="E627" s="16" t="str">
        <f aca="false">IF($B627="","",IFERROR(INDEX(Services!$C$2:$C$120,MATCH($B627,Services!$D$2:$D$120,0)),""))</f>
        <v/>
      </c>
      <c r="F627" s="19"/>
      <c r="G627" s="9" t="str">
        <f aca="false">IF(OR($B627="",NOT(ISNUMBER($E627))),"",$E627-IF($F627="",0,$F627))</f>
        <v/>
      </c>
      <c r="H627" s="15" t="str">
        <f aca="false">IF($B627="","",IFERROR(INDEX(Services!$A$2:$A$120,MATCH($B627,Services!$D$2:$D$120,0)),""))</f>
        <v/>
      </c>
      <c r="I627" s="19"/>
      <c r="J627" s="15" t="str">
        <f aca="false">IF($B627="","",IFERROR(INDEX(Services!$E$2:$E$120,MATCH($B627,Services!$D$2:$D$120,0)),""))</f>
        <v/>
      </c>
    </row>
    <row r="628" customFormat="false" ht="14.25" hidden="false" customHeight="false" outlineLevel="0" collapsed="false">
      <c r="A628" s="18"/>
      <c r="B628" s="6"/>
      <c r="C628" s="6"/>
      <c r="D628" s="6"/>
      <c r="E628" s="16" t="str">
        <f aca="false">IF($B628="","",IFERROR(INDEX(Services!$C$2:$C$120,MATCH($B628,Services!$D$2:$D$120,0)),""))</f>
        <v/>
      </c>
      <c r="F628" s="19"/>
      <c r="G628" s="9" t="str">
        <f aca="false">IF(OR($B628="",NOT(ISNUMBER($E628))),"",$E628-IF($F628="",0,$F628))</f>
        <v/>
      </c>
      <c r="H628" s="15" t="str">
        <f aca="false">IF($B628="","",IFERROR(INDEX(Services!$A$2:$A$120,MATCH($B628,Services!$D$2:$D$120,0)),""))</f>
        <v/>
      </c>
      <c r="I628" s="19"/>
      <c r="J628" s="15" t="str">
        <f aca="false">IF($B628="","",IFERROR(INDEX(Services!$E$2:$E$120,MATCH($B628,Services!$D$2:$D$120,0)),""))</f>
        <v/>
      </c>
    </row>
    <row r="629" customFormat="false" ht="14.25" hidden="false" customHeight="false" outlineLevel="0" collapsed="false">
      <c r="A629" s="18"/>
      <c r="B629" s="6"/>
      <c r="C629" s="6"/>
      <c r="D629" s="6"/>
      <c r="E629" s="16" t="str">
        <f aca="false">IF($B629="","",IFERROR(INDEX(Services!$C$2:$C$120,MATCH($B629,Services!$D$2:$D$120,0)),""))</f>
        <v/>
      </c>
      <c r="F629" s="19"/>
      <c r="G629" s="9" t="str">
        <f aca="false">IF(OR($B629="",NOT(ISNUMBER($E629))),"",$E629-IF($F629="",0,$F629))</f>
        <v/>
      </c>
      <c r="H629" s="15" t="str">
        <f aca="false">IF($B629="","",IFERROR(INDEX(Services!$A$2:$A$120,MATCH($B629,Services!$D$2:$D$120,0)),""))</f>
        <v/>
      </c>
      <c r="I629" s="19"/>
      <c r="J629" s="15" t="str">
        <f aca="false">IF($B629="","",IFERROR(INDEX(Services!$E$2:$E$120,MATCH($B629,Services!$D$2:$D$120,0)),""))</f>
        <v/>
      </c>
    </row>
    <row r="630" customFormat="false" ht="14.25" hidden="false" customHeight="false" outlineLevel="0" collapsed="false">
      <c r="A630" s="18"/>
      <c r="B630" s="6"/>
      <c r="C630" s="6"/>
      <c r="D630" s="6"/>
      <c r="E630" s="16" t="str">
        <f aca="false">IF($B630="","",IFERROR(INDEX(Services!$C$2:$C$120,MATCH($B630,Services!$D$2:$D$120,0)),""))</f>
        <v/>
      </c>
      <c r="F630" s="19"/>
      <c r="G630" s="9" t="str">
        <f aca="false">IF(OR($B630="",NOT(ISNUMBER($E630))),"",$E630-IF($F630="",0,$F630))</f>
        <v/>
      </c>
      <c r="H630" s="15" t="str">
        <f aca="false">IF($B630="","",IFERROR(INDEX(Services!$A$2:$A$120,MATCH($B630,Services!$D$2:$D$120,0)),""))</f>
        <v/>
      </c>
      <c r="I630" s="19"/>
      <c r="J630" s="15" t="str">
        <f aca="false">IF($B630="","",IFERROR(INDEX(Services!$E$2:$E$120,MATCH($B630,Services!$D$2:$D$120,0)),""))</f>
        <v/>
      </c>
    </row>
    <row r="631" customFormat="false" ht="14.25" hidden="false" customHeight="false" outlineLevel="0" collapsed="false">
      <c r="A631" s="18"/>
      <c r="B631" s="6"/>
      <c r="C631" s="6"/>
      <c r="D631" s="6"/>
      <c r="E631" s="16" t="str">
        <f aca="false">IF($B631="","",IFERROR(INDEX(Services!$C$2:$C$120,MATCH($B631,Services!$D$2:$D$120,0)),""))</f>
        <v/>
      </c>
      <c r="F631" s="19"/>
      <c r="G631" s="9" t="str">
        <f aca="false">IF(OR($B631="",NOT(ISNUMBER($E631))),"",$E631-IF($F631="",0,$F631))</f>
        <v/>
      </c>
      <c r="H631" s="15" t="str">
        <f aca="false">IF($B631="","",IFERROR(INDEX(Services!$A$2:$A$120,MATCH($B631,Services!$D$2:$D$120,0)),""))</f>
        <v/>
      </c>
      <c r="I631" s="19"/>
      <c r="J631" s="15" t="str">
        <f aca="false">IF($B631="","",IFERROR(INDEX(Services!$E$2:$E$120,MATCH($B631,Services!$D$2:$D$120,0)),""))</f>
        <v/>
      </c>
    </row>
    <row r="632" customFormat="false" ht="14.25" hidden="false" customHeight="false" outlineLevel="0" collapsed="false">
      <c r="A632" s="18"/>
      <c r="B632" s="6"/>
      <c r="C632" s="6"/>
      <c r="D632" s="6"/>
      <c r="E632" s="16" t="str">
        <f aca="false">IF($B632="","",IFERROR(INDEX(Services!$C$2:$C$120,MATCH($B632,Services!$D$2:$D$120,0)),""))</f>
        <v/>
      </c>
      <c r="F632" s="19"/>
      <c r="G632" s="9" t="str">
        <f aca="false">IF(OR($B632="",NOT(ISNUMBER($E632))),"",$E632-IF($F632="",0,$F632))</f>
        <v/>
      </c>
      <c r="H632" s="15" t="str">
        <f aca="false">IF($B632="","",IFERROR(INDEX(Services!$A$2:$A$120,MATCH($B632,Services!$D$2:$D$120,0)),""))</f>
        <v/>
      </c>
      <c r="I632" s="19"/>
      <c r="J632" s="15" t="str">
        <f aca="false">IF($B632="","",IFERROR(INDEX(Services!$E$2:$E$120,MATCH($B632,Services!$D$2:$D$120,0)),""))</f>
        <v/>
      </c>
    </row>
    <row r="633" customFormat="false" ht="14.25" hidden="false" customHeight="false" outlineLevel="0" collapsed="false">
      <c r="A633" s="18"/>
      <c r="B633" s="6"/>
      <c r="C633" s="6"/>
      <c r="D633" s="6"/>
      <c r="E633" s="16" t="str">
        <f aca="false">IF($B633="","",IFERROR(INDEX(Services!$C$2:$C$120,MATCH($B633,Services!$D$2:$D$120,0)),""))</f>
        <v/>
      </c>
      <c r="F633" s="19"/>
      <c r="G633" s="9" t="str">
        <f aca="false">IF(OR($B633="",NOT(ISNUMBER($E633))),"",$E633-IF($F633="",0,$F633))</f>
        <v/>
      </c>
      <c r="H633" s="15" t="str">
        <f aca="false">IF($B633="","",IFERROR(INDEX(Services!$A$2:$A$120,MATCH($B633,Services!$D$2:$D$120,0)),""))</f>
        <v/>
      </c>
      <c r="I633" s="19"/>
      <c r="J633" s="15" t="str">
        <f aca="false">IF($B633="","",IFERROR(INDEX(Services!$E$2:$E$120,MATCH($B633,Services!$D$2:$D$120,0)),""))</f>
        <v/>
      </c>
    </row>
    <row r="634" customFormat="false" ht="14.25" hidden="false" customHeight="false" outlineLevel="0" collapsed="false">
      <c r="A634" s="18"/>
      <c r="B634" s="6"/>
      <c r="C634" s="6"/>
      <c r="D634" s="6"/>
      <c r="E634" s="16" t="str">
        <f aca="false">IF($B634="","",IFERROR(INDEX(Services!$C$2:$C$120,MATCH($B634,Services!$D$2:$D$120,0)),""))</f>
        <v/>
      </c>
      <c r="F634" s="19"/>
      <c r="G634" s="9" t="str">
        <f aca="false">IF(OR($B634="",NOT(ISNUMBER($E634))),"",$E634-IF($F634="",0,$F634))</f>
        <v/>
      </c>
      <c r="H634" s="15" t="str">
        <f aca="false">IF($B634="","",IFERROR(INDEX(Services!$A$2:$A$120,MATCH($B634,Services!$D$2:$D$120,0)),""))</f>
        <v/>
      </c>
      <c r="I634" s="19"/>
      <c r="J634" s="15" t="str">
        <f aca="false">IF($B634="","",IFERROR(INDEX(Services!$E$2:$E$120,MATCH($B634,Services!$D$2:$D$120,0)),""))</f>
        <v/>
      </c>
    </row>
    <row r="635" customFormat="false" ht="14.25" hidden="false" customHeight="false" outlineLevel="0" collapsed="false">
      <c r="A635" s="18"/>
      <c r="B635" s="6"/>
      <c r="C635" s="6"/>
      <c r="D635" s="6"/>
      <c r="E635" s="16" t="str">
        <f aca="false">IF($B635="","",IFERROR(INDEX(Services!$C$2:$C$120,MATCH($B635,Services!$D$2:$D$120,0)),""))</f>
        <v/>
      </c>
      <c r="F635" s="19"/>
      <c r="G635" s="9" t="str">
        <f aca="false">IF(OR($B635="",NOT(ISNUMBER($E635))),"",$E635-IF($F635="",0,$F635))</f>
        <v/>
      </c>
      <c r="H635" s="15" t="str">
        <f aca="false">IF($B635="","",IFERROR(INDEX(Services!$A$2:$A$120,MATCH($B635,Services!$D$2:$D$120,0)),""))</f>
        <v/>
      </c>
      <c r="I635" s="19"/>
      <c r="J635" s="15" t="str">
        <f aca="false">IF($B635="","",IFERROR(INDEX(Services!$E$2:$E$120,MATCH($B635,Services!$D$2:$D$120,0)),""))</f>
        <v/>
      </c>
    </row>
    <row r="636" customFormat="false" ht="14.25" hidden="false" customHeight="false" outlineLevel="0" collapsed="false">
      <c r="A636" s="18"/>
      <c r="B636" s="6"/>
      <c r="C636" s="6"/>
      <c r="D636" s="6"/>
      <c r="E636" s="16" t="str">
        <f aca="false">IF($B636="","",IFERROR(INDEX(Services!$C$2:$C$120,MATCH($B636,Services!$D$2:$D$120,0)),""))</f>
        <v/>
      </c>
      <c r="F636" s="19"/>
      <c r="G636" s="9" t="str">
        <f aca="false">IF(OR($B636="",NOT(ISNUMBER($E636))),"",$E636-IF($F636="",0,$F636))</f>
        <v/>
      </c>
      <c r="H636" s="15" t="str">
        <f aca="false">IF($B636="","",IFERROR(INDEX(Services!$A$2:$A$120,MATCH($B636,Services!$D$2:$D$120,0)),""))</f>
        <v/>
      </c>
      <c r="I636" s="19"/>
      <c r="J636" s="15" t="str">
        <f aca="false">IF($B636="","",IFERROR(INDEX(Services!$E$2:$E$120,MATCH($B636,Services!$D$2:$D$120,0)),""))</f>
        <v/>
      </c>
    </row>
    <row r="637" customFormat="false" ht="14.25" hidden="false" customHeight="false" outlineLevel="0" collapsed="false">
      <c r="A637" s="18"/>
      <c r="B637" s="6"/>
      <c r="C637" s="6"/>
      <c r="D637" s="6"/>
      <c r="E637" s="16" t="str">
        <f aca="false">IF($B637="","",IFERROR(INDEX(Services!$C$2:$C$120,MATCH($B637,Services!$D$2:$D$120,0)),""))</f>
        <v/>
      </c>
      <c r="F637" s="19"/>
      <c r="G637" s="9" t="str">
        <f aca="false">IF(OR($B637="",NOT(ISNUMBER($E637))),"",$E637-IF($F637="",0,$F637))</f>
        <v/>
      </c>
      <c r="H637" s="15" t="str">
        <f aca="false">IF($B637="","",IFERROR(INDEX(Services!$A$2:$A$120,MATCH($B637,Services!$D$2:$D$120,0)),""))</f>
        <v/>
      </c>
      <c r="I637" s="19"/>
      <c r="J637" s="15" t="str">
        <f aca="false">IF($B637="","",IFERROR(INDEX(Services!$E$2:$E$120,MATCH($B637,Services!$D$2:$D$120,0)),""))</f>
        <v/>
      </c>
    </row>
    <row r="638" customFormat="false" ht="14.25" hidden="false" customHeight="false" outlineLevel="0" collapsed="false">
      <c r="A638" s="18"/>
      <c r="B638" s="6"/>
      <c r="C638" s="6"/>
      <c r="D638" s="6"/>
      <c r="E638" s="16" t="str">
        <f aca="false">IF($B638="","",IFERROR(INDEX(Services!$C$2:$C$120,MATCH($B638,Services!$D$2:$D$120,0)),""))</f>
        <v/>
      </c>
      <c r="F638" s="19"/>
      <c r="G638" s="9" t="str">
        <f aca="false">IF(OR($B638="",NOT(ISNUMBER($E638))),"",$E638-IF($F638="",0,$F638))</f>
        <v/>
      </c>
      <c r="H638" s="15" t="str">
        <f aca="false">IF($B638="","",IFERROR(INDEX(Services!$A$2:$A$120,MATCH($B638,Services!$D$2:$D$120,0)),""))</f>
        <v/>
      </c>
      <c r="I638" s="19"/>
      <c r="J638" s="15" t="str">
        <f aca="false">IF($B638="","",IFERROR(INDEX(Services!$E$2:$E$120,MATCH($B638,Services!$D$2:$D$120,0)),""))</f>
        <v/>
      </c>
    </row>
    <row r="639" customFormat="false" ht="14.25" hidden="false" customHeight="false" outlineLevel="0" collapsed="false">
      <c r="A639" s="18"/>
      <c r="B639" s="6"/>
      <c r="C639" s="6"/>
      <c r="D639" s="6"/>
      <c r="E639" s="16" t="str">
        <f aca="false">IF($B639="","",IFERROR(INDEX(Services!$C$2:$C$120,MATCH($B639,Services!$D$2:$D$120,0)),""))</f>
        <v/>
      </c>
      <c r="F639" s="19"/>
      <c r="G639" s="9" t="str">
        <f aca="false">IF(OR($B639="",NOT(ISNUMBER($E639))),"",$E639-IF($F639="",0,$F639))</f>
        <v/>
      </c>
      <c r="H639" s="15" t="str">
        <f aca="false">IF($B639="","",IFERROR(INDEX(Services!$A$2:$A$120,MATCH($B639,Services!$D$2:$D$120,0)),""))</f>
        <v/>
      </c>
      <c r="I639" s="19"/>
      <c r="J639" s="15" t="str">
        <f aca="false">IF($B639="","",IFERROR(INDEX(Services!$E$2:$E$120,MATCH($B639,Services!$D$2:$D$120,0)),""))</f>
        <v/>
      </c>
    </row>
    <row r="640" customFormat="false" ht="14.25" hidden="false" customHeight="false" outlineLevel="0" collapsed="false">
      <c r="A640" s="18"/>
      <c r="B640" s="6"/>
      <c r="C640" s="6"/>
      <c r="D640" s="6"/>
      <c r="E640" s="16" t="str">
        <f aca="false">IF($B640="","",IFERROR(INDEX(Services!$C$2:$C$120,MATCH($B640,Services!$D$2:$D$120,0)),""))</f>
        <v/>
      </c>
      <c r="F640" s="19"/>
      <c r="G640" s="9" t="str">
        <f aca="false">IF(OR($B640="",NOT(ISNUMBER($E640))),"",$E640-IF($F640="",0,$F640))</f>
        <v/>
      </c>
      <c r="H640" s="15" t="str">
        <f aca="false">IF($B640="","",IFERROR(INDEX(Services!$A$2:$A$120,MATCH($B640,Services!$D$2:$D$120,0)),""))</f>
        <v/>
      </c>
      <c r="I640" s="19"/>
      <c r="J640" s="15" t="str">
        <f aca="false">IF($B640="","",IFERROR(INDEX(Services!$E$2:$E$120,MATCH($B640,Services!$D$2:$D$120,0)),""))</f>
        <v/>
      </c>
    </row>
    <row r="641" customFormat="false" ht="14.25" hidden="false" customHeight="false" outlineLevel="0" collapsed="false">
      <c r="A641" s="18"/>
      <c r="B641" s="6"/>
      <c r="C641" s="6"/>
      <c r="D641" s="6"/>
      <c r="E641" s="16" t="str">
        <f aca="false">IF($B641="","",IFERROR(INDEX(Services!$C$2:$C$120,MATCH($B641,Services!$D$2:$D$120,0)),""))</f>
        <v/>
      </c>
      <c r="F641" s="19"/>
      <c r="G641" s="9" t="str">
        <f aca="false">IF(OR($B641="",NOT(ISNUMBER($E641))),"",$E641-IF($F641="",0,$F641))</f>
        <v/>
      </c>
      <c r="H641" s="15" t="str">
        <f aca="false">IF($B641="","",IFERROR(INDEX(Services!$A$2:$A$120,MATCH($B641,Services!$D$2:$D$120,0)),""))</f>
        <v/>
      </c>
      <c r="I641" s="19"/>
      <c r="J641" s="15" t="str">
        <f aca="false">IF($B641="","",IFERROR(INDEX(Services!$E$2:$E$120,MATCH($B641,Services!$D$2:$D$120,0)),""))</f>
        <v/>
      </c>
    </row>
    <row r="642" customFormat="false" ht="14.25" hidden="false" customHeight="false" outlineLevel="0" collapsed="false">
      <c r="A642" s="18"/>
      <c r="B642" s="6"/>
      <c r="C642" s="6"/>
      <c r="D642" s="6"/>
      <c r="E642" s="16" t="str">
        <f aca="false">IF($B642="","",IFERROR(INDEX(Services!$C$2:$C$120,MATCH($B642,Services!$D$2:$D$120,0)),""))</f>
        <v/>
      </c>
      <c r="F642" s="19"/>
      <c r="G642" s="9" t="str">
        <f aca="false">IF(OR($B642="",NOT(ISNUMBER($E642))),"",$E642-IF($F642="",0,$F642))</f>
        <v/>
      </c>
      <c r="H642" s="15" t="str">
        <f aca="false">IF($B642="","",IFERROR(INDEX(Services!$A$2:$A$120,MATCH($B642,Services!$D$2:$D$120,0)),""))</f>
        <v/>
      </c>
      <c r="I642" s="19"/>
      <c r="J642" s="15" t="str">
        <f aca="false">IF($B642="","",IFERROR(INDEX(Services!$E$2:$E$120,MATCH($B642,Services!$D$2:$D$120,0)),""))</f>
        <v/>
      </c>
    </row>
    <row r="643" customFormat="false" ht="14.25" hidden="false" customHeight="false" outlineLevel="0" collapsed="false">
      <c r="A643" s="18"/>
      <c r="B643" s="6"/>
      <c r="C643" s="6"/>
      <c r="D643" s="6"/>
      <c r="E643" s="16" t="str">
        <f aca="false">IF($B643="","",IFERROR(INDEX(Services!$C$2:$C$120,MATCH($B643,Services!$D$2:$D$120,0)),""))</f>
        <v/>
      </c>
      <c r="F643" s="19"/>
      <c r="G643" s="9" t="str">
        <f aca="false">IF(OR($B643="",NOT(ISNUMBER($E643))),"",$E643-IF($F643="",0,$F643))</f>
        <v/>
      </c>
      <c r="H643" s="15" t="str">
        <f aca="false">IF($B643="","",IFERROR(INDEX(Services!$A$2:$A$120,MATCH($B643,Services!$D$2:$D$120,0)),""))</f>
        <v/>
      </c>
      <c r="I643" s="19"/>
      <c r="J643" s="15" t="str">
        <f aca="false">IF($B643="","",IFERROR(INDEX(Services!$E$2:$E$120,MATCH($B643,Services!$D$2:$D$120,0)),""))</f>
        <v/>
      </c>
    </row>
    <row r="644" customFormat="false" ht="14.25" hidden="false" customHeight="false" outlineLevel="0" collapsed="false">
      <c r="A644" s="18"/>
      <c r="B644" s="6"/>
      <c r="C644" s="6"/>
      <c r="D644" s="6"/>
      <c r="E644" s="16" t="str">
        <f aca="false">IF($B644="","",IFERROR(INDEX(Services!$C$2:$C$120,MATCH($B644,Services!$D$2:$D$120,0)),""))</f>
        <v/>
      </c>
      <c r="F644" s="19"/>
      <c r="G644" s="9" t="str">
        <f aca="false">IF(OR($B644="",NOT(ISNUMBER($E644))),"",$E644-IF($F644="",0,$F644))</f>
        <v/>
      </c>
      <c r="H644" s="15" t="str">
        <f aca="false">IF($B644="","",IFERROR(INDEX(Services!$A$2:$A$120,MATCH($B644,Services!$D$2:$D$120,0)),""))</f>
        <v/>
      </c>
      <c r="I644" s="19"/>
      <c r="J644" s="15" t="str">
        <f aca="false">IF($B644="","",IFERROR(INDEX(Services!$E$2:$E$120,MATCH($B644,Services!$D$2:$D$120,0)),""))</f>
        <v/>
      </c>
    </row>
    <row r="645" customFormat="false" ht="14.25" hidden="false" customHeight="false" outlineLevel="0" collapsed="false">
      <c r="A645" s="18"/>
      <c r="B645" s="6"/>
      <c r="C645" s="6"/>
      <c r="D645" s="6"/>
      <c r="E645" s="16" t="str">
        <f aca="false">IF($B645="","",IFERROR(INDEX(Services!$C$2:$C$120,MATCH($B645,Services!$D$2:$D$120,0)),""))</f>
        <v/>
      </c>
      <c r="F645" s="19"/>
      <c r="G645" s="9" t="str">
        <f aca="false">IF(OR($B645="",NOT(ISNUMBER($E645))),"",$E645-IF($F645="",0,$F645))</f>
        <v/>
      </c>
      <c r="H645" s="15" t="str">
        <f aca="false">IF($B645="","",IFERROR(INDEX(Services!$A$2:$A$120,MATCH($B645,Services!$D$2:$D$120,0)),""))</f>
        <v/>
      </c>
      <c r="I645" s="19"/>
      <c r="J645" s="15" t="str">
        <f aca="false">IF($B645="","",IFERROR(INDEX(Services!$E$2:$E$120,MATCH($B645,Services!$D$2:$D$120,0)),""))</f>
        <v/>
      </c>
    </row>
    <row r="646" customFormat="false" ht="14.25" hidden="false" customHeight="false" outlineLevel="0" collapsed="false">
      <c r="A646" s="18"/>
      <c r="B646" s="6"/>
      <c r="C646" s="6"/>
      <c r="D646" s="6"/>
      <c r="E646" s="16" t="str">
        <f aca="false">IF($B646="","",IFERROR(INDEX(Services!$C$2:$C$120,MATCH($B646,Services!$D$2:$D$120,0)),""))</f>
        <v/>
      </c>
      <c r="F646" s="19"/>
      <c r="G646" s="9" t="str">
        <f aca="false">IF(OR($B646="",NOT(ISNUMBER($E646))),"",$E646-IF($F646="",0,$F646))</f>
        <v/>
      </c>
      <c r="H646" s="15" t="str">
        <f aca="false">IF($B646="","",IFERROR(INDEX(Services!$A$2:$A$120,MATCH($B646,Services!$D$2:$D$120,0)),""))</f>
        <v/>
      </c>
      <c r="I646" s="19"/>
      <c r="J646" s="15" t="str">
        <f aca="false">IF($B646="","",IFERROR(INDEX(Services!$E$2:$E$120,MATCH($B646,Services!$D$2:$D$120,0)),""))</f>
        <v/>
      </c>
    </row>
    <row r="647" customFormat="false" ht="14.25" hidden="false" customHeight="false" outlineLevel="0" collapsed="false">
      <c r="A647" s="18"/>
      <c r="B647" s="6"/>
      <c r="C647" s="6"/>
      <c r="D647" s="6"/>
      <c r="E647" s="16" t="str">
        <f aca="false">IF($B647="","",IFERROR(INDEX(Services!$C$2:$C$120,MATCH($B647,Services!$D$2:$D$120,0)),""))</f>
        <v/>
      </c>
      <c r="F647" s="19"/>
      <c r="G647" s="9" t="str">
        <f aca="false">IF(OR($B647="",NOT(ISNUMBER($E647))),"",$E647-IF($F647="",0,$F647))</f>
        <v/>
      </c>
      <c r="H647" s="15" t="str">
        <f aca="false">IF($B647="","",IFERROR(INDEX(Services!$A$2:$A$120,MATCH($B647,Services!$D$2:$D$120,0)),""))</f>
        <v/>
      </c>
      <c r="I647" s="19"/>
      <c r="J647" s="15" t="str">
        <f aca="false">IF($B647="","",IFERROR(INDEX(Services!$E$2:$E$120,MATCH($B647,Services!$D$2:$D$120,0)),""))</f>
        <v/>
      </c>
    </row>
    <row r="648" customFormat="false" ht="14.25" hidden="false" customHeight="false" outlineLevel="0" collapsed="false">
      <c r="A648" s="18"/>
      <c r="B648" s="6"/>
      <c r="C648" s="6"/>
      <c r="D648" s="6"/>
      <c r="E648" s="16" t="str">
        <f aca="false">IF($B648="","",IFERROR(INDEX(Services!$C$2:$C$120,MATCH($B648,Services!$D$2:$D$120,0)),""))</f>
        <v/>
      </c>
      <c r="F648" s="19"/>
      <c r="G648" s="9" t="str">
        <f aca="false">IF(OR($B648="",NOT(ISNUMBER($E648))),"",$E648-IF($F648="",0,$F648))</f>
        <v/>
      </c>
      <c r="H648" s="15" t="str">
        <f aca="false">IF($B648="","",IFERROR(INDEX(Services!$A$2:$A$120,MATCH($B648,Services!$D$2:$D$120,0)),""))</f>
        <v/>
      </c>
      <c r="I648" s="19"/>
      <c r="J648" s="15" t="str">
        <f aca="false">IF($B648="","",IFERROR(INDEX(Services!$E$2:$E$120,MATCH($B648,Services!$D$2:$D$120,0)),""))</f>
        <v/>
      </c>
    </row>
    <row r="649" customFormat="false" ht="14.25" hidden="false" customHeight="false" outlineLevel="0" collapsed="false">
      <c r="A649" s="18"/>
      <c r="B649" s="6"/>
      <c r="C649" s="6"/>
      <c r="D649" s="6"/>
      <c r="E649" s="16" t="str">
        <f aca="false">IF($B649="","",IFERROR(INDEX(Services!$C$2:$C$120,MATCH($B649,Services!$D$2:$D$120,0)),""))</f>
        <v/>
      </c>
      <c r="F649" s="19"/>
      <c r="G649" s="9" t="str">
        <f aca="false">IF(OR($B649="",NOT(ISNUMBER($E649))),"",$E649-IF($F649="",0,$F649))</f>
        <v/>
      </c>
      <c r="H649" s="15" t="str">
        <f aca="false">IF($B649="","",IFERROR(INDEX(Services!$A$2:$A$120,MATCH($B649,Services!$D$2:$D$120,0)),""))</f>
        <v/>
      </c>
      <c r="I649" s="19"/>
      <c r="J649" s="15" t="str">
        <f aca="false">IF($B649="","",IFERROR(INDEX(Services!$E$2:$E$120,MATCH($B649,Services!$D$2:$D$120,0)),""))</f>
        <v/>
      </c>
    </row>
    <row r="650" customFormat="false" ht="14.25" hidden="false" customHeight="false" outlineLevel="0" collapsed="false">
      <c r="A650" s="18"/>
      <c r="B650" s="6"/>
      <c r="C650" s="6"/>
      <c r="D650" s="6"/>
      <c r="E650" s="16" t="str">
        <f aca="false">IF($B650="","",IFERROR(INDEX(Services!$C$2:$C$120,MATCH($B650,Services!$D$2:$D$120,0)),""))</f>
        <v/>
      </c>
      <c r="F650" s="19"/>
      <c r="G650" s="9" t="str">
        <f aca="false">IF(OR($B650="",NOT(ISNUMBER($E650))),"",$E650-IF($F650="",0,$F650))</f>
        <v/>
      </c>
      <c r="H650" s="15" t="str">
        <f aca="false">IF($B650="","",IFERROR(INDEX(Services!$A$2:$A$120,MATCH($B650,Services!$D$2:$D$120,0)),""))</f>
        <v/>
      </c>
      <c r="I650" s="19"/>
      <c r="J650" s="15" t="str">
        <f aca="false">IF($B650="","",IFERROR(INDEX(Services!$E$2:$E$120,MATCH($B650,Services!$D$2:$D$120,0)),""))</f>
        <v/>
      </c>
    </row>
    <row r="651" customFormat="false" ht="14.25" hidden="false" customHeight="false" outlineLevel="0" collapsed="false">
      <c r="A651" s="18"/>
      <c r="B651" s="6"/>
      <c r="C651" s="6"/>
      <c r="D651" s="6"/>
      <c r="E651" s="16" t="str">
        <f aca="false">IF($B651="","",IFERROR(INDEX(Services!$C$2:$C$120,MATCH($B651,Services!$D$2:$D$120,0)),""))</f>
        <v/>
      </c>
      <c r="F651" s="19"/>
      <c r="G651" s="9" t="str">
        <f aca="false">IF(OR($B651="",NOT(ISNUMBER($E651))),"",$E651-IF($F651="",0,$F651))</f>
        <v/>
      </c>
      <c r="H651" s="15" t="str">
        <f aca="false">IF($B651="","",IFERROR(INDEX(Services!$A$2:$A$120,MATCH($B651,Services!$D$2:$D$120,0)),""))</f>
        <v/>
      </c>
      <c r="I651" s="19"/>
      <c r="J651" s="15" t="str">
        <f aca="false">IF($B651="","",IFERROR(INDEX(Services!$E$2:$E$120,MATCH($B651,Services!$D$2:$D$120,0)),""))</f>
        <v/>
      </c>
    </row>
    <row r="652" customFormat="false" ht="14.25" hidden="false" customHeight="false" outlineLevel="0" collapsed="false">
      <c r="A652" s="18"/>
      <c r="B652" s="6"/>
      <c r="C652" s="6"/>
      <c r="D652" s="6"/>
      <c r="E652" s="16" t="str">
        <f aca="false">IF($B652="","",IFERROR(INDEX(Services!$C$2:$C$120,MATCH($B652,Services!$D$2:$D$120,0)),""))</f>
        <v/>
      </c>
      <c r="F652" s="19"/>
      <c r="G652" s="9" t="str">
        <f aca="false">IF(OR($B652="",NOT(ISNUMBER($E652))),"",$E652-IF($F652="",0,$F652))</f>
        <v/>
      </c>
      <c r="H652" s="15" t="str">
        <f aca="false">IF($B652="","",IFERROR(INDEX(Services!$A$2:$A$120,MATCH($B652,Services!$D$2:$D$120,0)),""))</f>
        <v/>
      </c>
      <c r="I652" s="19"/>
      <c r="J652" s="15" t="str">
        <f aca="false">IF($B652="","",IFERROR(INDEX(Services!$E$2:$E$120,MATCH($B652,Services!$D$2:$D$120,0)),""))</f>
        <v/>
      </c>
    </row>
    <row r="653" customFormat="false" ht="14.25" hidden="false" customHeight="false" outlineLevel="0" collapsed="false">
      <c r="A653" s="18"/>
      <c r="B653" s="6"/>
      <c r="C653" s="6"/>
      <c r="D653" s="6"/>
      <c r="E653" s="16" t="str">
        <f aca="false">IF($B653="","",IFERROR(INDEX(Services!$C$2:$C$120,MATCH($B653,Services!$D$2:$D$120,0)),""))</f>
        <v/>
      </c>
      <c r="F653" s="19"/>
      <c r="G653" s="9" t="str">
        <f aca="false">IF(OR($B653="",NOT(ISNUMBER($E653))),"",$E653-IF($F653="",0,$F653))</f>
        <v/>
      </c>
      <c r="H653" s="15" t="str">
        <f aca="false">IF($B653="","",IFERROR(INDEX(Services!$A$2:$A$120,MATCH($B653,Services!$D$2:$D$120,0)),""))</f>
        <v/>
      </c>
      <c r="I653" s="19"/>
      <c r="J653" s="15" t="str">
        <f aca="false">IF($B653="","",IFERROR(INDEX(Services!$E$2:$E$120,MATCH($B653,Services!$D$2:$D$120,0)),""))</f>
        <v/>
      </c>
    </row>
    <row r="654" customFormat="false" ht="14.25" hidden="false" customHeight="false" outlineLevel="0" collapsed="false">
      <c r="A654" s="18"/>
      <c r="B654" s="6"/>
      <c r="C654" s="6"/>
      <c r="D654" s="6"/>
      <c r="E654" s="16" t="str">
        <f aca="false">IF($B654="","",IFERROR(INDEX(Services!$C$2:$C$120,MATCH($B654,Services!$D$2:$D$120,0)),""))</f>
        <v/>
      </c>
      <c r="F654" s="19"/>
      <c r="G654" s="9" t="str">
        <f aca="false">IF(OR($B654="",NOT(ISNUMBER($E654))),"",$E654-IF($F654="",0,$F654))</f>
        <v/>
      </c>
      <c r="H654" s="15" t="str">
        <f aca="false">IF($B654="","",IFERROR(INDEX(Services!$A$2:$A$120,MATCH($B654,Services!$D$2:$D$120,0)),""))</f>
        <v/>
      </c>
      <c r="I654" s="19"/>
      <c r="J654" s="15" t="str">
        <f aca="false">IF($B654="","",IFERROR(INDEX(Services!$E$2:$E$120,MATCH($B654,Services!$D$2:$D$120,0)),""))</f>
        <v/>
      </c>
    </row>
    <row r="655" customFormat="false" ht="14.25" hidden="false" customHeight="false" outlineLevel="0" collapsed="false">
      <c r="A655" s="18"/>
      <c r="B655" s="6"/>
      <c r="C655" s="6"/>
      <c r="D655" s="6"/>
      <c r="E655" s="16" t="str">
        <f aca="false">IF($B655="","",IFERROR(INDEX(Services!$C$2:$C$120,MATCH($B655,Services!$D$2:$D$120,0)),""))</f>
        <v/>
      </c>
      <c r="F655" s="19"/>
      <c r="G655" s="9" t="str">
        <f aca="false">IF(OR($B655="",NOT(ISNUMBER($E655))),"",$E655-IF($F655="",0,$F655))</f>
        <v/>
      </c>
      <c r="H655" s="15" t="str">
        <f aca="false">IF($B655="","",IFERROR(INDEX(Services!$A$2:$A$120,MATCH($B655,Services!$D$2:$D$120,0)),""))</f>
        <v/>
      </c>
      <c r="I655" s="19"/>
      <c r="J655" s="15" t="str">
        <f aca="false">IF($B655="","",IFERROR(INDEX(Services!$E$2:$E$120,MATCH($B655,Services!$D$2:$D$120,0)),""))</f>
        <v/>
      </c>
    </row>
    <row r="656" customFormat="false" ht="14.25" hidden="false" customHeight="false" outlineLevel="0" collapsed="false">
      <c r="A656" s="18"/>
      <c r="B656" s="6"/>
      <c r="C656" s="6"/>
      <c r="D656" s="6"/>
      <c r="E656" s="16" t="str">
        <f aca="false">IF($B656="","",IFERROR(INDEX(Services!$C$2:$C$120,MATCH($B656,Services!$D$2:$D$120,0)),""))</f>
        <v/>
      </c>
      <c r="F656" s="19"/>
      <c r="G656" s="9" t="str">
        <f aca="false">IF(OR($B656="",NOT(ISNUMBER($E656))),"",$E656-IF($F656="",0,$F656))</f>
        <v/>
      </c>
      <c r="H656" s="15" t="str">
        <f aca="false">IF($B656="","",IFERROR(INDEX(Services!$A$2:$A$120,MATCH($B656,Services!$D$2:$D$120,0)),""))</f>
        <v/>
      </c>
      <c r="I656" s="19"/>
      <c r="J656" s="15" t="str">
        <f aca="false">IF($B656="","",IFERROR(INDEX(Services!$E$2:$E$120,MATCH($B656,Services!$D$2:$D$120,0)),""))</f>
        <v/>
      </c>
    </row>
    <row r="657" customFormat="false" ht="14.25" hidden="false" customHeight="false" outlineLevel="0" collapsed="false">
      <c r="A657" s="18"/>
      <c r="B657" s="6"/>
      <c r="C657" s="6"/>
      <c r="D657" s="6"/>
      <c r="E657" s="16" t="str">
        <f aca="false">IF($B657="","",IFERROR(INDEX(Services!$C$2:$C$120,MATCH($B657,Services!$D$2:$D$120,0)),""))</f>
        <v/>
      </c>
      <c r="F657" s="19"/>
      <c r="G657" s="9" t="str">
        <f aca="false">IF(OR($B657="",NOT(ISNUMBER($E657))),"",$E657-IF($F657="",0,$F657))</f>
        <v/>
      </c>
      <c r="H657" s="15" t="str">
        <f aca="false">IF($B657="","",IFERROR(INDEX(Services!$A$2:$A$120,MATCH($B657,Services!$D$2:$D$120,0)),""))</f>
        <v/>
      </c>
      <c r="I657" s="19"/>
      <c r="J657" s="15" t="str">
        <f aca="false">IF($B657="","",IFERROR(INDEX(Services!$E$2:$E$120,MATCH($B657,Services!$D$2:$D$120,0)),""))</f>
        <v/>
      </c>
    </row>
    <row r="658" customFormat="false" ht="14.25" hidden="false" customHeight="false" outlineLevel="0" collapsed="false">
      <c r="A658" s="18"/>
      <c r="B658" s="6"/>
      <c r="C658" s="6"/>
      <c r="D658" s="6"/>
      <c r="E658" s="16" t="str">
        <f aca="false">IF($B658="","",IFERROR(INDEX(Services!$C$2:$C$120,MATCH($B658,Services!$D$2:$D$120,0)),""))</f>
        <v/>
      </c>
      <c r="F658" s="19"/>
      <c r="G658" s="9" t="str">
        <f aca="false">IF(OR($B658="",NOT(ISNUMBER($E658))),"",$E658-IF($F658="",0,$F658))</f>
        <v/>
      </c>
      <c r="H658" s="15" t="str">
        <f aca="false">IF($B658="","",IFERROR(INDEX(Services!$A$2:$A$120,MATCH($B658,Services!$D$2:$D$120,0)),""))</f>
        <v/>
      </c>
      <c r="I658" s="19"/>
      <c r="J658" s="15" t="str">
        <f aca="false">IF($B658="","",IFERROR(INDEX(Services!$E$2:$E$120,MATCH($B658,Services!$D$2:$D$120,0)),""))</f>
        <v/>
      </c>
    </row>
    <row r="659" customFormat="false" ht="14.25" hidden="false" customHeight="false" outlineLevel="0" collapsed="false">
      <c r="A659" s="18"/>
      <c r="B659" s="6"/>
      <c r="C659" s="6"/>
      <c r="D659" s="6"/>
      <c r="E659" s="16" t="str">
        <f aca="false">IF($B659="","",IFERROR(INDEX(Services!$C$2:$C$120,MATCH($B659,Services!$D$2:$D$120,0)),""))</f>
        <v/>
      </c>
      <c r="F659" s="19"/>
      <c r="G659" s="9" t="str">
        <f aca="false">IF(OR($B659="",NOT(ISNUMBER($E659))),"",$E659-IF($F659="",0,$F659))</f>
        <v/>
      </c>
      <c r="H659" s="15" t="str">
        <f aca="false">IF($B659="","",IFERROR(INDEX(Services!$A$2:$A$120,MATCH($B659,Services!$D$2:$D$120,0)),""))</f>
        <v/>
      </c>
      <c r="I659" s="19"/>
      <c r="J659" s="15" t="str">
        <f aca="false">IF($B659="","",IFERROR(INDEX(Services!$E$2:$E$120,MATCH($B659,Services!$D$2:$D$120,0)),""))</f>
        <v/>
      </c>
    </row>
    <row r="660" customFormat="false" ht="14.25" hidden="false" customHeight="false" outlineLevel="0" collapsed="false">
      <c r="A660" s="18"/>
      <c r="B660" s="6"/>
      <c r="C660" s="6"/>
      <c r="D660" s="6"/>
      <c r="E660" s="16" t="str">
        <f aca="false">IF($B660="","",IFERROR(INDEX(Services!$C$2:$C$120,MATCH($B660,Services!$D$2:$D$120,0)),""))</f>
        <v/>
      </c>
      <c r="F660" s="19"/>
      <c r="G660" s="9" t="str">
        <f aca="false">IF(OR($B660="",NOT(ISNUMBER($E660))),"",$E660-IF($F660="",0,$F660))</f>
        <v/>
      </c>
      <c r="H660" s="15" t="str">
        <f aca="false">IF($B660="","",IFERROR(INDEX(Services!$A$2:$A$120,MATCH($B660,Services!$D$2:$D$120,0)),""))</f>
        <v/>
      </c>
      <c r="I660" s="19"/>
      <c r="J660" s="15" t="str">
        <f aca="false">IF($B660="","",IFERROR(INDEX(Services!$E$2:$E$120,MATCH($B660,Services!$D$2:$D$120,0)),""))</f>
        <v/>
      </c>
    </row>
    <row r="661" customFormat="false" ht="14.25" hidden="false" customHeight="false" outlineLevel="0" collapsed="false">
      <c r="A661" s="18"/>
      <c r="B661" s="6"/>
      <c r="C661" s="6"/>
      <c r="D661" s="6"/>
      <c r="E661" s="16" t="str">
        <f aca="false">IF($B661="","",IFERROR(INDEX(Services!$C$2:$C$120,MATCH($B661,Services!$D$2:$D$120,0)),""))</f>
        <v/>
      </c>
      <c r="F661" s="19"/>
      <c r="G661" s="9" t="str">
        <f aca="false">IF(OR($B661="",NOT(ISNUMBER($E661))),"",$E661-IF($F661="",0,$F661))</f>
        <v/>
      </c>
      <c r="H661" s="15" t="str">
        <f aca="false">IF($B661="","",IFERROR(INDEX(Services!$A$2:$A$120,MATCH($B661,Services!$D$2:$D$120,0)),""))</f>
        <v/>
      </c>
      <c r="I661" s="19"/>
      <c r="J661" s="15" t="str">
        <f aca="false">IF($B661="","",IFERROR(INDEX(Services!$E$2:$E$120,MATCH($B661,Services!$D$2:$D$120,0)),""))</f>
        <v/>
      </c>
    </row>
    <row r="662" customFormat="false" ht="14.25" hidden="false" customHeight="false" outlineLevel="0" collapsed="false">
      <c r="A662" s="18"/>
      <c r="B662" s="6"/>
      <c r="C662" s="6"/>
      <c r="D662" s="6"/>
      <c r="E662" s="16" t="str">
        <f aca="false">IF($B662="","",IFERROR(INDEX(Services!$C$2:$C$120,MATCH($B662,Services!$D$2:$D$120,0)),""))</f>
        <v/>
      </c>
      <c r="F662" s="19"/>
      <c r="G662" s="9" t="str">
        <f aca="false">IF(OR($B662="",NOT(ISNUMBER($E662))),"",$E662-IF($F662="",0,$F662))</f>
        <v/>
      </c>
      <c r="H662" s="15" t="str">
        <f aca="false">IF($B662="","",IFERROR(INDEX(Services!$A$2:$A$120,MATCH($B662,Services!$D$2:$D$120,0)),""))</f>
        <v/>
      </c>
      <c r="I662" s="19"/>
      <c r="J662" s="15" t="str">
        <f aca="false">IF($B662="","",IFERROR(INDEX(Services!$E$2:$E$120,MATCH($B662,Services!$D$2:$D$120,0)),""))</f>
        <v/>
      </c>
    </row>
    <row r="663" customFormat="false" ht="14.25" hidden="false" customHeight="false" outlineLevel="0" collapsed="false">
      <c r="A663" s="18"/>
      <c r="B663" s="6"/>
      <c r="C663" s="6"/>
      <c r="D663" s="6"/>
      <c r="E663" s="16" t="str">
        <f aca="false">IF($B663="","",IFERROR(INDEX(Services!$C$2:$C$120,MATCH($B663,Services!$D$2:$D$120,0)),""))</f>
        <v/>
      </c>
      <c r="F663" s="19"/>
      <c r="G663" s="9" t="str">
        <f aca="false">IF(OR($B663="",NOT(ISNUMBER($E663))),"",$E663-IF($F663="",0,$F663))</f>
        <v/>
      </c>
      <c r="H663" s="15" t="str">
        <f aca="false">IF($B663="","",IFERROR(INDEX(Services!$A$2:$A$120,MATCH($B663,Services!$D$2:$D$120,0)),""))</f>
        <v/>
      </c>
      <c r="I663" s="19"/>
      <c r="J663" s="15" t="str">
        <f aca="false">IF($B663="","",IFERROR(INDEX(Services!$E$2:$E$120,MATCH($B663,Services!$D$2:$D$120,0)),""))</f>
        <v/>
      </c>
    </row>
    <row r="664" customFormat="false" ht="14.25" hidden="false" customHeight="false" outlineLevel="0" collapsed="false">
      <c r="A664" s="18"/>
      <c r="B664" s="6"/>
      <c r="C664" s="6"/>
      <c r="D664" s="6"/>
      <c r="E664" s="16" t="str">
        <f aca="false">IF($B664="","",IFERROR(INDEX(Services!$C$2:$C$120,MATCH($B664,Services!$D$2:$D$120,0)),""))</f>
        <v/>
      </c>
      <c r="F664" s="19"/>
      <c r="G664" s="9" t="str">
        <f aca="false">IF(OR($B664="",NOT(ISNUMBER($E664))),"",$E664-IF($F664="",0,$F664))</f>
        <v/>
      </c>
      <c r="H664" s="15" t="str">
        <f aca="false">IF($B664="","",IFERROR(INDEX(Services!$A$2:$A$120,MATCH($B664,Services!$D$2:$D$120,0)),""))</f>
        <v/>
      </c>
      <c r="I664" s="19"/>
      <c r="J664" s="15" t="str">
        <f aca="false">IF($B664="","",IFERROR(INDEX(Services!$E$2:$E$120,MATCH($B664,Services!$D$2:$D$120,0)),""))</f>
        <v/>
      </c>
    </row>
    <row r="665" customFormat="false" ht="14.25" hidden="false" customHeight="false" outlineLevel="0" collapsed="false">
      <c r="A665" s="18"/>
      <c r="B665" s="6"/>
      <c r="C665" s="6"/>
      <c r="D665" s="6"/>
      <c r="E665" s="16" t="str">
        <f aca="false">IF($B665="","",IFERROR(INDEX(Services!$C$2:$C$120,MATCH($B665,Services!$D$2:$D$120,0)),""))</f>
        <v/>
      </c>
      <c r="F665" s="19"/>
      <c r="G665" s="9" t="str">
        <f aca="false">IF(OR($B665="",NOT(ISNUMBER($E665))),"",$E665-IF($F665="",0,$F665))</f>
        <v/>
      </c>
      <c r="H665" s="15" t="str">
        <f aca="false">IF($B665="","",IFERROR(INDEX(Services!$A$2:$A$120,MATCH($B665,Services!$D$2:$D$120,0)),""))</f>
        <v/>
      </c>
      <c r="I665" s="19"/>
      <c r="J665" s="15" t="str">
        <f aca="false">IF($B665="","",IFERROR(INDEX(Services!$E$2:$E$120,MATCH($B665,Services!$D$2:$D$120,0)),""))</f>
        <v/>
      </c>
    </row>
    <row r="666" customFormat="false" ht="14.25" hidden="false" customHeight="false" outlineLevel="0" collapsed="false">
      <c r="A666" s="18"/>
      <c r="B666" s="6"/>
      <c r="C666" s="6"/>
      <c r="D666" s="6"/>
      <c r="E666" s="16" t="str">
        <f aca="false">IF($B666="","",IFERROR(INDEX(Services!$C$2:$C$120,MATCH($B666,Services!$D$2:$D$120,0)),""))</f>
        <v/>
      </c>
      <c r="F666" s="19"/>
      <c r="G666" s="9" t="str">
        <f aca="false">IF(OR($B666="",NOT(ISNUMBER($E666))),"",$E666-IF($F666="",0,$F666))</f>
        <v/>
      </c>
      <c r="H666" s="15" t="str">
        <f aca="false">IF($B666="","",IFERROR(INDEX(Services!$A$2:$A$120,MATCH($B666,Services!$D$2:$D$120,0)),""))</f>
        <v/>
      </c>
      <c r="I666" s="19"/>
      <c r="J666" s="15" t="str">
        <f aca="false">IF($B666="","",IFERROR(INDEX(Services!$E$2:$E$120,MATCH($B666,Services!$D$2:$D$120,0)),""))</f>
        <v/>
      </c>
    </row>
    <row r="667" customFormat="false" ht="14.25" hidden="false" customHeight="false" outlineLevel="0" collapsed="false">
      <c r="A667" s="18"/>
      <c r="B667" s="6"/>
      <c r="C667" s="6"/>
      <c r="D667" s="6"/>
      <c r="E667" s="16" t="str">
        <f aca="false">IF($B667="","",IFERROR(INDEX(Services!$C$2:$C$120,MATCH($B667,Services!$D$2:$D$120,0)),""))</f>
        <v/>
      </c>
      <c r="F667" s="19"/>
      <c r="G667" s="9" t="str">
        <f aca="false">IF(OR($B667="",NOT(ISNUMBER($E667))),"",$E667-IF($F667="",0,$F667))</f>
        <v/>
      </c>
      <c r="H667" s="15" t="str">
        <f aca="false">IF($B667="","",IFERROR(INDEX(Services!$A$2:$A$120,MATCH($B667,Services!$D$2:$D$120,0)),""))</f>
        <v/>
      </c>
      <c r="I667" s="19"/>
      <c r="J667" s="15" t="str">
        <f aca="false">IF($B667="","",IFERROR(INDEX(Services!$E$2:$E$120,MATCH($B667,Services!$D$2:$D$120,0)),""))</f>
        <v/>
      </c>
    </row>
    <row r="668" customFormat="false" ht="14.25" hidden="false" customHeight="false" outlineLevel="0" collapsed="false">
      <c r="A668" s="18"/>
      <c r="B668" s="6"/>
      <c r="C668" s="6"/>
      <c r="D668" s="6"/>
      <c r="E668" s="16" t="str">
        <f aca="false">IF($B668="","",IFERROR(INDEX(Services!$C$2:$C$120,MATCH($B668,Services!$D$2:$D$120,0)),""))</f>
        <v/>
      </c>
      <c r="F668" s="19"/>
      <c r="G668" s="9" t="str">
        <f aca="false">IF(OR($B668="",NOT(ISNUMBER($E668))),"",$E668-IF($F668="",0,$F668))</f>
        <v/>
      </c>
      <c r="H668" s="15" t="str">
        <f aca="false">IF($B668="","",IFERROR(INDEX(Services!$A$2:$A$120,MATCH($B668,Services!$D$2:$D$120,0)),""))</f>
        <v/>
      </c>
      <c r="I668" s="19"/>
      <c r="J668" s="15" t="str">
        <f aca="false">IF($B668="","",IFERROR(INDEX(Services!$E$2:$E$120,MATCH($B668,Services!$D$2:$D$120,0)),""))</f>
        <v/>
      </c>
    </row>
    <row r="669" customFormat="false" ht="14.25" hidden="false" customHeight="false" outlineLevel="0" collapsed="false">
      <c r="A669" s="18"/>
      <c r="B669" s="6"/>
      <c r="C669" s="6"/>
      <c r="D669" s="6"/>
      <c r="E669" s="16" t="str">
        <f aca="false">IF($B669="","",IFERROR(INDEX(Services!$C$2:$C$120,MATCH($B669,Services!$D$2:$D$120,0)),""))</f>
        <v/>
      </c>
      <c r="F669" s="19"/>
      <c r="G669" s="9" t="str">
        <f aca="false">IF(OR($B669="",NOT(ISNUMBER($E669))),"",$E669-IF($F669="",0,$F669))</f>
        <v/>
      </c>
      <c r="H669" s="15" t="str">
        <f aca="false">IF($B669="","",IFERROR(INDEX(Services!$A$2:$A$120,MATCH($B669,Services!$D$2:$D$120,0)),""))</f>
        <v/>
      </c>
      <c r="I669" s="19"/>
      <c r="J669" s="15" t="str">
        <f aca="false">IF($B669="","",IFERROR(INDEX(Services!$E$2:$E$120,MATCH($B669,Services!$D$2:$D$120,0)),""))</f>
        <v/>
      </c>
    </row>
    <row r="670" customFormat="false" ht="14.25" hidden="false" customHeight="false" outlineLevel="0" collapsed="false">
      <c r="A670" s="18"/>
      <c r="B670" s="6"/>
      <c r="C670" s="6"/>
      <c r="D670" s="6"/>
      <c r="E670" s="16" t="str">
        <f aca="false">IF($B670="","",IFERROR(INDEX(Services!$C$2:$C$120,MATCH($B670,Services!$D$2:$D$120,0)),""))</f>
        <v/>
      </c>
      <c r="F670" s="19"/>
      <c r="G670" s="9" t="str">
        <f aca="false">IF(OR($B670="",NOT(ISNUMBER($E670))),"",$E670-IF($F670="",0,$F670))</f>
        <v/>
      </c>
      <c r="H670" s="15" t="str">
        <f aca="false">IF($B670="","",IFERROR(INDEX(Services!$A$2:$A$120,MATCH($B670,Services!$D$2:$D$120,0)),""))</f>
        <v/>
      </c>
      <c r="I670" s="19"/>
      <c r="J670" s="15" t="str">
        <f aca="false">IF($B670="","",IFERROR(INDEX(Services!$E$2:$E$120,MATCH($B670,Services!$D$2:$D$120,0)),""))</f>
        <v/>
      </c>
    </row>
    <row r="671" customFormat="false" ht="14.25" hidden="false" customHeight="false" outlineLevel="0" collapsed="false">
      <c r="A671" s="18"/>
      <c r="B671" s="6"/>
      <c r="C671" s="6"/>
      <c r="D671" s="6"/>
      <c r="E671" s="16" t="str">
        <f aca="false">IF($B671="","",IFERROR(INDEX(Services!$C$2:$C$120,MATCH($B671,Services!$D$2:$D$120,0)),""))</f>
        <v/>
      </c>
      <c r="F671" s="19"/>
      <c r="G671" s="9" t="str">
        <f aca="false">IF(OR($B671="",NOT(ISNUMBER($E671))),"",$E671-IF($F671="",0,$F671))</f>
        <v/>
      </c>
      <c r="H671" s="15" t="str">
        <f aca="false">IF($B671="","",IFERROR(INDEX(Services!$A$2:$A$120,MATCH($B671,Services!$D$2:$D$120,0)),""))</f>
        <v/>
      </c>
      <c r="I671" s="19"/>
      <c r="J671" s="15" t="str">
        <f aca="false">IF($B671="","",IFERROR(INDEX(Services!$E$2:$E$120,MATCH($B671,Services!$D$2:$D$120,0)),""))</f>
        <v/>
      </c>
    </row>
    <row r="672" customFormat="false" ht="14.25" hidden="false" customHeight="false" outlineLevel="0" collapsed="false">
      <c r="A672" s="18"/>
      <c r="B672" s="6"/>
      <c r="C672" s="6"/>
      <c r="D672" s="6"/>
      <c r="E672" s="16" t="str">
        <f aca="false">IF($B672="","",IFERROR(INDEX(Services!$C$2:$C$120,MATCH($B672,Services!$D$2:$D$120,0)),""))</f>
        <v/>
      </c>
      <c r="F672" s="19"/>
      <c r="G672" s="9" t="str">
        <f aca="false">IF(OR($B672="",NOT(ISNUMBER($E672))),"",$E672-IF($F672="",0,$F672))</f>
        <v/>
      </c>
      <c r="H672" s="15" t="str">
        <f aca="false">IF($B672="","",IFERROR(INDEX(Services!$A$2:$A$120,MATCH($B672,Services!$D$2:$D$120,0)),""))</f>
        <v/>
      </c>
      <c r="I672" s="19"/>
      <c r="J672" s="15" t="str">
        <f aca="false">IF($B672="","",IFERROR(INDEX(Services!$E$2:$E$120,MATCH($B672,Services!$D$2:$D$120,0)),""))</f>
        <v/>
      </c>
    </row>
    <row r="673" customFormat="false" ht="14.25" hidden="false" customHeight="false" outlineLevel="0" collapsed="false">
      <c r="A673" s="18"/>
      <c r="B673" s="6"/>
      <c r="C673" s="6"/>
      <c r="D673" s="6"/>
      <c r="E673" s="16" t="str">
        <f aca="false">IF($B673="","",IFERROR(INDEX(Services!$C$2:$C$120,MATCH($B673,Services!$D$2:$D$120,0)),""))</f>
        <v/>
      </c>
      <c r="F673" s="19"/>
      <c r="G673" s="9" t="str">
        <f aca="false">IF(OR($B673="",NOT(ISNUMBER($E673))),"",$E673-IF($F673="",0,$F673))</f>
        <v/>
      </c>
      <c r="H673" s="15" t="str">
        <f aca="false">IF($B673="","",IFERROR(INDEX(Services!$A$2:$A$120,MATCH($B673,Services!$D$2:$D$120,0)),""))</f>
        <v/>
      </c>
      <c r="I673" s="19"/>
      <c r="J673" s="15" t="str">
        <f aca="false">IF($B673="","",IFERROR(INDEX(Services!$E$2:$E$120,MATCH($B673,Services!$D$2:$D$120,0)),""))</f>
        <v/>
      </c>
    </row>
    <row r="674" customFormat="false" ht="14.25" hidden="false" customHeight="false" outlineLevel="0" collapsed="false">
      <c r="A674" s="18"/>
      <c r="B674" s="6"/>
      <c r="C674" s="6"/>
      <c r="D674" s="6"/>
      <c r="E674" s="16" t="str">
        <f aca="false">IF($B674="","",IFERROR(INDEX(Services!$C$2:$C$120,MATCH($B674,Services!$D$2:$D$120,0)),""))</f>
        <v/>
      </c>
      <c r="F674" s="19"/>
      <c r="G674" s="9" t="str">
        <f aca="false">IF(OR($B674="",NOT(ISNUMBER($E674))),"",$E674-IF($F674="",0,$F674))</f>
        <v/>
      </c>
      <c r="H674" s="15" t="str">
        <f aca="false">IF($B674="","",IFERROR(INDEX(Services!$A$2:$A$120,MATCH($B674,Services!$D$2:$D$120,0)),""))</f>
        <v/>
      </c>
      <c r="I674" s="19"/>
      <c r="J674" s="15" t="str">
        <f aca="false">IF($B674="","",IFERROR(INDEX(Services!$E$2:$E$120,MATCH($B674,Services!$D$2:$D$120,0)),""))</f>
        <v/>
      </c>
    </row>
    <row r="675" customFormat="false" ht="14.25" hidden="false" customHeight="false" outlineLevel="0" collapsed="false">
      <c r="A675" s="18"/>
      <c r="B675" s="6"/>
      <c r="C675" s="6"/>
      <c r="D675" s="6"/>
      <c r="E675" s="16" t="str">
        <f aca="false">IF($B675="","",IFERROR(INDEX(Services!$C$2:$C$120,MATCH($B675,Services!$D$2:$D$120,0)),""))</f>
        <v/>
      </c>
      <c r="F675" s="19"/>
      <c r="G675" s="9" t="str">
        <f aca="false">IF(OR($B675="",NOT(ISNUMBER($E675))),"",$E675-IF($F675="",0,$F675))</f>
        <v/>
      </c>
      <c r="H675" s="15" t="str">
        <f aca="false">IF($B675="","",IFERROR(INDEX(Services!$A$2:$A$120,MATCH($B675,Services!$D$2:$D$120,0)),""))</f>
        <v/>
      </c>
      <c r="I675" s="19"/>
      <c r="J675" s="15" t="str">
        <f aca="false">IF($B675="","",IFERROR(INDEX(Services!$E$2:$E$120,MATCH($B675,Services!$D$2:$D$120,0)),""))</f>
        <v/>
      </c>
    </row>
    <row r="676" customFormat="false" ht="14.25" hidden="false" customHeight="false" outlineLevel="0" collapsed="false">
      <c r="A676" s="18"/>
      <c r="B676" s="6"/>
      <c r="C676" s="6"/>
      <c r="D676" s="6"/>
      <c r="E676" s="16" t="str">
        <f aca="false">IF($B676="","",IFERROR(INDEX(Services!$C$2:$C$120,MATCH($B676,Services!$D$2:$D$120,0)),""))</f>
        <v/>
      </c>
      <c r="F676" s="19"/>
      <c r="G676" s="9" t="str">
        <f aca="false">IF(OR($B676="",NOT(ISNUMBER($E676))),"",$E676-IF($F676="",0,$F676))</f>
        <v/>
      </c>
      <c r="H676" s="15" t="str">
        <f aca="false">IF($B676="","",IFERROR(INDEX(Services!$A$2:$A$120,MATCH($B676,Services!$D$2:$D$120,0)),""))</f>
        <v/>
      </c>
      <c r="I676" s="19"/>
      <c r="J676" s="15" t="str">
        <f aca="false">IF($B676="","",IFERROR(INDEX(Services!$E$2:$E$120,MATCH($B676,Services!$D$2:$D$120,0)),""))</f>
        <v/>
      </c>
    </row>
    <row r="677" customFormat="false" ht="14.25" hidden="false" customHeight="false" outlineLevel="0" collapsed="false">
      <c r="A677" s="18"/>
      <c r="B677" s="6"/>
      <c r="C677" s="6"/>
      <c r="D677" s="6"/>
      <c r="E677" s="16" t="str">
        <f aca="false">IF($B677="","",IFERROR(INDEX(Services!$C$2:$C$120,MATCH($B677,Services!$D$2:$D$120,0)),""))</f>
        <v/>
      </c>
      <c r="F677" s="19"/>
      <c r="G677" s="9" t="str">
        <f aca="false">IF(OR($B677="",NOT(ISNUMBER($E677))),"",$E677-IF($F677="",0,$F677))</f>
        <v/>
      </c>
      <c r="H677" s="15" t="str">
        <f aca="false">IF($B677="","",IFERROR(INDEX(Services!$A$2:$A$120,MATCH($B677,Services!$D$2:$D$120,0)),""))</f>
        <v/>
      </c>
      <c r="I677" s="19"/>
      <c r="J677" s="15" t="str">
        <f aca="false">IF($B677="","",IFERROR(INDEX(Services!$E$2:$E$120,MATCH($B677,Services!$D$2:$D$120,0)),""))</f>
        <v/>
      </c>
    </row>
    <row r="678" customFormat="false" ht="14.25" hidden="false" customHeight="false" outlineLevel="0" collapsed="false">
      <c r="A678" s="18"/>
      <c r="B678" s="6"/>
      <c r="C678" s="6"/>
      <c r="D678" s="6"/>
      <c r="E678" s="16" t="str">
        <f aca="false">IF($B678="","",IFERROR(INDEX(Services!$C$2:$C$120,MATCH($B678,Services!$D$2:$D$120,0)),""))</f>
        <v/>
      </c>
      <c r="F678" s="19"/>
      <c r="G678" s="9" t="str">
        <f aca="false">IF(OR($B678="",NOT(ISNUMBER($E678))),"",$E678-IF($F678="",0,$F678))</f>
        <v/>
      </c>
      <c r="H678" s="15" t="str">
        <f aca="false">IF($B678="","",IFERROR(INDEX(Services!$A$2:$A$120,MATCH($B678,Services!$D$2:$D$120,0)),""))</f>
        <v/>
      </c>
      <c r="I678" s="19"/>
      <c r="J678" s="15" t="str">
        <f aca="false">IF($B678="","",IFERROR(INDEX(Services!$E$2:$E$120,MATCH($B678,Services!$D$2:$D$120,0)),""))</f>
        <v/>
      </c>
    </row>
    <row r="679" customFormat="false" ht="14.25" hidden="false" customHeight="false" outlineLevel="0" collapsed="false">
      <c r="A679" s="18"/>
      <c r="B679" s="6"/>
      <c r="C679" s="6"/>
      <c r="D679" s="6"/>
      <c r="E679" s="16" t="str">
        <f aca="false">IF($B679="","",IFERROR(INDEX(Services!$C$2:$C$120,MATCH($B679,Services!$D$2:$D$120,0)),""))</f>
        <v/>
      </c>
      <c r="F679" s="19"/>
      <c r="G679" s="9" t="str">
        <f aca="false">IF(OR($B679="",NOT(ISNUMBER($E679))),"",$E679-IF($F679="",0,$F679))</f>
        <v/>
      </c>
      <c r="H679" s="15" t="str">
        <f aca="false">IF($B679="","",IFERROR(INDEX(Services!$A$2:$A$120,MATCH($B679,Services!$D$2:$D$120,0)),""))</f>
        <v/>
      </c>
      <c r="I679" s="19"/>
      <c r="J679" s="15" t="str">
        <f aca="false">IF($B679="","",IFERROR(INDEX(Services!$E$2:$E$120,MATCH($B679,Services!$D$2:$D$120,0)),""))</f>
        <v/>
      </c>
    </row>
    <row r="680" customFormat="false" ht="14.25" hidden="false" customHeight="false" outlineLevel="0" collapsed="false">
      <c r="A680" s="18"/>
      <c r="B680" s="6"/>
      <c r="C680" s="6"/>
      <c r="D680" s="6"/>
      <c r="E680" s="16" t="str">
        <f aca="false">IF($B680="","",IFERROR(INDEX(Services!$C$2:$C$120,MATCH($B680,Services!$D$2:$D$120,0)),""))</f>
        <v/>
      </c>
      <c r="F680" s="19"/>
      <c r="G680" s="9" t="str">
        <f aca="false">IF(OR($B680="",NOT(ISNUMBER($E680))),"",$E680-IF($F680="",0,$F680))</f>
        <v/>
      </c>
      <c r="H680" s="15" t="str">
        <f aca="false">IF($B680="","",IFERROR(INDEX(Services!$A$2:$A$120,MATCH($B680,Services!$D$2:$D$120,0)),""))</f>
        <v/>
      </c>
      <c r="I680" s="19"/>
      <c r="J680" s="15" t="str">
        <f aca="false">IF($B680="","",IFERROR(INDEX(Services!$E$2:$E$120,MATCH($B680,Services!$D$2:$D$120,0)),""))</f>
        <v/>
      </c>
    </row>
    <row r="681" customFormat="false" ht="14.25" hidden="false" customHeight="false" outlineLevel="0" collapsed="false">
      <c r="A681" s="18"/>
      <c r="B681" s="6"/>
      <c r="C681" s="6"/>
      <c r="D681" s="6"/>
      <c r="E681" s="16" t="str">
        <f aca="false">IF($B681="","",IFERROR(INDEX(Services!$C$2:$C$120,MATCH($B681,Services!$D$2:$D$120,0)),""))</f>
        <v/>
      </c>
      <c r="F681" s="19"/>
      <c r="G681" s="9" t="str">
        <f aca="false">IF(OR($B681="",NOT(ISNUMBER($E681))),"",$E681-IF($F681="",0,$F681))</f>
        <v/>
      </c>
      <c r="H681" s="15" t="str">
        <f aca="false">IF($B681="","",IFERROR(INDEX(Services!$A$2:$A$120,MATCH($B681,Services!$D$2:$D$120,0)),""))</f>
        <v/>
      </c>
      <c r="I681" s="19"/>
      <c r="J681" s="15" t="str">
        <f aca="false">IF($B681="","",IFERROR(INDEX(Services!$E$2:$E$120,MATCH($B681,Services!$D$2:$D$120,0)),""))</f>
        <v/>
      </c>
    </row>
    <row r="682" customFormat="false" ht="14.25" hidden="false" customHeight="false" outlineLevel="0" collapsed="false">
      <c r="A682" s="18"/>
      <c r="B682" s="6"/>
      <c r="C682" s="6"/>
      <c r="D682" s="6"/>
      <c r="E682" s="16" t="str">
        <f aca="false">IF($B682="","",IFERROR(INDEX(Services!$C$2:$C$120,MATCH($B682,Services!$D$2:$D$120,0)),""))</f>
        <v/>
      </c>
      <c r="F682" s="19"/>
      <c r="G682" s="9" t="str">
        <f aca="false">IF(OR($B682="",NOT(ISNUMBER($E682))),"",$E682-IF($F682="",0,$F682))</f>
        <v/>
      </c>
      <c r="H682" s="15" t="str">
        <f aca="false">IF($B682="","",IFERROR(INDEX(Services!$A$2:$A$120,MATCH($B682,Services!$D$2:$D$120,0)),""))</f>
        <v/>
      </c>
      <c r="I682" s="19"/>
      <c r="J682" s="15" t="str">
        <f aca="false">IF($B682="","",IFERROR(INDEX(Services!$E$2:$E$120,MATCH($B682,Services!$D$2:$D$120,0)),""))</f>
        <v/>
      </c>
    </row>
    <row r="683" customFormat="false" ht="14.25" hidden="false" customHeight="false" outlineLevel="0" collapsed="false">
      <c r="A683" s="18"/>
      <c r="B683" s="6"/>
      <c r="C683" s="6"/>
      <c r="D683" s="6"/>
      <c r="E683" s="16" t="str">
        <f aca="false">IF($B683="","",IFERROR(INDEX(Services!$C$2:$C$120,MATCH($B683,Services!$D$2:$D$120,0)),""))</f>
        <v/>
      </c>
      <c r="F683" s="19"/>
      <c r="G683" s="9" t="str">
        <f aca="false">IF(OR($B683="",NOT(ISNUMBER($E683))),"",$E683-IF($F683="",0,$F683))</f>
        <v/>
      </c>
      <c r="H683" s="15" t="str">
        <f aca="false">IF($B683="","",IFERROR(INDEX(Services!$A$2:$A$120,MATCH($B683,Services!$D$2:$D$120,0)),""))</f>
        <v/>
      </c>
      <c r="I683" s="19"/>
      <c r="J683" s="15" t="str">
        <f aca="false">IF($B683="","",IFERROR(INDEX(Services!$E$2:$E$120,MATCH($B683,Services!$D$2:$D$120,0)),""))</f>
        <v/>
      </c>
    </row>
    <row r="684" customFormat="false" ht="14.25" hidden="false" customHeight="false" outlineLevel="0" collapsed="false">
      <c r="A684" s="18"/>
      <c r="B684" s="6"/>
      <c r="C684" s="6"/>
      <c r="D684" s="6"/>
      <c r="E684" s="16" t="str">
        <f aca="false">IF($B684="","",IFERROR(INDEX(Services!$C$2:$C$120,MATCH($B684,Services!$D$2:$D$120,0)),""))</f>
        <v/>
      </c>
      <c r="F684" s="19"/>
      <c r="G684" s="9" t="str">
        <f aca="false">IF(OR($B684="",NOT(ISNUMBER($E684))),"",$E684-IF($F684="",0,$F684))</f>
        <v/>
      </c>
      <c r="H684" s="15" t="str">
        <f aca="false">IF($B684="","",IFERROR(INDEX(Services!$A$2:$A$120,MATCH($B684,Services!$D$2:$D$120,0)),""))</f>
        <v/>
      </c>
      <c r="I684" s="19"/>
      <c r="J684" s="15" t="str">
        <f aca="false">IF($B684="","",IFERROR(INDEX(Services!$E$2:$E$120,MATCH($B684,Services!$D$2:$D$120,0)),""))</f>
        <v/>
      </c>
    </row>
    <row r="685" customFormat="false" ht="14.25" hidden="false" customHeight="false" outlineLevel="0" collapsed="false">
      <c r="A685" s="18"/>
      <c r="B685" s="6"/>
      <c r="C685" s="6"/>
      <c r="D685" s="6"/>
      <c r="E685" s="16" t="str">
        <f aca="false">IF($B685="","",IFERROR(INDEX(Services!$C$2:$C$120,MATCH($B685,Services!$D$2:$D$120,0)),""))</f>
        <v/>
      </c>
      <c r="F685" s="19"/>
      <c r="G685" s="9" t="str">
        <f aca="false">IF(OR($B685="",NOT(ISNUMBER($E685))),"",$E685-IF($F685="",0,$F685))</f>
        <v/>
      </c>
      <c r="H685" s="15" t="str">
        <f aca="false">IF($B685="","",IFERROR(INDEX(Services!$A$2:$A$120,MATCH($B685,Services!$D$2:$D$120,0)),""))</f>
        <v/>
      </c>
      <c r="I685" s="19"/>
      <c r="J685" s="15" t="str">
        <f aca="false">IF($B685="","",IFERROR(INDEX(Services!$E$2:$E$120,MATCH($B685,Services!$D$2:$D$120,0)),""))</f>
        <v/>
      </c>
    </row>
    <row r="686" customFormat="false" ht="14.25" hidden="false" customHeight="false" outlineLevel="0" collapsed="false">
      <c r="A686" s="18"/>
      <c r="B686" s="6"/>
      <c r="C686" s="6"/>
      <c r="D686" s="6"/>
      <c r="E686" s="16" t="str">
        <f aca="false">IF($B686="","",IFERROR(INDEX(Services!$C$2:$C$120,MATCH($B686,Services!$D$2:$D$120,0)),""))</f>
        <v/>
      </c>
      <c r="F686" s="19"/>
      <c r="G686" s="9" t="str">
        <f aca="false">IF(OR($B686="",NOT(ISNUMBER($E686))),"",$E686-IF($F686="",0,$F686))</f>
        <v/>
      </c>
      <c r="H686" s="15" t="str">
        <f aca="false">IF($B686="","",IFERROR(INDEX(Services!$A$2:$A$120,MATCH($B686,Services!$D$2:$D$120,0)),""))</f>
        <v/>
      </c>
      <c r="I686" s="19"/>
      <c r="J686" s="15" t="str">
        <f aca="false">IF($B686="","",IFERROR(INDEX(Services!$E$2:$E$120,MATCH($B686,Services!$D$2:$D$120,0)),""))</f>
        <v/>
      </c>
    </row>
    <row r="687" customFormat="false" ht="14.25" hidden="false" customHeight="false" outlineLevel="0" collapsed="false">
      <c r="A687" s="18"/>
      <c r="B687" s="6"/>
      <c r="C687" s="6"/>
      <c r="D687" s="6"/>
      <c r="E687" s="16" t="str">
        <f aca="false">IF($B687="","",IFERROR(INDEX(Services!$C$2:$C$120,MATCH($B687,Services!$D$2:$D$120,0)),""))</f>
        <v/>
      </c>
      <c r="F687" s="19"/>
      <c r="G687" s="9" t="str">
        <f aca="false">IF(OR($B687="",NOT(ISNUMBER($E687))),"",$E687-IF($F687="",0,$F687))</f>
        <v/>
      </c>
      <c r="H687" s="15" t="str">
        <f aca="false">IF($B687="","",IFERROR(INDEX(Services!$A$2:$A$120,MATCH($B687,Services!$D$2:$D$120,0)),""))</f>
        <v/>
      </c>
      <c r="I687" s="19"/>
      <c r="J687" s="15" t="str">
        <f aca="false">IF($B687="","",IFERROR(INDEX(Services!$E$2:$E$120,MATCH($B687,Services!$D$2:$D$120,0)),""))</f>
        <v/>
      </c>
    </row>
    <row r="688" customFormat="false" ht="14.25" hidden="false" customHeight="false" outlineLevel="0" collapsed="false">
      <c r="A688" s="18"/>
      <c r="B688" s="6"/>
      <c r="C688" s="6"/>
      <c r="D688" s="6"/>
      <c r="E688" s="16" t="str">
        <f aca="false">IF($B688="","",IFERROR(INDEX(Services!$C$2:$C$120,MATCH($B688,Services!$D$2:$D$120,0)),""))</f>
        <v/>
      </c>
      <c r="F688" s="19"/>
      <c r="G688" s="9" t="str">
        <f aca="false">IF(OR($B688="",NOT(ISNUMBER($E688))),"",$E688-IF($F688="",0,$F688))</f>
        <v/>
      </c>
      <c r="H688" s="15" t="str">
        <f aca="false">IF($B688="","",IFERROR(INDEX(Services!$A$2:$A$120,MATCH($B688,Services!$D$2:$D$120,0)),""))</f>
        <v/>
      </c>
      <c r="I688" s="19"/>
      <c r="J688" s="15" t="str">
        <f aca="false">IF($B688="","",IFERROR(INDEX(Services!$E$2:$E$120,MATCH($B688,Services!$D$2:$D$120,0)),""))</f>
        <v/>
      </c>
    </row>
    <row r="689" customFormat="false" ht="14.25" hidden="false" customHeight="false" outlineLevel="0" collapsed="false">
      <c r="A689" s="18"/>
      <c r="B689" s="6"/>
      <c r="C689" s="6"/>
      <c r="D689" s="6"/>
      <c r="E689" s="16" t="str">
        <f aca="false">IF($B689="","",IFERROR(INDEX(Services!$C$2:$C$120,MATCH($B689,Services!$D$2:$D$120,0)),""))</f>
        <v/>
      </c>
      <c r="F689" s="19"/>
      <c r="G689" s="9" t="str">
        <f aca="false">IF(OR($B689="",NOT(ISNUMBER($E689))),"",$E689-IF($F689="",0,$F689))</f>
        <v/>
      </c>
      <c r="H689" s="15" t="str">
        <f aca="false">IF($B689="","",IFERROR(INDEX(Services!$A$2:$A$120,MATCH($B689,Services!$D$2:$D$120,0)),""))</f>
        <v/>
      </c>
      <c r="I689" s="19"/>
      <c r="J689" s="15" t="str">
        <f aca="false">IF($B689="","",IFERROR(INDEX(Services!$E$2:$E$120,MATCH($B689,Services!$D$2:$D$120,0)),""))</f>
        <v/>
      </c>
    </row>
    <row r="690" customFormat="false" ht="14.25" hidden="false" customHeight="false" outlineLevel="0" collapsed="false">
      <c r="A690" s="18"/>
      <c r="B690" s="6"/>
      <c r="C690" s="6"/>
      <c r="D690" s="6"/>
      <c r="E690" s="16" t="str">
        <f aca="false">IF($B690="","",IFERROR(INDEX(Services!$C$2:$C$120,MATCH($B690,Services!$D$2:$D$120,0)),""))</f>
        <v/>
      </c>
      <c r="F690" s="19"/>
      <c r="G690" s="9" t="str">
        <f aca="false">IF(OR($B690="",NOT(ISNUMBER($E690))),"",$E690-IF($F690="",0,$F690))</f>
        <v/>
      </c>
      <c r="H690" s="15" t="str">
        <f aca="false">IF($B690="","",IFERROR(INDEX(Services!$A$2:$A$120,MATCH($B690,Services!$D$2:$D$120,0)),""))</f>
        <v/>
      </c>
      <c r="I690" s="19"/>
      <c r="J690" s="15" t="str">
        <f aca="false">IF($B690="","",IFERROR(INDEX(Services!$E$2:$E$120,MATCH($B690,Services!$D$2:$D$120,0)),""))</f>
        <v/>
      </c>
    </row>
    <row r="691" customFormat="false" ht="14.25" hidden="false" customHeight="false" outlineLevel="0" collapsed="false">
      <c r="A691" s="18"/>
      <c r="B691" s="6"/>
      <c r="C691" s="6"/>
      <c r="D691" s="6"/>
      <c r="E691" s="16" t="str">
        <f aca="false">IF($B691="","",IFERROR(INDEX(Services!$C$2:$C$120,MATCH($B691,Services!$D$2:$D$120,0)),""))</f>
        <v/>
      </c>
      <c r="F691" s="19"/>
      <c r="G691" s="9" t="str">
        <f aca="false">IF(OR($B691="",NOT(ISNUMBER($E691))),"",$E691-IF($F691="",0,$F691))</f>
        <v/>
      </c>
      <c r="H691" s="15" t="str">
        <f aca="false">IF($B691="","",IFERROR(INDEX(Services!$A$2:$A$120,MATCH($B691,Services!$D$2:$D$120,0)),""))</f>
        <v/>
      </c>
      <c r="I691" s="19"/>
      <c r="J691" s="15" t="str">
        <f aca="false">IF($B691="","",IFERROR(INDEX(Services!$E$2:$E$120,MATCH($B691,Services!$D$2:$D$120,0)),""))</f>
        <v/>
      </c>
    </row>
    <row r="692" customFormat="false" ht="14.25" hidden="false" customHeight="false" outlineLevel="0" collapsed="false">
      <c r="A692" s="18"/>
      <c r="B692" s="6"/>
      <c r="C692" s="6"/>
      <c r="D692" s="6"/>
      <c r="E692" s="16" t="str">
        <f aca="false">IF($B692="","",IFERROR(INDEX(Services!$C$2:$C$120,MATCH($B692,Services!$D$2:$D$120,0)),""))</f>
        <v/>
      </c>
      <c r="F692" s="19"/>
      <c r="G692" s="9" t="str">
        <f aca="false">IF(OR($B692="",NOT(ISNUMBER($E692))),"",$E692-IF($F692="",0,$F692))</f>
        <v/>
      </c>
      <c r="H692" s="15" t="str">
        <f aca="false">IF($B692="","",IFERROR(INDEX(Services!$A$2:$A$120,MATCH($B692,Services!$D$2:$D$120,0)),""))</f>
        <v/>
      </c>
      <c r="I692" s="19"/>
      <c r="J692" s="15" t="str">
        <f aca="false">IF($B692="","",IFERROR(INDEX(Services!$E$2:$E$120,MATCH($B692,Services!$D$2:$D$120,0)),""))</f>
        <v/>
      </c>
    </row>
    <row r="693" customFormat="false" ht="14.25" hidden="false" customHeight="false" outlineLevel="0" collapsed="false">
      <c r="A693" s="18"/>
      <c r="B693" s="6"/>
      <c r="C693" s="6"/>
      <c r="D693" s="6"/>
      <c r="E693" s="16" t="str">
        <f aca="false">IF($B693="","",IFERROR(INDEX(Services!$C$2:$C$120,MATCH($B693,Services!$D$2:$D$120,0)),""))</f>
        <v/>
      </c>
      <c r="F693" s="19"/>
      <c r="G693" s="9" t="str">
        <f aca="false">IF(OR($B693="",NOT(ISNUMBER($E693))),"",$E693-IF($F693="",0,$F693))</f>
        <v/>
      </c>
      <c r="H693" s="15" t="str">
        <f aca="false">IF($B693="","",IFERROR(INDEX(Services!$A$2:$A$120,MATCH($B693,Services!$D$2:$D$120,0)),""))</f>
        <v/>
      </c>
      <c r="I693" s="19"/>
      <c r="J693" s="15" t="str">
        <f aca="false">IF($B693="","",IFERROR(INDEX(Services!$E$2:$E$120,MATCH($B693,Services!$D$2:$D$120,0)),""))</f>
        <v/>
      </c>
    </row>
    <row r="694" customFormat="false" ht="14.25" hidden="false" customHeight="false" outlineLevel="0" collapsed="false">
      <c r="A694" s="18"/>
      <c r="B694" s="6"/>
      <c r="C694" s="6"/>
      <c r="D694" s="6"/>
      <c r="E694" s="16" t="str">
        <f aca="false">IF($B694="","",IFERROR(INDEX(Services!$C$2:$C$120,MATCH($B694,Services!$D$2:$D$120,0)),""))</f>
        <v/>
      </c>
      <c r="F694" s="19"/>
      <c r="G694" s="9" t="str">
        <f aca="false">IF(OR($B694="",NOT(ISNUMBER($E694))),"",$E694-IF($F694="",0,$F694))</f>
        <v/>
      </c>
      <c r="H694" s="15" t="str">
        <f aca="false">IF($B694="","",IFERROR(INDEX(Services!$A$2:$A$120,MATCH($B694,Services!$D$2:$D$120,0)),""))</f>
        <v/>
      </c>
      <c r="I694" s="19"/>
      <c r="J694" s="15" t="str">
        <f aca="false">IF($B694="","",IFERROR(INDEX(Services!$E$2:$E$120,MATCH($B694,Services!$D$2:$D$120,0)),""))</f>
        <v/>
      </c>
    </row>
    <row r="695" customFormat="false" ht="14.25" hidden="false" customHeight="false" outlineLevel="0" collapsed="false">
      <c r="A695" s="18"/>
      <c r="B695" s="6"/>
      <c r="C695" s="6"/>
      <c r="D695" s="6"/>
      <c r="E695" s="16" t="str">
        <f aca="false">IF($B695="","",IFERROR(INDEX(Services!$C$2:$C$120,MATCH($B695,Services!$D$2:$D$120,0)),""))</f>
        <v/>
      </c>
      <c r="F695" s="19"/>
      <c r="G695" s="9" t="str">
        <f aca="false">IF(OR($B695="",NOT(ISNUMBER($E695))),"",$E695-IF($F695="",0,$F695))</f>
        <v/>
      </c>
      <c r="H695" s="15" t="str">
        <f aca="false">IF($B695="","",IFERROR(INDEX(Services!$A$2:$A$120,MATCH($B695,Services!$D$2:$D$120,0)),""))</f>
        <v/>
      </c>
      <c r="I695" s="19"/>
      <c r="J695" s="15" t="str">
        <f aca="false">IF($B695="","",IFERROR(INDEX(Services!$E$2:$E$120,MATCH($B695,Services!$D$2:$D$120,0)),""))</f>
        <v/>
      </c>
    </row>
    <row r="696" customFormat="false" ht="14.25" hidden="false" customHeight="false" outlineLevel="0" collapsed="false">
      <c r="A696" s="18"/>
      <c r="B696" s="6"/>
      <c r="C696" s="6"/>
      <c r="D696" s="6"/>
      <c r="E696" s="16" t="str">
        <f aca="false">IF($B696="","",IFERROR(INDEX(Services!$C$2:$C$120,MATCH($B696,Services!$D$2:$D$120,0)),""))</f>
        <v/>
      </c>
      <c r="F696" s="19"/>
      <c r="G696" s="9" t="str">
        <f aca="false">IF(OR($B696="",NOT(ISNUMBER($E696))),"",$E696-IF($F696="",0,$F696))</f>
        <v/>
      </c>
      <c r="H696" s="15" t="str">
        <f aca="false">IF($B696="","",IFERROR(INDEX(Services!$A$2:$A$120,MATCH($B696,Services!$D$2:$D$120,0)),""))</f>
        <v/>
      </c>
      <c r="I696" s="19"/>
      <c r="J696" s="15" t="str">
        <f aca="false">IF($B696="","",IFERROR(INDEX(Services!$E$2:$E$120,MATCH($B696,Services!$D$2:$D$120,0)),""))</f>
        <v/>
      </c>
    </row>
    <row r="697" customFormat="false" ht="14.25" hidden="false" customHeight="false" outlineLevel="0" collapsed="false">
      <c r="A697" s="18"/>
      <c r="B697" s="6"/>
      <c r="C697" s="6"/>
      <c r="D697" s="6"/>
      <c r="E697" s="16" t="str">
        <f aca="false">IF($B697="","",IFERROR(INDEX(Services!$C$2:$C$120,MATCH($B697,Services!$D$2:$D$120,0)),""))</f>
        <v/>
      </c>
      <c r="F697" s="19"/>
      <c r="G697" s="9" t="str">
        <f aca="false">IF(OR($B697="",NOT(ISNUMBER($E697))),"",$E697-IF($F697="",0,$F697))</f>
        <v/>
      </c>
      <c r="H697" s="15" t="str">
        <f aca="false">IF($B697="","",IFERROR(INDEX(Services!$A$2:$A$120,MATCH($B697,Services!$D$2:$D$120,0)),""))</f>
        <v/>
      </c>
      <c r="I697" s="19"/>
      <c r="J697" s="15" t="str">
        <f aca="false">IF($B697="","",IFERROR(INDEX(Services!$E$2:$E$120,MATCH($B697,Services!$D$2:$D$120,0)),""))</f>
        <v/>
      </c>
    </row>
    <row r="698" customFormat="false" ht="14.25" hidden="false" customHeight="false" outlineLevel="0" collapsed="false">
      <c r="A698" s="18"/>
      <c r="B698" s="6"/>
      <c r="C698" s="6"/>
      <c r="D698" s="6"/>
      <c r="E698" s="16" t="str">
        <f aca="false">IF($B698="","",IFERROR(INDEX(Services!$C$2:$C$120,MATCH($B698,Services!$D$2:$D$120,0)),""))</f>
        <v/>
      </c>
      <c r="F698" s="19"/>
      <c r="G698" s="9" t="str">
        <f aca="false">IF(OR($B698="",NOT(ISNUMBER($E698))),"",$E698-IF($F698="",0,$F698))</f>
        <v/>
      </c>
      <c r="H698" s="15" t="str">
        <f aca="false">IF($B698="","",IFERROR(INDEX(Services!$A$2:$A$120,MATCH($B698,Services!$D$2:$D$120,0)),""))</f>
        <v/>
      </c>
      <c r="I698" s="19"/>
      <c r="J698" s="15" t="str">
        <f aca="false">IF($B698="","",IFERROR(INDEX(Services!$E$2:$E$120,MATCH($B698,Services!$D$2:$D$120,0)),""))</f>
        <v/>
      </c>
    </row>
    <row r="699" customFormat="false" ht="14.25" hidden="false" customHeight="false" outlineLevel="0" collapsed="false">
      <c r="A699" s="18"/>
      <c r="B699" s="6"/>
      <c r="C699" s="6"/>
      <c r="D699" s="6"/>
      <c r="E699" s="16" t="str">
        <f aca="false">IF($B699="","",IFERROR(INDEX(Services!$C$2:$C$120,MATCH($B699,Services!$D$2:$D$120,0)),""))</f>
        <v/>
      </c>
      <c r="F699" s="19"/>
      <c r="G699" s="9" t="str">
        <f aca="false">IF(OR($B699="",NOT(ISNUMBER($E699))),"",$E699-IF($F699="",0,$F699))</f>
        <v/>
      </c>
      <c r="H699" s="15" t="str">
        <f aca="false">IF($B699="","",IFERROR(INDEX(Services!$A$2:$A$120,MATCH($B699,Services!$D$2:$D$120,0)),""))</f>
        <v/>
      </c>
      <c r="I699" s="19"/>
      <c r="J699" s="15" t="str">
        <f aca="false">IF($B699="","",IFERROR(INDEX(Services!$E$2:$E$120,MATCH($B699,Services!$D$2:$D$120,0)),""))</f>
        <v/>
      </c>
    </row>
    <row r="700" customFormat="false" ht="14.25" hidden="false" customHeight="false" outlineLevel="0" collapsed="false">
      <c r="A700" s="18"/>
      <c r="B700" s="6"/>
      <c r="C700" s="6"/>
      <c r="D700" s="6"/>
      <c r="E700" s="16" t="str">
        <f aca="false">IF($B700="","",IFERROR(INDEX(Services!$C$2:$C$120,MATCH($B700,Services!$D$2:$D$120,0)),""))</f>
        <v/>
      </c>
      <c r="F700" s="19"/>
      <c r="G700" s="9" t="str">
        <f aca="false">IF(OR($B700="",NOT(ISNUMBER($E700))),"",$E700-IF($F700="",0,$F700))</f>
        <v/>
      </c>
      <c r="H700" s="15" t="str">
        <f aca="false">IF($B700="","",IFERROR(INDEX(Services!$A$2:$A$120,MATCH($B700,Services!$D$2:$D$120,0)),""))</f>
        <v/>
      </c>
      <c r="I700" s="19"/>
      <c r="J700" s="15" t="str">
        <f aca="false">IF($B700="","",IFERROR(INDEX(Services!$E$2:$E$120,MATCH($B700,Services!$D$2:$D$120,0)),""))</f>
        <v/>
      </c>
    </row>
    <row r="701" customFormat="false" ht="14.25" hidden="false" customHeight="false" outlineLevel="0" collapsed="false">
      <c r="A701" s="18"/>
      <c r="B701" s="6"/>
      <c r="C701" s="6"/>
      <c r="D701" s="6"/>
      <c r="E701" s="16" t="str">
        <f aca="false">IF($B701="","",IFERROR(INDEX(Services!$C$2:$C$120,MATCH($B701,Services!$D$2:$D$120,0)),""))</f>
        <v/>
      </c>
      <c r="F701" s="19"/>
      <c r="G701" s="9" t="str">
        <f aca="false">IF(OR($B701="",NOT(ISNUMBER($E701))),"",$E701-IF($F701="",0,$F701))</f>
        <v/>
      </c>
      <c r="H701" s="15" t="str">
        <f aca="false">IF($B701="","",IFERROR(INDEX(Services!$A$2:$A$120,MATCH($B701,Services!$D$2:$D$120,0)),""))</f>
        <v/>
      </c>
      <c r="I701" s="19"/>
      <c r="J701" s="15" t="str">
        <f aca="false">IF($B701="","",IFERROR(INDEX(Services!$E$2:$E$120,MATCH($B701,Services!$D$2:$D$120,0)),""))</f>
        <v/>
      </c>
    </row>
    <row r="702" customFormat="false" ht="14.25" hidden="false" customHeight="false" outlineLevel="0" collapsed="false">
      <c r="A702" s="18"/>
      <c r="B702" s="6"/>
      <c r="C702" s="6"/>
      <c r="D702" s="6"/>
      <c r="E702" s="16" t="str">
        <f aca="false">IF($B702="","",IFERROR(INDEX(Services!$C$2:$C$120,MATCH($B702,Services!$D$2:$D$120,0)),""))</f>
        <v/>
      </c>
      <c r="F702" s="19"/>
      <c r="G702" s="9" t="str">
        <f aca="false">IF(OR($B702="",NOT(ISNUMBER($E702))),"",$E702-IF($F702="",0,$F702))</f>
        <v/>
      </c>
      <c r="H702" s="15" t="str">
        <f aca="false">IF($B702="","",IFERROR(INDEX(Services!$A$2:$A$120,MATCH($B702,Services!$D$2:$D$120,0)),""))</f>
        <v/>
      </c>
      <c r="I702" s="19"/>
      <c r="J702" s="15" t="str">
        <f aca="false">IF($B702="","",IFERROR(INDEX(Services!$E$2:$E$120,MATCH($B702,Services!$D$2:$D$120,0)),""))</f>
        <v/>
      </c>
    </row>
    <row r="703" customFormat="false" ht="14.25" hidden="false" customHeight="false" outlineLevel="0" collapsed="false">
      <c r="A703" s="18"/>
      <c r="B703" s="6"/>
      <c r="C703" s="6"/>
      <c r="D703" s="6"/>
      <c r="E703" s="16" t="str">
        <f aca="false">IF($B703="","",IFERROR(INDEX(Services!$C$2:$C$120,MATCH($B703,Services!$D$2:$D$120,0)),""))</f>
        <v/>
      </c>
      <c r="F703" s="19"/>
      <c r="G703" s="9" t="str">
        <f aca="false">IF(OR($B703="",NOT(ISNUMBER($E703))),"",$E703-IF($F703="",0,$F703))</f>
        <v/>
      </c>
      <c r="H703" s="15" t="str">
        <f aca="false">IF($B703="","",IFERROR(INDEX(Services!$A$2:$A$120,MATCH($B703,Services!$D$2:$D$120,0)),""))</f>
        <v/>
      </c>
      <c r="I703" s="19"/>
      <c r="J703" s="15" t="str">
        <f aca="false">IF($B703="","",IFERROR(INDEX(Services!$E$2:$E$120,MATCH($B703,Services!$D$2:$D$120,0)),""))</f>
        <v/>
      </c>
    </row>
    <row r="704" customFormat="false" ht="14.25" hidden="false" customHeight="false" outlineLevel="0" collapsed="false">
      <c r="A704" s="18"/>
      <c r="B704" s="6"/>
      <c r="C704" s="6"/>
      <c r="D704" s="6"/>
      <c r="E704" s="16" t="str">
        <f aca="false">IF($B704="","",IFERROR(INDEX(Services!$C$2:$C$120,MATCH($B704,Services!$D$2:$D$120,0)),""))</f>
        <v/>
      </c>
      <c r="F704" s="19"/>
      <c r="G704" s="9" t="str">
        <f aca="false">IF(OR($B704="",NOT(ISNUMBER($E704))),"",$E704-IF($F704="",0,$F704))</f>
        <v/>
      </c>
      <c r="H704" s="15" t="str">
        <f aca="false">IF($B704="","",IFERROR(INDEX(Services!$A$2:$A$120,MATCH($B704,Services!$D$2:$D$120,0)),""))</f>
        <v/>
      </c>
      <c r="I704" s="19"/>
      <c r="J704" s="15" t="str">
        <f aca="false">IF($B704="","",IFERROR(INDEX(Services!$E$2:$E$120,MATCH($B704,Services!$D$2:$D$120,0)),""))</f>
        <v/>
      </c>
    </row>
    <row r="705" customFormat="false" ht="14.25" hidden="false" customHeight="false" outlineLevel="0" collapsed="false">
      <c r="A705" s="18"/>
      <c r="B705" s="6"/>
      <c r="C705" s="6"/>
      <c r="D705" s="6"/>
      <c r="E705" s="16" t="str">
        <f aca="false">IF($B705="","",IFERROR(INDEX(Services!$C$2:$C$120,MATCH($B705,Services!$D$2:$D$120,0)),""))</f>
        <v/>
      </c>
      <c r="F705" s="19"/>
      <c r="G705" s="9" t="str">
        <f aca="false">IF(OR($B705="",NOT(ISNUMBER($E705))),"",$E705-IF($F705="",0,$F705))</f>
        <v/>
      </c>
      <c r="H705" s="15" t="str">
        <f aca="false">IF($B705="","",IFERROR(INDEX(Services!$A$2:$A$120,MATCH($B705,Services!$D$2:$D$120,0)),""))</f>
        <v/>
      </c>
      <c r="I705" s="19"/>
      <c r="J705" s="15" t="str">
        <f aca="false">IF($B705="","",IFERROR(INDEX(Services!$E$2:$E$120,MATCH($B705,Services!$D$2:$D$120,0)),""))</f>
        <v/>
      </c>
    </row>
    <row r="706" customFormat="false" ht="14.25" hidden="false" customHeight="false" outlineLevel="0" collapsed="false">
      <c r="A706" s="18"/>
      <c r="B706" s="6"/>
      <c r="C706" s="6"/>
      <c r="D706" s="6"/>
      <c r="E706" s="16" t="str">
        <f aca="false">IF($B706="","",IFERROR(INDEX(Services!$C$2:$C$120,MATCH($B706,Services!$D$2:$D$120,0)),""))</f>
        <v/>
      </c>
      <c r="F706" s="19"/>
      <c r="G706" s="9" t="str">
        <f aca="false">IF(OR($B706="",NOT(ISNUMBER($E706))),"",$E706-IF($F706="",0,$F706))</f>
        <v/>
      </c>
      <c r="H706" s="15" t="str">
        <f aca="false">IF($B706="","",IFERROR(INDEX(Services!$A$2:$A$120,MATCH($B706,Services!$D$2:$D$120,0)),""))</f>
        <v/>
      </c>
      <c r="I706" s="19"/>
      <c r="J706" s="15" t="str">
        <f aca="false">IF($B706="","",IFERROR(INDEX(Services!$E$2:$E$120,MATCH($B706,Services!$D$2:$D$120,0)),""))</f>
        <v/>
      </c>
    </row>
    <row r="707" customFormat="false" ht="14.25" hidden="false" customHeight="false" outlineLevel="0" collapsed="false">
      <c r="A707" s="18"/>
      <c r="B707" s="6"/>
      <c r="C707" s="6"/>
      <c r="D707" s="6"/>
      <c r="E707" s="16" t="str">
        <f aca="false">IF($B707="","",IFERROR(INDEX(Services!$C$2:$C$120,MATCH($B707,Services!$D$2:$D$120,0)),""))</f>
        <v/>
      </c>
      <c r="F707" s="19"/>
      <c r="G707" s="9" t="str">
        <f aca="false">IF(OR($B707="",NOT(ISNUMBER($E707))),"",$E707-IF($F707="",0,$F707))</f>
        <v/>
      </c>
      <c r="H707" s="15" t="str">
        <f aca="false">IF($B707="","",IFERROR(INDEX(Services!$A$2:$A$120,MATCH($B707,Services!$D$2:$D$120,0)),""))</f>
        <v/>
      </c>
      <c r="I707" s="19"/>
      <c r="J707" s="15" t="str">
        <f aca="false">IF($B707="","",IFERROR(INDEX(Services!$E$2:$E$120,MATCH($B707,Services!$D$2:$D$120,0)),""))</f>
        <v/>
      </c>
    </row>
    <row r="708" customFormat="false" ht="14.25" hidden="false" customHeight="false" outlineLevel="0" collapsed="false">
      <c r="A708" s="18"/>
      <c r="B708" s="6"/>
      <c r="C708" s="6"/>
      <c r="D708" s="6"/>
      <c r="E708" s="16" t="str">
        <f aca="false">IF($B708="","",IFERROR(INDEX(Services!$C$2:$C$120,MATCH($B708,Services!$D$2:$D$120,0)),""))</f>
        <v/>
      </c>
      <c r="F708" s="19"/>
      <c r="G708" s="9" t="str">
        <f aca="false">IF(OR($B708="",NOT(ISNUMBER($E708))),"",$E708-IF($F708="",0,$F708))</f>
        <v/>
      </c>
      <c r="H708" s="15" t="str">
        <f aca="false">IF($B708="","",IFERROR(INDEX(Services!$A$2:$A$120,MATCH($B708,Services!$D$2:$D$120,0)),""))</f>
        <v/>
      </c>
      <c r="I708" s="19"/>
      <c r="J708" s="15" t="str">
        <f aca="false">IF($B708="","",IFERROR(INDEX(Services!$E$2:$E$120,MATCH($B708,Services!$D$2:$D$120,0)),""))</f>
        <v/>
      </c>
    </row>
    <row r="709" customFormat="false" ht="14.25" hidden="false" customHeight="false" outlineLevel="0" collapsed="false">
      <c r="A709" s="18"/>
      <c r="B709" s="6"/>
      <c r="C709" s="6"/>
      <c r="D709" s="6"/>
      <c r="E709" s="16" t="str">
        <f aca="false">IF($B709="","",IFERROR(INDEX(Services!$C$2:$C$120,MATCH($B709,Services!$D$2:$D$120,0)),""))</f>
        <v/>
      </c>
      <c r="F709" s="19"/>
      <c r="G709" s="9" t="str">
        <f aca="false">IF(OR($B709="",NOT(ISNUMBER($E709))),"",$E709-IF($F709="",0,$F709))</f>
        <v/>
      </c>
      <c r="H709" s="15" t="str">
        <f aca="false">IF($B709="","",IFERROR(INDEX(Services!$A$2:$A$120,MATCH($B709,Services!$D$2:$D$120,0)),""))</f>
        <v/>
      </c>
      <c r="I709" s="19"/>
      <c r="J709" s="15" t="str">
        <f aca="false">IF($B709="","",IFERROR(INDEX(Services!$E$2:$E$120,MATCH($B709,Services!$D$2:$D$120,0)),""))</f>
        <v/>
      </c>
    </row>
    <row r="710" customFormat="false" ht="14.25" hidden="false" customHeight="false" outlineLevel="0" collapsed="false">
      <c r="A710" s="18"/>
      <c r="B710" s="6"/>
      <c r="C710" s="6"/>
      <c r="D710" s="6"/>
      <c r="E710" s="16" t="str">
        <f aca="false">IF($B710="","",IFERROR(INDEX(Services!$C$2:$C$120,MATCH($B710,Services!$D$2:$D$120,0)),""))</f>
        <v/>
      </c>
      <c r="F710" s="19"/>
      <c r="G710" s="9" t="str">
        <f aca="false">IF(OR($B710="",NOT(ISNUMBER($E710))),"",$E710-IF($F710="",0,$F710))</f>
        <v/>
      </c>
      <c r="H710" s="15" t="str">
        <f aca="false">IF($B710="","",IFERROR(INDEX(Services!$A$2:$A$120,MATCH($B710,Services!$D$2:$D$120,0)),""))</f>
        <v/>
      </c>
      <c r="I710" s="19"/>
      <c r="J710" s="15" t="str">
        <f aca="false">IF($B710="","",IFERROR(INDEX(Services!$E$2:$E$120,MATCH($B710,Services!$D$2:$D$120,0)),""))</f>
        <v/>
      </c>
    </row>
    <row r="711" customFormat="false" ht="14.25" hidden="false" customHeight="false" outlineLevel="0" collapsed="false">
      <c r="A711" s="18"/>
      <c r="B711" s="6"/>
      <c r="C711" s="6"/>
      <c r="D711" s="6"/>
      <c r="E711" s="16" t="str">
        <f aca="false">IF($B711="","",IFERROR(INDEX(Services!$C$2:$C$120,MATCH($B711,Services!$D$2:$D$120,0)),""))</f>
        <v/>
      </c>
      <c r="F711" s="19"/>
      <c r="G711" s="9" t="str">
        <f aca="false">IF(OR($B711="",NOT(ISNUMBER($E711))),"",$E711-IF($F711="",0,$F711))</f>
        <v/>
      </c>
      <c r="H711" s="15" t="str">
        <f aca="false">IF($B711="","",IFERROR(INDEX(Services!$A$2:$A$120,MATCH($B711,Services!$D$2:$D$120,0)),""))</f>
        <v/>
      </c>
      <c r="I711" s="19"/>
      <c r="J711" s="15" t="str">
        <f aca="false">IF($B711="","",IFERROR(INDEX(Services!$E$2:$E$120,MATCH($B711,Services!$D$2:$D$120,0)),""))</f>
        <v/>
      </c>
    </row>
    <row r="712" customFormat="false" ht="14.25" hidden="false" customHeight="false" outlineLevel="0" collapsed="false">
      <c r="A712" s="18"/>
      <c r="B712" s="6"/>
      <c r="C712" s="6"/>
      <c r="D712" s="6"/>
      <c r="E712" s="16" t="str">
        <f aca="false">IF($B712="","",IFERROR(INDEX(Services!$C$2:$C$120,MATCH($B712,Services!$D$2:$D$120,0)),""))</f>
        <v/>
      </c>
      <c r="F712" s="19"/>
      <c r="G712" s="9" t="str">
        <f aca="false">IF(OR($B712="",NOT(ISNUMBER($E712))),"",$E712-IF($F712="",0,$F712))</f>
        <v/>
      </c>
      <c r="H712" s="15" t="str">
        <f aca="false">IF($B712="","",IFERROR(INDEX(Services!$A$2:$A$120,MATCH($B712,Services!$D$2:$D$120,0)),""))</f>
        <v/>
      </c>
      <c r="I712" s="19"/>
      <c r="J712" s="15" t="str">
        <f aca="false">IF($B712="","",IFERROR(INDEX(Services!$E$2:$E$120,MATCH($B712,Services!$D$2:$D$120,0)),""))</f>
        <v/>
      </c>
    </row>
    <row r="713" customFormat="false" ht="14.25" hidden="false" customHeight="false" outlineLevel="0" collapsed="false">
      <c r="A713" s="18"/>
      <c r="B713" s="6"/>
      <c r="C713" s="6"/>
      <c r="D713" s="6"/>
      <c r="E713" s="16" t="str">
        <f aca="false">IF($B713="","",IFERROR(INDEX(Services!$C$2:$C$120,MATCH($B713,Services!$D$2:$D$120,0)),""))</f>
        <v/>
      </c>
      <c r="F713" s="19"/>
      <c r="G713" s="9" t="str">
        <f aca="false">IF(OR($B713="",NOT(ISNUMBER($E713))),"",$E713-IF($F713="",0,$F713))</f>
        <v/>
      </c>
      <c r="H713" s="15" t="str">
        <f aca="false">IF($B713="","",IFERROR(INDEX(Services!$A$2:$A$120,MATCH($B713,Services!$D$2:$D$120,0)),""))</f>
        <v/>
      </c>
      <c r="I713" s="19"/>
      <c r="J713" s="15" t="str">
        <f aca="false">IF($B713="","",IFERROR(INDEX(Services!$E$2:$E$120,MATCH($B713,Services!$D$2:$D$120,0)),""))</f>
        <v/>
      </c>
    </row>
    <row r="714" customFormat="false" ht="14.25" hidden="false" customHeight="false" outlineLevel="0" collapsed="false">
      <c r="A714" s="18"/>
      <c r="B714" s="6"/>
      <c r="C714" s="6"/>
      <c r="D714" s="6"/>
      <c r="E714" s="16" t="str">
        <f aca="false">IF($B714="","",IFERROR(INDEX(Services!$C$2:$C$120,MATCH($B714,Services!$D$2:$D$120,0)),""))</f>
        <v/>
      </c>
      <c r="F714" s="19"/>
      <c r="G714" s="9" t="str">
        <f aca="false">IF(OR($B714="",NOT(ISNUMBER($E714))),"",$E714-IF($F714="",0,$F714))</f>
        <v/>
      </c>
      <c r="H714" s="15" t="str">
        <f aca="false">IF($B714="","",IFERROR(INDEX(Services!$A$2:$A$120,MATCH($B714,Services!$D$2:$D$120,0)),""))</f>
        <v/>
      </c>
      <c r="I714" s="19"/>
      <c r="J714" s="15" t="str">
        <f aca="false">IF($B714="","",IFERROR(INDEX(Services!$E$2:$E$120,MATCH($B714,Services!$D$2:$D$120,0)),""))</f>
        <v/>
      </c>
    </row>
    <row r="715" customFormat="false" ht="14.25" hidden="false" customHeight="false" outlineLevel="0" collapsed="false">
      <c r="A715" s="18"/>
      <c r="B715" s="6"/>
      <c r="C715" s="6"/>
      <c r="D715" s="6"/>
      <c r="E715" s="16" t="str">
        <f aca="false">IF($B715="","",IFERROR(INDEX(Services!$C$2:$C$120,MATCH($B715,Services!$D$2:$D$120,0)),""))</f>
        <v/>
      </c>
      <c r="F715" s="19"/>
      <c r="G715" s="9" t="str">
        <f aca="false">IF(OR($B715="",NOT(ISNUMBER($E715))),"",$E715-IF($F715="",0,$F715))</f>
        <v/>
      </c>
      <c r="H715" s="15" t="str">
        <f aca="false">IF($B715="","",IFERROR(INDEX(Services!$A$2:$A$120,MATCH($B715,Services!$D$2:$D$120,0)),""))</f>
        <v/>
      </c>
      <c r="I715" s="19"/>
      <c r="J715" s="15" t="str">
        <f aca="false">IF($B715="","",IFERROR(INDEX(Services!$E$2:$E$120,MATCH($B715,Services!$D$2:$D$120,0)),""))</f>
        <v/>
      </c>
    </row>
    <row r="716" customFormat="false" ht="14.25" hidden="false" customHeight="false" outlineLevel="0" collapsed="false">
      <c r="A716" s="18"/>
      <c r="B716" s="6"/>
      <c r="C716" s="6"/>
      <c r="D716" s="6"/>
      <c r="E716" s="16" t="str">
        <f aca="false">IF($B716="","",IFERROR(INDEX(Services!$C$2:$C$120,MATCH($B716,Services!$D$2:$D$120,0)),""))</f>
        <v/>
      </c>
      <c r="F716" s="19"/>
      <c r="G716" s="9" t="str">
        <f aca="false">IF(OR($B716="",NOT(ISNUMBER($E716))),"",$E716-IF($F716="",0,$F716))</f>
        <v/>
      </c>
      <c r="H716" s="15" t="str">
        <f aca="false">IF($B716="","",IFERROR(INDEX(Services!$A$2:$A$120,MATCH($B716,Services!$D$2:$D$120,0)),""))</f>
        <v/>
      </c>
      <c r="I716" s="19"/>
      <c r="J716" s="15" t="str">
        <f aca="false">IF($B716="","",IFERROR(INDEX(Services!$E$2:$E$120,MATCH($B716,Services!$D$2:$D$120,0)),""))</f>
        <v/>
      </c>
    </row>
    <row r="717" customFormat="false" ht="14.25" hidden="false" customHeight="false" outlineLevel="0" collapsed="false">
      <c r="A717" s="18"/>
      <c r="B717" s="6"/>
      <c r="C717" s="6"/>
      <c r="D717" s="6"/>
      <c r="E717" s="16" t="str">
        <f aca="false">IF($B717="","",IFERROR(INDEX(Services!$C$2:$C$120,MATCH($B717,Services!$D$2:$D$120,0)),""))</f>
        <v/>
      </c>
      <c r="F717" s="19"/>
      <c r="G717" s="9" t="str">
        <f aca="false">IF(OR($B717="",NOT(ISNUMBER($E717))),"",$E717-IF($F717="",0,$F717))</f>
        <v/>
      </c>
      <c r="H717" s="15" t="str">
        <f aca="false">IF($B717="","",IFERROR(INDEX(Services!$A$2:$A$120,MATCH($B717,Services!$D$2:$D$120,0)),""))</f>
        <v/>
      </c>
      <c r="I717" s="19"/>
      <c r="J717" s="15" t="str">
        <f aca="false">IF($B717="","",IFERROR(INDEX(Services!$E$2:$E$120,MATCH($B717,Services!$D$2:$D$120,0)),""))</f>
        <v/>
      </c>
    </row>
    <row r="718" customFormat="false" ht="14.25" hidden="false" customHeight="false" outlineLevel="0" collapsed="false">
      <c r="A718" s="18"/>
      <c r="B718" s="6"/>
      <c r="C718" s="6"/>
      <c r="D718" s="6"/>
      <c r="E718" s="16" t="str">
        <f aca="false">IF($B718="","",IFERROR(INDEX(Services!$C$2:$C$120,MATCH($B718,Services!$D$2:$D$120,0)),""))</f>
        <v/>
      </c>
      <c r="F718" s="19"/>
      <c r="G718" s="9" t="str">
        <f aca="false">IF(OR($B718="",NOT(ISNUMBER($E718))),"",$E718-IF($F718="",0,$F718))</f>
        <v/>
      </c>
      <c r="H718" s="15" t="str">
        <f aca="false">IF($B718="","",IFERROR(INDEX(Services!$A$2:$A$120,MATCH($B718,Services!$D$2:$D$120,0)),""))</f>
        <v/>
      </c>
      <c r="I718" s="19"/>
      <c r="J718" s="15" t="str">
        <f aca="false">IF($B718="","",IFERROR(INDEX(Services!$E$2:$E$120,MATCH($B718,Services!$D$2:$D$120,0)),""))</f>
        <v/>
      </c>
    </row>
    <row r="719" customFormat="false" ht="14.25" hidden="false" customHeight="false" outlineLevel="0" collapsed="false">
      <c r="A719" s="18"/>
      <c r="B719" s="6"/>
      <c r="C719" s="6"/>
      <c r="D719" s="6"/>
      <c r="E719" s="16" t="str">
        <f aca="false">IF($B719="","",IFERROR(INDEX(Services!$C$2:$C$120,MATCH($B719,Services!$D$2:$D$120,0)),""))</f>
        <v/>
      </c>
      <c r="F719" s="19"/>
      <c r="G719" s="9" t="str">
        <f aca="false">IF(OR($B719="",NOT(ISNUMBER($E719))),"",$E719-IF($F719="",0,$F719))</f>
        <v/>
      </c>
      <c r="H719" s="15" t="str">
        <f aca="false">IF($B719="","",IFERROR(INDEX(Services!$A$2:$A$120,MATCH($B719,Services!$D$2:$D$120,0)),""))</f>
        <v/>
      </c>
      <c r="I719" s="19"/>
      <c r="J719" s="15" t="str">
        <f aca="false">IF($B719="","",IFERROR(INDEX(Services!$E$2:$E$120,MATCH($B719,Services!$D$2:$D$120,0)),""))</f>
        <v/>
      </c>
    </row>
    <row r="720" customFormat="false" ht="14.25" hidden="false" customHeight="false" outlineLevel="0" collapsed="false">
      <c r="A720" s="18"/>
      <c r="B720" s="6"/>
      <c r="C720" s="6"/>
      <c r="D720" s="6"/>
      <c r="E720" s="16" t="str">
        <f aca="false">IF($B720="","",IFERROR(INDEX(Services!$C$2:$C$120,MATCH($B720,Services!$D$2:$D$120,0)),""))</f>
        <v/>
      </c>
      <c r="F720" s="19"/>
      <c r="G720" s="9" t="str">
        <f aca="false">IF(OR($B720="",NOT(ISNUMBER($E720))),"",$E720-IF($F720="",0,$F720))</f>
        <v/>
      </c>
      <c r="H720" s="15" t="str">
        <f aca="false">IF($B720="","",IFERROR(INDEX(Services!$A$2:$A$120,MATCH($B720,Services!$D$2:$D$120,0)),""))</f>
        <v/>
      </c>
      <c r="I720" s="19"/>
      <c r="J720" s="15" t="str">
        <f aca="false">IF($B720="","",IFERROR(INDEX(Services!$E$2:$E$120,MATCH($B720,Services!$D$2:$D$120,0)),""))</f>
        <v/>
      </c>
    </row>
    <row r="721" customFormat="false" ht="14.25" hidden="false" customHeight="false" outlineLevel="0" collapsed="false">
      <c r="A721" s="18"/>
      <c r="B721" s="6"/>
      <c r="C721" s="6"/>
      <c r="D721" s="6"/>
      <c r="E721" s="16" t="str">
        <f aca="false">IF($B721="","",IFERROR(INDEX(Services!$C$2:$C$120,MATCH($B721,Services!$D$2:$D$120,0)),""))</f>
        <v/>
      </c>
      <c r="F721" s="19"/>
      <c r="G721" s="9" t="str">
        <f aca="false">IF(OR($B721="",NOT(ISNUMBER($E721))),"",$E721-IF($F721="",0,$F721))</f>
        <v/>
      </c>
      <c r="H721" s="15" t="str">
        <f aca="false">IF($B721="","",IFERROR(INDEX(Services!$A$2:$A$120,MATCH($B721,Services!$D$2:$D$120,0)),""))</f>
        <v/>
      </c>
      <c r="I721" s="19"/>
      <c r="J721" s="15" t="str">
        <f aca="false">IF($B721="","",IFERROR(INDEX(Services!$E$2:$E$120,MATCH($B721,Services!$D$2:$D$120,0)),""))</f>
        <v/>
      </c>
    </row>
    <row r="722" customFormat="false" ht="14.25" hidden="false" customHeight="false" outlineLevel="0" collapsed="false">
      <c r="A722" s="18"/>
      <c r="B722" s="6"/>
      <c r="C722" s="6"/>
      <c r="D722" s="6"/>
      <c r="E722" s="16" t="str">
        <f aca="false">IF($B722="","",IFERROR(INDEX(Services!$C$2:$C$120,MATCH($B722,Services!$D$2:$D$120,0)),""))</f>
        <v/>
      </c>
      <c r="F722" s="19"/>
      <c r="G722" s="9" t="str">
        <f aca="false">IF(OR($B722="",NOT(ISNUMBER($E722))),"",$E722-IF($F722="",0,$F722))</f>
        <v/>
      </c>
      <c r="H722" s="15" t="str">
        <f aca="false">IF($B722="","",IFERROR(INDEX(Services!$A$2:$A$120,MATCH($B722,Services!$D$2:$D$120,0)),""))</f>
        <v/>
      </c>
      <c r="I722" s="19"/>
      <c r="J722" s="15" t="str">
        <f aca="false">IF($B722="","",IFERROR(INDEX(Services!$E$2:$E$120,MATCH($B722,Services!$D$2:$D$120,0)),""))</f>
        <v/>
      </c>
    </row>
    <row r="723" customFormat="false" ht="14.25" hidden="false" customHeight="false" outlineLevel="0" collapsed="false">
      <c r="A723" s="18"/>
      <c r="B723" s="6"/>
      <c r="C723" s="6"/>
      <c r="D723" s="6"/>
      <c r="E723" s="16" t="str">
        <f aca="false">IF($B723="","",IFERROR(INDEX(Services!$C$2:$C$120,MATCH($B723,Services!$D$2:$D$120,0)),""))</f>
        <v/>
      </c>
      <c r="F723" s="19"/>
      <c r="G723" s="9" t="str">
        <f aca="false">IF(OR($B723="",NOT(ISNUMBER($E723))),"",$E723-IF($F723="",0,$F723))</f>
        <v/>
      </c>
      <c r="H723" s="15" t="str">
        <f aca="false">IF($B723="","",IFERROR(INDEX(Services!$A$2:$A$120,MATCH($B723,Services!$D$2:$D$120,0)),""))</f>
        <v/>
      </c>
      <c r="I723" s="19"/>
      <c r="J723" s="15" t="str">
        <f aca="false">IF($B723="","",IFERROR(INDEX(Services!$E$2:$E$120,MATCH($B723,Services!$D$2:$D$120,0)),""))</f>
        <v/>
      </c>
    </row>
    <row r="724" customFormat="false" ht="14.25" hidden="false" customHeight="false" outlineLevel="0" collapsed="false">
      <c r="A724" s="18"/>
      <c r="B724" s="6"/>
      <c r="C724" s="6"/>
      <c r="D724" s="6"/>
      <c r="E724" s="16" t="str">
        <f aca="false">IF($B724="","",IFERROR(INDEX(Services!$C$2:$C$120,MATCH($B724,Services!$D$2:$D$120,0)),""))</f>
        <v/>
      </c>
      <c r="F724" s="19"/>
      <c r="G724" s="9" t="str">
        <f aca="false">IF(OR($B724="",NOT(ISNUMBER($E724))),"",$E724-IF($F724="",0,$F724))</f>
        <v/>
      </c>
      <c r="H724" s="15" t="str">
        <f aca="false">IF($B724="","",IFERROR(INDEX(Services!$A$2:$A$120,MATCH($B724,Services!$D$2:$D$120,0)),""))</f>
        <v/>
      </c>
      <c r="I724" s="19"/>
      <c r="J724" s="15" t="str">
        <f aca="false">IF($B724="","",IFERROR(INDEX(Services!$E$2:$E$120,MATCH($B724,Services!$D$2:$D$120,0)),""))</f>
        <v/>
      </c>
    </row>
    <row r="725" customFormat="false" ht="14.25" hidden="false" customHeight="false" outlineLevel="0" collapsed="false">
      <c r="A725" s="18"/>
      <c r="B725" s="6"/>
      <c r="C725" s="6"/>
      <c r="D725" s="6"/>
      <c r="E725" s="16" t="str">
        <f aca="false">IF($B725="","",IFERROR(INDEX(Services!$C$2:$C$120,MATCH($B725,Services!$D$2:$D$120,0)),""))</f>
        <v/>
      </c>
      <c r="F725" s="19"/>
      <c r="G725" s="9" t="str">
        <f aca="false">IF(OR($B725="",NOT(ISNUMBER($E725))),"",$E725-IF($F725="",0,$F725))</f>
        <v/>
      </c>
      <c r="H725" s="15" t="str">
        <f aca="false">IF($B725="","",IFERROR(INDEX(Services!$A$2:$A$120,MATCH($B725,Services!$D$2:$D$120,0)),""))</f>
        <v/>
      </c>
      <c r="I725" s="19"/>
      <c r="J725" s="15" t="str">
        <f aca="false">IF($B725="","",IFERROR(INDEX(Services!$E$2:$E$120,MATCH($B725,Services!$D$2:$D$120,0)),""))</f>
        <v/>
      </c>
    </row>
    <row r="726" customFormat="false" ht="14.25" hidden="false" customHeight="false" outlineLevel="0" collapsed="false">
      <c r="A726" s="18"/>
      <c r="B726" s="6"/>
      <c r="C726" s="6"/>
      <c r="D726" s="6"/>
      <c r="E726" s="16" t="str">
        <f aca="false">IF($B726="","",IFERROR(INDEX(Services!$C$2:$C$120,MATCH($B726,Services!$D$2:$D$120,0)),""))</f>
        <v/>
      </c>
      <c r="F726" s="19"/>
      <c r="G726" s="9" t="str">
        <f aca="false">IF(OR($B726="",NOT(ISNUMBER($E726))),"",$E726-IF($F726="",0,$F726))</f>
        <v/>
      </c>
      <c r="H726" s="15" t="str">
        <f aca="false">IF($B726="","",IFERROR(INDEX(Services!$A$2:$A$120,MATCH($B726,Services!$D$2:$D$120,0)),""))</f>
        <v/>
      </c>
      <c r="I726" s="19"/>
      <c r="J726" s="15" t="str">
        <f aca="false">IF($B726="","",IFERROR(INDEX(Services!$E$2:$E$120,MATCH($B726,Services!$D$2:$D$120,0)),""))</f>
        <v/>
      </c>
    </row>
    <row r="727" customFormat="false" ht="14.25" hidden="false" customHeight="false" outlineLevel="0" collapsed="false">
      <c r="A727" s="18"/>
      <c r="B727" s="6"/>
      <c r="C727" s="6"/>
      <c r="D727" s="6"/>
      <c r="E727" s="16" t="str">
        <f aca="false">IF($B727="","",IFERROR(INDEX(Services!$C$2:$C$120,MATCH($B727,Services!$D$2:$D$120,0)),""))</f>
        <v/>
      </c>
      <c r="F727" s="19"/>
      <c r="G727" s="9" t="str">
        <f aca="false">IF(OR($B727="",NOT(ISNUMBER($E727))),"",$E727-IF($F727="",0,$F727))</f>
        <v/>
      </c>
      <c r="H727" s="15" t="str">
        <f aca="false">IF($B727="","",IFERROR(INDEX(Services!$A$2:$A$120,MATCH($B727,Services!$D$2:$D$120,0)),""))</f>
        <v/>
      </c>
      <c r="I727" s="19"/>
      <c r="J727" s="15" t="str">
        <f aca="false">IF($B727="","",IFERROR(INDEX(Services!$E$2:$E$120,MATCH($B727,Services!$D$2:$D$120,0)),""))</f>
        <v/>
      </c>
    </row>
    <row r="728" customFormat="false" ht="14.25" hidden="false" customHeight="false" outlineLevel="0" collapsed="false">
      <c r="A728" s="18"/>
      <c r="B728" s="6"/>
      <c r="C728" s="6"/>
      <c r="D728" s="6"/>
      <c r="E728" s="16" t="str">
        <f aca="false">IF($B728="","",IFERROR(INDEX(Services!$C$2:$C$120,MATCH($B728,Services!$D$2:$D$120,0)),""))</f>
        <v/>
      </c>
      <c r="F728" s="19"/>
      <c r="G728" s="9" t="str">
        <f aca="false">IF(OR($B728="",NOT(ISNUMBER($E728))),"",$E728-IF($F728="",0,$F728))</f>
        <v/>
      </c>
      <c r="H728" s="15" t="str">
        <f aca="false">IF($B728="","",IFERROR(INDEX(Services!$A$2:$A$120,MATCH($B728,Services!$D$2:$D$120,0)),""))</f>
        <v/>
      </c>
      <c r="I728" s="19"/>
      <c r="J728" s="15" t="str">
        <f aca="false">IF($B728="","",IFERROR(INDEX(Services!$E$2:$E$120,MATCH($B728,Services!$D$2:$D$120,0)),""))</f>
        <v/>
      </c>
    </row>
    <row r="729" customFormat="false" ht="14.25" hidden="false" customHeight="false" outlineLevel="0" collapsed="false">
      <c r="A729" s="18"/>
      <c r="B729" s="6"/>
      <c r="C729" s="6"/>
      <c r="D729" s="6"/>
      <c r="E729" s="16" t="str">
        <f aca="false">IF($B729="","",IFERROR(INDEX(Services!$C$2:$C$120,MATCH($B729,Services!$D$2:$D$120,0)),""))</f>
        <v/>
      </c>
      <c r="F729" s="19"/>
      <c r="G729" s="9" t="str">
        <f aca="false">IF(OR($B729="",NOT(ISNUMBER($E729))),"",$E729-IF($F729="",0,$F729))</f>
        <v/>
      </c>
      <c r="H729" s="15" t="str">
        <f aca="false">IF($B729="","",IFERROR(INDEX(Services!$A$2:$A$120,MATCH($B729,Services!$D$2:$D$120,0)),""))</f>
        <v/>
      </c>
      <c r="I729" s="19"/>
      <c r="J729" s="15" t="str">
        <f aca="false">IF($B729="","",IFERROR(INDEX(Services!$E$2:$E$120,MATCH($B729,Services!$D$2:$D$120,0)),""))</f>
        <v/>
      </c>
    </row>
    <row r="730" customFormat="false" ht="14.25" hidden="false" customHeight="false" outlineLevel="0" collapsed="false">
      <c r="A730" s="18"/>
      <c r="B730" s="6"/>
      <c r="C730" s="6"/>
      <c r="D730" s="6"/>
      <c r="E730" s="16" t="str">
        <f aca="false">IF($B730="","",IFERROR(INDEX(Services!$C$2:$C$120,MATCH($B730,Services!$D$2:$D$120,0)),""))</f>
        <v/>
      </c>
      <c r="F730" s="19"/>
      <c r="G730" s="9" t="str">
        <f aca="false">IF(OR($B730="",NOT(ISNUMBER($E730))),"",$E730-IF($F730="",0,$F730))</f>
        <v/>
      </c>
      <c r="H730" s="15" t="str">
        <f aca="false">IF($B730="","",IFERROR(INDEX(Services!$A$2:$A$120,MATCH($B730,Services!$D$2:$D$120,0)),""))</f>
        <v/>
      </c>
      <c r="I730" s="19"/>
      <c r="J730" s="15" t="str">
        <f aca="false">IF($B730="","",IFERROR(INDEX(Services!$E$2:$E$120,MATCH($B730,Services!$D$2:$D$120,0)),""))</f>
        <v/>
      </c>
    </row>
    <row r="731" customFormat="false" ht="14.25" hidden="false" customHeight="false" outlineLevel="0" collapsed="false">
      <c r="A731" s="18"/>
      <c r="B731" s="6"/>
      <c r="C731" s="6"/>
      <c r="D731" s="6"/>
      <c r="E731" s="16" t="str">
        <f aca="false">IF($B731="","",IFERROR(INDEX(Services!$C$2:$C$120,MATCH($B731,Services!$D$2:$D$120,0)),""))</f>
        <v/>
      </c>
      <c r="F731" s="19"/>
      <c r="G731" s="9" t="str">
        <f aca="false">IF(OR($B731="",NOT(ISNUMBER($E731))),"",$E731-IF($F731="",0,$F731))</f>
        <v/>
      </c>
      <c r="H731" s="15" t="str">
        <f aca="false">IF($B731="","",IFERROR(INDEX(Services!$A$2:$A$120,MATCH($B731,Services!$D$2:$D$120,0)),""))</f>
        <v/>
      </c>
      <c r="I731" s="19"/>
      <c r="J731" s="15" t="str">
        <f aca="false">IF($B731="","",IFERROR(INDEX(Services!$E$2:$E$120,MATCH($B731,Services!$D$2:$D$120,0)),""))</f>
        <v/>
      </c>
    </row>
    <row r="732" customFormat="false" ht="14.25" hidden="false" customHeight="false" outlineLevel="0" collapsed="false">
      <c r="A732" s="18"/>
      <c r="B732" s="6"/>
      <c r="C732" s="6"/>
      <c r="D732" s="6"/>
      <c r="E732" s="16" t="str">
        <f aca="false">IF($B732="","",IFERROR(INDEX(Services!$C$2:$C$120,MATCH($B732,Services!$D$2:$D$120,0)),""))</f>
        <v/>
      </c>
      <c r="F732" s="19"/>
      <c r="G732" s="9" t="str">
        <f aca="false">IF(OR($B732="",NOT(ISNUMBER($E732))),"",$E732-IF($F732="",0,$F732))</f>
        <v/>
      </c>
      <c r="H732" s="15" t="str">
        <f aca="false">IF($B732="","",IFERROR(INDEX(Services!$A$2:$A$120,MATCH($B732,Services!$D$2:$D$120,0)),""))</f>
        <v/>
      </c>
      <c r="I732" s="19"/>
      <c r="J732" s="15" t="str">
        <f aca="false">IF($B732="","",IFERROR(INDEX(Services!$E$2:$E$120,MATCH($B732,Services!$D$2:$D$120,0)),""))</f>
        <v/>
      </c>
    </row>
    <row r="733" customFormat="false" ht="14.25" hidden="false" customHeight="false" outlineLevel="0" collapsed="false">
      <c r="A733" s="18"/>
      <c r="B733" s="6"/>
      <c r="C733" s="6"/>
      <c r="D733" s="6"/>
      <c r="E733" s="16" t="str">
        <f aca="false">IF($B733="","",IFERROR(INDEX(Services!$C$2:$C$120,MATCH($B733,Services!$D$2:$D$120,0)),""))</f>
        <v/>
      </c>
      <c r="F733" s="19"/>
      <c r="G733" s="9" t="str">
        <f aca="false">IF(OR($B733="",NOT(ISNUMBER($E733))),"",$E733-IF($F733="",0,$F733))</f>
        <v/>
      </c>
      <c r="H733" s="15" t="str">
        <f aca="false">IF($B733="","",IFERROR(INDEX(Services!$A$2:$A$120,MATCH($B733,Services!$D$2:$D$120,0)),""))</f>
        <v/>
      </c>
      <c r="I733" s="19"/>
      <c r="J733" s="15" t="str">
        <f aca="false">IF($B733="","",IFERROR(INDEX(Services!$E$2:$E$120,MATCH($B733,Services!$D$2:$D$120,0)),""))</f>
        <v/>
      </c>
    </row>
    <row r="734" customFormat="false" ht="14.25" hidden="false" customHeight="false" outlineLevel="0" collapsed="false">
      <c r="A734" s="18"/>
      <c r="B734" s="6"/>
      <c r="C734" s="6"/>
      <c r="D734" s="6"/>
      <c r="E734" s="16" t="str">
        <f aca="false">IF($B734="","",IFERROR(INDEX(Services!$C$2:$C$120,MATCH($B734,Services!$D$2:$D$120,0)),""))</f>
        <v/>
      </c>
      <c r="F734" s="19"/>
      <c r="G734" s="9" t="str">
        <f aca="false">IF(OR($B734="",NOT(ISNUMBER($E734))),"",$E734-IF($F734="",0,$F734))</f>
        <v/>
      </c>
      <c r="H734" s="15" t="str">
        <f aca="false">IF($B734="","",IFERROR(INDEX(Services!$A$2:$A$120,MATCH($B734,Services!$D$2:$D$120,0)),""))</f>
        <v/>
      </c>
      <c r="I734" s="19"/>
      <c r="J734" s="15" t="str">
        <f aca="false">IF($B734="","",IFERROR(INDEX(Services!$E$2:$E$120,MATCH($B734,Services!$D$2:$D$120,0)),""))</f>
        <v/>
      </c>
    </row>
    <row r="735" customFormat="false" ht="14.25" hidden="false" customHeight="false" outlineLevel="0" collapsed="false">
      <c r="A735" s="18"/>
      <c r="B735" s="6"/>
      <c r="C735" s="6"/>
      <c r="D735" s="6"/>
      <c r="E735" s="16" t="str">
        <f aca="false">IF($B735="","",IFERROR(INDEX(Services!$C$2:$C$120,MATCH($B735,Services!$D$2:$D$120,0)),""))</f>
        <v/>
      </c>
      <c r="F735" s="19"/>
      <c r="G735" s="9" t="str">
        <f aca="false">IF(OR($B735="",NOT(ISNUMBER($E735))),"",$E735-IF($F735="",0,$F735))</f>
        <v/>
      </c>
      <c r="H735" s="15" t="str">
        <f aca="false">IF($B735="","",IFERROR(INDEX(Services!$A$2:$A$120,MATCH($B735,Services!$D$2:$D$120,0)),""))</f>
        <v/>
      </c>
      <c r="I735" s="19"/>
      <c r="J735" s="15" t="str">
        <f aca="false">IF($B735="","",IFERROR(INDEX(Services!$E$2:$E$120,MATCH($B735,Services!$D$2:$D$120,0)),""))</f>
        <v/>
      </c>
    </row>
    <row r="736" customFormat="false" ht="14.25" hidden="false" customHeight="false" outlineLevel="0" collapsed="false">
      <c r="A736" s="18"/>
      <c r="B736" s="6"/>
      <c r="C736" s="6"/>
      <c r="D736" s="6"/>
      <c r="E736" s="16" t="str">
        <f aca="false">IF($B736="","",IFERROR(INDEX(Services!$C$2:$C$120,MATCH($B736,Services!$D$2:$D$120,0)),""))</f>
        <v/>
      </c>
      <c r="F736" s="19"/>
      <c r="G736" s="9" t="str">
        <f aca="false">IF(OR($B736="",NOT(ISNUMBER($E736))),"",$E736-IF($F736="",0,$F736))</f>
        <v/>
      </c>
      <c r="H736" s="15" t="str">
        <f aca="false">IF($B736="","",IFERROR(INDEX(Services!$A$2:$A$120,MATCH($B736,Services!$D$2:$D$120,0)),""))</f>
        <v/>
      </c>
      <c r="I736" s="19"/>
      <c r="J736" s="15" t="str">
        <f aca="false">IF($B736="","",IFERROR(INDEX(Services!$E$2:$E$120,MATCH($B736,Services!$D$2:$D$120,0)),""))</f>
        <v/>
      </c>
    </row>
    <row r="737" customFormat="false" ht="14.25" hidden="false" customHeight="false" outlineLevel="0" collapsed="false">
      <c r="A737" s="18"/>
      <c r="B737" s="6"/>
      <c r="C737" s="6"/>
      <c r="D737" s="6"/>
      <c r="E737" s="16" t="str">
        <f aca="false">IF($B737="","",IFERROR(INDEX(Services!$C$2:$C$120,MATCH($B737,Services!$D$2:$D$120,0)),""))</f>
        <v/>
      </c>
      <c r="F737" s="19"/>
      <c r="G737" s="9" t="str">
        <f aca="false">IF(OR($B737="",NOT(ISNUMBER($E737))),"",$E737-IF($F737="",0,$F737))</f>
        <v/>
      </c>
      <c r="H737" s="15" t="str">
        <f aca="false">IF($B737="","",IFERROR(INDEX(Services!$A$2:$A$120,MATCH($B737,Services!$D$2:$D$120,0)),""))</f>
        <v/>
      </c>
      <c r="I737" s="19"/>
      <c r="J737" s="15" t="str">
        <f aca="false">IF($B737="","",IFERROR(INDEX(Services!$E$2:$E$120,MATCH($B737,Services!$D$2:$D$120,0)),""))</f>
        <v/>
      </c>
    </row>
    <row r="738" customFormat="false" ht="14.25" hidden="false" customHeight="false" outlineLevel="0" collapsed="false">
      <c r="A738" s="18"/>
      <c r="B738" s="6"/>
      <c r="C738" s="6"/>
      <c r="D738" s="6"/>
      <c r="E738" s="16" t="str">
        <f aca="false">IF($B738="","",IFERROR(INDEX(Services!$C$2:$C$120,MATCH($B738,Services!$D$2:$D$120,0)),""))</f>
        <v/>
      </c>
      <c r="F738" s="19"/>
      <c r="G738" s="9" t="str">
        <f aca="false">IF(OR($B738="",NOT(ISNUMBER($E738))),"",$E738-IF($F738="",0,$F738))</f>
        <v/>
      </c>
      <c r="H738" s="15" t="str">
        <f aca="false">IF($B738="","",IFERROR(INDEX(Services!$A$2:$A$120,MATCH($B738,Services!$D$2:$D$120,0)),""))</f>
        <v/>
      </c>
      <c r="I738" s="19"/>
      <c r="J738" s="15" t="str">
        <f aca="false">IF($B738="","",IFERROR(INDEX(Services!$E$2:$E$120,MATCH($B738,Services!$D$2:$D$120,0)),""))</f>
        <v/>
      </c>
    </row>
    <row r="739" customFormat="false" ht="14.25" hidden="false" customHeight="false" outlineLevel="0" collapsed="false">
      <c r="A739" s="18"/>
      <c r="B739" s="6"/>
      <c r="C739" s="6"/>
      <c r="D739" s="6"/>
      <c r="E739" s="16" t="str">
        <f aca="false">IF($B739="","",IFERROR(INDEX(Services!$C$2:$C$120,MATCH($B739,Services!$D$2:$D$120,0)),""))</f>
        <v/>
      </c>
      <c r="F739" s="19"/>
      <c r="G739" s="9" t="str">
        <f aca="false">IF(OR($B739="",NOT(ISNUMBER($E739))),"",$E739-IF($F739="",0,$F739))</f>
        <v/>
      </c>
      <c r="H739" s="15" t="str">
        <f aca="false">IF($B739="","",IFERROR(INDEX(Services!$A$2:$A$120,MATCH($B739,Services!$D$2:$D$120,0)),""))</f>
        <v/>
      </c>
      <c r="I739" s="19"/>
      <c r="J739" s="15" t="str">
        <f aca="false">IF($B739="","",IFERROR(INDEX(Services!$E$2:$E$120,MATCH($B739,Services!$D$2:$D$120,0)),""))</f>
        <v/>
      </c>
    </row>
    <row r="740" customFormat="false" ht="14.25" hidden="false" customHeight="false" outlineLevel="0" collapsed="false">
      <c r="A740" s="18"/>
      <c r="B740" s="6"/>
      <c r="C740" s="6"/>
      <c r="D740" s="6"/>
      <c r="E740" s="16" t="str">
        <f aca="false">IF($B740="","",IFERROR(INDEX(Services!$C$2:$C$120,MATCH($B740,Services!$D$2:$D$120,0)),""))</f>
        <v/>
      </c>
      <c r="F740" s="19"/>
      <c r="G740" s="9" t="str">
        <f aca="false">IF(OR($B740="",NOT(ISNUMBER($E740))),"",$E740-IF($F740="",0,$F740))</f>
        <v/>
      </c>
      <c r="H740" s="15" t="str">
        <f aca="false">IF($B740="","",IFERROR(INDEX(Services!$A$2:$A$120,MATCH($B740,Services!$D$2:$D$120,0)),""))</f>
        <v/>
      </c>
      <c r="I740" s="19"/>
      <c r="J740" s="15" t="str">
        <f aca="false">IF($B740="","",IFERROR(INDEX(Services!$E$2:$E$120,MATCH($B740,Services!$D$2:$D$120,0)),""))</f>
        <v/>
      </c>
    </row>
    <row r="741" customFormat="false" ht="14.25" hidden="false" customHeight="false" outlineLevel="0" collapsed="false">
      <c r="A741" s="18"/>
      <c r="B741" s="6"/>
      <c r="C741" s="6"/>
      <c r="D741" s="6"/>
      <c r="E741" s="16" t="str">
        <f aca="false">IF($B741="","",IFERROR(INDEX(Services!$C$2:$C$120,MATCH($B741,Services!$D$2:$D$120,0)),""))</f>
        <v/>
      </c>
      <c r="F741" s="19"/>
      <c r="G741" s="9" t="str">
        <f aca="false">IF(OR($B741="",NOT(ISNUMBER($E741))),"",$E741-IF($F741="",0,$F741))</f>
        <v/>
      </c>
      <c r="H741" s="15" t="str">
        <f aca="false">IF($B741="","",IFERROR(INDEX(Services!$A$2:$A$120,MATCH($B741,Services!$D$2:$D$120,0)),""))</f>
        <v/>
      </c>
      <c r="I741" s="19"/>
      <c r="J741" s="15" t="str">
        <f aca="false">IF($B741="","",IFERROR(INDEX(Services!$E$2:$E$120,MATCH($B741,Services!$D$2:$D$120,0)),""))</f>
        <v/>
      </c>
    </row>
    <row r="742" customFormat="false" ht="14.25" hidden="false" customHeight="false" outlineLevel="0" collapsed="false">
      <c r="A742" s="18"/>
      <c r="B742" s="6"/>
      <c r="C742" s="6"/>
      <c r="D742" s="6"/>
      <c r="E742" s="16" t="str">
        <f aca="false">IF($B742="","",IFERROR(INDEX(Services!$C$2:$C$120,MATCH($B742,Services!$D$2:$D$120,0)),""))</f>
        <v/>
      </c>
      <c r="F742" s="19"/>
      <c r="G742" s="9" t="str">
        <f aca="false">IF(OR($B742="",NOT(ISNUMBER($E742))),"",$E742-IF($F742="",0,$F742))</f>
        <v/>
      </c>
      <c r="H742" s="15" t="str">
        <f aca="false">IF($B742="","",IFERROR(INDEX(Services!$A$2:$A$120,MATCH($B742,Services!$D$2:$D$120,0)),""))</f>
        <v/>
      </c>
      <c r="I742" s="19"/>
      <c r="J742" s="15" t="str">
        <f aca="false">IF($B742="","",IFERROR(INDEX(Services!$E$2:$E$120,MATCH($B742,Services!$D$2:$D$120,0)),""))</f>
        <v/>
      </c>
    </row>
    <row r="743" customFormat="false" ht="14.25" hidden="false" customHeight="false" outlineLevel="0" collapsed="false">
      <c r="A743" s="18"/>
      <c r="B743" s="6"/>
      <c r="C743" s="6"/>
      <c r="D743" s="6"/>
      <c r="E743" s="16" t="str">
        <f aca="false">IF($B743="","",IFERROR(INDEX(Services!$C$2:$C$120,MATCH($B743,Services!$D$2:$D$120,0)),""))</f>
        <v/>
      </c>
      <c r="F743" s="19"/>
      <c r="G743" s="9" t="str">
        <f aca="false">IF(OR($B743="",NOT(ISNUMBER($E743))),"",$E743-IF($F743="",0,$F743))</f>
        <v/>
      </c>
      <c r="H743" s="15" t="str">
        <f aca="false">IF($B743="","",IFERROR(INDEX(Services!$A$2:$A$120,MATCH($B743,Services!$D$2:$D$120,0)),""))</f>
        <v/>
      </c>
      <c r="I743" s="19"/>
      <c r="J743" s="15" t="str">
        <f aca="false">IF($B743="","",IFERROR(INDEX(Services!$E$2:$E$120,MATCH($B743,Services!$D$2:$D$120,0)),""))</f>
        <v/>
      </c>
    </row>
    <row r="744" customFormat="false" ht="14.25" hidden="false" customHeight="false" outlineLevel="0" collapsed="false">
      <c r="A744" s="18"/>
      <c r="B744" s="6"/>
      <c r="C744" s="6"/>
      <c r="D744" s="6"/>
      <c r="E744" s="16" t="str">
        <f aca="false">IF($B744="","",IFERROR(INDEX(Services!$C$2:$C$120,MATCH($B744,Services!$D$2:$D$120,0)),""))</f>
        <v/>
      </c>
      <c r="F744" s="19"/>
      <c r="G744" s="9" t="str">
        <f aca="false">IF(OR($B744="",NOT(ISNUMBER($E744))),"",$E744-IF($F744="",0,$F744))</f>
        <v/>
      </c>
      <c r="H744" s="15" t="str">
        <f aca="false">IF($B744="","",IFERROR(INDEX(Services!$A$2:$A$120,MATCH($B744,Services!$D$2:$D$120,0)),""))</f>
        <v/>
      </c>
      <c r="I744" s="19"/>
      <c r="J744" s="15" t="str">
        <f aca="false">IF($B744="","",IFERROR(INDEX(Services!$E$2:$E$120,MATCH($B744,Services!$D$2:$D$120,0)),""))</f>
        <v/>
      </c>
    </row>
    <row r="745" customFormat="false" ht="14.25" hidden="false" customHeight="false" outlineLevel="0" collapsed="false">
      <c r="A745" s="18"/>
      <c r="B745" s="6"/>
      <c r="C745" s="6"/>
      <c r="D745" s="6"/>
      <c r="E745" s="16" t="str">
        <f aca="false">IF($B745="","",IFERROR(INDEX(Services!$C$2:$C$120,MATCH($B745,Services!$D$2:$D$120,0)),""))</f>
        <v/>
      </c>
      <c r="F745" s="19"/>
      <c r="G745" s="9" t="str">
        <f aca="false">IF(OR($B745="",NOT(ISNUMBER($E745))),"",$E745-IF($F745="",0,$F745))</f>
        <v/>
      </c>
      <c r="H745" s="15" t="str">
        <f aca="false">IF($B745="","",IFERROR(INDEX(Services!$A$2:$A$120,MATCH($B745,Services!$D$2:$D$120,0)),""))</f>
        <v/>
      </c>
      <c r="I745" s="19"/>
      <c r="J745" s="15" t="str">
        <f aca="false">IF($B745="","",IFERROR(INDEX(Services!$E$2:$E$120,MATCH($B745,Services!$D$2:$D$120,0)),""))</f>
        <v/>
      </c>
    </row>
    <row r="746" customFormat="false" ht="14.25" hidden="false" customHeight="false" outlineLevel="0" collapsed="false">
      <c r="A746" s="18"/>
      <c r="B746" s="6"/>
      <c r="C746" s="6"/>
      <c r="D746" s="6"/>
      <c r="E746" s="16" t="str">
        <f aca="false">IF($B746="","",IFERROR(INDEX(Services!$C$2:$C$120,MATCH($B746,Services!$D$2:$D$120,0)),""))</f>
        <v/>
      </c>
      <c r="F746" s="19"/>
      <c r="G746" s="9" t="str">
        <f aca="false">IF(OR($B746="",NOT(ISNUMBER($E746))),"",$E746-IF($F746="",0,$F746))</f>
        <v/>
      </c>
      <c r="H746" s="15" t="str">
        <f aca="false">IF($B746="","",IFERROR(INDEX(Services!$A$2:$A$120,MATCH($B746,Services!$D$2:$D$120,0)),""))</f>
        <v/>
      </c>
      <c r="I746" s="19"/>
      <c r="J746" s="15" t="str">
        <f aca="false">IF($B746="","",IFERROR(INDEX(Services!$E$2:$E$120,MATCH($B746,Services!$D$2:$D$120,0)),""))</f>
        <v/>
      </c>
    </row>
    <row r="747" customFormat="false" ht="14.25" hidden="false" customHeight="false" outlineLevel="0" collapsed="false">
      <c r="A747" s="18"/>
      <c r="B747" s="6"/>
      <c r="C747" s="6"/>
      <c r="D747" s="6"/>
      <c r="E747" s="16" t="str">
        <f aca="false">IF($B747="","",IFERROR(INDEX(Services!$C$2:$C$120,MATCH($B747,Services!$D$2:$D$120,0)),""))</f>
        <v/>
      </c>
      <c r="F747" s="19"/>
      <c r="G747" s="9" t="str">
        <f aca="false">IF(OR($B747="",NOT(ISNUMBER($E747))),"",$E747-IF($F747="",0,$F747))</f>
        <v/>
      </c>
      <c r="H747" s="15" t="str">
        <f aca="false">IF($B747="","",IFERROR(INDEX(Services!$A$2:$A$120,MATCH($B747,Services!$D$2:$D$120,0)),""))</f>
        <v/>
      </c>
      <c r="I747" s="19"/>
      <c r="J747" s="15" t="str">
        <f aca="false">IF($B747="","",IFERROR(INDEX(Services!$E$2:$E$120,MATCH($B747,Services!$D$2:$D$120,0)),""))</f>
        <v/>
      </c>
    </row>
    <row r="748" customFormat="false" ht="14.25" hidden="false" customHeight="false" outlineLevel="0" collapsed="false">
      <c r="A748" s="18"/>
      <c r="B748" s="6"/>
      <c r="C748" s="6"/>
      <c r="D748" s="6"/>
      <c r="E748" s="16" t="str">
        <f aca="false">IF($B748="","",IFERROR(INDEX(Services!$C$2:$C$120,MATCH($B748,Services!$D$2:$D$120,0)),""))</f>
        <v/>
      </c>
      <c r="F748" s="19"/>
      <c r="G748" s="9" t="str">
        <f aca="false">IF(OR($B748="",NOT(ISNUMBER($E748))),"",$E748-IF($F748="",0,$F748))</f>
        <v/>
      </c>
      <c r="H748" s="15" t="str">
        <f aca="false">IF($B748="","",IFERROR(INDEX(Services!$A$2:$A$120,MATCH($B748,Services!$D$2:$D$120,0)),""))</f>
        <v/>
      </c>
      <c r="I748" s="19"/>
      <c r="J748" s="15" t="str">
        <f aca="false">IF($B748="","",IFERROR(INDEX(Services!$E$2:$E$120,MATCH($B748,Services!$D$2:$D$120,0)),""))</f>
        <v/>
      </c>
    </row>
    <row r="749" customFormat="false" ht="14.25" hidden="false" customHeight="false" outlineLevel="0" collapsed="false">
      <c r="A749" s="18"/>
      <c r="B749" s="6"/>
      <c r="C749" s="6"/>
      <c r="D749" s="6"/>
      <c r="E749" s="16" t="str">
        <f aca="false">IF($B749="","",IFERROR(INDEX(Services!$C$2:$C$120,MATCH($B749,Services!$D$2:$D$120,0)),""))</f>
        <v/>
      </c>
      <c r="F749" s="19"/>
      <c r="G749" s="9" t="str">
        <f aca="false">IF(OR($B749="",NOT(ISNUMBER($E749))),"",$E749-IF($F749="",0,$F749))</f>
        <v/>
      </c>
      <c r="H749" s="15" t="str">
        <f aca="false">IF($B749="","",IFERROR(INDEX(Services!$A$2:$A$120,MATCH($B749,Services!$D$2:$D$120,0)),""))</f>
        <v/>
      </c>
      <c r="I749" s="19"/>
      <c r="J749" s="15" t="str">
        <f aca="false">IF($B749="","",IFERROR(INDEX(Services!$E$2:$E$120,MATCH($B749,Services!$D$2:$D$120,0)),""))</f>
        <v/>
      </c>
    </row>
    <row r="750" customFormat="false" ht="14.25" hidden="false" customHeight="false" outlineLevel="0" collapsed="false">
      <c r="A750" s="18"/>
      <c r="B750" s="6"/>
      <c r="C750" s="6"/>
      <c r="D750" s="6"/>
      <c r="E750" s="16" t="str">
        <f aca="false">IF($B750="","",IFERROR(INDEX(Services!$C$2:$C$120,MATCH($B750,Services!$D$2:$D$120,0)),""))</f>
        <v/>
      </c>
      <c r="F750" s="19"/>
      <c r="G750" s="9" t="str">
        <f aca="false">IF(OR($B750="",NOT(ISNUMBER($E750))),"",$E750-IF($F750="",0,$F750))</f>
        <v/>
      </c>
      <c r="H750" s="15" t="str">
        <f aca="false">IF($B750="","",IFERROR(INDEX(Services!$A$2:$A$120,MATCH($B750,Services!$D$2:$D$120,0)),""))</f>
        <v/>
      </c>
      <c r="I750" s="19"/>
      <c r="J750" s="15" t="str">
        <f aca="false">IF($B750="","",IFERROR(INDEX(Services!$E$2:$E$120,MATCH($B750,Services!$D$2:$D$120,0)),""))</f>
        <v/>
      </c>
    </row>
    <row r="751" customFormat="false" ht="14.25" hidden="false" customHeight="false" outlineLevel="0" collapsed="false">
      <c r="A751" s="18"/>
      <c r="B751" s="6"/>
      <c r="C751" s="6"/>
      <c r="D751" s="6"/>
      <c r="E751" s="16" t="str">
        <f aca="false">IF($B751="","",IFERROR(INDEX(Services!$C$2:$C$120,MATCH($B751,Services!$D$2:$D$120,0)),""))</f>
        <v/>
      </c>
      <c r="F751" s="19"/>
      <c r="G751" s="9" t="str">
        <f aca="false">IF(OR($B751="",NOT(ISNUMBER($E751))),"",$E751-IF($F751="",0,$F751))</f>
        <v/>
      </c>
      <c r="H751" s="15" t="str">
        <f aca="false">IF($B751="","",IFERROR(INDEX(Services!$A$2:$A$120,MATCH($B751,Services!$D$2:$D$120,0)),""))</f>
        <v/>
      </c>
      <c r="I751" s="19"/>
      <c r="J751" s="15" t="str">
        <f aca="false">IF($B751="","",IFERROR(INDEX(Services!$E$2:$E$120,MATCH($B751,Services!$D$2:$D$120,0)),""))</f>
        <v/>
      </c>
    </row>
    <row r="752" customFormat="false" ht="14.25" hidden="false" customHeight="false" outlineLevel="0" collapsed="false">
      <c r="A752" s="18"/>
      <c r="B752" s="6"/>
      <c r="C752" s="6"/>
      <c r="D752" s="6"/>
      <c r="E752" s="16" t="str">
        <f aca="false">IF($B752="","",IFERROR(INDEX(Services!$C$2:$C$120,MATCH($B752,Services!$D$2:$D$120,0)),""))</f>
        <v/>
      </c>
      <c r="F752" s="19"/>
      <c r="G752" s="9" t="str">
        <f aca="false">IF(OR($B752="",NOT(ISNUMBER($E752))),"",$E752-IF($F752="",0,$F752))</f>
        <v/>
      </c>
      <c r="H752" s="15" t="str">
        <f aca="false">IF($B752="","",IFERROR(INDEX(Services!$A$2:$A$120,MATCH($B752,Services!$D$2:$D$120,0)),""))</f>
        <v/>
      </c>
      <c r="I752" s="19"/>
      <c r="J752" s="15" t="str">
        <f aca="false">IF($B752="","",IFERROR(INDEX(Services!$E$2:$E$120,MATCH($B752,Services!$D$2:$D$120,0)),""))</f>
        <v/>
      </c>
    </row>
    <row r="753" customFormat="false" ht="14.25" hidden="false" customHeight="false" outlineLevel="0" collapsed="false">
      <c r="A753" s="18"/>
      <c r="B753" s="6"/>
      <c r="C753" s="6"/>
      <c r="D753" s="6"/>
      <c r="E753" s="16" t="str">
        <f aca="false">IF($B753="","",IFERROR(INDEX(Services!$C$2:$C$120,MATCH($B753,Services!$D$2:$D$120,0)),""))</f>
        <v/>
      </c>
      <c r="F753" s="19"/>
      <c r="G753" s="9" t="str">
        <f aca="false">IF(OR($B753="",NOT(ISNUMBER($E753))),"",$E753-IF($F753="",0,$F753))</f>
        <v/>
      </c>
      <c r="H753" s="15" t="str">
        <f aca="false">IF($B753="","",IFERROR(INDEX(Services!$A$2:$A$120,MATCH($B753,Services!$D$2:$D$120,0)),""))</f>
        <v/>
      </c>
      <c r="I753" s="19"/>
      <c r="J753" s="15" t="str">
        <f aca="false">IF($B753="","",IFERROR(INDEX(Services!$E$2:$E$120,MATCH($B753,Services!$D$2:$D$120,0)),""))</f>
        <v/>
      </c>
    </row>
    <row r="754" customFormat="false" ht="14.25" hidden="false" customHeight="false" outlineLevel="0" collapsed="false">
      <c r="A754" s="18"/>
      <c r="B754" s="6"/>
      <c r="C754" s="6"/>
      <c r="D754" s="6"/>
      <c r="E754" s="16" t="str">
        <f aca="false">IF($B754="","",IFERROR(INDEX(Services!$C$2:$C$120,MATCH($B754,Services!$D$2:$D$120,0)),""))</f>
        <v/>
      </c>
      <c r="F754" s="19"/>
      <c r="G754" s="9" t="str">
        <f aca="false">IF(OR($B754="",NOT(ISNUMBER($E754))),"",$E754-IF($F754="",0,$F754))</f>
        <v/>
      </c>
      <c r="H754" s="15" t="str">
        <f aca="false">IF($B754="","",IFERROR(INDEX(Services!$A$2:$A$120,MATCH($B754,Services!$D$2:$D$120,0)),""))</f>
        <v/>
      </c>
      <c r="I754" s="19"/>
      <c r="J754" s="15" t="str">
        <f aca="false">IF($B754="","",IFERROR(INDEX(Services!$E$2:$E$120,MATCH($B754,Services!$D$2:$D$120,0)),""))</f>
        <v/>
      </c>
    </row>
    <row r="755" customFormat="false" ht="14.25" hidden="false" customHeight="false" outlineLevel="0" collapsed="false">
      <c r="A755" s="18"/>
      <c r="B755" s="6"/>
      <c r="C755" s="6"/>
      <c r="D755" s="6"/>
      <c r="E755" s="16" t="str">
        <f aca="false">IF($B755="","",IFERROR(INDEX(Services!$C$2:$C$120,MATCH($B755,Services!$D$2:$D$120,0)),""))</f>
        <v/>
      </c>
      <c r="F755" s="19"/>
      <c r="G755" s="9" t="str">
        <f aca="false">IF(OR($B755="",NOT(ISNUMBER($E755))),"",$E755-IF($F755="",0,$F755))</f>
        <v/>
      </c>
      <c r="H755" s="15" t="str">
        <f aca="false">IF($B755="","",IFERROR(INDEX(Services!$A$2:$A$120,MATCH($B755,Services!$D$2:$D$120,0)),""))</f>
        <v/>
      </c>
      <c r="I755" s="19"/>
      <c r="J755" s="15" t="str">
        <f aca="false">IF($B755="","",IFERROR(INDEX(Services!$E$2:$E$120,MATCH($B755,Services!$D$2:$D$120,0)),""))</f>
        <v/>
      </c>
    </row>
    <row r="756" customFormat="false" ht="14.25" hidden="false" customHeight="false" outlineLevel="0" collapsed="false">
      <c r="A756" s="18"/>
      <c r="B756" s="6"/>
      <c r="C756" s="6"/>
      <c r="D756" s="6"/>
      <c r="E756" s="16" t="str">
        <f aca="false">IF($B756="","",IFERROR(INDEX(Services!$C$2:$C$120,MATCH($B756,Services!$D$2:$D$120,0)),""))</f>
        <v/>
      </c>
      <c r="F756" s="19"/>
      <c r="G756" s="9" t="str">
        <f aca="false">IF(OR($B756="",NOT(ISNUMBER($E756))),"",$E756-IF($F756="",0,$F756))</f>
        <v/>
      </c>
      <c r="H756" s="15" t="str">
        <f aca="false">IF($B756="","",IFERROR(INDEX(Services!$A$2:$A$120,MATCH($B756,Services!$D$2:$D$120,0)),""))</f>
        <v/>
      </c>
      <c r="I756" s="19"/>
      <c r="J756" s="15" t="str">
        <f aca="false">IF($B756="","",IFERROR(INDEX(Services!$E$2:$E$120,MATCH($B756,Services!$D$2:$D$120,0)),""))</f>
        <v/>
      </c>
    </row>
    <row r="757" customFormat="false" ht="14.25" hidden="false" customHeight="false" outlineLevel="0" collapsed="false">
      <c r="A757" s="18"/>
      <c r="B757" s="6"/>
      <c r="C757" s="6"/>
      <c r="D757" s="6"/>
      <c r="E757" s="16" t="str">
        <f aca="false">IF($B757="","",IFERROR(INDEX(Services!$C$2:$C$120,MATCH($B757,Services!$D$2:$D$120,0)),""))</f>
        <v/>
      </c>
      <c r="F757" s="19"/>
      <c r="G757" s="9" t="str">
        <f aca="false">IF(OR($B757="",NOT(ISNUMBER($E757))),"",$E757-IF($F757="",0,$F757))</f>
        <v/>
      </c>
      <c r="H757" s="15" t="str">
        <f aca="false">IF($B757="","",IFERROR(INDEX(Services!$A$2:$A$120,MATCH($B757,Services!$D$2:$D$120,0)),""))</f>
        <v/>
      </c>
      <c r="I757" s="19"/>
      <c r="J757" s="15" t="str">
        <f aca="false">IF($B757="","",IFERROR(INDEX(Services!$E$2:$E$120,MATCH($B757,Services!$D$2:$D$120,0)),""))</f>
        <v/>
      </c>
    </row>
    <row r="758" customFormat="false" ht="14.25" hidden="false" customHeight="false" outlineLevel="0" collapsed="false">
      <c r="A758" s="18"/>
      <c r="B758" s="6"/>
      <c r="C758" s="6"/>
      <c r="D758" s="6"/>
      <c r="E758" s="16" t="str">
        <f aca="false">IF($B758="","",IFERROR(INDEX(Services!$C$2:$C$120,MATCH($B758,Services!$D$2:$D$120,0)),""))</f>
        <v/>
      </c>
      <c r="F758" s="19"/>
      <c r="G758" s="9" t="str">
        <f aca="false">IF(OR($B758="",NOT(ISNUMBER($E758))),"",$E758-IF($F758="",0,$F758))</f>
        <v/>
      </c>
      <c r="H758" s="15" t="str">
        <f aca="false">IF($B758="","",IFERROR(INDEX(Services!$A$2:$A$120,MATCH($B758,Services!$D$2:$D$120,0)),""))</f>
        <v/>
      </c>
      <c r="I758" s="19"/>
      <c r="J758" s="15" t="str">
        <f aca="false">IF($B758="","",IFERROR(INDEX(Services!$E$2:$E$120,MATCH($B758,Services!$D$2:$D$120,0)),""))</f>
        <v/>
      </c>
    </row>
    <row r="759" customFormat="false" ht="14.25" hidden="false" customHeight="false" outlineLevel="0" collapsed="false">
      <c r="A759" s="18"/>
      <c r="B759" s="6"/>
      <c r="C759" s="6"/>
      <c r="D759" s="6"/>
      <c r="E759" s="16" t="str">
        <f aca="false">IF($B759="","",IFERROR(INDEX(Services!$C$2:$C$120,MATCH($B759,Services!$D$2:$D$120,0)),""))</f>
        <v/>
      </c>
      <c r="F759" s="19"/>
      <c r="G759" s="9" t="str">
        <f aca="false">IF(OR($B759="",NOT(ISNUMBER($E759))),"",$E759-IF($F759="",0,$F759))</f>
        <v/>
      </c>
      <c r="H759" s="15" t="str">
        <f aca="false">IF($B759="","",IFERROR(INDEX(Services!$A$2:$A$120,MATCH($B759,Services!$D$2:$D$120,0)),""))</f>
        <v/>
      </c>
      <c r="I759" s="19"/>
      <c r="J759" s="15" t="str">
        <f aca="false">IF($B759="","",IFERROR(INDEX(Services!$E$2:$E$120,MATCH($B759,Services!$D$2:$D$120,0)),""))</f>
        <v/>
      </c>
    </row>
    <row r="760" customFormat="false" ht="14.25" hidden="false" customHeight="false" outlineLevel="0" collapsed="false">
      <c r="A760" s="18"/>
      <c r="B760" s="6"/>
      <c r="C760" s="6"/>
      <c r="D760" s="6"/>
      <c r="E760" s="16" t="str">
        <f aca="false">IF($B760="","",IFERROR(INDEX(Services!$C$2:$C$120,MATCH($B760,Services!$D$2:$D$120,0)),""))</f>
        <v/>
      </c>
      <c r="F760" s="19"/>
      <c r="G760" s="9" t="str">
        <f aca="false">IF(OR($B760="",NOT(ISNUMBER($E760))),"",$E760-IF($F760="",0,$F760))</f>
        <v/>
      </c>
      <c r="H760" s="15" t="str">
        <f aca="false">IF($B760="","",IFERROR(INDEX(Services!$A$2:$A$120,MATCH($B760,Services!$D$2:$D$120,0)),""))</f>
        <v/>
      </c>
      <c r="I760" s="19"/>
      <c r="J760" s="15" t="str">
        <f aca="false">IF($B760="","",IFERROR(INDEX(Services!$E$2:$E$120,MATCH($B760,Services!$D$2:$D$120,0)),""))</f>
        <v/>
      </c>
    </row>
    <row r="761" customFormat="false" ht="14.25" hidden="false" customHeight="false" outlineLevel="0" collapsed="false">
      <c r="A761" s="18"/>
      <c r="B761" s="6"/>
      <c r="C761" s="6"/>
      <c r="D761" s="6"/>
      <c r="E761" s="16" t="str">
        <f aca="false">IF($B761="","",IFERROR(INDEX(Services!$C$2:$C$120,MATCH($B761,Services!$D$2:$D$120,0)),""))</f>
        <v/>
      </c>
      <c r="F761" s="19"/>
      <c r="G761" s="9" t="str">
        <f aca="false">IF(OR($B761="",NOT(ISNUMBER($E761))),"",$E761-IF($F761="",0,$F761))</f>
        <v/>
      </c>
      <c r="H761" s="15" t="str">
        <f aca="false">IF($B761="","",IFERROR(INDEX(Services!$A$2:$A$120,MATCH($B761,Services!$D$2:$D$120,0)),""))</f>
        <v/>
      </c>
      <c r="I761" s="19"/>
      <c r="J761" s="15" t="str">
        <f aca="false">IF($B761="","",IFERROR(INDEX(Services!$E$2:$E$120,MATCH($B761,Services!$D$2:$D$120,0)),""))</f>
        <v/>
      </c>
    </row>
    <row r="762" customFormat="false" ht="14.25" hidden="false" customHeight="false" outlineLevel="0" collapsed="false">
      <c r="A762" s="18"/>
      <c r="B762" s="6"/>
      <c r="C762" s="6"/>
      <c r="D762" s="6"/>
      <c r="E762" s="16" t="str">
        <f aca="false">IF($B762="","",IFERROR(INDEX(Services!$C$2:$C$120,MATCH($B762,Services!$D$2:$D$120,0)),""))</f>
        <v/>
      </c>
      <c r="F762" s="19"/>
      <c r="G762" s="9" t="str">
        <f aca="false">IF(OR($B762="",NOT(ISNUMBER($E762))),"",$E762-IF($F762="",0,$F762))</f>
        <v/>
      </c>
      <c r="H762" s="15" t="str">
        <f aca="false">IF($B762="","",IFERROR(INDEX(Services!$A$2:$A$120,MATCH($B762,Services!$D$2:$D$120,0)),""))</f>
        <v/>
      </c>
      <c r="I762" s="19"/>
      <c r="J762" s="15" t="str">
        <f aca="false">IF($B762="","",IFERROR(INDEX(Services!$E$2:$E$120,MATCH($B762,Services!$D$2:$D$120,0)),""))</f>
        <v/>
      </c>
    </row>
    <row r="763" customFormat="false" ht="14.25" hidden="false" customHeight="false" outlineLevel="0" collapsed="false">
      <c r="A763" s="18"/>
      <c r="B763" s="6"/>
      <c r="C763" s="6"/>
      <c r="D763" s="6"/>
      <c r="E763" s="16" t="str">
        <f aca="false">IF($B763="","",IFERROR(INDEX(Services!$C$2:$C$120,MATCH($B763,Services!$D$2:$D$120,0)),""))</f>
        <v/>
      </c>
      <c r="F763" s="19"/>
      <c r="G763" s="9" t="str">
        <f aca="false">IF(OR($B763="",NOT(ISNUMBER($E763))),"",$E763-IF($F763="",0,$F763))</f>
        <v/>
      </c>
      <c r="H763" s="15" t="str">
        <f aca="false">IF($B763="","",IFERROR(INDEX(Services!$A$2:$A$120,MATCH($B763,Services!$D$2:$D$120,0)),""))</f>
        <v/>
      </c>
      <c r="I763" s="19"/>
      <c r="J763" s="15" t="str">
        <f aca="false">IF($B763="","",IFERROR(INDEX(Services!$E$2:$E$120,MATCH($B763,Services!$D$2:$D$120,0)),""))</f>
        <v/>
      </c>
    </row>
    <row r="764" customFormat="false" ht="14.25" hidden="false" customHeight="false" outlineLevel="0" collapsed="false">
      <c r="A764" s="18"/>
      <c r="B764" s="6"/>
      <c r="C764" s="6"/>
      <c r="D764" s="6"/>
      <c r="E764" s="16" t="str">
        <f aca="false">IF($B764="","",IFERROR(INDEX(Services!$C$2:$C$120,MATCH($B764,Services!$D$2:$D$120,0)),""))</f>
        <v/>
      </c>
      <c r="F764" s="19"/>
      <c r="G764" s="9" t="str">
        <f aca="false">IF(OR($B764="",NOT(ISNUMBER($E764))),"",$E764-IF($F764="",0,$F764))</f>
        <v/>
      </c>
      <c r="H764" s="15" t="str">
        <f aca="false">IF($B764="","",IFERROR(INDEX(Services!$A$2:$A$120,MATCH($B764,Services!$D$2:$D$120,0)),""))</f>
        <v/>
      </c>
      <c r="I764" s="19"/>
      <c r="J764" s="15" t="str">
        <f aca="false">IF($B764="","",IFERROR(INDEX(Services!$E$2:$E$120,MATCH($B764,Services!$D$2:$D$120,0)),""))</f>
        <v/>
      </c>
    </row>
    <row r="765" customFormat="false" ht="14.25" hidden="false" customHeight="false" outlineLevel="0" collapsed="false">
      <c r="A765" s="18"/>
      <c r="B765" s="6"/>
      <c r="C765" s="6"/>
      <c r="D765" s="6"/>
      <c r="E765" s="16" t="str">
        <f aca="false">IF($B765="","",IFERROR(INDEX(Services!$C$2:$C$120,MATCH($B765,Services!$D$2:$D$120,0)),""))</f>
        <v/>
      </c>
      <c r="F765" s="19"/>
      <c r="G765" s="9" t="str">
        <f aca="false">IF(OR($B765="",NOT(ISNUMBER($E765))),"",$E765-IF($F765="",0,$F765))</f>
        <v/>
      </c>
      <c r="H765" s="15" t="str">
        <f aca="false">IF($B765="","",IFERROR(INDEX(Services!$A$2:$A$120,MATCH($B765,Services!$D$2:$D$120,0)),""))</f>
        <v/>
      </c>
      <c r="I765" s="19"/>
      <c r="J765" s="15" t="str">
        <f aca="false">IF($B765="","",IFERROR(INDEX(Services!$E$2:$E$120,MATCH($B765,Services!$D$2:$D$120,0)),""))</f>
        <v/>
      </c>
    </row>
    <row r="766" customFormat="false" ht="14.25" hidden="false" customHeight="false" outlineLevel="0" collapsed="false">
      <c r="A766" s="18"/>
      <c r="B766" s="6"/>
      <c r="C766" s="6"/>
      <c r="D766" s="6"/>
      <c r="E766" s="16" t="str">
        <f aca="false">IF($B766="","",IFERROR(INDEX(Services!$C$2:$C$120,MATCH($B766,Services!$D$2:$D$120,0)),""))</f>
        <v/>
      </c>
      <c r="F766" s="19"/>
      <c r="G766" s="9" t="str">
        <f aca="false">IF(OR($B766="",NOT(ISNUMBER($E766))),"",$E766-IF($F766="",0,$F766))</f>
        <v/>
      </c>
      <c r="H766" s="15" t="str">
        <f aca="false">IF($B766="","",IFERROR(INDEX(Services!$A$2:$A$120,MATCH($B766,Services!$D$2:$D$120,0)),""))</f>
        <v/>
      </c>
      <c r="I766" s="19"/>
      <c r="J766" s="15" t="str">
        <f aca="false">IF($B766="","",IFERROR(INDEX(Services!$E$2:$E$120,MATCH($B766,Services!$D$2:$D$120,0)),""))</f>
        <v/>
      </c>
    </row>
    <row r="767" customFormat="false" ht="14.25" hidden="false" customHeight="false" outlineLevel="0" collapsed="false">
      <c r="A767" s="18"/>
      <c r="B767" s="6"/>
      <c r="C767" s="6"/>
      <c r="D767" s="6"/>
      <c r="E767" s="16" t="str">
        <f aca="false">IF($B767="","",IFERROR(INDEX(Services!$C$2:$C$120,MATCH($B767,Services!$D$2:$D$120,0)),""))</f>
        <v/>
      </c>
      <c r="F767" s="19"/>
      <c r="G767" s="9" t="str">
        <f aca="false">IF(OR($B767="",NOT(ISNUMBER($E767))),"",$E767-IF($F767="",0,$F767))</f>
        <v/>
      </c>
      <c r="H767" s="15" t="str">
        <f aca="false">IF($B767="","",IFERROR(INDEX(Services!$A$2:$A$120,MATCH($B767,Services!$D$2:$D$120,0)),""))</f>
        <v/>
      </c>
      <c r="I767" s="19"/>
      <c r="J767" s="15" t="str">
        <f aca="false">IF($B767="","",IFERROR(INDEX(Services!$E$2:$E$120,MATCH($B767,Services!$D$2:$D$120,0)),""))</f>
        <v/>
      </c>
    </row>
    <row r="768" customFormat="false" ht="14.25" hidden="false" customHeight="false" outlineLevel="0" collapsed="false">
      <c r="A768" s="18"/>
      <c r="B768" s="6"/>
      <c r="C768" s="6"/>
      <c r="D768" s="6"/>
      <c r="E768" s="16" t="str">
        <f aca="false">IF($B768="","",IFERROR(INDEX(Services!$C$2:$C$120,MATCH($B768,Services!$D$2:$D$120,0)),""))</f>
        <v/>
      </c>
      <c r="F768" s="19"/>
      <c r="G768" s="9" t="str">
        <f aca="false">IF(OR($B768="",NOT(ISNUMBER($E768))),"",$E768-IF($F768="",0,$F768))</f>
        <v/>
      </c>
      <c r="H768" s="15" t="str">
        <f aca="false">IF($B768="","",IFERROR(INDEX(Services!$A$2:$A$120,MATCH($B768,Services!$D$2:$D$120,0)),""))</f>
        <v/>
      </c>
      <c r="I768" s="19"/>
      <c r="J768" s="15" t="str">
        <f aca="false">IF($B768="","",IFERROR(INDEX(Services!$E$2:$E$120,MATCH($B768,Services!$D$2:$D$120,0)),""))</f>
        <v/>
      </c>
    </row>
    <row r="769" customFormat="false" ht="14.25" hidden="false" customHeight="false" outlineLevel="0" collapsed="false">
      <c r="A769" s="18"/>
      <c r="B769" s="6"/>
      <c r="C769" s="6"/>
      <c r="D769" s="6"/>
      <c r="E769" s="16" t="str">
        <f aca="false">IF($B769="","",IFERROR(INDEX(Services!$C$2:$C$120,MATCH($B769,Services!$D$2:$D$120,0)),""))</f>
        <v/>
      </c>
      <c r="F769" s="19"/>
      <c r="G769" s="9" t="str">
        <f aca="false">IF(OR($B769="",NOT(ISNUMBER($E769))),"",$E769-IF($F769="",0,$F769))</f>
        <v/>
      </c>
      <c r="H769" s="15" t="str">
        <f aca="false">IF($B769="","",IFERROR(INDEX(Services!$A$2:$A$120,MATCH($B769,Services!$D$2:$D$120,0)),""))</f>
        <v/>
      </c>
      <c r="I769" s="19"/>
      <c r="J769" s="15" t="str">
        <f aca="false">IF($B769="","",IFERROR(INDEX(Services!$E$2:$E$120,MATCH($B769,Services!$D$2:$D$120,0)),""))</f>
        <v/>
      </c>
    </row>
    <row r="770" customFormat="false" ht="14.25" hidden="false" customHeight="false" outlineLevel="0" collapsed="false">
      <c r="A770" s="18"/>
      <c r="B770" s="6"/>
      <c r="C770" s="6"/>
      <c r="D770" s="6"/>
      <c r="E770" s="16" t="str">
        <f aca="false">IF($B770="","",IFERROR(INDEX(Services!$C$2:$C$120,MATCH($B770,Services!$D$2:$D$120,0)),""))</f>
        <v/>
      </c>
      <c r="F770" s="19"/>
      <c r="G770" s="9" t="str">
        <f aca="false">IF(OR($B770="",NOT(ISNUMBER($E770))),"",$E770-IF($F770="",0,$F770))</f>
        <v/>
      </c>
      <c r="H770" s="15" t="str">
        <f aca="false">IF($B770="","",IFERROR(INDEX(Services!$A$2:$A$120,MATCH($B770,Services!$D$2:$D$120,0)),""))</f>
        <v/>
      </c>
      <c r="I770" s="19"/>
      <c r="J770" s="15" t="str">
        <f aca="false">IF($B770="","",IFERROR(INDEX(Services!$E$2:$E$120,MATCH($B770,Services!$D$2:$D$120,0)),""))</f>
        <v/>
      </c>
    </row>
    <row r="771" customFormat="false" ht="14.25" hidden="false" customHeight="false" outlineLevel="0" collapsed="false">
      <c r="A771" s="18"/>
      <c r="B771" s="6"/>
      <c r="C771" s="6"/>
      <c r="D771" s="6"/>
      <c r="E771" s="16" t="str">
        <f aca="false">IF($B771="","",IFERROR(INDEX(Services!$C$2:$C$120,MATCH($B771,Services!$D$2:$D$120,0)),""))</f>
        <v/>
      </c>
      <c r="F771" s="19"/>
      <c r="G771" s="9" t="str">
        <f aca="false">IF(OR($B771="",NOT(ISNUMBER($E771))),"",$E771-IF($F771="",0,$F771))</f>
        <v/>
      </c>
      <c r="H771" s="15" t="str">
        <f aca="false">IF($B771="","",IFERROR(INDEX(Services!$A$2:$A$120,MATCH($B771,Services!$D$2:$D$120,0)),""))</f>
        <v/>
      </c>
      <c r="I771" s="19"/>
      <c r="J771" s="15" t="str">
        <f aca="false">IF($B771="","",IFERROR(INDEX(Services!$E$2:$E$120,MATCH($B771,Services!$D$2:$D$120,0)),""))</f>
        <v/>
      </c>
    </row>
    <row r="772" customFormat="false" ht="14.25" hidden="false" customHeight="false" outlineLevel="0" collapsed="false">
      <c r="A772" s="18"/>
      <c r="B772" s="6"/>
      <c r="C772" s="6"/>
      <c r="D772" s="6"/>
      <c r="E772" s="16" t="str">
        <f aca="false">IF($B772="","",IFERROR(INDEX(Services!$C$2:$C$120,MATCH($B772,Services!$D$2:$D$120,0)),""))</f>
        <v/>
      </c>
      <c r="F772" s="19"/>
      <c r="G772" s="9" t="str">
        <f aca="false">IF(OR($B772="",NOT(ISNUMBER($E772))),"",$E772-IF($F772="",0,$F772))</f>
        <v/>
      </c>
      <c r="H772" s="15" t="str">
        <f aca="false">IF($B772="","",IFERROR(INDEX(Services!$A$2:$A$120,MATCH($B772,Services!$D$2:$D$120,0)),""))</f>
        <v/>
      </c>
      <c r="I772" s="19"/>
      <c r="J772" s="15" t="str">
        <f aca="false">IF($B772="","",IFERROR(INDEX(Services!$E$2:$E$120,MATCH($B772,Services!$D$2:$D$120,0)),""))</f>
        <v/>
      </c>
    </row>
    <row r="773" customFormat="false" ht="14.25" hidden="false" customHeight="false" outlineLevel="0" collapsed="false">
      <c r="A773" s="18"/>
      <c r="B773" s="6"/>
      <c r="C773" s="6"/>
      <c r="D773" s="6"/>
      <c r="E773" s="16" t="str">
        <f aca="false">IF($B773="","",IFERROR(INDEX(Services!$C$2:$C$120,MATCH($B773,Services!$D$2:$D$120,0)),""))</f>
        <v/>
      </c>
      <c r="F773" s="19"/>
      <c r="G773" s="9" t="str">
        <f aca="false">IF(OR($B773="",NOT(ISNUMBER($E773))),"",$E773-IF($F773="",0,$F773))</f>
        <v/>
      </c>
      <c r="H773" s="15" t="str">
        <f aca="false">IF($B773="","",IFERROR(INDEX(Services!$A$2:$A$120,MATCH($B773,Services!$D$2:$D$120,0)),""))</f>
        <v/>
      </c>
      <c r="I773" s="19"/>
      <c r="J773" s="15" t="str">
        <f aca="false">IF($B773="","",IFERROR(INDEX(Services!$E$2:$E$120,MATCH($B773,Services!$D$2:$D$120,0)),""))</f>
        <v/>
      </c>
    </row>
    <row r="774" customFormat="false" ht="14.25" hidden="false" customHeight="false" outlineLevel="0" collapsed="false">
      <c r="A774" s="18"/>
      <c r="B774" s="6"/>
      <c r="C774" s="6"/>
      <c r="D774" s="6"/>
      <c r="E774" s="16" t="str">
        <f aca="false">IF($B774="","",IFERROR(INDEX(Services!$C$2:$C$120,MATCH($B774,Services!$D$2:$D$120,0)),""))</f>
        <v/>
      </c>
      <c r="F774" s="19"/>
      <c r="G774" s="9" t="str">
        <f aca="false">IF(OR($B774="",NOT(ISNUMBER($E774))),"",$E774-IF($F774="",0,$F774))</f>
        <v/>
      </c>
      <c r="H774" s="15" t="str">
        <f aca="false">IF($B774="","",IFERROR(INDEX(Services!$A$2:$A$120,MATCH($B774,Services!$D$2:$D$120,0)),""))</f>
        <v/>
      </c>
      <c r="I774" s="19"/>
      <c r="J774" s="15" t="str">
        <f aca="false">IF($B774="","",IFERROR(INDEX(Services!$E$2:$E$120,MATCH($B774,Services!$D$2:$D$120,0)),""))</f>
        <v/>
      </c>
    </row>
    <row r="775" customFormat="false" ht="14.25" hidden="false" customHeight="false" outlineLevel="0" collapsed="false">
      <c r="A775" s="18"/>
      <c r="B775" s="6"/>
      <c r="C775" s="6"/>
      <c r="D775" s="6"/>
      <c r="E775" s="16" t="str">
        <f aca="false">IF($B775="","",IFERROR(INDEX(Services!$C$2:$C$120,MATCH($B775,Services!$D$2:$D$120,0)),""))</f>
        <v/>
      </c>
      <c r="F775" s="19"/>
      <c r="G775" s="9" t="str">
        <f aca="false">IF(OR($B775="",NOT(ISNUMBER($E775))),"",$E775-IF($F775="",0,$F775))</f>
        <v/>
      </c>
      <c r="H775" s="15" t="str">
        <f aca="false">IF($B775="","",IFERROR(INDEX(Services!$A$2:$A$120,MATCH($B775,Services!$D$2:$D$120,0)),""))</f>
        <v/>
      </c>
      <c r="I775" s="19"/>
      <c r="J775" s="15" t="str">
        <f aca="false">IF($B775="","",IFERROR(INDEX(Services!$E$2:$E$120,MATCH($B775,Services!$D$2:$D$120,0)),""))</f>
        <v/>
      </c>
    </row>
    <row r="776" customFormat="false" ht="14.25" hidden="false" customHeight="false" outlineLevel="0" collapsed="false">
      <c r="A776" s="18"/>
      <c r="B776" s="6"/>
      <c r="C776" s="6"/>
      <c r="D776" s="6"/>
      <c r="E776" s="16" t="str">
        <f aca="false">IF($B776="","",IFERROR(INDEX(Services!$C$2:$C$120,MATCH($B776,Services!$D$2:$D$120,0)),""))</f>
        <v/>
      </c>
      <c r="F776" s="19"/>
      <c r="G776" s="9" t="str">
        <f aca="false">IF(OR($B776="",NOT(ISNUMBER($E776))),"",$E776-IF($F776="",0,$F776))</f>
        <v/>
      </c>
      <c r="H776" s="15" t="str">
        <f aca="false">IF($B776="","",IFERROR(INDEX(Services!$A$2:$A$120,MATCH($B776,Services!$D$2:$D$120,0)),""))</f>
        <v/>
      </c>
      <c r="I776" s="19"/>
      <c r="J776" s="15" t="str">
        <f aca="false">IF($B776="","",IFERROR(INDEX(Services!$E$2:$E$120,MATCH($B776,Services!$D$2:$D$120,0)),""))</f>
        <v/>
      </c>
    </row>
    <row r="777" customFormat="false" ht="14.25" hidden="false" customHeight="false" outlineLevel="0" collapsed="false">
      <c r="A777" s="18"/>
      <c r="B777" s="6"/>
      <c r="C777" s="6"/>
      <c r="D777" s="6"/>
      <c r="E777" s="16" t="str">
        <f aca="false">IF($B777="","",IFERROR(INDEX(Services!$C$2:$C$120,MATCH($B777,Services!$D$2:$D$120,0)),""))</f>
        <v/>
      </c>
      <c r="F777" s="19"/>
      <c r="G777" s="9" t="str">
        <f aca="false">IF(OR($B777="",NOT(ISNUMBER($E777))),"",$E777-IF($F777="",0,$F777))</f>
        <v/>
      </c>
      <c r="H777" s="15" t="str">
        <f aca="false">IF($B777="","",IFERROR(INDEX(Services!$A$2:$A$120,MATCH($B777,Services!$D$2:$D$120,0)),""))</f>
        <v/>
      </c>
      <c r="I777" s="19"/>
      <c r="J777" s="15" t="str">
        <f aca="false">IF($B777="","",IFERROR(INDEX(Services!$E$2:$E$120,MATCH($B777,Services!$D$2:$D$120,0)),""))</f>
        <v/>
      </c>
    </row>
    <row r="778" customFormat="false" ht="14.25" hidden="false" customHeight="false" outlineLevel="0" collapsed="false">
      <c r="A778" s="18"/>
      <c r="B778" s="6"/>
      <c r="C778" s="6"/>
      <c r="D778" s="6"/>
      <c r="E778" s="16" t="str">
        <f aca="false">IF($B778="","",IFERROR(INDEX(Services!$C$2:$C$120,MATCH($B778,Services!$D$2:$D$120,0)),""))</f>
        <v/>
      </c>
      <c r="F778" s="19"/>
      <c r="G778" s="9" t="str">
        <f aca="false">IF(OR($B778="",NOT(ISNUMBER($E778))),"",$E778-IF($F778="",0,$F778))</f>
        <v/>
      </c>
      <c r="H778" s="15" t="str">
        <f aca="false">IF($B778="","",IFERROR(INDEX(Services!$A$2:$A$120,MATCH($B778,Services!$D$2:$D$120,0)),""))</f>
        <v/>
      </c>
      <c r="I778" s="19"/>
      <c r="J778" s="15" t="str">
        <f aca="false">IF($B778="","",IFERROR(INDEX(Services!$E$2:$E$120,MATCH($B778,Services!$D$2:$D$120,0)),""))</f>
        <v/>
      </c>
    </row>
    <row r="779" customFormat="false" ht="14.25" hidden="false" customHeight="false" outlineLevel="0" collapsed="false">
      <c r="A779" s="18"/>
      <c r="B779" s="6"/>
      <c r="C779" s="6"/>
      <c r="D779" s="6"/>
      <c r="E779" s="16" t="str">
        <f aca="false">IF($B779="","",IFERROR(INDEX(Services!$C$2:$C$120,MATCH($B779,Services!$D$2:$D$120,0)),""))</f>
        <v/>
      </c>
      <c r="F779" s="19"/>
      <c r="G779" s="9" t="str">
        <f aca="false">IF(OR($B779="",NOT(ISNUMBER($E779))),"",$E779-IF($F779="",0,$F779))</f>
        <v/>
      </c>
      <c r="H779" s="15" t="str">
        <f aca="false">IF($B779="","",IFERROR(INDEX(Services!$A$2:$A$120,MATCH($B779,Services!$D$2:$D$120,0)),""))</f>
        <v/>
      </c>
      <c r="I779" s="19"/>
      <c r="J779" s="15" t="str">
        <f aca="false">IF($B779="","",IFERROR(INDEX(Services!$E$2:$E$120,MATCH($B779,Services!$D$2:$D$120,0)),""))</f>
        <v/>
      </c>
    </row>
    <row r="780" customFormat="false" ht="14.25" hidden="false" customHeight="false" outlineLevel="0" collapsed="false">
      <c r="A780" s="18"/>
      <c r="B780" s="6"/>
      <c r="C780" s="6"/>
      <c r="D780" s="6"/>
      <c r="E780" s="16" t="str">
        <f aca="false">IF($B780="","",IFERROR(INDEX(Services!$C$2:$C$120,MATCH($B780,Services!$D$2:$D$120,0)),""))</f>
        <v/>
      </c>
      <c r="F780" s="19"/>
      <c r="G780" s="9" t="str">
        <f aca="false">IF(OR($B780="",NOT(ISNUMBER($E780))),"",$E780-IF($F780="",0,$F780))</f>
        <v/>
      </c>
      <c r="H780" s="15" t="str">
        <f aca="false">IF($B780="","",IFERROR(INDEX(Services!$A$2:$A$120,MATCH($B780,Services!$D$2:$D$120,0)),""))</f>
        <v/>
      </c>
      <c r="I780" s="19"/>
      <c r="J780" s="15" t="str">
        <f aca="false">IF($B780="","",IFERROR(INDEX(Services!$E$2:$E$120,MATCH($B780,Services!$D$2:$D$120,0)),""))</f>
        <v/>
      </c>
    </row>
    <row r="781" customFormat="false" ht="14.25" hidden="false" customHeight="false" outlineLevel="0" collapsed="false">
      <c r="A781" s="18"/>
      <c r="B781" s="6"/>
      <c r="C781" s="6"/>
      <c r="D781" s="6"/>
      <c r="E781" s="16" t="str">
        <f aca="false">IF($B781="","",IFERROR(INDEX(Services!$C$2:$C$120,MATCH($B781,Services!$D$2:$D$120,0)),""))</f>
        <v/>
      </c>
      <c r="F781" s="19"/>
      <c r="G781" s="9" t="str">
        <f aca="false">IF(OR($B781="",NOT(ISNUMBER($E781))),"",$E781-IF($F781="",0,$F781))</f>
        <v/>
      </c>
      <c r="H781" s="15" t="str">
        <f aca="false">IF($B781="","",IFERROR(INDEX(Services!$A$2:$A$120,MATCH($B781,Services!$D$2:$D$120,0)),""))</f>
        <v/>
      </c>
      <c r="I781" s="19"/>
      <c r="J781" s="15" t="str">
        <f aca="false">IF($B781="","",IFERROR(INDEX(Services!$E$2:$E$120,MATCH($B781,Services!$D$2:$D$120,0)),""))</f>
        <v/>
      </c>
    </row>
    <row r="782" customFormat="false" ht="14.25" hidden="false" customHeight="false" outlineLevel="0" collapsed="false">
      <c r="A782" s="18"/>
      <c r="B782" s="6"/>
      <c r="C782" s="6"/>
      <c r="D782" s="6"/>
      <c r="E782" s="16" t="str">
        <f aca="false">IF($B782="","",IFERROR(INDEX(Services!$C$2:$C$120,MATCH($B782,Services!$D$2:$D$120,0)),""))</f>
        <v/>
      </c>
      <c r="F782" s="19"/>
      <c r="G782" s="9" t="str">
        <f aca="false">IF(OR($B782="",NOT(ISNUMBER($E782))),"",$E782-IF($F782="",0,$F782))</f>
        <v/>
      </c>
      <c r="H782" s="15" t="str">
        <f aca="false">IF($B782="","",IFERROR(INDEX(Services!$A$2:$A$120,MATCH($B782,Services!$D$2:$D$120,0)),""))</f>
        <v/>
      </c>
      <c r="I782" s="19"/>
      <c r="J782" s="15" t="str">
        <f aca="false">IF($B782="","",IFERROR(INDEX(Services!$E$2:$E$120,MATCH($B782,Services!$D$2:$D$120,0)),""))</f>
        <v/>
      </c>
    </row>
    <row r="783" customFormat="false" ht="14.25" hidden="false" customHeight="false" outlineLevel="0" collapsed="false">
      <c r="A783" s="18"/>
      <c r="B783" s="6"/>
      <c r="C783" s="6"/>
      <c r="D783" s="6"/>
      <c r="E783" s="16" t="str">
        <f aca="false">IF($B783="","",IFERROR(INDEX(Services!$C$2:$C$120,MATCH($B783,Services!$D$2:$D$120,0)),""))</f>
        <v/>
      </c>
      <c r="F783" s="19"/>
      <c r="G783" s="9" t="str">
        <f aca="false">IF(OR($B783="",NOT(ISNUMBER($E783))),"",$E783-IF($F783="",0,$F783))</f>
        <v/>
      </c>
      <c r="H783" s="15" t="str">
        <f aca="false">IF($B783="","",IFERROR(INDEX(Services!$A$2:$A$120,MATCH($B783,Services!$D$2:$D$120,0)),""))</f>
        <v/>
      </c>
      <c r="I783" s="19"/>
      <c r="J783" s="15" t="str">
        <f aca="false">IF($B783="","",IFERROR(INDEX(Services!$E$2:$E$120,MATCH($B783,Services!$D$2:$D$120,0)),""))</f>
        <v/>
      </c>
    </row>
    <row r="784" customFormat="false" ht="14.25" hidden="false" customHeight="false" outlineLevel="0" collapsed="false">
      <c r="A784" s="18"/>
      <c r="B784" s="6"/>
      <c r="C784" s="6"/>
      <c r="D784" s="6"/>
      <c r="E784" s="16" t="str">
        <f aca="false">IF($B784="","",IFERROR(INDEX(Services!$C$2:$C$120,MATCH($B784,Services!$D$2:$D$120,0)),""))</f>
        <v/>
      </c>
      <c r="F784" s="19"/>
      <c r="G784" s="9" t="str">
        <f aca="false">IF(OR($B784="",NOT(ISNUMBER($E784))),"",$E784-IF($F784="",0,$F784))</f>
        <v/>
      </c>
      <c r="H784" s="15" t="str">
        <f aca="false">IF($B784="","",IFERROR(INDEX(Services!$A$2:$A$120,MATCH($B784,Services!$D$2:$D$120,0)),""))</f>
        <v/>
      </c>
      <c r="I784" s="19"/>
      <c r="J784" s="15" t="str">
        <f aca="false">IF($B784="","",IFERROR(INDEX(Services!$E$2:$E$120,MATCH($B784,Services!$D$2:$D$120,0)),""))</f>
        <v/>
      </c>
    </row>
    <row r="785" customFormat="false" ht="14.25" hidden="false" customHeight="false" outlineLevel="0" collapsed="false">
      <c r="A785" s="18"/>
      <c r="B785" s="6"/>
      <c r="C785" s="6"/>
      <c r="D785" s="6"/>
      <c r="E785" s="16" t="str">
        <f aca="false">IF($B785="","",IFERROR(INDEX(Services!$C$2:$C$120,MATCH($B785,Services!$D$2:$D$120,0)),""))</f>
        <v/>
      </c>
      <c r="F785" s="19"/>
      <c r="G785" s="9" t="str">
        <f aca="false">IF(OR($B785="",NOT(ISNUMBER($E785))),"",$E785-IF($F785="",0,$F785))</f>
        <v/>
      </c>
      <c r="H785" s="15" t="str">
        <f aca="false">IF($B785="","",IFERROR(INDEX(Services!$A$2:$A$120,MATCH($B785,Services!$D$2:$D$120,0)),""))</f>
        <v/>
      </c>
      <c r="I785" s="19"/>
      <c r="J785" s="15" t="str">
        <f aca="false">IF($B785="","",IFERROR(INDEX(Services!$E$2:$E$120,MATCH($B785,Services!$D$2:$D$120,0)),""))</f>
        <v/>
      </c>
    </row>
    <row r="786" customFormat="false" ht="14.25" hidden="false" customHeight="false" outlineLevel="0" collapsed="false">
      <c r="A786" s="18"/>
      <c r="B786" s="6"/>
      <c r="C786" s="6"/>
      <c r="D786" s="6"/>
      <c r="E786" s="16" t="str">
        <f aca="false">IF($B786="","",IFERROR(INDEX(Services!$C$2:$C$120,MATCH($B786,Services!$D$2:$D$120,0)),""))</f>
        <v/>
      </c>
      <c r="F786" s="19"/>
      <c r="G786" s="9" t="str">
        <f aca="false">IF(OR($B786="",NOT(ISNUMBER($E786))),"",$E786-IF($F786="",0,$F786))</f>
        <v/>
      </c>
      <c r="H786" s="15" t="str">
        <f aca="false">IF($B786="","",IFERROR(INDEX(Services!$A$2:$A$120,MATCH($B786,Services!$D$2:$D$120,0)),""))</f>
        <v/>
      </c>
      <c r="I786" s="19"/>
      <c r="J786" s="15" t="str">
        <f aca="false">IF($B786="","",IFERROR(INDEX(Services!$E$2:$E$120,MATCH($B786,Services!$D$2:$D$120,0)),""))</f>
        <v/>
      </c>
    </row>
    <row r="787" customFormat="false" ht="14.25" hidden="false" customHeight="false" outlineLevel="0" collapsed="false">
      <c r="A787" s="18"/>
      <c r="B787" s="6"/>
      <c r="C787" s="6"/>
      <c r="D787" s="6"/>
      <c r="E787" s="16" t="str">
        <f aca="false">IF($B787="","",IFERROR(INDEX(Services!$C$2:$C$120,MATCH($B787,Services!$D$2:$D$120,0)),""))</f>
        <v/>
      </c>
      <c r="F787" s="19"/>
      <c r="G787" s="9" t="str">
        <f aca="false">IF(OR($B787="",NOT(ISNUMBER($E787))),"",$E787-IF($F787="",0,$F787))</f>
        <v/>
      </c>
      <c r="H787" s="15" t="str">
        <f aca="false">IF($B787="","",IFERROR(INDEX(Services!$A$2:$A$120,MATCH($B787,Services!$D$2:$D$120,0)),""))</f>
        <v/>
      </c>
      <c r="I787" s="19"/>
      <c r="J787" s="15" t="str">
        <f aca="false">IF($B787="","",IFERROR(INDEX(Services!$E$2:$E$120,MATCH($B787,Services!$D$2:$D$120,0)),""))</f>
        <v/>
      </c>
    </row>
    <row r="788" customFormat="false" ht="14.25" hidden="false" customHeight="false" outlineLevel="0" collapsed="false">
      <c r="A788" s="18"/>
      <c r="B788" s="6"/>
      <c r="C788" s="6"/>
      <c r="D788" s="6"/>
      <c r="E788" s="16" t="str">
        <f aca="false">IF($B788="","",IFERROR(INDEX(Services!$C$2:$C$120,MATCH($B788,Services!$D$2:$D$120,0)),""))</f>
        <v/>
      </c>
      <c r="F788" s="19"/>
      <c r="G788" s="9" t="str">
        <f aca="false">IF(OR($B788="",NOT(ISNUMBER($E788))),"",$E788-IF($F788="",0,$F788))</f>
        <v/>
      </c>
      <c r="H788" s="15" t="str">
        <f aca="false">IF($B788="","",IFERROR(INDEX(Services!$A$2:$A$120,MATCH($B788,Services!$D$2:$D$120,0)),""))</f>
        <v/>
      </c>
      <c r="I788" s="19"/>
      <c r="J788" s="15" t="str">
        <f aca="false">IF($B788="","",IFERROR(INDEX(Services!$E$2:$E$120,MATCH($B788,Services!$D$2:$D$120,0)),""))</f>
        <v/>
      </c>
    </row>
    <row r="789" customFormat="false" ht="14.25" hidden="false" customHeight="false" outlineLevel="0" collapsed="false">
      <c r="A789" s="18"/>
      <c r="B789" s="6"/>
      <c r="C789" s="6"/>
      <c r="D789" s="6"/>
      <c r="E789" s="16" t="str">
        <f aca="false">IF($B789="","",IFERROR(INDEX(Services!$C$2:$C$120,MATCH($B789,Services!$D$2:$D$120,0)),""))</f>
        <v/>
      </c>
      <c r="F789" s="19"/>
      <c r="G789" s="9" t="str">
        <f aca="false">IF(OR($B789="",NOT(ISNUMBER($E789))),"",$E789-IF($F789="",0,$F789))</f>
        <v/>
      </c>
      <c r="H789" s="15" t="str">
        <f aca="false">IF($B789="","",IFERROR(INDEX(Services!$A$2:$A$120,MATCH($B789,Services!$D$2:$D$120,0)),""))</f>
        <v/>
      </c>
      <c r="I789" s="19"/>
      <c r="J789" s="15" t="str">
        <f aca="false">IF($B789="","",IFERROR(INDEX(Services!$E$2:$E$120,MATCH($B789,Services!$D$2:$D$120,0)),""))</f>
        <v/>
      </c>
    </row>
    <row r="790" customFormat="false" ht="14.25" hidden="false" customHeight="false" outlineLevel="0" collapsed="false">
      <c r="A790" s="18"/>
      <c r="B790" s="6"/>
      <c r="C790" s="6"/>
      <c r="D790" s="6"/>
      <c r="E790" s="16" t="str">
        <f aca="false">IF($B790="","",IFERROR(INDEX(Services!$C$2:$C$120,MATCH($B790,Services!$D$2:$D$120,0)),""))</f>
        <v/>
      </c>
      <c r="F790" s="19"/>
      <c r="G790" s="9" t="str">
        <f aca="false">IF(OR($B790="",NOT(ISNUMBER($E790))),"",$E790-IF($F790="",0,$F790))</f>
        <v/>
      </c>
      <c r="H790" s="15" t="str">
        <f aca="false">IF($B790="","",IFERROR(INDEX(Services!$A$2:$A$120,MATCH($B790,Services!$D$2:$D$120,0)),""))</f>
        <v/>
      </c>
      <c r="I790" s="19"/>
      <c r="J790" s="15" t="str">
        <f aca="false">IF($B790="","",IFERROR(INDEX(Services!$E$2:$E$120,MATCH($B790,Services!$D$2:$D$120,0)),""))</f>
        <v/>
      </c>
    </row>
    <row r="791" customFormat="false" ht="14.25" hidden="false" customHeight="false" outlineLevel="0" collapsed="false">
      <c r="A791" s="18"/>
      <c r="B791" s="6"/>
      <c r="C791" s="6"/>
      <c r="D791" s="6"/>
      <c r="E791" s="16" t="str">
        <f aca="false">IF($B791="","",IFERROR(INDEX(Services!$C$2:$C$120,MATCH($B791,Services!$D$2:$D$120,0)),""))</f>
        <v/>
      </c>
      <c r="F791" s="19"/>
      <c r="G791" s="9" t="str">
        <f aca="false">IF(OR($B791="",NOT(ISNUMBER($E791))),"",$E791-IF($F791="",0,$F791))</f>
        <v/>
      </c>
      <c r="H791" s="15" t="str">
        <f aca="false">IF($B791="","",IFERROR(INDEX(Services!$A$2:$A$120,MATCH($B791,Services!$D$2:$D$120,0)),""))</f>
        <v/>
      </c>
      <c r="I791" s="19"/>
      <c r="J791" s="15" t="str">
        <f aca="false">IF($B791="","",IFERROR(INDEX(Services!$E$2:$E$120,MATCH($B791,Services!$D$2:$D$120,0)),""))</f>
        <v/>
      </c>
    </row>
    <row r="792" customFormat="false" ht="14.25" hidden="false" customHeight="false" outlineLevel="0" collapsed="false">
      <c r="A792" s="18"/>
      <c r="B792" s="6"/>
      <c r="C792" s="6"/>
      <c r="D792" s="6"/>
      <c r="E792" s="16" t="str">
        <f aca="false">IF($B792="","",IFERROR(INDEX(Services!$C$2:$C$120,MATCH($B792,Services!$D$2:$D$120,0)),""))</f>
        <v/>
      </c>
      <c r="F792" s="19"/>
      <c r="G792" s="9" t="str">
        <f aca="false">IF(OR($B792="",NOT(ISNUMBER($E792))),"",$E792-IF($F792="",0,$F792))</f>
        <v/>
      </c>
      <c r="H792" s="15" t="str">
        <f aca="false">IF($B792="","",IFERROR(INDEX(Services!$A$2:$A$120,MATCH($B792,Services!$D$2:$D$120,0)),""))</f>
        <v/>
      </c>
      <c r="I792" s="19"/>
      <c r="J792" s="15" t="str">
        <f aca="false">IF($B792="","",IFERROR(INDEX(Services!$E$2:$E$120,MATCH($B792,Services!$D$2:$D$120,0)),""))</f>
        <v/>
      </c>
    </row>
    <row r="793" customFormat="false" ht="14.25" hidden="false" customHeight="false" outlineLevel="0" collapsed="false">
      <c r="A793" s="18"/>
      <c r="B793" s="6"/>
      <c r="C793" s="6"/>
      <c r="D793" s="6"/>
      <c r="E793" s="16" t="str">
        <f aca="false">IF($B793="","",IFERROR(INDEX(Services!$C$2:$C$120,MATCH($B793,Services!$D$2:$D$120,0)),""))</f>
        <v/>
      </c>
      <c r="F793" s="19"/>
      <c r="G793" s="9" t="str">
        <f aca="false">IF(OR($B793="",NOT(ISNUMBER($E793))),"",$E793-IF($F793="",0,$F793))</f>
        <v/>
      </c>
      <c r="H793" s="15" t="str">
        <f aca="false">IF($B793="","",IFERROR(INDEX(Services!$A$2:$A$120,MATCH($B793,Services!$D$2:$D$120,0)),""))</f>
        <v/>
      </c>
      <c r="I793" s="19"/>
      <c r="J793" s="15" t="str">
        <f aca="false">IF($B793="","",IFERROR(INDEX(Services!$E$2:$E$120,MATCH($B793,Services!$D$2:$D$120,0)),""))</f>
        <v/>
      </c>
    </row>
    <row r="794" customFormat="false" ht="14.25" hidden="false" customHeight="false" outlineLevel="0" collapsed="false">
      <c r="A794" s="18"/>
      <c r="B794" s="6"/>
      <c r="C794" s="6"/>
      <c r="D794" s="6"/>
      <c r="E794" s="16" t="str">
        <f aca="false">IF($B794="","",IFERROR(INDEX(Services!$C$2:$C$120,MATCH($B794,Services!$D$2:$D$120,0)),""))</f>
        <v/>
      </c>
      <c r="F794" s="19"/>
      <c r="G794" s="9" t="str">
        <f aca="false">IF(OR($B794="",NOT(ISNUMBER($E794))),"",$E794-IF($F794="",0,$F794))</f>
        <v/>
      </c>
      <c r="H794" s="15" t="str">
        <f aca="false">IF($B794="","",IFERROR(INDEX(Services!$A$2:$A$120,MATCH($B794,Services!$D$2:$D$120,0)),""))</f>
        <v/>
      </c>
      <c r="I794" s="19"/>
      <c r="J794" s="15" t="str">
        <f aca="false">IF($B794="","",IFERROR(INDEX(Services!$E$2:$E$120,MATCH($B794,Services!$D$2:$D$120,0)),""))</f>
        <v/>
      </c>
    </row>
    <row r="795" customFormat="false" ht="14.25" hidden="false" customHeight="false" outlineLevel="0" collapsed="false">
      <c r="A795" s="18"/>
      <c r="B795" s="6"/>
      <c r="C795" s="6"/>
      <c r="D795" s="6"/>
      <c r="E795" s="16" t="str">
        <f aca="false">IF($B795="","",IFERROR(INDEX(Services!$C$2:$C$120,MATCH($B795,Services!$D$2:$D$120,0)),""))</f>
        <v/>
      </c>
      <c r="F795" s="19"/>
      <c r="G795" s="9" t="str">
        <f aca="false">IF(OR($B795="",NOT(ISNUMBER($E795))),"",$E795-IF($F795="",0,$F795))</f>
        <v/>
      </c>
      <c r="H795" s="15" t="str">
        <f aca="false">IF($B795="","",IFERROR(INDEX(Services!$A$2:$A$120,MATCH($B795,Services!$D$2:$D$120,0)),""))</f>
        <v/>
      </c>
      <c r="I795" s="19"/>
      <c r="J795" s="15" t="str">
        <f aca="false">IF($B795="","",IFERROR(INDEX(Services!$E$2:$E$120,MATCH($B795,Services!$D$2:$D$120,0)),""))</f>
        <v/>
      </c>
    </row>
    <row r="796" customFormat="false" ht="14.25" hidden="false" customHeight="false" outlineLevel="0" collapsed="false">
      <c r="A796" s="18"/>
      <c r="B796" s="6"/>
      <c r="C796" s="6"/>
      <c r="D796" s="6"/>
      <c r="E796" s="16" t="str">
        <f aca="false">IF($B796="","",IFERROR(INDEX(Services!$C$2:$C$120,MATCH($B796,Services!$D$2:$D$120,0)),""))</f>
        <v/>
      </c>
      <c r="F796" s="19"/>
      <c r="G796" s="9" t="str">
        <f aca="false">IF(OR($B796="",NOT(ISNUMBER($E796))),"",$E796-IF($F796="",0,$F796))</f>
        <v/>
      </c>
      <c r="H796" s="15" t="str">
        <f aca="false">IF($B796="","",IFERROR(INDEX(Services!$A$2:$A$120,MATCH($B796,Services!$D$2:$D$120,0)),""))</f>
        <v/>
      </c>
      <c r="I796" s="19"/>
      <c r="J796" s="15" t="str">
        <f aca="false">IF($B796="","",IFERROR(INDEX(Services!$E$2:$E$120,MATCH($B796,Services!$D$2:$D$120,0)),""))</f>
        <v/>
      </c>
    </row>
    <row r="797" customFormat="false" ht="14.25" hidden="false" customHeight="false" outlineLevel="0" collapsed="false">
      <c r="A797" s="18"/>
      <c r="B797" s="6"/>
      <c r="C797" s="6"/>
      <c r="D797" s="6"/>
      <c r="E797" s="16" t="str">
        <f aca="false">IF($B797="","",IFERROR(INDEX(Services!$C$2:$C$120,MATCH($B797,Services!$D$2:$D$120,0)),""))</f>
        <v/>
      </c>
      <c r="F797" s="19"/>
      <c r="G797" s="9" t="str">
        <f aca="false">IF(OR($B797="",NOT(ISNUMBER($E797))),"",$E797-IF($F797="",0,$F797))</f>
        <v/>
      </c>
      <c r="H797" s="15" t="str">
        <f aca="false">IF($B797="","",IFERROR(INDEX(Services!$A$2:$A$120,MATCH($B797,Services!$D$2:$D$120,0)),""))</f>
        <v/>
      </c>
      <c r="I797" s="19"/>
      <c r="J797" s="15" t="str">
        <f aca="false">IF($B797="","",IFERROR(INDEX(Services!$E$2:$E$120,MATCH($B797,Services!$D$2:$D$120,0)),""))</f>
        <v/>
      </c>
    </row>
    <row r="798" customFormat="false" ht="14.25" hidden="false" customHeight="false" outlineLevel="0" collapsed="false">
      <c r="A798" s="18"/>
      <c r="B798" s="6"/>
      <c r="C798" s="6"/>
      <c r="D798" s="6"/>
      <c r="E798" s="16" t="str">
        <f aca="false">IF($B798="","",IFERROR(INDEX(Services!$C$2:$C$120,MATCH($B798,Services!$D$2:$D$120,0)),""))</f>
        <v/>
      </c>
      <c r="F798" s="19"/>
      <c r="G798" s="9" t="str">
        <f aca="false">IF(OR($B798="",NOT(ISNUMBER($E798))),"",$E798-IF($F798="",0,$F798))</f>
        <v/>
      </c>
      <c r="H798" s="15" t="str">
        <f aca="false">IF($B798="","",IFERROR(INDEX(Services!$A$2:$A$120,MATCH($B798,Services!$D$2:$D$120,0)),""))</f>
        <v/>
      </c>
      <c r="I798" s="19"/>
      <c r="J798" s="15" t="str">
        <f aca="false">IF($B798="","",IFERROR(INDEX(Services!$E$2:$E$120,MATCH($B798,Services!$D$2:$D$120,0)),""))</f>
        <v/>
      </c>
    </row>
    <row r="799" customFormat="false" ht="14.25" hidden="false" customHeight="false" outlineLevel="0" collapsed="false">
      <c r="A799" s="18"/>
      <c r="B799" s="6"/>
      <c r="C799" s="6"/>
      <c r="D799" s="6"/>
      <c r="E799" s="16" t="str">
        <f aca="false">IF($B799="","",IFERROR(INDEX(Services!$C$2:$C$120,MATCH($B799,Services!$D$2:$D$120,0)),""))</f>
        <v/>
      </c>
      <c r="F799" s="19"/>
      <c r="G799" s="9" t="str">
        <f aca="false">IF(OR($B799="",NOT(ISNUMBER($E799))),"",$E799-IF($F799="",0,$F799))</f>
        <v/>
      </c>
      <c r="H799" s="15" t="str">
        <f aca="false">IF($B799="","",IFERROR(INDEX(Services!$A$2:$A$120,MATCH($B799,Services!$D$2:$D$120,0)),""))</f>
        <v/>
      </c>
      <c r="I799" s="19"/>
      <c r="J799" s="15" t="str">
        <f aca="false">IF($B799="","",IFERROR(INDEX(Services!$E$2:$E$120,MATCH($B799,Services!$D$2:$D$120,0)),""))</f>
        <v/>
      </c>
    </row>
    <row r="800" customFormat="false" ht="14.25" hidden="false" customHeight="false" outlineLevel="0" collapsed="false">
      <c r="A800" s="18"/>
      <c r="B800" s="6"/>
      <c r="C800" s="6"/>
      <c r="D800" s="6"/>
      <c r="E800" s="16" t="str">
        <f aca="false">IF($B800="","",IFERROR(INDEX(Services!$C$2:$C$120,MATCH($B800,Services!$D$2:$D$120,0)),""))</f>
        <v/>
      </c>
      <c r="F800" s="19"/>
      <c r="G800" s="9" t="str">
        <f aca="false">IF(OR($B800="",NOT(ISNUMBER($E800))),"",$E800-IF($F800="",0,$F800))</f>
        <v/>
      </c>
      <c r="H800" s="15" t="str">
        <f aca="false">IF($B800="","",IFERROR(INDEX(Services!$A$2:$A$120,MATCH($B800,Services!$D$2:$D$120,0)),""))</f>
        <v/>
      </c>
      <c r="I800" s="19"/>
      <c r="J800" s="15" t="str">
        <f aca="false">IF($B800="","",IFERROR(INDEX(Services!$E$2:$E$120,MATCH($B800,Services!$D$2:$D$120,0)),""))</f>
        <v/>
      </c>
    </row>
    <row r="801" customFormat="false" ht="14.25" hidden="false" customHeight="false" outlineLevel="0" collapsed="false">
      <c r="A801" s="18"/>
      <c r="B801" s="6"/>
      <c r="C801" s="6"/>
      <c r="D801" s="6"/>
      <c r="E801" s="16" t="str">
        <f aca="false">IF($B801="","",IFERROR(INDEX(Services!$C$2:$C$120,MATCH($B801,Services!$D$2:$D$120,0)),""))</f>
        <v/>
      </c>
      <c r="F801" s="19"/>
      <c r="G801" s="9" t="str">
        <f aca="false">IF(OR($B801="",NOT(ISNUMBER($E801))),"",$E801-IF($F801="",0,$F801))</f>
        <v/>
      </c>
      <c r="H801" s="15" t="str">
        <f aca="false">IF($B801="","",IFERROR(INDEX(Services!$A$2:$A$120,MATCH($B801,Services!$D$2:$D$120,0)),""))</f>
        <v/>
      </c>
      <c r="I801" s="19"/>
      <c r="J801" s="15" t="str">
        <f aca="false">IF($B801="","",IFERROR(INDEX(Services!$E$2:$E$120,MATCH($B801,Services!$D$2:$D$120,0)),""))</f>
        <v/>
      </c>
    </row>
    <row r="802" customFormat="false" ht="14.25" hidden="false" customHeight="false" outlineLevel="0" collapsed="false">
      <c r="A802" s="18"/>
      <c r="B802" s="6"/>
      <c r="C802" s="6"/>
      <c r="D802" s="6"/>
      <c r="E802" s="16" t="str">
        <f aca="false">IF($B802="","",IFERROR(INDEX(Services!$C$2:$C$120,MATCH($B802,Services!$D$2:$D$120,0)),""))</f>
        <v/>
      </c>
      <c r="F802" s="19"/>
      <c r="G802" s="9" t="str">
        <f aca="false">IF(OR($B802="",NOT(ISNUMBER($E802))),"",$E802-IF($F802="",0,$F802))</f>
        <v/>
      </c>
      <c r="H802" s="15" t="str">
        <f aca="false">IF($B802="","",IFERROR(INDEX(Services!$A$2:$A$120,MATCH($B802,Services!$D$2:$D$120,0)),""))</f>
        <v/>
      </c>
      <c r="I802" s="19"/>
      <c r="J802" s="15" t="str">
        <f aca="false">IF($B802="","",IFERROR(INDEX(Services!$E$2:$E$120,MATCH($B802,Services!$D$2:$D$120,0)),""))</f>
        <v/>
      </c>
    </row>
    <row r="803" customFormat="false" ht="14.25" hidden="false" customHeight="false" outlineLevel="0" collapsed="false">
      <c r="A803" s="18"/>
      <c r="B803" s="6"/>
      <c r="C803" s="6"/>
      <c r="D803" s="6"/>
      <c r="E803" s="16" t="str">
        <f aca="false">IF($B803="","",IFERROR(INDEX(Services!$C$2:$C$120,MATCH($B803,Services!$D$2:$D$120,0)),""))</f>
        <v/>
      </c>
      <c r="F803" s="19"/>
      <c r="G803" s="9" t="str">
        <f aca="false">IF(OR($B803="",NOT(ISNUMBER($E803))),"",$E803-IF($F803="",0,$F803))</f>
        <v/>
      </c>
      <c r="H803" s="15" t="str">
        <f aca="false">IF($B803="","",IFERROR(INDEX(Services!$A$2:$A$120,MATCH($B803,Services!$D$2:$D$120,0)),""))</f>
        <v/>
      </c>
      <c r="I803" s="19"/>
      <c r="J803" s="15" t="str">
        <f aca="false">IF($B803="","",IFERROR(INDEX(Services!$E$2:$E$120,MATCH($B803,Services!$D$2:$D$120,0)),""))</f>
        <v/>
      </c>
    </row>
    <row r="804" customFormat="false" ht="14.25" hidden="false" customHeight="false" outlineLevel="0" collapsed="false">
      <c r="A804" s="18"/>
      <c r="B804" s="6"/>
      <c r="C804" s="6"/>
      <c r="D804" s="6"/>
      <c r="E804" s="16" t="str">
        <f aca="false">IF($B804="","",IFERROR(INDEX(Services!$C$2:$C$120,MATCH($B804,Services!$D$2:$D$120,0)),""))</f>
        <v/>
      </c>
      <c r="F804" s="19"/>
      <c r="G804" s="9" t="str">
        <f aca="false">IF(OR($B804="",NOT(ISNUMBER($E804))),"",$E804-IF($F804="",0,$F804))</f>
        <v/>
      </c>
      <c r="H804" s="15" t="str">
        <f aca="false">IF($B804="","",IFERROR(INDEX(Services!$A$2:$A$120,MATCH($B804,Services!$D$2:$D$120,0)),""))</f>
        <v/>
      </c>
      <c r="I804" s="19"/>
      <c r="J804" s="15" t="str">
        <f aca="false">IF($B804="","",IFERROR(INDEX(Services!$E$2:$E$120,MATCH($B804,Services!$D$2:$D$120,0)),""))</f>
        <v/>
      </c>
    </row>
    <row r="805" customFormat="false" ht="14.25" hidden="false" customHeight="false" outlineLevel="0" collapsed="false">
      <c r="A805" s="18"/>
      <c r="B805" s="6"/>
      <c r="C805" s="6"/>
      <c r="D805" s="6"/>
      <c r="E805" s="16" t="str">
        <f aca="false">IF($B805="","",IFERROR(INDEX(Services!$C$2:$C$120,MATCH($B805,Services!$D$2:$D$120,0)),""))</f>
        <v/>
      </c>
      <c r="F805" s="19"/>
      <c r="G805" s="9" t="str">
        <f aca="false">IF(OR($B805="",NOT(ISNUMBER($E805))),"",$E805-IF($F805="",0,$F805))</f>
        <v/>
      </c>
      <c r="H805" s="15" t="str">
        <f aca="false">IF($B805="","",IFERROR(INDEX(Services!$A$2:$A$120,MATCH($B805,Services!$D$2:$D$120,0)),""))</f>
        <v/>
      </c>
      <c r="I805" s="19"/>
      <c r="J805" s="15" t="str">
        <f aca="false">IF($B805="","",IFERROR(INDEX(Services!$E$2:$E$120,MATCH($B805,Services!$D$2:$D$120,0)),""))</f>
        <v/>
      </c>
    </row>
    <row r="806" customFormat="false" ht="14.25" hidden="false" customHeight="false" outlineLevel="0" collapsed="false">
      <c r="A806" s="18"/>
      <c r="B806" s="6"/>
      <c r="C806" s="6"/>
      <c r="D806" s="6"/>
      <c r="E806" s="16" t="str">
        <f aca="false">IF($B806="","",IFERROR(INDEX(Services!$C$2:$C$120,MATCH($B806,Services!$D$2:$D$120,0)),""))</f>
        <v/>
      </c>
      <c r="F806" s="19"/>
      <c r="G806" s="9" t="str">
        <f aca="false">IF(OR($B806="",NOT(ISNUMBER($E806))),"",$E806-IF($F806="",0,$F806))</f>
        <v/>
      </c>
      <c r="H806" s="15" t="str">
        <f aca="false">IF($B806="","",IFERROR(INDEX(Services!$A$2:$A$120,MATCH($B806,Services!$D$2:$D$120,0)),""))</f>
        <v/>
      </c>
      <c r="I806" s="19"/>
      <c r="J806" s="15" t="str">
        <f aca="false">IF($B806="","",IFERROR(INDEX(Services!$E$2:$E$120,MATCH($B806,Services!$D$2:$D$120,0)),""))</f>
        <v/>
      </c>
    </row>
    <row r="807" customFormat="false" ht="14.25" hidden="false" customHeight="false" outlineLevel="0" collapsed="false">
      <c r="A807" s="18"/>
      <c r="B807" s="6"/>
      <c r="C807" s="6"/>
      <c r="D807" s="6"/>
      <c r="E807" s="16" t="str">
        <f aca="false">IF($B807="","",IFERROR(INDEX(Services!$C$2:$C$120,MATCH($B807,Services!$D$2:$D$120,0)),""))</f>
        <v/>
      </c>
      <c r="F807" s="19"/>
      <c r="G807" s="9" t="str">
        <f aca="false">IF(OR($B807="",NOT(ISNUMBER($E807))),"",$E807-IF($F807="",0,$F807))</f>
        <v/>
      </c>
      <c r="H807" s="15" t="str">
        <f aca="false">IF($B807="","",IFERROR(INDEX(Services!$A$2:$A$120,MATCH($B807,Services!$D$2:$D$120,0)),""))</f>
        <v/>
      </c>
      <c r="I807" s="19"/>
      <c r="J807" s="15" t="str">
        <f aca="false">IF($B807="","",IFERROR(INDEX(Services!$E$2:$E$120,MATCH($B807,Services!$D$2:$D$120,0)),""))</f>
        <v/>
      </c>
    </row>
    <row r="808" customFormat="false" ht="14.25" hidden="false" customHeight="false" outlineLevel="0" collapsed="false">
      <c r="A808" s="18"/>
      <c r="B808" s="6"/>
      <c r="C808" s="6"/>
      <c r="D808" s="6"/>
      <c r="E808" s="16" t="str">
        <f aca="false">IF($B808="","",IFERROR(INDEX(Services!$C$2:$C$120,MATCH($B808,Services!$D$2:$D$120,0)),""))</f>
        <v/>
      </c>
      <c r="F808" s="19"/>
      <c r="G808" s="9" t="str">
        <f aca="false">IF(OR($B808="",NOT(ISNUMBER($E808))),"",$E808-IF($F808="",0,$F808))</f>
        <v/>
      </c>
      <c r="H808" s="15" t="str">
        <f aca="false">IF($B808="","",IFERROR(INDEX(Services!$A$2:$A$120,MATCH($B808,Services!$D$2:$D$120,0)),""))</f>
        <v/>
      </c>
      <c r="I808" s="19"/>
      <c r="J808" s="15" t="str">
        <f aca="false">IF($B808="","",IFERROR(INDEX(Services!$E$2:$E$120,MATCH($B808,Services!$D$2:$D$120,0)),""))</f>
        <v/>
      </c>
    </row>
    <row r="809" customFormat="false" ht="14.25" hidden="false" customHeight="false" outlineLevel="0" collapsed="false">
      <c r="A809" s="18"/>
      <c r="B809" s="6"/>
      <c r="C809" s="6"/>
      <c r="D809" s="6"/>
      <c r="E809" s="16" t="str">
        <f aca="false">IF($B809="","",IFERROR(INDEX(Services!$C$2:$C$120,MATCH($B809,Services!$D$2:$D$120,0)),""))</f>
        <v/>
      </c>
      <c r="F809" s="19"/>
      <c r="G809" s="9" t="str">
        <f aca="false">IF(OR($B809="",NOT(ISNUMBER($E809))),"",$E809-IF($F809="",0,$F809))</f>
        <v/>
      </c>
      <c r="H809" s="15" t="str">
        <f aca="false">IF($B809="","",IFERROR(INDEX(Services!$A$2:$A$120,MATCH($B809,Services!$D$2:$D$120,0)),""))</f>
        <v/>
      </c>
      <c r="I809" s="19"/>
      <c r="J809" s="15" t="str">
        <f aca="false">IF($B809="","",IFERROR(INDEX(Services!$E$2:$E$120,MATCH($B809,Services!$D$2:$D$120,0)),""))</f>
        <v/>
      </c>
    </row>
    <row r="810" customFormat="false" ht="14.25" hidden="false" customHeight="false" outlineLevel="0" collapsed="false">
      <c r="A810" s="18"/>
      <c r="B810" s="6"/>
      <c r="C810" s="6"/>
      <c r="D810" s="6"/>
      <c r="E810" s="16" t="str">
        <f aca="false">IF($B810="","",IFERROR(INDEX(Services!$C$2:$C$120,MATCH($B810,Services!$D$2:$D$120,0)),""))</f>
        <v/>
      </c>
      <c r="F810" s="19"/>
      <c r="G810" s="9" t="str">
        <f aca="false">IF(OR($B810="",NOT(ISNUMBER($E810))),"",$E810-IF($F810="",0,$F810))</f>
        <v/>
      </c>
      <c r="H810" s="15" t="str">
        <f aca="false">IF($B810="","",IFERROR(INDEX(Services!$A$2:$A$120,MATCH($B810,Services!$D$2:$D$120,0)),""))</f>
        <v/>
      </c>
      <c r="I810" s="19"/>
      <c r="J810" s="15" t="str">
        <f aca="false">IF($B810="","",IFERROR(INDEX(Services!$E$2:$E$120,MATCH($B810,Services!$D$2:$D$120,0)),""))</f>
        <v/>
      </c>
    </row>
    <row r="811" customFormat="false" ht="14.25" hidden="false" customHeight="false" outlineLevel="0" collapsed="false">
      <c r="A811" s="18"/>
      <c r="B811" s="6"/>
      <c r="C811" s="6"/>
      <c r="D811" s="6"/>
      <c r="E811" s="16" t="str">
        <f aca="false">IF($B811="","",IFERROR(INDEX(Services!$C$2:$C$120,MATCH($B811,Services!$D$2:$D$120,0)),""))</f>
        <v/>
      </c>
      <c r="F811" s="19"/>
      <c r="G811" s="9" t="str">
        <f aca="false">IF(OR($B811="",NOT(ISNUMBER($E811))),"",$E811-IF($F811="",0,$F811))</f>
        <v/>
      </c>
      <c r="H811" s="15" t="str">
        <f aca="false">IF($B811="","",IFERROR(INDEX(Services!$A$2:$A$120,MATCH($B811,Services!$D$2:$D$120,0)),""))</f>
        <v/>
      </c>
      <c r="I811" s="19"/>
      <c r="J811" s="15" t="str">
        <f aca="false">IF($B811="","",IFERROR(INDEX(Services!$E$2:$E$120,MATCH($B811,Services!$D$2:$D$120,0)),""))</f>
        <v/>
      </c>
    </row>
    <row r="812" customFormat="false" ht="14.25" hidden="false" customHeight="false" outlineLevel="0" collapsed="false">
      <c r="A812" s="18"/>
      <c r="B812" s="6"/>
      <c r="C812" s="6"/>
      <c r="D812" s="6"/>
      <c r="E812" s="16" t="str">
        <f aca="false">IF($B812="","",IFERROR(INDEX(Services!$C$2:$C$120,MATCH($B812,Services!$D$2:$D$120,0)),""))</f>
        <v/>
      </c>
      <c r="F812" s="19"/>
      <c r="G812" s="9" t="str">
        <f aca="false">IF(OR($B812="",NOT(ISNUMBER($E812))),"",$E812-IF($F812="",0,$F812))</f>
        <v/>
      </c>
      <c r="H812" s="15" t="str">
        <f aca="false">IF($B812="","",IFERROR(INDEX(Services!$A$2:$A$120,MATCH($B812,Services!$D$2:$D$120,0)),""))</f>
        <v/>
      </c>
      <c r="I812" s="19"/>
      <c r="J812" s="15" t="str">
        <f aca="false">IF($B812="","",IFERROR(INDEX(Services!$E$2:$E$120,MATCH($B812,Services!$D$2:$D$120,0)),""))</f>
        <v/>
      </c>
    </row>
    <row r="813" customFormat="false" ht="14.25" hidden="false" customHeight="false" outlineLevel="0" collapsed="false">
      <c r="A813" s="18"/>
      <c r="B813" s="6"/>
      <c r="C813" s="6"/>
      <c r="D813" s="6"/>
      <c r="E813" s="16" t="str">
        <f aca="false">IF($B813="","",IFERROR(INDEX(Services!$C$2:$C$120,MATCH($B813,Services!$D$2:$D$120,0)),""))</f>
        <v/>
      </c>
      <c r="F813" s="19"/>
      <c r="G813" s="9" t="str">
        <f aca="false">IF(OR($B813="",NOT(ISNUMBER($E813))),"",$E813-IF($F813="",0,$F813))</f>
        <v/>
      </c>
      <c r="H813" s="15" t="str">
        <f aca="false">IF($B813="","",IFERROR(INDEX(Services!$A$2:$A$120,MATCH($B813,Services!$D$2:$D$120,0)),""))</f>
        <v/>
      </c>
      <c r="I813" s="19"/>
      <c r="J813" s="15" t="str">
        <f aca="false">IF($B813="","",IFERROR(INDEX(Services!$E$2:$E$120,MATCH($B813,Services!$D$2:$D$120,0)),""))</f>
        <v/>
      </c>
    </row>
    <row r="814" customFormat="false" ht="14.25" hidden="false" customHeight="false" outlineLevel="0" collapsed="false">
      <c r="A814" s="18"/>
      <c r="B814" s="6"/>
      <c r="C814" s="6"/>
      <c r="D814" s="6"/>
      <c r="E814" s="16" t="str">
        <f aca="false">IF($B814="","",IFERROR(INDEX(Services!$C$2:$C$120,MATCH($B814,Services!$D$2:$D$120,0)),""))</f>
        <v/>
      </c>
      <c r="F814" s="19"/>
      <c r="G814" s="9" t="str">
        <f aca="false">IF(OR($B814="",NOT(ISNUMBER($E814))),"",$E814-IF($F814="",0,$F814))</f>
        <v/>
      </c>
      <c r="H814" s="15" t="str">
        <f aca="false">IF($B814="","",IFERROR(INDEX(Services!$A$2:$A$120,MATCH($B814,Services!$D$2:$D$120,0)),""))</f>
        <v/>
      </c>
      <c r="I814" s="19"/>
      <c r="J814" s="15" t="str">
        <f aca="false">IF($B814="","",IFERROR(INDEX(Services!$E$2:$E$120,MATCH($B814,Services!$D$2:$D$120,0)),""))</f>
        <v/>
      </c>
    </row>
    <row r="815" customFormat="false" ht="14.25" hidden="false" customHeight="false" outlineLevel="0" collapsed="false">
      <c r="A815" s="18"/>
      <c r="B815" s="6"/>
      <c r="C815" s="6"/>
      <c r="D815" s="6"/>
      <c r="E815" s="16" t="str">
        <f aca="false">IF($B815="","",IFERROR(INDEX(Services!$C$2:$C$120,MATCH($B815,Services!$D$2:$D$120,0)),""))</f>
        <v/>
      </c>
      <c r="F815" s="19"/>
      <c r="G815" s="9" t="str">
        <f aca="false">IF(OR($B815="",NOT(ISNUMBER($E815))),"",$E815-IF($F815="",0,$F815))</f>
        <v/>
      </c>
      <c r="H815" s="15" t="str">
        <f aca="false">IF($B815="","",IFERROR(INDEX(Services!$A$2:$A$120,MATCH($B815,Services!$D$2:$D$120,0)),""))</f>
        <v/>
      </c>
      <c r="I815" s="19"/>
      <c r="J815" s="15" t="str">
        <f aca="false">IF($B815="","",IFERROR(INDEX(Services!$E$2:$E$120,MATCH($B815,Services!$D$2:$D$120,0)),""))</f>
        <v/>
      </c>
    </row>
    <row r="816" customFormat="false" ht="14.25" hidden="false" customHeight="false" outlineLevel="0" collapsed="false">
      <c r="A816" s="18"/>
      <c r="B816" s="6"/>
      <c r="C816" s="6"/>
      <c r="D816" s="6"/>
      <c r="E816" s="16" t="str">
        <f aca="false">IF($B816="","",IFERROR(INDEX(Services!$C$2:$C$120,MATCH($B816,Services!$D$2:$D$120,0)),""))</f>
        <v/>
      </c>
      <c r="F816" s="19"/>
      <c r="G816" s="9" t="str">
        <f aca="false">IF(OR($B816="",NOT(ISNUMBER($E816))),"",$E816-IF($F816="",0,$F816))</f>
        <v/>
      </c>
      <c r="H816" s="15" t="str">
        <f aca="false">IF($B816="","",IFERROR(INDEX(Services!$A$2:$A$120,MATCH($B816,Services!$D$2:$D$120,0)),""))</f>
        <v/>
      </c>
      <c r="I816" s="19"/>
      <c r="J816" s="15" t="str">
        <f aca="false">IF($B816="","",IFERROR(INDEX(Services!$E$2:$E$120,MATCH($B816,Services!$D$2:$D$120,0)),""))</f>
        <v/>
      </c>
    </row>
    <row r="817" customFormat="false" ht="14.25" hidden="false" customHeight="false" outlineLevel="0" collapsed="false">
      <c r="A817" s="18"/>
      <c r="B817" s="6"/>
      <c r="C817" s="6"/>
      <c r="D817" s="6"/>
      <c r="E817" s="16" t="str">
        <f aca="false">IF($B817="","",IFERROR(INDEX(Services!$C$2:$C$120,MATCH($B817,Services!$D$2:$D$120,0)),""))</f>
        <v/>
      </c>
      <c r="F817" s="19"/>
      <c r="G817" s="9" t="str">
        <f aca="false">IF(OR($B817="",NOT(ISNUMBER($E817))),"",$E817-IF($F817="",0,$F817))</f>
        <v/>
      </c>
      <c r="H817" s="15" t="str">
        <f aca="false">IF($B817="","",IFERROR(INDEX(Services!$A$2:$A$120,MATCH($B817,Services!$D$2:$D$120,0)),""))</f>
        <v/>
      </c>
      <c r="I817" s="19"/>
      <c r="J817" s="15" t="str">
        <f aca="false">IF($B817="","",IFERROR(INDEX(Services!$E$2:$E$120,MATCH($B817,Services!$D$2:$D$120,0)),""))</f>
        <v/>
      </c>
    </row>
    <row r="818" customFormat="false" ht="14.25" hidden="false" customHeight="false" outlineLevel="0" collapsed="false">
      <c r="A818" s="18"/>
      <c r="B818" s="6"/>
      <c r="C818" s="6"/>
      <c r="D818" s="6"/>
      <c r="E818" s="16" t="str">
        <f aca="false">IF($B818="","",IFERROR(INDEX(Services!$C$2:$C$120,MATCH($B818,Services!$D$2:$D$120,0)),""))</f>
        <v/>
      </c>
      <c r="F818" s="19"/>
      <c r="G818" s="9" t="str">
        <f aca="false">IF(OR($B818="",NOT(ISNUMBER($E818))),"",$E818-IF($F818="",0,$F818))</f>
        <v/>
      </c>
      <c r="H818" s="15" t="str">
        <f aca="false">IF($B818="","",IFERROR(INDEX(Services!$A$2:$A$120,MATCH($B818,Services!$D$2:$D$120,0)),""))</f>
        <v/>
      </c>
      <c r="I818" s="19"/>
      <c r="J818" s="15" t="str">
        <f aca="false">IF($B818="","",IFERROR(INDEX(Services!$E$2:$E$120,MATCH($B818,Services!$D$2:$D$120,0)),""))</f>
        <v/>
      </c>
    </row>
    <row r="819" customFormat="false" ht="14.25" hidden="false" customHeight="false" outlineLevel="0" collapsed="false">
      <c r="A819" s="18"/>
      <c r="B819" s="6"/>
      <c r="C819" s="6"/>
      <c r="D819" s="6"/>
      <c r="E819" s="16" t="str">
        <f aca="false">IF($B819="","",IFERROR(INDEX(Services!$C$2:$C$120,MATCH($B819,Services!$D$2:$D$120,0)),""))</f>
        <v/>
      </c>
      <c r="F819" s="19"/>
      <c r="G819" s="9" t="str">
        <f aca="false">IF(OR($B819="",NOT(ISNUMBER($E819))),"",$E819-IF($F819="",0,$F819))</f>
        <v/>
      </c>
      <c r="H819" s="15" t="str">
        <f aca="false">IF($B819="","",IFERROR(INDEX(Services!$A$2:$A$120,MATCH($B819,Services!$D$2:$D$120,0)),""))</f>
        <v/>
      </c>
      <c r="I819" s="19"/>
      <c r="J819" s="15" t="str">
        <f aca="false">IF($B819="","",IFERROR(INDEX(Services!$E$2:$E$120,MATCH($B819,Services!$D$2:$D$120,0)),""))</f>
        <v/>
      </c>
    </row>
    <row r="820" customFormat="false" ht="14.25" hidden="false" customHeight="false" outlineLevel="0" collapsed="false">
      <c r="A820" s="18"/>
      <c r="B820" s="6"/>
      <c r="C820" s="6"/>
      <c r="D820" s="6"/>
      <c r="E820" s="16" t="str">
        <f aca="false">IF($B820="","",IFERROR(INDEX(Services!$C$2:$C$120,MATCH($B820,Services!$D$2:$D$120,0)),""))</f>
        <v/>
      </c>
      <c r="F820" s="19"/>
      <c r="G820" s="9" t="str">
        <f aca="false">IF(OR($B820="",NOT(ISNUMBER($E820))),"",$E820-IF($F820="",0,$F820))</f>
        <v/>
      </c>
      <c r="H820" s="15" t="str">
        <f aca="false">IF($B820="","",IFERROR(INDEX(Services!$A$2:$A$120,MATCH($B820,Services!$D$2:$D$120,0)),""))</f>
        <v/>
      </c>
      <c r="I820" s="19"/>
      <c r="J820" s="15" t="str">
        <f aca="false">IF($B820="","",IFERROR(INDEX(Services!$E$2:$E$120,MATCH($B820,Services!$D$2:$D$120,0)),""))</f>
        <v/>
      </c>
    </row>
    <row r="821" customFormat="false" ht="14.25" hidden="false" customHeight="false" outlineLevel="0" collapsed="false">
      <c r="A821" s="18"/>
      <c r="B821" s="6"/>
      <c r="C821" s="6"/>
      <c r="D821" s="6"/>
      <c r="E821" s="16" t="str">
        <f aca="false">IF($B821="","",IFERROR(INDEX(Services!$C$2:$C$120,MATCH($B821,Services!$D$2:$D$120,0)),""))</f>
        <v/>
      </c>
      <c r="F821" s="19"/>
      <c r="G821" s="9" t="str">
        <f aca="false">IF(OR($B821="",NOT(ISNUMBER($E821))),"",$E821-IF($F821="",0,$F821))</f>
        <v/>
      </c>
      <c r="H821" s="15" t="str">
        <f aca="false">IF($B821="","",IFERROR(INDEX(Services!$A$2:$A$120,MATCH($B821,Services!$D$2:$D$120,0)),""))</f>
        <v/>
      </c>
      <c r="I821" s="19"/>
      <c r="J821" s="15" t="str">
        <f aca="false">IF($B821="","",IFERROR(INDEX(Services!$E$2:$E$120,MATCH($B821,Services!$D$2:$D$120,0)),""))</f>
        <v/>
      </c>
    </row>
    <row r="822" customFormat="false" ht="14.25" hidden="false" customHeight="false" outlineLevel="0" collapsed="false">
      <c r="A822" s="18"/>
      <c r="B822" s="6"/>
      <c r="C822" s="6"/>
      <c r="D822" s="6"/>
      <c r="E822" s="16" t="str">
        <f aca="false">IF($B822="","",IFERROR(INDEX(Services!$C$2:$C$120,MATCH($B822,Services!$D$2:$D$120,0)),""))</f>
        <v/>
      </c>
      <c r="F822" s="19"/>
      <c r="G822" s="9" t="str">
        <f aca="false">IF(OR($B822="",NOT(ISNUMBER($E822))),"",$E822-IF($F822="",0,$F822))</f>
        <v/>
      </c>
      <c r="H822" s="15" t="str">
        <f aca="false">IF($B822="","",IFERROR(INDEX(Services!$A$2:$A$120,MATCH($B822,Services!$D$2:$D$120,0)),""))</f>
        <v/>
      </c>
      <c r="I822" s="19"/>
      <c r="J822" s="15" t="str">
        <f aca="false">IF($B822="","",IFERROR(INDEX(Services!$E$2:$E$120,MATCH($B822,Services!$D$2:$D$120,0)),""))</f>
        <v/>
      </c>
    </row>
    <row r="823" customFormat="false" ht="14.25" hidden="false" customHeight="false" outlineLevel="0" collapsed="false">
      <c r="A823" s="18"/>
      <c r="B823" s="6"/>
      <c r="C823" s="6"/>
      <c r="D823" s="6"/>
      <c r="E823" s="16" t="str">
        <f aca="false">IF($B823="","",IFERROR(INDEX(Services!$C$2:$C$120,MATCH($B823,Services!$D$2:$D$120,0)),""))</f>
        <v/>
      </c>
      <c r="F823" s="19"/>
      <c r="G823" s="9" t="str">
        <f aca="false">IF(OR($B823="",NOT(ISNUMBER($E823))),"",$E823-IF($F823="",0,$F823))</f>
        <v/>
      </c>
      <c r="H823" s="15" t="str">
        <f aca="false">IF($B823="","",IFERROR(INDEX(Services!$A$2:$A$120,MATCH($B823,Services!$D$2:$D$120,0)),""))</f>
        <v/>
      </c>
      <c r="I823" s="19"/>
      <c r="J823" s="15" t="str">
        <f aca="false">IF($B823="","",IFERROR(INDEX(Services!$E$2:$E$120,MATCH($B823,Services!$D$2:$D$120,0)),""))</f>
        <v/>
      </c>
    </row>
    <row r="824" customFormat="false" ht="14.25" hidden="false" customHeight="false" outlineLevel="0" collapsed="false">
      <c r="A824" s="18"/>
      <c r="B824" s="6"/>
      <c r="C824" s="6"/>
      <c r="D824" s="6"/>
      <c r="E824" s="16" t="str">
        <f aca="false">IF($B824="","",IFERROR(INDEX(Services!$C$2:$C$120,MATCH($B824,Services!$D$2:$D$120,0)),""))</f>
        <v/>
      </c>
      <c r="F824" s="19"/>
      <c r="G824" s="9" t="str">
        <f aca="false">IF(OR($B824="",NOT(ISNUMBER($E824))),"",$E824-IF($F824="",0,$F824))</f>
        <v/>
      </c>
      <c r="H824" s="15" t="str">
        <f aca="false">IF($B824="","",IFERROR(INDEX(Services!$A$2:$A$120,MATCH($B824,Services!$D$2:$D$120,0)),""))</f>
        <v/>
      </c>
      <c r="I824" s="19"/>
      <c r="J824" s="15" t="str">
        <f aca="false">IF($B824="","",IFERROR(INDEX(Services!$E$2:$E$120,MATCH($B824,Services!$D$2:$D$120,0)),""))</f>
        <v/>
      </c>
    </row>
    <row r="825" customFormat="false" ht="14.25" hidden="false" customHeight="false" outlineLevel="0" collapsed="false">
      <c r="A825" s="18"/>
      <c r="B825" s="6"/>
      <c r="C825" s="6"/>
      <c r="D825" s="6"/>
      <c r="E825" s="16" t="str">
        <f aca="false">IF($B825="","",IFERROR(INDEX(Services!$C$2:$C$120,MATCH($B825,Services!$D$2:$D$120,0)),""))</f>
        <v/>
      </c>
      <c r="F825" s="19"/>
      <c r="G825" s="9" t="str">
        <f aca="false">IF(OR($B825="",NOT(ISNUMBER($E825))),"",$E825-IF($F825="",0,$F825))</f>
        <v/>
      </c>
      <c r="H825" s="15" t="str">
        <f aca="false">IF($B825="","",IFERROR(INDEX(Services!$A$2:$A$120,MATCH($B825,Services!$D$2:$D$120,0)),""))</f>
        <v/>
      </c>
      <c r="I825" s="19"/>
      <c r="J825" s="15" t="str">
        <f aca="false">IF($B825="","",IFERROR(INDEX(Services!$E$2:$E$120,MATCH($B825,Services!$D$2:$D$120,0)),""))</f>
        <v/>
      </c>
    </row>
    <row r="826" customFormat="false" ht="14.25" hidden="false" customHeight="false" outlineLevel="0" collapsed="false">
      <c r="A826" s="18"/>
      <c r="B826" s="6"/>
      <c r="C826" s="6"/>
      <c r="D826" s="6"/>
      <c r="E826" s="16" t="str">
        <f aca="false">IF($B826="","",IFERROR(INDEX(Services!$C$2:$C$120,MATCH($B826,Services!$D$2:$D$120,0)),""))</f>
        <v/>
      </c>
      <c r="F826" s="19"/>
      <c r="G826" s="9" t="str">
        <f aca="false">IF(OR($B826="",NOT(ISNUMBER($E826))),"",$E826-IF($F826="",0,$F826))</f>
        <v/>
      </c>
      <c r="H826" s="15" t="str">
        <f aca="false">IF($B826="","",IFERROR(INDEX(Services!$A$2:$A$120,MATCH($B826,Services!$D$2:$D$120,0)),""))</f>
        <v/>
      </c>
      <c r="I826" s="19"/>
      <c r="J826" s="15" t="str">
        <f aca="false">IF($B826="","",IFERROR(INDEX(Services!$E$2:$E$120,MATCH($B826,Services!$D$2:$D$120,0)),""))</f>
        <v/>
      </c>
    </row>
    <row r="827" customFormat="false" ht="14.25" hidden="false" customHeight="false" outlineLevel="0" collapsed="false">
      <c r="A827" s="18"/>
      <c r="B827" s="6"/>
      <c r="C827" s="6"/>
      <c r="D827" s="6"/>
      <c r="E827" s="16" t="str">
        <f aca="false">IF($B827="","",IFERROR(INDEX(Services!$C$2:$C$120,MATCH($B827,Services!$D$2:$D$120,0)),""))</f>
        <v/>
      </c>
      <c r="F827" s="19"/>
      <c r="G827" s="9" t="str">
        <f aca="false">IF(OR($B827="",NOT(ISNUMBER($E827))),"",$E827-IF($F827="",0,$F827))</f>
        <v/>
      </c>
      <c r="H827" s="15" t="str">
        <f aca="false">IF($B827="","",IFERROR(INDEX(Services!$A$2:$A$120,MATCH($B827,Services!$D$2:$D$120,0)),""))</f>
        <v/>
      </c>
      <c r="I827" s="19"/>
      <c r="J827" s="15" t="str">
        <f aca="false">IF($B827="","",IFERROR(INDEX(Services!$E$2:$E$120,MATCH($B827,Services!$D$2:$D$120,0)),""))</f>
        <v/>
      </c>
    </row>
    <row r="828" customFormat="false" ht="14.25" hidden="false" customHeight="false" outlineLevel="0" collapsed="false">
      <c r="A828" s="18"/>
      <c r="B828" s="6"/>
      <c r="C828" s="6"/>
      <c r="D828" s="6"/>
      <c r="E828" s="16" t="str">
        <f aca="false">IF($B828="","",IFERROR(INDEX(Services!$C$2:$C$120,MATCH($B828,Services!$D$2:$D$120,0)),""))</f>
        <v/>
      </c>
      <c r="F828" s="19"/>
      <c r="G828" s="9" t="str">
        <f aca="false">IF(OR($B828="",NOT(ISNUMBER($E828))),"",$E828-IF($F828="",0,$F828))</f>
        <v/>
      </c>
      <c r="H828" s="15" t="str">
        <f aca="false">IF($B828="","",IFERROR(INDEX(Services!$A$2:$A$120,MATCH($B828,Services!$D$2:$D$120,0)),""))</f>
        <v/>
      </c>
      <c r="I828" s="19"/>
      <c r="J828" s="15" t="str">
        <f aca="false">IF($B828="","",IFERROR(INDEX(Services!$E$2:$E$120,MATCH($B828,Services!$D$2:$D$120,0)),""))</f>
        <v/>
      </c>
    </row>
    <row r="829" customFormat="false" ht="14.25" hidden="false" customHeight="false" outlineLevel="0" collapsed="false">
      <c r="A829" s="18"/>
      <c r="B829" s="6"/>
      <c r="C829" s="6"/>
      <c r="D829" s="6"/>
      <c r="E829" s="16" t="str">
        <f aca="false">IF($B829="","",IFERROR(INDEX(Services!$C$2:$C$120,MATCH($B829,Services!$D$2:$D$120,0)),""))</f>
        <v/>
      </c>
      <c r="F829" s="19"/>
      <c r="G829" s="9" t="str">
        <f aca="false">IF(OR($B829="",NOT(ISNUMBER($E829))),"",$E829-IF($F829="",0,$F829))</f>
        <v/>
      </c>
      <c r="H829" s="15" t="str">
        <f aca="false">IF($B829="","",IFERROR(INDEX(Services!$A$2:$A$120,MATCH($B829,Services!$D$2:$D$120,0)),""))</f>
        <v/>
      </c>
      <c r="I829" s="19"/>
      <c r="J829" s="15" t="str">
        <f aca="false">IF($B829="","",IFERROR(INDEX(Services!$E$2:$E$120,MATCH($B829,Services!$D$2:$D$120,0)),""))</f>
        <v/>
      </c>
    </row>
    <row r="830" customFormat="false" ht="14.25" hidden="false" customHeight="false" outlineLevel="0" collapsed="false">
      <c r="A830" s="18"/>
      <c r="B830" s="6"/>
      <c r="C830" s="6"/>
      <c r="D830" s="6"/>
      <c r="E830" s="16" t="str">
        <f aca="false">IF($B830="","",IFERROR(INDEX(Services!$C$2:$C$120,MATCH($B830,Services!$D$2:$D$120,0)),""))</f>
        <v/>
      </c>
      <c r="F830" s="19"/>
      <c r="G830" s="9" t="str">
        <f aca="false">IF(OR($B830="",NOT(ISNUMBER($E830))),"",$E830-IF($F830="",0,$F830))</f>
        <v/>
      </c>
      <c r="H830" s="15" t="str">
        <f aca="false">IF($B830="","",IFERROR(INDEX(Services!$A$2:$A$120,MATCH($B830,Services!$D$2:$D$120,0)),""))</f>
        <v/>
      </c>
      <c r="I830" s="19"/>
      <c r="J830" s="15" t="str">
        <f aca="false">IF($B830="","",IFERROR(INDEX(Services!$E$2:$E$120,MATCH($B830,Services!$D$2:$D$120,0)),""))</f>
        <v/>
      </c>
    </row>
    <row r="831" customFormat="false" ht="14.25" hidden="false" customHeight="false" outlineLevel="0" collapsed="false">
      <c r="A831" s="18"/>
      <c r="B831" s="6"/>
      <c r="C831" s="6"/>
      <c r="D831" s="6"/>
      <c r="E831" s="16" t="str">
        <f aca="false">IF($B831="","",IFERROR(INDEX(Services!$C$2:$C$120,MATCH($B831,Services!$D$2:$D$120,0)),""))</f>
        <v/>
      </c>
      <c r="F831" s="19"/>
      <c r="G831" s="9" t="str">
        <f aca="false">IF(OR($B831="",NOT(ISNUMBER($E831))),"",$E831-IF($F831="",0,$F831))</f>
        <v/>
      </c>
      <c r="H831" s="15" t="str">
        <f aca="false">IF($B831="","",IFERROR(INDEX(Services!$A$2:$A$120,MATCH($B831,Services!$D$2:$D$120,0)),""))</f>
        <v/>
      </c>
      <c r="I831" s="19"/>
      <c r="J831" s="15" t="str">
        <f aca="false">IF($B831="","",IFERROR(INDEX(Services!$E$2:$E$120,MATCH($B831,Services!$D$2:$D$120,0)),""))</f>
        <v/>
      </c>
    </row>
    <row r="832" customFormat="false" ht="14.25" hidden="false" customHeight="false" outlineLevel="0" collapsed="false">
      <c r="A832" s="18"/>
      <c r="B832" s="6"/>
      <c r="C832" s="6"/>
      <c r="D832" s="6"/>
      <c r="E832" s="16" t="str">
        <f aca="false">IF($B832="","",IFERROR(INDEX(Services!$C$2:$C$120,MATCH($B832,Services!$D$2:$D$120,0)),""))</f>
        <v/>
      </c>
      <c r="F832" s="19"/>
      <c r="G832" s="9" t="str">
        <f aca="false">IF(OR($B832="",NOT(ISNUMBER($E832))),"",$E832-IF($F832="",0,$F832))</f>
        <v/>
      </c>
      <c r="H832" s="15" t="str">
        <f aca="false">IF($B832="","",IFERROR(INDEX(Services!$A$2:$A$120,MATCH($B832,Services!$D$2:$D$120,0)),""))</f>
        <v/>
      </c>
      <c r="I832" s="19"/>
      <c r="J832" s="15" t="str">
        <f aca="false">IF($B832="","",IFERROR(INDEX(Services!$E$2:$E$120,MATCH($B832,Services!$D$2:$D$120,0)),""))</f>
        <v/>
      </c>
    </row>
    <row r="833" customFormat="false" ht="14.25" hidden="false" customHeight="false" outlineLevel="0" collapsed="false">
      <c r="A833" s="18"/>
      <c r="B833" s="6"/>
      <c r="C833" s="6"/>
      <c r="D833" s="6"/>
      <c r="E833" s="16" t="str">
        <f aca="false">IF($B833="","",IFERROR(INDEX(Services!$C$2:$C$120,MATCH($B833,Services!$D$2:$D$120,0)),""))</f>
        <v/>
      </c>
      <c r="F833" s="19"/>
      <c r="G833" s="9" t="str">
        <f aca="false">IF(OR($B833="",NOT(ISNUMBER($E833))),"",$E833-IF($F833="",0,$F833))</f>
        <v/>
      </c>
      <c r="H833" s="15" t="str">
        <f aca="false">IF($B833="","",IFERROR(INDEX(Services!$A$2:$A$120,MATCH($B833,Services!$D$2:$D$120,0)),""))</f>
        <v/>
      </c>
      <c r="I833" s="19"/>
      <c r="J833" s="15" t="str">
        <f aca="false">IF($B833="","",IFERROR(INDEX(Services!$E$2:$E$120,MATCH($B833,Services!$D$2:$D$120,0)),""))</f>
        <v/>
      </c>
    </row>
    <row r="834" customFormat="false" ht="14.25" hidden="false" customHeight="false" outlineLevel="0" collapsed="false">
      <c r="A834" s="18"/>
      <c r="B834" s="6"/>
      <c r="C834" s="6"/>
      <c r="D834" s="6"/>
      <c r="E834" s="16" t="str">
        <f aca="false">IF($B834="","",IFERROR(INDEX(Services!$C$2:$C$120,MATCH($B834,Services!$D$2:$D$120,0)),""))</f>
        <v/>
      </c>
      <c r="F834" s="19"/>
      <c r="G834" s="9" t="str">
        <f aca="false">IF(OR($B834="",NOT(ISNUMBER($E834))),"",$E834-IF($F834="",0,$F834))</f>
        <v/>
      </c>
      <c r="H834" s="15" t="str">
        <f aca="false">IF($B834="","",IFERROR(INDEX(Services!$A$2:$A$120,MATCH($B834,Services!$D$2:$D$120,0)),""))</f>
        <v/>
      </c>
      <c r="I834" s="19"/>
      <c r="J834" s="15" t="str">
        <f aca="false">IF($B834="","",IFERROR(INDEX(Services!$E$2:$E$120,MATCH($B834,Services!$D$2:$D$120,0)),""))</f>
        <v/>
      </c>
    </row>
    <row r="835" customFormat="false" ht="14.25" hidden="false" customHeight="false" outlineLevel="0" collapsed="false">
      <c r="A835" s="18"/>
      <c r="B835" s="6"/>
      <c r="C835" s="6"/>
      <c r="D835" s="6"/>
      <c r="E835" s="16" t="str">
        <f aca="false">IF($B835="","",IFERROR(INDEX(Services!$C$2:$C$120,MATCH($B835,Services!$D$2:$D$120,0)),""))</f>
        <v/>
      </c>
      <c r="F835" s="19"/>
      <c r="G835" s="9" t="str">
        <f aca="false">IF(OR($B835="",NOT(ISNUMBER($E835))),"",$E835-IF($F835="",0,$F835))</f>
        <v/>
      </c>
      <c r="H835" s="15" t="str">
        <f aca="false">IF($B835="","",IFERROR(INDEX(Services!$A$2:$A$120,MATCH($B835,Services!$D$2:$D$120,0)),""))</f>
        <v/>
      </c>
      <c r="I835" s="19"/>
      <c r="J835" s="15" t="str">
        <f aca="false">IF($B835="","",IFERROR(INDEX(Services!$E$2:$E$120,MATCH($B835,Services!$D$2:$D$120,0)),""))</f>
        <v/>
      </c>
    </row>
    <row r="836" customFormat="false" ht="14.25" hidden="false" customHeight="false" outlineLevel="0" collapsed="false">
      <c r="A836" s="18"/>
      <c r="B836" s="6"/>
      <c r="C836" s="6"/>
      <c r="D836" s="6"/>
      <c r="E836" s="16" t="str">
        <f aca="false">IF($B836="","",IFERROR(INDEX(Services!$C$2:$C$120,MATCH($B836,Services!$D$2:$D$120,0)),""))</f>
        <v/>
      </c>
      <c r="F836" s="19"/>
      <c r="G836" s="9" t="str">
        <f aca="false">IF(OR($B836="",NOT(ISNUMBER($E836))),"",$E836-IF($F836="",0,$F836))</f>
        <v/>
      </c>
      <c r="H836" s="15" t="str">
        <f aca="false">IF($B836="","",IFERROR(INDEX(Services!$A$2:$A$120,MATCH($B836,Services!$D$2:$D$120,0)),""))</f>
        <v/>
      </c>
      <c r="I836" s="19"/>
      <c r="J836" s="15" t="str">
        <f aca="false">IF($B836="","",IFERROR(INDEX(Services!$E$2:$E$120,MATCH($B836,Services!$D$2:$D$120,0)),""))</f>
        <v/>
      </c>
    </row>
    <row r="837" customFormat="false" ht="14.25" hidden="false" customHeight="false" outlineLevel="0" collapsed="false">
      <c r="A837" s="18"/>
      <c r="B837" s="6"/>
      <c r="C837" s="6"/>
      <c r="D837" s="6"/>
      <c r="E837" s="16" t="str">
        <f aca="false">IF($B837="","",IFERROR(INDEX(Services!$C$2:$C$120,MATCH($B837,Services!$D$2:$D$120,0)),""))</f>
        <v/>
      </c>
      <c r="F837" s="19"/>
      <c r="G837" s="9" t="str">
        <f aca="false">IF(OR($B837="",NOT(ISNUMBER($E837))),"",$E837-IF($F837="",0,$F837))</f>
        <v/>
      </c>
      <c r="H837" s="15" t="str">
        <f aca="false">IF($B837="","",IFERROR(INDEX(Services!$A$2:$A$120,MATCH($B837,Services!$D$2:$D$120,0)),""))</f>
        <v/>
      </c>
      <c r="I837" s="19"/>
      <c r="J837" s="15" t="str">
        <f aca="false">IF($B837="","",IFERROR(INDEX(Services!$E$2:$E$120,MATCH($B837,Services!$D$2:$D$120,0)),""))</f>
        <v/>
      </c>
    </row>
    <row r="838" customFormat="false" ht="14.25" hidden="false" customHeight="false" outlineLevel="0" collapsed="false">
      <c r="A838" s="18"/>
      <c r="B838" s="6"/>
      <c r="C838" s="6"/>
      <c r="D838" s="6"/>
      <c r="E838" s="16" t="str">
        <f aca="false">IF($B838="","",IFERROR(INDEX(Services!$C$2:$C$120,MATCH($B838,Services!$D$2:$D$120,0)),""))</f>
        <v/>
      </c>
      <c r="F838" s="19"/>
      <c r="G838" s="9" t="str">
        <f aca="false">IF(OR($B838="",NOT(ISNUMBER($E838))),"",$E838-IF($F838="",0,$F838))</f>
        <v/>
      </c>
      <c r="H838" s="15" t="str">
        <f aca="false">IF($B838="","",IFERROR(INDEX(Services!$A$2:$A$120,MATCH($B838,Services!$D$2:$D$120,0)),""))</f>
        <v/>
      </c>
      <c r="I838" s="19"/>
      <c r="J838" s="15" t="str">
        <f aca="false">IF($B838="","",IFERROR(INDEX(Services!$E$2:$E$120,MATCH($B838,Services!$D$2:$D$120,0)),""))</f>
        <v/>
      </c>
    </row>
    <row r="839" customFormat="false" ht="14.25" hidden="false" customHeight="false" outlineLevel="0" collapsed="false">
      <c r="A839" s="18"/>
      <c r="B839" s="6"/>
      <c r="C839" s="6"/>
      <c r="D839" s="6"/>
      <c r="E839" s="16" t="str">
        <f aca="false">IF($B839="","",IFERROR(INDEX(Services!$C$2:$C$120,MATCH($B839,Services!$D$2:$D$120,0)),""))</f>
        <v/>
      </c>
      <c r="F839" s="19"/>
      <c r="G839" s="9" t="str">
        <f aca="false">IF(OR($B839="",NOT(ISNUMBER($E839))),"",$E839-IF($F839="",0,$F839))</f>
        <v/>
      </c>
      <c r="H839" s="15" t="str">
        <f aca="false">IF($B839="","",IFERROR(INDEX(Services!$A$2:$A$120,MATCH($B839,Services!$D$2:$D$120,0)),""))</f>
        <v/>
      </c>
      <c r="I839" s="19"/>
      <c r="J839" s="15" t="str">
        <f aca="false">IF($B839="","",IFERROR(INDEX(Services!$E$2:$E$120,MATCH($B839,Services!$D$2:$D$120,0)),""))</f>
        <v/>
      </c>
    </row>
    <row r="840" customFormat="false" ht="14.25" hidden="false" customHeight="false" outlineLevel="0" collapsed="false">
      <c r="A840" s="18"/>
      <c r="B840" s="6"/>
      <c r="C840" s="6"/>
      <c r="D840" s="6"/>
      <c r="E840" s="16" t="str">
        <f aca="false">IF($B840="","",IFERROR(INDEX(Services!$C$2:$C$120,MATCH($B840,Services!$D$2:$D$120,0)),""))</f>
        <v/>
      </c>
      <c r="F840" s="19"/>
      <c r="G840" s="9" t="str">
        <f aca="false">IF(OR($B840="",NOT(ISNUMBER($E840))),"",$E840-IF($F840="",0,$F840))</f>
        <v/>
      </c>
      <c r="H840" s="15" t="str">
        <f aca="false">IF($B840="","",IFERROR(INDEX(Services!$A$2:$A$120,MATCH($B840,Services!$D$2:$D$120,0)),""))</f>
        <v/>
      </c>
      <c r="I840" s="19"/>
      <c r="J840" s="15" t="str">
        <f aca="false">IF($B840="","",IFERROR(INDEX(Services!$E$2:$E$120,MATCH($B840,Services!$D$2:$D$120,0)),""))</f>
        <v/>
      </c>
    </row>
    <row r="841" customFormat="false" ht="14.25" hidden="false" customHeight="false" outlineLevel="0" collapsed="false">
      <c r="A841" s="18"/>
      <c r="B841" s="6"/>
      <c r="C841" s="6"/>
      <c r="D841" s="6"/>
      <c r="E841" s="16" t="str">
        <f aca="false">IF($B841="","",IFERROR(INDEX(Services!$C$2:$C$120,MATCH($B841,Services!$D$2:$D$120,0)),""))</f>
        <v/>
      </c>
      <c r="F841" s="19"/>
      <c r="G841" s="9" t="str">
        <f aca="false">IF(OR($B841="",NOT(ISNUMBER($E841))),"",$E841-IF($F841="",0,$F841))</f>
        <v/>
      </c>
      <c r="H841" s="15" t="str">
        <f aca="false">IF($B841="","",IFERROR(INDEX(Services!$A$2:$A$120,MATCH($B841,Services!$D$2:$D$120,0)),""))</f>
        <v/>
      </c>
      <c r="I841" s="19"/>
      <c r="J841" s="15" t="str">
        <f aca="false">IF($B841="","",IFERROR(INDEX(Services!$E$2:$E$120,MATCH($B841,Services!$D$2:$D$120,0)),""))</f>
        <v/>
      </c>
    </row>
    <row r="842" customFormat="false" ht="14.25" hidden="false" customHeight="false" outlineLevel="0" collapsed="false">
      <c r="A842" s="18"/>
      <c r="B842" s="6"/>
      <c r="C842" s="6"/>
      <c r="D842" s="6"/>
      <c r="E842" s="16" t="str">
        <f aca="false">IF($B842="","",IFERROR(INDEX(Services!$C$2:$C$120,MATCH($B842,Services!$D$2:$D$120,0)),""))</f>
        <v/>
      </c>
      <c r="F842" s="19"/>
      <c r="G842" s="9" t="str">
        <f aca="false">IF(OR($B842="",NOT(ISNUMBER($E842))),"",$E842-IF($F842="",0,$F842))</f>
        <v/>
      </c>
      <c r="H842" s="15" t="str">
        <f aca="false">IF($B842="","",IFERROR(INDEX(Services!$A$2:$A$120,MATCH($B842,Services!$D$2:$D$120,0)),""))</f>
        <v/>
      </c>
      <c r="I842" s="19"/>
      <c r="J842" s="15" t="str">
        <f aca="false">IF($B842="","",IFERROR(INDEX(Services!$E$2:$E$120,MATCH($B842,Services!$D$2:$D$120,0)),""))</f>
        <v/>
      </c>
    </row>
    <row r="843" customFormat="false" ht="14.25" hidden="false" customHeight="false" outlineLevel="0" collapsed="false">
      <c r="A843" s="18"/>
      <c r="B843" s="6"/>
      <c r="C843" s="6"/>
      <c r="D843" s="6"/>
      <c r="E843" s="16" t="str">
        <f aca="false">IF($B843="","",IFERROR(INDEX(Services!$C$2:$C$120,MATCH($B843,Services!$D$2:$D$120,0)),""))</f>
        <v/>
      </c>
      <c r="F843" s="19"/>
      <c r="G843" s="9" t="str">
        <f aca="false">IF(OR($B843="",NOT(ISNUMBER($E843))),"",$E843-IF($F843="",0,$F843))</f>
        <v/>
      </c>
      <c r="H843" s="15" t="str">
        <f aca="false">IF($B843="","",IFERROR(INDEX(Services!$A$2:$A$120,MATCH($B843,Services!$D$2:$D$120,0)),""))</f>
        <v/>
      </c>
      <c r="I843" s="19"/>
      <c r="J843" s="15" t="str">
        <f aca="false">IF($B843="","",IFERROR(INDEX(Services!$E$2:$E$120,MATCH($B843,Services!$D$2:$D$120,0)),""))</f>
        <v/>
      </c>
    </row>
    <row r="844" customFormat="false" ht="14.25" hidden="false" customHeight="false" outlineLevel="0" collapsed="false">
      <c r="A844" s="18"/>
      <c r="B844" s="6"/>
      <c r="C844" s="6"/>
      <c r="D844" s="6"/>
      <c r="E844" s="16" t="str">
        <f aca="false">IF($B844="","",IFERROR(INDEX(Services!$C$2:$C$120,MATCH($B844,Services!$D$2:$D$120,0)),""))</f>
        <v/>
      </c>
      <c r="F844" s="19"/>
      <c r="G844" s="9" t="str">
        <f aca="false">IF(OR($B844="",NOT(ISNUMBER($E844))),"",$E844-IF($F844="",0,$F844))</f>
        <v/>
      </c>
      <c r="H844" s="15" t="str">
        <f aca="false">IF($B844="","",IFERROR(INDEX(Services!$A$2:$A$120,MATCH($B844,Services!$D$2:$D$120,0)),""))</f>
        <v/>
      </c>
      <c r="I844" s="19"/>
      <c r="J844" s="15" t="str">
        <f aca="false">IF($B844="","",IFERROR(INDEX(Services!$E$2:$E$120,MATCH($B844,Services!$D$2:$D$120,0)),""))</f>
        <v/>
      </c>
    </row>
    <row r="845" customFormat="false" ht="14.25" hidden="false" customHeight="false" outlineLevel="0" collapsed="false">
      <c r="A845" s="18"/>
      <c r="B845" s="6"/>
      <c r="C845" s="6"/>
      <c r="D845" s="6"/>
      <c r="E845" s="16" t="str">
        <f aca="false">IF($B845="","",IFERROR(INDEX(Services!$C$2:$C$120,MATCH($B845,Services!$D$2:$D$120,0)),""))</f>
        <v/>
      </c>
      <c r="F845" s="19"/>
      <c r="G845" s="9" t="str">
        <f aca="false">IF(OR($B845="",NOT(ISNUMBER($E845))),"",$E845-IF($F845="",0,$F845))</f>
        <v/>
      </c>
      <c r="H845" s="15" t="str">
        <f aca="false">IF($B845="","",IFERROR(INDEX(Services!$A$2:$A$120,MATCH($B845,Services!$D$2:$D$120,0)),""))</f>
        <v/>
      </c>
      <c r="I845" s="19"/>
      <c r="J845" s="15" t="str">
        <f aca="false">IF($B845="","",IFERROR(INDEX(Services!$E$2:$E$120,MATCH($B845,Services!$D$2:$D$120,0)),""))</f>
        <v/>
      </c>
    </row>
    <row r="846" customFormat="false" ht="14.25" hidden="false" customHeight="false" outlineLevel="0" collapsed="false">
      <c r="A846" s="18"/>
      <c r="B846" s="6"/>
      <c r="C846" s="6"/>
      <c r="D846" s="6"/>
      <c r="E846" s="16" t="str">
        <f aca="false">IF($B846="","",IFERROR(INDEX(Services!$C$2:$C$120,MATCH($B846,Services!$D$2:$D$120,0)),""))</f>
        <v/>
      </c>
      <c r="F846" s="19"/>
      <c r="G846" s="9" t="str">
        <f aca="false">IF(OR($B846="",NOT(ISNUMBER($E846))),"",$E846-IF($F846="",0,$F846))</f>
        <v/>
      </c>
      <c r="H846" s="15" t="str">
        <f aca="false">IF($B846="","",IFERROR(INDEX(Services!$A$2:$A$120,MATCH($B846,Services!$D$2:$D$120,0)),""))</f>
        <v/>
      </c>
      <c r="I846" s="19"/>
      <c r="J846" s="15" t="str">
        <f aca="false">IF($B846="","",IFERROR(INDEX(Services!$E$2:$E$120,MATCH($B846,Services!$D$2:$D$120,0)),""))</f>
        <v/>
      </c>
    </row>
    <row r="847" customFormat="false" ht="14.25" hidden="false" customHeight="false" outlineLevel="0" collapsed="false">
      <c r="A847" s="18"/>
      <c r="B847" s="6"/>
      <c r="C847" s="6"/>
      <c r="D847" s="6"/>
      <c r="E847" s="16" t="str">
        <f aca="false">IF($B847="","",IFERROR(INDEX(Services!$C$2:$C$120,MATCH($B847,Services!$D$2:$D$120,0)),""))</f>
        <v/>
      </c>
      <c r="F847" s="19"/>
      <c r="G847" s="9" t="str">
        <f aca="false">IF(OR($B847="",NOT(ISNUMBER($E847))),"",$E847-IF($F847="",0,$F847))</f>
        <v/>
      </c>
      <c r="H847" s="15" t="str">
        <f aca="false">IF($B847="","",IFERROR(INDEX(Services!$A$2:$A$120,MATCH($B847,Services!$D$2:$D$120,0)),""))</f>
        <v/>
      </c>
      <c r="I847" s="19"/>
      <c r="J847" s="15" t="str">
        <f aca="false">IF($B847="","",IFERROR(INDEX(Services!$E$2:$E$120,MATCH($B847,Services!$D$2:$D$120,0)),""))</f>
        <v/>
      </c>
    </row>
    <row r="848" customFormat="false" ht="14.25" hidden="false" customHeight="false" outlineLevel="0" collapsed="false">
      <c r="A848" s="18"/>
      <c r="B848" s="6"/>
      <c r="C848" s="6"/>
      <c r="D848" s="6"/>
      <c r="E848" s="16" t="str">
        <f aca="false">IF($B848="","",IFERROR(INDEX(Services!$C$2:$C$120,MATCH($B848,Services!$D$2:$D$120,0)),""))</f>
        <v/>
      </c>
      <c r="F848" s="19"/>
      <c r="G848" s="9" t="str">
        <f aca="false">IF(OR($B848="",NOT(ISNUMBER($E848))),"",$E848-IF($F848="",0,$F848))</f>
        <v/>
      </c>
      <c r="H848" s="15" t="str">
        <f aca="false">IF($B848="","",IFERROR(INDEX(Services!$A$2:$A$120,MATCH($B848,Services!$D$2:$D$120,0)),""))</f>
        <v/>
      </c>
      <c r="I848" s="19"/>
      <c r="J848" s="15" t="str">
        <f aca="false">IF($B848="","",IFERROR(INDEX(Services!$E$2:$E$120,MATCH($B848,Services!$D$2:$D$120,0)),""))</f>
        <v/>
      </c>
    </row>
    <row r="849" customFormat="false" ht="14.25" hidden="false" customHeight="false" outlineLevel="0" collapsed="false">
      <c r="A849" s="18"/>
      <c r="B849" s="6"/>
      <c r="C849" s="6"/>
      <c r="D849" s="6"/>
      <c r="E849" s="16" t="str">
        <f aca="false">IF($B849="","",IFERROR(INDEX(Services!$C$2:$C$120,MATCH($B849,Services!$D$2:$D$120,0)),""))</f>
        <v/>
      </c>
      <c r="F849" s="19"/>
      <c r="G849" s="9" t="str">
        <f aca="false">IF(OR($B849="",NOT(ISNUMBER($E849))),"",$E849-IF($F849="",0,$F849))</f>
        <v/>
      </c>
      <c r="H849" s="15" t="str">
        <f aca="false">IF($B849="","",IFERROR(INDEX(Services!$A$2:$A$120,MATCH($B849,Services!$D$2:$D$120,0)),""))</f>
        <v/>
      </c>
      <c r="I849" s="19"/>
      <c r="J849" s="15" t="str">
        <f aca="false">IF($B849="","",IFERROR(INDEX(Services!$E$2:$E$120,MATCH($B849,Services!$D$2:$D$120,0)),""))</f>
        <v/>
      </c>
    </row>
    <row r="850" customFormat="false" ht="14.25" hidden="false" customHeight="false" outlineLevel="0" collapsed="false">
      <c r="A850" s="18"/>
      <c r="B850" s="6"/>
      <c r="C850" s="6"/>
      <c r="D850" s="6"/>
      <c r="E850" s="16" t="str">
        <f aca="false">IF($B850="","",IFERROR(INDEX(Services!$C$2:$C$120,MATCH($B850,Services!$D$2:$D$120,0)),""))</f>
        <v/>
      </c>
      <c r="F850" s="19"/>
      <c r="G850" s="9" t="str">
        <f aca="false">IF(OR($B850="",NOT(ISNUMBER($E850))),"",$E850-IF($F850="",0,$F850))</f>
        <v/>
      </c>
      <c r="H850" s="15" t="str">
        <f aca="false">IF($B850="","",IFERROR(INDEX(Services!$A$2:$A$120,MATCH($B850,Services!$D$2:$D$120,0)),""))</f>
        <v/>
      </c>
      <c r="I850" s="19"/>
      <c r="J850" s="15" t="str">
        <f aca="false">IF($B850="","",IFERROR(INDEX(Services!$E$2:$E$120,MATCH($B850,Services!$D$2:$D$120,0)),""))</f>
        <v/>
      </c>
    </row>
    <row r="851" customFormat="false" ht="14.25" hidden="false" customHeight="false" outlineLevel="0" collapsed="false">
      <c r="A851" s="18"/>
      <c r="B851" s="6"/>
      <c r="C851" s="6"/>
      <c r="D851" s="6"/>
      <c r="E851" s="16" t="str">
        <f aca="false">IF($B851="","",IFERROR(INDEX(Services!$C$2:$C$120,MATCH($B851,Services!$D$2:$D$120,0)),""))</f>
        <v/>
      </c>
      <c r="F851" s="19"/>
      <c r="G851" s="9" t="str">
        <f aca="false">IF(OR($B851="",NOT(ISNUMBER($E851))),"",$E851-IF($F851="",0,$F851))</f>
        <v/>
      </c>
      <c r="H851" s="15" t="str">
        <f aca="false">IF($B851="","",IFERROR(INDEX(Services!$A$2:$A$120,MATCH($B851,Services!$D$2:$D$120,0)),""))</f>
        <v/>
      </c>
      <c r="I851" s="19"/>
      <c r="J851" s="15" t="str">
        <f aca="false">IF($B851="","",IFERROR(INDEX(Services!$E$2:$E$120,MATCH($B851,Services!$D$2:$D$120,0)),""))</f>
        <v/>
      </c>
    </row>
    <row r="852" customFormat="false" ht="14.25" hidden="false" customHeight="false" outlineLevel="0" collapsed="false">
      <c r="A852" s="18"/>
      <c r="B852" s="6"/>
      <c r="C852" s="6"/>
      <c r="D852" s="6"/>
      <c r="E852" s="16" t="str">
        <f aca="false">IF($B852="","",IFERROR(INDEX(Services!$C$2:$C$120,MATCH($B852,Services!$D$2:$D$120,0)),""))</f>
        <v/>
      </c>
      <c r="F852" s="19"/>
      <c r="G852" s="9" t="str">
        <f aca="false">IF(OR($B852="",NOT(ISNUMBER($E852))),"",$E852-IF($F852="",0,$F852))</f>
        <v/>
      </c>
      <c r="H852" s="15" t="str">
        <f aca="false">IF($B852="","",IFERROR(INDEX(Services!$A$2:$A$120,MATCH($B852,Services!$D$2:$D$120,0)),""))</f>
        <v/>
      </c>
      <c r="I852" s="19"/>
      <c r="J852" s="15" t="str">
        <f aca="false">IF($B852="","",IFERROR(INDEX(Services!$E$2:$E$120,MATCH($B852,Services!$D$2:$D$120,0)),""))</f>
        <v/>
      </c>
    </row>
    <row r="853" customFormat="false" ht="14.25" hidden="false" customHeight="false" outlineLevel="0" collapsed="false">
      <c r="A853" s="18"/>
      <c r="B853" s="6"/>
      <c r="C853" s="6"/>
      <c r="D853" s="6"/>
      <c r="E853" s="16" t="str">
        <f aca="false">IF($B853="","",IFERROR(INDEX(Services!$C$2:$C$120,MATCH($B853,Services!$D$2:$D$120,0)),""))</f>
        <v/>
      </c>
      <c r="F853" s="19"/>
      <c r="G853" s="9" t="str">
        <f aca="false">IF(OR($B853="",NOT(ISNUMBER($E853))),"",$E853-IF($F853="",0,$F853))</f>
        <v/>
      </c>
      <c r="H853" s="15" t="str">
        <f aca="false">IF($B853="","",IFERROR(INDEX(Services!$A$2:$A$120,MATCH($B853,Services!$D$2:$D$120,0)),""))</f>
        <v/>
      </c>
      <c r="I853" s="19"/>
      <c r="J853" s="15" t="str">
        <f aca="false">IF($B853="","",IFERROR(INDEX(Services!$E$2:$E$120,MATCH($B853,Services!$D$2:$D$120,0)),""))</f>
        <v/>
      </c>
    </row>
    <row r="854" customFormat="false" ht="14.25" hidden="false" customHeight="false" outlineLevel="0" collapsed="false">
      <c r="A854" s="18"/>
      <c r="B854" s="6"/>
      <c r="C854" s="6"/>
      <c r="D854" s="6"/>
      <c r="E854" s="16" t="str">
        <f aca="false">IF($B854="","",IFERROR(INDEX(Services!$C$2:$C$120,MATCH($B854,Services!$D$2:$D$120,0)),""))</f>
        <v/>
      </c>
      <c r="F854" s="19"/>
      <c r="G854" s="9" t="str">
        <f aca="false">IF(OR($B854="",NOT(ISNUMBER($E854))),"",$E854-IF($F854="",0,$F854))</f>
        <v/>
      </c>
      <c r="H854" s="15" t="str">
        <f aca="false">IF($B854="","",IFERROR(INDEX(Services!$A$2:$A$120,MATCH($B854,Services!$D$2:$D$120,0)),""))</f>
        <v/>
      </c>
      <c r="I854" s="19"/>
      <c r="J854" s="15" t="str">
        <f aca="false">IF($B854="","",IFERROR(INDEX(Services!$E$2:$E$120,MATCH($B854,Services!$D$2:$D$120,0)),""))</f>
        <v/>
      </c>
    </row>
    <row r="855" customFormat="false" ht="14.25" hidden="false" customHeight="false" outlineLevel="0" collapsed="false">
      <c r="A855" s="18"/>
      <c r="B855" s="6"/>
      <c r="C855" s="6"/>
      <c r="D855" s="6"/>
      <c r="E855" s="16" t="str">
        <f aca="false">IF($B855="","",IFERROR(INDEX(Services!$C$2:$C$120,MATCH($B855,Services!$D$2:$D$120,0)),""))</f>
        <v/>
      </c>
      <c r="F855" s="19"/>
      <c r="G855" s="9" t="str">
        <f aca="false">IF(OR($B855="",NOT(ISNUMBER($E855))),"",$E855-IF($F855="",0,$F855))</f>
        <v/>
      </c>
      <c r="H855" s="15" t="str">
        <f aca="false">IF($B855="","",IFERROR(INDEX(Services!$A$2:$A$120,MATCH($B855,Services!$D$2:$D$120,0)),""))</f>
        <v/>
      </c>
      <c r="I855" s="19"/>
      <c r="J855" s="15" t="str">
        <f aca="false">IF($B855="","",IFERROR(INDEX(Services!$E$2:$E$120,MATCH($B855,Services!$D$2:$D$120,0)),""))</f>
        <v/>
      </c>
    </row>
    <row r="856" customFormat="false" ht="14.25" hidden="false" customHeight="false" outlineLevel="0" collapsed="false">
      <c r="A856" s="18"/>
      <c r="B856" s="6"/>
      <c r="C856" s="6"/>
      <c r="D856" s="6"/>
      <c r="E856" s="16" t="str">
        <f aca="false">IF($B856="","",IFERROR(INDEX(Services!$C$2:$C$120,MATCH($B856,Services!$D$2:$D$120,0)),""))</f>
        <v/>
      </c>
      <c r="F856" s="19"/>
      <c r="G856" s="9" t="str">
        <f aca="false">IF(OR($B856="",NOT(ISNUMBER($E856))),"",$E856-IF($F856="",0,$F856))</f>
        <v/>
      </c>
      <c r="H856" s="15" t="str">
        <f aca="false">IF($B856="","",IFERROR(INDEX(Services!$A$2:$A$120,MATCH($B856,Services!$D$2:$D$120,0)),""))</f>
        <v/>
      </c>
      <c r="I856" s="19"/>
      <c r="J856" s="15" t="str">
        <f aca="false">IF($B856="","",IFERROR(INDEX(Services!$E$2:$E$120,MATCH($B856,Services!$D$2:$D$120,0)),""))</f>
        <v/>
      </c>
    </row>
    <row r="857" customFormat="false" ht="14.25" hidden="false" customHeight="false" outlineLevel="0" collapsed="false">
      <c r="A857" s="18"/>
      <c r="B857" s="6"/>
      <c r="C857" s="6"/>
      <c r="D857" s="6"/>
      <c r="E857" s="16" t="str">
        <f aca="false">IF($B857="","",IFERROR(INDEX(Services!$C$2:$C$120,MATCH($B857,Services!$D$2:$D$120,0)),""))</f>
        <v/>
      </c>
      <c r="F857" s="19"/>
      <c r="G857" s="9" t="str">
        <f aca="false">IF(OR($B857="",NOT(ISNUMBER($E857))),"",$E857-IF($F857="",0,$F857))</f>
        <v/>
      </c>
      <c r="H857" s="15" t="str">
        <f aca="false">IF($B857="","",IFERROR(INDEX(Services!$A$2:$A$120,MATCH($B857,Services!$D$2:$D$120,0)),""))</f>
        <v/>
      </c>
      <c r="I857" s="19"/>
      <c r="J857" s="15" t="str">
        <f aca="false">IF($B857="","",IFERROR(INDEX(Services!$E$2:$E$120,MATCH($B857,Services!$D$2:$D$120,0)),""))</f>
        <v/>
      </c>
    </row>
    <row r="858" customFormat="false" ht="14.25" hidden="false" customHeight="false" outlineLevel="0" collapsed="false">
      <c r="A858" s="18"/>
      <c r="B858" s="6"/>
      <c r="C858" s="6"/>
      <c r="D858" s="6"/>
      <c r="E858" s="16" t="str">
        <f aca="false">IF($B858="","",IFERROR(INDEX(Services!$C$2:$C$120,MATCH($B858,Services!$D$2:$D$120,0)),""))</f>
        <v/>
      </c>
      <c r="F858" s="19"/>
      <c r="G858" s="9" t="str">
        <f aca="false">IF(OR($B858="",NOT(ISNUMBER($E858))),"",$E858-IF($F858="",0,$F858))</f>
        <v/>
      </c>
      <c r="H858" s="15" t="str">
        <f aca="false">IF($B858="","",IFERROR(INDEX(Services!$A$2:$A$120,MATCH($B858,Services!$D$2:$D$120,0)),""))</f>
        <v/>
      </c>
      <c r="I858" s="19"/>
      <c r="J858" s="15" t="str">
        <f aca="false">IF($B858="","",IFERROR(INDEX(Services!$E$2:$E$120,MATCH($B858,Services!$D$2:$D$120,0)),""))</f>
        <v/>
      </c>
    </row>
    <row r="859" customFormat="false" ht="14.25" hidden="false" customHeight="false" outlineLevel="0" collapsed="false">
      <c r="A859" s="18"/>
      <c r="B859" s="6"/>
      <c r="C859" s="6"/>
      <c r="D859" s="6"/>
      <c r="E859" s="16" t="str">
        <f aca="false">IF($B859="","",IFERROR(INDEX(Services!$C$2:$C$120,MATCH($B859,Services!$D$2:$D$120,0)),""))</f>
        <v/>
      </c>
      <c r="F859" s="19"/>
      <c r="G859" s="9" t="str">
        <f aca="false">IF(OR($B859="",NOT(ISNUMBER($E859))),"",$E859-IF($F859="",0,$F859))</f>
        <v/>
      </c>
      <c r="H859" s="15" t="str">
        <f aca="false">IF($B859="","",IFERROR(INDEX(Services!$A$2:$A$120,MATCH($B859,Services!$D$2:$D$120,0)),""))</f>
        <v/>
      </c>
      <c r="I859" s="19"/>
      <c r="J859" s="15" t="str">
        <f aca="false">IF($B859="","",IFERROR(INDEX(Services!$E$2:$E$120,MATCH($B859,Services!$D$2:$D$120,0)),""))</f>
        <v/>
      </c>
    </row>
    <row r="860" customFormat="false" ht="14.25" hidden="false" customHeight="false" outlineLevel="0" collapsed="false">
      <c r="A860" s="18"/>
      <c r="B860" s="6"/>
      <c r="C860" s="6"/>
      <c r="D860" s="6"/>
      <c r="E860" s="16" t="str">
        <f aca="false">IF($B860="","",IFERROR(INDEX(Services!$C$2:$C$120,MATCH($B860,Services!$D$2:$D$120,0)),""))</f>
        <v/>
      </c>
      <c r="F860" s="19"/>
      <c r="G860" s="9" t="str">
        <f aca="false">IF(OR($B860="",NOT(ISNUMBER($E860))),"",$E860-IF($F860="",0,$F860))</f>
        <v/>
      </c>
      <c r="H860" s="15" t="str">
        <f aca="false">IF($B860="","",IFERROR(INDEX(Services!$A$2:$A$120,MATCH($B860,Services!$D$2:$D$120,0)),""))</f>
        <v/>
      </c>
      <c r="I860" s="19"/>
      <c r="J860" s="15" t="str">
        <f aca="false">IF($B860="","",IFERROR(INDEX(Services!$E$2:$E$120,MATCH($B860,Services!$D$2:$D$120,0)),""))</f>
        <v/>
      </c>
    </row>
    <row r="861" customFormat="false" ht="14.25" hidden="false" customHeight="false" outlineLevel="0" collapsed="false">
      <c r="A861" s="18"/>
      <c r="B861" s="6"/>
      <c r="C861" s="6"/>
      <c r="D861" s="6"/>
      <c r="E861" s="16" t="str">
        <f aca="false">IF($B861="","",IFERROR(INDEX(Services!$C$2:$C$120,MATCH($B861,Services!$D$2:$D$120,0)),""))</f>
        <v/>
      </c>
      <c r="F861" s="19"/>
      <c r="G861" s="9" t="str">
        <f aca="false">IF(OR($B861="",NOT(ISNUMBER($E861))),"",$E861-IF($F861="",0,$F861))</f>
        <v/>
      </c>
      <c r="H861" s="15" t="str">
        <f aca="false">IF($B861="","",IFERROR(INDEX(Services!$A$2:$A$120,MATCH($B861,Services!$D$2:$D$120,0)),""))</f>
        <v/>
      </c>
      <c r="I861" s="19"/>
      <c r="J861" s="15" t="str">
        <f aca="false">IF($B861="","",IFERROR(INDEX(Services!$E$2:$E$120,MATCH($B861,Services!$D$2:$D$120,0)),""))</f>
        <v/>
      </c>
    </row>
    <row r="862" customFormat="false" ht="14.25" hidden="false" customHeight="false" outlineLevel="0" collapsed="false">
      <c r="A862" s="18"/>
      <c r="B862" s="6"/>
      <c r="C862" s="6"/>
      <c r="D862" s="6"/>
      <c r="E862" s="16" t="str">
        <f aca="false">IF($B862="","",IFERROR(INDEX(Services!$C$2:$C$120,MATCH($B862,Services!$D$2:$D$120,0)),""))</f>
        <v/>
      </c>
      <c r="F862" s="19"/>
      <c r="G862" s="9" t="str">
        <f aca="false">IF(OR($B862="",NOT(ISNUMBER($E862))),"",$E862-IF($F862="",0,$F862))</f>
        <v/>
      </c>
      <c r="H862" s="15" t="str">
        <f aca="false">IF($B862="","",IFERROR(INDEX(Services!$A$2:$A$120,MATCH($B862,Services!$D$2:$D$120,0)),""))</f>
        <v/>
      </c>
      <c r="I862" s="19"/>
      <c r="J862" s="15" t="str">
        <f aca="false">IF($B862="","",IFERROR(INDEX(Services!$E$2:$E$120,MATCH($B862,Services!$D$2:$D$120,0)),""))</f>
        <v/>
      </c>
    </row>
    <row r="863" customFormat="false" ht="14.25" hidden="false" customHeight="false" outlineLevel="0" collapsed="false">
      <c r="A863" s="18"/>
      <c r="B863" s="6"/>
      <c r="C863" s="6"/>
      <c r="D863" s="6"/>
      <c r="E863" s="16" t="str">
        <f aca="false">IF($B863="","",IFERROR(INDEX(Services!$C$2:$C$120,MATCH($B863,Services!$D$2:$D$120,0)),""))</f>
        <v/>
      </c>
      <c r="F863" s="19"/>
      <c r="G863" s="9" t="str">
        <f aca="false">IF(OR($B863="",NOT(ISNUMBER($E863))),"",$E863-IF($F863="",0,$F863))</f>
        <v/>
      </c>
      <c r="H863" s="15" t="str">
        <f aca="false">IF($B863="","",IFERROR(INDEX(Services!$A$2:$A$120,MATCH($B863,Services!$D$2:$D$120,0)),""))</f>
        <v/>
      </c>
      <c r="I863" s="19"/>
      <c r="J863" s="15" t="str">
        <f aca="false">IF($B863="","",IFERROR(INDEX(Services!$E$2:$E$120,MATCH($B863,Services!$D$2:$D$120,0)),""))</f>
        <v/>
      </c>
    </row>
    <row r="864" customFormat="false" ht="14.25" hidden="false" customHeight="false" outlineLevel="0" collapsed="false">
      <c r="A864" s="18"/>
      <c r="B864" s="6"/>
      <c r="C864" s="6"/>
      <c r="D864" s="6"/>
      <c r="E864" s="16" t="str">
        <f aca="false">IF($B864="","",IFERROR(INDEX(Services!$C$2:$C$120,MATCH($B864,Services!$D$2:$D$120,0)),""))</f>
        <v/>
      </c>
      <c r="F864" s="19"/>
      <c r="G864" s="9" t="str">
        <f aca="false">IF(OR($B864="",NOT(ISNUMBER($E864))),"",$E864-IF($F864="",0,$F864))</f>
        <v/>
      </c>
      <c r="H864" s="15" t="str">
        <f aca="false">IF($B864="","",IFERROR(INDEX(Services!$A$2:$A$120,MATCH($B864,Services!$D$2:$D$120,0)),""))</f>
        <v/>
      </c>
      <c r="I864" s="19"/>
      <c r="J864" s="15" t="str">
        <f aca="false">IF($B864="","",IFERROR(INDEX(Services!$E$2:$E$120,MATCH($B864,Services!$D$2:$D$120,0)),""))</f>
        <v/>
      </c>
    </row>
    <row r="865" customFormat="false" ht="14.25" hidden="false" customHeight="false" outlineLevel="0" collapsed="false">
      <c r="A865" s="18"/>
      <c r="B865" s="6"/>
      <c r="C865" s="6"/>
      <c r="D865" s="6"/>
      <c r="E865" s="16" t="str">
        <f aca="false">IF($B865="","",IFERROR(INDEX(Services!$C$2:$C$120,MATCH($B865,Services!$D$2:$D$120,0)),""))</f>
        <v/>
      </c>
      <c r="F865" s="19"/>
      <c r="G865" s="9" t="str">
        <f aca="false">IF(OR($B865="",NOT(ISNUMBER($E865))),"",$E865-IF($F865="",0,$F865))</f>
        <v/>
      </c>
      <c r="H865" s="15" t="str">
        <f aca="false">IF($B865="","",IFERROR(INDEX(Services!$A$2:$A$120,MATCH($B865,Services!$D$2:$D$120,0)),""))</f>
        <v/>
      </c>
      <c r="I865" s="19"/>
      <c r="J865" s="15" t="str">
        <f aca="false">IF($B865="","",IFERROR(INDEX(Services!$E$2:$E$120,MATCH($B865,Services!$D$2:$D$120,0)),""))</f>
        <v/>
      </c>
    </row>
    <row r="866" customFormat="false" ht="14.25" hidden="false" customHeight="false" outlineLevel="0" collapsed="false">
      <c r="A866" s="18"/>
      <c r="B866" s="6"/>
      <c r="C866" s="6"/>
      <c r="D866" s="6"/>
      <c r="E866" s="16" t="str">
        <f aca="false">IF($B866="","",IFERROR(INDEX(Services!$C$2:$C$120,MATCH($B866,Services!$D$2:$D$120,0)),""))</f>
        <v/>
      </c>
      <c r="F866" s="19"/>
      <c r="G866" s="9" t="str">
        <f aca="false">IF(OR($B866="",NOT(ISNUMBER($E866))),"",$E866-IF($F866="",0,$F866))</f>
        <v/>
      </c>
      <c r="H866" s="15" t="str">
        <f aca="false">IF($B866="","",IFERROR(INDEX(Services!$A$2:$A$120,MATCH($B866,Services!$D$2:$D$120,0)),""))</f>
        <v/>
      </c>
      <c r="I866" s="19"/>
      <c r="J866" s="15" t="str">
        <f aca="false">IF($B866="","",IFERROR(INDEX(Services!$E$2:$E$120,MATCH($B866,Services!$D$2:$D$120,0)),""))</f>
        <v/>
      </c>
    </row>
    <row r="867" customFormat="false" ht="14.25" hidden="false" customHeight="false" outlineLevel="0" collapsed="false">
      <c r="A867" s="18"/>
      <c r="B867" s="6"/>
      <c r="C867" s="6"/>
      <c r="D867" s="6"/>
      <c r="E867" s="16" t="str">
        <f aca="false">IF($B867="","",IFERROR(INDEX(Services!$C$2:$C$120,MATCH($B867,Services!$D$2:$D$120,0)),""))</f>
        <v/>
      </c>
      <c r="F867" s="19"/>
      <c r="G867" s="9" t="str">
        <f aca="false">IF(OR($B867="",NOT(ISNUMBER($E867))),"",$E867-IF($F867="",0,$F867))</f>
        <v/>
      </c>
      <c r="H867" s="15" t="str">
        <f aca="false">IF($B867="","",IFERROR(INDEX(Services!$A$2:$A$120,MATCH($B867,Services!$D$2:$D$120,0)),""))</f>
        <v/>
      </c>
      <c r="I867" s="19"/>
      <c r="J867" s="15" t="str">
        <f aca="false">IF($B867="","",IFERROR(INDEX(Services!$E$2:$E$120,MATCH($B867,Services!$D$2:$D$120,0)),""))</f>
        <v/>
      </c>
    </row>
    <row r="868" customFormat="false" ht="14.25" hidden="false" customHeight="false" outlineLevel="0" collapsed="false">
      <c r="A868" s="18"/>
      <c r="B868" s="6"/>
      <c r="C868" s="6"/>
      <c r="D868" s="6"/>
      <c r="E868" s="16" t="str">
        <f aca="false">IF($B868="","",IFERROR(INDEX(Services!$C$2:$C$120,MATCH($B868,Services!$D$2:$D$120,0)),""))</f>
        <v/>
      </c>
      <c r="F868" s="19"/>
      <c r="G868" s="9" t="str">
        <f aca="false">IF(OR($B868="",NOT(ISNUMBER($E868))),"",$E868-IF($F868="",0,$F868))</f>
        <v/>
      </c>
      <c r="H868" s="15" t="str">
        <f aca="false">IF($B868="","",IFERROR(INDEX(Services!$A$2:$A$120,MATCH($B868,Services!$D$2:$D$120,0)),""))</f>
        <v/>
      </c>
      <c r="I868" s="19"/>
      <c r="J868" s="15" t="str">
        <f aca="false">IF($B868="","",IFERROR(INDEX(Services!$E$2:$E$120,MATCH($B868,Services!$D$2:$D$120,0)),""))</f>
        <v/>
      </c>
    </row>
    <row r="869" customFormat="false" ht="14.25" hidden="false" customHeight="false" outlineLevel="0" collapsed="false">
      <c r="A869" s="18"/>
      <c r="B869" s="6"/>
      <c r="C869" s="6"/>
      <c r="D869" s="6"/>
      <c r="E869" s="16" t="str">
        <f aca="false">IF($B869="","",IFERROR(INDEX(Services!$C$2:$C$120,MATCH($B869,Services!$D$2:$D$120,0)),""))</f>
        <v/>
      </c>
      <c r="F869" s="19"/>
      <c r="G869" s="9" t="str">
        <f aca="false">IF(OR($B869="",NOT(ISNUMBER($E869))),"",$E869-IF($F869="",0,$F869))</f>
        <v/>
      </c>
      <c r="H869" s="15" t="str">
        <f aca="false">IF($B869="","",IFERROR(INDEX(Services!$A$2:$A$120,MATCH($B869,Services!$D$2:$D$120,0)),""))</f>
        <v/>
      </c>
      <c r="I869" s="19"/>
      <c r="J869" s="15" t="str">
        <f aca="false">IF($B869="","",IFERROR(INDEX(Services!$E$2:$E$120,MATCH($B869,Services!$D$2:$D$120,0)),""))</f>
        <v/>
      </c>
    </row>
    <row r="870" customFormat="false" ht="14.25" hidden="false" customHeight="false" outlineLevel="0" collapsed="false">
      <c r="A870" s="18"/>
      <c r="B870" s="6"/>
      <c r="C870" s="6"/>
      <c r="D870" s="6"/>
      <c r="E870" s="16" t="str">
        <f aca="false">IF($B870="","",IFERROR(INDEX(Services!$C$2:$C$120,MATCH($B870,Services!$D$2:$D$120,0)),""))</f>
        <v/>
      </c>
      <c r="F870" s="19"/>
      <c r="G870" s="9" t="str">
        <f aca="false">IF(OR($B870="",NOT(ISNUMBER($E870))),"",$E870-IF($F870="",0,$F870))</f>
        <v/>
      </c>
      <c r="H870" s="15" t="str">
        <f aca="false">IF($B870="","",IFERROR(INDEX(Services!$A$2:$A$120,MATCH($B870,Services!$D$2:$D$120,0)),""))</f>
        <v/>
      </c>
      <c r="I870" s="19"/>
      <c r="J870" s="15" t="str">
        <f aca="false">IF($B870="","",IFERROR(INDEX(Services!$E$2:$E$120,MATCH($B870,Services!$D$2:$D$120,0)),""))</f>
        <v/>
      </c>
    </row>
    <row r="871" customFormat="false" ht="14.25" hidden="false" customHeight="false" outlineLevel="0" collapsed="false">
      <c r="A871" s="18"/>
      <c r="B871" s="6"/>
      <c r="C871" s="6"/>
      <c r="D871" s="6"/>
      <c r="E871" s="16" t="str">
        <f aca="false">IF($B871="","",IFERROR(INDEX(Services!$C$2:$C$120,MATCH($B871,Services!$D$2:$D$120,0)),""))</f>
        <v/>
      </c>
      <c r="F871" s="19"/>
      <c r="G871" s="9" t="str">
        <f aca="false">IF(OR($B871="",NOT(ISNUMBER($E871))),"",$E871-IF($F871="",0,$F871))</f>
        <v/>
      </c>
      <c r="H871" s="15" t="str">
        <f aca="false">IF($B871="","",IFERROR(INDEX(Services!$A$2:$A$120,MATCH($B871,Services!$D$2:$D$120,0)),""))</f>
        <v/>
      </c>
      <c r="I871" s="19"/>
      <c r="J871" s="15" t="str">
        <f aca="false">IF($B871="","",IFERROR(INDEX(Services!$E$2:$E$120,MATCH($B871,Services!$D$2:$D$120,0)),""))</f>
        <v/>
      </c>
    </row>
    <row r="872" customFormat="false" ht="14.25" hidden="false" customHeight="false" outlineLevel="0" collapsed="false">
      <c r="A872" s="18"/>
      <c r="B872" s="6"/>
      <c r="C872" s="6"/>
      <c r="D872" s="6"/>
      <c r="E872" s="16" t="str">
        <f aca="false">IF($B872="","",IFERROR(INDEX(Services!$C$2:$C$120,MATCH($B872,Services!$D$2:$D$120,0)),""))</f>
        <v/>
      </c>
      <c r="F872" s="19"/>
      <c r="G872" s="9" t="str">
        <f aca="false">IF(OR($B872="",NOT(ISNUMBER($E872))),"",$E872-IF($F872="",0,$F872))</f>
        <v/>
      </c>
      <c r="H872" s="15" t="str">
        <f aca="false">IF($B872="","",IFERROR(INDEX(Services!$A$2:$A$120,MATCH($B872,Services!$D$2:$D$120,0)),""))</f>
        <v/>
      </c>
      <c r="I872" s="19"/>
      <c r="J872" s="15" t="str">
        <f aca="false">IF($B872="","",IFERROR(INDEX(Services!$E$2:$E$120,MATCH($B872,Services!$D$2:$D$120,0)),""))</f>
        <v/>
      </c>
    </row>
    <row r="873" customFormat="false" ht="14.25" hidden="false" customHeight="false" outlineLevel="0" collapsed="false">
      <c r="A873" s="18"/>
      <c r="B873" s="6"/>
      <c r="C873" s="6"/>
      <c r="D873" s="6"/>
      <c r="E873" s="16" t="str">
        <f aca="false">IF($B873="","",IFERROR(INDEX(Services!$C$2:$C$120,MATCH($B873,Services!$D$2:$D$120,0)),""))</f>
        <v/>
      </c>
      <c r="F873" s="19"/>
      <c r="G873" s="9" t="str">
        <f aca="false">IF(OR($B873="",NOT(ISNUMBER($E873))),"",$E873-IF($F873="",0,$F873))</f>
        <v/>
      </c>
      <c r="H873" s="15" t="str">
        <f aca="false">IF($B873="","",IFERROR(INDEX(Services!$A$2:$A$120,MATCH($B873,Services!$D$2:$D$120,0)),""))</f>
        <v/>
      </c>
      <c r="I873" s="19"/>
      <c r="J873" s="15" t="str">
        <f aca="false">IF($B873="","",IFERROR(INDEX(Services!$E$2:$E$120,MATCH($B873,Services!$D$2:$D$120,0)),""))</f>
        <v/>
      </c>
    </row>
    <row r="874" customFormat="false" ht="14.25" hidden="false" customHeight="false" outlineLevel="0" collapsed="false">
      <c r="A874" s="18"/>
      <c r="B874" s="6"/>
      <c r="C874" s="6"/>
      <c r="D874" s="6"/>
      <c r="E874" s="16" t="str">
        <f aca="false">IF($B874="","",IFERROR(INDEX(Services!$C$2:$C$120,MATCH($B874,Services!$D$2:$D$120,0)),""))</f>
        <v/>
      </c>
      <c r="F874" s="19"/>
      <c r="G874" s="9" t="str">
        <f aca="false">IF(OR($B874="",NOT(ISNUMBER($E874))),"",$E874-IF($F874="",0,$F874))</f>
        <v/>
      </c>
      <c r="H874" s="15" t="str">
        <f aca="false">IF($B874="","",IFERROR(INDEX(Services!$A$2:$A$120,MATCH($B874,Services!$D$2:$D$120,0)),""))</f>
        <v/>
      </c>
      <c r="I874" s="19"/>
      <c r="J874" s="15" t="str">
        <f aca="false">IF($B874="","",IFERROR(INDEX(Services!$E$2:$E$120,MATCH($B874,Services!$D$2:$D$120,0)),""))</f>
        <v/>
      </c>
    </row>
    <row r="875" customFormat="false" ht="14.25" hidden="false" customHeight="false" outlineLevel="0" collapsed="false">
      <c r="A875" s="18"/>
      <c r="B875" s="6"/>
      <c r="C875" s="6"/>
      <c r="D875" s="6"/>
      <c r="E875" s="16" t="str">
        <f aca="false">IF($B875="","",IFERROR(INDEX(Services!$C$2:$C$120,MATCH($B875,Services!$D$2:$D$120,0)),""))</f>
        <v/>
      </c>
      <c r="F875" s="19"/>
      <c r="G875" s="9" t="str">
        <f aca="false">IF(OR($B875="",NOT(ISNUMBER($E875))),"",$E875-IF($F875="",0,$F875))</f>
        <v/>
      </c>
      <c r="H875" s="15" t="str">
        <f aca="false">IF($B875="","",IFERROR(INDEX(Services!$A$2:$A$120,MATCH($B875,Services!$D$2:$D$120,0)),""))</f>
        <v/>
      </c>
      <c r="I875" s="19"/>
      <c r="J875" s="15" t="str">
        <f aca="false">IF($B875="","",IFERROR(INDEX(Services!$E$2:$E$120,MATCH($B875,Services!$D$2:$D$120,0)),""))</f>
        <v/>
      </c>
    </row>
    <row r="876" customFormat="false" ht="14.25" hidden="false" customHeight="false" outlineLevel="0" collapsed="false">
      <c r="A876" s="18"/>
      <c r="B876" s="6"/>
      <c r="C876" s="6"/>
      <c r="D876" s="6"/>
      <c r="E876" s="16" t="str">
        <f aca="false">IF($B876="","",IFERROR(INDEX(Services!$C$2:$C$120,MATCH($B876,Services!$D$2:$D$120,0)),""))</f>
        <v/>
      </c>
      <c r="F876" s="19"/>
      <c r="G876" s="9" t="str">
        <f aca="false">IF(OR($B876="",NOT(ISNUMBER($E876))),"",$E876-IF($F876="",0,$F876))</f>
        <v/>
      </c>
      <c r="H876" s="15" t="str">
        <f aca="false">IF($B876="","",IFERROR(INDEX(Services!$A$2:$A$120,MATCH($B876,Services!$D$2:$D$120,0)),""))</f>
        <v/>
      </c>
      <c r="I876" s="19"/>
      <c r="J876" s="15" t="str">
        <f aca="false">IF($B876="","",IFERROR(INDEX(Services!$E$2:$E$120,MATCH($B876,Services!$D$2:$D$120,0)),""))</f>
        <v/>
      </c>
    </row>
    <row r="877" customFormat="false" ht="14.25" hidden="false" customHeight="false" outlineLevel="0" collapsed="false">
      <c r="A877" s="18"/>
      <c r="B877" s="6"/>
      <c r="C877" s="6"/>
      <c r="D877" s="6"/>
      <c r="E877" s="16" t="str">
        <f aca="false">IF($B877="","",IFERROR(INDEX(Services!$C$2:$C$120,MATCH($B877,Services!$D$2:$D$120,0)),""))</f>
        <v/>
      </c>
      <c r="F877" s="19"/>
      <c r="G877" s="9" t="str">
        <f aca="false">IF(OR($B877="",NOT(ISNUMBER($E877))),"",$E877-IF($F877="",0,$F877))</f>
        <v/>
      </c>
      <c r="H877" s="15" t="str">
        <f aca="false">IF($B877="","",IFERROR(INDEX(Services!$A$2:$A$120,MATCH($B877,Services!$D$2:$D$120,0)),""))</f>
        <v/>
      </c>
      <c r="I877" s="19"/>
      <c r="J877" s="15" t="str">
        <f aca="false">IF($B877="","",IFERROR(INDEX(Services!$E$2:$E$120,MATCH($B877,Services!$D$2:$D$120,0)),""))</f>
        <v/>
      </c>
    </row>
    <row r="878" customFormat="false" ht="14.25" hidden="false" customHeight="false" outlineLevel="0" collapsed="false">
      <c r="A878" s="18"/>
      <c r="B878" s="6"/>
      <c r="C878" s="6"/>
      <c r="D878" s="6"/>
      <c r="E878" s="16" t="str">
        <f aca="false">IF($B878="","",IFERROR(INDEX(Services!$C$2:$C$120,MATCH($B878,Services!$D$2:$D$120,0)),""))</f>
        <v/>
      </c>
      <c r="F878" s="19"/>
      <c r="G878" s="9" t="str">
        <f aca="false">IF(OR($B878="",NOT(ISNUMBER($E878))),"",$E878-IF($F878="",0,$F878))</f>
        <v/>
      </c>
      <c r="H878" s="15" t="str">
        <f aca="false">IF($B878="","",IFERROR(INDEX(Services!$A$2:$A$120,MATCH($B878,Services!$D$2:$D$120,0)),""))</f>
        <v/>
      </c>
      <c r="I878" s="19"/>
      <c r="J878" s="15" t="str">
        <f aca="false">IF($B878="","",IFERROR(INDEX(Services!$E$2:$E$120,MATCH($B878,Services!$D$2:$D$120,0)),""))</f>
        <v/>
      </c>
    </row>
    <row r="879" customFormat="false" ht="14.25" hidden="false" customHeight="false" outlineLevel="0" collapsed="false">
      <c r="A879" s="18"/>
      <c r="B879" s="6"/>
      <c r="C879" s="6"/>
      <c r="D879" s="6"/>
      <c r="E879" s="16" t="str">
        <f aca="false">IF($B879="","",IFERROR(INDEX(Services!$C$2:$C$120,MATCH($B879,Services!$D$2:$D$120,0)),""))</f>
        <v/>
      </c>
      <c r="F879" s="19"/>
      <c r="G879" s="9" t="str">
        <f aca="false">IF(OR($B879="",NOT(ISNUMBER($E879))),"",$E879-IF($F879="",0,$F879))</f>
        <v/>
      </c>
      <c r="H879" s="15" t="str">
        <f aca="false">IF($B879="","",IFERROR(INDEX(Services!$A$2:$A$120,MATCH($B879,Services!$D$2:$D$120,0)),""))</f>
        <v/>
      </c>
      <c r="I879" s="19"/>
      <c r="J879" s="15" t="str">
        <f aca="false">IF($B879="","",IFERROR(INDEX(Services!$E$2:$E$120,MATCH($B879,Services!$D$2:$D$120,0)),""))</f>
        <v/>
      </c>
    </row>
    <row r="880" customFormat="false" ht="14.25" hidden="false" customHeight="false" outlineLevel="0" collapsed="false">
      <c r="A880" s="18"/>
      <c r="B880" s="6"/>
      <c r="C880" s="6"/>
      <c r="D880" s="6"/>
      <c r="E880" s="16" t="str">
        <f aca="false">IF($B880="","",IFERROR(INDEX(Services!$C$2:$C$120,MATCH($B880,Services!$D$2:$D$120,0)),""))</f>
        <v/>
      </c>
      <c r="F880" s="19"/>
      <c r="G880" s="9" t="str">
        <f aca="false">IF(OR($B880="",NOT(ISNUMBER($E880))),"",$E880-IF($F880="",0,$F880))</f>
        <v/>
      </c>
      <c r="H880" s="15" t="str">
        <f aca="false">IF($B880="","",IFERROR(INDEX(Services!$A$2:$A$120,MATCH($B880,Services!$D$2:$D$120,0)),""))</f>
        <v/>
      </c>
      <c r="I880" s="19"/>
      <c r="J880" s="15" t="str">
        <f aca="false">IF($B880="","",IFERROR(INDEX(Services!$E$2:$E$120,MATCH($B880,Services!$D$2:$D$120,0)),""))</f>
        <v/>
      </c>
    </row>
    <row r="881" customFormat="false" ht="14.25" hidden="false" customHeight="false" outlineLevel="0" collapsed="false">
      <c r="A881" s="18"/>
      <c r="B881" s="6"/>
      <c r="C881" s="6"/>
      <c r="D881" s="6"/>
      <c r="E881" s="16" t="str">
        <f aca="false">IF($B881="","",IFERROR(INDEX(Services!$C$2:$C$120,MATCH($B881,Services!$D$2:$D$120,0)),""))</f>
        <v/>
      </c>
      <c r="F881" s="19"/>
      <c r="G881" s="9" t="str">
        <f aca="false">IF(OR($B881="",NOT(ISNUMBER($E881))),"",$E881-IF($F881="",0,$F881))</f>
        <v/>
      </c>
      <c r="H881" s="15" t="str">
        <f aca="false">IF($B881="","",IFERROR(INDEX(Services!$A$2:$A$120,MATCH($B881,Services!$D$2:$D$120,0)),""))</f>
        <v/>
      </c>
      <c r="I881" s="19"/>
      <c r="J881" s="15" t="str">
        <f aca="false">IF($B881="","",IFERROR(INDEX(Services!$E$2:$E$120,MATCH($B881,Services!$D$2:$D$120,0)),""))</f>
        <v/>
      </c>
    </row>
    <row r="882" customFormat="false" ht="14.25" hidden="false" customHeight="false" outlineLevel="0" collapsed="false">
      <c r="A882" s="18"/>
      <c r="B882" s="6"/>
      <c r="C882" s="6"/>
      <c r="D882" s="6"/>
      <c r="E882" s="16" t="str">
        <f aca="false">IF($B882="","",IFERROR(INDEX(Services!$C$2:$C$120,MATCH($B882,Services!$D$2:$D$120,0)),""))</f>
        <v/>
      </c>
      <c r="F882" s="19"/>
      <c r="G882" s="9" t="str">
        <f aca="false">IF(OR($B882="",NOT(ISNUMBER($E882))),"",$E882-IF($F882="",0,$F882))</f>
        <v/>
      </c>
      <c r="H882" s="15" t="str">
        <f aca="false">IF($B882="","",IFERROR(INDEX(Services!$A$2:$A$120,MATCH($B882,Services!$D$2:$D$120,0)),""))</f>
        <v/>
      </c>
      <c r="I882" s="19"/>
      <c r="J882" s="15" t="str">
        <f aca="false">IF($B882="","",IFERROR(INDEX(Services!$E$2:$E$120,MATCH($B882,Services!$D$2:$D$120,0)),""))</f>
        <v/>
      </c>
    </row>
    <row r="883" customFormat="false" ht="14.25" hidden="false" customHeight="false" outlineLevel="0" collapsed="false">
      <c r="A883" s="18"/>
      <c r="B883" s="6"/>
      <c r="C883" s="6"/>
      <c r="D883" s="6"/>
      <c r="E883" s="16" t="str">
        <f aca="false">IF($B883="","",IFERROR(INDEX(Services!$C$2:$C$120,MATCH($B883,Services!$D$2:$D$120,0)),""))</f>
        <v/>
      </c>
      <c r="F883" s="19"/>
      <c r="G883" s="9" t="str">
        <f aca="false">IF(OR($B883="",NOT(ISNUMBER($E883))),"",$E883-IF($F883="",0,$F883))</f>
        <v/>
      </c>
      <c r="H883" s="15" t="str">
        <f aca="false">IF($B883="","",IFERROR(INDEX(Services!$A$2:$A$120,MATCH($B883,Services!$D$2:$D$120,0)),""))</f>
        <v/>
      </c>
      <c r="I883" s="19"/>
      <c r="J883" s="15" t="str">
        <f aca="false">IF($B883="","",IFERROR(INDEX(Services!$E$2:$E$120,MATCH($B883,Services!$D$2:$D$120,0)),""))</f>
        <v/>
      </c>
    </row>
    <row r="884" customFormat="false" ht="14.25" hidden="false" customHeight="false" outlineLevel="0" collapsed="false">
      <c r="A884" s="18"/>
      <c r="B884" s="6"/>
      <c r="C884" s="6"/>
      <c r="D884" s="6"/>
      <c r="E884" s="16" t="str">
        <f aca="false">IF($B884="","",IFERROR(INDEX(Services!$C$2:$C$120,MATCH($B884,Services!$D$2:$D$120,0)),""))</f>
        <v/>
      </c>
      <c r="F884" s="19"/>
      <c r="G884" s="9" t="str">
        <f aca="false">IF(OR($B884="",NOT(ISNUMBER($E884))),"",$E884-IF($F884="",0,$F884))</f>
        <v/>
      </c>
      <c r="H884" s="15" t="str">
        <f aca="false">IF($B884="","",IFERROR(INDEX(Services!$A$2:$A$120,MATCH($B884,Services!$D$2:$D$120,0)),""))</f>
        <v/>
      </c>
      <c r="I884" s="19"/>
      <c r="J884" s="15" t="str">
        <f aca="false">IF($B884="","",IFERROR(INDEX(Services!$E$2:$E$120,MATCH($B884,Services!$D$2:$D$120,0)),""))</f>
        <v/>
      </c>
    </row>
    <row r="885" customFormat="false" ht="14.25" hidden="false" customHeight="false" outlineLevel="0" collapsed="false">
      <c r="A885" s="18"/>
      <c r="B885" s="6"/>
      <c r="C885" s="6"/>
      <c r="D885" s="6"/>
      <c r="E885" s="16" t="str">
        <f aca="false">IF($B885="","",IFERROR(INDEX(Services!$C$2:$C$120,MATCH($B885,Services!$D$2:$D$120,0)),""))</f>
        <v/>
      </c>
      <c r="F885" s="19"/>
      <c r="G885" s="9" t="str">
        <f aca="false">IF(OR($B885="",NOT(ISNUMBER($E885))),"",$E885-IF($F885="",0,$F885))</f>
        <v/>
      </c>
      <c r="H885" s="15" t="str">
        <f aca="false">IF($B885="","",IFERROR(INDEX(Services!$A$2:$A$120,MATCH($B885,Services!$D$2:$D$120,0)),""))</f>
        <v/>
      </c>
      <c r="I885" s="19"/>
      <c r="J885" s="15" t="str">
        <f aca="false">IF($B885="","",IFERROR(INDEX(Services!$E$2:$E$120,MATCH($B885,Services!$D$2:$D$120,0)),""))</f>
        <v/>
      </c>
    </row>
    <row r="886" customFormat="false" ht="14.25" hidden="false" customHeight="false" outlineLevel="0" collapsed="false">
      <c r="A886" s="18"/>
      <c r="B886" s="6"/>
      <c r="C886" s="6"/>
      <c r="D886" s="6"/>
      <c r="E886" s="16" t="str">
        <f aca="false">IF($B886="","",IFERROR(INDEX(Services!$C$2:$C$120,MATCH($B886,Services!$D$2:$D$120,0)),""))</f>
        <v/>
      </c>
      <c r="F886" s="19"/>
      <c r="G886" s="9" t="str">
        <f aca="false">IF(OR($B886="",NOT(ISNUMBER($E886))),"",$E886-IF($F886="",0,$F886))</f>
        <v/>
      </c>
      <c r="H886" s="15" t="str">
        <f aca="false">IF($B886="","",IFERROR(INDEX(Services!$A$2:$A$120,MATCH($B886,Services!$D$2:$D$120,0)),""))</f>
        <v/>
      </c>
      <c r="I886" s="19"/>
      <c r="J886" s="15" t="str">
        <f aca="false">IF($B886="","",IFERROR(INDEX(Services!$E$2:$E$120,MATCH($B886,Services!$D$2:$D$120,0)),""))</f>
        <v/>
      </c>
    </row>
    <row r="887" customFormat="false" ht="14.25" hidden="false" customHeight="false" outlineLevel="0" collapsed="false">
      <c r="A887" s="18"/>
      <c r="B887" s="6"/>
      <c r="C887" s="6"/>
      <c r="D887" s="6"/>
      <c r="E887" s="16" t="str">
        <f aca="false">IF($B887="","",IFERROR(INDEX(Services!$C$2:$C$120,MATCH($B887,Services!$D$2:$D$120,0)),""))</f>
        <v/>
      </c>
      <c r="F887" s="19"/>
      <c r="G887" s="9" t="str">
        <f aca="false">IF(OR($B887="",NOT(ISNUMBER($E887))),"",$E887-IF($F887="",0,$F887))</f>
        <v/>
      </c>
      <c r="H887" s="15" t="str">
        <f aca="false">IF($B887="","",IFERROR(INDEX(Services!$A$2:$A$120,MATCH($B887,Services!$D$2:$D$120,0)),""))</f>
        <v/>
      </c>
      <c r="I887" s="19"/>
      <c r="J887" s="15" t="str">
        <f aca="false">IF($B887="","",IFERROR(INDEX(Services!$E$2:$E$120,MATCH($B887,Services!$D$2:$D$120,0)),""))</f>
        <v/>
      </c>
    </row>
    <row r="888" customFormat="false" ht="14.25" hidden="false" customHeight="false" outlineLevel="0" collapsed="false">
      <c r="A888" s="18"/>
      <c r="B888" s="6"/>
      <c r="C888" s="6"/>
      <c r="D888" s="6"/>
      <c r="E888" s="16" t="str">
        <f aca="false">IF($B888="","",IFERROR(INDEX(Services!$C$2:$C$120,MATCH($B888,Services!$D$2:$D$120,0)),""))</f>
        <v/>
      </c>
      <c r="F888" s="19"/>
      <c r="G888" s="9" t="str">
        <f aca="false">IF(OR($B888="",NOT(ISNUMBER($E888))),"",$E888-IF($F888="",0,$F888))</f>
        <v/>
      </c>
      <c r="H888" s="15" t="str">
        <f aca="false">IF($B888="","",IFERROR(INDEX(Services!$A$2:$A$120,MATCH($B888,Services!$D$2:$D$120,0)),""))</f>
        <v/>
      </c>
      <c r="I888" s="19"/>
      <c r="J888" s="15" t="str">
        <f aca="false">IF($B888="","",IFERROR(INDEX(Services!$E$2:$E$120,MATCH($B888,Services!$D$2:$D$120,0)),""))</f>
        <v/>
      </c>
    </row>
    <row r="889" customFormat="false" ht="14.25" hidden="false" customHeight="false" outlineLevel="0" collapsed="false">
      <c r="A889" s="18"/>
      <c r="B889" s="6"/>
      <c r="C889" s="6"/>
      <c r="D889" s="6"/>
      <c r="E889" s="16" t="str">
        <f aca="false">IF($B889="","",IFERROR(INDEX(Services!$C$2:$C$120,MATCH($B889,Services!$D$2:$D$120,0)),""))</f>
        <v/>
      </c>
      <c r="F889" s="19"/>
      <c r="G889" s="9" t="str">
        <f aca="false">IF(OR($B889="",NOT(ISNUMBER($E889))),"",$E889-IF($F889="",0,$F889))</f>
        <v/>
      </c>
      <c r="H889" s="15" t="str">
        <f aca="false">IF($B889="","",IFERROR(INDEX(Services!$A$2:$A$120,MATCH($B889,Services!$D$2:$D$120,0)),""))</f>
        <v/>
      </c>
      <c r="I889" s="19"/>
      <c r="J889" s="15" t="str">
        <f aca="false">IF($B889="","",IFERROR(INDEX(Services!$E$2:$E$120,MATCH($B889,Services!$D$2:$D$120,0)),""))</f>
        <v/>
      </c>
    </row>
    <row r="890" customFormat="false" ht="14.25" hidden="false" customHeight="false" outlineLevel="0" collapsed="false">
      <c r="A890" s="18"/>
      <c r="B890" s="6"/>
      <c r="C890" s="6"/>
      <c r="D890" s="6"/>
      <c r="E890" s="16" t="str">
        <f aca="false">IF($B890="","",IFERROR(INDEX(Services!$C$2:$C$120,MATCH($B890,Services!$D$2:$D$120,0)),""))</f>
        <v/>
      </c>
      <c r="F890" s="19"/>
      <c r="G890" s="9" t="str">
        <f aca="false">IF(OR($B890="",NOT(ISNUMBER($E890))),"",$E890-IF($F890="",0,$F890))</f>
        <v/>
      </c>
      <c r="H890" s="15" t="str">
        <f aca="false">IF($B890="","",IFERROR(INDEX(Services!$A$2:$A$120,MATCH($B890,Services!$D$2:$D$120,0)),""))</f>
        <v/>
      </c>
      <c r="I890" s="19"/>
      <c r="J890" s="15" t="str">
        <f aca="false">IF($B890="","",IFERROR(INDEX(Services!$E$2:$E$120,MATCH($B890,Services!$D$2:$D$120,0)),""))</f>
        <v/>
      </c>
    </row>
    <row r="891" customFormat="false" ht="14.25" hidden="false" customHeight="false" outlineLevel="0" collapsed="false">
      <c r="A891" s="18"/>
      <c r="B891" s="6"/>
      <c r="C891" s="6"/>
      <c r="D891" s="6"/>
      <c r="E891" s="16" t="str">
        <f aca="false">IF($B891="","",IFERROR(INDEX(Services!$C$2:$C$120,MATCH($B891,Services!$D$2:$D$120,0)),""))</f>
        <v/>
      </c>
      <c r="F891" s="19"/>
      <c r="G891" s="9" t="str">
        <f aca="false">IF(OR($B891="",NOT(ISNUMBER($E891))),"",$E891-IF($F891="",0,$F891))</f>
        <v/>
      </c>
      <c r="H891" s="15" t="str">
        <f aca="false">IF($B891="","",IFERROR(INDEX(Services!$A$2:$A$120,MATCH($B891,Services!$D$2:$D$120,0)),""))</f>
        <v/>
      </c>
      <c r="I891" s="19"/>
      <c r="J891" s="15" t="str">
        <f aca="false">IF($B891="","",IFERROR(INDEX(Services!$E$2:$E$120,MATCH($B891,Services!$D$2:$D$120,0)),""))</f>
        <v/>
      </c>
    </row>
    <row r="892" customFormat="false" ht="14.25" hidden="false" customHeight="false" outlineLevel="0" collapsed="false">
      <c r="A892" s="18"/>
      <c r="B892" s="6"/>
      <c r="C892" s="6"/>
      <c r="D892" s="6"/>
      <c r="E892" s="16" t="str">
        <f aca="false">IF($B892="","",IFERROR(INDEX(Services!$C$2:$C$120,MATCH($B892,Services!$D$2:$D$120,0)),""))</f>
        <v/>
      </c>
      <c r="F892" s="19"/>
      <c r="G892" s="9" t="str">
        <f aca="false">IF(OR($B892="",NOT(ISNUMBER($E892))),"",$E892-IF($F892="",0,$F892))</f>
        <v/>
      </c>
      <c r="H892" s="15" t="str">
        <f aca="false">IF($B892="","",IFERROR(INDEX(Services!$A$2:$A$120,MATCH($B892,Services!$D$2:$D$120,0)),""))</f>
        <v/>
      </c>
      <c r="I892" s="19"/>
      <c r="J892" s="15" t="str">
        <f aca="false">IF($B892="","",IFERROR(INDEX(Services!$E$2:$E$120,MATCH($B892,Services!$D$2:$D$120,0)),""))</f>
        <v/>
      </c>
    </row>
    <row r="893" customFormat="false" ht="14.25" hidden="false" customHeight="false" outlineLevel="0" collapsed="false">
      <c r="A893" s="18"/>
      <c r="B893" s="6"/>
      <c r="C893" s="6"/>
      <c r="D893" s="6"/>
      <c r="E893" s="16" t="str">
        <f aca="false">IF($B893="","",IFERROR(INDEX(Services!$C$2:$C$120,MATCH($B893,Services!$D$2:$D$120,0)),""))</f>
        <v/>
      </c>
      <c r="F893" s="19"/>
      <c r="G893" s="9" t="str">
        <f aca="false">IF(OR($B893="",NOT(ISNUMBER($E893))),"",$E893-IF($F893="",0,$F893))</f>
        <v/>
      </c>
      <c r="H893" s="15" t="str">
        <f aca="false">IF($B893="","",IFERROR(INDEX(Services!$A$2:$A$120,MATCH($B893,Services!$D$2:$D$120,0)),""))</f>
        <v/>
      </c>
      <c r="I893" s="19"/>
      <c r="J893" s="15" t="str">
        <f aca="false">IF($B893="","",IFERROR(INDEX(Services!$E$2:$E$120,MATCH($B893,Services!$D$2:$D$120,0)),""))</f>
        <v/>
      </c>
    </row>
    <row r="894" customFormat="false" ht="14.25" hidden="false" customHeight="false" outlineLevel="0" collapsed="false">
      <c r="A894" s="18"/>
      <c r="B894" s="6"/>
      <c r="C894" s="6"/>
      <c r="D894" s="6"/>
      <c r="E894" s="16" t="str">
        <f aca="false">IF($B894="","",IFERROR(INDEX(Services!$C$2:$C$120,MATCH($B894,Services!$D$2:$D$120,0)),""))</f>
        <v/>
      </c>
      <c r="F894" s="19"/>
      <c r="G894" s="9" t="str">
        <f aca="false">IF(OR($B894="",NOT(ISNUMBER($E894))),"",$E894-IF($F894="",0,$F894))</f>
        <v/>
      </c>
      <c r="H894" s="15" t="str">
        <f aca="false">IF($B894="","",IFERROR(INDEX(Services!$A$2:$A$120,MATCH($B894,Services!$D$2:$D$120,0)),""))</f>
        <v/>
      </c>
      <c r="I894" s="19"/>
      <c r="J894" s="15" t="str">
        <f aca="false">IF($B894="","",IFERROR(INDEX(Services!$E$2:$E$120,MATCH($B894,Services!$D$2:$D$120,0)),""))</f>
        <v/>
      </c>
    </row>
    <row r="895" customFormat="false" ht="14.25" hidden="false" customHeight="false" outlineLevel="0" collapsed="false">
      <c r="A895" s="18"/>
      <c r="B895" s="6"/>
      <c r="C895" s="6"/>
      <c r="D895" s="6"/>
      <c r="E895" s="16" t="str">
        <f aca="false">IF($B895="","",IFERROR(INDEX(Services!$C$2:$C$120,MATCH($B895,Services!$D$2:$D$120,0)),""))</f>
        <v/>
      </c>
      <c r="F895" s="19"/>
      <c r="G895" s="9" t="str">
        <f aca="false">IF(OR($B895="",NOT(ISNUMBER($E895))),"",$E895-IF($F895="",0,$F895))</f>
        <v/>
      </c>
      <c r="H895" s="15" t="str">
        <f aca="false">IF($B895="","",IFERROR(INDEX(Services!$A$2:$A$120,MATCH($B895,Services!$D$2:$D$120,0)),""))</f>
        <v/>
      </c>
      <c r="I895" s="19"/>
      <c r="J895" s="15" t="str">
        <f aca="false">IF($B895="","",IFERROR(INDEX(Services!$E$2:$E$120,MATCH($B895,Services!$D$2:$D$120,0)),""))</f>
        <v/>
      </c>
    </row>
    <row r="896" customFormat="false" ht="14.25" hidden="false" customHeight="false" outlineLevel="0" collapsed="false">
      <c r="A896" s="18"/>
      <c r="B896" s="6"/>
      <c r="C896" s="6"/>
      <c r="D896" s="6"/>
      <c r="E896" s="16" t="str">
        <f aca="false">IF($B896="","",IFERROR(INDEX(Services!$C$2:$C$120,MATCH($B896,Services!$D$2:$D$120,0)),""))</f>
        <v/>
      </c>
      <c r="F896" s="19"/>
      <c r="G896" s="9" t="str">
        <f aca="false">IF(OR($B896="",NOT(ISNUMBER($E896))),"",$E896-IF($F896="",0,$F896))</f>
        <v/>
      </c>
      <c r="H896" s="15" t="str">
        <f aca="false">IF($B896="","",IFERROR(INDEX(Services!$A$2:$A$120,MATCH($B896,Services!$D$2:$D$120,0)),""))</f>
        <v/>
      </c>
      <c r="I896" s="19"/>
      <c r="J896" s="15" t="str">
        <f aca="false">IF($B896="","",IFERROR(INDEX(Services!$E$2:$E$120,MATCH($B896,Services!$D$2:$D$120,0)),""))</f>
        <v/>
      </c>
    </row>
    <row r="897" customFormat="false" ht="14.25" hidden="false" customHeight="false" outlineLevel="0" collapsed="false">
      <c r="A897" s="18"/>
      <c r="B897" s="6"/>
      <c r="C897" s="6"/>
      <c r="D897" s="6"/>
      <c r="E897" s="16" t="str">
        <f aca="false">IF($B897="","",IFERROR(INDEX(Services!$C$2:$C$120,MATCH($B897,Services!$D$2:$D$120,0)),""))</f>
        <v/>
      </c>
      <c r="F897" s="19"/>
      <c r="G897" s="9" t="str">
        <f aca="false">IF(OR($B897="",NOT(ISNUMBER($E897))),"",$E897-IF($F897="",0,$F897))</f>
        <v/>
      </c>
      <c r="H897" s="15" t="str">
        <f aca="false">IF($B897="","",IFERROR(INDEX(Services!$A$2:$A$120,MATCH($B897,Services!$D$2:$D$120,0)),""))</f>
        <v/>
      </c>
      <c r="I897" s="19"/>
      <c r="J897" s="15" t="str">
        <f aca="false">IF($B897="","",IFERROR(INDEX(Services!$E$2:$E$120,MATCH($B897,Services!$D$2:$D$120,0)),""))</f>
        <v/>
      </c>
    </row>
    <row r="898" customFormat="false" ht="14.25" hidden="false" customHeight="false" outlineLevel="0" collapsed="false">
      <c r="A898" s="18"/>
      <c r="B898" s="6"/>
      <c r="C898" s="6"/>
      <c r="D898" s="6"/>
      <c r="E898" s="16" t="str">
        <f aca="false">IF($B898="","",IFERROR(INDEX(Services!$C$2:$C$120,MATCH($B898,Services!$D$2:$D$120,0)),""))</f>
        <v/>
      </c>
      <c r="F898" s="19"/>
      <c r="G898" s="9" t="str">
        <f aca="false">IF(OR($B898="",NOT(ISNUMBER($E898))),"",$E898-IF($F898="",0,$F898))</f>
        <v/>
      </c>
      <c r="H898" s="15" t="str">
        <f aca="false">IF($B898="","",IFERROR(INDEX(Services!$A$2:$A$120,MATCH($B898,Services!$D$2:$D$120,0)),""))</f>
        <v/>
      </c>
      <c r="I898" s="19"/>
      <c r="J898" s="15" t="str">
        <f aca="false">IF($B898="","",IFERROR(INDEX(Services!$E$2:$E$120,MATCH($B898,Services!$D$2:$D$120,0)),""))</f>
        <v/>
      </c>
    </row>
    <row r="899" customFormat="false" ht="14.25" hidden="false" customHeight="false" outlineLevel="0" collapsed="false">
      <c r="A899" s="18"/>
      <c r="B899" s="6"/>
      <c r="C899" s="6"/>
      <c r="D899" s="6"/>
      <c r="E899" s="16" t="str">
        <f aca="false">IF($B899="","",IFERROR(INDEX(Services!$C$2:$C$120,MATCH($B899,Services!$D$2:$D$120,0)),""))</f>
        <v/>
      </c>
      <c r="F899" s="19"/>
      <c r="G899" s="9" t="str">
        <f aca="false">IF(OR($B899="",NOT(ISNUMBER($E899))),"",$E899-IF($F899="",0,$F899))</f>
        <v/>
      </c>
      <c r="H899" s="15" t="str">
        <f aca="false">IF($B899="","",IFERROR(INDEX(Services!$A$2:$A$120,MATCH($B899,Services!$D$2:$D$120,0)),""))</f>
        <v/>
      </c>
      <c r="I899" s="19"/>
      <c r="J899" s="15" t="str">
        <f aca="false">IF($B899="","",IFERROR(INDEX(Services!$E$2:$E$120,MATCH($B899,Services!$D$2:$D$120,0)),""))</f>
        <v/>
      </c>
    </row>
    <row r="900" customFormat="false" ht="14.25" hidden="false" customHeight="false" outlineLevel="0" collapsed="false">
      <c r="A900" s="18"/>
      <c r="B900" s="6"/>
      <c r="C900" s="6"/>
      <c r="D900" s="6"/>
      <c r="E900" s="16" t="str">
        <f aca="false">IF($B900="","",IFERROR(INDEX(Services!$C$2:$C$120,MATCH($B900,Services!$D$2:$D$120,0)),""))</f>
        <v/>
      </c>
      <c r="F900" s="19"/>
      <c r="G900" s="9" t="str">
        <f aca="false">IF(OR($B900="",NOT(ISNUMBER($E900))),"",$E900-IF($F900="",0,$F900))</f>
        <v/>
      </c>
      <c r="H900" s="15" t="str">
        <f aca="false">IF($B900="","",IFERROR(INDEX(Services!$A$2:$A$120,MATCH($B900,Services!$D$2:$D$120,0)),""))</f>
        <v/>
      </c>
      <c r="I900" s="19"/>
      <c r="J900" s="15" t="str">
        <f aca="false">IF($B900="","",IFERROR(INDEX(Services!$E$2:$E$120,MATCH($B900,Services!$D$2:$D$120,0)),""))</f>
        <v/>
      </c>
    </row>
    <row r="901" customFormat="false" ht="14.25" hidden="false" customHeight="false" outlineLevel="0" collapsed="false">
      <c r="A901" s="18"/>
      <c r="B901" s="6"/>
      <c r="C901" s="6"/>
      <c r="D901" s="6"/>
      <c r="E901" s="16" t="str">
        <f aca="false">IF($B901="","",IFERROR(INDEX(Services!$C$2:$C$120,MATCH($B901,Services!$D$2:$D$120,0)),""))</f>
        <v/>
      </c>
      <c r="F901" s="19"/>
      <c r="G901" s="9" t="str">
        <f aca="false">IF(OR($B901="",NOT(ISNUMBER($E901))),"",$E901-IF($F901="",0,$F901))</f>
        <v/>
      </c>
      <c r="H901" s="15" t="str">
        <f aca="false">IF($B901="","",IFERROR(INDEX(Services!$A$2:$A$120,MATCH($B901,Services!$D$2:$D$120,0)),""))</f>
        <v/>
      </c>
      <c r="I901" s="19"/>
      <c r="J901" s="15" t="str">
        <f aca="false">IF($B901="","",IFERROR(INDEX(Services!$E$2:$E$120,MATCH($B901,Services!$D$2:$D$120,0)),""))</f>
        <v/>
      </c>
    </row>
    <row r="902" customFormat="false" ht="14.25" hidden="false" customHeight="false" outlineLevel="0" collapsed="false">
      <c r="A902" s="18"/>
      <c r="B902" s="6"/>
      <c r="C902" s="6"/>
      <c r="D902" s="6"/>
      <c r="E902" s="16" t="str">
        <f aca="false">IF($B902="","",IFERROR(INDEX(Services!$C$2:$C$120,MATCH($B902,Services!$D$2:$D$120,0)),""))</f>
        <v/>
      </c>
      <c r="F902" s="19"/>
      <c r="G902" s="9" t="str">
        <f aca="false">IF(OR($B902="",NOT(ISNUMBER($E902))),"",$E902-IF($F902="",0,$F902))</f>
        <v/>
      </c>
      <c r="H902" s="15" t="str">
        <f aca="false">IF($B902="","",IFERROR(INDEX(Services!$A$2:$A$120,MATCH($B902,Services!$D$2:$D$120,0)),""))</f>
        <v/>
      </c>
      <c r="I902" s="19"/>
      <c r="J902" s="15" t="str">
        <f aca="false">IF($B902="","",IFERROR(INDEX(Services!$E$2:$E$120,MATCH($B902,Services!$D$2:$D$120,0)),""))</f>
        <v/>
      </c>
    </row>
    <row r="903" customFormat="false" ht="14.25" hidden="false" customHeight="false" outlineLevel="0" collapsed="false">
      <c r="A903" s="18"/>
      <c r="B903" s="6"/>
      <c r="C903" s="6"/>
      <c r="D903" s="6"/>
      <c r="E903" s="16" t="str">
        <f aca="false">IF($B903="","",IFERROR(INDEX(Services!$C$2:$C$120,MATCH($B903,Services!$D$2:$D$120,0)),""))</f>
        <v/>
      </c>
      <c r="F903" s="19"/>
      <c r="G903" s="9" t="str">
        <f aca="false">IF(OR($B903="",NOT(ISNUMBER($E903))),"",$E903-IF($F903="",0,$F903))</f>
        <v/>
      </c>
      <c r="H903" s="15" t="str">
        <f aca="false">IF($B903="","",IFERROR(INDEX(Services!$A$2:$A$120,MATCH($B903,Services!$D$2:$D$120,0)),""))</f>
        <v/>
      </c>
      <c r="I903" s="19"/>
      <c r="J903" s="15" t="str">
        <f aca="false">IF($B903="","",IFERROR(INDEX(Services!$E$2:$E$120,MATCH($B903,Services!$D$2:$D$120,0)),""))</f>
        <v/>
      </c>
    </row>
    <row r="904" customFormat="false" ht="14.25" hidden="false" customHeight="false" outlineLevel="0" collapsed="false">
      <c r="A904" s="18"/>
      <c r="B904" s="6"/>
      <c r="C904" s="6"/>
      <c r="D904" s="6"/>
      <c r="E904" s="16" t="str">
        <f aca="false">IF($B904="","",IFERROR(INDEX(Services!$C$2:$C$120,MATCH($B904,Services!$D$2:$D$120,0)),""))</f>
        <v/>
      </c>
      <c r="F904" s="19"/>
      <c r="G904" s="9" t="str">
        <f aca="false">IF(OR($B904="",NOT(ISNUMBER($E904))),"",$E904-IF($F904="",0,$F904))</f>
        <v/>
      </c>
      <c r="H904" s="15" t="str">
        <f aca="false">IF($B904="","",IFERROR(INDEX(Services!$A$2:$A$120,MATCH($B904,Services!$D$2:$D$120,0)),""))</f>
        <v/>
      </c>
      <c r="I904" s="19"/>
      <c r="J904" s="15" t="str">
        <f aca="false">IF($B904="","",IFERROR(INDEX(Services!$E$2:$E$120,MATCH($B904,Services!$D$2:$D$120,0)),""))</f>
        <v/>
      </c>
    </row>
    <row r="905" customFormat="false" ht="14.25" hidden="false" customHeight="false" outlineLevel="0" collapsed="false">
      <c r="A905" s="18"/>
      <c r="B905" s="6"/>
      <c r="C905" s="6"/>
      <c r="D905" s="6"/>
      <c r="E905" s="16" t="str">
        <f aca="false">IF($B905="","",IFERROR(INDEX(Services!$C$2:$C$120,MATCH($B905,Services!$D$2:$D$120,0)),""))</f>
        <v/>
      </c>
      <c r="F905" s="19"/>
      <c r="G905" s="9" t="str">
        <f aca="false">IF(OR($B905="",NOT(ISNUMBER($E905))),"",$E905-IF($F905="",0,$F905))</f>
        <v/>
      </c>
      <c r="H905" s="15" t="str">
        <f aca="false">IF($B905="","",IFERROR(INDEX(Services!$A$2:$A$120,MATCH($B905,Services!$D$2:$D$120,0)),""))</f>
        <v/>
      </c>
      <c r="I905" s="19"/>
      <c r="J905" s="15" t="str">
        <f aca="false">IF($B905="","",IFERROR(INDEX(Services!$E$2:$E$120,MATCH($B905,Services!$D$2:$D$120,0)),""))</f>
        <v/>
      </c>
    </row>
    <row r="906" customFormat="false" ht="14.25" hidden="false" customHeight="false" outlineLevel="0" collapsed="false">
      <c r="A906" s="18"/>
      <c r="B906" s="6"/>
      <c r="C906" s="6"/>
      <c r="D906" s="6"/>
      <c r="E906" s="16" t="str">
        <f aca="false">IF($B906="","",IFERROR(INDEX(Services!$C$2:$C$120,MATCH($B906,Services!$D$2:$D$120,0)),""))</f>
        <v/>
      </c>
      <c r="F906" s="19"/>
      <c r="G906" s="9" t="str">
        <f aca="false">IF(OR($B906="",NOT(ISNUMBER($E906))),"",$E906-IF($F906="",0,$F906))</f>
        <v/>
      </c>
      <c r="H906" s="15" t="str">
        <f aca="false">IF($B906="","",IFERROR(INDEX(Services!$A$2:$A$120,MATCH($B906,Services!$D$2:$D$120,0)),""))</f>
        <v/>
      </c>
      <c r="I906" s="19"/>
      <c r="J906" s="15" t="str">
        <f aca="false">IF($B906="","",IFERROR(INDEX(Services!$E$2:$E$120,MATCH($B906,Services!$D$2:$D$120,0)),""))</f>
        <v/>
      </c>
    </row>
    <row r="907" customFormat="false" ht="14.25" hidden="false" customHeight="false" outlineLevel="0" collapsed="false">
      <c r="A907" s="18"/>
      <c r="B907" s="6"/>
      <c r="C907" s="6"/>
      <c r="D907" s="6"/>
      <c r="E907" s="16" t="str">
        <f aca="false">IF($B907="","",IFERROR(INDEX(Services!$C$2:$C$120,MATCH($B907,Services!$D$2:$D$120,0)),""))</f>
        <v/>
      </c>
      <c r="F907" s="19"/>
      <c r="G907" s="9" t="str">
        <f aca="false">IF(OR($B907="",NOT(ISNUMBER($E907))),"",$E907-IF($F907="",0,$F907))</f>
        <v/>
      </c>
      <c r="H907" s="15" t="str">
        <f aca="false">IF($B907="","",IFERROR(INDEX(Services!$A$2:$A$120,MATCH($B907,Services!$D$2:$D$120,0)),""))</f>
        <v/>
      </c>
      <c r="I907" s="19"/>
      <c r="J907" s="15" t="str">
        <f aca="false">IF($B907="","",IFERROR(INDEX(Services!$E$2:$E$120,MATCH($B907,Services!$D$2:$D$120,0)),""))</f>
        <v/>
      </c>
    </row>
    <row r="908" customFormat="false" ht="14.25" hidden="false" customHeight="false" outlineLevel="0" collapsed="false">
      <c r="A908" s="18"/>
      <c r="B908" s="6"/>
      <c r="C908" s="6"/>
      <c r="D908" s="6"/>
      <c r="E908" s="16" t="str">
        <f aca="false">IF($B908="","",IFERROR(INDEX(Services!$C$2:$C$120,MATCH($B908,Services!$D$2:$D$120,0)),""))</f>
        <v/>
      </c>
      <c r="F908" s="19"/>
      <c r="G908" s="9" t="str">
        <f aca="false">IF(OR($B908="",NOT(ISNUMBER($E908))),"",$E908-IF($F908="",0,$F908))</f>
        <v/>
      </c>
      <c r="H908" s="15" t="str">
        <f aca="false">IF($B908="","",IFERROR(INDEX(Services!$A$2:$A$120,MATCH($B908,Services!$D$2:$D$120,0)),""))</f>
        <v/>
      </c>
      <c r="I908" s="19"/>
      <c r="J908" s="15" t="str">
        <f aca="false">IF($B908="","",IFERROR(INDEX(Services!$E$2:$E$120,MATCH($B908,Services!$D$2:$D$120,0)),""))</f>
        <v/>
      </c>
    </row>
    <row r="909" customFormat="false" ht="14.25" hidden="false" customHeight="false" outlineLevel="0" collapsed="false">
      <c r="A909" s="18"/>
      <c r="B909" s="6"/>
      <c r="C909" s="6"/>
      <c r="D909" s="6"/>
      <c r="E909" s="16" t="str">
        <f aca="false">IF($B909="","",IFERROR(INDEX(Services!$C$2:$C$120,MATCH($B909,Services!$D$2:$D$120,0)),""))</f>
        <v/>
      </c>
      <c r="F909" s="19"/>
      <c r="G909" s="9" t="str">
        <f aca="false">IF(OR($B909="",NOT(ISNUMBER($E909))),"",$E909-IF($F909="",0,$F909))</f>
        <v/>
      </c>
      <c r="H909" s="15" t="str">
        <f aca="false">IF($B909="","",IFERROR(INDEX(Services!$A$2:$A$120,MATCH($B909,Services!$D$2:$D$120,0)),""))</f>
        <v/>
      </c>
      <c r="I909" s="19"/>
      <c r="J909" s="15" t="str">
        <f aca="false">IF($B909="","",IFERROR(INDEX(Services!$E$2:$E$120,MATCH($B909,Services!$D$2:$D$120,0)),""))</f>
        <v/>
      </c>
    </row>
    <row r="910" customFormat="false" ht="14.25" hidden="false" customHeight="false" outlineLevel="0" collapsed="false">
      <c r="A910" s="18"/>
      <c r="B910" s="6"/>
      <c r="C910" s="6"/>
      <c r="D910" s="6"/>
      <c r="E910" s="16" t="str">
        <f aca="false">IF($B910="","",IFERROR(INDEX(Services!$C$2:$C$120,MATCH($B910,Services!$D$2:$D$120,0)),""))</f>
        <v/>
      </c>
      <c r="F910" s="19"/>
      <c r="G910" s="9" t="str">
        <f aca="false">IF(OR($B910="",NOT(ISNUMBER($E910))),"",$E910-IF($F910="",0,$F910))</f>
        <v/>
      </c>
      <c r="H910" s="15" t="str">
        <f aca="false">IF($B910="","",IFERROR(INDEX(Services!$A$2:$A$120,MATCH($B910,Services!$D$2:$D$120,0)),""))</f>
        <v/>
      </c>
      <c r="I910" s="19"/>
      <c r="J910" s="15" t="str">
        <f aca="false">IF($B910="","",IFERROR(INDEX(Services!$E$2:$E$120,MATCH($B910,Services!$D$2:$D$120,0)),""))</f>
        <v/>
      </c>
    </row>
    <row r="911" customFormat="false" ht="14.25" hidden="false" customHeight="false" outlineLevel="0" collapsed="false">
      <c r="A911" s="18"/>
      <c r="B911" s="6"/>
      <c r="C911" s="6"/>
      <c r="D911" s="6"/>
      <c r="E911" s="16" t="str">
        <f aca="false">IF($B911="","",IFERROR(INDEX(Services!$C$2:$C$120,MATCH($B911,Services!$D$2:$D$120,0)),""))</f>
        <v/>
      </c>
      <c r="F911" s="19"/>
      <c r="G911" s="9" t="str">
        <f aca="false">IF(OR($B911="",NOT(ISNUMBER($E911))),"",$E911-IF($F911="",0,$F911))</f>
        <v/>
      </c>
      <c r="H911" s="15" t="str">
        <f aca="false">IF($B911="","",IFERROR(INDEX(Services!$A$2:$A$120,MATCH($B911,Services!$D$2:$D$120,0)),""))</f>
        <v/>
      </c>
      <c r="I911" s="19"/>
      <c r="J911" s="15" t="str">
        <f aca="false">IF($B911="","",IFERROR(INDEX(Services!$E$2:$E$120,MATCH($B911,Services!$D$2:$D$120,0)),""))</f>
        <v/>
      </c>
    </row>
    <row r="912" customFormat="false" ht="14.25" hidden="false" customHeight="false" outlineLevel="0" collapsed="false">
      <c r="A912" s="18"/>
      <c r="B912" s="6"/>
      <c r="C912" s="6"/>
      <c r="D912" s="6"/>
      <c r="E912" s="16" t="str">
        <f aca="false">IF($B912="","",IFERROR(INDEX(Services!$C$2:$C$120,MATCH($B912,Services!$D$2:$D$120,0)),""))</f>
        <v/>
      </c>
      <c r="F912" s="19"/>
      <c r="G912" s="9" t="str">
        <f aca="false">IF(OR($B912="",NOT(ISNUMBER($E912))),"",$E912-IF($F912="",0,$F912))</f>
        <v/>
      </c>
      <c r="H912" s="15" t="str">
        <f aca="false">IF($B912="","",IFERROR(INDEX(Services!$A$2:$A$120,MATCH($B912,Services!$D$2:$D$120,0)),""))</f>
        <v/>
      </c>
      <c r="I912" s="19"/>
      <c r="J912" s="15" t="str">
        <f aca="false">IF($B912="","",IFERROR(INDEX(Services!$E$2:$E$120,MATCH($B912,Services!$D$2:$D$120,0)),""))</f>
        <v/>
      </c>
    </row>
    <row r="913" customFormat="false" ht="14.25" hidden="false" customHeight="false" outlineLevel="0" collapsed="false">
      <c r="A913" s="18"/>
      <c r="B913" s="6"/>
      <c r="C913" s="6"/>
      <c r="D913" s="6"/>
      <c r="E913" s="16" t="str">
        <f aca="false">IF($B913="","",IFERROR(INDEX(Services!$C$2:$C$120,MATCH($B913,Services!$D$2:$D$120,0)),""))</f>
        <v/>
      </c>
      <c r="F913" s="19"/>
      <c r="G913" s="9" t="str">
        <f aca="false">IF(OR($B913="",NOT(ISNUMBER($E913))),"",$E913-IF($F913="",0,$F913))</f>
        <v/>
      </c>
      <c r="H913" s="15" t="str">
        <f aca="false">IF($B913="","",IFERROR(INDEX(Services!$A$2:$A$120,MATCH($B913,Services!$D$2:$D$120,0)),""))</f>
        <v/>
      </c>
      <c r="I913" s="19"/>
      <c r="J913" s="15" t="str">
        <f aca="false">IF($B913="","",IFERROR(INDEX(Services!$E$2:$E$120,MATCH($B913,Services!$D$2:$D$120,0)),""))</f>
        <v/>
      </c>
    </row>
    <row r="914" customFormat="false" ht="14.25" hidden="false" customHeight="false" outlineLevel="0" collapsed="false">
      <c r="A914" s="18"/>
      <c r="B914" s="6"/>
      <c r="C914" s="6"/>
      <c r="D914" s="6"/>
      <c r="E914" s="16" t="str">
        <f aca="false">IF($B914="","",IFERROR(INDEX(Services!$C$2:$C$120,MATCH($B914,Services!$D$2:$D$120,0)),""))</f>
        <v/>
      </c>
      <c r="F914" s="19"/>
      <c r="G914" s="9" t="str">
        <f aca="false">IF(OR($B914="",NOT(ISNUMBER($E914))),"",$E914-IF($F914="",0,$F914))</f>
        <v/>
      </c>
      <c r="H914" s="15" t="str">
        <f aca="false">IF($B914="","",IFERROR(INDEX(Services!$A$2:$A$120,MATCH($B914,Services!$D$2:$D$120,0)),""))</f>
        <v/>
      </c>
      <c r="I914" s="19"/>
      <c r="J914" s="15" t="str">
        <f aca="false">IF($B914="","",IFERROR(INDEX(Services!$E$2:$E$120,MATCH($B914,Services!$D$2:$D$120,0)),""))</f>
        <v/>
      </c>
    </row>
    <row r="915" customFormat="false" ht="14.25" hidden="false" customHeight="false" outlineLevel="0" collapsed="false">
      <c r="A915" s="18"/>
      <c r="B915" s="6"/>
      <c r="C915" s="6"/>
      <c r="D915" s="6"/>
      <c r="E915" s="16" t="str">
        <f aca="false">IF($B915="","",IFERROR(INDEX(Services!$C$2:$C$120,MATCH($B915,Services!$D$2:$D$120,0)),""))</f>
        <v/>
      </c>
      <c r="F915" s="19"/>
      <c r="G915" s="9" t="str">
        <f aca="false">IF(OR($B915="",NOT(ISNUMBER($E915))),"",$E915-IF($F915="",0,$F915))</f>
        <v/>
      </c>
      <c r="H915" s="15" t="str">
        <f aca="false">IF($B915="","",IFERROR(INDEX(Services!$A$2:$A$120,MATCH($B915,Services!$D$2:$D$120,0)),""))</f>
        <v/>
      </c>
      <c r="I915" s="19"/>
      <c r="J915" s="15" t="str">
        <f aca="false">IF($B915="","",IFERROR(INDEX(Services!$E$2:$E$120,MATCH($B915,Services!$D$2:$D$120,0)),""))</f>
        <v/>
      </c>
    </row>
    <row r="916" customFormat="false" ht="14.25" hidden="false" customHeight="false" outlineLevel="0" collapsed="false">
      <c r="A916" s="18"/>
      <c r="B916" s="6"/>
      <c r="C916" s="6"/>
      <c r="D916" s="6"/>
      <c r="E916" s="16" t="str">
        <f aca="false">IF($B916="","",IFERROR(INDEX(Services!$C$2:$C$120,MATCH($B916,Services!$D$2:$D$120,0)),""))</f>
        <v/>
      </c>
      <c r="F916" s="19"/>
      <c r="G916" s="9" t="str">
        <f aca="false">IF(OR($B916="",NOT(ISNUMBER($E916))),"",$E916-IF($F916="",0,$F916))</f>
        <v/>
      </c>
      <c r="H916" s="15" t="str">
        <f aca="false">IF($B916="","",IFERROR(INDEX(Services!$A$2:$A$120,MATCH($B916,Services!$D$2:$D$120,0)),""))</f>
        <v/>
      </c>
      <c r="I916" s="19"/>
      <c r="J916" s="15" t="str">
        <f aca="false">IF($B916="","",IFERROR(INDEX(Services!$E$2:$E$120,MATCH($B916,Services!$D$2:$D$120,0)),""))</f>
        <v/>
      </c>
    </row>
    <row r="917" customFormat="false" ht="14.25" hidden="false" customHeight="false" outlineLevel="0" collapsed="false">
      <c r="A917" s="18"/>
      <c r="B917" s="6"/>
      <c r="C917" s="6"/>
      <c r="D917" s="6"/>
      <c r="E917" s="16" t="str">
        <f aca="false">IF($B917="","",IFERROR(INDEX(Services!$C$2:$C$120,MATCH($B917,Services!$D$2:$D$120,0)),""))</f>
        <v/>
      </c>
      <c r="F917" s="19"/>
      <c r="G917" s="9" t="str">
        <f aca="false">IF(OR($B917="",NOT(ISNUMBER($E917))),"",$E917-IF($F917="",0,$F917))</f>
        <v/>
      </c>
      <c r="H917" s="15" t="str">
        <f aca="false">IF($B917="","",IFERROR(INDEX(Services!$A$2:$A$120,MATCH($B917,Services!$D$2:$D$120,0)),""))</f>
        <v/>
      </c>
      <c r="I917" s="19"/>
      <c r="J917" s="15" t="str">
        <f aca="false">IF($B917="","",IFERROR(INDEX(Services!$E$2:$E$120,MATCH($B917,Services!$D$2:$D$120,0)),""))</f>
        <v/>
      </c>
    </row>
    <row r="918" customFormat="false" ht="14.25" hidden="false" customHeight="false" outlineLevel="0" collapsed="false">
      <c r="A918" s="18"/>
      <c r="B918" s="6"/>
      <c r="C918" s="6"/>
      <c r="D918" s="6"/>
      <c r="E918" s="16" t="str">
        <f aca="false">IF($B918="","",IFERROR(INDEX(Services!$C$2:$C$120,MATCH($B918,Services!$D$2:$D$120,0)),""))</f>
        <v/>
      </c>
      <c r="F918" s="19"/>
      <c r="G918" s="9" t="str">
        <f aca="false">IF(OR($B918="",NOT(ISNUMBER($E918))),"",$E918-IF($F918="",0,$F918))</f>
        <v/>
      </c>
      <c r="H918" s="15" t="str">
        <f aca="false">IF($B918="","",IFERROR(INDEX(Services!$A$2:$A$120,MATCH($B918,Services!$D$2:$D$120,0)),""))</f>
        <v/>
      </c>
      <c r="I918" s="19"/>
      <c r="J918" s="15" t="str">
        <f aca="false">IF($B918="","",IFERROR(INDEX(Services!$E$2:$E$120,MATCH($B918,Services!$D$2:$D$120,0)),""))</f>
        <v/>
      </c>
    </row>
    <row r="919" customFormat="false" ht="14.25" hidden="false" customHeight="false" outlineLevel="0" collapsed="false">
      <c r="A919" s="18"/>
      <c r="B919" s="6"/>
      <c r="C919" s="6"/>
      <c r="D919" s="6"/>
      <c r="E919" s="16" t="str">
        <f aca="false">IF($B919="","",IFERROR(INDEX(Services!$C$2:$C$120,MATCH($B919,Services!$D$2:$D$120,0)),""))</f>
        <v/>
      </c>
      <c r="F919" s="19"/>
      <c r="G919" s="9" t="str">
        <f aca="false">IF(OR($B919="",NOT(ISNUMBER($E919))),"",$E919-IF($F919="",0,$F919))</f>
        <v/>
      </c>
      <c r="H919" s="15" t="str">
        <f aca="false">IF($B919="","",IFERROR(INDEX(Services!$A$2:$A$120,MATCH($B919,Services!$D$2:$D$120,0)),""))</f>
        <v/>
      </c>
      <c r="I919" s="19"/>
      <c r="J919" s="15" t="str">
        <f aca="false">IF($B919="","",IFERROR(INDEX(Services!$E$2:$E$120,MATCH($B919,Services!$D$2:$D$120,0)),""))</f>
        <v/>
      </c>
    </row>
    <row r="920" customFormat="false" ht="14.25" hidden="false" customHeight="false" outlineLevel="0" collapsed="false">
      <c r="A920" s="18"/>
      <c r="B920" s="6"/>
      <c r="C920" s="6"/>
      <c r="D920" s="6"/>
      <c r="E920" s="16" t="str">
        <f aca="false">IF($B920="","",IFERROR(INDEX(Services!$C$2:$C$120,MATCH($B920,Services!$D$2:$D$120,0)),""))</f>
        <v/>
      </c>
      <c r="F920" s="19"/>
      <c r="G920" s="9" t="str">
        <f aca="false">IF(OR($B920="",NOT(ISNUMBER($E920))),"",$E920-IF($F920="",0,$F920))</f>
        <v/>
      </c>
      <c r="H920" s="15" t="str">
        <f aca="false">IF($B920="","",IFERROR(INDEX(Services!$A$2:$A$120,MATCH($B920,Services!$D$2:$D$120,0)),""))</f>
        <v/>
      </c>
      <c r="I920" s="19"/>
      <c r="J920" s="15" t="str">
        <f aca="false">IF($B920="","",IFERROR(INDEX(Services!$E$2:$E$120,MATCH($B920,Services!$D$2:$D$120,0)),""))</f>
        <v/>
      </c>
    </row>
    <row r="921" customFormat="false" ht="14.25" hidden="false" customHeight="false" outlineLevel="0" collapsed="false">
      <c r="A921" s="18"/>
      <c r="B921" s="6"/>
      <c r="C921" s="6"/>
      <c r="D921" s="6"/>
      <c r="E921" s="16" t="str">
        <f aca="false">IF($B921="","",IFERROR(INDEX(Services!$C$2:$C$120,MATCH($B921,Services!$D$2:$D$120,0)),""))</f>
        <v/>
      </c>
      <c r="F921" s="19"/>
      <c r="G921" s="9" t="str">
        <f aca="false">IF(OR($B921="",NOT(ISNUMBER($E921))),"",$E921-IF($F921="",0,$F921))</f>
        <v/>
      </c>
      <c r="H921" s="15" t="str">
        <f aca="false">IF($B921="","",IFERROR(INDEX(Services!$A$2:$A$120,MATCH($B921,Services!$D$2:$D$120,0)),""))</f>
        <v/>
      </c>
      <c r="I921" s="19"/>
      <c r="J921" s="15" t="str">
        <f aca="false">IF($B921="","",IFERROR(INDEX(Services!$E$2:$E$120,MATCH($B921,Services!$D$2:$D$120,0)),""))</f>
        <v/>
      </c>
    </row>
    <row r="922" customFormat="false" ht="14.25" hidden="false" customHeight="false" outlineLevel="0" collapsed="false">
      <c r="A922" s="18"/>
      <c r="B922" s="6"/>
      <c r="C922" s="6"/>
      <c r="D922" s="6"/>
      <c r="E922" s="16" t="str">
        <f aca="false">IF($B922="","",IFERROR(INDEX(Services!$C$2:$C$120,MATCH($B922,Services!$D$2:$D$120,0)),""))</f>
        <v/>
      </c>
      <c r="F922" s="19"/>
      <c r="G922" s="9" t="str">
        <f aca="false">IF(OR($B922="",NOT(ISNUMBER($E922))),"",$E922-IF($F922="",0,$F922))</f>
        <v/>
      </c>
      <c r="H922" s="15" t="str">
        <f aca="false">IF($B922="","",IFERROR(INDEX(Services!$A$2:$A$120,MATCH($B922,Services!$D$2:$D$120,0)),""))</f>
        <v/>
      </c>
      <c r="I922" s="19"/>
      <c r="J922" s="15" t="str">
        <f aca="false">IF($B922="","",IFERROR(INDEX(Services!$E$2:$E$120,MATCH($B922,Services!$D$2:$D$120,0)),""))</f>
        <v/>
      </c>
    </row>
    <row r="923" customFormat="false" ht="14.25" hidden="false" customHeight="false" outlineLevel="0" collapsed="false">
      <c r="A923" s="18"/>
      <c r="B923" s="6"/>
      <c r="C923" s="6"/>
      <c r="D923" s="6"/>
      <c r="E923" s="16" t="str">
        <f aca="false">IF($B923="","",IFERROR(INDEX(Services!$C$2:$C$120,MATCH($B923,Services!$D$2:$D$120,0)),""))</f>
        <v/>
      </c>
      <c r="F923" s="19"/>
      <c r="G923" s="9" t="str">
        <f aca="false">IF(OR($B923="",NOT(ISNUMBER($E923))),"",$E923-IF($F923="",0,$F923))</f>
        <v/>
      </c>
      <c r="H923" s="15" t="str">
        <f aca="false">IF($B923="","",IFERROR(INDEX(Services!$A$2:$A$120,MATCH($B923,Services!$D$2:$D$120,0)),""))</f>
        <v/>
      </c>
      <c r="I923" s="19"/>
      <c r="J923" s="15" t="str">
        <f aca="false">IF($B923="","",IFERROR(INDEX(Services!$E$2:$E$120,MATCH($B923,Services!$D$2:$D$120,0)),""))</f>
        <v/>
      </c>
    </row>
    <row r="924" customFormat="false" ht="14.25" hidden="false" customHeight="false" outlineLevel="0" collapsed="false">
      <c r="A924" s="18"/>
      <c r="B924" s="6"/>
      <c r="C924" s="6"/>
      <c r="D924" s="6"/>
      <c r="E924" s="16" t="str">
        <f aca="false">IF($B924="","",IFERROR(INDEX(Services!$C$2:$C$120,MATCH($B924,Services!$D$2:$D$120,0)),""))</f>
        <v/>
      </c>
      <c r="F924" s="19"/>
      <c r="G924" s="9" t="str">
        <f aca="false">IF(OR($B924="",NOT(ISNUMBER($E924))),"",$E924-IF($F924="",0,$F924))</f>
        <v/>
      </c>
      <c r="H924" s="15" t="str">
        <f aca="false">IF($B924="","",IFERROR(INDEX(Services!$A$2:$A$120,MATCH($B924,Services!$D$2:$D$120,0)),""))</f>
        <v/>
      </c>
      <c r="I924" s="19"/>
      <c r="J924" s="15" t="str">
        <f aca="false">IF($B924="","",IFERROR(INDEX(Services!$E$2:$E$120,MATCH($B924,Services!$D$2:$D$120,0)),""))</f>
        <v/>
      </c>
    </row>
    <row r="925" customFormat="false" ht="14.25" hidden="false" customHeight="false" outlineLevel="0" collapsed="false">
      <c r="A925" s="18"/>
      <c r="B925" s="6"/>
      <c r="C925" s="6"/>
      <c r="D925" s="6"/>
      <c r="E925" s="16" t="str">
        <f aca="false">IF($B925="","",IFERROR(INDEX(Services!$C$2:$C$120,MATCH($B925,Services!$D$2:$D$120,0)),""))</f>
        <v/>
      </c>
      <c r="F925" s="19"/>
      <c r="G925" s="9" t="str">
        <f aca="false">IF(OR($B925="",NOT(ISNUMBER($E925))),"",$E925-IF($F925="",0,$F925))</f>
        <v/>
      </c>
      <c r="H925" s="15" t="str">
        <f aca="false">IF($B925="","",IFERROR(INDEX(Services!$A$2:$A$120,MATCH($B925,Services!$D$2:$D$120,0)),""))</f>
        <v/>
      </c>
      <c r="I925" s="19"/>
      <c r="J925" s="15" t="str">
        <f aca="false">IF($B925="","",IFERROR(INDEX(Services!$E$2:$E$120,MATCH($B925,Services!$D$2:$D$120,0)),""))</f>
        <v/>
      </c>
    </row>
    <row r="926" customFormat="false" ht="14.25" hidden="false" customHeight="false" outlineLevel="0" collapsed="false">
      <c r="A926" s="18"/>
      <c r="B926" s="6"/>
      <c r="C926" s="6"/>
      <c r="D926" s="6"/>
      <c r="E926" s="16" t="str">
        <f aca="false">IF($B926="","",IFERROR(INDEX(Services!$C$2:$C$120,MATCH($B926,Services!$D$2:$D$120,0)),""))</f>
        <v/>
      </c>
      <c r="F926" s="19"/>
      <c r="G926" s="9" t="str">
        <f aca="false">IF(OR($B926="",NOT(ISNUMBER($E926))),"",$E926-IF($F926="",0,$F926))</f>
        <v/>
      </c>
      <c r="H926" s="15" t="str">
        <f aca="false">IF($B926="","",IFERROR(INDEX(Services!$A$2:$A$120,MATCH($B926,Services!$D$2:$D$120,0)),""))</f>
        <v/>
      </c>
      <c r="I926" s="19"/>
      <c r="J926" s="15" t="str">
        <f aca="false">IF($B926="","",IFERROR(INDEX(Services!$E$2:$E$120,MATCH($B926,Services!$D$2:$D$120,0)),""))</f>
        <v/>
      </c>
    </row>
    <row r="927" customFormat="false" ht="14.25" hidden="false" customHeight="false" outlineLevel="0" collapsed="false">
      <c r="A927" s="18"/>
      <c r="B927" s="6"/>
      <c r="C927" s="6"/>
      <c r="D927" s="6"/>
      <c r="E927" s="16" t="str">
        <f aca="false">IF($B927="","",IFERROR(INDEX(Services!$C$2:$C$120,MATCH($B927,Services!$D$2:$D$120,0)),""))</f>
        <v/>
      </c>
      <c r="F927" s="19"/>
      <c r="G927" s="9" t="str">
        <f aca="false">IF(OR($B927="",NOT(ISNUMBER($E927))),"",$E927-IF($F927="",0,$F927))</f>
        <v/>
      </c>
      <c r="H927" s="15" t="str">
        <f aca="false">IF($B927="","",IFERROR(INDEX(Services!$A$2:$A$120,MATCH($B927,Services!$D$2:$D$120,0)),""))</f>
        <v/>
      </c>
      <c r="I927" s="19"/>
      <c r="J927" s="15" t="str">
        <f aca="false">IF($B927="","",IFERROR(INDEX(Services!$E$2:$E$120,MATCH($B927,Services!$D$2:$D$120,0)),""))</f>
        <v/>
      </c>
    </row>
    <row r="928" customFormat="false" ht="14.25" hidden="false" customHeight="false" outlineLevel="0" collapsed="false">
      <c r="A928" s="18"/>
      <c r="B928" s="6"/>
      <c r="C928" s="6"/>
      <c r="D928" s="6"/>
      <c r="E928" s="16" t="str">
        <f aca="false">IF($B928="","",IFERROR(INDEX(Services!$C$2:$C$120,MATCH($B928,Services!$D$2:$D$120,0)),""))</f>
        <v/>
      </c>
      <c r="F928" s="19"/>
      <c r="G928" s="9" t="str">
        <f aca="false">IF(OR($B928="",NOT(ISNUMBER($E928))),"",$E928-IF($F928="",0,$F928))</f>
        <v/>
      </c>
      <c r="H928" s="15" t="str">
        <f aca="false">IF($B928="","",IFERROR(INDEX(Services!$A$2:$A$120,MATCH($B928,Services!$D$2:$D$120,0)),""))</f>
        <v/>
      </c>
      <c r="I928" s="19"/>
      <c r="J928" s="15" t="str">
        <f aca="false">IF($B928="","",IFERROR(INDEX(Services!$E$2:$E$120,MATCH($B928,Services!$D$2:$D$120,0)),""))</f>
        <v/>
      </c>
    </row>
    <row r="929" customFormat="false" ht="14.25" hidden="false" customHeight="false" outlineLevel="0" collapsed="false">
      <c r="A929" s="18"/>
      <c r="B929" s="6"/>
      <c r="C929" s="6"/>
      <c r="D929" s="6"/>
      <c r="E929" s="16" t="str">
        <f aca="false">IF($B929="","",IFERROR(INDEX(Services!$C$2:$C$120,MATCH($B929,Services!$D$2:$D$120,0)),""))</f>
        <v/>
      </c>
      <c r="F929" s="19"/>
      <c r="G929" s="9" t="str">
        <f aca="false">IF(OR($B929="",NOT(ISNUMBER($E929))),"",$E929-IF($F929="",0,$F929))</f>
        <v/>
      </c>
      <c r="H929" s="15" t="str">
        <f aca="false">IF($B929="","",IFERROR(INDEX(Services!$A$2:$A$120,MATCH($B929,Services!$D$2:$D$120,0)),""))</f>
        <v/>
      </c>
      <c r="I929" s="19"/>
      <c r="J929" s="15" t="str">
        <f aca="false">IF($B929="","",IFERROR(INDEX(Services!$E$2:$E$120,MATCH($B929,Services!$D$2:$D$120,0)),""))</f>
        <v/>
      </c>
    </row>
    <row r="930" customFormat="false" ht="14.25" hidden="false" customHeight="false" outlineLevel="0" collapsed="false">
      <c r="A930" s="18"/>
      <c r="B930" s="6"/>
      <c r="C930" s="6"/>
      <c r="D930" s="6"/>
      <c r="E930" s="16" t="str">
        <f aca="false">IF($B930="","",IFERROR(INDEX(Services!$C$2:$C$120,MATCH($B930,Services!$D$2:$D$120,0)),""))</f>
        <v/>
      </c>
      <c r="F930" s="19"/>
      <c r="G930" s="9" t="str">
        <f aca="false">IF(OR($B930="",NOT(ISNUMBER($E930))),"",$E930-IF($F930="",0,$F930))</f>
        <v/>
      </c>
      <c r="H930" s="15" t="str">
        <f aca="false">IF($B930="","",IFERROR(INDEX(Services!$A$2:$A$120,MATCH($B930,Services!$D$2:$D$120,0)),""))</f>
        <v/>
      </c>
      <c r="I930" s="19"/>
      <c r="J930" s="15" t="str">
        <f aca="false">IF($B930="","",IFERROR(INDEX(Services!$E$2:$E$120,MATCH($B930,Services!$D$2:$D$120,0)),""))</f>
        <v/>
      </c>
    </row>
    <row r="931" customFormat="false" ht="14.25" hidden="false" customHeight="false" outlineLevel="0" collapsed="false">
      <c r="A931" s="18"/>
      <c r="B931" s="6"/>
      <c r="C931" s="6"/>
      <c r="D931" s="6"/>
      <c r="E931" s="16" t="str">
        <f aca="false">IF($B931="","",IFERROR(INDEX(Services!$C$2:$C$120,MATCH($B931,Services!$D$2:$D$120,0)),""))</f>
        <v/>
      </c>
      <c r="F931" s="19"/>
      <c r="G931" s="9" t="str">
        <f aca="false">IF(OR($B931="",NOT(ISNUMBER($E931))),"",$E931-IF($F931="",0,$F931))</f>
        <v/>
      </c>
      <c r="H931" s="15" t="str">
        <f aca="false">IF($B931="","",IFERROR(INDEX(Services!$A$2:$A$120,MATCH($B931,Services!$D$2:$D$120,0)),""))</f>
        <v/>
      </c>
      <c r="I931" s="19"/>
      <c r="J931" s="15" t="str">
        <f aca="false">IF($B931="","",IFERROR(INDEX(Services!$E$2:$E$120,MATCH($B931,Services!$D$2:$D$120,0)),""))</f>
        <v/>
      </c>
    </row>
    <row r="932" customFormat="false" ht="14.25" hidden="false" customHeight="false" outlineLevel="0" collapsed="false">
      <c r="A932" s="18"/>
      <c r="B932" s="6"/>
      <c r="C932" s="6"/>
      <c r="D932" s="6"/>
      <c r="E932" s="16" t="str">
        <f aca="false">IF($B932="","",IFERROR(INDEX(Services!$C$2:$C$120,MATCH($B932,Services!$D$2:$D$120,0)),""))</f>
        <v/>
      </c>
      <c r="F932" s="19"/>
      <c r="G932" s="9" t="str">
        <f aca="false">IF(OR($B932="",NOT(ISNUMBER($E932))),"",$E932-IF($F932="",0,$F932))</f>
        <v/>
      </c>
      <c r="H932" s="15" t="str">
        <f aca="false">IF($B932="","",IFERROR(INDEX(Services!$A$2:$A$120,MATCH($B932,Services!$D$2:$D$120,0)),""))</f>
        <v/>
      </c>
      <c r="I932" s="19"/>
      <c r="J932" s="15" t="str">
        <f aca="false">IF($B932="","",IFERROR(INDEX(Services!$E$2:$E$120,MATCH($B932,Services!$D$2:$D$120,0)),""))</f>
        <v/>
      </c>
    </row>
    <row r="933" customFormat="false" ht="14.25" hidden="false" customHeight="false" outlineLevel="0" collapsed="false">
      <c r="A933" s="18"/>
      <c r="B933" s="6"/>
      <c r="C933" s="6"/>
      <c r="D933" s="6"/>
      <c r="E933" s="16" t="str">
        <f aca="false">IF($B933="","",IFERROR(INDEX(Services!$C$2:$C$120,MATCH($B933,Services!$D$2:$D$120,0)),""))</f>
        <v/>
      </c>
      <c r="F933" s="19"/>
      <c r="G933" s="9" t="str">
        <f aca="false">IF(OR($B933="",NOT(ISNUMBER($E933))),"",$E933-IF($F933="",0,$F933))</f>
        <v/>
      </c>
      <c r="H933" s="15" t="str">
        <f aca="false">IF($B933="","",IFERROR(INDEX(Services!$A$2:$A$120,MATCH($B933,Services!$D$2:$D$120,0)),""))</f>
        <v/>
      </c>
      <c r="I933" s="19"/>
      <c r="J933" s="15" t="str">
        <f aca="false">IF($B933="","",IFERROR(INDEX(Services!$E$2:$E$120,MATCH($B933,Services!$D$2:$D$120,0)),""))</f>
        <v/>
      </c>
    </row>
    <row r="934" customFormat="false" ht="14.25" hidden="false" customHeight="false" outlineLevel="0" collapsed="false">
      <c r="A934" s="18"/>
      <c r="B934" s="6"/>
      <c r="C934" s="6"/>
      <c r="D934" s="6"/>
      <c r="E934" s="16" t="str">
        <f aca="false">IF($B934="","",IFERROR(INDEX(Services!$C$2:$C$120,MATCH($B934,Services!$D$2:$D$120,0)),""))</f>
        <v/>
      </c>
      <c r="F934" s="19"/>
      <c r="G934" s="9" t="str">
        <f aca="false">IF(OR($B934="",NOT(ISNUMBER($E934))),"",$E934-IF($F934="",0,$F934))</f>
        <v/>
      </c>
      <c r="H934" s="15" t="str">
        <f aca="false">IF($B934="","",IFERROR(INDEX(Services!$A$2:$A$120,MATCH($B934,Services!$D$2:$D$120,0)),""))</f>
        <v/>
      </c>
      <c r="I934" s="19"/>
      <c r="J934" s="15" t="str">
        <f aca="false">IF($B934="","",IFERROR(INDEX(Services!$E$2:$E$120,MATCH($B934,Services!$D$2:$D$120,0)),""))</f>
        <v/>
      </c>
    </row>
    <row r="935" customFormat="false" ht="14.25" hidden="false" customHeight="false" outlineLevel="0" collapsed="false">
      <c r="A935" s="18"/>
      <c r="B935" s="6"/>
      <c r="C935" s="6"/>
      <c r="D935" s="6"/>
      <c r="E935" s="16" t="str">
        <f aca="false">IF($B935="","",IFERROR(INDEX(Services!$C$2:$C$120,MATCH($B935,Services!$D$2:$D$120,0)),""))</f>
        <v/>
      </c>
      <c r="F935" s="19"/>
      <c r="G935" s="9" t="str">
        <f aca="false">IF(OR($B935="",NOT(ISNUMBER($E935))),"",$E935-IF($F935="",0,$F935))</f>
        <v/>
      </c>
      <c r="H935" s="15" t="str">
        <f aca="false">IF($B935="","",IFERROR(INDEX(Services!$A$2:$A$120,MATCH($B935,Services!$D$2:$D$120,0)),""))</f>
        <v/>
      </c>
      <c r="I935" s="19"/>
      <c r="J935" s="15" t="str">
        <f aca="false">IF($B935="","",IFERROR(INDEX(Services!$E$2:$E$120,MATCH($B935,Services!$D$2:$D$120,0)),""))</f>
        <v/>
      </c>
    </row>
    <row r="936" customFormat="false" ht="14.25" hidden="false" customHeight="false" outlineLevel="0" collapsed="false">
      <c r="A936" s="18"/>
      <c r="B936" s="6"/>
      <c r="C936" s="6"/>
      <c r="D936" s="6"/>
      <c r="E936" s="16" t="str">
        <f aca="false">IF($B936="","",IFERROR(INDEX(Services!$C$2:$C$120,MATCH($B936,Services!$D$2:$D$120,0)),""))</f>
        <v/>
      </c>
      <c r="F936" s="19"/>
      <c r="G936" s="9" t="str">
        <f aca="false">IF(OR($B936="",NOT(ISNUMBER($E936))),"",$E936-IF($F936="",0,$F936))</f>
        <v/>
      </c>
      <c r="H936" s="15" t="str">
        <f aca="false">IF($B936="","",IFERROR(INDEX(Services!$A$2:$A$120,MATCH($B936,Services!$D$2:$D$120,0)),""))</f>
        <v/>
      </c>
      <c r="I936" s="19"/>
      <c r="J936" s="15" t="str">
        <f aca="false">IF($B936="","",IFERROR(INDEX(Services!$E$2:$E$120,MATCH($B936,Services!$D$2:$D$120,0)),""))</f>
        <v/>
      </c>
    </row>
    <row r="937" customFormat="false" ht="14.25" hidden="false" customHeight="false" outlineLevel="0" collapsed="false">
      <c r="A937" s="18"/>
      <c r="B937" s="6"/>
      <c r="C937" s="6"/>
      <c r="D937" s="6"/>
      <c r="E937" s="16" t="str">
        <f aca="false">IF($B937="","",IFERROR(INDEX(Services!$C$2:$C$120,MATCH($B937,Services!$D$2:$D$120,0)),""))</f>
        <v/>
      </c>
      <c r="F937" s="19"/>
      <c r="G937" s="9" t="str">
        <f aca="false">IF(OR($B937="",NOT(ISNUMBER($E937))),"",$E937-IF($F937="",0,$F937))</f>
        <v/>
      </c>
      <c r="H937" s="15" t="str">
        <f aca="false">IF($B937="","",IFERROR(INDEX(Services!$A$2:$A$120,MATCH($B937,Services!$D$2:$D$120,0)),""))</f>
        <v/>
      </c>
      <c r="I937" s="19"/>
      <c r="J937" s="15" t="str">
        <f aca="false">IF($B937="","",IFERROR(INDEX(Services!$E$2:$E$120,MATCH($B937,Services!$D$2:$D$120,0)),""))</f>
        <v/>
      </c>
    </row>
    <row r="938" customFormat="false" ht="14.25" hidden="false" customHeight="false" outlineLevel="0" collapsed="false">
      <c r="A938" s="18"/>
      <c r="B938" s="6"/>
      <c r="C938" s="6"/>
      <c r="D938" s="6"/>
      <c r="E938" s="16" t="str">
        <f aca="false">IF($B938="","",IFERROR(INDEX(Services!$C$2:$C$120,MATCH($B938,Services!$D$2:$D$120,0)),""))</f>
        <v/>
      </c>
      <c r="F938" s="19"/>
      <c r="G938" s="9" t="str">
        <f aca="false">IF(OR($B938="",NOT(ISNUMBER($E938))),"",$E938-IF($F938="",0,$F938))</f>
        <v/>
      </c>
      <c r="H938" s="15" t="str">
        <f aca="false">IF($B938="","",IFERROR(INDEX(Services!$A$2:$A$120,MATCH($B938,Services!$D$2:$D$120,0)),""))</f>
        <v/>
      </c>
      <c r="I938" s="19"/>
      <c r="J938" s="15" t="str">
        <f aca="false">IF($B938="","",IFERROR(INDEX(Services!$E$2:$E$120,MATCH($B938,Services!$D$2:$D$120,0)),""))</f>
        <v/>
      </c>
    </row>
    <row r="939" customFormat="false" ht="14.25" hidden="false" customHeight="false" outlineLevel="0" collapsed="false">
      <c r="A939" s="18"/>
      <c r="B939" s="6"/>
      <c r="C939" s="6"/>
      <c r="D939" s="6"/>
      <c r="E939" s="16" t="str">
        <f aca="false">IF($B939="","",IFERROR(INDEX(Services!$C$2:$C$120,MATCH($B939,Services!$D$2:$D$120,0)),""))</f>
        <v/>
      </c>
      <c r="F939" s="19"/>
      <c r="G939" s="9" t="str">
        <f aca="false">IF(OR($B939="",NOT(ISNUMBER($E939))),"",$E939-IF($F939="",0,$F939))</f>
        <v/>
      </c>
      <c r="H939" s="15" t="str">
        <f aca="false">IF($B939="","",IFERROR(INDEX(Services!$A$2:$A$120,MATCH($B939,Services!$D$2:$D$120,0)),""))</f>
        <v/>
      </c>
      <c r="I939" s="19"/>
      <c r="J939" s="15" t="str">
        <f aca="false">IF($B939="","",IFERROR(INDEX(Services!$E$2:$E$120,MATCH($B939,Services!$D$2:$D$120,0)),""))</f>
        <v/>
      </c>
    </row>
    <row r="940" customFormat="false" ht="14.25" hidden="false" customHeight="false" outlineLevel="0" collapsed="false">
      <c r="A940" s="18"/>
      <c r="B940" s="6"/>
      <c r="C940" s="6"/>
      <c r="D940" s="6"/>
      <c r="E940" s="16" t="str">
        <f aca="false">IF($B940="","",IFERROR(INDEX(Services!$C$2:$C$120,MATCH($B940,Services!$D$2:$D$120,0)),""))</f>
        <v/>
      </c>
      <c r="F940" s="19"/>
      <c r="G940" s="9" t="str">
        <f aca="false">IF(OR($B940="",NOT(ISNUMBER($E940))),"",$E940-IF($F940="",0,$F940))</f>
        <v/>
      </c>
      <c r="H940" s="15" t="str">
        <f aca="false">IF($B940="","",IFERROR(INDEX(Services!$A$2:$A$120,MATCH($B940,Services!$D$2:$D$120,0)),""))</f>
        <v/>
      </c>
      <c r="I940" s="19"/>
      <c r="J940" s="15" t="str">
        <f aca="false">IF($B940="","",IFERROR(INDEX(Services!$E$2:$E$120,MATCH($B940,Services!$D$2:$D$120,0)),""))</f>
        <v/>
      </c>
    </row>
    <row r="941" customFormat="false" ht="14.25" hidden="false" customHeight="false" outlineLevel="0" collapsed="false">
      <c r="A941" s="18"/>
      <c r="B941" s="6"/>
      <c r="C941" s="6"/>
      <c r="D941" s="6"/>
      <c r="E941" s="16" t="str">
        <f aca="false">IF($B941="","",IFERROR(INDEX(Services!$C$2:$C$120,MATCH($B941,Services!$D$2:$D$120,0)),""))</f>
        <v/>
      </c>
      <c r="F941" s="19"/>
      <c r="G941" s="9" t="str">
        <f aca="false">IF(OR($B941="",NOT(ISNUMBER($E941))),"",$E941-IF($F941="",0,$F941))</f>
        <v/>
      </c>
      <c r="H941" s="15" t="str">
        <f aca="false">IF($B941="","",IFERROR(INDEX(Services!$A$2:$A$120,MATCH($B941,Services!$D$2:$D$120,0)),""))</f>
        <v/>
      </c>
      <c r="I941" s="19"/>
      <c r="J941" s="15" t="str">
        <f aca="false">IF($B941="","",IFERROR(INDEX(Services!$E$2:$E$120,MATCH($B941,Services!$D$2:$D$120,0)),""))</f>
        <v/>
      </c>
    </row>
    <row r="942" customFormat="false" ht="14.25" hidden="false" customHeight="false" outlineLevel="0" collapsed="false">
      <c r="A942" s="18"/>
      <c r="B942" s="6"/>
      <c r="C942" s="6"/>
      <c r="D942" s="6"/>
      <c r="E942" s="16" t="str">
        <f aca="false">IF($B942="","",IFERROR(INDEX(Services!$C$2:$C$120,MATCH($B942,Services!$D$2:$D$120,0)),""))</f>
        <v/>
      </c>
      <c r="F942" s="19"/>
      <c r="G942" s="9" t="str">
        <f aca="false">IF(OR($B942="",NOT(ISNUMBER($E942))),"",$E942-IF($F942="",0,$F942))</f>
        <v/>
      </c>
      <c r="H942" s="15" t="str">
        <f aca="false">IF($B942="","",IFERROR(INDEX(Services!$A$2:$A$120,MATCH($B942,Services!$D$2:$D$120,0)),""))</f>
        <v/>
      </c>
      <c r="I942" s="19"/>
      <c r="J942" s="15" t="str">
        <f aca="false">IF($B942="","",IFERROR(INDEX(Services!$E$2:$E$120,MATCH($B942,Services!$D$2:$D$120,0)),""))</f>
        <v/>
      </c>
    </row>
    <row r="943" customFormat="false" ht="14.25" hidden="false" customHeight="false" outlineLevel="0" collapsed="false">
      <c r="A943" s="18"/>
      <c r="B943" s="6"/>
      <c r="C943" s="6"/>
      <c r="D943" s="6"/>
      <c r="E943" s="16" t="str">
        <f aca="false">IF($B943="","",IFERROR(INDEX(Services!$C$2:$C$120,MATCH($B943,Services!$D$2:$D$120,0)),""))</f>
        <v/>
      </c>
      <c r="F943" s="19"/>
      <c r="G943" s="9" t="str">
        <f aca="false">IF(OR($B943="",NOT(ISNUMBER($E943))),"",$E943-IF($F943="",0,$F943))</f>
        <v/>
      </c>
      <c r="H943" s="15" t="str">
        <f aca="false">IF($B943="","",IFERROR(INDEX(Services!$A$2:$A$120,MATCH($B943,Services!$D$2:$D$120,0)),""))</f>
        <v/>
      </c>
      <c r="I943" s="19"/>
      <c r="J943" s="15" t="str">
        <f aca="false">IF($B943="","",IFERROR(INDEX(Services!$E$2:$E$120,MATCH($B943,Services!$D$2:$D$120,0)),""))</f>
        <v/>
      </c>
    </row>
    <row r="944" customFormat="false" ht="14.25" hidden="false" customHeight="false" outlineLevel="0" collapsed="false">
      <c r="A944" s="18"/>
      <c r="B944" s="6"/>
      <c r="C944" s="6"/>
      <c r="D944" s="6"/>
      <c r="E944" s="16" t="str">
        <f aca="false">IF($B944="","",IFERROR(INDEX(Services!$C$2:$C$120,MATCH($B944,Services!$D$2:$D$120,0)),""))</f>
        <v/>
      </c>
      <c r="F944" s="19"/>
      <c r="G944" s="9" t="str">
        <f aca="false">IF(OR($B944="",NOT(ISNUMBER($E944))),"",$E944-IF($F944="",0,$F944))</f>
        <v/>
      </c>
      <c r="H944" s="15" t="str">
        <f aca="false">IF($B944="","",IFERROR(INDEX(Services!$A$2:$A$120,MATCH($B944,Services!$D$2:$D$120,0)),""))</f>
        <v/>
      </c>
      <c r="I944" s="19"/>
      <c r="J944" s="15" t="str">
        <f aca="false">IF($B944="","",IFERROR(INDEX(Services!$E$2:$E$120,MATCH($B944,Services!$D$2:$D$120,0)),""))</f>
        <v/>
      </c>
    </row>
    <row r="945" customFormat="false" ht="14.25" hidden="false" customHeight="false" outlineLevel="0" collapsed="false">
      <c r="A945" s="18"/>
      <c r="B945" s="6"/>
      <c r="C945" s="6"/>
      <c r="D945" s="6"/>
      <c r="E945" s="16" t="str">
        <f aca="false">IF($B945="","",IFERROR(INDEX(Services!$C$2:$C$120,MATCH($B945,Services!$D$2:$D$120,0)),""))</f>
        <v/>
      </c>
      <c r="F945" s="19"/>
      <c r="G945" s="9" t="str">
        <f aca="false">IF(OR($B945="",NOT(ISNUMBER($E945))),"",$E945-IF($F945="",0,$F945))</f>
        <v/>
      </c>
      <c r="H945" s="15" t="str">
        <f aca="false">IF($B945="","",IFERROR(INDEX(Services!$A$2:$A$120,MATCH($B945,Services!$D$2:$D$120,0)),""))</f>
        <v/>
      </c>
      <c r="I945" s="19"/>
      <c r="J945" s="15" t="str">
        <f aca="false">IF($B945="","",IFERROR(INDEX(Services!$E$2:$E$120,MATCH($B945,Services!$D$2:$D$120,0)),""))</f>
        <v/>
      </c>
    </row>
    <row r="946" customFormat="false" ht="14.25" hidden="false" customHeight="false" outlineLevel="0" collapsed="false">
      <c r="A946" s="18"/>
      <c r="B946" s="6"/>
      <c r="C946" s="6"/>
      <c r="D946" s="6"/>
      <c r="E946" s="16" t="str">
        <f aca="false">IF($B946="","",IFERROR(INDEX(Services!$C$2:$C$120,MATCH($B946,Services!$D$2:$D$120,0)),""))</f>
        <v/>
      </c>
      <c r="F946" s="19"/>
      <c r="G946" s="9" t="str">
        <f aca="false">IF(OR($B946="",NOT(ISNUMBER($E946))),"",$E946-IF($F946="",0,$F946))</f>
        <v/>
      </c>
      <c r="H946" s="15" t="str">
        <f aca="false">IF($B946="","",IFERROR(INDEX(Services!$A$2:$A$120,MATCH($B946,Services!$D$2:$D$120,0)),""))</f>
        <v/>
      </c>
      <c r="I946" s="19"/>
      <c r="J946" s="15" t="str">
        <f aca="false">IF($B946="","",IFERROR(INDEX(Services!$E$2:$E$120,MATCH($B946,Services!$D$2:$D$120,0)),""))</f>
        <v/>
      </c>
    </row>
    <row r="947" customFormat="false" ht="14.25" hidden="false" customHeight="false" outlineLevel="0" collapsed="false">
      <c r="A947" s="18"/>
      <c r="B947" s="6"/>
      <c r="C947" s="6"/>
      <c r="D947" s="6"/>
      <c r="E947" s="16" t="str">
        <f aca="false">IF($B947="","",IFERROR(INDEX(Services!$C$2:$C$120,MATCH($B947,Services!$D$2:$D$120,0)),""))</f>
        <v/>
      </c>
      <c r="F947" s="19"/>
      <c r="G947" s="9" t="str">
        <f aca="false">IF(OR($B947="",NOT(ISNUMBER($E947))),"",$E947-IF($F947="",0,$F947))</f>
        <v/>
      </c>
      <c r="H947" s="15" t="str">
        <f aca="false">IF($B947="","",IFERROR(INDEX(Services!$A$2:$A$120,MATCH($B947,Services!$D$2:$D$120,0)),""))</f>
        <v/>
      </c>
      <c r="I947" s="19"/>
      <c r="J947" s="15" t="str">
        <f aca="false">IF($B947="","",IFERROR(INDEX(Services!$E$2:$E$120,MATCH($B947,Services!$D$2:$D$120,0)),""))</f>
        <v/>
      </c>
    </row>
    <row r="948" customFormat="false" ht="14.25" hidden="false" customHeight="false" outlineLevel="0" collapsed="false">
      <c r="A948" s="18"/>
      <c r="B948" s="6"/>
      <c r="C948" s="6"/>
      <c r="D948" s="6"/>
      <c r="E948" s="16" t="str">
        <f aca="false">IF($B948="","",IFERROR(INDEX(Services!$C$2:$C$120,MATCH($B948,Services!$D$2:$D$120,0)),""))</f>
        <v/>
      </c>
      <c r="F948" s="19"/>
      <c r="G948" s="9" t="str">
        <f aca="false">IF(OR($B948="",NOT(ISNUMBER($E948))),"",$E948-IF($F948="",0,$F948))</f>
        <v/>
      </c>
      <c r="H948" s="15" t="str">
        <f aca="false">IF($B948="","",IFERROR(INDEX(Services!$A$2:$A$120,MATCH($B948,Services!$D$2:$D$120,0)),""))</f>
        <v/>
      </c>
      <c r="I948" s="19"/>
      <c r="J948" s="15" t="str">
        <f aca="false">IF($B948="","",IFERROR(INDEX(Services!$E$2:$E$120,MATCH($B948,Services!$D$2:$D$120,0)),""))</f>
        <v/>
      </c>
    </row>
    <row r="949" customFormat="false" ht="14.25" hidden="false" customHeight="false" outlineLevel="0" collapsed="false">
      <c r="A949" s="18"/>
      <c r="B949" s="6"/>
      <c r="C949" s="6"/>
      <c r="D949" s="6"/>
      <c r="E949" s="16" t="str">
        <f aca="false">IF($B949="","",IFERROR(INDEX(Services!$C$2:$C$120,MATCH($B949,Services!$D$2:$D$120,0)),""))</f>
        <v/>
      </c>
      <c r="F949" s="19"/>
      <c r="G949" s="9" t="str">
        <f aca="false">IF(OR($B949="",NOT(ISNUMBER($E949))),"",$E949-IF($F949="",0,$F949))</f>
        <v/>
      </c>
      <c r="H949" s="15" t="str">
        <f aca="false">IF($B949="","",IFERROR(INDEX(Services!$A$2:$A$120,MATCH($B949,Services!$D$2:$D$120,0)),""))</f>
        <v/>
      </c>
      <c r="I949" s="19"/>
      <c r="J949" s="15" t="str">
        <f aca="false">IF($B949="","",IFERROR(INDEX(Services!$E$2:$E$120,MATCH($B949,Services!$D$2:$D$120,0)),""))</f>
        <v/>
      </c>
    </row>
    <row r="950" customFormat="false" ht="14.25" hidden="false" customHeight="false" outlineLevel="0" collapsed="false">
      <c r="A950" s="18"/>
      <c r="B950" s="6"/>
      <c r="C950" s="6"/>
      <c r="D950" s="6"/>
      <c r="E950" s="16" t="str">
        <f aca="false">IF($B950="","",IFERROR(INDEX(Services!$C$2:$C$120,MATCH($B950,Services!$D$2:$D$120,0)),""))</f>
        <v/>
      </c>
      <c r="F950" s="19"/>
      <c r="G950" s="9" t="str">
        <f aca="false">IF(OR($B950="",NOT(ISNUMBER($E950))),"",$E950-IF($F950="",0,$F950))</f>
        <v/>
      </c>
      <c r="H950" s="15" t="str">
        <f aca="false">IF($B950="","",IFERROR(INDEX(Services!$A$2:$A$120,MATCH($B950,Services!$D$2:$D$120,0)),""))</f>
        <v/>
      </c>
      <c r="I950" s="19"/>
      <c r="J950" s="15" t="str">
        <f aca="false">IF($B950="","",IFERROR(INDEX(Services!$E$2:$E$120,MATCH($B950,Services!$D$2:$D$120,0)),""))</f>
        <v/>
      </c>
    </row>
    <row r="951" customFormat="false" ht="14.25" hidden="false" customHeight="false" outlineLevel="0" collapsed="false">
      <c r="A951" s="18"/>
      <c r="B951" s="6"/>
      <c r="C951" s="6"/>
      <c r="D951" s="6"/>
      <c r="E951" s="16" t="str">
        <f aca="false">IF($B951="","",IFERROR(INDEX(Services!$C$2:$C$120,MATCH($B951,Services!$D$2:$D$120,0)),""))</f>
        <v/>
      </c>
      <c r="F951" s="19"/>
      <c r="G951" s="9" t="str">
        <f aca="false">IF(OR($B951="",NOT(ISNUMBER($E951))),"",$E951-IF($F951="",0,$F951))</f>
        <v/>
      </c>
      <c r="H951" s="15" t="str">
        <f aca="false">IF($B951="","",IFERROR(INDEX(Services!$A$2:$A$120,MATCH($B951,Services!$D$2:$D$120,0)),""))</f>
        <v/>
      </c>
      <c r="I951" s="19"/>
      <c r="J951" s="15" t="str">
        <f aca="false">IF($B951="","",IFERROR(INDEX(Services!$E$2:$E$120,MATCH($B951,Services!$D$2:$D$120,0)),""))</f>
        <v/>
      </c>
    </row>
    <row r="952" customFormat="false" ht="14.25" hidden="false" customHeight="false" outlineLevel="0" collapsed="false">
      <c r="A952" s="18"/>
      <c r="B952" s="6"/>
      <c r="C952" s="6"/>
      <c r="D952" s="6"/>
      <c r="E952" s="16" t="str">
        <f aca="false">IF($B952="","",IFERROR(INDEX(Services!$C$2:$C$120,MATCH($B952,Services!$D$2:$D$120,0)),""))</f>
        <v/>
      </c>
      <c r="F952" s="19"/>
      <c r="G952" s="9" t="str">
        <f aca="false">IF(OR($B952="",NOT(ISNUMBER($E952))),"",$E952-IF($F952="",0,$F952))</f>
        <v/>
      </c>
      <c r="H952" s="15" t="str">
        <f aca="false">IF($B952="","",IFERROR(INDEX(Services!$A$2:$A$120,MATCH($B952,Services!$D$2:$D$120,0)),""))</f>
        <v/>
      </c>
      <c r="I952" s="19"/>
      <c r="J952" s="15" t="str">
        <f aca="false">IF($B952="","",IFERROR(INDEX(Services!$E$2:$E$120,MATCH($B952,Services!$D$2:$D$120,0)),""))</f>
        <v/>
      </c>
    </row>
    <row r="953" customFormat="false" ht="14.25" hidden="false" customHeight="false" outlineLevel="0" collapsed="false">
      <c r="A953" s="18"/>
      <c r="B953" s="6"/>
      <c r="C953" s="6"/>
      <c r="D953" s="6"/>
      <c r="E953" s="16" t="str">
        <f aca="false">IF($B953="","",IFERROR(INDEX(Services!$C$2:$C$120,MATCH($B953,Services!$D$2:$D$120,0)),""))</f>
        <v/>
      </c>
      <c r="F953" s="19"/>
      <c r="G953" s="9" t="str">
        <f aca="false">IF(OR($B953="",NOT(ISNUMBER($E953))),"",$E953-IF($F953="",0,$F953))</f>
        <v/>
      </c>
      <c r="H953" s="15" t="str">
        <f aca="false">IF($B953="","",IFERROR(INDEX(Services!$A$2:$A$120,MATCH($B953,Services!$D$2:$D$120,0)),""))</f>
        <v/>
      </c>
      <c r="I953" s="19"/>
      <c r="J953" s="15" t="str">
        <f aca="false">IF($B953="","",IFERROR(INDEX(Services!$E$2:$E$120,MATCH($B953,Services!$D$2:$D$120,0)),""))</f>
        <v/>
      </c>
    </row>
    <row r="954" customFormat="false" ht="14.25" hidden="false" customHeight="false" outlineLevel="0" collapsed="false">
      <c r="A954" s="18"/>
      <c r="B954" s="6"/>
      <c r="C954" s="6"/>
      <c r="D954" s="6"/>
      <c r="E954" s="16" t="str">
        <f aca="false">IF($B954="","",IFERROR(INDEX(Services!$C$2:$C$120,MATCH($B954,Services!$D$2:$D$120,0)),""))</f>
        <v/>
      </c>
      <c r="F954" s="19"/>
      <c r="G954" s="9" t="str">
        <f aca="false">IF(OR($B954="",NOT(ISNUMBER($E954))),"",$E954-IF($F954="",0,$F954))</f>
        <v/>
      </c>
      <c r="H954" s="15" t="str">
        <f aca="false">IF($B954="","",IFERROR(INDEX(Services!$A$2:$A$120,MATCH($B954,Services!$D$2:$D$120,0)),""))</f>
        <v/>
      </c>
      <c r="I954" s="19"/>
      <c r="J954" s="15" t="str">
        <f aca="false">IF($B954="","",IFERROR(INDEX(Services!$E$2:$E$120,MATCH($B954,Services!$D$2:$D$120,0)),""))</f>
        <v/>
      </c>
    </row>
    <row r="955" customFormat="false" ht="14.25" hidden="false" customHeight="false" outlineLevel="0" collapsed="false">
      <c r="A955" s="18"/>
      <c r="B955" s="6"/>
      <c r="C955" s="6"/>
      <c r="D955" s="6"/>
      <c r="E955" s="16" t="str">
        <f aca="false">IF($B955="","",IFERROR(INDEX(Services!$C$2:$C$120,MATCH($B955,Services!$D$2:$D$120,0)),""))</f>
        <v/>
      </c>
      <c r="F955" s="19"/>
      <c r="G955" s="9" t="str">
        <f aca="false">IF(OR($B955="",NOT(ISNUMBER($E955))),"",$E955-IF($F955="",0,$F955))</f>
        <v/>
      </c>
      <c r="H955" s="15" t="str">
        <f aca="false">IF($B955="","",IFERROR(INDEX(Services!$A$2:$A$120,MATCH($B955,Services!$D$2:$D$120,0)),""))</f>
        <v/>
      </c>
      <c r="I955" s="19"/>
      <c r="J955" s="15" t="str">
        <f aca="false">IF($B955="","",IFERROR(INDEX(Services!$E$2:$E$120,MATCH($B955,Services!$D$2:$D$120,0)),""))</f>
        <v/>
      </c>
    </row>
    <row r="956" customFormat="false" ht="14.25" hidden="false" customHeight="false" outlineLevel="0" collapsed="false">
      <c r="A956" s="18"/>
      <c r="B956" s="6"/>
      <c r="C956" s="6"/>
      <c r="D956" s="6"/>
      <c r="E956" s="16" t="str">
        <f aca="false">IF($B956="","",IFERROR(INDEX(Services!$C$2:$C$120,MATCH($B956,Services!$D$2:$D$120,0)),""))</f>
        <v/>
      </c>
      <c r="F956" s="19"/>
      <c r="G956" s="9" t="str">
        <f aca="false">IF(OR($B956="",NOT(ISNUMBER($E956))),"",$E956-IF($F956="",0,$F956))</f>
        <v/>
      </c>
      <c r="H956" s="15" t="str">
        <f aca="false">IF($B956="","",IFERROR(INDEX(Services!$A$2:$A$120,MATCH($B956,Services!$D$2:$D$120,0)),""))</f>
        <v/>
      </c>
      <c r="I956" s="19"/>
      <c r="J956" s="15" t="str">
        <f aca="false">IF($B956="","",IFERROR(INDEX(Services!$E$2:$E$120,MATCH($B956,Services!$D$2:$D$120,0)),""))</f>
        <v/>
      </c>
    </row>
    <row r="957" customFormat="false" ht="14.25" hidden="false" customHeight="false" outlineLevel="0" collapsed="false">
      <c r="A957" s="18"/>
      <c r="B957" s="6"/>
      <c r="C957" s="6"/>
      <c r="D957" s="6"/>
      <c r="E957" s="16" t="str">
        <f aca="false">IF($B957="","",IFERROR(INDEX(Services!$C$2:$C$120,MATCH($B957,Services!$D$2:$D$120,0)),""))</f>
        <v/>
      </c>
      <c r="F957" s="19"/>
      <c r="G957" s="9" t="str">
        <f aca="false">IF(OR($B957="",NOT(ISNUMBER($E957))),"",$E957-IF($F957="",0,$F957))</f>
        <v/>
      </c>
      <c r="H957" s="15" t="str">
        <f aca="false">IF($B957="","",IFERROR(INDEX(Services!$A$2:$A$120,MATCH($B957,Services!$D$2:$D$120,0)),""))</f>
        <v/>
      </c>
      <c r="I957" s="19"/>
      <c r="J957" s="15" t="str">
        <f aca="false">IF($B957="","",IFERROR(INDEX(Services!$E$2:$E$120,MATCH($B957,Services!$D$2:$D$120,0)),""))</f>
        <v/>
      </c>
    </row>
    <row r="958" customFormat="false" ht="14.25" hidden="false" customHeight="false" outlineLevel="0" collapsed="false">
      <c r="A958" s="18"/>
      <c r="B958" s="6"/>
      <c r="C958" s="6"/>
      <c r="D958" s="6"/>
      <c r="E958" s="16" t="str">
        <f aca="false">IF($B958="","",IFERROR(INDEX(Services!$C$2:$C$120,MATCH($B958,Services!$D$2:$D$120,0)),""))</f>
        <v/>
      </c>
      <c r="F958" s="19"/>
      <c r="G958" s="9" t="str">
        <f aca="false">IF(OR($B958="",NOT(ISNUMBER($E958))),"",$E958-IF($F958="",0,$F958))</f>
        <v/>
      </c>
      <c r="H958" s="15" t="str">
        <f aca="false">IF($B958="","",IFERROR(INDEX(Services!$A$2:$A$120,MATCH($B958,Services!$D$2:$D$120,0)),""))</f>
        <v/>
      </c>
      <c r="I958" s="19"/>
      <c r="J958" s="15" t="str">
        <f aca="false">IF($B958="","",IFERROR(INDEX(Services!$E$2:$E$120,MATCH($B958,Services!$D$2:$D$120,0)),""))</f>
        <v/>
      </c>
    </row>
    <row r="959" customFormat="false" ht="14.25" hidden="false" customHeight="false" outlineLevel="0" collapsed="false">
      <c r="A959" s="18"/>
      <c r="B959" s="6"/>
      <c r="C959" s="6"/>
      <c r="D959" s="6"/>
      <c r="E959" s="16" t="str">
        <f aca="false">IF($B959="","",IFERROR(INDEX(Services!$C$2:$C$120,MATCH($B959,Services!$D$2:$D$120,0)),""))</f>
        <v/>
      </c>
      <c r="F959" s="19"/>
      <c r="G959" s="9" t="str">
        <f aca="false">IF(OR($B959="",NOT(ISNUMBER($E959))),"",$E959-IF($F959="",0,$F959))</f>
        <v/>
      </c>
      <c r="H959" s="15" t="str">
        <f aca="false">IF($B959="","",IFERROR(INDEX(Services!$A$2:$A$120,MATCH($B959,Services!$D$2:$D$120,0)),""))</f>
        <v/>
      </c>
      <c r="I959" s="19"/>
      <c r="J959" s="15" t="str">
        <f aca="false">IF($B959="","",IFERROR(INDEX(Services!$E$2:$E$120,MATCH($B959,Services!$D$2:$D$120,0)),""))</f>
        <v/>
      </c>
    </row>
    <row r="960" customFormat="false" ht="14.25" hidden="false" customHeight="false" outlineLevel="0" collapsed="false">
      <c r="A960" s="18"/>
      <c r="B960" s="6"/>
      <c r="C960" s="6"/>
      <c r="D960" s="6"/>
      <c r="E960" s="16" t="str">
        <f aca="false">IF($B960="","",IFERROR(INDEX(Services!$C$2:$C$120,MATCH($B960,Services!$D$2:$D$120,0)),""))</f>
        <v/>
      </c>
      <c r="F960" s="19"/>
      <c r="G960" s="9" t="str">
        <f aca="false">IF(OR($B960="",NOT(ISNUMBER($E960))),"",$E960-IF($F960="",0,$F960))</f>
        <v/>
      </c>
      <c r="H960" s="15" t="str">
        <f aca="false">IF($B960="","",IFERROR(INDEX(Services!$A$2:$A$120,MATCH($B960,Services!$D$2:$D$120,0)),""))</f>
        <v/>
      </c>
      <c r="I960" s="19"/>
      <c r="J960" s="15" t="str">
        <f aca="false">IF($B960="","",IFERROR(INDEX(Services!$E$2:$E$120,MATCH($B960,Services!$D$2:$D$120,0)),""))</f>
        <v/>
      </c>
    </row>
    <row r="961" customFormat="false" ht="14.25" hidden="false" customHeight="false" outlineLevel="0" collapsed="false">
      <c r="A961" s="18"/>
      <c r="B961" s="6"/>
      <c r="C961" s="6"/>
      <c r="D961" s="6"/>
      <c r="E961" s="16" t="str">
        <f aca="false">IF($B961="","",IFERROR(INDEX(Services!$C$2:$C$120,MATCH($B961,Services!$D$2:$D$120,0)),""))</f>
        <v/>
      </c>
      <c r="F961" s="19"/>
      <c r="G961" s="9" t="str">
        <f aca="false">IF(OR($B961="",NOT(ISNUMBER($E961))),"",$E961-IF($F961="",0,$F961))</f>
        <v/>
      </c>
      <c r="H961" s="15" t="str">
        <f aca="false">IF($B961="","",IFERROR(INDEX(Services!$A$2:$A$120,MATCH($B961,Services!$D$2:$D$120,0)),""))</f>
        <v/>
      </c>
      <c r="I961" s="19"/>
      <c r="J961" s="15" t="str">
        <f aca="false">IF($B961="","",IFERROR(INDEX(Services!$E$2:$E$120,MATCH($B961,Services!$D$2:$D$120,0)),""))</f>
        <v/>
      </c>
    </row>
    <row r="962" customFormat="false" ht="14.25" hidden="false" customHeight="false" outlineLevel="0" collapsed="false">
      <c r="A962" s="18"/>
      <c r="B962" s="6"/>
      <c r="C962" s="6"/>
      <c r="D962" s="6"/>
      <c r="E962" s="16" t="str">
        <f aca="false">IF($B962="","",IFERROR(INDEX(Services!$C$2:$C$120,MATCH($B962,Services!$D$2:$D$120,0)),""))</f>
        <v/>
      </c>
      <c r="F962" s="19"/>
      <c r="G962" s="9" t="str">
        <f aca="false">IF(OR($B962="",NOT(ISNUMBER($E962))),"",$E962-IF($F962="",0,$F962))</f>
        <v/>
      </c>
      <c r="H962" s="15" t="str">
        <f aca="false">IF($B962="","",IFERROR(INDEX(Services!$A$2:$A$120,MATCH($B962,Services!$D$2:$D$120,0)),""))</f>
        <v/>
      </c>
      <c r="I962" s="19"/>
      <c r="J962" s="15" t="str">
        <f aca="false">IF($B962="","",IFERROR(INDEX(Services!$E$2:$E$120,MATCH($B962,Services!$D$2:$D$120,0)),""))</f>
        <v/>
      </c>
    </row>
    <row r="963" customFormat="false" ht="14.25" hidden="false" customHeight="false" outlineLevel="0" collapsed="false">
      <c r="A963" s="18"/>
      <c r="B963" s="6"/>
      <c r="C963" s="6"/>
      <c r="D963" s="6"/>
      <c r="E963" s="16" t="str">
        <f aca="false">IF($B963="","",IFERROR(INDEX(Services!$C$2:$C$120,MATCH($B963,Services!$D$2:$D$120,0)),""))</f>
        <v/>
      </c>
      <c r="F963" s="19"/>
      <c r="G963" s="9" t="str">
        <f aca="false">IF(OR($B963="",NOT(ISNUMBER($E963))),"",$E963-IF($F963="",0,$F963))</f>
        <v/>
      </c>
      <c r="H963" s="15" t="str">
        <f aca="false">IF($B963="","",IFERROR(INDEX(Services!$A$2:$A$120,MATCH($B963,Services!$D$2:$D$120,0)),""))</f>
        <v/>
      </c>
      <c r="I963" s="19"/>
      <c r="J963" s="15" t="str">
        <f aca="false">IF($B963="","",IFERROR(INDEX(Services!$E$2:$E$120,MATCH($B963,Services!$D$2:$D$120,0)),""))</f>
        <v/>
      </c>
    </row>
    <row r="964" customFormat="false" ht="14.25" hidden="false" customHeight="false" outlineLevel="0" collapsed="false">
      <c r="A964" s="18"/>
      <c r="B964" s="6"/>
      <c r="C964" s="6"/>
      <c r="D964" s="6"/>
      <c r="E964" s="16" t="str">
        <f aca="false">IF($B964="","",IFERROR(INDEX(Services!$C$2:$C$120,MATCH($B964,Services!$D$2:$D$120,0)),""))</f>
        <v/>
      </c>
      <c r="F964" s="19"/>
      <c r="G964" s="9" t="str">
        <f aca="false">IF(OR($B964="",NOT(ISNUMBER($E964))),"",$E964-IF($F964="",0,$F964))</f>
        <v/>
      </c>
      <c r="H964" s="15" t="str">
        <f aca="false">IF($B964="","",IFERROR(INDEX(Services!$A$2:$A$120,MATCH($B964,Services!$D$2:$D$120,0)),""))</f>
        <v/>
      </c>
      <c r="I964" s="19"/>
      <c r="J964" s="15" t="str">
        <f aca="false">IF($B964="","",IFERROR(INDEX(Services!$E$2:$E$120,MATCH($B964,Services!$D$2:$D$120,0)),""))</f>
        <v/>
      </c>
    </row>
    <row r="965" customFormat="false" ht="14.25" hidden="false" customHeight="false" outlineLevel="0" collapsed="false">
      <c r="A965" s="18"/>
      <c r="B965" s="6"/>
      <c r="C965" s="6"/>
      <c r="D965" s="6"/>
      <c r="E965" s="16" t="str">
        <f aca="false">IF($B965="","",IFERROR(INDEX(Services!$C$2:$C$120,MATCH($B965,Services!$D$2:$D$120,0)),""))</f>
        <v/>
      </c>
      <c r="F965" s="19"/>
      <c r="G965" s="9" t="str">
        <f aca="false">IF(OR($B965="",NOT(ISNUMBER($E965))),"",$E965-IF($F965="",0,$F965))</f>
        <v/>
      </c>
      <c r="H965" s="15" t="str">
        <f aca="false">IF($B965="","",IFERROR(INDEX(Services!$A$2:$A$120,MATCH($B965,Services!$D$2:$D$120,0)),""))</f>
        <v/>
      </c>
      <c r="I965" s="19"/>
      <c r="J965" s="15" t="str">
        <f aca="false">IF($B965="","",IFERROR(INDEX(Services!$E$2:$E$120,MATCH($B965,Services!$D$2:$D$120,0)),""))</f>
        <v/>
      </c>
    </row>
    <row r="966" customFormat="false" ht="14.25" hidden="false" customHeight="false" outlineLevel="0" collapsed="false">
      <c r="A966" s="18"/>
      <c r="B966" s="6"/>
      <c r="C966" s="6"/>
      <c r="D966" s="6"/>
      <c r="E966" s="16" t="str">
        <f aca="false">IF($B966="","",IFERROR(INDEX(Services!$C$2:$C$120,MATCH($B966,Services!$D$2:$D$120,0)),""))</f>
        <v/>
      </c>
      <c r="F966" s="19"/>
      <c r="G966" s="9" t="str">
        <f aca="false">IF(OR($B966="",NOT(ISNUMBER($E966))),"",$E966-IF($F966="",0,$F966))</f>
        <v/>
      </c>
      <c r="H966" s="15" t="str">
        <f aca="false">IF($B966="","",IFERROR(INDEX(Services!$A$2:$A$120,MATCH($B966,Services!$D$2:$D$120,0)),""))</f>
        <v/>
      </c>
      <c r="I966" s="19"/>
      <c r="J966" s="15" t="str">
        <f aca="false">IF($B966="","",IFERROR(INDEX(Services!$E$2:$E$120,MATCH($B966,Services!$D$2:$D$120,0)),""))</f>
        <v/>
      </c>
    </row>
    <row r="967" customFormat="false" ht="14.25" hidden="false" customHeight="false" outlineLevel="0" collapsed="false">
      <c r="A967" s="18"/>
      <c r="B967" s="6"/>
      <c r="C967" s="6"/>
      <c r="D967" s="6"/>
      <c r="E967" s="16" t="str">
        <f aca="false">IF($B967="","",IFERROR(INDEX(Services!$C$2:$C$120,MATCH($B967,Services!$D$2:$D$120,0)),""))</f>
        <v/>
      </c>
      <c r="F967" s="19"/>
      <c r="G967" s="9" t="str">
        <f aca="false">IF(OR($B967="",NOT(ISNUMBER($E967))),"",$E967-IF($F967="",0,$F967))</f>
        <v/>
      </c>
      <c r="H967" s="15" t="str">
        <f aca="false">IF($B967="","",IFERROR(INDEX(Services!$A$2:$A$120,MATCH($B967,Services!$D$2:$D$120,0)),""))</f>
        <v/>
      </c>
      <c r="I967" s="19"/>
      <c r="J967" s="15" t="str">
        <f aca="false">IF($B967="","",IFERROR(INDEX(Services!$E$2:$E$120,MATCH($B967,Services!$D$2:$D$120,0)),""))</f>
        <v/>
      </c>
    </row>
    <row r="968" customFormat="false" ht="14.25" hidden="false" customHeight="false" outlineLevel="0" collapsed="false">
      <c r="A968" s="18"/>
      <c r="B968" s="6"/>
      <c r="C968" s="6"/>
      <c r="D968" s="6"/>
      <c r="E968" s="16" t="str">
        <f aca="false">IF($B968="","",IFERROR(INDEX(Services!$C$2:$C$120,MATCH($B968,Services!$D$2:$D$120,0)),""))</f>
        <v/>
      </c>
      <c r="F968" s="19"/>
      <c r="G968" s="9" t="str">
        <f aca="false">IF(OR($B968="",NOT(ISNUMBER($E968))),"",$E968-IF($F968="",0,$F968))</f>
        <v/>
      </c>
      <c r="H968" s="15" t="str">
        <f aca="false">IF($B968="","",IFERROR(INDEX(Services!$A$2:$A$120,MATCH($B968,Services!$D$2:$D$120,0)),""))</f>
        <v/>
      </c>
      <c r="I968" s="19"/>
      <c r="J968" s="15" t="str">
        <f aca="false">IF($B968="","",IFERROR(INDEX(Services!$E$2:$E$120,MATCH($B968,Services!$D$2:$D$120,0)),""))</f>
        <v/>
      </c>
    </row>
    <row r="969" customFormat="false" ht="14.25" hidden="false" customHeight="false" outlineLevel="0" collapsed="false">
      <c r="A969" s="18"/>
      <c r="B969" s="6"/>
      <c r="C969" s="6"/>
      <c r="D969" s="6"/>
      <c r="E969" s="16" t="str">
        <f aca="false">IF($B969="","",IFERROR(INDEX(Services!$C$2:$C$120,MATCH($B969,Services!$D$2:$D$120,0)),""))</f>
        <v/>
      </c>
      <c r="F969" s="19"/>
      <c r="G969" s="9" t="str">
        <f aca="false">IF(OR($B969="",NOT(ISNUMBER($E969))),"",$E969-IF($F969="",0,$F969))</f>
        <v/>
      </c>
      <c r="H969" s="15" t="str">
        <f aca="false">IF($B969="","",IFERROR(INDEX(Services!$A$2:$A$120,MATCH($B969,Services!$D$2:$D$120,0)),""))</f>
        <v/>
      </c>
      <c r="I969" s="19"/>
      <c r="J969" s="15" t="str">
        <f aca="false">IF($B969="","",IFERROR(INDEX(Services!$E$2:$E$120,MATCH($B969,Services!$D$2:$D$120,0)),""))</f>
        <v/>
      </c>
    </row>
    <row r="970" customFormat="false" ht="14.25" hidden="false" customHeight="false" outlineLevel="0" collapsed="false">
      <c r="A970" s="18"/>
      <c r="B970" s="6"/>
      <c r="C970" s="6"/>
      <c r="D970" s="6"/>
      <c r="E970" s="16" t="str">
        <f aca="false">IF($B970="","",IFERROR(INDEX(Services!$C$2:$C$120,MATCH($B970,Services!$D$2:$D$120,0)),""))</f>
        <v/>
      </c>
      <c r="F970" s="19"/>
      <c r="G970" s="9" t="str">
        <f aca="false">IF(OR($B970="",NOT(ISNUMBER($E970))),"",$E970-IF($F970="",0,$F970))</f>
        <v/>
      </c>
      <c r="H970" s="15" t="str">
        <f aca="false">IF($B970="","",IFERROR(INDEX(Services!$A$2:$A$120,MATCH($B970,Services!$D$2:$D$120,0)),""))</f>
        <v/>
      </c>
      <c r="I970" s="19"/>
      <c r="J970" s="15" t="str">
        <f aca="false">IF($B970="","",IFERROR(INDEX(Services!$E$2:$E$120,MATCH($B970,Services!$D$2:$D$120,0)),""))</f>
        <v/>
      </c>
    </row>
    <row r="971" customFormat="false" ht="14.25" hidden="false" customHeight="false" outlineLevel="0" collapsed="false">
      <c r="A971" s="18"/>
      <c r="B971" s="6"/>
      <c r="C971" s="6"/>
      <c r="D971" s="6"/>
      <c r="E971" s="16" t="str">
        <f aca="false">IF($B971="","",IFERROR(INDEX(Services!$C$2:$C$120,MATCH($B971,Services!$D$2:$D$120,0)),""))</f>
        <v/>
      </c>
      <c r="F971" s="19"/>
      <c r="G971" s="9" t="str">
        <f aca="false">IF(OR($B971="",NOT(ISNUMBER($E971))),"",$E971-IF($F971="",0,$F971))</f>
        <v/>
      </c>
      <c r="H971" s="15" t="str">
        <f aca="false">IF($B971="","",IFERROR(INDEX(Services!$A$2:$A$120,MATCH($B971,Services!$D$2:$D$120,0)),""))</f>
        <v/>
      </c>
      <c r="I971" s="19"/>
      <c r="J971" s="15" t="str">
        <f aca="false">IF($B971="","",IFERROR(INDEX(Services!$E$2:$E$120,MATCH($B971,Services!$D$2:$D$120,0)),""))</f>
        <v/>
      </c>
    </row>
    <row r="972" customFormat="false" ht="14.25" hidden="false" customHeight="false" outlineLevel="0" collapsed="false">
      <c r="A972" s="18"/>
      <c r="B972" s="6"/>
      <c r="C972" s="6"/>
      <c r="D972" s="6"/>
      <c r="E972" s="16" t="str">
        <f aca="false">IF($B972="","",IFERROR(INDEX(Services!$C$2:$C$120,MATCH($B972,Services!$D$2:$D$120,0)),""))</f>
        <v/>
      </c>
      <c r="F972" s="19"/>
      <c r="G972" s="9" t="str">
        <f aca="false">IF(OR($B972="",NOT(ISNUMBER($E972))),"",$E972-IF($F972="",0,$F972))</f>
        <v/>
      </c>
      <c r="H972" s="15" t="str">
        <f aca="false">IF($B972="","",IFERROR(INDEX(Services!$A$2:$A$120,MATCH($B972,Services!$D$2:$D$120,0)),""))</f>
        <v/>
      </c>
      <c r="I972" s="19"/>
      <c r="J972" s="15" t="str">
        <f aca="false">IF($B972="","",IFERROR(INDEX(Services!$E$2:$E$120,MATCH($B972,Services!$D$2:$D$120,0)),""))</f>
        <v/>
      </c>
    </row>
    <row r="973" customFormat="false" ht="14.25" hidden="false" customHeight="false" outlineLevel="0" collapsed="false">
      <c r="A973" s="18"/>
      <c r="B973" s="6"/>
      <c r="C973" s="6"/>
      <c r="D973" s="6"/>
      <c r="E973" s="16" t="str">
        <f aca="false">IF($B973="","",IFERROR(INDEX(Services!$C$2:$C$120,MATCH($B973,Services!$D$2:$D$120,0)),""))</f>
        <v/>
      </c>
      <c r="F973" s="19"/>
      <c r="G973" s="9" t="str">
        <f aca="false">IF(OR($B973="",NOT(ISNUMBER($E973))),"",$E973-IF($F973="",0,$F973))</f>
        <v/>
      </c>
      <c r="H973" s="15" t="str">
        <f aca="false">IF($B973="","",IFERROR(INDEX(Services!$A$2:$A$120,MATCH($B973,Services!$D$2:$D$120,0)),""))</f>
        <v/>
      </c>
      <c r="I973" s="19"/>
      <c r="J973" s="15" t="str">
        <f aca="false">IF($B973="","",IFERROR(INDEX(Services!$E$2:$E$120,MATCH($B973,Services!$D$2:$D$120,0)),""))</f>
        <v/>
      </c>
    </row>
    <row r="974" customFormat="false" ht="14.25" hidden="false" customHeight="false" outlineLevel="0" collapsed="false">
      <c r="A974" s="18"/>
      <c r="B974" s="6"/>
      <c r="C974" s="6"/>
      <c r="D974" s="6"/>
      <c r="E974" s="16" t="str">
        <f aca="false">IF($B974="","",IFERROR(INDEX(Services!$C$2:$C$120,MATCH($B974,Services!$D$2:$D$120,0)),""))</f>
        <v/>
      </c>
      <c r="F974" s="19"/>
      <c r="G974" s="9" t="str">
        <f aca="false">IF(OR($B974="",NOT(ISNUMBER($E974))),"",$E974-IF($F974="",0,$F974))</f>
        <v/>
      </c>
      <c r="H974" s="15" t="str">
        <f aca="false">IF($B974="","",IFERROR(INDEX(Services!$A$2:$A$120,MATCH($B974,Services!$D$2:$D$120,0)),""))</f>
        <v/>
      </c>
      <c r="I974" s="19"/>
      <c r="J974" s="15" t="str">
        <f aca="false">IF($B974="","",IFERROR(INDEX(Services!$E$2:$E$120,MATCH($B974,Services!$D$2:$D$120,0)),""))</f>
        <v/>
      </c>
    </row>
    <row r="975" customFormat="false" ht="14.25" hidden="false" customHeight="false" outlineLevel="0" collapsed="false">
      <c r="A975" s="18"/>
      <c r="B975" s="6"/>
      <c r="C975" s="6"/>
      <c r="D975" s="6"/>
      <c r="E975" s="16" t="str">
        <f aca="false">IF($B975="","",IFERROR(INDEX(Services!$C$2:$C$120,MATCH($B975,Services!$D$2:$D$120,0)),""))</f>
        <v/>
      </c>
      <c r="F975" s="19"/>
      <c r="G975" s="9" t="str">
        <f aca="false">IF(OR($B975="",NOT(ISNUMBER($E975))),"",$E975-IF($F975="",0,$F975))</f>
        <v/>
      </c>
      <c r="H975" s="15" t="str">
        <f aca="false">IF($B975="","",IFERROR(INDEX(Services!$A$2:$A$120,MATCH($B975,Services!$D$2:$D$120,0)),""))</f>
        <v/>
      </c>
      <c r="I975" s="19"/>
      <c r="J975" s="15" t="str">
        <f aca="false">IF($B975="","",IFERROR(INDEX(Services!$E$2:$E$120,MATCH($B975,Services!$D$2:$D$120,0)),""))</f>
        <v/>
      </c>
    </row>
    <row r="976" customFormat="false" ht="14.25" hidden="false" customHeight="false" outlineLevel="0" collapsed="false">
      <c r="A976" s="18"/>
      <c r="B976" s="6"/>
      <c r="C976" s="6"/>
      <c r="D976" s="6"/>
      <c r="E976" s="16" t="str">
        <f aca="false">IF($B976="","",IFERROR(INDEX(Services!$C$2:$C$120,MATCH($B976,Services!$D$2:$D$120,0)),""))</f>
        <v/>
      </c>
      <c r="F976" s="19"/>
      <c r="G976" s="9" t="str">
        <f aca="false">IF(OR($B976="",NOT(ISNUMBER($E976))),"",$E976-IF($F976="",0,$F976))</f>
        <v/>
      </c>
      <c r="H976" s="15" t="str">
        <f aca="false">IF($B976="","",IFERROR(INDEX(Services!$A$2:$A$120,MATCH($B976,Services!$D$2:$D$120,0)),""))</f>
        <v/>
      </c>
      <c r="I976" s="19"/>
      <c r="J976" s="15" t="str">
        <f aca="false">IF($B976="","",IFERROR(INDEX(Services!$E$2:$E$120,MATCH($B976,Services!$D$2:$D$120,0)),""))</f>
        <v/>
      </c>
    </row>
    <row r="977" customFormat="false" ht="14.25" hidden="false" customHeight="false" outlineLevel="0" collapsed="false">
      <c r="A977" s="18"/>
      <c r="B977" s="6"/>
      <c r="C977" s="6"/>
      <c r="D977" s="6"/>
      <c r="E977" s="16" t="str">
        <f aca="false">IF($B977="","",IFERROR(INDEX(Services!$C$2:$C$120,MATCH($B977,Services!$D$2:$D$120,0)),""))</f>
        <v/>
      </c>
      <c r="F977" s="19"/>
      <c r="G977" s="9" t="str">
        <f aca="false">IF(OR($B977="",NOT(ISNUMBER($E977))),"",$E977-IF($F977="",0,$F977))</f>
        <v/>
      </c>
      <c r="H977" s="15" t="str">
        <f aca="false">IF($B977="","",IFERROR(INDEX(Services!$A$2:$A$120,MATCH($B977,Services!$D$2:$D$120,0)),""))</f>
        <v/>
      </c>
      <c r="I977" s="19"/>
      <c r="J977" s="15" t="str">
        <f aca="false">IF($B977="","",IFERROR(INDEX(Services!$E$2:$E$120,MATCH($B977,Services!$D$2:$D$120,0)),""))</f>
        <v/>
      </c>
    </row>
    <row r="978" customFormat="false" ht="14.25" hidden="false" customHeight="false" outlineLevel="0" collapsed="false">
      <c r="A978" s="18"/>
      <c r="B978" s="6"/>
      <c r="C978" s="6"/>
      <c r="D978" s="6"/>
      <c r="E978" s="16" t="str">
        <f aca="false">IF($B978="","",IFERROR(INDEX(Services!$C$2:$C$120,MATCH($B978,Services!$D$2:$D$120,0)),""))</f>
        <v/>
      </c>
      <c r="F978" s="19"/>
      <c r="G978" s="9" t="str">
        <f aca="false">IF(OR($B978="",NOT(ISNUMBER($E978))),"",$E978-IF($F978="",0,$F978))</f>
        <v/>
      </c>
      <c r="H978" s="15" t="str">
        <f aca="false">IF($B978="","",IFERROR(INDEX(Services!$A$2:$A$120,MATCH($B978,Services!$D$2:$D$120,0)),""))</f>
        <v/>
      </c>
      <c r="I978" s="19"/>
      <c r="J978" s="15" t="str">
        <f aca="false">IF($B978="","",IFERROR(INDEX(Services!$E$2:$E$120,MATCH($B978,Services!$D$2:$D$120,0)),""))</f>
        <v/>
      </c>
    </row>
    <row r="979" customFormat="false" ht="14.25" hidden="false" customHeight="false" outlineLevel="0" collapsed="false">
      <c r="A979" s="18"/>
      <c r="B979" s="6"/>
      <c r="C979" s="6"/>
      <c r="D979" s="6"/>
      <c r="E979" s="16" t="str">
        <f aca="false">IF($B979="","",IFERROR(INDEX(Services!$C$2:$C$120,MATCH($B979,Services!$D$2:$D$120,0)),""))</f>
        <v/>
      </c>
      <c r="F979" s="19"/>
      <c r="G979" s="9" t="str">
        <f aca="false">IF(OR($B979="",NOT(ISNUMBER($E979))),"",$E979-IF($F979="",0,$F979))</f>
        <v/>
      </c>
      <c r="H979" s="15" t="str">
        <f aca="false">IF($B979="","",IFERROR(INDEX(Services!$A$2:$A$120,MATCH($B979,Services!$D$2:$D$120,0)),""))</f>
        <v/>
      </c>
      <c r="I979" s="19"/>
      <c r="J979" s="15" t="str">
        <f aca="false">IF($B979="","",IFERROR(INDEX(Services!$E$2:$E$120,MATCH($B979,Services!$D$2:$D$120,0)),""))</f>
        <v/>
      </c>
    </row>
    <row r="980" customFormat="false" ht="14.25" hidden="false" customHeight="false" outlineLevel="0" collapsed="false">
      <c r="A980" s="18"/>
      <c r="B980" s="6"/>
      <c r="C980" s="6"/>
      <c r="D980" s="6"/>
      <c r="E980" s="16" t="str">
        <f aca="false">IF($B980="","",IFERROR(INDEX(Services!$C$2:$C$120,MATCH($B980,Services!$D$2:$D$120,0)),""))</f>
        <v/>
      </c>
      <c r="F980" s="19"/>
      <c r="G980" s="9" t="str">
        <f aca="false">IF(OR($B980="",NOT(ISNUMBER($E980))),"",$E980-IF($F980="",0,$F980))</f>
        <v/>
      </c>
      <c r="H980" s="15" t="str">
        <f aca="false">IF($B980="","",IFERROR(INDEX(Services!$A$2:$A$120,MATCH($B980,Services!$D$2:$D$120,0)),""))</f>
        <v/>
      </c>
      <c r="I980" s="19"/>
      <c r="J980" s="15" t="str">
        <f aca="false">IF($B980="","",IFERROR(INDEX(Services!$E$2:$E$120,MATCH($B980,Services!$D$2:$D$120,0)),""))</f>
        <v/>
      </c>
    </row>
    <row r="981" customFormat="false" ht="14.25" hidden="false" customHeight="false" outlineLevel="0" collapsed="false">
      <c r="A981" s="18"/>
      <c r="B981" s="6"/>
      <c r="C981" s="6"/>
      <c r="D981" s="6"/>
      <c r="E981" s="16" t="str">
        <f aca="false">IF($B981="","",IFERROR(INDEX(Services!$C$2:$C$120,MATCH($B981,Services!$D$2:$D$120,0)),""))</f>
        <v/>
      </c>
      <c r="F981" s="19"/>
      <c r="G981" s="9" t="str">
        <f aca="false">IF(OR($B981="",NOT(ISNUMBER($E981))),"",$E981-IF($F981="",0,$F981))</f>
        <v/>
      </c>
      <c r="H981" s="15" t="str">
        <f aca="false">IF($B981="","",IFERROR(INDEX(Services!$A$2:$A$120,MATCH($B981,Services!$D$2:$D$120,0)),""))</f>
        <v/>
      </c>
      <c r="I981" s="19"/>
      <c r="J981" s="15" t="str">
        <f aca="false">IF($B981="","",IFERROR(INDEX(Services!$E$2:$E$120,MATCH($B981,Services!$D$2:$D$120,0)),""))</f>
        <v/>
      </c>
    </row>
    <row r="982" customFormat="false" ht="14.25" hidden="false" customHeight="false" outlineLevel="0" collapsed="false">
      <c r="A982" s="18"/>
      <c r="B982" s="6"/>
      <c r="C982" s="6"/>
      <c r="D982" s="6"/>
      <c r="E982" s="16" t="str">
        <f aca="false">IF($B982="","",IFERROR(INDEX(Services!$C$2:$C$120,MATCH($B982,Services!$D$2:$D$120,0)),""))</f>
        <v/>
      </c>
      <c r="F982" s="19"/>
      <c r="G982" s="9" t="str">
        <f aca="false">IF(OR($B982="",NOT(ISNUMBER($E982))),"",$E982-IF($F982="",0,$F982))</f>
        <v/>
      </c>
      <c r="H982" s="15" t="str">
        <f aca="false">IF($B982="","",IFERROR(INDEX(Services!$A$2:$A$120,MATCH($B982,Services!$D$2:$D$120,0)),""))</f>
        <v/>
      </c>
      <c r="I982" s="19"/>
      <c r="J982" s="15" t="str">
        <f aca="false">IF($B982="","",IFERROR(INDEX(Services!$E$2:$E$120,MATCH($B982,Services!$D$2:$D$120,0)),""))</f>
        <v/>
      </c>
    </row>
    <row r="983" customFormat="false" ht="14.25" hidden="false" customHeight="false" outlineLevel="0" collapsed="false">
      <c r="A983" s="18"/>
      <c r="B983" s="6"/>
      <c r="C983" s="6"/>
      <c r="D983" s="6"/>
      <c r="E983" s="16" t="str">
        <f aca="false">IF($B983="","",IFERROR(INDEX(Services!$C$2:$C$120,MATCH($B983,Services!$D$2:$D$120,0)),""))</f>
        <v/>
      </c>
      <c r="F983" s="19"/>
      <c r="G983" s="9" t="str">
        <f aca="false">IF(OR($B983="",NOT(ISNUMBER($E983))),"",$E983-IF($F983="",0,$F983))</f>
        <v/>
      </c>
      <c r="H983" s="15" t="str">
        <f aca="false">IF($B983="","",IFERROR(INDEX(Services!$A$2:$A$120,MATCH($B983,Services!$D$2:$D$120,0)),""))</f>
        <v/>
      </c>
      <c r="I983" s="19"/>
      <c r="J983" s="15" t="str">
        <f aca="false">IF($B983="","",IFERROR(INDEX(Services!$E$2:$E$120,MATCH($B983,Services!$D$2:$D$120,0)),""))</f>
        <v/>
      </c>
    </row>
    <row r="984" customFormat="false" ht="14.25" hidden="false" customHeight="false" outlineLevel="0" collapsed="false">
      <c r="A984" s="18"/>
      <c r="B984" s="6"/>
      <c r="C984" s="6"/>
      <c r="D984" s="6"/>
      <c r="E984" s="16" t="str">
        <f aca="false">IF($B984="","",IFERROR(INDEX(Services!$C$2:$C$120,MATCH($B984,Services!$D$2:$D$120,0)),""))</f>
        <v/>
      </c>
      <c r="F984" s="19"/>
      <c r="G984" s="9" t="str">
        <f aca="false">IF(OR($B984="",NOT(ISNUMBER($E984))),"",$E984-IF($F984="",0,$F984))</f>
        <v/>
      </c>
      <c r="H984" s="15" t="str">
        <f aca="false">IF($B984="","",IFERROR(INDEX(Services!$A$2:$A$120,MATCH($B984,Services!$D$2:$D$120,0)),""))</f>
        <v/>
      </c>
      <c r="I984" s="19"/>
      <c r="J984" s="15" t="str">
        <f aca="false">IF($B984="","",IFERROR(INDEX(Services!$E$2:$E$120,MATCH($B984,Services!$D$2:$D$120,0)),""))</f>
        <v/>
      </c>
    </row>
    <row r="985" customFormat="false" ht="14.25" hidden="false" customHeight="false" outlineLevel="0" collapsed="false">
      <c r="A985" s="18"/>
      <c r="B985" s="6"/>
      <c r="C985" s="6"/>
      <c r="D985" s="6"/>
      <c r="E985" s="16" t="str">
        <f aca="false">IF($B985="","",IFERROR(INDEX(Services!$C$2:$C$120,MATCH($B985,Services!$D$2:$D$120,0)),""))</f>
        <v/>
      </c>
      <c r="F985" s="19"/>
      <c r="G985" s="9" t="str">
        <f aca="false">IF(OR($B985="",NOT(ISNUMBER($E985))),"",$E985-IF($F985="",0,$F985))</f>
        <v/>
      </c>
      <c r="H985" s="15" t="str">
        <f aca="false">IF($B985="","",IFERROR(INDEX(Services!$A$2:$A$120,MATCH($B985,Services!$D$2:$D$120,0)),""))</f>
        <v/>
      </c>
      <c r="I985" s="19"/>
      <c r="J985" s="15" t="str">
        <f aca="false">IF($B985="","",IFERROR(INDEX(Services!$E$2:$E$120,MATCH($B985,Services!$D$2:$D$120,0)),""))</f>
        <v/>
      </c>
    </row>
    <row r="986" customFormat="false" ht="14.25" hidden="false" customHeight="false" outlineLevel="0" collapsed="false">
      <c r="A986" s="18"/>
      <c r="B986" s="6"/>
      <c r="C986" s="6"/>
      <c r="D986" s="6"/>
      <c r="E986" s="16" t="str">
        <f aca="false">IF($B986="","",IFERROR(INDEX(Services!$C$2:$C$120,MATCH($B986,Services!$D$2:$D$120,0)),""))</f>
        <v/>
      </c>
      <c r="F986" s="19"/>
      <c r="G986" s="9" t="str">
        <f aca="false">IF(OR($B986="",NOT(ISNUMBER($E986))),"",$E986-IF($F986="",0,$F986))</f>
        <v/>
      </c>
      <c r="H986" s="15" t="str">
        <f aca="false">IF($B986="","",IFERROR(INDEX(Services!$A$2:$A$120,MATCH($B986,Services!$D$2:$D$120,0)),""))</f>
        <v/>
      </c>
      <c r="I986" s="19"/>
      <c r="J986" s="15" t="str">
        <f aca="false">IF($B986="","",IFERROR(INDEX(Services!$E$2:$E$120,MATCH($B986,Services!$D$2:$D$120,0)),""))</f>
        <v/>
      </c>
    </row>
    <row r="987" customFormat="false" ht="14.25" hidden="false" customHeight="false" outlineLevel="0" collapsed="false">
      <c r="A987" s="18"/>
      <c r="B987" s="6"/>
      <c r="C987" s="6"/>
      <c r="D987" s="6"/>
      <c r="E987" s="16" t="str">
        <f aca="false">IF($B987="","",IFERROR(INDEX(Services!$C$2:$C$120,MATCH($B987,Services!$D$2:$D$120,0)),""))</f>
        <v/>
      </c>
      <c r="F987" s="19"/>
      <c r="G987" s="9" t="str">
        <f aca="false">IF(OR($B987="",NOT(ISNUMBER($E987))),"",$E987-IF($F987="",0,$F987))</f>
        <v/>
      </c>
      <c r="H987" s="15" t="str">
        <f aca="false">IF($B987="","",IFERROR(INDEX(Services!$A$2:$A$120,MATCH($B987,Services!$D$2:$D$120,0)),""))</f>
        <v/>
      </c>
      <c r="I987" s="19"/>
      <c r="J987" s="15" t="str">
        <f aca="false">IF($B987="","",IFERROR(INDEX(Services!$E$2:$E$120,MATCH($B987,Services!$D$2:$D$120,0)),""))</f>
        <v/>
      </c>
    </row>
    <row r="988" customFormat="false" ht="14.25" hidden="false" customHeight="false" outlineLevel="0" collapsed="false">
      <c r="A988" s="18"/>
      <c r="B988" s="6"/>
      <c r="C988" s="6"/>
      <c r="D988" s="6"/>
      <c r="E988" s="16" t="str">
        <f aca="false">IF($B988="","",IFERROR(INDEX(Services!$C$2:$C$120,MATCH($B988,Services!$D$2:$D$120,0)),""))</f>
        <v/>
      </c>
      <c r="F988" s="19"/>
      <c r="G988" s="9" t="str">
        <f aca="false">IF(OR($B988="",NOT(ISNUMBER($E988))),"",$E988-IF($F988="",0,$F988))</f>
        <v/>
      </c>
      <c r="H988" s="15" t="str">
        <f aca="false">IF($B988="","",IFERROR(INDEX(Services!$A$2:$A$120,MATCH($B988,Services!$D$2:$D$120,0)),""))</f>
        <v/>
      </c>
      <c r="I988" s="19"/>
      <c r="J988" s="15" t="str">
        <f aca="false">IF($B988="","",IFERROR(INDEX(Services!$E$2:$E$120,MATCH($B988,Services!$D$2:$D$120,0)),""))</f>
        <v/>
      </c>
    </row>
    <row r="989" customFormat="false" ht="14.25" hidden="false" customHeight="false" outlineLevel="0" collapsed="false">
      <c r="A989" s="18"/>
      <c r="B989" s="6"/>
      <c r="C989" s="6"/>
      <c r="D989" s="6"/>
      <c r="E989" s="16" t="str">
        <f aca="false">IF($B989="","",IFERROR(INDEX(Services!$C$2:$C$120,MATCH($B989,Services!$D$2:$D$120,0)),""))</f>
        <v/>
      </c>
      <c r="F989" s="19"/>
      <c r="G989" s="9" t="str">
        <f aca="false">IF(OR($B989="",NOT(ISNUMBER($E989))),"",$E989-IF($F989="",0,$F989))</f>
        <v/>
      </c>
      <c r="H989" s="15" t="str">
        <f aca="false">IF($B989="","",IFERROR(INDEX(Services!$A$2:$A$120,MATCH($B989,Services!$D$2:$D$120,0)),""))</f>
        <v/>
      </c>
      <c r="I989" s="19"/>
      <c r="J989" s="15" t="str">
        <f aca="false">IF($B989="","",IFERROR(INDEX(Services!$E$2:$E$120,MATCH($B989,Services!$D$2:$D$120,0)),""))</f>
        <v/>
      </c>
    </row>
    <row r="990" customFormat="false" ht="14.25" hidden="false" customHeight="false" outlineLevel="0" collapsed="false">
      <c r="A990" s="18"/>
      <c r="B990" s="6"/>
      <c r="C990" s="6"/>
      <c r="D990" s="6"/>
      <c r="E990" s="16" t="str">
        <f aca="false">IF($B990="","",IFERROR(INDEX(Services!$C$2:$C$120,MATCH($B990,Services!$D$2:$D$120,0)),""))</f>
        <v/>
      </c>
      <c r="F990" s="19"/>
      <c r="G990" s="9" t="str">
        <f aca="false">IF(OR($B990="",NOT(ISNUMBER($E990))),"",$E990-IF($F990="",0,$F990))</f>
        <v/>
      </c>
      <c r="H990" s="15" t="str">
        <f aca="false">IF($B990="","",IFERROR(INDEX(Services!$A$2:$A$120,MATCH($B990,Services!$D$2:$D$120,0)),""))</f>
        <v/>
      </c>
      <c r="I990" s="19"/>
      <c r="J990" s="15" t="str">
        <f aca="false">IF($B990="","",IFERROR(INDEX(Services!$E$2:$E$120,MATCH($B990,Services!$D$2:$D$120,0)),""))</f>
        <v/>
      </c>
    </row>
    <row r="991" customFormat="false" ht="14.25" hidden="false" customHeight="false" outlineLevel="0" collapsed="false">
      <c r="A991" s="18"/>
      <c r="B991" s="6"/>
      <c r="C991" s="6"/>
      <c r="D991" s="6"/>
      <c r="E991" s="16" t="str">
        <f aca="false">IF($B991="","",IFERROR(INDEX(Services!$C$2:$C$120,MATCH($B991,Services!$D$2:$D$120,0)),""))</f>
        <v/>
      </c>
      <c r="F991" s="19"/>
      <c r="G991" s="9" t="str">
        <f aca="false">IF(OR($B991="",NOT(ISNUMBER($E991))),"",$E991-IF($F991="",0,$F991))</f>
        <v/>
      </c>
      <c r="H991" s="15" t="str">
        <f aca="false">IF($B991="","",IFERROR(INDEX(Services!$A$2:$A$120,MATCH($B991,Services!$D$2:$D$120,0)),""))</f>
        <v/>
      </c>
      <c r="I991" s="19"/>
      <c r="J991" s="15" t="str">
        <f aca="false">IF($B991="","",IFERROR(INDEX(Services!$E$2:$E$120,MATCH($B991,Services!$D$2:$D$120,0)),""))</f>
        <v/>
      </c>
    </row>
    <row r="992" customFormat="false" ht="14.25" hidden="false" customHeight="false" outlineLevel="0" collapsed="false">
      <c r="A992" s="18"/>
      <c r="B992" s="6"/>
      <c r="C992" s="6"/>
      <c r="D992" s="6"/>
      <c r="E992" s="16" t="str">
        <f aca="false">IF($B992="","",IFERROR(INDEX(Services!$C$2:$C$120,MATCH($B992,Services!$D$2:$D$120,0)),""))</f>
        <v/>
      </c>
      <c r="F992" s="19"/>
      <c r="G992" s="9" t="str">
        <f aca="false">IF(OR($B992="",NOT(ISNUMBER($E992))),"",$E992-IF($F992="",0,$F992))</f>
        <v/>
      </c>
      <c r="H992" s="15" t="str">
        <f aca="false">IF($B992="","",IFERROR(INDEX(Services!$A$2:$A$120,MATCH($B992,Services!$D$2:$D$120,0)),""))</f>
        <v/>
      </c>
      <c r="I992" s="19"/>
      <c r="J992" s="15" t="str">
        <f aca="false">IF($B992="","",IFERROR(INDEX(Services!$E$2:$E$120,MATCH($B992,Services!$D$2:$D$120,0)),""))</f>
        <v/>
      </c>
    </row>
    <row r="993" customFormat="false" ht="14.25" hidden="false" customHeight="false" outlineLevel="0" collapsed="false">
      <c r="A993" s="18"/>
      <c r="B993" s="6"/>
      <c r="C993" s="6"/>
      <c r="D993" s="6"/>
      <c r="E993" s="16" t="str">
        <f aca="false">IF($B993="","",IFERROR(INDEX(Services!$C$2:$C$120,MATCH($B993,Services!$D$2:$D$120,0)),""))</f>
        <v/>
      </c>
      <c r="F993" s="19"/>
      <c r="G993" s="9" t="str">
        <f aca="false">IF(OR($B993="",NOT(ISNUMBER($E993))),"",$E993-IF($F993="",0,$F993))</f>
        <v/>
      </c>
      <c r="H993" s="15" t="str">
        <f aca="false">IF($B993="","",IFERROR(INDEX(Services!$A$2:$A$120,MATCH($B993,Services!$D$2:$D$120,0)),""))</f>
        <v/>
      </c>
      <c r="I993" s="19"/>
      <c r="J993" s="15" t="str">
        <f aca="false">IF($B993="","",IFERROR(INDEX(Services!$E$2:$E$120,MATCH($B993,Services!$D$2:$D$120,0)),""))</f>
        <v/>
      </c>
    </row>
    <row r="994" customFormat="false" ht="14.25" hidden="false" customHeight="false" outlineLevel="0" collapsed="false">
      <c r="A994" s="18"/>
      <c r="B994" s="6"/>
      <c r="C994" s="6"/>
      <c r="D994" s="6"/>
      <c r="E994" s="16" t="str">
        <f aca="false">IF($B994="","",IFERROR(INDEX(Services!$C$2:$C$120,MATCH($B994,Services!$D$2:$D$120,0)),""))</f>
        <v/>
      </c>
      <c r="F994" s="19"/>
      <c r="G994" s="9" t="str">
        <f aca="false">IF(OR($B994="",NOT(ISNUMBER($E994))),"",$E994-IF($F994="",0,$F994))</f>
        <v/>
      </c>
      <c r="H994" s="15" t="str">
        <f aca="false">IF($B994="","",IFERROR(INDEX(Services!$A$2:$A$120,MATCH($B994,Services!$D$2:$D$120,0)),""))</f>
        <v/>
      </c>
      <c r="I994" s="19"/>
      <c r="J994" s="15" t="str">
        <f aca="false">IF($B994="","",IFERROR(INDEX(Services!$E$2:$E$120,MATCH($B994,Services!$D$2:$D$120,0)),""))</f>
        <v/>
      </c>
    </row>
    <row r="995" customFormat="false" ht="14.25" hidden="false" customHeight="false" outlineLevel="0" collapsed="false">
      <c r="A995" s="18"/>
      <c r="B995" s="6"/>
      <c r="C995" s="6"/>
      <c r="D995" s="6"/>
      <c r="E995" s="16" t="str">
        <f aca="false">IF($B995="","",IFERROR(INDEX(Services!$C$2:$C$120,MATCH($B995,Services!$D$2:$D$120,0)),""))</f>
        <v/>
      </c>
      <c r="F995" s="19"/>
      <c r="G995" s="9" t="str">
        <f aca="false">IF(OR($B995="",NOT(ISNUMBER($E995))),"",$E995-IF($F995="",0,$F995))</f>
        <v/>
      </c>
      <c r="H995" s="15" t="str">
        <f aca="false">IF($B995="","",IFERROR(INDEX(Services!$A$2:$A$120,MATCH($B995,Services!$D$2:$D$120,0)),""))</f>
        <v/>
      </c>
      <c r="I995" s="19"/>
      <c r="J995" s="15" t="str">
        <f aca="false">IF($B995="","",IFERROR(INDEX(Services!$E$2:$E$120,MATCH($B995,Services!$D$2:$D$120,0)),""))</f>
        <v/>
      </c>
    </row>
    <row r="996" customFormat="false" ht="14.25" hidden="false" customHeight="false" outlineLevel="0" collapsed="false">
      <c r="A996" s="18"/>
      <c r="B996" s="6"/>
      <c r="C996" s="6"/>
      <c r="D996" s="6"/>
      <c r="E996" s="16" t="str">
        <f aca="false">IF($B996="","",IFERROR(INDEX(Services!$C$2:$C$120,MATCH($B996,Services!$D$2:$D$120,0)),""))</f>
        <v/>
      </c>
      <c r="F996" s="19"/>
      <c r="G996" s="9" t="str">
        <f aca="false">IF(OR($B996="",NOT(ISNUMBER($E996))),"",$E996-IF($F996="",0,$F996))</f>
        <v/>
      </c>
      <c r="H996" s="15" t="str">
        <f aca="false">IF($B996="","",IFERROR(INDEX(Services!$A$2:$A$120,MATCH($B996,Services!$D$2:$D$120,0)),""))</f>
        <v/>
      </c>
      <c r="I996" s="19"/>
      <c r="J996" s="15" t="str">
        <f aca="false">IF($B996="","",IFERROR(INDEX(Services!$E$2:$E$120,MATCH($B996,Services!$D$2:$D$120,0)),""))</f>
        <v/>
      </c>
    </row>
    <row r="997" customFormat="false" ht="14.25" hidden="false" customHeight="false" outlineLevel="0" collapsed="false">
      <c r="A997" s="18"/>
      <c r="B997" s="6"/>
      <c r="C997" s="6"/>
      <c r="D997" s="6"/>
      <c r="E997" s="16" t="str">
        <f aca="false">IF($B997="","",IFERROR(INDEX(Services!$C$2:$C$120,MATCH($B997,Services!$D$2:$D$120,0)),""))</f>
        <v/>
      </c>
      <c r="F997" s="19"/>
      <c r="G997" s="9" t="str">
        <f aca="false">IF(OR($B997="",NOT(ISNUMBER($E997))),"",$E997-IF($F997="",0,$F997))</f>
        <v/>
      </c>
      <c r="H997" s="15" t="str">
        <f aca="false">IF($B997="","",IFERROR(INDEX(Services!$A$2:$A$120,MATCH($B997,Services!$D$2:$D$120,0)),""))</f>
        <v/>
      </c>
      <c r="I997" s="19"/>
      <c r="J997" s="15" t="str">
        <f aca="false">IF($B997="","",IFERROR(INDEX(Services!$E$2:$E$120,MATCH($B997,Services!$D$2:$D$120,0)),""))</f>
        <v/>
      </c>
    </row>
    <row r="998" customFormat="false" ht="14.25" hidden="false" customHeight="false" outlineLevel="0" collapsed="false">
      <c r="A998" s="18"/>
      <c r="B998" s="6"/>
      <c r="C998" s="6"/>
      <c r="D998" s="6"/>
      <c r="E998" s="16" t="str">
        <f aca="false">IF($B998="","",IFERROR(INDEX(Services!$C$2:$C$120,MATCH($B998,Services!$D$2:$D$120,0)),""))</f>
        <v/>
      </c>
      <c r="F998" s="19"/>
      <c r="G998" s="9" t="str">
        <f aca="false">IF(OR($B998="",NOT(ISNUMBER($E998))),"",$E998-IF($F998="",0,$F998))</f>
        <v/>
      </c>
      <c r="H998" s="15" t="str">
        <f aca="false">IF($B998="","",IFERROR(INDEX(Services!$A$2:$A$120,MATCH($B998,Services!$D$2:$D$120,0)),""))</f>
        <v/>
      </c>
      <c r="I998" s="19"/>
      <c r="J998" s="15" t="str">
        <f aca="false">IF($B998="","",IFERROR(INDEX(Services!$E$2:$E$120,MATCH($B998,Services!$D$2:$D$120,0)),""))</f>
        <v/>
      </c>
    </row>
    <row r="999" customFormat="false" ht="14.25" hidden="false" customHeight="false" outlineLevel="0" collapsed="false">
      <c r="A999" s="18"/>
      <c r="B999" s="6"/>
      <c r="C999" s="6"/>
      <c r="D999" s="6"/>
      <c r="E999" s="16" t="str">
        <f aca="false">IF($B999="","",IFERROR(INDEX(Services!$C$2:$C$120,MATCH($B999,Services!$D$2:$D$120,0)),""))</f>
        <v/>
      </c>
      <c r="F999" s="19"/>
      <c r="G999" s="9" t="str">
        <f aca="false">IF(OR($B999="",NOT(ISNUMBER($E999))),"",$E999-IF($F999="",0,$F999))</f>
        <v/>
      </c>
      <c r="H999" s="15" t="str">
        <f aca="false">IF($B999="","",IFERROR(INDEX(Services!$A$2:$A$120,MATCH($B999,Services!$D$2:$D$120,0)),""))</f>
        <v/>
      </c>
      <c r="I999" s="19"/>
      <c r="J999" s="15" t="str">
        <f aca="false">IF($B999="","",IFERROR(INDEX(Services!$E$2:$E$120,MATCH($B999,Services!$D$2:$D$120,0)),""))</f>
        <v/>
      </c>
    </row>
    <row r="1000" customFormat="false" ht="14.25" hidden="false" customHeight="false" outlineLevel="0" collapsed="false">
      <c r="A1000" s="18"/>
      <c r="B1000" s="6"/>
      <c r="C1000" s="6"/>
      <c r="D1000" s="6"/>
      <c r="E1000" s="16" t="str">
        <f aca="false">IF($B1000="","",IFERROR(INDEX(Services!$C$2:$C$120,MATCH($B1000,Services!$D$2:$D$120,0)),""))</f>
        <v/>
      </c>
      <c r="F1000" s="19"/>
      <c r="G1000" s="9" t="str">
        <f aca="false">IF(OR($B1000="",NOT(ISNUMBER($E1000))),"",$E1000-IF($F1000="",0,$F1000))</f>
        <v/>
      </c>
      <c r="H1000" s="15" t="str">
        <f aca="false">IF($B1000="","",IFERROR(INDEX(Services!$A$2:$A$120,MATCH($B1000,Services!$D$2:$D$120,0)),""))</f>
        <v/>
      </c>
      <c r="I1000" s="19"/>
      <c r="J1000" s="15" t="str">
        <f aca="false">IF($B1000="","",IFERROR(INDEX(Services!$E$2:$E$120,MATCH($B1000,Services!$D$2:$D$120,0)),""))</f>
        <v/>
      </c>
    </row>
    <row r="1001" customFormat="false" ht="14.25" hidden="false" customHeight="false" outlineLevel="0" collapsed="false">
      <c r="A1001" s="18"/>
      <c r="B1001" s="6"/>
      <c r="C1001" s="6"/>
      <c r="D1001" s="6"/>
      <c r="E1001" s="16" t="str">
        <f aca="false">IF($B1001="","",IFERROR(INDEX(Services!$C$2:$C$120,MATCH($B1001,Services!$D$2:$D$120,0)),""))</f>
        <v/>
      </c>
      <c r="F1001" s="19"/>
      <c r="G1001" s="9" t="str">
        <f aca="false">IF(OR($B1001="",NOT(ISNUMBER($E1001))),"",$E1001-IF($F1001="",0,$F1001))</f>
        <v/>
      </c>
      <c r="H1001" s="15" t="str">
        <f aca="false">IF($B1001="","",IFERROR(INDEX(Services!$A$2:$A$120,MATCH($B1001,Services!$D$2:$D$120,0)),""))</f>
        <v/>
      </c>
      <c r="I1001" s="19"/>
      <c r="J1001" s="15" t="str">
        <f aca="false">IF($B1001="","",IFERROR(INDEX(Services!$E$2:$E$120,MATCH($B1001,Services!$D$2:$D$120,0)),""))</f>
        <v/>
      </c>
    </row>
    <row r="1002" customFormat="false" ht="14.25" hidden="false" customHeight="false" outlineLevel="0" collapsed="false">
      <c r="A1002" s="18"/>
      <c r="B1002" s="6"/>
      <c r="C1002" s="6"/>
      <c r="D1002" s="6"/>
      <c r="E1002" s="16" t="str">
        <f aca="false">IF($B1002="","",IFERROR(INDEX(Services!$C$2:$C$120,MATCH($B1002,Services!$D$2:$D$120,0)),""))</f>
        <v/>
      </c>
      <c r="F1002" s="19"/>
      <c r="G1002" s="9" t="str">
        <f aca="false">IF(OR($B1002="",NOT(ISNUMBER($E1002))),"",$E1002-IF($F1002="",0,$F1002))</f>
        <v/>
      </c>
      <c r="H1002" s="15" t="str">
        <f aca="false">IF($B1002="","",IFERROR(INDEX(Services!$A$2:$A$120,MATCH($B1002,Services!$D$2:$D$120,0)),""))</f>
        <v/>
      </c>
      <c r="I1002" s="19"/>
      <c r="J1002" s="15" t="str">
        <f aca="false">IF($B1002="","",IFERROR(INDEX(Services!$E$2:$E$120,MATCH($B1002,Services!$D$2:$D$120,0)),""))</f>
        <v/>
      </c>
    </row>
    <row r="1003" customFormat="false" ht="14.25" hidden="false" customHeight="false" outlineLevel="0" collapsed="false">
      <c r="A1003" s="18"/>
      <c r="B1003" s="6"/>
      <c r="C1003" s="6"/>
      <c r="D1003" s="6"/>
      <c r="E1003" s="16" t="str">
        <f aca="false">IF($B1003="","",IFERROR(INDEX(Services!$C$2:$C$120,MATCH($B1003,Services!$D$2:$D$120,0)),""))</f>
        <v/>
      </c>
      <c r="F1003" s="19"/>
      <c r="G1003" s="9" t="str">
        <f aca="false">IF(OR($B1003="",NOT(ISNUMBER($E1003))),"",$E1003-IF($F1003="",0,$F1003))</f>
        <v/>
      </c>
      <c r="H1003" s="15" t="str">
        <f aca="false">IF($B1003="","",IFERROR(INDEX(Services!$A$2:$A$120,MATCH($B1003,Services!$D$2:$D$120,0)),""))</f>
        <v/>
      </c>
      <c r="I1003" s="19"/>
      <c r="J1003" s="15" t="str">
        <f aca="false">IF($B1003="","",IFERROR(INDEX(Services!$E$2:$E$120,MATCH($B1003,Services!$D$2:$D$120,0)),""))</f>
        <v/>
      </c>
    </row>
    <row r="1004" customFormat="false" ht="14.25" hidden="false" customHeight="false" outlineLevel="0" collapsed="false">
      <c r="A1004" s="18"/>
      <c r="B1004" s="6"/>
      <c r="C1004" s="6"/>
      <c r="D1004" s="6"/>
      <c r="E1004" s="16" t="str">
        <f aca="false">IF($B1004="","",IFERROR(INDEX(Services!$C$2:$C$120,MATCH($B1004,Services!$D$2:$D$120,0)),""))</f>
        <v/>
      </c>
      <c r="F1004" s="19"/>
      <c r="G1004" s="9" t="str">
        <f aca="false">IF(OR($B1004="",NOT(ISNUMBER($E1004))),"",$E1004-IF($F1004="",0,$F1004))</f>
        <v/>
      </c>
      <c r="H1004" s="15" t="str">
        <f aca="false">IF($B1004="","",IFERROR(INDEX(Services!$A$2:$A$120,MATCH($B1004,Services!$D$2:$D$120,0)),""))</f>
        <v/>
      </c>
      <c r="I1004" s="19"/>
      <c r="J1004" s="15" t="str">
        <f aca="false">IF($B1004="","",IFERROR(INDEX(Services!$E$2:$E$120,MATCH($B1004,Services!$D$2:$D$120,0)),""))</f>
        <v/>
      </c>
    </row>
    <row r="1005" customFormat="false" ht="14.25" hidden="false" customHeight="false" outlineLevel="0" collapsed="false">
      <c r="A1005" s="18"/>
      <c r="B1005" s="6"/>
      <c r="C1005" s="6"/>
      <c r="D1005" s="6"/>
      <c r="E1005" s="16" t="str">
        <f aca="false">IF($B1005="","",IFERROR(INDEX(Services!$C$2:$C$120,MATCH($B1005,Services!$D$2:$D$120,0)),""))</f>
        <v/>
      </c>
      <c r="F1005" s="19"/>
      <c r="G1005" s="9" t="str">
        <f aca="false">IF(OR($B1005="",NOT(ISNUMBER($E1005))),"",$E1005-IF($F1005="",0,$F1005))</f>
        <v/>
      </c>
      <c r="H1005" s="15" t="str">
        <f aca="false">IF($B1005="","",IFERROR(INDEX(Services!$A$2:$A$120,MATCH($B1005,Services!$D$2:$D$120,0)),""))</f>
        <v/>
      </c>
      <c r="I1005" s="19"/>
      <c r="J1005" s="15" t="str">
        <f aca="false">IF($B1005="","",IFERROR(INDEX(Services!$E$2:$E$120,MATCH($B1005,Services!$D$2:$D$120,0)),""))</f>
        <v/>
      </c>
    </row>
    <row r="1006" customFormat="false" ht="14.25" hidden="false" customHeight="false" outlineLevel="0" collapsed="false">
      <c r="A1006" s="18"/>
      <c r="B1006" s="6"/>
      <c r="C1006" s="6"/>
      <c r="D1006" s="6"/>
      <c r="E1006" s="16" t="str">
        <f aca="false">IF($B1006="","",IFERROR(INDEX(Services!$C$2:$C$120,MATCH($B1006,Services!$D$2:$D$120,0)),""))</f>
        <v/>
      </c>
      <c r="F1006" s="19"/>
      <c r="G1006" s="9" t="str">
        <f aca="false">IF(OR($B1006="",NOT(ISNUMBER($E1006))),"",$E1006-IF($F1006="",0,$F1006))</f>
        <v/>
      </c>
      <c r="H1006" s="15" t="str">
        <f aca="false">IF($B1006="","",IFERROR(INDEX(Services!$A$2:$A$120,MATCH($B1006,Services!$D$2:$D$120,0)),""))</f>
        <v/>
      </c>
      <c r="I1006" s="19"/>
      <c r="J1006" s="15" t="str">
        <f aca="false">IF($B1006="","",IFERROR(INDEX(Services!$E$2:$E$120,MATCH($B1006,Services!$D$2:$D$120,0)),""))</f>
        <v/>
      </c>
    </row>
    <row r="1007" customFormat="false" ht="14.25" hidden="false" customHeight="false" outlineLevel="0" collapsed="false">
      <c r="A1007" s="18"/>
      <c r="B1007" s="6"/>
      <c r="C1007" s="6"/>
      <c r="D1007" s="6"/>
      <c r="E1007" s="16" t="str">
        <f aca="false">IF($B1007="","",IFERROR(INDEX(Services!$C$2:$C$120,MATCH($B1007,Services!$D$2:$D$120,0)),""))</f>
        <v/>
      </c>
      <c r="F1007" s="19"/>
      <c r="G1007" s="9" t="str">
        <f aca="false">IF(OR($B1007="",NOT(ISNUMBER($E1007))),"",$E1007-IF($F1007="",0,$F1007))</f>
        <v/>
      </c>
      <c r="H1007" s="15" t="str">
        <f aca="false">IF($B1007="","",IFERROR(INDEX(Services!$A$2:$A$120,MATCH($B1007,Services!$D$2:$D$120,0)),""))</f>
        <v/>
      </c>
      <c r="I1007" s="19"/>
      <c r="J1007" s="15" t="str">
        <f aca="false">IF($B1007="","",IFERROR(INDEX(Services!$E$2:$E$120,MATCH($B1007,Services!$D$2:$D$120,0)),""))</f>
        <v/>
      </c>
    </row>
    <row r="1008" customFormat="false" ht="14.25" hidden="false" customHeight="false" outlineLevel="0" collapsed="false">
      <c r="A1008" s="18"/>
      <c r="B1008" s="6"/>
      <c r="C1008" s="6"/>
      <c r="D1008" s="6"/>
      <c r="E1008" s="16" t="str">
        <f aca="false">IF($B1008="","",IFERROR(INDEX(Services!$C$2:$C$120,MATCH($B1008,Services!$D$2:$D$120,0)),""))</f>
        <v/>
      </c>
      <c r="F1008" s="19"/>
      <c r="G1008" s="9" t="str">
        <f aca="false">IF(OR($B1008="",NOT(ISNUMBER($E1008))),"",$E1008-IF($F1008="",0,$F1008))</f>
        <v/>
      </c>
      <c r="H1008" s="15" t="str">
        <f aca="false">IF($B1008="","",IFERROR(INDEX(Services!$A$2:$A$120,MATCH($B1008,Services!$D$2:$D$120,0)),""))</f>
        <v/>
      </c>
      <c r="I1008" s="19"/>
      <c r="J1008" s="15" t="str">
        <f aca="false">IF($B1008="","",IFERROR(INDEX(Services!$E$2:$E$120,MATCH($B1008,Services!$D$2:$D$120,0)),""))</f>
        <v/>
      </c>
    </row>
    <row r="1009" customFormat="false" ht="14.25" hidden="false" customHeight="false" outlineLevel="0" collapsed="false">
      <c r="A1009" s="18"/>
      <c r="B1009" s="6"/>
      <c r="C1009" s="6"/>
      <c r="D1009" s="6"/>
      <c r="E1009" s="16" t="str">
        <f aca="false">IF($B1009="","",IFERROR(INDEX(Services!$C$2:$C$120,MATCH($B1009,Services!$D$2:$D$120,0)),""))</f>
        <v/>
      </c>
      <c r="F1009" s="19"/>
      <c r="G1009" s="9" t="str">
        <f aca="false">IF(OR($B1009="",NOT(ISNUMBER($E1009))),"",$E1009-IF($F1009="",0,$F1009))</f>
        <v/>
      </c>
      <c r="H1009" s="15" t="str">
        <f aca="false">IF($B1009="","",IFERROR(INDEX(Services!$A$2:$A$120,MATCH($B1009,Services!$D$2:$D$120,0)),""))</f>
        <v/>
      </c>
      <c r="I1009" s="19"/>
      <c r="J1009" s="15" t="str">
        <f aca="false">IF($B1009="","",IFERROR(INDEX(Services!$E$2:$E$120,MATCH($B1009,Services!$D$2:$D$120,0)),""))</f>
        <v/>
      </c>
    </row>
    <row r="1010" customFormat="false" ht="14.25" hidden="false" customHeight="false" outlineLevel="0" collapsed="false">
      <c r="A1010" s="18"/>
      <c r="B1010" s="6"/>
      <c r="C1010" s="6"/>
      <c r="D1010" s="6"/>
      <c r="E1010" s="16" t="str">
        <f aca="false">IF($B1010="","",IFERROR(INDEX(Services!$C$2:$C$120,MATCH($B1010,Services!$D$2:$D$120,0)),""))</f>
        <v/>
      </c>
      <c r="F1010" s="19"/>
      <c r="G1010" s="9" t="str">
        <f aca="false">IF(OR($B1010="",NOT(ISNUMBER($E1010))),"",$E1010-IF($F1010="",0,$F1010))</f>
        <v/>
      </c>
      <c r="H1010" s="15" t="str">
        <f aca="false">IF($B1010="","",IFERROR(INDEX(Services!$A$2:$A$120,MATCH($B1010,Services!$D$2:$D$120,0)),""))</f>
        <v/>
      </c>
      <c r="I1010" s="19"/>
      <c r="J1010" s="15" t="str">
        <f aca="false">IF($B1010="","",IFERROR(INDEX(Services!$E$2:$E$120,MATCH($B1010,Services!$D$2:$D$120,0)),""))</f>
        <v/>
      </c>
    </row>
    <row r="1011" customFormat="false" ht="14.25" hidden="false" customHeight="false" outlineLevel="0" collapsed="false">
      <c r="A1011" s="18"/>
      <c r="B1011" s="6"/>
      <c r="C1011" s="6"/>
      <c r="D1011" s="6"/>
      <c r="E1011" s="16" t="str">
        <f aca="false">IF($B1011="","",IFERROR(INDEX(Services!$C$2:$C$120,MATCH($B1011,Services!$D$2:$D$120,0)),""))</f>
        <v/>
      </c>
      <c r="F1011" s="19"/>
      <c r="G1011" s="9" t="str">
        <f aca="false">IF(OR($B1011="",NOT(ISNUMBER($E1011))),"",$E1011-IF($F1011="",0,$F1011))</f>
        <v/>
      </c>
      <c r="H1011" s="15" t="str">
        <f aca="false">IF($B1011="","",IFERROR(INDEX(Services!$A$2:$A$120,MATCH($B1011,Services!$D$2:$D$120,0)),""))</f>
        <v/>
      </c>
      <c r="I1011" s="19"/>
      <c r="J1011" s="15" t="str">
        <f aca="false">IF($B1011="","",IFERROR(INDEX(Services!$E$2:$E$120,MATCH($B1011,Services!$D$2:$D$120,0)),""))</f>
        <v/>
      </c>
    </row>
    <row r="1012" customFormat="false" ht="14.25" hidden="false" customHeight="false" outlineLevel="0" collapsed="false">
      <c r="A1012" s="18"/>
      <c r="B1012" s="6"/>
      <c r="C1012" s="6"/>
      <c r="D1012" s="6"/>
      <c r="E1012" s="16" t="str">
        <f aca="false">IF($B1012="","",IFERROR(INDEX(Services!$C$2:$C$120,MATCH($B1012,Services!$D$2:$D$120,0)),""))</f>
        <v/>
      </c>
      <c r="F1012" s="19"/>
      <c r="G1012" s="9" t="str">
        <f aca="false">IF(OR($B1012="",NOT(ISNUMBER($E1012))),"",$E1012-IF($F1012="",0,$F1012))</f>
        <v/>
      </c>
      <c r="H1012" s="15" t="str">
        <f aca="false">IF($B1012="","",IFERROR(INDEX(Services!$A$2:$A$120,MATCH($B1012,Services!$D$2:$D$120,0)),""))</f>
        <v/>
      </c>
      <c r="I1012" s="19"/>
      <c r="J1012" s="15" t="str">
        <f aca="false">IF($B1012="","",IFERROR(INDEX(Services!$E$2:$E$120,MATCH($B1012,Services!$D$2:$D$120,0)),""))</f>
        <v/>
      </c>
    </row>
    <row r="1013" customFormat="false" ht="14.25" hidden="false" customHeight="false" outlineLevel="0" collapsed="false">
      <c r="A1013" s="18"/>
      <c r="B1013" s="6"/>
      <c r="C1013" s="6"/>
      <c r="D1013" s="6"/>
      <c r="E1013" s="16" t="str">
        <f aca="false">IF($B1013="","",IFERROR(INDEX(Services!$C$2:$C$120,MATCH($B1013,Services!$D$2:$D$120,0)),""))</f>
        <v/>
      </c>
      <c r="F1013" s="19"/>
      <c r="G1013" s="9" t="str">
        <f aca="false">IF(OR($B1013="",NOT(ISNUMBER($E1013))),"",$E1013-IF($F1013="",0,$F1013))</f>
        <v/>
      </c>
      <c r="H1013" s="15" t="str">
        <f aca="false">IF($B1013="","",IFERROR(INDEX(Services!$A$2:$A$120,MATCH($B1013,Services!$D$2:$D$120,0)),""))</f>
        <v/>
      </c>
      <c r="I1013" s="19"/>
      <c r="J1013" s="15" t="str">
        <f aca="false">IF($B1013="","",IFERROR(INDEX(Services!$E$2:$E$120,MATCH($B1013,Services!$D$2:$D$120,0)),""))</f>
        <v/>
      </c>
    </row>
    <row r="1014" customFormat="false" ht="14.25" hidden="false" customHeight="false" outlineLevel="0" collapsed="false">
      <c r="A1014" s="18"/>
      <c r="B1014" s="6"/>
      <c r="C1014" s="6"/>
      <c r="D1014" s="6"/>
      <c r="E1014" s="16" t="str">
        <f aca="false">IF($B1014="","",IFERROR(INDEX(Services!$C$2:$C$120,MATCH($B1014,Services!$D$2:$D$120,0)),""))</f>
        <v/>
      </c>
      <c r="F1014" s="19"/>
      <c r="G1014" s="9" t="str">
        <f aca="false">IF(OR($B1014="",NOT(ISNUMBER($E1014))),"",$E1014-IF($F1014="",0,$F1014))</f>
        <v/>
      </c>
      <c r="H1014" s="15" t="str">
        <f aca="false">IF($B1014="","",IFERROR(INDEX(Services!$A$2:$A$120,MATCH($B1014,Services!$D$2:$D$120,0)),""))</f>
        <v/>
      </c>
      <c r="I1014" s="19"/>
      <c r="J1014" s="15" t="str">
        <f aca="false">IF($B1014="","",IFERROR(INDEX(Services!$E$2:$E$120,MATCH($B1014,Services!$D$2:$D$120,0)),""))</f>
        <v/>
      </c>
    </row>
    <row r="1015" customFormat="false" ht="14.25" hidden="false" customHeight="false" outlineLevel="0" collapsed="false">
      <c r="A1015" s="18"/>
      <c r="B1015" s="6"/>
      <c r="C1015" s="6"/>
      <c r="D1015" s="6"/>
      <c r="E1015" s="16" t="str">
        <f aca="false">IF($B1015="","",IFERROR(INDEX(Services!$C$2:$C$120,MATCH($B1015,Services!$D$2:$D$120,0)),""))</f>
        <v/>
      </c>
      <c r="F1015" s="19"/>
      <c r="G1015" s="9" t="str">
        <f aca="false">IF(OR($B1015="",NOT(ISNUMBER($E1015))),"",$E1015-IF($F1015="",0,$F1015))</f>
        <v/>
      </c>
      <c r="H1015" s="15" t="str">
        <f aca="false">IF($B1015="","",IFERROR(INDEX(Services!$A$2:$A$120,MATCH($B1015,Services!$D$2:$D$120,0)),""))</f>
        <v/>
      </c>
      <c r="I1015" s="19"/>
      <c r="J1015" s="15" t="str">
        <f aca="false">IF($B1015="","",IFERROR(INDEX(Services!$E$2:$E$120,MATCH($B1015,Services!$D$2:$D$120,0)),""))</f>
        <v/>
      </c>
    </row>
    <row r="1016" customFormat="false" ht="14.25" hidden="false" customHeight="false" outlineLevel="0" collapsed="false">
      <c r="A1016" s="18"/>
      <c r="B1016" s="6"/>
      <c r="C1016" s="6"/>
      <c r="D1016" s="6"/>
      <c r="E1016" s="16" t="str">
        <f aca="false">IF($B1016="","",IFERROR(INDEX(Services!$C$2:$C$120,MATCH($B1016,Services!$D$2:$D$120,0)),""))</f>
        <v/>
      </c>
      <c r="F1016" s="19"/>
      <c r="G1016" s="9" t="str">
        <f aca="false">IF(OR($B1016="",NOT(ISNUMBER($E1016))),"",$E1016-IF($F1016="",0,$F1016))</f>
        <v/>
      </c>
      <c r="H1016" s="15" t="str">
        <f aca="false">IF($B1016="","",IFERROR(INDEX(Services!$A$2:$A$120,MATCH($B1016,Services!$D$2:$D$120,0)),""))</f>
        <v/>
      </c>
      <c r="I1016" s="19"/>
      <c r="J1016" s="15" t="str">
        <f aca="false">IF($B1016="","",IFERROR(INDEX(Services!$E$2:$E$120,MATCH($B1016,Services!$D$2:$D$120,0)),""))</f>
        <v/>
      </c>
    </row>
    <row r="1017" customFormat="false" ht="14.25" hidden="false" customHeight="false" outlineLevel="0" collapsed="false">
      <c r="A1017" s="18"/>
      <c r="B1017" s="6"/>
      <c r="C1017" s="6"/>
      <c r="D1017" s="6"/>
      <c r="E1017" s="16" t="str">
        <f aca="false">IF($B1017="","",IFERROR(INDEX(Services!$C$2:$C$120,MATCH($B1017,Services!$D$2:$D$120,0)),""))</f>
        <v/>
      </c>
      <c r="F1017" s="19"/>
      <c r="G1017" s="9" t="str">
        <f aca="false">IF(OR($B1017="",NOT(ISNUMBER($E1017))),"",$E1017-IF($F1017="",0,$F1017))</f>
        <v/>
      </c>
      <c r="H1017" s="15" t="str">
        <f aca="false">IF($B1017="","",IFERROR(INDEX(Services!$A$2:$A$120,MATCH($B1017,Services!$D$2:$D$120,0)),""))</f>
        <v/>
      </c>
      <c r="I1017" s="19"/>
      <c r="J1017" s="15" t="str">
        <f aca="false">IF($B1017="","",IFERROR(INDEX(Services!$E$2:$E$120,MATCH($B1017,Services!$D$2:$D$120,0)),""))</f>
        <v/>
      </c>
    </row>
    <row r="1018" customFormat="false" ht="14.25" hidden="false" customHeight="false" outlineLevel="0" collapsed="false">
      <c r="A1018" s="18"/>
      <c r="B1018" s="6"/>
      <c r="C1018" s="6"/>
      <c r="D1018" s="6"/>
      <c r="E1018" s="16" t="str">
        <f aca="false">IF($B1018="","",IFERROR(INDEX(Services!$C$2:$C$120,MATCH($B1018,Services!$D$2:$D$120,0)),""))</f>
        <v/>
      </c>
      <c r="F1018" s="19"/>
      <c r="G1018" s="9" t="str">
        <f aca="false">IF(OR($B1018="",NOT(ISNUMBER($E1018))),"",$E1018-IF($F1018="",0,$F1018))</f>
        <v/>
      </c>
      <c r="H1018" s="15" t="str">
        <f aca="false">IF($B1018="","",IFERROR(INDEX(Services!$A$2:$A$120,MATCH($B1018,Services!$D$2:$D$120,0)),""))</f>
        <v/>
      </c>
      <c r="I1018" s="19"/>
      <c r="J1018" s="15" t="str">
        <f aca="false">IF($B1018="","",IFERROR(INDEX(Services!$E$2:$E$120,MATCH($B1018,Services!$D$2:$D$120,0)),""))</f>
        <v/>
      </c>
    </row>
    <row r="1019" customFormat="false" ht="14.25" hidden="false" customHeight="false" outlineLevel="0" collapsed="false">
      <c r="A1019" s="18"/>
      <c r="B1019" s="6"/>
      <c r="C1019" s="6"/>
      <c r="D1019" s="6"/>
      <c r="E1019" s="16" t="str">
        <f aca="false">IF($B1019="","",IFERROR(INDEX(Services!$C$2:$C$120,MATCH($B1019,Services!$D$2:$D$120,0)),""))</f>
        <v/>
      </c>
      <c r="F1019" s="19"/>
      <c r="G1019" s="9" t="str">
        <f aca="false">IF(OR($B1019="",NOT(ISNUMBER($E1019))),"",$E1019-IF($F1019="",0,$F1019))</f>
        <v/>
      </c>
      <c r="H1019" s="15" t="str">
        <f aca="false">IF($B1019="","",IFERROR(INDEX(Services!$A$2:$A$120,MATCH($B1019,Services!$D$2:$D$120,0)),""))</f>
        <v/>
      </c>
      <c r="I1019" s="19"/>
      <c r="J1019" s="15" t="str">
        <f aca="false">IF($B1019="","",IFERROR(INDEX(Services!$E$2:$E$120,MATCH($B1019,Services!$D$2:$D$120,0)),""))</f>
        <v/>
      </c>
    </row>
    <row r="1020" customFormat="false" ht="14.25" hidden="false" customHeight="false" outlineLevel="0" collapsed="false">
      <c r="A1020" s="18"/>
      <c r="B1020" s="6"/>
      <c r="C1020" s="6"/>
      <c r="D1020" s="6"/>
      <c r="E1020" s="16" t="str">
        <f aca="false">IF($B1020="","",IFERROR(INDEX(Services!$C$2:$C$120,MATCH($B1020,Services!$D$2:$D$120,0)),""))</f>
        <v/>
      </c>
      <c r="F1020" s="19"/>
      <c r="G1020" s="9" t="str">
        <f aca="false">IF(OR($B1020="",NOT(ISNUMBER($E1020))),"",$E1020-IF($F1020="",0,$F1020))</f>
        <v/>
      </c>
      <c r="H1020" s="15" t="str">
        <f aca="false">IF($B1020="","",IFERROR(INDEX(Services!$A$2:$A$120,MATCH($B1020,Services!$D$2:$D$120,0)),""))</f>
        <v/>
      </c>
      <c r="I1020" s="19"/>
      <c r="J1020" s="15" t="str">
        <f aca="false">IF($B1020="","",IFERROR(INDEX(Services!$E$2:$E$120,MATCH($B1020,Services!$D$2:$D$120,0)),""))</f>
        <v/>
      </c>
    </row>
    <row r="1021" customFormat="false" ht="14.25" hidden="false" customHeight="false" outlineLevel="0" collapsed="false">
      <c r="A1021" s="18"/>
      <c r="B1021" s="6"/>
      <c r="C1021" s="6"/>
      <c r="D1021" s="6"/>
      <c r="E1021" s="16" t="str">
        <f aca="false">IF($B1021="","",IFERROR(INDEX(Services!$C$2:$C$120,MATCH($B1021,Services!$D$2:$D$120,0)),""))</f>
        <v/>
      </c>
      <c r="F1021" s="19"/>
      <c r="G1021" s="9" t="str">
        <f aca="false">IF(OR($B1021="",NOT(ISNUMBER($E1021))),"",$E1021-IF($F1021="",0,$F1021))</f>
        <v/>
      </c>
      <c r="H1021" s="15" t="str">
        <f aca="false">IF($B1021="","",IFERROR(INDEX(Services!$A$2:$A$120,MATCH($B1021,Services!$D$2:$D$120,0)),""))</f>
        <v/>
      </c>
      <c r="I1021" s="19"/>
      <c r="J1021" s="15" t="str">
        <f aca="false">IF($B1021="","",IFERROR(INDEX(Services!$E$2:$E$120,MATCH($B1021,Services!$D$2:$D$120,0)),""))</f>
        <v/>
      </c>
    </row>
    <row r="1022" customFormat="false" ht="14.25" hidden="false" customHeight="false" outlineLevel="0" collapsed="false">
      <c r="A1022" s="18"/>
      <c r="B1022" s="6"/>
      <c r="C1022" s="6"/>
      <c r="D1022" s="6"/>
      <c r="E1022" s="16" t="str">
        <f aca="false">IF($B1022="","",IFERROR(INDEX(Services!$C$2:$C$120,MATCH($B1022,Services!$D$2:$D$120,0)),""))</f>
        <v/>
      </c>
      <c r="F1022" s="19"/>
      <c r="G1022" s="9" t="str">
        <f aca="false">IF(OR($B1022="",NOT(ISNUMBER($E1022))),"",$E1022-IF($F1022="",0,$F1022))</f>
        <v/>
      </c>
      <c r="H1022" s="15" t="str">
        <f aca="false">IF($B1022="","",IFERROR(INDEX(Services!$A$2:$A$120,MATCH($B1022,Services!$D$2:$D$120,0)),""))</f>
        <v/>
      </c>
      <c r="I1022" s="19"/>
      <c r="J1022" s="15" t="str">
        <f aca="false">IF($B1022="","",IFERROR(INDEX(Services!$E$2:$E$120,MATCH($B1022,Services!$D$2:$D$120,0)),""))</f>
        <v/>
      </c>
    </row>
    <row r="1023" customFormat="false" ht="14.25" hidden="false" customHeight="false" outlineLevel="0" collapsed="false">
      <c r="A1023" s="18"/>
      <c r="B1023" s="6"/>
      <c r="C1023" s="6"/>
      <c r="D1023" s="6"/>
      <c r="E1023" s="16" t="str">
        <f aca="false">IF($B1023="","",IFERROR(INDEX(Services!$C$2:$C$120,MATCH($B1023,Services!$D$2:$D$120,0)),""))</f>
        <v/>
      </c>
      <c r="F1023" s="19"/>
      <c r="G1023" s="9" t="str">
        <f aca="false">IF(OR($B1023="",NOT(ISNUMBER($E1023))),"",$E1023-IF($F1023="",0,$F1023))</f>
        <v/>
      </c>
      <c r="H1023" s="15" t="str">
        <f aca="false">IF($B1023="","",IFERROR(INDEX(Services!$A$2:$A$120,MATCH($B1023,Services!$D$2:$D$120,0)),""))</f>
        <v/>
      </c>
      <c r="I1023" s="19"/>
      <c r="J1023" s="15" t="str">
        <f aca="false">IF($B1023="","",IFERROR(INDEX(Services!$E$2:$E$120,MATCH($B1023,Services!$D$2:$D$120,0)),""))</f>
        <v/>
      </c>
    </row>
    <row r="1024" customFormat="false" ht="14.25" hidden="false" customHeight="false" outlineLevel="0" collapsed="false">
      <c r="A1024" s="18"/>
      <c r="B1024" s="6"/>
      <c r="C1024" s="6"/>
      <c r="D1024" s="6"/>
      <c r="E1024" s="16" t="str">
        <f aca="false">IF($B1024="","",IFERROR(INDEX(Services!$C$2:$C$120,MATCH($B1024,Services!$D$2:$D$120,0)),""))</f>
        <v/>
      </c>
      <c r="F1024" s="19"/>
      <c r="G1024" s="9" t="str">
        <f aca="false">IF(OR($B1024="",NOT(ISNUMBER($E1024))),"",$E1024-IF($F1024="",0,$F1024))</f>
        <v/>
      </c>
      <c r="H1024" s="15" t="str">
        <f aca="false">IF($B1024="","",IFERROR(INDEX(Services!$A$2:$A$120,MATCH($B1024,Services!$D$2:$D$120,0)),""))</f>
        <v/>
      </c>
      <c r="I1024" s="19"/>
      <c r="J1024" s="15" t="str">
        <f aca="false">IF($B1024="","",IFERROR(INDEX(Services!$E$2:$E$120,MATCH($B1024,Services!$D$2:$D$120,0)),""))</f>
        <v/>
      </c>
    </row>
    <row r="1025" customFormat="false" ht="14.25" hidden="false" customHeight="false" outlineLevel="0" collapsed="false">
      <c r="A1025" s="18"/>
      <c r="B1025" s="6"/>
      <c r="C1025" s="6"/>
      <c r="D1025" s="6"/>
      <c r="E1025" s="16" t="str">
        <f aca="false">IF($B1025="","",IFERROR(INDEX(Services!$C$2:$C$120,MATCH($B1025,Services!$D$2:$D$120,0)),""))</f>
        <v/>
      </c>
      <c r="F1025" s="19"/>
      <c r="G1025" s="9" t="str">
        <f aca="false">IF(OR($B1025="",NOT(ISNUMBER($E1025))),"",$E1025-IF($F1025="",0,$F1025))</f>
        <v/>
      </c>
      <c r="H1025" s="15" t="str">
        <f aca="false">IF($B1025="","",IFERROR(INDEX(Services!$A$2:$A$120,MATCH($B1025,Services!$D$2:$D$120,0)),""))</f>
        <v/>
      </c>
      <c r="I1025" s="19"/>
      <c r="J1025" s="15" t="str">
        <f aca="false">IF($B1025="","",IFERROR(INDEX(Services!$E$2:$E$120,MATCH($B1025,Services!$D$2:$D$120,0)),""))</f>
        <v/>
      </c>
    </row>
    <row r="1026" customFormat="false" ht="14.25" hidden="false" customHeight="false" outlineLevel="0" collapsed="false">
      <c r="A1026" s="18"/>
      <c r="B1026" s="6"/>
      <c r="C1026" s="6"/>
      <c r="D1026" s="6"/>
      <c r="E1026" s="16" t="str">
        <f aca="false">IF($B1026="","",IFERROR(INDEX(Services!$C$2:$C$120,MATCH($B1026,Services!$D$2:$D$120,0)),""))</f>
        <v/>
      </c>
      <c r="F1026" s="19"/>
      <c r="G1026" s="9" t="str">
        <f aca="false">IF(OR($B1026="",NOT(ISNUMBER($E1026))),"",$E1026-IF($F1026="",0,$F1026))</f>
        <v/>
      </c>
      <c r="H1026" s="15" t="str">
        <f aca="false">IF($B1026="","",IFERROR(INDEX(Services!$A$2:$A$120,MATCH($B1026,Services!$D$2:$D$120,0)),""))</f>
        <v/>
      </c>
      <c r="I1026" s="19"/>
      <c r="J1026" s="15" t="str">
        <f aca="false">IF($B1026="","",IFERROR(INDEX(Services!$E$2:$E$120,MATCH($B1026,Services!$D$2:$D$120,0)),""))</f>
        <v/>
      </c>
    </row>
    <row r="1027" customFormat="false" ht="14.25" hidden="false" customHeight="false" outlineLevel="0" collapsed="false">
      <c r="A1027" s="18"/>
      <c r="B1027" s="6"/>
      <c r="C1027" s="6"/>
      <c r="D1027" s="6"/>
      <c r="E1027" s="16" t="str">
        <f aca="false">IF($B1027="","",IFERROR(INDEX(Services!$C$2:$C$120,MATCH($B1027,Services!$D$2:$D$120,0)),""))</f>
        <v/>
      </c>
      <c r="F1027" s="19"/>
      <c r="G1027" s="9" t="str">
        <f aca="false">IF(OR($B1027="",NOT(ISNUMBER($E1027))),"",$E1027-IF($F1027="",0,$F1027))</f>
        <v/>
      </c>
      <c r="H1027" s="15" t="str">
        <f aca="false">IF($B1027="","",IFERROR(INDEX(Services!$A$2:$A$120,MATCH($B1027,Services!$D$2:$D$120,0)),""))</f>
        <v/>
      </c>
      <c r="I1027" s="19"/>
      <c r="J1027" s="15" t="str">
        <f aca="false">IF($B1027="","",IFERROR(INDEX(Services!$E$2:$E$120,MATCH($B1027,Services!$D$2:$D$120,0)),""))</f>
        <v/>
      </c>
    </row>
    <row r="1028" customFormat="false" ht="14.25" hidden="false" customHeight="false" outlineLevel="0" collapsed="false">
      <c r="A1028" s="18"/>
      <c r="B1028" s="6"/>
      <c r="C1028" s="6"/>
      <c r="D1028" s="6"/>
      <c r="E1028" s="16" t="str">
        <f aca="false">IF($B1028="","",IFERROR(INDEX(Services!$C$2:$C$120,MATCH($B1028,Services!$D$2:$D$120,0)),""))</f>
        <v/>
      </c>
      <c r="F1028" s="19"/>
      <c r="G1028" s="9" t="str">
        <f aca="false">IF(OR($B1028="",NOT(ISNUMBER($E1028))),"",$E1028-IF($F1028="",0,$F1028))</f>
        <v/>
      </c>
      <c r="H1028" s="15" t="str">
        <f aca="false">IF($B1028="","",IFERROR(INDEX(Services!$A$2:$A$120,MATCH($B1028,Services!$D$2:$D$120,0)),""))</f>
        <v/>
      </c>
      <c r="I1028" s="19"/>
      <c r="J1028" s="15" t="str">
        <f aca="false">IF($B1028="","",IFERROR(INDEX(Services!$E$2:$E$120,MATCH($B1028,Services!$D$2:$D$120,0)),""))</f>
        <v/>
      </c>
    </row>
    <row r="1029" customFormat="false" ht="14.25" hidden="false" customHeight="false" outlineLevel="0" collapsed="false">
      <c r="A1029" s="18"/>
      <c r="B1029" s="6"/>
      <c r="C1029" s="6"/>
      <c r="D1029" s="6"/>
      <c r="E1029" s="16" t="str">
        <f aca="false">IF($B1029="","",IFERROR(INDEX(Services!$C$2:$C$120,MATCH($B1029,Services!$D$2:$D$120,0)),""))</f>
        <v/>
      </c>
      <c r="F1029" s="19"/>
      <c r="G1029" s="9" t="str">
        <f aca="false">IF(OR($B1029="",NOT(ISNUMBER($E1029))),"",$E1029-IF($F1029="",0,$F1029))</f>
        <v/>
      </c>
      <c r="H1029" s="15" t="str">
        <f aca="false">IF($B1029="","",IFERROR(INDEX(Services!$A$2:$A$120,MATCH($B1029,Services!$D$2:$D$120,0)),""))</f>
        <v/>
      </c>
      <c r="I1029" s="19"/>
      <c r="J1029" s="15" t="str">
        <f aca="false">IF($B1029="","",IFERROR(INDEX(Services!$E$2:$E$120,MATCH($B1029,Services!$D$2:$D$120,0)),""))</f>
        <v/>
      </c>
    </row>
    <row r="1030" customFormat="false" ht="14.25" hidden="false" customHeight="false" outlineLevel="0" collapsed="false">
      <c r="A1030" s="18"/>
      <c r="B1030" s="6"/>
      <c r="C1030" s="6"/>
      <c r="D1030" s="6"/>
      <c r="E1030" s="16" t="str">
        <f aca="false">IF($B1030="","",IFERROR(INDEX(Services!$C$2:$C$120,MATCH($B1030,Services!$D$2:$D$120,0)),""))</f>
        <v/>
      </c>
      <c r="F1030" s="19"/>
      <c r="G1030" s="9" t="str">
        <f aca="false">IF(OR($B1030="",NOT(ISNUMBER($E1030))),"",$E1030-IF($F1030="",0,$F1030))</f>
        <v/>
      </c>
      <c r="H1030" s="15" t="str">
        <f aca="false">IF($B1030="","",IFERROR(INDEX(Services!$A$2:$A$120,MATCH($B1030,Services!$D$2:$D$120,0)),""))</f>
        <v/>
      </c>
      <c r="I1030" s="19"/>
      <c r="J1030" s="15" t="str">
        <f aca="false">IF($B1030="","",IFERROR(INDEX(Services!$E$2:$E$120,MATCH($B1030,Services!$D$2:$D$120,0)),""))</f>
        <v/>
      </c>
    </row>
    <row r="1031" customFormat="false" ht="14.25" hidden="false" customHeight="false" outlineLevel="0" collapsed="false">
      <c r="A1031" s="18"/>
      <c r="B1031" s="6"/>
      <c r="C1031" s="6"/>
      <c r="D1031" s="6"/>
      <c r="E1031" s="16" t="str">
        <f aca="false">IF($B1031="","",IFERROR(INDEX(Services!$C$2:$C$120,MATCH($B1031,Services!$D$2:$D$120,0)),""))</f>
        <v/>
      </c>
      <c r="F1031" s="19"/>
      <c r="G1031" s="9" t="str">
        <f aca="false">IF(OR($B1031="",NOT(ISNUMBER($E1031))),"",$E1031-IF($F1031="",0,$F1031))</f>
        <v/>
      </c>
      <c r="H1031" s="15" t="str">
        <f aca="false">IF($B1031="","",IFERROR(INDEX(Services!$A$2:$A$120,MATCH($B1031,Services!$D$2:$D$120,0)),""))</f>
        <v/>
      </c>
      <c r="I1031" s="19"/>
      <c r="J1031" s="15" t="str">
        <f aca="false">IF($B1031="","",IFERROR(INDEX(Services!$E$2:$E$120,MATCH($B1031,Services!$D$2:$D$120,0)),""))</f>
        <v/>
      </c>
    </row>
    <row r="1032" customFormat="false" ht="14.25" hidden="false" customHeight="false" outlineLevel="0" collapsed="false">
      <c r="A1032" s="18"/>
      <c r="B1032" s="6"/>
      <c r="C1032" s="6"/>
      <c r="D1032" s="6"/>
      <c r="E1032" s="16" t="str">
        <f aca="false">IF($B1032="","",IFERROR(INDEX(Services!$C$2:$C$120,MATCH($B1032,Services!$D$2:$D$120,0)),""))</f>
        <v/>
      </c>
      <c r="F1032" s="19"/>
      <c r="G1032" s="9" t="str">
        <f aca="false">IF(OR($B1032="",NOT(ISNUMBER($E1032))),"",$E1032-IF($F1032="",0,$F1032))</f>
        <v/>
      </c>
      <c r="H1032" s="15" t="str">
        <f aca="false">IF($B1032="","",IFERROR(INDEX(Services!$A$2:$A$120,MATCH($B1032,Services!$D$2:$D$120,0)),""))</f>
        <v/>
      </c>
      <c r="I1032" s="19"/>
      <c r="J1032" s="15" t="str">
        <f aca="false">IF($B1032="","",IFERROR(INDEX(Services!$E$2:$E$120,MATCH($B1032,Services!$D$2:$D$120,0)),""))</f>
        <v/>
      </c>
    </row>
    <row r="1033" customFormat="false" ht="14.25" hidden="false" customHeight="false" outlineLevel="0" collapsed="false">
      <c r="A1033" s="18"/>
      <c r="B1033" s="6"/>
      <c r="C1033" s="6"/>
      <c r="D1033" s="6"/>
      <c r="E1033" s="16" t="str">
        <f aca="false">IF($B1033="","",IFERROR(INDEX(Services!$C$2:$C$120,MATCH($B1033,Services!$D$2:$D$120,0)),""))</f>
        <v/>
      </c>
      <c r="F1033" s="19"/>
      <c r="G1033" s="9" t="str">
        <f aca="false">IF(OR($B1033="",NOT(ISNUMBER($E1033))),"",$E1033-IF($F1033="",0,$F1033))</f>
        <v/>
      </c>
      <c r="H1033" s="15" t="str">
        <f aca="false">IF($B1033="","",IFERROR(INDEX(Services!$A$2:$A$120,MATCH($B1033,Services!$D$2:$D$120,0)),""))</f>
        <v/>
      </c>
      <c r="I1033" s="19"/>
      <c r="J1033" s="15" t="str">
        <f aca="false">IF($B1033="","",IFERROR(INDEX(Services!$E$2:$E$120,MATCH($B1033,Services!$D$2:$D$120,0)),""))</f>
        <v/>
      </c>
    </row>
    <row r="1034" customFormat="false" ht="14.25" hidden="false" customHeight="false" outlineLevel="0" collapsed="false">
      <c r="A1034" s="18"/>
      <c r="B1034" s="6"/>
      <c r="C1034" s="6"/>
      <c r="D1034" s="6"/>
      <c r="E1034" s="16" t="str">
        <f aca="false">IF($B1034="","",IFERROR(INDEX(Services!$C$2:$C$120,MATCH($B1034,Services!$D$2:$D$120,0)),""))</f>
        <v/>
      </c>
      <c r="F1034" s="19"/>
      <c r="G1034" s="9" t="str">
        <f aca="false">IF(OR($B1034="",NOT(ISNUMBER($E1034))),"",$E1034-IF($F1034="",0,$F1034))</f>
        <v/>
      </c>
      <c r="H1034" s="15" t="str">
        <f aca="false">IF($B1034="","",IFERROR(INDEX(Services!$A$2:$A$120,MATCH($B1034,Services!$D$2:$D$120,0)),""))</f>
        <v/>
      </c>
      <c r="I1034" s="19"/>
      <c r="J1034" s="15" t="str">
        <f aca="false">IF($B1034="","",IFERROR(INDEX(Services!$E$2:$E$120,MATCH($B1034,Services!$D$2:$D$120,0)),""))</f>
        <v/>
      </c>
    </row>
    <row r="1035" customFormat="false" ht="14.25" hidden="false" customHeight="false" outlineLevel="0" collapsed="false">
      <c r="A1035" s="18"/>
      <c r="B1035" s="6"/>
      <c r="C1035" s="6"/>
      <c r="D1035" s="6"/>
      <c r="E1035" s="16" t="str">
        <f aca="false">IF($B1035="","",IFERROR(INDEX(Services!$C$2:$C$120,MATCH($B1035,Services!$D$2:$D$120,0)),""))</f>
        <v/>
      </c>
      <c r="F1035" s="19"/>
      <c r="G1035" s="9" t="str">
        <f aca="false">IF(OR($B1035="",NOT(ISNUMBER($E1035))),"",$E1035-IF($F1035="",0,$F1035))</f>
        <v/>
      </c>
      <c r="H1035" s="15" t="str">
        <f aca="false">IF($B1035="","",IFERROR(INDEX(Services!$A$2:$A$120,MATCH($B1035,Services!$D$2:$D$120,0)),""))</f>
        <v/>
      </c>
      <c r="I1035" s="19"/>
      <c r="J1035" s="15" t="str">
        <f aca="false">IF($B1035="","",IFERROR(INDEX(Services!$E$2:$E$120,MATCH($B1035,Services!$D$2:$D$120,0)),""))</f>
        <v/>
      </c>
    </row>
    <row r="1036" customFormat="false" ht="14.25" hidden="false" customHeight="false" outlineLevel="0" collapsed="false">
      <c r="A1036" s="18"/>
      <c r="B1036" s="6"/>
      <c r="C1036" s="6"/>
      <c r="D1036" s="6"/>
      <c r="E1036" s="16" t="str">
        <f aca="false">IF($B1036="","",IFERROR(INDEX(Services!$C$2:$C$120,MATCH($B1036,Services!$D$2:$D$120,0)),""))</f>
        <v/>
      </c>
      <c r="F1036" s="19"/>
      <c r="G1036" s="9" t="str">
        <f aca="false">IF(OR($B1036="",NOT(ISNUMBER($E1036))),"",$E1036-IF($F1036="",0,$F1036))</f>
        <v/>
      </c>
      <c r="H1036" s="15" t="str">
        <f aca="false">IF($B1036="","",IFERROR(INDEX(Services!$A$2:$A$120,MATCH($B1036,Services!$D$2:$D$120,0)),""))</f>
        <v/>
      </c>
      <c r="I1036" s="19"/>
      <c r="J1036" s="15" t="str">
        <f aca="false">IF($B1036="","",IFERROR(INDEX(Services!$E$2:$E$120,MATCH($B1036,Services!$D$2:$D$120,0)),""))</f>
        <v/>
      </c>
    </row>
    <row r="1037" customFormat="false" ht="14.25" hidden="false" customHeight="false" outlineLevel="0" collapsed="false">
      <c r="A1037" s="18"/>
      <c r="B1037" s="6"/>
      <c r="C1037" s="6"/>
      <c r="D1037" s="6"/>
      <c r="E1037" s="16" t="str">
        <f aca="false">IF($B1037="","",IFERROR(INDEX(Services!$C$2:$C$120,MATCH($B1037,Services!$D$2:$D$120,0)),""))</f>
        <v/>
      </c>
      <c r="F1037" s="19"/>
      <c r="G1037" s="9" t="str">
        <f aca="false">IF(OR($B1037="",NOT(ISNUMBER($E1037))),"",$E1037-IF($F1037="",0,$F1037))</f>
        <v/>
      </c>
      <c r="H1037" s="15" t="str">
        <f aca="false">IF($B1037="","",IFERROR(INDEX(Services!$A$2:$A$120,MATCH($B1037,Services!$D$2:$D$120,0)),""))</f>
        <v/>
      </c>
      <c r="I1037" s="19"/>
      <c r="J1037" s="15" t="str">
        <f aca="false">IF($B1037="","",IFERROR(INDEX(Services!$E$2:$E$120,MATCH($B1037,Services!$D$2:$D$120,0)),""))</f>
        <v/>
      </c>
    </row>
    <row r="1038" customFormat="false" ht="14.25" hidden="false" customHeight="false" outlineLevel="0" collapsed="false">
      <c r="A1038" s="18"/>
      <c r="B1038" s="6"/>
      <c r="C1038" s="6"/>
      <c r="D1038" s="6"/>
      <c r="E1038" s="16" t="str">
        <f aca="false">IF($B1038="","",IFERROR(INDEX(Services!$C$2:$C$120,MATCH($B1038,Services!$D$2:$D$120,0)),""))</f>
        <v/>
      </c>
      <c r="F1038" s="19"/>
      <c r="G1038" s="9" t="str">
        <f aca="false">IF(OR($B1038="",NOT(ISNUMBER($E1038))),"",$E1038-IF($F1038="",0,$F1038))</f>
        <v/>
      </c>
      <c r="H1038" s="15" t="str">
        <f aca="false">IF($B1038="","",IFERROR(INDEX(Services!$A$2:$A$120,MATCH($B1038,Services!$D$2:$D$120,0)),""))</f>
        <v/>
      </c>
      <c r="I1038" s="19"/>
      <c r="J1038" s="15" t="str">
        <f aca="false">IF($B1038="","",IFERROR(INDEX(Services!$E$2:$E$120,MATCH($B1038,Services!$D$2:$D$120,0)),""))</f>
        <v/>
      </c>
    </row>
    <row r="1039" customFormat="false" ht="14.25" hidden="false" customHeight="false" outlineLevel="0" collapsed="false">
      <c r="A1039" s="18"/>
      <c r="B1039" s="6"/>
      <c r="C1039" s="6"/>
      <c r="D1039" s="6"/>
      <c r="E1039" s="16" t="str">
        <f aca="false">IF($B1039="","",IFERROR(INDEX(Services!$C$2:$C$120,MATCH($B1039,Services!$D$2:$D$120,0)),""))</f>
        <v/>
      </c>
      <c r="F1039" s="19"/>
      <c r="G1039" s="9" t="str">
        <f aca="false">IF(OR($B1039="",NOT(ISNUMBER($E1039))),"",$E1039-IF($F1039="",0,$F1039))</f>
        <v/>
      </c>
      <c r="H1039" s="15" t="str">
        <f aca="false">IF($B1039="","",IFERROR(INDEX(Services!$A$2:$A$120,MATCH($B1039,Services!$D$2:$D$120,0)),""))</f>
        <v/>
      </c>
      <c r="I1039" s="19"/>
      <c r="J1039" s="15" t="str">
        <f aca="false">IF($B1039="","",IFERROR(INDEX(Services!$E$2:$E$120,MATCH($B1039,Services!$D$2:$D$120,0)),""))</f>
        <v/>
      </c>
    </row>
    <row r="1040" customFormat="false" ht="14.25" hidden="false" customHeight="false" outlineLevel="0" collapsed="false">
      <c r="A1040" s="18"/>
      <c r="B1040" s="6"/>
      <c r="C1040" s="6"/>
      <c r="D1040" s="6"/>
      <c r="E1040" s="16" t="str">
        <f aca="false">IF($B1040="","",IFERROR(INDEX(Services!$C$2:$C$120,MATCH($B1040,Services!$D$2:$D$120,0)),""))</f>
        <v/>
      </c>
      <c r="F1040" s="19"/>
      <c r="G1040" s="9" t="str">
        <f aca="false">IF(OR($B1040="",NOT(ISNUMBER($E1040))),"",$E1040-IF($F1040="",0,$F1040))</f>
        <v/>
      </c>
      <c r="H1040" s="15" t="str">
        <f aca="false">IF($B1040="","",IFERROR(INDEX(Services!$A$2:$A$120,MATCH($B1040,Services!$D$2:$D$120,0)),""))</f>
        <v/>
      </c>
      <c r="I1040" s="19"/>
      <c r="J1040" s="15" t="str">
        <f aca="false">IF($B1040="","",IFERROR(INDEX(Services!$E$2:$E$120,MATCH($B1040,Services!$D$2:$D$120,0)),""))</f>
        <v/>
      </c>
    </row>
    <row r="1041" customFormat="false" ht="14.25" hidden="false" customHeight="false" outlineLevel="0" collapsed="false">
      <c r="A1041" s="18"/>
      <c r="B1041" s="6"/>
      <c r="C1041" s="6"/>
      <c r="D1041" s="6"/>
      <c r="E1041" s="16" t="str">
        <f aca="false">IF($B1041="","",IFERROR(INDEX(Services!$C$2:$C$120,MATCH($B1041,Services!$D$2:$D$120,0)),""))</f>
        <v/>
      </c>
      <c r="F1041" s="19"/>
      <c r="G1041" s="9" t="str">
        <f aca="false">IF(OR($B1041="",NOT(ISNUMBER($E1041))),"",$E1041-IF($F1041="",0,$F1041))</f>
        <v/>
      </c>
      <c r="H1041" s="15" t="str">
        <f aca="false">IF($B1041="","",IFERROR(INDEX(Services!$A$2:$A$120,MATCH($B1041,Services!$D$2:$D$120,0)),""))</f>
        <v/>
      </c>
      <c r="I1041" s="19"/>
      <c r="J1041" s="15" t="str">
        <f aca="false">IF($B1041="","",IFERROR(INDEX(Services!$E$2:$E$120,MATCH($B1041,Services!$D$2:$D$120,0)),""))</f>
        <v/>
      </c>
    </row>
    <row r="1042" customFormat="false" ht="14.25" hidden="false" customHeight="false" outlineLevel="0" collapsed="false">
      <c r="A1042" s="18"/>
      <c r="B1042" s="6"/>
      <c r="C1042" s="6"/>
      <c r="D1042" s="6"/>
      <c r="E1042" s="16" t="str">
        <f aca="false">IF($B1042="","",IFERROR(INDEX(Services!$C$2:$C$120,MATCH($B1042,Services!$D$2:$D$120,0)),""))</f>
        <v/>
      </c>
      <c r="F1042" s="19"/>
      <c r="G1042" s="9" t="str">
        <f aca="false">IF(OR($B1042="",NOT(ISNUMBER($E1042))),"",$E1042-IF($F1042="",0,$F1042))</f>
        <v/>
      </c>
      <c r="H1042" s="15" t="str">
        <f aca="false">IF($B1042="","",IFERROR(INDEX(Services!$A$2:$A$120,MATCH($B1042,Services!$D$2:$D$120,0)),""))</f>
        <v/>
      </c>
      <c r="I1042" s="19"/>
      <c r="J1042" s="15" t="str">
        <f aca="false">IF($B1042="","",IFERROR(INDEX(Services!$E$2:$E$120,MATCH($B1042,Services!$D$2:$D$120,0)),""))</f>
        <v/>
      </c>
    </row>
    <row r="1043" customFormat="false" ht="14.25" hidden="false" customHeight="false" outlineLevel="0" collapsed="false">
      <c r="A1043" s="18"/>
      <c r="B1043" s="6"/>
      <c r="C1043" s="6"/>
      <c r="D1043" s="6"/>
      <c r="E1043" s="16" t="str">
        <f aca="false">IF($B1043="","",IFERROR(INDEX(Services!$C$2:$C$120,MATCH($B1043,Services!$D$2:$D$120,0)),""))</f>
        <v/>
      </c>
      <c r="F1043" s="19"/>
      <c r="G1043" s="9" t="str">
        <f aca="false">IF(OR($B1043="",NOT(ISNUMBER($E1043))),"",$E1043-IF($F1043="",0,$F1043))</f>
        <v/>
      </c>
      <c r="H1043" s="15" t="str">
        <f aca="false">IF($B1043="","",IFERROR(INDEX(Services!$A$2:$A$120,MATCH($B1043,Services!$D$2:$D$120,0)),""))</f>
        <v/>
      </c>
      <c r="I1043" s="19"/>
      <c r="J1043" s="15" t="str">
        <f aca="false">IF($B1043="","",IFERROR(INDEX(Services!$E$2:$E$120,MATCH($B1043,Services!$D$2:$D$120,0)),""))</f>
        <v/>
      </c>
    </row>
    <row r="1044" customFormat="false" ht="14.25" hidden="false" customHeight="false" outlineLevel="0" collapsed="false">
      <c r="A1044" s="18"/>
      <c r="B1044" s="6"/>
      <c r="C1044" s="6"/>
      <c r="D1044" s="6"/>
      <c r="E1044" s="16" t="str">
        <f aca="false">IF($B1044="","",IFERROR(INDEX(Services!$C$2:$C$120,MATCH($B1044,Services!$D$2:$D$120,0)),""))</f>
        <v/>
      </c>
      <c r="F1044" s="19"/>
      <c r="G1044" s="9" t="str">
        <f aca="false">IF(OR($B1044="",NOT(ISNUMBER($E1044))),"",$E1044-IF($F1044="",0,$F1044))</f>
        <v/>
      </c>
      <c r="H1044" s="15" t="str">
        <f aca="false">IF($B1044="","",IFERROR(INDEX(Services!$A$2:$A$120,MATCH($B1044,Services!$D$2:$D$120,0)),""))</f>
        <v/>
      </c>
      <c r="I1044" s="19"/>
      <c r="J1044" s="15" t="str">
        <f aca="false">IF($B1044="","",IFERROR(INDEX(Services!$E$2:$E$120,MATCH($B1044,Services!$D$2:$D$120,0)),""))</f>
        <v/>
      </c>
    </row>
    <row r="1045" customFormat="false" ht="14.25" hidden="false" customHeight="false" outlineLevel="0" collapsed="false">
      <c r="A1045" s="18"/>
      <c r="B1045" s="6"/>
      <c r="C1045" s="6"/>
      <c r="D1045" s="6"/>
      <c r="E1045" s="16" t="str">
        <f aca="false">IF($B1045="","",IFERROR(INDEX(Services!$C$2:$C$120,MATCH($B1045,Services!$D$2:$D$120,0)),""))</f>
        <v/>
      </c>
      <c r="F1045" s="19"/>
      <c r="G1045" s="9" t="str">
        <f aca="false">IF(OR($B1045="",NOT(ISNUMBER($E1045))),"",$E1045-IF($F1045="",0,$F1045))</f>
        <v/>
      </c>
      <c r="H1045" s="15" t="str">
        <f aca="false">IF($B1045="","",IFERROR(INDEX(Services!$A$2:$A$120,MATCH($B1045,Services!$D$2:$D$120,0)),""))</f>
        <v/>
      </c>
      <c r="I1045" s="19"/>
      <c r="J1045" s="15" t="str">
        <f aca="false">IF($B1045="","",IFERROR(INDEX(Services!$E$2:$E$120,MATCH($B1045,Services!$D$2:$D$120,0)),""))</f>
        <v/>
      </c>
    </row>
    <row r="1046" customFormat="false" ht="14.25" hidden="false" customHeight="false" outlineLevel="0" collapsed="false">
      <c r="A1046" s="18"/>
      <c r="B1046" s="6"/>
      <c r="C1046" s="6"/>
      <c r="D1046" s="6"/>
      <c r="E1046" s="16" t="str">
        <f aca="false">IF($B1046="","",IFERROR(INDEX(Services!$C$2:$C$120,MATCH($B1046,Services!$D$2:$D$120,0)),""))</f>
        <v/>
      </c>
      <c r="F1046" s="19"/>
      <c r="G1046" s="9" t="str">
        <f aca="false">IF(OR($B1046="",NOT(ISNUMBER($E1046))),"",$E1046-IF($F1046="",0,$F1046))</f>
        <v/>
      </c>
      <c r="H1046" s="15" t="str">
        <f aca="false">IF($B1046="","",IFERROR(INDEX(Services!$A$2:$A$120,MATCH($B1046,Services!$D$2:$D$120,0)),""))</f>
        <v/>
      </c>
      <c r="I1046" s="19"/>
      <c r="J1046" s="15" t="str">
        <f aca="false">IF($B1046="","",IFERROR(INDEX(Services!$E$2:$E$120,MATCH($B1046,Services!$D$2:$D$120,0)),""))</f>
        <v/>
      </c>
    </row>
    <row r="1047" customFormat="false" ht="14.25" hidden="false" customHeight="false" outlineLevel="0" collapsed="false">
      <c r="A1047" s="18"/>
      <c r="B1047" s="6"/>
      <c r="C1047" s="6"/>
      <c r="D1047" s="6"/>
      <c r="E1047" s="16" t="str">
        <f aca="false">IF($B1047="","",IFERROR(INDEX(Services!$C$2:$C$120,MATCH($B1047,Services!$D$2:$D$120,0)),""))</f>
        <v/>
      </c>
      <c r="F1047" s="19"/>
      <c r="G1047" s="9" t="str">
        <f aca="false">IF(OR($B1047="",NOT(ISNUMBER($E1047))),"",$E1047-IF($F1047="",0,$F1047))</f>
        <v/>
      </c>
      <c r="H1047" s="15" t="str">
        <f aca="false">IF($B1047="","",IFERROR(INDEX(Services!$A$2:$A$120,MATCH($B1047,Services!$D$2:$D$120,0)),""))</f>
        <v/>
      </c>
      <c r="I1047" s="19"/>
      <c r="J1047" s="15" t="str">
        <f aca="false">IF($B1047="","",IFERROR(INDEX(Services!$E$2:$E$120,MATCH($B1047,Services!$D$2:$D$120,0)),""))</f>
        <v/>
      </c>
    </row>
    <row r="1048" customFormat="false" ht="14.25" hidden="false" customHeight="false" outlineLevel="0" collapsed="false">
      <c r="A1048" s="18"/>
      <c r="B1048" s="6"/>
      <c r="C1048" s="6"/>
      <c r="D1048" s="6"/>
      <c r="E1048" s="16" t="str">
        <f aca="false">IF($B1048="","",IFERROR(INDEX(Services!$C$2:$C$120,MATCH($B1048,Services!$D$2:$D$120,0)),""))</f>
        <v/>
      </c>
      <c r="F1048" s="19"/>
      <c r="G1048" s="9" t="str">
        <f aca="false">IF(OR($B1048="",NOT(ISNUMBER($E1048))),"",$E1048-IF($F1048="",0,$F1048))</f>
        <v/>
      </c>
      <c r="H1048" s="15" t="str">
        <f aca="false">IF($B1048="","",IFERROR(INDEX(Services!$A$2:$A$120,MATCH($B1048,Services!$D$2:$D$120,0)),""))</f>
        <v/>
      </c>
      <c r="I1048" s="19"/>
      <c r="J1048" s="15" t="str">
        <f aca="false">IF($B1048="","",IFERROR(INDEX(Services!$E$2:$E$120,MATCH($B1048,Services!$D$2:$D$120,0)),""))</f>
        <v/>
      </c>
    </row>
    <row r="1049" customFormat="false" ht="14.25" hidden="false" customHeight="false" outlineLevel="0" collapsed="false">
      <c r="A1049" s="18"/>
      <c r="B1049" s="6"/>
      <c r="C1049" s="6"/>
      <c r="D1049" s="6"/>
      <c r="E1049" s="16" t="str">
        <f aca="false">IF($B1049="","",IFERROR(INDEX(Services!$C$2:$C$120,MATCH($B1049,Services!$D$2:$D$120,0)),""))</f>
        <v/>
      </c>
      <c r="F1049" s="19"/>
      <c r="G1049" s="9" t="str">
        <f aca="false">IF(OR($B1049="",NOT(ISNUMBER($E1049))),"",$E1049-IF($F1049="",0,$F1049))</f>
        <v/>
      </c>
      <c r="H1049" s="15" t="str">
        <f aca="false">IF($B1049="","",IFERROR(INDEX(Services!$A$2:$A$120,MATCH($B1049,Services!$D$2:$D$120,0)),""))</f>
        <v/>
      </c>
      <c r="I1049" s="19"/>
      <c r="J1049" s="15" t="str">
        <f aca="false">IF($B1049="","",IFERROR(INDEX(Services!$E$2:$E$120,MATCH($B1049,Services!$D$2:$D$120,0)),""))</f>
        <v/>
      </c>
    </row>
    <row r="1050" customFormat="false" ht="14.25" hidden="false" customHeight="false" outlineLevel="0" collapsed="false">
      <c r="A1050" s="18"/>
      <c r="B1050" s="6"/>
      <c r="C1050" s="6"/>
      <c r="D1050" s="6"/>
      <c r="E1050" s="16" t="str">
        <f aca="false">IF($B1050="","",IFERROR(INDEX(Services!$C$2:$C$120,MATCH($B1050,Services!$D$2:$D$120,0)),""))</f>
        <v/>
      </c>
      <c r="F1050" s="19"/>
      <c r="G1050" s="9" t="str">
        <f aca="false">IF(OR($B1050="",NOT(ISNUMBER($E1050))),"",$E1050-IF($F1050="",0,$F1050))</f>
        <v/>
      </c>
      <c r="H1050" s="15" t="str">
        <f aca="false">IF($B1050="","",IFERROR(INDEX(Services!$A$2:$A$120,MATCH($B1050,Services!$D$2:$D$120,0)),""))</f>
        <v/>
      </c>
      <c r="I1050" s="19"/>
      <c r="J1050" s="15" t="str">
        <f aca="false">IF($B1050="","",IFERROR(INDEX(Services!$E$2:$E$120,MATCH($B1050,Services!$D$2:$D$120,0)),""))</f>
        <v/>
      </c>
    </row>
    <row r="1051" customFormat="false" ht="14.25" hidden="false" customHeight="false" outlineLevel="0" collapsed="false">
      <c r="A1051" s="18"/>
      <c r="B1051" s="6"/>
      <c r="C1051" s="6"/>
      <c r="D1051" s="6"/>
      <c r="E1051" s="16" t="str">
        <f aca="false">IF($B1051="","",IFERROR(INDEX(Services!$C$2:$C$120,MATCH($B1051,Services!$D$2:$D$120,0)),""))</f>
        <v/>
      </c>
      <c r="F1051" s="19"/>
      <c r="G1051" s="9" t="str">
        <f aca="false">IF(OR($B1051="",NOT(ISNUMBER($E1051))),"",$E1051-IF($F1051="",0,$F1051))</f>
        <v/>
      </c>
      <c r="H1051" s="15" t="str">
        <f aca="false">IF($B1051="","",IFERROR(INDEX(Services!$A$2:$A$120,MATCH($B1051,Services!$D$2:$D$120,0)),""))</f>
        <v/>
      </c>
      <c r="I1051" s="19"/>
      <c r="J1051" s="15" t="str">
        <f aca="false">IF($B1051="","",IFERROR(INDEX(Services!$E$2:$E$120,MATCH($B1051,Services!$D$2:$D$120,0)),""))</f>
        <v/>
      </c>
    </row>
    <row r="1052" customFormat="false" ht="14.25" hidden="false" customHeight="false" outlineLevel="0" collapsed="false">
      <c r="A1052" s="18"/>
      <c r="B1052" s="6"/>
      <c r="C1052" s="6"/>
      <c r="D1052" s="6"/>
      <c r="E1052" s="16" t="str">
        <f aca="false">IF($B1052="","",IFERROR(INDEX(Services!$C$2:$C$120,MATCH($B1052,Services!$D$2:$D$120,0)),""))</f>
        <v/>
      </c>
      <c r="F1052" s="19"/>
      <c r="G1052" s="9" t="str">
        <f aca="false">IF(OR($B1052="",NOT(ISNUMBER($E1052))),"",$E1052-IF($F1052="",0,$F1052))</f>
        <v/>
      </c>
      <c r="H1052" s="15" t="str">
        <f aca="false">IF($B1052="","",IFERROR(INDEX(Services!$A$2:$A$120,MATCH($B1052,Services!$D$2:$D$120,0)),""))</f>
        <v/>
      </c>
      <c r="I1052" s="19"/>
      <c r="J1052" s="15" t="str">
        <f aca="false">IF($B1052="","",IFERROR(INDEX(Services!$E$2:$E$120,MATCH($B1052,Services!$D$2:$D$120,0)),""))</f>
        <v/>
      </c>
    </row>
    <row r="1053" customFormat="false" ht="14.25" hidden="false" customHeight="false" outlineLevel="0" collapsed="false">
      <c r="A1053" s="18"/>
      <c r="B1053" s="6"/>
      <c r="C1053" s="6"/>
      <c r="D1053" s="6"/>
      <c r="E1053" s="16" t="str">
        <f aca="false">IF($B1053="","",IFERROR(INDEX(Services!$C$2:$C$120,MATCH($B1053,Services!$D$2:$D$120,0)),""))</f>
        <v/>
      </c>
      <c r="F1053" s="19"/>
      <c r="G1053" s="9" t="str">
        <f aca="false">IF(OR($B1053="",NOT(ISNUMBER($E1053))),"",$E1053-IF($F1053="",0,$F1053))</f>
        <v/>
      </c>
      <c r="H1053" s="15" t="str">
        <f aca="false">IF($B1053="","",IFERROR(INDEX(Services!$A$2:$A$120,MATCH($B1053,Services!$D$2:$D$120,0)),""))</f>
        <v/>
      </c>
      <c r="I1053" s="19"/>
      <c r="J1053" s="15" t="str">
        <f aca="false">IF($B1053="","",IFERROR(INDEX(Services!$E$2:$E$120,MATCH($B1053,Services!$D$2:$D$120,0)),""))</f>
        <v/>
      </c>
    </row>
    <row r="1054" customFormat="false" ht="14.25" hidden="false" customHeight="false" outlineLevel="0" collapsed="false">
      <c r="A1054" s="18"/>
      <c r="B1054" s="6"/>
      <c r="C1054" s="6"/>
      <c r="D1054" s="6"/>
      <c r="E1054" s="16" t="str">
        <f aca="false">IF($B1054="","",IFERROR(INDEX(Services!$C$2:$C$120,MATCH($B1054,Services!$D$2:$D$120,0)),""))</f>
        <v/>
      </c>
      <c r="F1054" s="19"/>
      <c r="G1054" s="9" t="str">
        <f aca="false">IF(OR($B1054="",NOT(ISNUMBER($E1054))),"",$E1054-IF($F1054="",0,$F1054))</f>
        <v/>
      </c>
      <c r="H1054" s="15" t="str">
        <f aca="false">IF($B1054="","",IFERROR(INDEX(Services!$A$2:$A$120,MATCH($B1054,Services!$D$2:$D$120,0)),""))</f>
        <v/>
      </c>
      <c r="I1054" s="19"/>
      <c r="J1054" s="15" t="str">
        <f aca="false">IF($B1054="","",IFERROR(INDEX(Services!$E$2:$E$120,MATCH($B1054,Services!$D$2:$D$120,0)),""))</f>
        <v/>
      </c>
    </row>
    <row r="1055" customFormat="false" ht="14.25" hidden="false" customHeight="false" outlineLevel="0" collapsed="false">
      <c r="A1055" s="18"/>
      <c r="B1055" s="6"/>
      <c r="C1055" s="6"/>
      <c r="D1055" s="6"/>
      <c r="E1055" s="16" t="str">
        <f aca="false">IF($B1055="","",IFERROR(INDEX(Services!$C$2:$C$120,MATCH($B1055,Services!$D$2:$D$120,0)),""))</f>
        <v/>
      </c>
      <c r="F1055" s="19"/>
      <c r="G1055" s="9" t="str">
        <f aca="false">IF(OR($B1055="",NOT(ISNUMBER($E1055))),"",$E1055-IF($F1055="",0,$F1055))</f>
        <v/>
      </c>
      <c r="H1055" s="15" t="str">
        <f aca="false">IF($B1055="","",IFERROR(INDEX(Services!$A$2:$A$120,MATCH($B1055,Services!$D$2:$D$120,0)),""))</f>
        <v/>
      </c>
      <c r="I1055" s="19"/>
      <c r="J1055" s="15" t="str">
        <f aca="false">IF($B1055="","",IFERROR(INDEX(Services!$E$2:$E$120,MATCH($B1055,Services!$D$2:$D$120,0)),""))</f>
        <v/>
      </c>
    </row>
    <row r="1056" customFormat="false" ht="14.25" hidden="false" customHeight="false" outlineLevel="0" collapsed="false">
      <c r="A1056" s="18"/>
      <c r="B1056" s="6"/>
      <c r="C1056" s="6"/>
      <c r="D1056" s="6"/>
      <c r="E1056" s="16" t="str">
        <f aca="false">IF($B1056="","",IFERROR(INDEX(Services!$C$2:$C$120,MATCH($B1056,Services!$D$2:$D$120,0)),""))</f>
        <v/>
      </c>
      <c r="F1056" s="19"/>
      <c r="G1056" s="9" t="str">
        <f aca="false">IF(OR($B1056="",NOT(ISNUMBER($E1056))),"",$E1056-IF($F1056="",0,$F1056))</f>
        <v/>
      </c>
      <c r="H1056" s="15" t="str">
        <f aca="false">IF($B1056="","",IFERROR(INDEX(Services!$A$2:$A$120,MATCH($B1056,Services!$D$2:$D$120,0)),""))</f>
        <v/>
      </c>
      <c r="I1056" s="19"/>
      <c r="J1056" s="15" t="str">
        <f aca="false">IF($B1056="","",IFERROR(INDEX(Services!$E$2:$E$120,MATCH($B1056,Services!$D$2:$D$120,0)),""))</f>
        <v/>
      </c>
    </row>
    <row r="1057" customFormat="false" ht="14.25" hidden="false" customHeight="false" outlineLevel="0" collapsed="false">
      <c r="A1057" s="18"/>
      <c r="B1057" s="6"/>
      <c r="C1057" s="6"/>
      <c r="D1057" s="6"/>
      <c r="E1057" s="16" t="str">
        <f aca="false">IF($B1057="","",IFERROR(INDEX(Services!$C$2:$C$120,MATCH($B1057,Services!$D$2:$D$120,0)),""))</f>
        <v/>
      </c>
      <c r="F1057" s="19"/>
      <c r="G1057" s="9" t="str">
        <f aca="false">IF(OR($B1057="",NOT(ISNUMBER($E1057))),"",$E1057-IF($F1057="",0,$F1057))</f>
        <v/>
      </c>
      <c r="H1057" s="15" t="str">
        <f aca="false">IF($B1057="","",IFERROR(INDEX(Services!$A$2:$A$120,MATCH($B1057,Services!$D$2:$D$120,0)),""))</f>
        <v/>
      </c>
      <c r="I1057" s="19"/>
      <c r="J1057" s="15" t="str">
        <f aca="false">IF($B1057="","",IFERROR(INDEX(Services!$E$2:$E$120,MATCH($B1057,Services!$D$2:$D$120,0)),""))</f>
        <v/>
      </c>
    </row>
    <row r="1058" customFormat="false" ht="14.25" hidden="false" customHeight="false" outlineLevel="0" collapsed="false">
      <c r="A1058" s="18"/>
      <c r="B1058" s="6"/>
      <c r="C1058" s="6"/>
      <c r="D1058" s="6"/>
      <c r="E1058" s="16" t="str">
        <f aca="false">IF($B1058="","",IFERROR(INDEX(Services!$C$2:$C$120,MATCH($B1058,Services!$D$2:$D$120,0)),""))</f>
        <v/>
      </c>
      <c r="F1058" s="19"/>
      <c r="G1058" s="9" t="str">
        <f aca="false">IF(OR($B1058="",NOT(ISNUMBER($E1058))),"",$E1058-IF($F1058="",0,$F1058))</f>
        <v/>
      </c>
      <c r="H1058" s="15" t="str">
        <f aca="false">IF($B1058="","",IFERROR(INDEX(Services!$A$2:$A$120,MATCH($B1058,Services!$D$2:$D$120,0)),""))</f>
        <v/>
      </c>
      <c r="I1058" s="19"/>
      <c r="J1058" s="15" t="str">
        <f aca="false">IF($B1058="","",IFERROR(INDEX(Services!$E$2:$E$120,MATCH($B1058,Services!$D$2:$D$120,0)),""))</f>
        <v/>
      </c>
    </row>
    <row r="1059" customFormat="false" ht="14.25" hidden="false" customHeight="false" outlineLevel="0" collapsed="false">
      <c r="A1059" s="18"/>
      <c r="B1059" s="6"/>
      <c r="C1059" s="6"/>
      <c r="D1059" s="6"/>
      <c r="E1059" s="16" t="str">
        <f aca="false">IF($B1059="","",IFERROR(INDEX(Services!$C$2:$C$120,MATCH($B1059,Services!$D$2:$D$120,0)),""))</f>
        <v/>
      </c>
      <c r="F1059" s="19"/>
      <c r="G1059" s="9" t="str">
        <f aca="false">IF(OR($B1059="",NOT(ISNUMBER($E1059))),"",$E1059-IF($F1059="",0,$F1059))</f>
        <v/>
      </c>
      <c r="H1059" s="15" t="str">
        <f aca="false">IF($B1059="","",IFERROR(INDEX(Services!$A$2:$A$120,MATCH($B1059,Services!$D$2:$D$120,0)),""))</f>
        <v/>
      </c>
      <c r="I1059" s="19"/>
      <c r="J1059" s="15" t="str">
        <f aca="false">IF($B1059="","",IFERROR(INDEX(Services!$E$2:$E$120,MATCH($B1059,Services!$D$2:$D$120,0)),""))</f>
        <v/>
      </c>
    </row>
    <row r="1060" customFormat="false" ht="14.25" hidden="false" customHeight="false" outlineLevel="0" collapsed="false">
      <c r="A1060" s="18"/>
      <c r="B1060" s="6"/>
      <c r="C1060" s="6"/>
      <c r="D1060" s="6"/>
      <c r="E1060" s="16" t="str">
        <f aca="false">IF($B1060="","",IFERROR(INDEX(Services!$C$2:$C$120,MATCH($B1060,Services!$D$2:$D$120,0)),""))</f>
        <v/>
      </c>
      <c r="F1060" s="19"/>
      <c r="G1060" s="9" t="str">
        <f aca="false">IF(OR($B1060="",NOT(ISNUMBER($E1060))),"",$E1060-IF($F1060="",0,$F1060))</f>
        <v/>
      </c>
      <c r="H1060" s="15" t="str">
        <f aca="false">IF($B1060="","",IFERROR(INDEX(Services!$A$2:$A$120,MATCH($B1060,Services!$D$2:$D$120,0)),""))</f>
        <v/>
      </c>
      <c r="I1060" s="19"/>
      <c r="J1060" s="15" t="str">
        <f aca="false">IF($B1060="","",IFERROR(INDEX(Services!$E$2:$E$120,MATCH($B1060,Services!$D$2:$D$120,0)),""))</f>
        <v/>
      </c>
    </row>
    <row r="1061" customFormat="false" ht="14.25" hidden="false" customHeight="false" outlineLevel="0" collapsed="false">
      <c r="A1061" s="18"/>
      <c r="B1061" s="6"/>
      <c r="C1061" s="6"/>
      <c r="D1061" s="6"/>
      <c r="E1061" s="16" t="str">
        <f aca="false">IF($B1061="","",IFERROR(INDEX(Services!$C$2:$C$120,MATCH($B1061,Services!$D$2:$D$120,0)),""))</f>
        <v/>
      </c>
      <c r="F1061" s="19"/>
      <c r="G1061" s="9" t="str">
        <f aca="false">IF(OR($B1061="",NOT(ISNUMBER($E1061))),"",$E1061-IF($F1061="",0,$F1061))</f>
        <v/>
      </c>
      <c r="H1061" s="15" t="str">
        <f aca="false">IF($B1061="","",IFERROR(INDEX(Services!$A$2:$A$120,MATCH($B1061,Services!$D$2:$D$120,0)),""))</f>
        <v/>
      </c>
      <c r="I1061" s="19"/>
      <c r="J1061" s="15" t="str">
        <f aca="false">IF($B1061="","",IFERROR(INDEX(Services!$E$2:$E$120,MATCH($B1061,Services!$D$2:$D$120,0)),""))</f>
        <v/>
      </c>
    </row>
    <row r="1062" customFormat="false" ht="14.25" hidden="false" customHeight="false" outlineLevel="0" collapsed="false">
      <c r="A1062" s="18"/>
      <c r="B1062" s="6"/>
      <c r="C1062" s="6"/>
      <c r="D1062" s="6"/>
      <c r="E1062" s="16" t="str">
        <f aca="false">IF($B1062="","",IFERROR(INDEX(Services!$C$2:$C$120,MATCH($B1062,Services!$D$2:$D$120,0)),""))</f>
        <v/>
      </c>
      <c r="F1062" s="19"/>
      <c r="G1062" s="9" t="str">
        <f aca="false">IF(OR($B1062="",NOT(ISNUMBER($E1062))),"",$E1062-IF($F1062="",0,$F1062))</f>
        <v/>
      </c>
      <c r="H1062" s="15" t="str">
        <f aca="false">IF($B1062="","",IFERROR(INDEX(Services!$A$2:$A$120,MATCH($B1062,Services!$D$2:$D$120,0)),""))</f>
        <v/>
      </c>
      <c r="I1062" s="19"/>
      <c r="J1062" s="15" t="str">
        <f aca="false">IF($B1062="","",IFERROR(INDEX(Services!$E$2:$E$120,MATCH($B1062,Services!$D$2:$D$120,0)),""))</f>
        <v/>
      </c>
    </row>
    <row r="1063" customFormat="false" ht="14.25" hidden="false" customHeight="false" outlineLevel="0" collapsed="false">
      <c r="A1063" s="18"/>
      <c r="B1063" s="6"/>
      <c r="C1063" s="6"/>
      <c r="D1063" s="6"/>
      <c r="E1063" s="16" t="str">
        <f aca="false">IF($B1063="","",IFERROR(INDEX(Services!$C$2:$C$120,MATCH($B1063,Services!$D$2:$D$120,0)),""))</f>
        <v/>
      </c>
      <c r="F1063" s="19"/>
      <c r="G1063" s="9" t="str">
        <f aca="false">IF(OR($B1063="",NOT(ISNUMBER($E1063))),"",$E1063-IF($F1063="",0,$F1063))</f>
        <v/>
      </c>
      <c r="H1063" s="15" t="str">
        <f aca="false">IF($B1063="","",IFERROR(INDEX(Services!$A$2:$A$120,MATCH($B1063,Services!$D$2:$D$120,0)),""))</f>
        <v/>
      </c>
      <c r="I1063" s="19"/>
      <c r="J1063" s="15" t="str">
        <f aca="false">IF($B1063="","",IFERROR(INDEX(Services!$E$2:$E$120,MATCH($B1063,Services!$D$2:$D$120,0)),""))</f>
        <v/>
      </c>
    </row>
    <row r="1064" customFormat="false" ht="14.25" hidden="false" customHeight="false" outlineLevel="0" collapsed="false">
      <c r="A1064" s="18"/>
      <c r="B1064" s="6"/>
      <c r="C1064" s="6"/>
      <c r="D1064" s="6"/>
      <c r="E1064" s="16" t="str">
        <f aca="false">IF($B1064="","",IFERROR(INDEX(Services!$C$2:$C$120,MATCH($B1064,Services!$D$2:$D$120,0)),""))</f>
        <v/>
      </c>
      <c r="F1064" s="19"/>
      <c r="G1064" s="9" t="str">
        <f aca="false">IF(OR($B1064="",NOT(ISNUMBER($E1064))),"",$E1064-IF($F1064="",0,$F1064))</f>
        <v/>
      </c>
      <c r="H1064" s="15" t="str">
        <f aca="false">IF($B1064="","",IFERROR(INDEX(Services!$A$2:$A$120,MATCH($B1064,Services!$D$2:$D$120,0)),""))</f>
        <v/>
      </c>
      <c r="I1064" s="19"/>
      <c r="J1064" s="15" t="str">
        <f aca="false">IF($B1064="","",IFERROR(INDEX(Services!$E$2:$E$120,MATCH($B1064,Services!$D$2:$D$120,0)),""))</f>
        <v/>
      </c>
    </row>
    <row r="1065" customFormat="false" ht="14.25" hidden="false" customHeight="false" outlineLevel="0" collapsed="false">
      <c r="A1065" s="18"/>
      <c r="B1065" s="6"/>
      <c r="C1065" s="6"/>
      <c r="D1065" s="6"/>
      <c r="E1065" s="16" t="str">
        <f aca="false">IF($B1065="","",IFERROR(INDEX(Services!$C$2:$C$120,MATCH($B1065,Services!$D$2:$D$120,0)),""))</f>
        <v/>
      </c>
      <c r="F1065" s="19"/>
      <c r="G1065" s="9" t="str">
        <f aca="false">IF(OR($B1065="",NOT(ISNUMBER($E1065))),"",$E1065-IF($F1065="",0,$F1065))</f>
        <v/>
      </c>
      <c r="H1065" s="15" t="str">
        <f aca="false">IF($B1065="","",IFERROR(INDEX(Services!$A$2:$A$120,MATCH($B1065,Services!$D$2:$D$120,0)),""))</f>
        <v/>
      </c>
      <c r="I1065" s="19"/>
      <c r="J1065" s="15" t="str">
        <f aca="false">IF($B1065="","",IFERROR(INDEX(Services!$E$2:$E$120,MATCH($B1065,Services!$D$2:$D$120,0)),""))</f>
        <v/>
      </c>
    </row>
    <row r="1066" customFormat="false" ht="14.25" hidden="false" customHeight="false" outlineLevel="0" collapsed="false">
      <c r="A1066" s="18"/>
      <c r="B1066" s="6"/>
      <c r="C1066" s="6"/>
      <c r="D1066" s="6"/>
      <c r="E1066" s="16" t="str">
        <f aca="false">IF($B1066="","",IFERROR(INDEX(Services!$C$2:$C$120,MATCH($B1066,Services!$D$2:$D$120,0)),""))</f>
        <v/>
      </c>
      <c r="F1066" s="19"/>
      <c r="G1066" s="9" t="str">
        <f aca="false">IF(OR($B1066="",NOT(ISNUMBER($E1066))),"",$E1066-IF($F1066="",0,$F1066))</f>
        <v/>
      </c>
      <c r="H1066" s="15" t="str">
        <f aca="false">IF($B1066="","",IFERROR(INDEX(Services!$A$2:$A$120,MATCH($B1066,Services!$D$2:$D$120,0)),""))</f>
        <v/>
      </c>
      <c r="I1066" s="19"/>
      <c r="J1066" s="15" t="str">
        <f aca="false">IF($B1066="","",IFERROR(INDEX(Services!$E$2:$E$120,MATCH($B1066,Services!$D$2:$D$120,0)),""))</f>
        <v/>
      </c>
    </row>
    <row r="1067" customFormat="false" ht="14.25" hidden="false" customHeight="false" outlineLevel="0" collapsed="false">
      <c r="A1067" s="18"/>
      <c r="B1067" s="6"/>
      <c r="C1067" s="6"/>
      <c r="D1067" s="6"/>
      <c r="E1067" s="16" t="str">
        <f aca="false">IF($B1067="","",IFERROR(INDEX(Services!$C$2:$C$120,MATCH($B1067,Services!$D$2:$D$120,0)),""))</f>
        <v/>
      </c>
      <c r="F1067" s="19"/>
      <c r="G1067" s="9" t="str">
        <f aca="false">IF(OR($B1067="",NOT(ISNUMBER($E1067))),"",$E1067-IF($F1067="",0,$F1067))</f>
        <v/>
      </c>
      <c r="H1067" s="15" t="str">
        <f aca="false">IF($B1067="","",IFERROR(INDEX(Services!$A$2:$A$120,MATCH($B1067,Services!$D$2:$D$120,0)),""))</f>
        <v/>
      </c>
      <c r="I1067" s="19"/>
      <c r="J1067" s="15" t="str">
        <f aca="false">IF($B1067="","",IFERROR(INDEX(Services!$E$2:$E$120,MATCH($B1067,Services!$D$2:$D$120,0)),""))</f>
        <v/>
      </c>
    </row>
    <row r="1068" customFormat="false" ht="14.25" hidden="false" customHeight="false" outlineLevel="0" collapsed="false">
      <c r="A1068" s="18"/>
      <c r="B1068" s="6"/>
      <c r="C1068" s="6"/>
      <c r="D1068" s="6"/>
      <c r="E1068" s="16" t="str">
        <f aca="false">IF($B1068="","",IFERROR(INDEX(Services!$C$2:$C$120,MATCH($B1068,Services!$D$2:$D$120,0)),""))</f>
        <v/>
      </c>
      <c r="F1068" s="19"/>
      <c r="G1068" s="9" t="str">
        <f aca="false">IF(OR($B1068="",NOT(ISNUMBER($E1068))),"",$E1068-IF($F1068="",0,$F1068))</f>
        <v/>
      </c>
      <c r="H1068" s="15" t="str">
        <f aca="false">IF($B1068="","",IFERROR(INDEX(Services!$A$2:$A$120,MATCH($B1068,Services!$D$2:$D$120,0)),""))</f>
        <v/>
      </c>
      <c r="I1068" s="19"/>
      <c r="J1068" s="15" t="str">
        <f aca="false">IF($B1068="","",IFERROR(INDEX(Services!$E$2:$E$120,MATCH($B1068,Services!$D$2:$D$120,0)),""))</f>
        <v/>
      </c>
    </row>
    <row r="1069" customFormat="false" ht="14.25" hidden="false" customHeight="false" outlineLevel="0" collapsed="false">
      <c r="A1069" s="18"/>
      <c r="B1069" s="6"/>
      <c r="C1069" s="6"/>
      <c r="D1069" s="6"/>
      <c r="E1069" s="16" t="str">
        <f aca="false">IF($B1069="","",IFERROR(INDEX(Services!$C$2:$C$120,MATCH($B1069,Services!$D$2:$D$120,0)),""))</f>
        <v/>
      </c>
      <c r="F1069" s="19"/>
      <c r="G1069" s="9" t="str">
        <f aca="false">IF(OR($B1069="",NOT(ISNUMBER($E1069))),"",$E1069-IF($F1069="",0,$F1069))</f>
        <v/>
      </c>
      <c r="H1069" s="15" t="str">
        <f aca="false">IF($B1069="","",IFERROR(INDEX(Services!$A$2:$A$120,MATCH($B1069,Services!$D$2:$D$120,0)),""))</f>
        <v/>
      </c>
      <c r="I1069" s="19"/>
      <c r="J1069" s="15" t="str">
        <f aca="false">IF($B1069="","",IFERROR(INDEX(Services!$E$2:$E$120,MATCH($B1069,Services!$D$2:$D$120,0)),""))</f>
        <v/>
      </c>
    </row>
    <row r="1070" customFormat="false" ht="14.25" hidden="false" customHeight="false" outlineLevel="0" collapsed="false">
      <c r="A1070" s="18"/>
      <c r="B1070" s="6"/>
      <c r="C1070" s="6"/>
      <c r="D1070" s="6"/>
      <c r="E1070" s="16" t="str">
        <f aca="false">IF($B1070="","",IFERROR(INDEX(Services!$C$2:$C$120,MATCH($B1070,Services!$D$2:$D$120,0)),""))</f>
        <v/>
      </c>
      <c r="F1070" s="19"/>
      <c r="G1070" s="9" t="str">
        <f aca="false">IF(OR($B1070="",NOT(ISNUMBER($E1070))),"",$E1070-IF($F1070="",0,$F1070))</f>
        <v/>
      </c>
      <c r="H1070" s="15" t="str">
        <f aca="false">IF($B1070="","",IFERROR(INDEX(Services!$A$2:$A$120,MATCH($B1070,Services!$D$2:$D$120,0)),""))</f>
        <v/>
      </c>
      <c r="I1070" s="19"/>
      <c r="J1070" s="15" t="str">
        <f aca="false">IF($B1070="","",IFERROR(INDEX(Services!$E$2:$E$120,MATCH($B1070,Services!$D$2:$D$120,0)),""))</f>
        <v/>
      </c>
    </row>
    <row r="1071" customFormat="false" ht="14.25" hidden="false" customHeight="false" outlineLevel="0" collapsed="false">
      <c r="A1071" s="18"/>
      <c r="B1071" s="6"/>
      <c r="C1071" s="6"/>
      <c r="D1071" s="6"/>
      <c r="E1071" s="16" t="str">
        <f aca="false">IF($B1071="","",IFERROR(INDEX(Services!$C$2:$C$120,MATCH($B1071,Services!$D$2:$D$120,0)),""))</f>
        <v/>
      </c>
      <c r="F1071" s="19"/>
      <c r="G1071" s="9" t="str">
        <f aca="false">IF(OR($B1071="",NOT(ISNUMBER($E1071))),"",$E1071-IF($F1071="",0,$F1071))</f>
        <v/>
      </c>
      <c r="H1071" s="15" t="str">
        <f aca="false">IF($B1071="","",IFERROR(INDEX(Services!$A$2:$A$120,MATCH($B1071,Services!$D$2:$D$120,0)),""))</f>
        <v/>
      </c>
      <c r="I1071" s="19"/>
      <c r="J1071" s="15" t="str">
        <f aca="false">IF($B1071="","",IFERROR(INDEX(Services!$E$2:$E$120,MATCH($B1071,Services!$D$2:$D$120,0)),""))</f>
        <v/>
      </c>
    </row>
    <row r="1072" customFormat="false" ht="14.25" hidden="false" customHeight="false" outlineLevel="0" collapsed="false">
      <c r="A1072" s="18"/>
      <c r="B1072" s="6"/>
      <c r="C1072" s="6"/>
      <c r="D1072" s="6"/>
      <c r="E1072" s="16" t="str">
        <f aca="false">IF($B1072="","",IFERROR(INDEX(Services!$C$2:$C$120,MATCH($B1072,Services!$D$2:$D$120,0)),""))</f>
        <v/>
      </c>
      <c r="F1072" s="19"/>
      <c r="G1072" s="9" t="str">
        <f aca="false">IF(OR($B1072="",NOT(ISNUMBER($E1072))),"",$E1072-IF($F1072="",0,$F1072))</f>
        <v/>
      </c>
      <c r="H1072" s="15" t="str">
        <f aca="false">IF($B1072="","",IFERROR(INDEX(Services!$A$2:$A$120,MATCH($B1072,Services!$D$2:$D$120,0)),""))</f>
        <v/>
      </c>
      <c r="I1072" s="19"/>
      <c r="J1072" s="15" t="str">
        <f aca="false">IF($B1072="","",IFERROR(INDEX(Services!$E$2:$E$120,MATCH($B1072,Services!$D$2:$D$120,0)),""))</f>
        <v/>
      </c>
    </row>
    <row r="1073" customFormat="false" ht="14.25" hidden="false" customHeight="false" outlineLevel="0" collapsed="false">
      <c r="A1073" s="18"/>
      <c r="B1073" s="6"/>
      <c r="C1073" s="6"/>
      <c r="D1073" s="6"/>
      <c r="E1073" s="16" t="str">
        <f aca="false">IF($B1073="","",IFERROR(INDEX(Services!$C$2:$C$120,MATCH($B1073,Services!$D$2:$D$120,0)),""))</f>
        <v/>
      </c>
      <c r="F1073" s="19"/>
      <c r="G1073" s="9" t="str">
        <f aca="false">IF(OR($B1073="",NOT(ISNUMBER($E1073))),"",$E1073-IF($F1073="",0,$F1073))</f>
        <v/>
      </c>
      <c r="H1073" s="15" t="str">
        <f aca="false">IF($B1073="","",IFERROR(INDEX(Services!$A$2:$A$120,MATCH($B1073,Services!$D$2:$D$120,0)),""))</f>
        <v/>
      </c>
      <c r="I1073" s="19"/>
      <c r="J1073" s="15" t="str">
        <f aca="false">IF($B1073="","",IFERROR(INDEX(Services!$E$2:$E$120,MATCH($B1073,Services!$D$2:$D$120,0)),""))</f>
        <v/>
      </c>
    </row>
    <row r="1074" customFormat="false" ht="14.25" hidden="false" customHeight="false" outlineLevel="0" collapsed="false">
      <c r="A1074" s="18"/>
      <c r="B1074" s="6"/>
      <c r="C1074" s="6"/>
      <c r="D1074" s="6"/>
      <c r="E1074" s="16" t="str">
        <f aca="false">IF($B1074="","",IFERROR(INDEX(Services!$C$2:$C$120,MATCH($B1074,Services!$D$2:$D$120,0)),""))</f>
        <v/>
      </c>
      <c r="F1074" s="19"/>
      <c r="G1074" s="9" t="str">
        <f aca="false">IF(OR($B1074="",NOT(ISNUMBER($E1074))),"",$E1074-IF($F1074="",0,$F1074))</f>
        <v/>
      </c>
      <c r="H1074" s="15" t="str">
        <f aca="false">IF($B1074="","",IFERROR(INDEX(Services!$A$2:$A$120,MATCH($B1074,Services!$D$2:$D$120,0)),""))</f>
        <v/>
      </c>
      <c r="I1074" s="19"/>
      <c r="J1074" s="15" t="str">
        <f aca="false">IF($B1074="","",IFERROR(INDEX(Services!$E$2:$E$120,MATCH($B1074,Services!$D$2:$D$120,0)),""))</f>
        <v/>
      </c>
    </row>
    <row r="1075" customFormat="false" ht="14.25" hidden="false" customHeight="false" outlineLevel="0" collapsed="false">
      <c r="A1075" s="18"/>
      <c r="B1075" s="6"/>
      <c r="C1075" s="6"/>
      <c r="D1075" s="6"/>
      <c r="E1075" s="16" t="str">
        <f aca="false">IF($B1075="","",IFERROR(INDEX(Services!$C$2:$C$120,MATCH($B1075,Services!$D$2:$D$120,0)),""))</f>
        <v/>
      </c>
      <c r="F1075" s="19"/>
      <c r="G1075" s="9" t="str">
        <f aca="false">IF(OR($B1075="",NOT(ISNUMBER($E1075))),"",$E1075-IF($F1075="",0,$F1075))</f>
        <v/>
      </c>
      <c r="H1075" s="15" t="str">
        <f aca="false">IF($B1075="","",IFERROR(INDEX(Services!$A$2:$A$120,MATCH($B1075,Services!$D$2:$D$120,0)),""))</f>
        <v/>
      </c>
      <c r="I1075" s="19"/>
      <c r="J1075" s="15" t="str">
        <f aca="false">IF($B1075="","",IFERROR(INDEX(Services!$E$2:$E$120,MATCH($B1075,Services!$D$2:$D$120,0)),""))</f>
        <v/>
      </c>
    </row>
    <row r="1076" customFormat="false" ht="14.25" hidden="false" customHeight="false" outlineLevel="0" collapsed="false">
      <c r="A1076" s="18"/>
      <c r="B1076" s="6"/>
      <c r="C1076" s="6"/>
      <c r="D1076" s="6"/>
      <c r="E1076" s="16" t="str">
        <f aca="false">IF($B1076="","",IFERROR(INDEX(Services!$C$2:$C$120,MATCH($B1076,Services!$D$2:$D$120,0)),""))</f>
        <v/>
      </c>
      <c r="F1076" s="19"/>
      <c r="G1076" s="9" t="str">
        <f aca="false">IF(OR($B1076="",NOT(ISNUMBER($E1076))),"",$E1076-IF($F1076="",0,$F1076))</f>
        <v/>
      </c>
      <c r="H1076" s="15" t="str">
        <f aca="false">IF($B1076="","",IFERROR(INDEX(Services!$A$2:$A$120,MATCH($B1076,Services!$D$2:$D$120,0)),""))</f>
        <v/>
      </c>
      <c r="I1076" s="19"/>
      <c r="J1076" s="15" t="str">
        <f aca="false">IF($B1076="","",IFERROR(INDEX(Services!$E$2:$E$120,MATCH($B1076,Services!$D$2:$D$120,0)),""))</f>
        <v/>
      </c>
    </row>
    <row r="1077" customFormat="false" ht="14.25" hidden="false" customHeight="false" outlineLevel="0" collapsed="false">
      <c r="A1077" s="18"/>
      <c r="B1077" s="6"/>
      <c r="C1077" s="6"/>
      <c r="D1077" s="6"/>
      <c r="E1077" s="16" t="str">
        <f aca="false">IF($B1077="","",IFERROR(INDEX(Services!$C$2:$C$120,MATCH($B1077,Services!$D$2:$D$120,0)),""))</f>
        <v/>
      </c>
      <c r="F1077" s="19"/>
      <c r="G1077" s="9" t="str">
        <f aca="false">IF(OR($B1077="",NOT(ISNUMBER($E1077))),"",$E1077-IF($F1077="",0,$F1077))</f>
        <v/>
      </c>
      <c r="H1077" s="15" t="str">
        <f aca="false">IF($B1077="","",IFERROR(INDEX(Services!$A$2:$A$120,MATCH($B1077,Services!$D$2:$D$120,0)),""))</f>
        <v/>
      </c>
      <c r="I1077" s="19"/>
      <c r="J1077" s="15" t="str">
        <f aca="false">IF($B1077="","",IFERROR(INDEX(Services!$E$2:$E$120,MATCH($B1077,Services!$D$2:$D$120,0)),""))</f>
        <v/>
      </c>
    </row>
    <row r="1078" customFormat="false" ht="14.25" hidden="false" customHeight="false" outlineLevel="0" collapsed="false">
      <c r="A1078" s="18"/>
      <c r="B1078" s="6"/>
      <c r="C1078" s="6"/>
      <c r="D1078" s="6"/>
      <c r="E1078" s="16" t="str">
        <f aca="false">IF($B1078="","",IFERROR(INDEX(Services!$C$2:$C$120,MATCH($B1078,Services!$D$2:$D$120,0)),""))</f>
        <v/>
      </c>
      <c r="F1078" s="19"/>
      <c r="G1078" s="9" t="str">
        <f aca="false">IF(OR($B1078="",NOT(ISNUMBER($E1078))),"",$E1078-IF($F1078="",0,$F1078))</f>
        <v/>
      </c>
      <c r="H1078" s="15" t="str">
        <f aca="false">IF($B1078="","",IFERROR(INDEX(Services!$A$2:$A$120,MATCH($B1078,Services!$D$2:$D$120,0)),""))</f>
        <v/>
      </c>
      <c r="I1078" s="19"/>
      <c r="J1078" s="15" t="str">
        <f aca="false">IF($B1078="","",IFERROR(INDEX(Services!$E$2:$E$120,MATCH($B1078,Services!$D$2:$D$120,0)),""))</f>
        <v/>
      </c>
    </row>
    <row r="1079" customFormat="false" ht="14.25" hidden="false" customHeight="false" outlineLevel="0" collapsed="false">
      <c r="A1079" s="18"/>
      <c r="B1079" s="6"/>
      <c r="C1079" s="6"/>
      <c r="D1079" s="6"/>
      <c r="E1079" s="16" t="str">
        <f aca="false">IF($B1079="","",IFERROR(INDEX(Services!$C$2:$C$120,MATCH($B1079,Services!$D$2:$D$120,0)),""))</f>
        <v/>
      </c>
      <c r="F1079" s="19"/>
      <c r="G1079" s="9" t="str">
        <f aca="false">IF(OR($B1079="",NOT(ISNUMBER($E1079))),"",$E1079-IF($F1079="",0,$F1079))</f>
        <v/>
      </c>
      <c r="H1079" s="15" t="str">
        <f aca="false">IF($B1079="","",IFERROR(INDEX(Services!$A$2:$A$120,MATCH($B1079,Services!$D$2:$D$120,0)),""))</f>
        <v/>
      </c>
      <c r="I1079" s="19"/>
      <c r="J1079" s="15" t="str">
        <f aca="false">IF($B1079="","",IFERROR(INDEX(Services!$E$2:$E$120,MATCH($B1079,Services!$D$2:$D$120,0)),""))</f>
        <v/>
      </c>
    </row>
    <row r="1080" customFormat="false" ht="14.25" hidden="false" customHeight="false" outlineLevel="0" collapsed="false">
      <c r="A1080" s="18"/>
      <c r="B1080" s="6"/>
      <c r="C1080" s="6"/>
      <c r="D1080" s="6"/>
      <c r="E1080" s="16" t="str">
        <f aca="false">IF($B1080="","",IFERROR(INDEX(Services!$C$2:$C$120,MATCH($B1080,Services!$D$2:$D$120,0)),""))</f>
        <v/>
      </c>
      <c r="F1080" s="19"/>
      <c r="G1080" s="9" t="str">
        <f aca="false">IF(OR($B1080="",NOT(ISNUMBER($E1080))),"",$E1080-IF($F1080="",0,$F1080))</f>
        <v/>
      </c>
      <c r="H1080" s="15" t="str">
        <f aca="false">IF($B1080="","",IFERROR(INDEX(Services!$A$2:$A$120,MATCH($B1080,Services!$D$2:$D$120,0)),""))</f>
        <v/>
      </c>
      <c r="I1080" s="19"/>
      <c r="J1080" s="15" t="str">
        <f aca="false">IF($B1080="","",IFERROR(INDEX(Services!$E$2:$E$120,MATCH($B1080,Services!$D$2:$D$120,0)),""))</f>
        <v/>
      </c>
    </row>
    <row r="1081" customFormat="false" ht="14.25" hidden="false" customHeight="false" outlineLevel="0" collapsed="false">
      <c r="A1081" s="18"/>
      <c r="B1081" s="6"/>
      <c r="C1081" s="6"/>
      <c r="D1081" s="6"/>
      <c r="E1081" s="16" t="str">
        <f aca="false">IF($B1081="","",IFERROR(INDEX(Services!$C$2:$C$120,MATCH($B1081,Services!$D$2:$D$120,0)),""))</f>
        <v/>
      </c>
      <c r="F1081" s="19"/>
      <c r="G1081" s="9" t="str">
        <f aca="false">IF(OR($B1081="",NOT(ISNUMBER($E1081))),"",$E1081-IF($F1081="",0,$F1081))</f>
        <v/>
      </c>
      <c r="H1081" s="15" t="str">
        <f aca="false">IF($B1081="","",IFERROR(INDEX(Services!$A$2:$A$120,MATCH($B1081,Services!$D$2:$D$120,0)),""))</f>
        <v/>
      </c>
      <c r="I1081" s="19"/>
      <c r="J1081" s="15" t="str">
        <f aca="false">IF($B1081="","",IFERROR(INDEX(Services!$E$2:$E$120,MATCH($B1081,Services!$D$2:$D$120,0)),""))</f>
        <v/>
      </c>
    </row>
    <row r="1082" customFormat="false" ht="14.25" hidden="false" customHeight="false" outlineLevel="0" collapsed="false">
      <c r="A1082" s="18"/>
      <c r="B1082" s="6"/>
      <c r="C1082" s="6"/>
      <c r="D1082" s="6"/>
      <c r="E1082" s="16" t="str">
        <f aca="false">IF($B1082="","",IFERROR(INDEX(Services!$C$2:$C$120,MATCH($B1082,Services!$D$2:$D$120,0)),""))</f>
        <v/>
      </c>
      <c r="F1082" s="19"/>
      <c r="G1082" s="9" t="str">
        <f aca="false">IF(OR($B1082="",NOT(ISNUMBER($E1082))),"",$E1082-IF($F1082="",0,$F1082))</f>
        <v/>
      </c>
      <c r="H1082" s="15" t="str">
        <f aca="false">IF($B1082="","",IFERROR(INDEX(Services!$A$2:$A$120,MATCH($B1082,Services!$D$2:$D$120,0)),""))</f>
        <v/>
      </c>
      <c r="I1082" s="19"/>
      <c r="J1082" s="15" t="str">
        <f aca="false">IF($B1082="","",IFERROR(INDEX(Services!$E$2:$E$120,MATCH($B1082,Services!$D$2:$D$120,0)),""))</f>
        <v/>
      </c>
    </row>
    <row r="1083" customFormat="false" ht="14.25" hidden="false" customHeight="false" outlineLevel="0" collapsed="false">
      <c r="A1083" s="18"/>
      <c r="B1083" s="6"/>
      <c r="C1083" s="6"/>
      <c r="D1083" s="6"/>
      <c r="E1083" s="16" t="str">
        <f aca="false">IF($B1083="","",IFERROR(INDEX(Services!$C$2:$C$120,MATCH($B1083,Services!$D$2:$D$120,0)),""))</f>
        <v/>
      </c>
      <c r="F1083" s="19"/>
      <c r="G1083" s="9" t="str">
        <f aca="false">IF(OR($B1083="",NOT(ISNUMBER($E1083))),"",$E1083-IF($F1083="",0,$F1083))</f>
        <v/>
      </c>
      <c r="H1083" s="15" t="str">
        <f aca="false">IF($B1083="","",IFERROR(INDEX(Services!$A$2:$A$120,MATCH($B1083,Services!$D$2:$D$120,0)),""))</f>
        <v/>
      </c>
      <c r="I1083" s="19"/>
      <c r="J1083" s="15" t="str">
        <f aca="false">IF($B1083="","",IFERROR(INDEX(Services!$E$2:$E$120,MATCH($B1083,Services!$D$2:$D$120,0)),""))</f>
        <v/>
      </c>
    </row>
    <row r="1084" customFormat="false" ht="14.25" hidden="false" customHeight="false" outlineLevel="0" collapsed="false">
      <c r="A1084" s="18"/>
      <c r="B1084" s="6"/>
      <c r="C1084" s="6"/>
      <c r="D1084" s="6"/>
      <c r="E1084" s="16" t="str">
        <f aca="false">IF($B1084="","",IFERROR(INDEX(Services!$C$2:$C$120,MATCH($B1084,Services!$D$2:$D$120,0)),""))</f>
        <v/>
      </c>
      <c r="F1084" s="19"/>
      <c r="G1084" s="9" t="str">
        <f aca="false">IF(OR($B1084="",NOT(ISNUMBER($E1084))),"",$E1084-IF($F1084="",0,$F1084))</f>
        <v/>
      </c>
      <c r="H1084" s="15" t="str">
        <f aca="false">IF($B1084="","",IFERROR(INDEX(Services!$A$2:$A$120,MATCH($B1084,Services!$D$2:$D$120,0)),""))</f>
        <v/>
      </c>
      <c r="I1084" s="19"/>
      <c r="J1084" s="15" t="str">
        <f aca="false">IF($B1084="","",IFERROR(INDEX(Services!$E$2:$E$120,MATCH($B1084,Services!$D$2:$D$120,0)),""))</f>
        <v/>
      </c>
    </row>
    <row r="1085" customFormat="false" ht="14.25" hidden="false" customHeight="false" outlineLevel="0" collapsed="false">
      <c r="A1085" s="18"/>
      <c r="B1085" s="6"/>
      <c r="C1085" s="6"/>
      <c r="D1085" s="6"/>
      <c r="E1085" s="16" t="str">
        <f aca="false">IF($B1085="","",IFERROR(INDEX(Services!$C$2:$C$120,MATCH($B1085,Services!$D$2:$D$120,0)),""))</f>
        <v/>
      </c>
      <c r="F1085" s="19"/>
      <c r="G1085" s="9" t="str">
        <f aca="false">IF(OR($B1085="",NOT(ISNUMBER($E1085))),"",$E1085-IF($F1085="",0,$F1085))</f>
        <v/>
      </c>
      <c r="H1085" s="15" t="str">
        <f aca="false">IF($B1085="","",IFERROR(INDEX(Services!$A$2:$A$120,MATCH($B1085,Services!$D$2:$D$120,0)),""))</f>
        <v/>
      </c>
      <c r="I1085" s="19"/>
      <c r="J1085" s="15" t="str">
        <f aca="false">IF($B1085="","",IFERROR(INDEX(Services!$E$2:$E$120,MATCH($B1085,Services!$D$2:$D$120,0)),""))</f>
        <v/>
      </c>
    </row>
    <row r="1086" customFormat="false" ht="14.25" hidden="false" customHeight="false" outlineLevel="0" collapsed="false">
      <c r="A1086" s="18"/>
      <c r="B1086" s="6"/>
      <c r="C1086" s="6"/>
      <c r="D1086" s="6"/>
      <c r="E1086" s="16" t="str">
        <f aca="false">IF($B1086="","",IFERROR(INDEX(Services!$C$2:$C$120,MATCH($B1086,Services!$D$2:$D$120,0)),""))</f>
        <v/>
      </c>
      <c r="F1086" s="19"/>
      <c r="G1086" s="9" t="str">
        <f aca="false">IF(OR($B1086="",NOT(ISNUMBER($E1086))),"",$E1086-IF($F1086="",0,$F1086))</f>
        <v/>
      </c>
      <c r="H1086" s="15" t="str">
        <f aca="false">IF($B1086="","",IFERROR(INDEX(Services!$A$2:$A$120,MATCH($B1086,Services!$D$2:$D$120,0)),""))</f>
        <v/>
      </c>
      <c r="I1086" s="19"/>
      <c r="J1086" s="15" t="str">
        <f aca="false">IF($B1086="","",IFERROR(INDEX(Services!$E$2:$E$120,MATCH($B1086,Services!$D$2:$D$120,0)),""))</f>
        <v/>
      </c>
    </row>
    <row r="1087" customFormat="false" ht="14.25" hidden="false" customHeight="false" outlineLevel="0" collapsed="false">
      <c r="A1087" s="18"/>
      <c r="B1087" s="6"/>
      <c r="C1087" s="6"/>
      <c r="D1087" s="6"/>
      <c r="E1087" s="16" t="str">
        <f aca="false">IF($B1087="","",IFERROR(INDEX(Services!$C$2:$C$120,MATCH($B1087,Services!$D$2:$D$120,0)),""))</f>
        <v/>
      </c>
      <c r="F1087" s="19"/>
      <c r="G1087" s="9" t="str">
        <f aca="false">IF(OR($B1087="",NOT(ISNUMBER($E1087))),"",$E1087-IF($F1087="",0,$F1087))</f>
        <v/>
      </c>
      <c r="H1087" s="15" t="str">
        <f aca="false">IF($B1087="","",IFERROR(INDEX(Services!$A$2:$A$120,MATCH($B1087,Services!$D$2:$D$120,0)),""))</f>
        <v/>
      </c>
      <c r="I1087" s="19"/>
      <c r="J1087" s="15" t="str">
        <f aca="false">IF($B1087="","",IFERROR(INDEX(Services!$E$2:$E$120,MATCH($B1087,Services!$D$2:$D$120,0)),""))</f>
        <v/>
      </c>
    </row>
    <row r="1088" customFormat="false" ht="14.25" hidden="false" customHeight="false" outlineLevel="0" collapsed="false">
      <c r="A1088" s="18"/>
      <c r="B1088" s="6"/>
      <c r="C1088" s="6"/>
      <c r="D1088" s="6"/>
      <c r="E1088" s="16" t="str">
        <f aca="false">IF($B1088="","",IFERROR(INDEX(Services!$C$2:$C$120,MATCH($B1088,Services!$D$2:$D$120,0)),""))</f>
        <v/>
      </c>
      <c r="F1088" s="19"/>
      <c r="G1088" s="9" t="str">
        <f aca="false">IF(OR($B1088="",NOT(ISNUMBER($E1088))),"",$E1088-IF($F1088="",0,$F1088))</f>
        <v/>
      </c>
      <c r="H1088" s="15" t="str">
        <f aca="false">IF($B1088="","",IFERROR(INDEX(Services!$A$2:$A$120,MATCH($B1088,Services!$D$2:$D$120,0)),""))</f>
        <v/>
      </c>
      <c r="I1088" s="19"/>
      <c r="J1088" s="15" t="str">
        <f aca="false">IF($B1088="","",IFERROR(INDEX(Services!$E$2:$E$120,MATCH($B1088,Services!$D$2:$D$120,0)),""))</f>
        <v/>
      </c>
    </row>
    <row r="1089" customFormat="false" ht="14.25" hidden="false" customHeight="false" outlineLevel="0" collapsed="false">
      <c r="A1089" s="18"/>
      <c r="B1089" s="6"/>
      <c r="C1089" s="6"/>
      <c r="D1089" s="6"/>
      <c r="E1089" s="16" t="str">
        <f aca="false">IF($B1089="","",IFERROR(INDEX(Services!$C$2:$C$120,MATCH($B1089,Services!$D$2:$D$120,0)),""))</f>
        <v/>
      </c>
      <c r="F1089" s="19"/>
      <c r="G1089" s="9" t="str">
        <f aca="false">IF(OR($B1089="",NOT(ISNUMBER($E1089))),"",$E1089-IF($F1089="",0,$F1089))</f>
        <v/>
      </c>
      <c r="H1089" s="15" t="str">
        <f aca="false">IF($B1089="","",IFERROR(INDEX(Services!$A$2:$A$120,MATCH($B1089,Services!$D$2:$D$120,0)),""))</f>
        <v/>
      </c>
      <c r="I1089" s="19"/>
      <c r="J1089" s="15" t="str">
        <f aca="false">IF($B1089="","",IFERROR(INDEX(Services!$E$2:$E$120,MATCH($B1089,Services!$D$2:$D$120,0)),""))</f>
        <v/>
      </c>
    </row>
    <row r="1090" customFormat="false" ht="14.25" hidden="false" customHeight="false" outlineLevel="0" collapsed="false">
      <c r="A1090" s="18"/>
      <c r="B1090" s="6"/>
      <c r="C1090" s="6"/>
      <c r="D1090" s="6"/>
      <c r="E1090" s="16" t="str">
        <f aca="false">IF($B1090="","",IFERROR(INDEX(Services!$C$2:$C$120,MATCH($B1090,Services!$D$2:$D$120,0)),""))</f>
        <v/>
      </c>
      <c r="F1090" s="19"/>
      <c r="G1090" s="9" t="str">
        <f aca="false">IF(OR($B1090="",NOT(ISNUMBER($E1090))),"",$E1090-IF($F1090="",0,$F1090))</f>
        <v/>
      </c>
      <c r="H1090" s="15" t="str">
        <f aca="false">IF($B1090="","",IFERROR(INDEX(Services!$A$2:$A$120,MATCH($B1090,Services!$D$2:$D$120,0)),""))</f>
        <v/>
      </c>
      <c r="I1090" s="19"/>
      <c r="J1090" s="15" t="str">
        <f aca="false">IF($B1090="","",IFERROR(INDEX(Services!$E$2:$E$120,MATCH($B1090,Services!$D$2:$D$120,0)),""))</f>
        <v/>
      </c>
    </row>
    <row r="1091" customFormat="false" ht="14.25" hidden="false" customHeight="false" outlineLevel="0" collapsed="false">
      <c r="A1091" s="18"/>
      <c r="B1091" s="6"/>
      <c r="C1091" s="6"/>
      <c r="D1091" s="6"/>
      <c r="E1091" s="16" t="str">
        <f aca="false">IF($B1091="","",IFERROR(INDEX(Services!$C$2:$C$120,MATCH($B1091,Services!$D$2:$D$120,0)),""))</f>
        <v/>
      </c>
      <c r="F1091" s="19"/>
      <c r="G1091" s="9" t="str">
        <f aca="false">IF(OR($B1091="",NOT(ISNUMBER($E1091))),"",$E1091-IF($F1091="",0,$F1091))</f>
        <v/>
      </c>
      <c r="H1091" s="15" t="str">
        <f aca="false">IF($B1091="","",IFERROR(INDEX(Services!$A$2:$A$120,MATCH($B1091,Services!$D$2:$D$120,0)),""))</f>
        <v/>
      </c>
      <c r="I1091" s="19"/>
      <c r="J1091" s="15" t="str">
        <f aca="false">IF($B1091="","",IFERROR(INDEX(Services!$E$2:$E$120,MATCH($B1091,Services!$D$2:$D$120,0)),""))</f>
        <v/>
      </c>
    </row>
    <row r="1092" customFormat="false" ht="14.25" hidden="false" customHeight="false" outlineLevel="0" collapsed="false">
      <c r="A1092" s="18"/>
      <c r="B1092" s="6"/>
      <c r="C1092" s="6"/>
      <c r="D1092" s="6"/>
      <c r="E1092" s="16" t="str">
        <f aca="false">IF($B1092="","",IFERROR(INDEX(Services!$C$2:$C$120,MATCH($B1092,Services!$D$2:$D$120,0)),""))</f>
        <v/>
      </c>
      <c r="F1092" s="19"/>
      <c r="G1092" s="9" t="str">
        <f aca="false">IF(OR($B1092="",NOT(ISNUMBER($E1092))),"",$E1092-IF($F1092="",0,$F1092))</f>
        <v/>
      </c>
      <c r="H1092" s="15" t="str">
        <f aca="false">IF($B1092="","",IFERROR(INDEX(Services!$A$2:$A$120,MATCH($B1092,Services!$D$2:$D$120,0)),""))</f>
        <v/>
      </c>
      <c r="I1092" s="19"/>
      <c r="J1092" s="15" t="str">
        <f aca="false">IF($B1092="","",IFERROR(INDEX(Services!$E$2:$E$120,MATCH($B1092,Services!$D$2:$D$120,0)),""))</f>
        <v/>
      </c>
    </row>
    <row r="1093" customFormat="false" ht="14.25" hidden="false" customHeight="false" outlineLevel="0" collapsed="false">
      <c r="A1093" s="18"/>
      <c r="B1093" s="6"/>
      <c r="C1093" s="6"/>
      <c r="D1093" s="6"/>
      <c r="E1093" s="16" t="str">
        <f aca="false">IF($B1093="","",IFERROR(INDEX(Services!$C$2:$C$120,MATCH($B1093,Services!$D$2:$D$120,0)),""))</f>
        <v/>
      </c>
      <c r="F1093" s="19"/>
      <c r="G1093" s="9" t="str">
        <f aca="false">IF(OR($B1093="",NOT(ISNUMBER($E1093))),"",$E1093-IF($F1093="",0,$F1093))</f>
        <v/>
      </c>
      <c r="H1093" s="15" t="str">
        <f aca="false">IF($B1093="","",IFERROR(INDEX(Services!$A$2:$A$120,MATCH($B1093,Services!$D$2:$D$120,0)),""))</f>
        <v/>
      </c>
      <c r="I1093" s="19"/>
      <c r="J1093" s="15" t="str">
        <f aca="false">IF($B1093="","",IFERROR(INDEX(Services!$E$2:$E$120,MATCH($B1093,Services!$D$2:$D$120,0)),""))</f>
        <v/>
      </c>
    </row>
    <row r="1094" customFormat="false" ht="14.25" hidden="false" customHeight="false" outlineLevel="0" collapsed="false">
      <c r="A1094" s="18"/>
      <c r="B1094" s="6"/>
      <c r="C1094" s="6"/>
      <c r="D1094" s="6"/>
      <c r="E1094" s="16" t="str">
        <f aca="false">IF($B1094="","",IFERROR(INDEX(Services!$C$2:$C$120,MATCH($B1094,Services!$D$2:$D$120,0)),""))</f>
        <v/>
      </c>
      <c r="F1094" s="19"/>
      <c r="G1094" s="9" t="str">
        <f aca="false">IF(OR($B1094="",NOT(ISNUMBER($E1094))),"",$E1094-IF($F1094="",0,$F1094))</f>
        <v/>
      </c>
      <c r="H1094" s="15" t="str">
        <f aca="false">IF($B1094="","",IFERROR(INDEX(Services!$A$2:$A$120,MATCH($B1094,Services!$D$2:$D$120,0)),""))</f>
        <v/>
      </c>
      <c r="I1094" s="19"/>
      <c r="J1094" s="15" t="str">
        <f aca="false">IF($B1094="","",IFERROR(INDEX(Services!$E$2:$E$120,MATCH($B1094,Services!$D$2:$D$120,0)),""))</f>
        <v/>
      </c>
    </row>
    <row r="1095" customFormat="false" ht="14.25" hidden="false" customHeight="false" outlineLevel="0" collapsed="false">
      <c r="A1095" s="18"/>
      <c r="B1095" s="6"/>
      <c r="C1095" s="6"/>
      <c r="D1095" s="6"/>
      <c r="E1095" s="16" t="str">
        <f aca="false">IF($B1095="","",IFERROR(INDEX(Services!$C$2:$C$120,MATCH($B1095,Services!$D$2:$D$120,0)),""))</f>
        <v/>
      </c>
      <c r="F1095" s="19"/>
      <c r="G1095" s="9" t="str">
        <f aca="false">IF(OR($B1095="",NOT(ISNUMBER($E1095))),"",$E1095-IF($F1095="",0,$F1095))</f>
        <v/>
      </c>
      <c r="H1095" s="15" t="str">
        <f aca="false">IF($B1095="","",IFERROR(INDEX(Services!$A$2:$A$120,MATCH($B1095,Services!$D$2:$D$120,0)),""))</f>
        <v/>
      </c>
      <c r="I1095" s="19"/>
      <c r="J1095" s="15" t="str">
        <f aca="false">IF($B1095="","",IFERROR(INDEX(Services!$E$2:$E$120,MATCH($B1095,Services!$D$2:$D$120,0)),""))</f>
        <v/>
      </c>
    </row>
    <row r="1096" customFormat="false" ht="14.25" hidden="false" customHeight="false" outlineLevel="0" collapsed="false">
      <c r="A1096" s="18"/>
      <c r="B1096" s="6"/>
      <c r="C1096" s="6"/>
      <c r="D1096" s="6"/>
      <c r="E1096" s="16" t="str">
        <f aca="false">IF($B1096="","",IFERROR(INDEX(Services!$C$2:$C$120,MATCH($B1096,Services!$D$2:$D$120,0)),""))</f>
        <v/>
      </c>
      <c r="F1096" s="19"/>
      <c r="G1096" s="9" t="str">
        <f aca="false">IF(OR($B1096="",NOT(ISNUMBER($E1096))),"",$E1096-IF($F1096="",0,$F1096))</f>
        <v/>
      </c>
      <c r="H1096" s="15" t="str">
        <f aca="false">IF($B1096="","",IFERROR(INDEX(Services!$A$2:$A$120,MATCH($B1096,Services!$D$2:$D$120,0)),""))</f>
        <v/>
      </c>
      <c r="I1096" s="19"/>
      <c r="J1096" s="15" t="str">
        <f aca="false">IF($B1096="","",IFERROR(INDEX(Services!$E$2:$E$120,MATCH($B1096,Services!$D$2:$D$120,0)),""))</f>
        <v/>
      </c>
    </row>
    <row r="1097" customFormat="false" ht="14.25" hidden="false" customHeight="false" outlineLevel="0" collapsed="false">
      <c r="A1097" s="18"/>
      <c r="B1097" s="6"/>
      <c r="C1097" s="6"/>
      <c r="D1097" s="6"/>
      <c r="E1097" s="16" t="str">
        <f aca="false">IF($B1097="","",IFERROR(INDEX(Services!$C$2:$C$120,MATCH($B1097,Services!$D$2:$D$120,0)),""))</f>
        <v/>
      </c>
      <c r="F1097" s="19"/>
      <c r="G1097" s="9" t="str">
        <f aca="false">IF(OR($B1097="",NOT(ISNUMBER($E1097))),"",$E1097-IF($F1097="",0,$F1097))</f>
        <v/>
      </c>
      <c r="H1097" s="15" t="str">
        <f aca="false">IF($B1097="","",IFERROR(INDEX(Services!$A$2:$A$120,MATCH($B1097,Services!$D$2:$D$120,0)),""))</f>
        <v/>
      </c>
      <c r="I1097" s="19"/>
      <c r="J1097" s="15" t="str">
        <f aca="false">IF($B1097="","",IFERROR(INDEX(Services!$E$2:$E$120,MATCH($B1097,Services!$D$2:$D$120,0)),""))</f>
        <v/>
      </c>
    </row>
    <row r="1098" customFormat="false" ht="14.25" hidden="false" customHeight="false" outlineLevel="0" collapsed="false">
      <c r="A1098" s="18"/>
      <c r="B1098" s="6"/>
      <c r="C1098" s="6"/>
      <c r="D1098" s="6"/>
      <c r="E1098" s="16" t="str">
        <f aca="false">IF($B1098="","",IFERROR(INDEX(Services!$C$2:$C$120,MATCH($B1098,Services!$D$2:$D$120,0)),""))</f>
        <v/>
      </c>
      <c r="F1098" s="19"/>
      <c r="G1098" s="9" t="str">
        <f aca="false">IF(OR($B1098="",NOT(ISNUMBER($E1098))),"",$E1098-IF($F1098="",0,$F1098))</f>
        <v/>
      </c>
      <c r="H1098" s="15" t="str">
        <f aca="false">IF($B1098="","",IFERROR(INDEX(Services!$A$2:$A$120,MATCH($B1098,Services!$D$2:$D$120,0)),""))</f>
        <v/>
      </c>
      <c r="I1098" s="19"/>
      <c r="J1098" s="15" t="str">
        <f aca="false">IF($B1098="","",IFERROR(INDEX(Services!$E$2:$E$120,MATCH($B1098,Services!$D$2:$D$120,0)),""))</f>
        <v/>
      </c>
    </row>
    <row r="1099" customFormat="false" ht="14.25" hidden="false" customHeight="false" outlineLevel="0" collapsed="false">
      <c r="A1099" s="18"/>
      <c r="B1099" s="6"/>
      <c r="C1099" s="6"/>
      <c r="D1099" s="6"/>
      <c r="E1099" s="16" t="str">
        <f aca="false">IF($B1099="","",IFERROR(INDEX(Services!$C$2:$C$120,MATCH($B1099,Services!$D$2:$D$120,0)),""))</f>
        <v/>
      </c>
      <c r="F1099" s="19"/>
      <c r="G1099" s="9" t="str">
        <f aca="false">IF(OR($B1099="",NOT(ISNUMBER($E1099))),"",$E1099-IF($F1099="",0,$F1099))</f>
        <v/>
      </c>
      <c r="H1099" s="15" t="str">
        <f aca="false">IF($B1099="","",IFERROR(INDEX(Services!$A$2:$A$120,MATCH($B1099,Services!$D$2:$D$120,0)),""))</f>
        <v/>
      </c>
      <c r="I1099" s="19"/>
      <c r="J1099" s="15" t="str">
        <f aca="false">IF($B1099="","",IFERROR(INDEX(Services!$E$2:$E$120,MATCH($B1099,Services!$D$2:$D$120,0)),""))</f>
        <v/>
      </c>
    </row>
    <row r="1100" customFormat="false" ht="14.25" hidden="false" customHeight="false" outlineLevel="0" collapsed="false">
      <c r="A1100" s="18"/>
      <c r="B1100" s="6"/>
      <c r="C1100" s="6"/>
      <c r="D1100" s="6"/>
      <c r="E1100" s="16" t="str">
        <f aca="false">IF($B1100="","",IFERROR(INDEX(Services!$C$2:$C$120,MATCH($B1100,Services!$D$2:$D$120,0)),""))</f>
        <v/>
      </c>
      <c r="F1100" s="19"/>
      <c r="G1100" s="9" t="str">
        <f aca="false">IF(OR($B1100="",NOT(ISNUMBER($E1100))),"",$E1100-IF($F1100="",0,$F1100))</f>
        <v/>
      </c>
      <c r="H1100" s="15" t="str">
        <f aca="false">IF($B1100="","",IFERROR(INDEX(Services!$A$2:$A$120,MATCH($B1100,Services!$D$2:$D$120,0)),""))</f>
        <v/>
      </c>
      <c r="I1100" s="19"/>
      <c r="J1100" s="15" t="str">
        <f aca="false">IF($B1100="","",IFERROR(INDEX(Services!$E$2:$E$120,MATCH($B1100,Services!$D$2:$D$120,0)),""))</f>
        <v/>
      </c>
    </row>
    <row r="1101" customFormat="false" ht="14.25" hidden="false" customHeight="false" outlineLevel="0" collapsed="false">
      <c r="A1101" s="18"/>
      <c r="B1101" s="6"/>
      <c r="C1101" s="6"/>
      <c r="D1101" s="6"/>
      <c r="E1101" s="16" t="str">
        <f aca="false">IF($B1101="","",IFERROR(INDEX(Services!$C$2:$C$120,MATCH($B1101,Services!$D$2:$D$120,0)),""))</f>
        <v/>
      </c>
      <c r="F1101" s="19"/>
      <c r="G1101" s="9" t="str">
        <f aca="false">IF(OR($B1101="",NOT(ISNUMBER($E1101))),"",$E1101-IF($F1101="",0,$F1101))</f>
        <v/>
      </c>
      <c r="H1101" s="15" t="str">
        <f aca="false">IF($B1101="","",IFERROR(INDEX(Services!$A$2:$A$120,MATCH($B1101,Services!$D$2:$D$120,0)),""))</f>
        <v/>
      </c>
      <c r="I1101" s="19"/>
      <c r="J1101" s="15" t="str">
        <f aca="false">IF($B1101="","",IFERROR(INDEX(Services!$E$2:$E$120,MATCH($B1101,Services!$D$2:$D$120,0)),""))</f>
        <v/>
      </c>
    </row>
    <row r="1102" customFormat="false" ht="14.25" hidden="false" customHeight="false" outlineLevel="0" collapsed="false">
      <c r="A1102" s="18"/>
      <c r="B1102" s="6"/>
      <c r="C1102" s="6"/>
      <c r="D1102" s="6"/>
      <c r="E1102" s="16" t="str">
        <f aca="false">IF($B1102="","",IFERROR(INDEX(Services!$C$2:$C$120,MATCH($B1102,Services!$D$2:$D$120,0)),""))</f>
        <v/>
      </c>
      <c r="F1102" s="19"/>
      <c r="G1102" s="9" t="str">
        <f aca="false">IF(OR($B1102="",NOT(ISNUMBER($E1102))),"",$E1102-IF($F1102="",0,$F1102))</f>
        <v/>
      </c>
      <c r="H1102" s="15" t="str">
        <f aca="false">IF($B1102="","",IFERROR(INDEX(Services!$A$2:$A$120,MATCH($B1102,Services!$D$2:$D$120,0)),""))</f>
        <v/>
      </c>
      <c r="I1102" s="19"/>
      <c r="J1102" s="15" t="str">
        <f aca="false">IF($B1102="","",IFERROR(INDEX(Services!$E$2:$E$120,MATCH($B1102,Services!$D$2:$D$120,0)),""))</f>
        <v/>
      </c>
    </row>
    <row r="1103" customFormat="false" ht="14.25" hidden="false" customHeight="false" outlineLevel="0" collapsed="false">
      <c r="A1103" s="18"/>
      <c r="B1103" s="6"/>
      <c r="C1103" s="6"/>
      <c r="D1103" s="6"/>
      <c r="E1103" s="16" t="str">
        <f aca="false">IF($B1103="","",IFERROR(INDEX(Services!$C$2:$C$120,MATCH($B1103,Services!$D$2:$D$120,0)),""))</f>
        <v/>
      </c>
      <c r="F1103" s="19"/>
      <c r="G1103" s="9" t="str">
        <f aca="false">IF(OR($B1103="",NOT(ISNUMBER($E1103))),"",$E1103-IF($F1103="",0,$F1103))</f>
        <v/>
      </c>
      <c r="H1103" s="15" t="str">
        <f aca="false">IF($B1103="","",IFERROR(INDEX(Services!$A$2:$A$120,MATCH($B1103,Services!$D$2:$D$120,0)),""))</f>
        <v/>
      </c>
      <c r="I1103" s="19"/>
      <c r="J1103" s="15" t="str">
        <f aca="false">IF($B1103="","",IFERROR(INDEX(Services!$E$2:$E$120,MATCH($B1103,Services!$D$2:$D$120,0)),""))</f>
        <v/>
      </c>
    </row>
    <row r="1104" customFormat="false" ht="14.25" hidden="false" customHeight="false" outlineLevel="0" collapsed="false">
      <c r="A1104" s="18"/>
      <c r="B1104" s="6"/>
      <c r="C1104" s="6"/>
      <c r="D1104" s="6"/>
      <c r="E1104" s="16" t="str">
        <f aca="false">IF($B1104="","",IFERROR(INDEX(Services!$C$2:$C$120,MATCH($B1104,Services!$D$2:$D$120,0)),""))</f>
        <v/>
      </c>
      <c r="F1104" s="19"/>
      <c r="G1104" s="9" t="str">
        <f aca="false">IF(OR($B1104="",NOT(ISNUMBER($E1104))),"",$E1104-IF($F1104="",0,$F1104))</f>
        <v/>
      </c>
      <c r="H1104" s="15" t="str">
        <f aca="false">IF($B1104="","",IFERROR(INDEX(Services!$A$2:$A$120,MATCH($B1104,Services!$D$2:$D$120,0)),""))</f>
        <v/>
      </c>
      <c r="I1104" s="19"/>
      <c r="J1104" s="15" t="str">
        <f aca="false">IF($B1104="","",IFERROR(INDEX(Services!$E$2:$E$120,MATCH($B1104,Services!$D$2:$D$120,0)),""))</f>
        <v/>
      </c>
    </row>
    <row r="1105" customFormat="false" ht="14.25" hidden="false" customHeight="false" outlineLevel="0" collapsed="false">
      <c r="A1105" s="18"/>
      <c r="B1105" s="6"/>
      <c r="C1105" s="6"/>
      <c r="D1105" s="6"/>
      <c r="E1105" s="16" t="str">
        <f aca="false">IF($B1105="","",IFERROR(INDEX(Services!$C$2:$C$120,MATCH($B1105,Services!$D$2:$D$120,0)),""))</f>
        <v/>
      </c>
      <c r="F1105" s="19"/>
      <c r="G1105" s="9" t="str">
        <f aca="false">IF(OR($B1105="",NOT(ISNUMBER($E1105))),"",$E1105-IF($F1105="",0,$F1105))</f>
        <v/>
      </c>
      <c r="H1105" s="15" t="str">
        <f aca="false">IF($B1105="","",IFERROR(INDEX(Services!$A$2:$A$120,MATCH($B1105,Services!$D$2:$D$120,0)),""))</f>
        <v/>
      </c>
      <c r="I1105" s="19"/>
      <c r="J1105" s="15" t="str">
        <f aca="false">IF($B1105="","",IFERROR(INDEX(Services!$E$2:$E$120,MATCH($B1105,Services!$D$2:$D$120,0)),""))</f>
        <v/>
      </c>
    </row>
    <row r="1106" customFormat="false" ht="14.25" hidden="false" customHeight="false" outlineLevel="0" collapsed="false">
      <c r="A1106" s="18"/>
      <c r="B1106" s="6"/>
      <c r="C1106" s="6"/>
      <c r="D1106" s="6"/>
      <c r="E1106" s="16" t="str">
        <f aca="false">IF($B1106="","",IFERROR(INDEX(Services!$C$2:$C$120,MATCH($B1106,Services!$D$2:$D$120,0)),""))</f>
        <v/>
      </c>
      <c r="F1106" s="19"/>
      <c r="G1106" s="9" t="str">
        <f aca="false">IF(OR($B1106="",NOT(ISNUMBER($E1106))),"",$E1106-IF($F1106="",0,$F1106))</f>
        <v/>
      </c>
      <c r="H1106" s="15" t="str">
        <f aca="false">IF($B1106="","",IFERROR(INDEX(Services!$A$2:$A$120,MATCH($B1106,Services!$D$2:$D$120,0)),""))</f>
        <v/>
      </c>
      <c r="I1106" s="19"/>
      <c r="J1106" s="15" t="str">
        <f aca="false">IF($B1106="","",IFERROR(INDEX(Services!$E$2:$E$120,MATCH($B1106,Services!$D$2:$D$120,0)),""))</f>
        <v/>
      </c>
    </row>
    <row r="1107" customFormat="false" ht="14.25" hidden="false" customHeight="false" outlineLevel="0" collapsed="false">
      <c r="A1107" s="18"/>
      <c r="B1107" s="6"/>
      <c r="C1107" s="6"/>
      <c r="D1107" s="6"/>
      <c r="E1107" s="16" t="str">
        <f aca="false">IF($B1107="","",IFERROR(INDEX(Services!$C$2:$C$120,MATCH($B1107,Services!$D$2:$D$120,0)),""))</f>
        <v/>
      </c>
      <c r="F1107" s="19"/>
      <c r="G1107" s="9" t="str">
        <f aca="false">IF(OR($B1107="",NOT(ISNUMBER($E1107))),"",$E1107-IF($F1107="",0,$F1107))</f>
        <v/>
      </c>
      <c r="H1107" s="15" t="str">
        <f aca="false">IF($B1107="","",IFERROR(INDEX(Services!$A$2:$A$120,MATCH($B1107,Services!$D$2:$D$120,0)),""))</f>
        <v/>
      </c>
      <c r="I1107" s="19"/>
      <c r="J1107" s="15" t="str">
        <f aca="false">IF($B1107="","",IFERROR(INDEX(Services!$E$2:$E$120,MATCH($B1107,Services!$D$2:$D$120,0)),""))</f>
        <v/>
      </c>
    </row>
    <row r="1108" customFormat="false" ht="14.25" hidden="false" customHeight="false" outlineLevel="0" collapsed="false">
      <c r="A1108" s="18"/>
      <c r="B1108" s="6"/>
      <c r="C1108" s="6"/>
      <c r="D1108" s="6"/>
      <c r="E1108" s="16" t="str">
        <f aca="false">IF($B1108="","",IFERROR(INDEX(Services!$C$2:$C$120,MATCH($B1108,Services!$D$2:$D$120,0)),""))</f>
        <v/>
      </c>
      <c r="F1108" s="19"/>
      <c r="G1108" s="9" t="str">
        <f aca="false">IF(OR($B1108="",NOT(ISNUMBER($E1108))),"",$E1108-IF($F1108="",0,$F1108))</f>
        <v/>
      </c>
      <c r="H1108" s="15" t="str">
        <f aca="false">IF($B1108="","",IFERROR(INDEX(Services!$A$2:$A$120,MATCH($B1108,Services!$D$2:$D$120,0)),""))</f>
        <v/>
      </c>
      <c r="I1108" s="19"/>
      <c r="J1108" s="15" t="str">
        <f aca="false">IF($B1108="","",IFERROR(INDEX(Services!$E$2:$E$120,MATCH($B1108,Services!$D$2:$D$120,0)),""))</f>
        <v/>
      </c>
    </row>
    <row r="1109" customFormat="false" ht="14.25" hidden="false" customHeight="false" outlineLevel="0" collapsed="false">
      <c r="A1109" s="18"/>
      <c r="B1109" s="6"/>
      <c r="C1109" s="6"/>
      <c r="D1109" s="6"/>
      <c r="E1109" s="16" t="str">
        <f aca="false">IF($B1109="","",IFERROR(INDEX(Services!$C$2:$C$120,MATCH($B1109,Services!$D$2:$D$120,0)),""))</f>
        <v/>
      </c>
      <c r="F1109" s="19"/>
      <c r="G1109" s="9" t="str">
        <f aca="false">IF(OR($B1109="",NOT(ISNUMBER($E1109))),"",$E1109-IF($F1109="",0,$F1109))</f>
        <v/>
      </c>
      <c r="H1109" s="15" t="str">
        <f aca="false">IF($B1109="","",IFERROR(INDEX(Services!$A$2:$A$120,MATCH($B1109,Services!$D$2:$D$120,0)),""))</f>
        <v/>
      </c>
      <c r="I1109" s="19"/>
      <c r="J1109" s="15" t="str">
        <f aca="false">IF($B1109="","",IFERROR(INDEX(Services!$E$2:$E$120,MATCH($B1109,Services!$D$2:$D$120,0)),""))</f>
        <v/>
      </c>
    </row>
    <row r="1110" customFormat="false" ht="14.25" hidden="false" customHeight="false" outlineLevel="0" collapsed="false">
      <c r="A1110" s="18"/>
      <c r="B1110" s="6"/>
      <c r="C1110" s="6"/>
      <c r="D1110" s="6"/>
      <c r="E1110" s="16" t="str">
        <f aca="false">IF($B1110="","",IFERROR(INDEX(Services!$C$2:$C$120,MATCH($B1110,Services!$D$2:$D$120,0)),""))</f>
        <v/>
      </c>
      <c r="F1110" s="19"/>
      <c r="G1110" s="9" t="str">
        <f aca="false">IF(OR($B1110="",NOT(ISNUMBER($E1110))),"",$E1110-IF($F1110="",0,$F1110))</f>
        <v/>
      </c>
      <c r="H1110" s="15" t="str">
        <f aca="false">IF($B1110="","",IFERROR(INDEX(Services!$A$2:$A$120,MATCH($B1110,Services!$D$2:$D$120,0)),""))</f>
        <v/>
      </c>
      <c r="I1110" s="19"/>
      <c r="J1110" s="15" t="str">
        <f aca="false">IF($B1110="","",IFERROR(INDEX(Services!$E$2:$E$120,MATCH($B1110,Services!$D$2:$D$120,0)),""))</f>
        <v/>
      </c>
    </row>
    <row r="1111" customFormat="false" ht="14.25" hidden="false" customHeight="false" outlineLevel="0" collapsed="false">
      <c r="A1111" s="18"/>
      <c r="B1111" s="6"/>
      <c r="C1111" s="6"/>
      <c r="D1111" s="6"/>
      <c r="E1111" s="16" t="str">
        <f aca="false">IF($B1111="","",IFERROR(INDEX(Services!$C$2:$C$120,MATCH($B1111,Services!$D$2:$D$120,0)),""))</f>
        <v/>
      </c>
      <c r="F1111" s="19"/>
      <c r="G1111" s="9" t="str">
        <f aca="false">IF(OR($B1111="",NOT(ISNUMBER($E1111))),"",$E1111-IF($F1111="",0,$F1111))</f>
        <v/>
      </c>
      <c r="H1111" s="15" t="str">
        <f aca="false">IF($B1111="","",IFERROR(INDEX(Services!$A$2:$A$120,MATCH($B1111,Services!$D$2:$D$120,0)),""))</f>
        <v/>
      </c>
      <c r="I1111" s="19"/>
      <c r="J1111" s="15" t="str">
        <f aca="false">IF($B1111="","",IFERROR(INDEX(Services!$E$2:$E$120,MATCH($B1111,Services!$D$2:$D$120,0)),""))</f>
        <v/>
      </c>
    </row>
    <row r="1112" customFormat="false" ht="14.25" hidden="false" customHeight="false" outlineLevel="0" collapsed="false">
      <c r="A1112" s="18"/>
      <c r="B1112" s="6"/>
      <c r="C1112" s="6"/>
      <c r="D1112" s="6"/>
      <c r="E1112" s="16" t="str">
        <f aca="false">IF($B1112="","",IFERROR(INDEX(Services!$C$2:$C$120,MATCH($B1112,Services!$D$2:$D$120,0)),""))</f>
        <v/>
      </c>
      <c r="F1112" s="19"/>
      <c r="G1112" s="9" t="str">
        <f aca="false">IF(OR($B1112="",NOT(ISNUMBER($E1112))),"",$E1112-IF($F1112="",0,$F1112))</f>
        <v/>
      </c>
      <c r="H1112" s="15" t="str">
        <f aca="false">IF($B1112="","",IFERROR(INDEX(Services!$A$2:$A$120,MATCH($B1112,Services!$D$2:$D$120,0)),""))</f>
        <v/>
      </c>
      <c r="I1112" s="19"/>
      <c r="J1112" s="15" t="str">
        <f aca="false">IF($B1112="","",IFERROR(INDEX(Services!$E$2:$E$120,MATCH($B1112,Services!$D$2:$D$120,0)),""))</f>
        <v/>
      </c>
    </row>
    <row r="1113" customFormat="false" ht="14.25" hidden="false" customHeight="false" outlineLevel="0" collapsed="false">
      <c r="A1113" s="18"/>
      <c r="B1113" s="6"/>
      <c r="C1113" s="6"/>
      <c r="D1113" s="6"/>
      <c r="E1113" s="16" t="str">
        <f aca="false">IF($B1113="","",IFERROR(INDEX(Services!$C$2:$C$120,MATCH($B1113,Services!$D$2:$D$120,0)),""))</f>
        <v/>
      </c>
      <c r="F1113" s="19"/>
      <c r="G1113" s="9" t="str">
        <f aca="false">IF(OR($B1113="",NOT(ISNUMBER($E1113))),"",$E1113-IF($F1113="",0,$F1113))</f>
        <v/>
      </c>
      <c r="H1113" s="15" t="str">
        <f aca="false">IF($B1113="","",IFERROR(INDEX(Services!$A$2:$A$120,MATCH($B1113,Services!$D$2:$D$120,0)),""))</f>
        <v/>
      </c>
      <c r="I1113" s="19"/>
      <c r="J1113" s="15" t="str">
        <f aca="false">IF($B1113="","",IFERROR(INDEX(Services!$E$2:$E$120,MATCH($B1113,Services!$D$2:$D$120,0)),""))</f>
        <v/>
      </c>
    </row>
    <row r="1114" customFormat="false" ht="14.25" hidden="false" customHeight="false" outlineLevel="0" collapsed="false">
      <c r="A1114" s="18"/>
      <c r="B1114" s="6"/>
      <c r="C1114" s="6"/>
      <c r="D1114" s="6"/>
      <c r="E1114" s="16" t="str">
        <f aca="false">IF($B1114="","",IFERROR(INDEX(Services!$C$2:$C$120,MATCH($B1114,Services!$D$2:$D$120,0)),""))</f>
        <v/>
      </c>
      <c r="F1114" s="19"/>
      <c r="G1114" s="9" t="str">
        <f aca="false">IF(OR($B1114="",NOT(ISNUMBER($E1114))),"",$E1114-IF($F1114="",0,$F1114))</f>
        <v/>
      </c>
      <c r="H1114" s="15" t="str">
        <f aca="false">IF($B1114="","",IFERROR(INDEX(Services!$A$2:$A$120,MATCH($B1114,Services!$D$2:$D$120,0)),""))</f>
        <v/>
      </c>
      <c r="I1114" s="19"/>
      <c r="J1114" s="15" t="str">
        <f aca="false">IF($B1114="","",IFERROR(INDEX(Services!$E$2:$E$120,MATCH($B1114,Services!$D$2:$D$120,0)),""))</f>
        <v/>
      </c>
    </row>
    <row r="1115" customFormat="false" ht="14.25" hidden="false" customHeight="false" outlineLevel="0" collapsed="false">
      <c r="A1115" s="18"/>
      <c r="B1115" s="6"/>
      <c r="C1115" s="6"/>
      <c r="D1115" s="6"/>
      <c r="E1115" s="16" t="str">
        <f aca="false">IF($B1115="","",IFERROR(INDEX(Services!$C$2:$C$120,MATCH($B1115,Services!$D$2:$D$120,0)),""))</f>
        <v/>
      </c>
      <c r="F1115" s="19"/>
      <c r="G1115" s="9" t="str">
        <f aca="false">IF(OR($B1115="",NOT(ISNUMBER($E1115))),"",$E1115-IF($F1115="",0,$F1115))</f>
        <v/>
      </c>
      <c r="H1115" s="15" t="str">
        <f aca="false">IF($B1115="","",IFERROR(INDEX(Services!$A$2:$A$120,MATCH($B1115,Services!$D$2:$D$120,0)),""))</f>
        <v/>
      </c>
      <c r="I1115" s="19"/>
      <c r="J1115" s="15" t="str">
        <f aca="false">IF($B1115="","",IFERROR(INDEX(Services!$E$2:$E$120,MATCH($B1115,Services!$D$2:$D$120,0)),""))</f>
        <v/>
      </c>
    </row>
    <row r="1116" customFormat="false" ht="14.25" hidden="false" customHeight="false" outlineLevel="0" collapsed="false">
      <c r="A1116" s="18"/>
      <c r="B1116" s="6"/>
      <c r="C1116" s="6"/>
      <c r="D1116" s="6"/>
      <c r="E1116" s="16" t="str">
        <f aca="false">IF($B1116="","",IFERROR(INDEX(Services!$C$2:$C$120,MATCH($B1116,Services!$D$2:$D$120,0)),""))</f>
        <v/>
      </c>
      <c r="F1116" s="19"/>
      <c r="G1116" s="9" t="str">
        <f aca="false">IF(OR($B1116="",NOT(ISNUMBER($E1116))),"",$E1116-IF($F1116="",0,$F1116))</f>
        <v/>
      </c>
      <c r="H1116" s="15" t="str">
        <f aca="false">IF($B1116="","",IFERROR(INDEX(Services!$A$2:$A$120,MATCH($B1116,Services!$D$2:$D$120,0)),""))</f>
        <v/>
      </c>
      <c r="I1116" s="19"/>
      <c r="J1116" s="15" t="str">
        <f aca="false">IF($B1116="","",IFERROR(INDEX(Services!$E$2:$E$120,MATCH($B1116,Services!$D$2:$D$120,0)),""))</f>
        <v/>
      </c>
    </row>
    <row r="1117" customFormat="false" ht="14.25" hidden="false" customHeight="false" outlineLevel="0" collapsed="false">
      <c r="A1117" s="18"/>
      <c r="B1117" s="6"/>
      <c r="C1117" s="6"/>
      <c r="D1117" s="6"/>
      <c r="E1117" s="16" t="str">
        <f aca="false">IF($B1117="","",IFERROR(INDEX(Services!$C$2:$C$120,MATCH($B1117,Services!$D$2:$D$120,0)),""))</f>
        <v/>
      </c>
      <c r="F1117" s="19"/>
      <c r="G1117" s="9" t="str">
        <f aca="false">IF(OR($B1117="",NOT(ISNUMBER($E1117))),"",$E1117-IF($F1117="",0,$F1117))</f>
        <v/>
      </c>
      <c r="H1117" s="15" t="str">
        <f aca="false">IF($B1117="","",IFERROR(INDEX(Services!$A$2:$A$120,MATCH($B1117,Services!$D$2:$D$120,0)),""))</f>
        <v/>
      </c>
      <c r="I1117" s="19"/>
      <c r="J1117" s="15" t="str">
        <f aca="false">IF($B1117="","",IFERROR(INDEX(Services!$E$2:$E$120,MATCH($B1117,Services!$D$2:$D$120,0)),""))</f>
        <v/>
      </c>
    </row>
    <row r="1118" customFormat="false" ht="14.25" hidden="false" customHeight="false" outlineLevel="0" collapsed="false">
      <c r="A1118" s="18"/>
      <c r="B1118" s="6"/>
      <c r="C1118" s="6"/>
      <c r="D1118" s="6"/>
      <c r="E1118" s="16" t="str">
        <f aca="false">IF($B1118="","",IFERROR(INDEX(Services!$C$2:$C$120,MATCH($B1118,Services!$D$2:$D$120,0)),""))</f>
        <v/>
      </c>
      <c r="F1118" s="19"/>
      <c r="G1118" s="9" t="str">
        <f aca="false">IF(OR($B1118="",NOT(ISNUMBER($E1118))),"",$E1118-IF($F1118="",0,$F1118))</f>
        <v/>
      </c>
      <c r="H1118" s="15" t="str">
        <f aca="false">IF($B1118="","",IFERROR(INDEX(Services!$A$2:$A$120,MATCH($B1118,Services!$D$2:$D$120,0)),""))</f>
        <v/>
      </c>
      <c r="I1118" s="19"/>
      <c r="J1118" s="15" t="str">
        <f aca="false">IF($B1118="","",IFERROR(INDEX(Services!$E$2:$E$120,MATCH($B1118,Services!$D$2:$D$120,0)),""))</f>
        <v/>
      </c>
    </row>
    <row r="1119" customFormat="false" ht="14.25" hidden="false" customHeight="false" outlineLevel="0" collapsed="false">
      <c r="A1119" s="18"/>
      <c r="B1119" s="6"/>
      <c r="C1119" s="6"/>
      <c r="D1119" s="6"/>
      <c r="E1119" s="16" t="str">
        <f aca="false">IF($B1119="","",IFERROR(INDEX(Services!$C$2:$C$120,MATCH($B1119,Services!$D$2:$D$120,0)),""))</f>
        <v/>
      </c>
      <c r="F1119" s="19"/>
      <c r="G1119" s="9" t="str">
        <f aca="false">IF(OR($B1119="",NOT(ISNUMBER($E1119))),"",$E1119-IF($F1119="",0,$F1119))</f>
        <v/>
      </c>
      <c r="H1119" s="15" t="str">
        <f aca="false">IF($B1119="","",IFERROR(INDEX(Services!$A$2:$A$120,MATCH($B1119,Services!$D$2:$D$120,0)),""))</f>
        <v/>
      </c>
      <c r="I1119" s="19"/>
      <c r="J1119" s="15" t="str">
        <f aca="false">IF($B1119="","",IFERROR(INDEX(Services!$E$2:$E$120,MATCH($B1119,Services!$D$2:$D$120,0)),""))</f>
        <v/>
      </c>
    </row>
    <row r="1120" customFormat="false" ht="14.25" hidden="false" customHeight="false" outlineLevel="0" collapsed="false">
      <c r="A1120" s="18"/>
      <c r="B1120" s="6"/>
      <c r="C1120" s="6"/>
      <c r="D1120" s="6"/>
      <c r="E1120" s="16" t="str">
        <f aca="false">IF($B1120="","",IFERROR(INDEX(Services!$C$2:$C$120,MATCH($B1120,Services!$D$2:$D$120,0)),""))</f>
        <v/>
      </c>
      <c r="F1120" s="19"/>
      <c r="G1120" s="9" t="str">
        <f aca="false">IF(OR($B1120="",NOT(ISNUMBER($E1120))),"",$E1120-IF($F1120="",0,$F1120))</f>
        <v/>
      </c>
      <c r="H1120" s="15" t="str">
        <f aca="false">IF($B1120="","",IFERROR(INDEX(Services!$A$2:$A$120,MATCH($B1120,Services!$D$2:$D$120,0)),""))</f>
        <v/>
      </c>
      <c r="I1120" s="19"/>
      <c r="J1120" s="15" t="str">
        <f aca="false">IF($B1120="","",IFERROR(INDEX(Services!$E$2:$E$120,MATCH($B1120,Services!$D$2:$D$120,0)),""))</f>
        <v/>
      </c>
    </row>
    <row r="1121" customFormat="false" ht="14.25" hidden="false" customHeight="false" outlineLevel="0" collapsed="false">
      <c r="A1121" s="18"/>
      <c r="B1121" s="6"/>
      <c r="C1121" s="6"/>
      <c r="D1121" s="6"/>
      <c r="E1121" s="16" t="str">
        <f aca="false">IF($B1121="","",IFERROR(INDEX(Services!$C$2:$C$120,MATCH($B1121,Services!$D$2:$D$120,0)),""))</f>
        <v/>
      </c>
      <c r="F1121" s="19"/>
      <c r="G1121" s="9" t="str">
        <f aca="false">IF(OR($B1121="",NOT(ISNUMBER($E1121))),"",$E1121-IF($F1121="",0,$F1121))</f>
        <v/>
      </c>
      <c r="H1121" s="15" t="str">
        <f aca="false">IF($B1121="","",IFERROR(INDEX(Services!$A$2:$A$120,MATCH($B1121,Services!$D$2:$D$120,0)),""))</f>
        <v/>
      </c>
      <c r="I1121" s="19"/>
      <c r="J1121" s="15" t="str">
        <f aca="false">IF($B1121="","",IFERROR(INDEX(Services!$E$2:$E$120,MATCH($B1121,Services!$D$2:$D$120,0)),""))</f>
        <v/>
      </c>
    </row>
    <row r="1122" customFormat="false" ht="14.25" hidden="false" customHeight="false" outlineLevel="0" collapsed="false">
      <c r="A1122" s="18"/>
      <c r="B1122" s="6"/>
      <c r="C1122" s="6"/>
      <c r="D1122" s="6"/>
      <c r="E1122" s="16" t="str">
        <f aca="false">IF($B1122="","",IFERROR(INDEX(Services!$C$2:$C$120,MATCH($B1122,Services!$D$2:$D$120,0)),""))</f>
        <v/>
      </c>
      <c r="F1122" s="19"/>
      <c r="G1122" s="9" t="str">
        <f aca="false">IF(OR($B1122="",NOT(ISNUMBER($E1122))),"",$E1122-IF($F1122="",0,$F1122))</f>
        <v/>
      </c>
      <c r="H1122" s="15" t="str">
        <f aca="false">IF($B1122="","",IFERROR(INDEX(Services!$A$2:$A$120,MATCH($B1122,Services!$D$2:$D$120,0)),""))</f>
        <v/>
      </c>
      <c r="I1122" s="19"/>
      <c r="J1122" s="15" t="str">
        <f aca="false">IF($B1122="","",IFERROR(INDEX(Services!$E$2:$E$120,MATCH($B1122,Services!$D$2:$D$120,0)),""))</f>
        <v/>
      </c>
    </row>
    <row r="1123" customFormat="false" ht="14.25" hidden="false" customHeight="false" outlineLevel="0" collapsed="false">
      <c r="A1123" s="18"/>
      <c r="B1123" s="6"/>
      <c r="C1123" s="6"/>
      <c r="D1123" s="6"/>
      <c r="E1123" s="16" t="str">
        <f aca="false">IF($B1123="","",IFERROR(INDEX(Services!$C$2:$C$120,MATCH($B1123,Services!$D$2:$D$120,0)),""))</f>
        <v/>
      </c>
      <c r="F1123" s="19"/>
      <c r="G1123" s="9" t="str">
        <f aca="false">IF(OR($B1123="",NOT(ISNUMBER($E1123))),"",$E1123-IF($F1123="",0,$F1123))</f>
        <v/>
      </c>
      <c r="H1123" s="15" t="str">
        <f aca="false">IF($B1123="","",IFERROR(INDEX(Services!$A$2:$A$120,MATCH($B1123,Services!$D$2:$D$120,0)),""))</f>
        <v/>
      </c>
      <c r="I1123" s="19"/>
      <c r="J1123" s="15" t="str">
        <f aca="false">IF($B1123="","",IFERROR(INDEX(Services!$E$2:$E$120,MATCH($B1123,Services!$D$2:$D$120,0)),""))</f>
        <v/>
      </c>
    </row>
    <row r="1124" customFormat="false" ht="14.25" hidden="false" customHeight="false" outlineLevel="0" collapsed="false">
      <c r="A1124" s="18"/>
      <c r="B1124" s="6"/>
      <c r="C1124" s="6"/>
      <c r="D1124" s="6"/>
      <c r="E1124" s="16" t="str">
        <f aca="false">IF($B1124="","",IFERROR(INDEX(Services!$C$2:$C$120,MATCH($B1124,Services!$D$2:$D$120,0)),""))</f>
        <v/>
      </c>
      <c r="F1124" s="19"/>
      <c r="G1124" s="9" t="str">
        <f aca="false">IF(OR($B1124="",NOT(ISNUMBER($E1124))),"",$E1124-IF($F1124="",0,$F1124))</f>
        <v/>
      </c>
      <c r="H1124" s="15" t="str">
        <f aca="false">IF($B1124="","",IFERROR(INDEX(Services!$A$2:$A$120,MATCH($B1124,Services!$D$2:$D$120,0)),""))</f>
        <v/>
      </c>
      <c r="I1124" s="19"/>
      <c r="J1124" s="15" t="str">
        <f aca="false">IF($B1124="","",IFERROR(INDEX(Services!$E$2:$E$120,MATCH($B1124,Services!$D$2:$D$120,0)),""))</f>
        <v/>
      </c>
    </row>
    <row r="1125" customFormat="false" ht="14.25" hidden="false" customHeight="false" outlineLevel="0" collapsed="false">
      <c r="A1125" s="18"/>
      <c r="B1125" s="6"/>
      <c r="C1125" s="6"/>
      <c r="D1125" s="6"/>
      <c r="E1125" s="16" t="str">
        <f aca="false">IF($B1125="","",IFERROR(INDEX(Services!$C$2:$C$120,MATCH($B1125,Services!$D$2:$D$120,0)),""))</f>
        <v/>
      </c>
      <c r="F1125" s="19"/>
      <c r="G1125" s="9" t="str">
        <f aca="false">IF(OR($B1125="",NOT(ISNUMBER($E1125))),"",$E1125-IF($F1125="",0,$F1125))</f>
        <v/>
      </c>
      <c r="H1125" s="15" t="str">
        <f aca="false">IF($B1125="","",IFERROR(INDEX(Services!$A$2:$A$120,MATCH($B1125,Services!$D$2:$D$120,0)),""))</f>
        <v/>
      </c>
      <c r="I1125" s="19"/>
      <c r="J1125" s="15" t="str">
        <f aca="false">IF($B1125="","",IFERROR(INDEX(Services!$E$2:$E$120,MATCH($B1125,Services!$D$2:$D$120,0)),""))</f>
        <v/>
      </c>
    </row>
    <row r="1126" customFormat="false" ht="14.25" hidden="false" customHeight="false" outlineLevel="0" collapsed="false">
      <c r="A1126" s="18"/>
      <c r="B1126" s="6"/>
      <c r="C1126" s="6"/>
      <c r="D1126" s="6"/>
      <c r="E1126" s="16" t="str">
        <f aca="false">IF($B1126="","",IFERROR(INDEX(Services!$C$2:$C$120,MATCH($B1126,Services!$D$2:$D$120,0)),""))</f>
        <v/>
      </c>
      <c r="F1126" s="19"/>
      <c r="G1126" s="9" t="str">
        <f aca="false">IF(OR($B1126="",NOT(ISNUMBER($E1126))),"",$E1126-IF($F1126="",0,$F1126))</f>
        <v/>
      </c>
      <c r="H1126" s="15" t="str">
        <f aca="false">IF($B1126="","",IFERROR(INDEX(Services!$A$2:$A$120,MATCH($B1126,Services!$D$2:$D$120,0)),""))</f>
        <v/>
      </c>
      <c r="I1126" s="19"/>
      <c r="J1126" s="15" t="str">
        <f aca="false">IF($B1126="","",IFERROR(INDEX(Services!$E$2:$E$120,MATCH($B1126,Services!$D$2:$D$120,0)),""))</f>
        <v/>
      </c>
    </row>
    <row r="1127" customFormat="false" ht="14.25" hidden="false" customHeight="false" outlineLevel="0" collapsed="false">
      <c r="A1127" s="18"/>
      <c r="B1127" s="6"/>
      <c r="C1127" s="6"/>
      <c r="D1127" s="6"/>
      <c r="E1127" s="16" t="str">
        <f aca="false">IF($B1127="","",IFERROR(INDEX(Services!$C$2:$C$120,MATCH($B1127,Services!$D$2:$D$120,0)),""))</f>
        <v/>
      </c>
      <c r="F1127" s="19"/>
      <c r="G1127" s="9" t="str">
        <f aca="false">IF(OR($B1127="",NOT(ISNUMBER($E1127))),"",$E1127-IF($F1127="",0,$F1127))</f>
        <v/>
      </c>
      <c r="H1127" s="15" t="str">
        <f aca="false">IF($B1127="","",IFERROR(INDEX(Services!$A$2:$A$120,MATCH($B1127,Services!$D$2:$D$120,0)),""))</f>
        <v/>
      </c>
      <c r="I1127" s="19"/>
      <c r="J1127" s="15" t="str">
        <f aca="false">IF($B1127="","",IFERROR(INDEX(Services!$E$2:$E$120,MATCH($B1127,Services!$D$2:$D$120,0)),""))</f>
        <v/>
      </c>
    </row>
    <row r="1128" customFormat="false" ht="14.25" hidden="false" customHeight="false" outlineLevel="0" collapsed="false">
      <c r="A1128" s="18"/>
      <c r="B1128" s="6"/>
      <c r="C1128" s="6"/>
      <c r="D1128" s="6"/>
      <c r="E1128" s="16" t="str">
        <f aca="false">IF($B1128="","",IFERROR(INDEX(Services!$C$2:$C$120,MATCH($B1128,Services!$D$2:$D$120,0)),""))</f>
        <v/>
      </c>
      <c r="F1128" s="19"/>
      <c r="G1128" s="9" t="str">
        <f aca="false">IF(OR($B1128="",NOT(ISNUMBER($E1128))),"",$E1128-IF($F1128="",0,$F1128))</f>
        <v/>
      </c>
      <c r="H1128" s="15" t="str">
        <f aca="false">IF($B1128="","",IFERROR(INDEX(Services!$A$2:$A$120,MATCH($B1128,Services!$D$2:$D$120,0)),""))</f>
        <v/>
      </c>
      <c r="I1128" s="19"/>
      <c r="J1128" s="15" t="str">
        <f aca="false">IF($B1128="","",IFERROR(INDEX(Services!$E$2:$E$120,MATCH($B1128,Services!$D$2:$D$120,0)),""))</f>
        <v/>
      </c>
    </row>
    <row r="1129" customFormat="false" ht="14.25" hidden="false" customHeight="false" outlineLevel="0" collapsed="false">
      <c r="A1129" s="18"/>
      <c r="B1129" s="6"/>
      <c r="C1129" s="6"/>
      <c r="D1129" s="6"/>
      <c r="E1129" s="16" t="str">
        <f aca="false">IF($B1129="","",IFERROR(INDEX(Services!$C$2:$C$120,MATCH($B1129,Services!$D$2:$D$120,0)),""))</f>
        <v/>
      </c>
      <c r="F1129" s="19"/>
      <c r="G1129" s="9" t="str">
        <f aca="false">IF(OR($B1129="",NOT(ISNUMBER($E1129))),"",$E1129-IF($F1129="",0,$F1129))</f>
        <v/>
      </c>
      <c r="H1129" s="15" t="str">
        <f aca="false">IF($B1129="","",IFERROR(INDEX(Services!$A$2:$A$120,MATCH($B1129,Services!$D$2:$D$120,0)),""))</f>
        <v/>
      </c>
      <c r="I1129" s="19"/>
      <c r="J1129" s="15" t="str">
        <f aca="false">IF($B1129="","",IFERROR(INDEX(Services!$E$2:$E$120,MATCH($B1129,Services!$D$2:$D$120,0)),""))</f>
        <v/>
      </c>
    </row>
    <row r="1130" customFormat="false" ht="14.25" hidden="false" customHeight="false" outlineLevel="0" collapsed="false">
      <c r="A1130" s="18"/>
      <c r="B1130" s="6"/>
      <c r="C1130" s="6"/>
      <c r="D1130" s="6"/>
      <c r="E1130" s="16" t="str">
        <f aca="false">IF($B1130="","",IFERROR(INDEX(Services!$C$2:$C$120,MATCH($B1130,Services!$D$2:$D$120,0)),""))</f>
        <v/>
      </c>
      <c r="F1130" s="19"/>
      <c r="G1130" s="9" t="str">
        <f aca="false">IF(OR($B1130="",NOT(ISNUMBER($E1130))),"",$E1130-IF($F1130="",0,$F1130))</f>
        <v/>
      </c>
      <c r="H1130" s="15" t="str">
        <f aca="false">IF($B1130="","",IFERROR(INDEX(Services!$A$2:$A$120,MATCH($B1130,Services!$D$2:$D$120,0)),""))</f>
        <v/>
      </c>
      <c r="I1130" s="19"/>
      <c r="J1130" s="15" t="str">
        <f aca="false">IF($B1130="","",IFERROR(INDEX(Services!$E$2:$E$120,MATCH($B1130,Services!$D$2:$D$120,0)),""))</f>
        <v/>
      </c>
    </row>
    <row r="1131" customFormat="false" ht="14.25" hidden="false" customHeight="false" outlineLevel="0" collapsed="false">
      <c r="A1131" s="18"/>
      <c r="B1131" s="6"/>
      <c r="C1131" s="6"/>
      <c r="D1131" s="6"/>
      <c r="E1131" s="16" t="str">
        <f aca="false">IF($B1131="","",IFERROR(INDEX(Services!$C$2:$C$120,MATCH($B1131,Services!$D$2:$D$120,0)),""))</f>
        <v/>
      </c>
      <c r="F1131" s="19"/>
      <c r="G1131" s="9" t="str">
        <f aca="false">IF(OR($B1131="",NOT(ISNUMBER($E1131))),"",$E1131-IF($F1131="",0,$F1131))</f>
        <v/>
      </c>
      <c r="H1131" s="15" t="str">
        <f aca="false">IF($B1131="","",IFERROR(INDEX(Services!$A$2:$A$120,MATCH($B1131,Services!$D$2:$D$120,0)),""))</f>
        <v/>
      </c>
      <c r="I1131" s="19"/>
      <c r="J1131" s="15" t="str">
        <f aca="false">IF($B1131="","",IFERROR(INDEX(Services!$E$2:$E$120,MATCH($B1131,Services!$D$2:$D$120,0)),""))</f>
        <v/>
      </c>
    </row>
    <row r="1132" customFormat="false" ht="14.25" hidden="false" customHeight="false" outlineLevel="0" collapsed="false">
      <c r="A1132" s="18"/>
      <c r="B1132" s="6"/>
      <c r="C1132" s="6"/>
      <c r="D1132" s="6"/>
      <c r="E1132" s="16" t="str">
        <f aca="false">IF($B1132="","",IFERROR(INDEX(Services!$C$2:$C$120,MATCH($B1132,Services!$D$2:$D$120,0)),""))</f>
        <v/>
      </c>
      <c r="F1132" s="19"/>
      <c r="G1132" s="9" t="str">
        <f aca="false">IF(OR($B1132="",NOT(ISNUMBER($E1132))),"",$E1132-IF($F1132="",0,$F1132))</f>
        <v/>
      </c>
      <c r="H1132" s="15" t="str">
        <f aca="false">IF($B1132="","",IFERROR(INDEX(Services!$A$2:$A$120,MATCH($B1132,Services!$D$2:$D$120,0)),""))</f>
        <v/>
      </c>
      <c r="I1132" s="19"/>
      <c r="J1132" s="15" t="str">
        <f aca="false">IF($B1132="","",IFERROR(INDEX(Services!$E$2:$E$120,MATCH($B1132,Services!$D$2:$D$120,0)),""))</f>
        <v/>
      </c>
    </row>
    <row r="1133" customFormat="false" ht="14.25" hidden="false" customHeight="false" outlineLevel="0" collapsed="false">
      <c r="A1133" s="18"/>
      <c r="B1133" s="6"/>
      <c r="C1133" s="6"/>
      <c r="D1133" s="6"/>
      <c r="E1133" s="16" t="str">
        <f aca="false">IF($B1133="","",IFERROR(INDEX(Services!$C$2:$C$120,MATCH($B1133,Services!$D$2:$D$120,0)),""))</f>
        <v/>
      </c>
      <c r="F1133" s="19"/>
      <c r="G1133" s="9" t="str">
        <f aca="false">IF(OR($B1133="",NOT(ISNUMBER($E1133))),"",$E1133-IF($F1133="",0,$F1133))</f>
        <v/>
      </c>
      <c r="H1133" s="15" t="str">
        <f aca="false">IF($B1133="","",IFERROR(INDEX(Services!$A$2:$A$120,MATCH($B1133,Services!$D$2:$D$120,0)),""))</f>
        <v/>
      </c>
      <c r="I1133" s="19"/>
      <c r="J1133" s="15" t="str">
        <f aca="false">IF($B1133="","",IFERROR(INDEX(Services!$E$2:$E$120,MATCH($B1133,Services!$D$2:$D$120,0)),""))</f>
        <v/>
      </c>
    </row>
    <row r="1134" customFormat="false" ht="14.25" hidden="false" customHeight="false" outlineLevel="0" collapsed="false">
      <c r="A1134" s="18"/>
      <c r="B1134" s="6"/>
      <c r="C1134" s="6"/>
      <c r="D1134" s="6"/>
      <c r="E1134" s="16" t="str">
        <f aca="false">IF($B1134="","",IFERROR(INDEX(Services!$C$2:$C$120,MATCH($B1134,Services!$D$2:$D$120,0)),""))</f>
        <v/>
      </c>
      <c r="F1134" s="19"/>
      <c r="G1134" s="9" t="str">
        <f aca="false">IF(OR($B1134="",NOT(ISNUMBER($E1134))),"",$E1134-IF($F1134="",0,$F1134))</f>
        <v/>
      </c>
      <c r="H1134" s="15" t="str">
        <f aca="false">IF($B1134="","",IFERROR(INDEX(Services!$A$2:$A$120,MATCH($B1134,Services!$D$2:$D$120,0)),""))</f>
        <v/>
      </c>
      <c r="I1134" s="19"/>
      <c r="J1134" s="15" t="str">
        <f aca="false">IF($B1134="","",IFERROR(INDEX(Services!$E$2:$E$120,MATCH($B1134,Services!$D$2:$D$120,0)),""))</f>
        <v/>
      </c>
    </row>
    <row r="1135" customFormat="false" ht="14.25" hidden="false" customHeight="false" outlineLevel="0" collapsed="false">
      <c r="A1135" s="18"/>
      <c r="B1135" s="6"/>
      <c r="C1135" s="6"/>
      <c r="D1135" s="6"/>
      <c r="E1135" s="16" t="str">
        <f aca="false">IF($B1135="","",IFERROR(INDEX(Services!$C$2:$C$120,MATCH($B1135,Services!$D$2:$D$120,0)),""))</f>
        <v/>
      </c>
      <c r="F1135" s="19"/>
      <c r="G1135" s="9" t="str">
        <f aca="false">IF(OR($B1135="",NOT(ISNUMBER($E1135))),"",$E1135-IF($F1135="",0,$F1135))</f>
        <v/>
      </c>
      <c r="H1135" s="15" t="str">
        <f aca="false">IF($B1135="","",IFERROR(INDEX(Services!$A$2:$A$120,MATCH($B1135,Services!$D$2:$D$120,0)),""))</f>
        <v/>
      </c>
      <c r="I1135" s="19"/>
      <c r="J1135" s="15" t="str">
        <f aca="false">IF($B1135="","",IFERROR(INDEX(Services!$E$2:$E$120,MATCH($B1135,Services!$D$2:$D$120,0)),""))</f>
        <v/>
      </c>
    </row>
    <row r="1136" customFormat="false" ht="14.25" hidden="false" customHeight="false" outlineLevel="0" collapsed="false">
      <c r="A1136" s="18"/>
      <c r="B1136" s="6"/>
      <c r="C1136" s="6"/>
      <c r="D1136" s="6"/>
      <c r="E1136" s="16" t="str">
        <f aca="false">IF($B1136="","",IFERROR(INDEX(Services!$C$2:$C$120,MATCH($B1136,Services!$D$2:$D$120,0)),""))</f>
        <v/>
      </c>
      <c r="F1136" s="19"/>
      <c r="G1136" s="9" t="str">
        <f aca="false">IF(OR($B1136="",NOT(ISNUMBER($E1136))),"",$E1136-IF($F1136="",0,$F1136))</f>
        <v/>
      </c>
      <c r="H1136" s="15" t="str">
        <f aca="false">IF($B1136="","",IFERROR(INDEX(Services!$A$2:$A$120,MATCH($B1136,Services!$D$2:$D$120,0)),""))</f>
        <v/>
      </c>
      <c r="I1136" s="19"/>
      <c r="J1136" s="15" t="str">
        <f aca="false">IF($B1136="","",IFERROR(INDEX(Services!$E$2:$E$120,MATCH($B1136,Services!$D$2:$D$120,0)),""))</f>
        <v/>
      </c>
    </row>
    <row r="1137" customFormat="false" ht="14.25" hidden="false" customHeight="false" outlineLevel="0" collapsed="false">
      <c r="A1137" s="18"/>
      <c r="B1137" s="6"/>
      <c r="C1137" s="6"/>
      <c r="D1137" s="6"/>
      <c r="E1137" s="16" t="str">
        <f aca="false">IF($B1137="","",IFERROR(INDEX(Services!$C$2:$C$120,MATCH($B1137,Services!$D$2:$D$120,0)),""))</f>
        <v/>
      </c>
      <c r="F1137" s="19"/>
      <c r="G1137" s="9" t="str">
        <f aca="false">IF(OR($B1137="",NOT(ISNUMBER($E1137))),"",$E1137-IF($F1137="",0,$F1137))</f>
        <v/>
      </c>
      <c r="H1137" s="15" t="str">
        <f aca="false">IF($B1137="","",IFERROR(INDEX(Services!$A$2:$A$120,MATCH($B1137,Services!$D$2:$D$120,0)),""))</f>
        <v/>
      </c>
      <c r="I1137" s="19"/>
      <c r="J1137" s="15" t="str">
        <f aca="false">IF($B1137="","",IFERROR(INDEX(Services!$E$2:$E$120,MATCH($B1137,Services!$D$2:$D$120,0)),""))</f>
        <v/>
      </c>
    </row>
    <row r="1138" customFormat="false" ht="14.25" hidden="false" customHeight="false" outlineLevel="0" collapsed="false">
      <c r="A1138" s="18"/>
      <c r="B1138" s="6"/>
      <c r="C1138" s="6"/>
      <c r="D1138" s="6"/>
      <c r="E1138" s="16" t="str">
        <f aca="false">IF($B1138="","",IFERROR(INDEX(Services!$C$2:$C$120,MATCH($B1138,Services!$D$2:$D$120,0)),""))</f>
        <v/>
      </c>
      <c r="F1138" s="19"/>
      <c r="G1138" s="9" t="str">
        <f aca="false">IF(OR($B1138="",NOT(ISNUMBER($E1138))),"",$E1138-IF($F1138="",0,$F1138))</f>
        <v/>
      </c>
      <c r="H1138" s="15" t="str">
        <f aca="false">IF($B1138="","",IFERROR(INDEX(Services!$A$2:$A$120,MATCH($B1138,Services!$D$2:$D$120,0)),""))</f>
        <v/>
      </c>
      <c r="I1138" s="19"/>
      <c r="J1138" s="15" t="str">
        <f aca="false">IF($B1138="","",IFERROR(INDEX(Services!$E$2:$E$120,MATCH($B1138,Services!$D$2:$D$120,0)),""))</f>
        <v/>
      </c>
    </row>
    <row r="1139" customFormat="false" ht="14.25" hidden="false" customHeight="false" outlineLevel="0" collapsed="false">
      <c r="A1139" s="18"/>
      <c r="B1139" s="6"/>
      <c r="C1139" s="6"/>
      <c r="D1139" s="6"/>
      <c r="E1139" s="16" t="str">
        <f aca="false">IF($B1139="","",IFERROR(INDEX(Services!$C$2:$C$120,MATCH($B1139,Services!$D$2:$D$120,0)),""))</f>
        <v/>
      </c>
      <c r="F1139" s="19"/>
      <c r="G1139" s="9" t="str">
        <f aca="false">IF(OR($B1139="",NOT(ISNUMBER($E1139))),"",$E1139-IF($F1139="",0,$F1139))</f>
        <v/>
      </c>
      <c r="H1139" s="15" t="str">
        <f aca="false">IF($B1139="","",IFERROR(INDEX(Services!$A$2:$A$120,MATCH($B1139,Services!$D$2:$D$120,0)),""))</f>
        <v/>
      </c>
      <c r="I1139" s="19"/>
      <c r="J1139" s="15" t="str">
        <f aca="false">IF($B1139="","",IFERROR(INDEX(Services!$E$2:$E$120,MATCH($B1139,Services!$D$2:$D$120,0)),""))</f>
        <v/>
      </c>
    </row>
    <row r="1140" customFormat="false" ht="14.25" hidden="false" customHeight="false" outlineLevel="0" collapsed="false">
      <c r="A1140" s="18"/>
      <c r="B1140" s="6"/>
      <c r="C1140" s="6"/>
      <c r="D1140" s="6"/>
      <c r="E1140" s="16" t="str">
        <f aca="false">IF($B1140="","",IFERROR(INDEX(Services!$C$2:$C$120,MATCH($B1140,Services!$D$2:$D$120,0)),""))</f>
        <v/>
      </c>
      <c r="F1140" s="19"/>
      <c r="G1140" s="9" t="str">
        <f aca="false">IF(OR($B1140="",NOT(ISNUMBER($E1140))),"",$E1140-IF($F1140="",0,$F1140))</f>
        <v/>
      </c>
      <c r="H1140" s="15" t="str">
        <f aca="false">IF($B1140="","",IFERROR(INDEX(Services!$A$2:$A$120,MATCH($B1140,Services!$D$2:$D$120,0)),""))</f>
        <v/>
      </c>
      <c r="I1140" s="19"/>
      <c r="J1140" s="15" t="str">
        <f aca="false">IF($B1140="","",IFERROR(INDEX(Services!$E$2:$E$120,MATCH($B1140,Services!$D$2:$D$120,0)),""))</f>
        <v/>
      </c>
    </row>
    <row r="1141" customFormat="false" ht="14.25" hidden="false" customHeight="false" outlineLevel="0" collapsed="false">
      <c r="A1141" s="18"/>
      <c r="B1141" s="6"/>
      <c r="C1141" s="6"/>
      <c r="D1141" s="6"/>
      <c r="E1141" s="16" t="str">
        <f aca="false">IF($B1141="","",IFERROR(INDEX(Services!$C$2:$C$120,MATCH($B1141,Services!$D$2:$D$120,0)),""))</f>
        <v/>
      </c>
      <c r="F1141" s="19"/>
      <c r="G1141" s="9" t="str">
        <f aca="false">IF(OR($B1141="",NOT(ISNUMBER($E1141))),"",$E1141-IF($F1141="",0,$F1141))</f>
        <v/>
      </c>
      <c r="H1141" s="15" t="str">
        <f aca="false">IF($B1141="","",IFERROR(INDEX(Services!$A$2:$A$120,MATCH($B1141,Services!$D$2:$D$120,0)),""))</f>
        <v/>
      </c>
      <c r="I1141" s="19"/>
      <c r="J1141" s="15" t="str">
        <f aca="false">IF($B1141="","",IFERROR(INDEX(Services!$E$2:$E$120,MATCH($B1141,Services!$D$2:$D$120,0)),""))</f>
        <v/>
      </c>
    </row>
    <row r="1142" customFormat="false" ht="14.25" hidden="false" customHeight="false" outlineLevel="0" collapsed="false">
      <c r="A1142" s="18"/>
      <c r="B1142" s="6"/>
      <c r="C1142" s="6"/>
      <c r="D1142" s="6"/>
      <c r="E1142" s="16" t="str">
        <f aca="false">IF($B1142="","",IFERROR(INDEX(Services!$C$2:$C$120,MATCH($B1142,Services!$D$2:$D$120,0)),""))</f>
        <v/>
      </c>
      <c r="F1142" s="19"/>
      <c r="G1142" s="9" t="str">
        <f aca="false">IF(OR($B1142="",NOT(ISNUMBER($E1142))),"",$E1142-IF($F1142="",0,$F1142))</f>
        <v/>
      </c>
      <c r="H1142" s="15" t="str">
        <f aca="false">IF($B1142="","",IFERROR(INDEX(Services!$A$2:$A$120,MATCH($B1142,Services!$D$2:$D$120,0)),""))</f>
        <v/>
      </c>
      <c r="I1142" s="19"/>
      <c r="J1142" s="15" t="str">
        <f aca="false">IF($B1142="","",IFERROR(INDEX(Services!$E$2:$E$120,MATCH($B1142,Services!$D$2:$D$120,0)),""))</f>
        <v/>
      </c>
    </row>
    <row r="1143" customFormat="false" ht="14.25" hidden="false" customHeight="false" outlineLevel="0" collapsed="false">
      <c r="A1143" s="18"/>
      <c r="B1143" s="6"/>
      <c r="C1143" s="6"/>
      <c r="D1143" s="6"/>
      <c r="E1143" s="16" t="str">
        <f aca="false">IF($B1143="","",IFERROR(INDEX(Services!$C$2:$C$120,MATCH($B1143,Services!$D$2:$D$120,0)),""))</f>
        <v/>
      </c>
      <c r="F1143" s="19"/>
      <c r="G1143" s="9" t="str">
        <f aca="false">IF(OR($B1143="",NOT(ISNUMBER($E1143))),"",$E1143-IF($F1143="",0,$F1143))</f>
        <v/>
      </c>
      <c r="H1143" s="15" t="str">
        <f aca="false">IF($B1143="","",IFERROR(INDEX(Services!$A$2:$A$120,MATCH($B1143,Services!$D$2:$D$120,0)),""))</f>
        <v/>
      </c>
      <c r="I1143" s="19"/>
      <c r="J1143" s="15" t="str">
        <f aca="false">IF($B1143="","",IFERROR(INDEX(Services!$E$2:$E$120,MATCH($B1143,Services!$D$2:$D$120,0)),""))</f>
        <v/>
      </c>
    </row>
    <row r="1144" customFormat="false" ht="14.25" hidden="false" customHeight="false" outlineLevel="0" collapsed="false">
      <c r="A1144" s="18"/>
      <c r="B1144" s="6"/>
      <c r="C1144" s="6"/>
      <c r="D1144" s="6"/>
      <c r="E1144" s="16" t="str">
        <f aca="false">IF($B1144="","",IFERROR(INDEX(Services!$C$2:$C$120,MATCH($B1144,Services!$D$2:$D$120,0)),""))</f>
        <v/>
      </c>
      <c r="F1144" s="19"/>
      <c r="G1144" s="9" t="str">
        <f aca="false">IF(OR($B1144="",NOT(ISNUMBER($E1144))),"",$E1144-IF($F1144="",0,$F1144))</f>
        <v/>
      </c>
      <c r="H1144" s="15" t="str">
        <f aca="false">IF($B1144="","",IFERROR(INDEX(Services!$A$2:$A$120,MATCH($B1144,Services!$D$2:$D$120,0)),""))</f>
        <v/>
      </c>
      <c r="I1144" s="19"/>
      <c r="J1144" s="15" t="str">
        <f aca="false">IF($B1144="","",IFERROR(INDEX(Services!$E$2:$E$120,MATCH($B1144,Services!$D$2:$D$120,0)),""))</f>
        <v/>
      </c>
    </row>
    <row r="1145" customFormat="false" ht="14.25" hidden="false" customHeight="false" outlineLevel="0" collapsed="false">
      <c r="A1145" s="18"/>
      <c r="B1145" s="6"/>
      <c r="C1145" s="6"/>
      <c r="D1145" s="6"/>
      <c r="E1145" s="16" t="str">
        <f aca="false">IF($B1145="","",IFERROR(INDEX(Services!$C$2:$C$120,MATCH($B1145,Services!$D$2:$D$120,0)),""))</f>
        <v/>
      </c>
      <c r="F1145" s="19"/>
      <c r="G1145" s="9" t="str">
        <f aca="false">IF(OR($B1145="",NOT(ISNUMBER($E1145))),"",$E1145-IF($F1145="",0,$F1145))</f>
        <v/>
      </c>
      <c r="H1145" s="15" t="str">
        <f aca="false">IF($B1145="","",IFERROR(INDEX(Services!$A$2:$A$120,MATCH($B1145,Services!$D$2:$D$120,0)),""))</f>
        <v/>
      </c>
      <c r="I1145" s="19"/>
      <c r="J1145" s="15" t="str">
        <f aca="false">IF($B1145="","",IFERROR(INDEX(Services!$E$2:$E$120,MATCH($B1145,Services!$D$2:$D$120,0)),""))</f>
        <v/>
      </c>
    </row>
    <row r="1146" customFormat="false" ht="14.25" hidden="false" customHeight="false" outlineLevel="0" collapsed="false">
      <c r="A1146" s="18"/>
      <c r="B1146" s="6"/>
      <c r="C1146" s="6"/>
      <c r="D1146" s="6"/>
      <c r="E1146" s="16" t="str">
        <f aca="false">IF($B1146="","",IFERROR(INDEX(Services!$C$2:$C$120,MATCH($B1146,Services!$D$2:$D$120,0)),""))</f>
        <v/>
      </c>
      <c r="F1146" s="19"/>
      <c r="G1146" s="9" t="str">
        <f aca="false">IF(OR($B1146="",NOT(ISNUMBER($E1146))),"",$E1146-IF($F1146="",0,$F1146))</f>
        <v/>
      </c>
      <c r="H1146" s="15" t="str">
        <f aca="false">IF($B1146="","",IFERROR(INDEX(Services!$A$2:$A$120,MATCH($B1146,Services!$D$2:$D$120,0)),""))</f>
        <v/>
      </c>
      <c r="I1146" s="19"/>
      <c r="J1146" s="15" t="str">
        <f aca="false">IF($B1146="","",IFERROR(INDEX(Services!$E$2:$E$120,MATCH($B1146,Services!$D$2:$D$120,0)),""))</f>
        <v/>
      </c>
    </row>
    <row r="1147" customFormat="false" ht="14.25" hidden="false" customHeight="false" outlineLevel="0" collapsed="false">
      <c r="A1147" s="18"/>
      <c r="B1147" s="6"/>
      <c r="C1147" s="6"/>
      <c r="D1147" s="6"/>
      <c r="E1147" s="16" t="str">
        <f aca="false">IF($B1147="","",IFERROR(INDEX(Services!$C$2:$C$120,MATCH($B1147,Services!$D$2:$D$120,0)),""))</f>
        <v/>
      </c>
      <c r="F1147" s="19"/>
      <c r="G1147" s="9" t="str">
        <f aca="false">IF(OR($B1147="",NOT(ISNUMBER($E1147))),"",$E1147-IF($F1147="",0,$F1147))</f>
        <v/>
      </c>
      <c r="H1147" s="15" t="str">
        <f aca="false">IF($B1147="","",IFERROR(INDEX(Services!$A$2:$A$120,MATCH($B1147,Services!$D$2:$D$120,0)),""))</f>
        <v/>
      </c>
      <c r="I1147" s="19"/>
      <c r="J1147" s="15" t="str">
        <f aca="false">IF($B1147="","",IFERROR(INDEX(Services!$E$2:$E$120,MATCH($B1147,Services!$D$2:$D$120,0)),""))</f>
        <v/>
      </c>
    </row>
    <row r="1148" customFormat="false" ht="14.25" hidden="false" customHeight="false" outlineLevel="0" collapsed="false">
      <c r="A1148" s="18"/>
      <c r="B1148" s="6"/>
      <c r="C1148" s="6"/>
      <c r="D1148" s="6"/>
      <c r="E1148" s="16" t="str">
        <f aca="false">IF($B1148="","",IFERROR(INDEX(Services!$C$2:$C$120,MATCH($B1148,Services!$D$2:$D$120,0)),""))</f>
        <v/>
      </c>
      <c r="F1148" s="19"/>
      <c r="G1148" s="9" t="str">
        <f aca="false">IF(OR($B1148="",NOT(ISNUMBER($E1148))),"",$E1148-IF($F1148="",0,$F1148))</f>
        <v/>
      </c>
      <c r="H1148" s="15" t="str">
        <f aca="false">IF($B1148="","",IFERROR(INDEX(Services!$A$2:$A$120,MATCH($B1148,Services!$D$2:$D$120,0)),""))</f>
        <v/>
      </c>
      <c r="I1148" s="19"/>
      <c r="J1148" s="15" t="str">
        <f aca="false">IF($B1148="","",IFERROR(INDEX(Services!$E$2:$E$120,MATCH($B1148,Services!$D$2:$D$120,0)),""))</f>
        <v/>
      </c>
    </row>
    <row r="1149" customFormat="false" ht="14.25" hidden="false" customHeight="false" outlineLevel="0" collapsed="false">
      <c r="A1149" s="18"/>
      <c r="B1149" s="6"/>
      <c r="C1149" s="6"/>
      <c r="D1149" s="6"/>
      <c r="E1149" s="16" t="str">
        <f aca="false">IF($B1149="","",IFERROR(INDEX(Services!$C$2:$C$120,MATCH($B1149,Services!$D$2:$D$120,0)),""))</f>
        <v/>
      </c>
      <c r="F1149" s="19"/>
      <c r="G1149" s="9" t="str">
        <f aca="false">IF(OR($B1149="",NOT(ISNUMBER($E1149))),"",$E1149-IF($F1149="",0,$F1149))</f>
        <v/>
      </c>
      <c r="H1149" s="15" t="str">
        <f aca="false">IF($B1149="","",IFERROR(INDEX(Services!$A$2:$A$120,MATCH($B1149,Services!$D$2:$D$120,0)),""))</f>
        <v/>
      </c>
      <c r="I1149" s="19"/>
      <c r="J1149" s="15" t="str">
        <f aca="false">IF($B1149="","",IFERROR(INDEX(Services!$E$2:$E$120,MATCH($B1149,Services!$D$2:$D$120,0)),""))</f>
        <v/>
      </c>
    </row>
    <row r="1150" customFormat="false" ht="14.25" hidden="false" customHeight="false" outlineLevel="0" collapsed="false">
      <c r="A1150" s="18"/>
      <c r="B1150" s="6"/>
      <c r="C1150" s="6"/>
      <c r="D1150" s="6"/>
      <c r="E1150" s="16" t="str">
        <f aca="false">IF($B1150="","",IFERROR(INDEX(Services!$C$2:$C$120,MATCH($B1150,Services!$D$2:$D$120,0)),""))</f>
        <v/>
      </c>
      <c r="F1150" s="19"/>
      <c r="G1150" s="9" t="str">
        <f aca="false">IF(OR($B1150="",NOT(ISNUMBER($E1150))),"",$E1150-IF($F1150="",0,$F1150))</f>
        <v/>
      </c>
      <c r="H1150" s="15" t="str">
        <f aca="false">IF($B1150="","",IFERROR(INDEX(Services!$A$2:$A$120,MATCH($B1150,Services!$D$2:$D$120,0)),""))</f>
        <v/>
      </c>
      <c r="I1150" s="19"/>
      <c r="J1150" s="15" t="str">
        <f aca="false">IF($B1150="","",IFERROR(INDEX(Services!$E$2:$E$120,MATCH($B1150,Services!$D$2:$D$120,0)),""))</f>
        <v/>
      </c>
    </row>
    <row r="1151" customFormat="false" ht="14.25" hidden="false" customHeight="false" outlineLevel="0" collapsed="false">
      <c r="A1151" s="18"/>
      <c r="B1151" s="6"/>
      <c r="C1151" s="6"/>
      <c r="D1151" s="6"/>
      <c r="E1151" s="16" t="str">
        <f aca="false">IF($B1151="","",IFERROR(INDEX(Services!$C$2:$C$120,MATCH($B1151,Services!$D$2:$D$120,0)),""))</f>
        <v/>
      </c>
      <c r="F1151" s="19"/>
      <c r="G1151" s="9" t="str">
        <f aca="false">IF(OR($B1151="",NOT(ISNUMBER($E1151))),"",$E1151-IF($F1151="",0,$F1151))</f>
        <v/>
      </c>
      <c r="H1151" s="15" t="str">
        <f aca="false">IF($B1151="","",IFERROR(INDEX(Services!$A$2:$A$120,MATCH($B1151,Services!$D$2:$D$120,0)),""))</f>
        <v/>
      </c>
      <c r="I1151" s="19"/>
      <c r="J1151" s="15" t="str">
        <f aca="false">IF($B1151="","",IFERROR(INDEX(Services!$E$2:$E$120,MATCH($B1151,Services!$D$2:$D$120,0)),""))</f>
        <v/>
      </c>
    </row>
    <row r="1152" customFormat="false" ht="14.25" hidden="false" customHeight="false" outlineLevel="0" collapsed="false">
      <c r="A1152" s="18"/>
      <c r="B1152" s="6"/>
      <c r="C1152" s="6"/>
      <c r="D1152" s="6"/>
      <c r="E1152" s="16" t="str">
        <f aca="false">IF($B1152="","",IFERROR(INDEX(Services!$C$2:$C$120,MATCH($B1152,Services!$D$2:$D$120,0)),""))</f>
        <v/>
      </c>
      <c r="F1152" s="19"/>
      <c r="G1152" s="9" t="str">
        <f aca="false">IF(OR($B1152="",NOT(ISNUMBER($E1152))),"",$E1152-IF($F1152="",0,$F1152))</f>
        <v/>
      </c>
      <c r="H1152" s="15" t="str">
        <f aca="false">IF($B1152="","",IFERROR(INDEX(Services!$A$2:$A$120,MATCH($B1152,Services!$D$2:$D$120,0)),""))</f>
        <v/>
      </c>
      <c r="I1152" s="19"/>
      <c r="J1152" s="15" t="str">
        <f aca="false">IF($B1152="","",IFERROR(INDEX(Services!$E$2:$E$120,MATCH($B1152,Services!$D$2:$D$120,0)),""))</f>
        <v/>
      </c>
    </row>
    <row r="1153" customFormat="false" ht="14.25" hidden="false" customHeight="false" outlineLevel="0" collapsed="false">
      <c r="A1153" s="18"/>
      <c r="B1153" s="6"/>
      <c r="C1153" s="6"/>
      <c r="D1153" s="6"/>
      <c r="E1153" s="16" t="str">
        <f aca="false">IF($B1153="","",IFERROR(INDEX(Services!$C$2:$C$120,MATCH($B1153,Services!$D$2:$D$120,0)),""))</f>
        <v/>
      </c>
      <c r="F1153" s="19"/>
      <c r="G1153" s="9" t="str">
        <f aca="false">IF(OR($B1153="",NOT(ISNUMBER($E1153))),"",$E1153-IF($F1153="",0,$F1153))</f>
        <v/>
      </c>
      <c r="H1153" s="15" t="str">
        <f aca="false">IF($B1153="","",IFERROR(INDEX(Services!$A$2:$A$120,MATCH($B1153,Services!$D$2:$D$120,0)),""))</f>
        <v/>
      </c>
      <c r="I1153" s="19"/>
      <c r="J1153" s="15" t="str">
        <f aca="false">IF($B1153="","",IFERROR(INDEX(Services!$E$2:$E$120,MATCH($B1153,Services!$D$2:$D$120,0)),""))</f>
        <v/>
      </c>
    </row>
    <row r="1154" customFormat="false" ht="14.25" hidden="false" customHeight="false" outlineLevel="0" collapsed="false">
      <c r="A1154" s="18"/>
      <c r="B1154" s="6"/>
      <c r="C1154" s="6"/>
      <c r="D1154" s="6"/>
      <c r="E1154" s="16" t="str">
        <f aca="false">IF($B1154="","",IFERROR(INDEX(Services!$C$2:$C$120,MATCH($B1154,Services!$D$2:$D$120,0)),""))</f>
        <v/>
      </c>
      <c r="F1154" s="19"/>
      <c r="G1154" s="9" t="str">
        <f aca="false">IF(OR($B1154="",NOT(ISNUMBER($E1154))),"",$E1154-IF($F1154="",0,$F1154))</f>
        <v/>
      </c>
      <c r="H1154" s="15" t="str">
        <f aca="false">IF($B1154="","",IFERROR(INDEX(Services!$A$2:$A$120,MATCH($B1154,Services!$D$2:$D$120,0)),""))</f>
        <v/>
      </c>
      <c r="I1154" s="19"/>
      <c r="J1154" s="15" t="str">
        <f aca="false">IF($B1154="","",IFERROR(INDEX(Services!$E$2:$E$120,MATCH($B1154,Services!$D$2:$D$120,0)),""))</f>
        <v/>
      </c>
    </row>
    <row r="1155" customFormat="false" ht="14.25" hidden="false" customHeight="false" outlineLevel="0" collapsed="false">
      <c r="A1155" s="18"/>
      <c r="B1155" s="6"/>
      <c r="C1155" s="6"/>
      <c r="D1155" s="6"/>
      <c r="E1155" s="16" t="str">
        <f aca="false">IF($B1155="","",IFERROR(INDEX(Services!$C$2:$C$120,MATCH($B1155,Services!$D$2:$D$120,0)),""))</f>
        <v/>
      </c>
      <c r="F1155" s="19"/>
      <c r="G1155" s="9" t="str">
        <f aca="false">IF(OR($B1155="",NOT(ISNUMBER($E1155))),"",$E1155-IF($F1155="",0,$F1155))</f>
        <v/>
      </c>
      <c r="H1155" s="15" t="str">
        <f aca="false">IF($B1155="","",IFERROR(INDEX(Services!$A$2:$A$120,MATCH($B1155,Services!$D$2:$D$120,0)),""))</f>
        <v/>
      </c>
      <c r="I1155" s="19"/>
      <c r="J1155" s="15" t="str">
        <f aca="false">IF($B1155="","",IFERROR(INDEX(Services!$E$2:$E$120,MATCH($B1155,Services!$D$2:$D$120,0)),""))</f>
        <v/>
      </c>
    </row>
    <row r="1156" customFormat="false" ht="14.25" hidden="false" customHeight="false" outlineLevel="0" collapsed="false">
      <c r="A1156" s="18"/>
      <c r="B1156" s="6"/>
      <c r="C1156" s="6"/>
      <c r="D1156" s="6"/>
      <c r="E1156" s="16" t="str">
        <f aca="false">IF($B1156="","",IFERROR(INDEX(Services!$C$2:$C$120,MATCH($B1156,Services!$D$2:$D$120,0)),""))</f>
        <v/>
      </c>
      <c r="F1156" s="19"/>
      <c r="G1156" s="9" t="str">
        <f aca="false">IF(OR($B1156="",NOT(ISNUMBER($E1156))),"",$E1156-IF($F1156="",0,$F1156))</f>
        <v/>
      </c>
      <c r="H1156" s="15" t="str">
        <f aca="false">IF($B1156="","",IFERROR(INDEX(Services!$A$2:$A$120,MATCH($B1156,Services!$D$2:$D$120,0)),""))</f>
        <v/>
      </c>
      <c r="I1156" s="19"/>
      <c r="J1156" s="15" t="str">
        <f aca="false">IF($B1156="","",IFERROR(INDEX(Services!$E$2:$E$120,MATCH($B1156,Services!$D$2:$D$120,0)),""))</f>
        <v/>
      </c>
    </row>
    <row r="1157" customFormat="false" ht="14.25" hidden="false" customHeight="false" outlineLevel="0" collapsed="false">
      <c r="A1157" s="18"/>
      <c r="B1157" s="6"/>
      <c r="C1157" s="6"/>
      <c r="D1157" s="6"/>
      <c r="E1157" s="16" t="str">
        <f aca="false">IF($B1157="","",IFERROR(INDEX(Services!$C$2:$C$120,MATCH($B1157,Services!$D$2:$D$120,0)),""))</f>
        <v/>
      </c>
      <c r="F1157" s="19"/>
      <c r="G1157" s="9" t="str">
        <f aca="false">IF(OR($B1157="",NOT(ISNUMBER($E1157))),"",$E1157-IF($F1157="",0,$F1157))</f>
        <v/>
      </c>
      <c r="H1157" s="15" t="str">
        <f aca="false">IF($B1157="","",IFERROR(INDEX(Services!$A$2:$A$120,MATCH($B1157,Services!$D$2:$D$120,0)),""))</f>
        <v/>
      </c>
      <c r="I1157" s="19"/>
      <c r="J1157" s="15" t="str">
        <f aca="false">IF($B1157="","",IFERROR(INDEX(Services!$E$2:$E$120,MATCH($B1157,Services!$D$2:$D$120,0)),""))</f>
        <v/>
      </c>
    </row>
    <row r="1158" customFormat="false" ht="14.25" hidden="false" customHeight="false" outlineLevel="0" collapsed="false">
      <c r="A1158" s="18"/>
      <c r="B1158" s="6"/>
      <c r="C1158" s="6"/>
      <c r="D1158" s="6"/>
      <c r="E1158" s="16" t="str">
        <f aca="false">IF($B1158="","",IFERROR(INDEX(Services!$C$2:$C$120,MATCH($B1158,Services!$D$2:$D$120,0)),""))</f>
        <v/>
      </c>
      <c r="F1158" s="19"/>
      <c r="G1158" s="9" t="str">
        <f aca="false">IF(OR($B1158="",NOT(ISNUMBER($E1158))),"",$E1158-IF($F1158="",0,$F1158))</f>
        <v/>
      </c>
      <c r="H1158" s="15" t="str">
        <f aca="false">IF($B1158="","",IFERROR(INDEX(Services!$A$2:$A$120,MATCH($B1158,Services!$D$2:$D$120,0)),""))</f>
        <v/>
      </c>
      <c r="I1158" s="19"/>
      <c r="J1158" s="15" t="str">
        <f aca="false">IF($B1158="","",IFERROR(INDEX(Services!$E$2:$E$120,MATCH($B1158,Services!$D$2:$D$120,0)),""))</f>
        <v/>
      </c>
    </row>
    <row r="1159" customFormat="false" ht="14.25" hidden="false" customHeight="false" outlineLevel="0" collapsed="false">
      <c r="A1159" s="18"/>
      <c r="B1159" s="6"/>
      <c r="C1159" s="6"/>
      <c r="D1159" s="6"/>
      <c r="E1159" s="16" t="str">
        <f aca="false">IF($B1159="","",IFERROR(INDEX(Services!$C$2:$C$120,MATCH($B1159,Services!$D$2:$D$120,0)),""))</f>
        <v/>
      </c>
      <c r="F1159" s="19"/>
      <c r="G1159" s="9" t="str">
        <f aca="false">IF(OR($B1159="",NOT(ISNUMBER($E1159))),"",$E1159-IF($F1159="",0,$F1159))</f>
        <v/>
      </c>
      <c r="H1159" s="15" t="str">
        <f aca="false">IF($B1159="","",IFERROR(INDEX(Services!$A$2:$A$120,MATCH($B1159,Services!$D$2:$D$120,0)),""))</f>
        <v/>
      </c>
      <c r="I1159" s="19"/>
      <c r="J1159" s="15" t="str">
        <f aca="false">IF($B1159="","",IFERROR(INDEX(Services!$E$2:$E$120,MATCH($B1159,Services!$D$2:$D$120,0)),""))</f>
        <v/>
      </c>
    </row>
    <row r="1160" customFormat="false" ht="14.25" hidden="false" customHeight="false" outlineLevel="0" collapsed="false">
      <c r="A1160" s="18"/>
      <c r="B1160" s="6"/>
      <c r="C1160" s="6"/>
      <c r="D1160" s="6"/>
      <c r="E1160" s="16" t="str">
        <f aca="false">IF($B1160="","",IFERROR(INDEX(Services!$C$2:$C$120,MATCH($B1160,Services!$D$2:$D$120,0)),""))</f>
        <v/>
      </c>
      <c r="F1160" s="19"/>
      <c r="G1160" s="9" t="str">
        <f aca="false">IF(OR($B1160="",NOT(ISNUMBER($E1160))),"",$E1160-IF($F1160="",0,$F1160))</f>
        <v/>
      </c>
      <c r="H1160" s="15" t="str">
        <f aca="false">IF($B1160="","",IFERROR(INDEX(Services!$A$2:$A$120,MATCH($B1160,Services!$D$2:$D$120,0)),""))</f>
        <v/>
      </c>
      <c r="I1160" s="19"/>
      <c r="J1160" s="15" t="str">
        <f aca="false">IF($B1160="","",IFERROR(INDEX(Services!$E$2:$E$120,MATCH($B1160,Services!$D$2:$D$120,0)),""))</f>
        <v/>
      </c>
    </row>
    <row r="1161" customFormat="false" ht="14.25" hidden="false" customHeight="false" outlineLevel="0" collapsed="false">
      <c r="A1161" s="18"/>
      <c r="B1161" s="6"/>
      <c r="C1161" s="6"/>
      <c r="D1161" s="6"/>
      <c r="E1161" s="16" t="str">
        <f aca="false">IF($B1161="","",IFERROR(INDEX(Services!$C$2:$C$120,MATCH($B1161,Services!$D$2:$D$120,0)),""))</f>
        <v/>
      </c>
      <c r="F1161" s="19"/>
      <c r="G1161" s="9" t="str">
        <f aca="false">IF(OR($B1161="",NOT(ISNUMBER($E1161))),"",$E1161-IF($F1161="",0,$F1161))</f>
        <v/>
      </c>
      <c r="H1161" s="15" t="str">
        <f aca="false">IF($B1161="","",IFERROR(INDEX(Services!$A$2:$A$120,MATCH($B1161,Services!$D$2:$D$120,0)),""))</f>
        <v/>
      </c>
      <c r="I1161" s="19"/>
      <c r="J1161" s="15" t="str">
        <f aca="false">IF($B1161="","",IFERROR(INDEX(Services!$E$2:$E$120,MATCH($B1161,Services!$D$2:$D$120,0)),""))</f>
        <v/>
      </c>
    </row>
    <row r="1162" customFormat="false" ht="14.25" hidden="false" customHeight="false" outlineLevel="0" collapsed="false">
      <c r="A1162" s="18"/>
      <c r="B1162" s="6"/>
      <c r="C1162" s="6"/>
      <c r="D1162" s="6"/>
      <c r="E1162" s="16" t="str">
        <f aca="false">IF($B1162="","",IFERROR(INDEX(Services!$C$2:$C$120,MATCH($B1162,Services!$D$2:$D$120,0)),""))</f>
        <v/>
      </c>
      <c r="F1162" s="19"/>
      <c r="G1162" s="9" t="str">
        <f aca="false">IF(OR($B1162="",NOT(ISNUMBER($E1162))),"",$E1162-IF($F1162="",0,$F1162))</f>
        <v/>
      </c>
      <c r="H1162" s="15" t="str">
        <f aca="false">IF($B1162="","",IFERROR(INDEX(Services!$A$2:$A$120,MATCH($B1162,Services!$D$2:$D$120,0)),""))</f>
        <v/>
      </c>
      <c r="I1162" s="19"/>
      <c r="J1162" s="15" t="str">
        <f aca="false">IF($B1162="","",IFERROR(INDEX(Services!$E$2:$E$120,MATCH($B1162,Services!$D$2:$D$120,0)),""))</f>
        <v/>
      </c>
    </row>
    <row r="1163" customFormat="false" ht="14.25" hidden="false" customHeight="false" outlineLevel="0" collapsed="false">
      <c r="A1163" s="18"/>
      <c r="B1163" s="6"/>
      <c r="C1163" s="6"/>
      <c r="D1163" s="6"/>
      <c r="E1163" s="16" t="str">
        <f aca="false">IF($B1163="","",IFERROR(INDEX(Services!$C$2:$C$120,MATCH($B1163,Services!$D$2:$D$120,0)),""))</f>
        <v/>
      </c>
      <c r="F1163" s="19"/>
      <c r="G1163" s="9" t="str">
        <f aca="false">IF(OR($B1163="",NOT(ISNUMBER($E1163))),"",$E1163-IF($F1163="",0,$F1163))</f>
        <v/>
      </c>
      <c r="H1163" s="15" t="str">
        <f aca="false">IF($B1163="","",IFERROR(INDEX(Services!$A$2:$A$120,MATCH($B1163,Services!$D$2:$D$120,0)),""))</f>
        <v/>
      </c>
      <c r="I1163" s="19"/>
      <c r="J1163" s="15" t="str">
        <f aca="false">IF($B1163="","",IFERROR(INDEX(Services!$E$2:$E$120,MATCH($B1163,Services!$D$2:$D$120,0)),""))</f>
        <v/>
      </c>
    </row>
    <row r="1164" customFormat="false" ht="14.25" hidden="false" customHeight="false" outlineLevel="0" collapsed="false">
      <c r="A1164" s="18"/>
      <c r="B1164" s="6"/>
      <c r="C1164" s="6"/>
      <c r="D1164" s="6"/>
      <c r="E1164" s="16" t="str">
        <f aca="false">IF($B1164="","",IFERROR(INDEX(Services!$C$2:$C$120,MATCH($B1164,Services!$D$2:$D$120,0)),""))</f>
        <v/>
      </c>
      <c r="F1164" s="19"/>
      <c r="G1164" s="9" t="str">
        <f aca="false">IF(OR($B1164="",NOT(ISNUMBER($E1164))),"",$E1164-IF($F1164="",0,$F1164))</f>
        <v/>
      </c>
      <c r="H1164" s="15" t="str">
        <f aca="false">IF($B1164="","",IFERROR(INDEX(Services!$A$2:$A$120,MATCH($B1164,Services!$D$2:$D$120,0)),""))</f>
        <v/>
      </c>
      <c r="I1164" s="19"/>
      <c r="J1164" s="15" t="str">
        <f aca="false">IF($B1164="","",IFERROR(INDEX(Services!$E$2:$E$120,MATCH($B1164,Services!$D$2:$D$120,0)),""))</f>
        <v/>
      </c>
    </row>
    <row r="1165" customFormat="false" ht="14.25" hidden="false" customHeight="false" outlineLevel="0" collapsed="false">
      <c r="A1165" s="18"/>
      <c r="B1165" s="6"/>
      <c r="C1165" s="6"/>
      <c r="D1165" s="6"/>
      <c r="E1165" s="16" t="str">
        <f aca="false">IF($B1165="","",IFERROR(INDEX(Services!$C$2:$C$120,MATCH($B1165,Services!$D$2:$D$120,0)),""))</f>
        <v/>
      </c>
      <c r="F1165" s="19"/>
      <c r="G1165" s="9" t="str">
        <f aca="false">IF(OR($B1165="",NOT(ISNUMBER($E1165))),"",$E1165-IF($F1165="",0,$F1165))</f>
        <v/>
      </c>
      <c r="H1165" s="15" t="str">
        <f aca="false">IF($B1165="","",IFERROR(INDEX(Services!$A$2:$A$120,MATCH($B1165,Services!$D$2:$D$120,0)),""))</f>
        <v/>
      </c>
      <c r="I1165" s="19"/>
      <c r="J1165" s="15" t="str">
        <f aca="false">IF($B1165="","",IFERROR(INDEX(Services!$E$2:$E$120,MATCH($B1165,Services!$D$2:$D$120,0)),""))</f>
        <v/>
      </c>
    </row>
    <row r="1166" customFormat="false" ht="14.25" hidden="false" customHeight="false" outlineLevel="0" collapsed="false">
      <c r="A1166" s="18"/>
      <c r="B1166" s="6"/>
      <c r="C1166" s="6"/>
      <c r="D1166" s="6"/>
      <c r="E1166" s="16" t="str">
        <f aca="false">IF($B1166="","",IFERROR(INDEX(Services!$C$2:$C$120,MATCH($B1166,Services!$D$2:$D$120,0)),""))</f>
        <v/>
      </c>
      <c r="F1166" s="19"/>
      <c r="G1166" s="9" t="str">
        <f aca="false">IF(OR($B1166="",NOT(ISNUMBER($E1166))),"",$E1166-IF($F1166="",0,$F1166))</f>
        <v/>
      </c>
      <c r="H1166" s="15" t="str">
        <f aca="false">IF($B1166="","",IFERROR(INDEX(Services!$A$2:$A$120,MATCH($B1166,Services!$D$2:$D$120,0)),""))</f>
        <v/>
      </c>
      <c r="I1166" s="19"/>
      <c r="J1166" s="15" t="str">
        <f aca="false">IF($B1166="","",IFERROR(INDEX(Services!$E$2:$E$120,MATCH($B1166,Services!$D$2:$D$120,0)),""))</f>
        <v/>
      </c>
    </row>
    <row r="1167" customFormat="false" ht="14.25" hidden="false" customHeight="false" outlineLevel="0" collapsed="false">
      <c r="A1167" s="18"/>
      <c r="B1167" s="6"/>
      <c r="C1167" s="6"/>
      <c r="D1167" s="6"/>
      <c r="E1167" s="16" t="str">
        <f aca="false">IF($B1167="","",IFERROR(INDEX(Services!$C$2:$C$120,MATCH($B1167,Services!$D$2:$D$120,0)),""))</f>
        <v/>
      </c>
      <c r="F1167" s="19"/>
      <c r="G1167" s="9" t="str">
        <f aca="false">IF(OR($B1167="",NOT(ISNUMBER($E1167))),"",$E1167-IF($F1167="",0,$F1167))</f>
        <v/>
      </c>
      <c r="H1167" s="15" t="str">
        <f aca="false">IF($B1167="","",IFERROR(INDEX(Services!$A$2:$A$120,MATCH($B1167,Services!$D$2:$D$120,0)),""))</f>
        <v/>
      </c>
      <c r="I1167" s="19"/>
      <c r="J1167" s="15" t="str">
        <f aca="false">IF($B1167="","",IFERROR(INDEX(Services!$E$2:$E$120,MATCH($B1167,Services!$D$2:$D$120,0)),""))</f>
        <v/>
      </c>
    </row>
    <row r="1168" customFormat="false" ht="14.25" hidden="false" customHeight="false" outlineLevel="0" collapsed="false">
      <c r="A1168" s="18"/>
      <c r="B1168" s="6"/>
      <c r="C1168" s="6"/>
      <c r="D1168" s="6"/>
      <c r="E1168" s="16" t="str">
        <f aca="false">IF($B1168="","",IFERROR(INDEX(Services!$C$2:$C$120,MATCH($B1168,Services!$D$2:$D$120,0)),""))</f>
        <v/>
      </c>
      <c r="F1168" s="19"/>
      <c r="G1168" s="9" t="str">
        <f aca="false">IF(OR($B1168="",NOT(ISNUMBER($E1168))),"",$E1168-IF($F1168="",0,$F1168))</f>
        <v/>
      </c>
      <c r="H1168" s="15" t="str">
        <f aca="false">IF($B1168="","",IFERROR(INDEX(Services!$A$2:$A$120,MATCH($B1168,Services!$D$2:$D$120,0)),""))</f>
        <v/>
      </c>
      <c r="I1168" s="19"/>
      <c r="J1168" s="15" t="str">
        <f aca="false">IF($B1168="","",IFERROR(INDEX(Services!$E$2:$E$120,MATCH($B1168,Services!$D$2:$D$120,0)),""))</f>
        <v/>
      </c>
    </row>
    <row r="1169" customFormat="false" ht="14.25" hidden="false" customHeight="false" outlineLevel="0" collapsed="false">
      <c r="A1169" s="18"/>
      <c r="B1169" s="6"/>
      <c r="C1169" s="6"/>
      <c r="D1169" s="6"/>
      <c r="E1169" s="16" t="str">
        <f aca="false">IF($B1169="","",IFERROR(INDEX(Services!$C$2:$C$120,MATCH($B1169,Services!$D$2:$D$120,0)),""))</f>
        <v/>
      </c>
      <c r="F1169" s="19"/>
      <c r="G1169" s="9" t="str">
        <f aca="false">IF(OR($B1169="",NOT(ISNUMBER($E1169))),"",$E1169-IF($F1169="",0,$F1169))</f>
        <v/>
      </c>
      <c r="H1169" s="15" t="str">
        <f aca="false">IF($B1169="","",IFERROR(INDEX(Services!$A$2:$A$120,MATCH($B1169,Services!$D$2:$D$120,0)),""))</f>
        <v/>
      </c>
      <c r="I1169" s="19"/>
      <c r="J1169" s="15" t="str">
        <f aca="false">IF($B1169="","",IFERROR(INDEX(Services!$E$2:$E$120,MATCH($B1169,Services!$D$2:$D$120,0)),""))</f>
        <v/>
      </c>
    </row>
    <row r="1170" customFormat="false" ht="14.25" hidden="false" customHeight="false" outlineLevel="0" collapsed="false">
      <c r="A1170" s="18"/>
      <c r="B1170" s="6"/>
      <c r="C1170" s="6"/>
      <c r="D1170" s="6"/>
      <c r="E1170" s="16" t="str">
        <f aca="false">IF($B1170="","",IFERROR(INDEX(Services!$C$2:$C$120,MATCH($B1170,Services!$D$2:$D$120,0)),""))</f>
        <v/>
      </c>
      <c r="F1170" s="19"/>
      <c r="G1170" s="9" t="str">
        <f aca="false">IF(OR($B1170="",NOT(ISNUMBER($E1170))),"",$E1170-IF($F1170="",0,$F1170))</f>
        <v/>
      </c>
      <c r="H1170" s="15" t="str">
        <f aca="false">IF($B1170="","",IFERROR(INDEX(Services!$A$2:$A$120,MATCH($B1170,Services!$D$2:$D$120,0)),""))</f>
        <v/>
      </c>
      <c r="I1170" s="19"/>
      <c r="J1170" s="15" t="str">
        <f aca="false">IF($B1170="","",IFERROR(INDEX(Services!$E$2:$E$120,MATCH($B1170,Services!$D$2:$D$120,0)),""))</f>
        <v/>
      </c>
    </row>
    <row r="1171" customFormat="false" ht="14.25" hidden="false" customHeight="false" outlineLevel="0" collapsed="false">
      <c r="A1171" s="18"/>
      <c r="B1171" s="6"/>
      <c r="C1171" s="6"/>
      <c r="D1171" s="6"/>
      <c r="E1171" s="16" t="str">
        <f aca="false">IF($B1171="","",IFERROR(INDEX(Services!$C$2:$C$120,MATCH($B1171,Services!$D$2:$D$120,0)),""))</f>
        <v/>
      </c>
      <c r="F1171" s="19"/>
      <c r="G1171" s="9" t="str">
        <f aca="false">IF(OR($B1171="",NOT(ISNUMBER($E1171))),"",$E1171-IF($F1171="",0,$F1171))</f>
        <v/>
      </c>
      <c r="H1171" s="15" t="str">
        <f aca="false">IF($B1171="","",IFERROR(INDEX(Services!$A$2:$A$120,MATCH($B1171,Services!$D$2:$D$120,0)),""))</f>
        <v/>
      </c>
      <c r="I1171" s="19"/>
      <c r="J1171" s="15" t="str">
        <f aca="false">IF($B1171="","",IFERROR(INDEX(Services!$E$2:$E$120,MATCH($B1171,Services!$D$2:$D$120,0)),""))</f>
        <v/>
      </c>
    </row>
    <row r="1172" customFormat="false" ht="14.25" hidden="false" customHeight="false" outlineLevel="0" collapsed="false">
      <c r="A1172" s="18"/>
      <c r="B1172" s="6"/>
      <c r="C1172" s="6"/>
      <c r="D1172" s="6"/>
      <c r="E1172" s="16" t="str">
        <f aca="false">IF($B1172="","",IFERROR(INDEX(Services!$C$2:$C$120,MATCH($B1172,Services!$D$2:$D$120,0)),""))</f>
        <v/>
      </c>
      <c r="F1172" s="19"/>
      <c r="G1172" s="9" t="str">
        <f aca="false">IF(OR($B1172="",NOT(ISNUMBER($E1172))),"",$E1172-IF($F1172="",0,$F1172))</f>
        <v/>
      </c>
      <c r="H1172" s="15" t="str">
        <f aca="false">IF($B1172="","",IFERROR(INDEX(Services!$A$2:$A$120,MATCH($B1172,Services!$D$2:$D$120,0)),""))</f>
        <v/>
      </c>
      <c r="I1172" s="19"/>
      <c r="J1172" s="15" t="str">
        <f aca="false">IF($B1172="","",IFERROR(INDEX(Services!$E$2:$E$120,MATCH($B1172,Services!$D$2:$D$120,0)),""))</f>
        <v/>
      </c>
    </row>
    <row r="1173" customFormat="false" ht="14.25" hidden="false" customHeight="false" outlineLevel="0" collapsed="false">
      <c r="A1173" s="18"/>
      <c r="B1173" s="6"/>
      <c r="C1173" s="6"/>
      <c r="D1173" s="6"/>
      <c r="E1173" s="16" t="str">
        <f aca="false">IF($B1173="","",IFERROR(INDEX(Services!$C$2:$C$120,MATCH($B1173,Services!$D$2:$D$120,0)),""))</f>
        <v/>
      </c>
      <c r="F1173" s="19"/>
      <c r="G1173" s="9" t="str">
        <f aca="false">IF(OR($B1173="",NOT(ISNUMBER($E1173))),"",$E1173-IF($F1173="",0,$F1173))</f>
        <v/>
      </c>
      <c r="H1173" s="15" t="str">
        <f aca="false">IF($B1173="","",IFERROR(INDEX(Services!$A$2:$A$120,MATCH($B1173,Services!$D$2:$D$120,0)),""))</f>
        <v/>
      </c>
      <c r="I1173" s="19"/>
      <c r="J1173" s="15" t="str">
        <f aca="false">IF($B1173="","",IFERROR(INDEX(Services!$E$2:$E$120,MATCH($B1173,Services!$D$2:$D$120,0)),""))</f>
        <v/>
      </c>
    </row>
    <row r="1174" customFormat="false" ht="14.25" hidden="false" customHeight="false" outlineLevel="0" collapsed="false">
      <c r="A1174" s="18"/>
      <c r="B1174" s="6"/>
      <c r="C1174" s="6"/>
      <c r="D1174" s="6"/>
      <c r="E1174" s="16" t="str">
        <f aca="false">IF($B1174="","",IFERROR(INDEX(Services!$C$2:$C$120,MATCH($B1174,Services!$D$2:$D$120,0)),""))</f>
        <v/>
      </c>
      <c r="F1174" s="19"/>
      <c r="G1174" s="9" t="str">
        <f aca="false">IF(OR($B1174="",NOT(ISNUMBER($E1174))),"",$E1174-IF($F1174="",0,$F1174))</f>
        <v/>
      </c>
      <c r="H1174" s="15" t="str">
        <f aca="false">IF($B1174="","",IFERROR(INDEX(Services!$A$2:$A$120,MATCH($B1174,Services!$D$2:$D$120,0)),""))</f>
        <v/>
      </c>
      <c r="I1174" s="19"/>
      <c r="J1174" s="15" t="str">
        <f aca="false">IF($B1174="","",IFERROR(INDEX(Services!$E$2:$E$120,MATCH($B1174,Services!$D$2:$D$120,0)),""))</f>
        <v/>
      </c>
    </row>
    <row r="1175" customFormat="false" ht="14.25" hidden="false" customHeight="false" outlineLevel="0" collapsed="false">
      <c r="A1175" s="18"/>
      <c r="B1175" s="6"/>
      <c r="C1175" s="6"/>
      <c r="D1175" s="6"/>
      <c r="E1175" s="16" t="str">
        <f aca="false">IF($B1175="","",IFERROR(INDEX(Services!$C$2:$C$120,MATCH($B1175,Services!$D$2:$D$120,0)),""))</f>
        <v/>
      </c>
      <c r="F1175" s="19"/>
      <c r="G1175" s="9" t="str">
        <f aca="false">IF(OR($B1175="",NOT(ISNUMBER($E1175))),"",$E1175-IF($F1175="",0,$F1175))</f>
        <v/>
      </c>
      <c r="H1175" s="15" t="str">
        <f aca="false">IF($B1175="","",IFERROR(INDEX(Services!$A$2:$A$120,MATCH($B1175,Services!$D$2:$D$120,0)),""))</f>
        <v/>
      </c>
      <c r="I1175" s="19"/>
      <c r="J1175" s="15" t="str">
        <f aca="false">IF($B1175="","",IFERROR(INDEX(Services!$E$2:$E$120,MATCH($B1175,Services!$D$2:$D$120,0)),""))</f>
        <v/>
      </c>
    </row>
    <row r="1176" customFormat="false" ht="14.25" hidden="false" customHeight="false" outlineLevel="0" collapsed="false">
      <c r="A1176" s="18"/>
      <c r="B1176" s="6"/>
      <c r="C1176" s="6"/>
      <c r="D1176" s="6"/>
      <c r="E1176" s="16" t="str">
        <f aca="false">IF($B1176="","",IFERROR(INDEX(Services!$C$2:$C$120,MATCH($B1176,Services!$D$2:$D$120,0)),""))</f>
        <v/>
      </c>
      <c r="F1176" s="19"/>
      <c r="G1176" s="9" t="str">
        <f aca="false">IF(OR($B1176="",NOT(ISNUMBER($E1176))),"",$E1176-IF($F1176="",0,$F1176))</f>
        <v/>
      </c>
      <c r="H1176" s="15" t="str">
        <f aca="false">IF($B1176="","",IFERROR(INDEX(Services!$A$2:$A$120,MATCH($B1176,Services!$D$2:$D$120,0)),""))</f>
        <v/>
      </c>
      <c r="I1176" s="19"/>
      <c r="J1176" s="15" t="str">
        <f aca="false">IF($B1176="","",IFERROR(INDEX(Services!$E$2:$E$120,MATCH($B1176,Services!$D$2:$D$120,0)),""))</f>
        <v/>
      </c>
    </row>
    <row r="1177" customFormat="false" ht="14.25" hidden="false" customHeight="false" outlineLevel="0" collapsed="false">
      <c r="A1177" s="18"/>
      <c r="B1177" s="6"/>
      <c r="C1177" s="6"/>
      <c r="D1177" s="6"/>
      <c r="E1177" s="16" t="str">
        <f aca="false">IF($B1177="","",IFERROR(INDEX(Services!$C$2:$C$120,MATCH($B1177,Services!$D$2:$D$120,0)),""))</f>
        <v/>
      </c>
      <c r="F1177" s="19"/>
      <c r="G1177" s="9" t="str">
        <f aca="false">IF(OR($B1177="",NOT(ISNUMBER($E1177))),"",$E1177-IF($F1177="",0,$F1177))</f>
        <v/>
      </c>
      <c r="H1177" s="15" t="str">
        <f aca="false">IF($B1177="","",IFERROR(INDEX(Services!$A$2:$A$120,MATCH($B1177,Services!$D$2:$D$120,0)),""))</f>
        <v/>
      </c>
      <c r="I1177" s="19"/>
      <c r="J1177" s="15" t="str">
        <f aca="false">IF($B1177="","",IFERROR(INDEX(Services!$E$2:$E$120,MATCH($B1177,Services!$D$2:$D$120,0)),""))</f>
        <v/>
      </c>
    </row>
    <row r="1178" customFormat="false" ht="14.25" hidden="false" customHeight="false" outlineLevel="0" collapsed="false">
      <c r="A1178" s="18"/>
      <c r="B1178" s="6"/>
      <c r="C1178" s="6"/>
      <c r="D1178" s="6"/>
      <c r="E1178" s="16" t="str">
        <f aca="false">IF($B1178="","",IFERROR(INDEX(Services!$C$2:$C$120,MATCH($B1178,Services!$D$2:$D$120,0)),""))</f>
        <v/>
      </c>
      <c r="F1178" s="19"/>
      <c r="G1178" s="9" t="str">
        <f aca="false">IF(OR($B1178="",NOT(ISNUMBER($E1178))),"",$E1178-IF($F1178="",0,$F1178))</f>
        <v/>
      </c>
      <c r="H1178" s="15" t="str">
        <f aca="false">IF($B1178="","",IFERROR(INDEX(Services!$A$2:$A$120,MATCH($B1178,Services!$D$2:$D$120,0)),""))</f>
        <v/>
      </c>
      <c r="I1178" s="19"/>
      <c r="J1178" s="15" t="str">
        <f aca="false">IF($B1178="","",IFERROR(INDEX(Services!$E$2:$E$120,MATCH($B1178,Services!$D$2:$D$120,0)),""))</f>
        <v/>
      </c>
    </row>
    <row r="1179" customFormat="false" ht="14.25" hidden="false" customHeight="false" outlineLevel="0" collapsed="false">
      <c r="A1179" s="18"/>
      <c r="B1179" s="6"/>
      <c r="C1179" s="6"/>
      <c r="D1179" s="6"/>
      <c r="E1179" s="16" t="str">
        <f aca="false">IF($B1179="","",IFERROR(INDEX(Services!$C$2:$C$120,MATCH($B1179,Services!$D$2:$D$120,0)),""))</f>
        <v/>
      </c>
      <c r="F1179" s="19"/>
      <c r="G1179" s="9" t="str">
        <f aca="false">IF(OR($B1179="",NOT(ISNUMBER($E1179))),"",$E1179-IF($F1179="",0,$F1179))</f>
        <v/>
      </c>
      <c r="H1179" s="15" t="str">
        <f aca="false">IF($B1179="","",IFERROR(INDEX(Services!$A$2:$A$120,MATCH($B1179,Services!$D$2:$D$120,0)),""))</f>
        <v/>
      </c>
      <c r="I1179" s="19"/>
      <c r="J1179" s="15" t="str">
        <f aca="false">IF($B1179="","",IFERROR(INDEX(Services!$E$2:$E$120,MATCH($B1179,Services!$D$2:$D$120,0)),""))</f>
        <v/>
      </c>
    </row>
    <row r="1180" customFormat="false" ht="14.25" hidden="false" customHeight="false" outlineLevel="0" collapsed="false">
      <c r="A1180" s="18"/>
      <c r="B1180" s="6"/>
      <c r="C1180" s="6"/>
      <c r="D1180" s="6"/>
      <c r="E1180" s="16" t="str">
        <f aca="false">IF($B1180="","",IFERROR(INDEX(Services!$C$2:$C$120,MATCH($B1180,Services!$D$2:$D$120,0)),""))</f>
        <v/>
      </c>
      <c r="F1180" s="19"/>
      <c r="G1180" s="9" t="str">
        <f aca="false">IF(OR($B1180="",NOT(ISNUMBER($E1180))),"",$E1180-IF($F1180="",0,$F1180))</f>
        <v/>
      </c>
      <c r="H1180" s="15" t="str">
        <f aca="false">IF($B1180="","",IFERROR(INDEX(Services!$A$2:$A$120,MATCH($B1180,Services!$D$2:$D$120,0)),""))</f>
        <v/>
      </c>
      <c r="I1180" s="19"/>
      <c r="J1180" s="15" t="str">
        <f aca="false">IF($B1180="","",IFERROR(INDEX(Services!$E$2:$E$120,MATCH($B1180,Services!$D$2:$D$120,0)),""))</f>
        <v/>
      </c>
    </row>
    <row r="1181" customFormat="false" ht="14.25" hidden="false" customHeight="false" outlineLevel="0" collapsed="false">
      <c r="A1181" s="18"/>
      <c r="B1181" s="6"/>
      <c r="C1181" s="6"/>
      <c r="D1181" s="6"/>
      <c r="E1181" s="16" t="str">
        <f aca="false">IF($B1181="","",IFERROR(INDEX(Services!$C$2:$C$120,MATCH($B1181,Services!$D$2:$D$120,0)),""))</f>
        <v/>
      </c>
      <c r="F1181" s="19"/>
      <c r="G1181" s="9" t="str">
        <f aca="false">IF(OR($B1181="",NOT(ISNUMBER($E1181))),"",$E1181-IF($F1181="",0,$F1181))</f>
        <v/>
      </c>
      <c r="H1181" s="15" t="str">
        <f aca="false">IF($B1181="","",IFERROR(INDEX(Services!$A$2:$A$120,MATCH($B1181,Services!$D$2:$D$120,0)),""))</f>
        <v/>
      </c>
      <c r="I1181" s="19"/>
      <c r="J1181" s="15" t="str">
        <f aca="false">IF($B1181="","",IFERROR(INDEX(Services!$E$2:$E$120,MATCH($B1181,Services!$D$2:$D$120,0)),""))</f>
        <v/>
      </c>
    </row>
    <row r="1182" customFormat="false" ht="14.25" hidden="false" customHeight="false" outlineLevel="0" collapsed="false">
      <c r="A1182" s="18"/>
      <c r="B1182" s="6"/>
      <c r="C1182" s="6"/>
      <c r="D1182" s="6"/>
      <c r="E1182" s="16" t="str">
        <f aca="false">IF($B1182="","",IFERROR(INDEX(Services!$C$2:$C$120,MATCH($B1182,Services!$D$2:$D$120,0)),""))</f>
        <v/>
      </c>
      <c r="F1182" s="19"/>
      <c r="G1182" s="9" t="str">
        <f aca="false">IF(OR($B1182="",NOT(ISNUMBER($E1182))),"",$E1182-IF($F1182="",0,$F1182))</f>
        <v/>
      </c>
      <c r="H1182" s="15" t="str">
        <f aca="false">IF($B1182="","",IFERROR(INDEX(Services!$A$2:$A$120,MATCH($B1182,Services!$D$2:$D$120,0)),""))</f>
        <v/>
      </c>
      <c r="I1182" s="19"/>
      <c r="J1182" s="15" t="str">
        <f aca="false">IF($B1182="","",IFERROR(INDEX(Services!$E$2:$E$120,MATCH($B1182,Services!$D$2:$D$120,0)),""))</f>
        <v/>
      </c>
    </row>
    <row r="1183" customFormat="false" ht="14.25" hidden="false" customHeight="false" outlineLevel="0" collapsed="false">
      <c r="A1183" s="18"/>
      <c r="B1183" s="6"/>
      <c r="C1183" s="6"/>
      <c r="D1183" s="6"/>
      <c r="E1183" s="16" t="str">
        <f aca="false">IF($B1183="","",IFERROR(INDEX(Services!$C$2:$C$120,MATCH($B1183,Services!$D$2:$D$120,0)),""))</f>
        <v/>
      </c>
      <c r="F1183" s="19"/>
      <c r="G1183" s="9" t="str">
        <f aca="false">IF(OR($B1183="",NOT(ISNUMBER($E1183))),"",$E1183-IF($F1183="",0,$F1183))</f>
        <v/>
      </c>
      <c r="H1183" s="15" t="str">
        <f aca="false">IF($B1183="","",IFERROR(INDEX(Services!$A$2:$A$120,MATCH($B1183,Services!$D$2:$D$120,0)),""))</f>
        <v/>
      </c>
      <c r="I1183" s="19"/>
      <c r="J1183" s="15" t="str">
        <f aca="false">IF($B1183="","",IFERROR(INDEX(Services!$E$2:$E$120,MATCH($B1183,Services!$D$2:$D$120,0)),""))</f>
        <v/>
      </c>
    </row>
    <row r="1184" customFormat="false" ht="14.25" hidden="false" customHeight="false" outlineLevel="0" collapsed="false">
      <c r="A1184" s="18"/>
      <c r="B1184" s="6"/>
      <c r="C1184" s="6"/>
      <c r="D1184" s="6"/>
      <c r="E1184" s="16" t="str">
        <f aca="false">IF($B1184="","",IFERROR(INDEX(Services!$C$2:$C$120,MATCH($B1184,Services!$D$2:$D$120,0)),""))</f>
        <v/>
      </c>
      <c r="F1184" s="19"/>
      <c r="G1184" s="9" t="str">
        <f aca="false">IF(OR($B1184="",NOT(ISNUMBER($E1184))),"",$E1184-IF($F1184="",0,$F1184))</f>
        <v/>
      </c>
      <c r="H1184" s="15" t="str">
        <f aca="false">IF($B1184="","",IFERROR(INDEX(Services!$A$2:$A$120,MATCH($B1184,Services!$D$2:$D$120,0)),""))</f>
        <v/>
      </c>
      <c r="I1184" s="19"/>
      <c r="J1184" s="15" t="str">
        <f aca="false">IF($B1184="","",IFERROR(INDEX(Services!$E$2:$E$120,MATCH($B1184,Services!$D$2:$D$120,0)),""))</f>
        <v/>
      </c>
    </row>
    <row r="1185" customFormat="false" ht="14.25" hidden="false" customHeight="false" outlineLevel="0" collapsed="false">
      <c r="A1185" s="18"/>
      <c r="B1185" s="6"/>
      <c r="C1185" s="6"/>
      <c r="D1185" s="6"/>
      <c r="E1185" s="16" t="str">
        <f aca="false">IF($B1185="","",IFERROR(INDEX(Services!$C$2:$C$120,MATCH($B1185,Services!$D$2:$D$120,0)),""))</f>
        <v/>
      </c>
      <c r="F1185" s="19"/>
      <c r="G1185" s="9" t="str">
        <f aca="false">IF(OR($B1185="",NOT(ISNUMBER($E1185))),"",$E1185-IF($F1185="",0,$F1185))</f>
        <v/>
      </c>
      <c r="H1185" s="15" t="str">
        <f aca="false">IF($B1185="","",IFERROR(INDEX(Services!$A$2:$A$120,MATCH($B1185,Services!$D$2:$D$120,0)),""))</f>
        <v/>
      </c>
      <c r="I1185" s="19"/>
      <c r="J1185" s="15" t="str">
        <f aca="false">IF($B1185="","",IFERROR(INDEX(Services!$E$2:$E$120,MATCH($B1185,Services!$D$2:$D$120,0)),""))</f>
        <v/>
      </c>
    </row>
    <row r="1186" customFormat="false" ht="14.25" hidden="false" customHeight="false" outlineLevel="0" collapsed="false">
      <c r="A1186" s="18"/>
      <c r="B1186" s="6"/>
      <c r="C1186" s="6"/>
      <c r="D1186" s="6"/>
      <c r="E1186" s="16" t="str">
        <f aca="false">IF($B1186="","",IFERROR(INDEX(Services!$C$2:$C$120,MATCH($B1186,Services!$D$2:$D$120,0)),""))</f>
        <v/>
      </c>
      <c r="F1186" s="19"/>
      <c r="G1186" s="9" t="str">
        <f aca="false">IF(OR($B1186="",NOT(ISNUMBER($E1186))),"",$E1186-IF($F1186="",0,$F1186))</f>
        <v/>
      </c>
      <c r="H1186" s="15" t="str">
        <f aca="false">IF($B1186="","",IFERROR(INDEX(Services!$A$2:$A$120,MATCH($B1186,Services!$D$2:$D$120,0)),""))</f>
        <v/>
      </c>
      <c r="I1186" s="19"/>
      <c r="J1186" s="15" t="str">
        <f aca="false">IF($B1186="","",IFERROR(INDEX(Services!$E$2:$E$120,MATCH($B1186,Services!$D$2:$D$120,0)),""))</f>
        <v/>
      </c>
    </row>
    <row r="1187" customFormat="false" ht="14.25" hidden="false" customHeight="false" outlineLevel="0" collapsed="false">
      <c r="A1187" s="18"/>
      <c r="B1187" s="6"/>
      <c r="C1187" s="6"/>
      <c r="D1187" s="6"/>
      <c r="E1187" s="16" t="str">
        <f aca="false">IF($B1187="","",IFERROR(INDEX(Services!$C$2:$C$120,MATCH($B1187,Services!$D$2:$D$120,0)),""))</f>
        <v/>
      </c>
      <c r="F1187" s="19"/>
      <c r="G1187" s="9" t="str">
        <f aca="false">IF(OR($B1187="",NOT(ISNUMBER($E1187))),"",$E1187-IF($F1187="",0,$F1187))</f>
        <v/>
      </c>
      <c r="H1187" s="15" t="str">
        <f aca="false">IF($B1187="","",IFERROR(INDEX(Services!$A$2:$A$120,MATCH($B1187,Services!$D$2:$D$120,0)),""))</f>
        <v/>
      </c>
      <c r="I1187" s="19"/>
      <c r="J1187" s="15" t="str">
        <f aca="false">IF($B1187="","",IFERROR(INDEX(Services!$E$2:$E$120,MATCH($B1187,Services!$D$2:$D$120,0)),""))</f>
        <v/>
      </c>
    </row>
    <row r="1188" customFormat="false" ht="14.25" hidden="false" customHeight="false" outlineLevel="0" collapsed="false">
      <c r="A1188" s="18"/>
      <c r="B1188" s="6"/>
      <c r="C1188" s="6"/>
      <c r="D1188" s="6"/>
      <c r="E1188" s="16" t="str">
        <f aca="false">IF($B1188="","",IFERROR(INDEX(Services!$C$2:$C$120,MATCH($B1188,Services!$D$2:$D$120,0)),""))</f>
        <v/>
      </c>
      <c r="F1188" s="19"/>
      <c r="G1188" s="9" t="str">
        <f aca="false">IF(OR($B1188="",NOT(ISNUMBER($E1188))),"",$E1188-IF($F1188="",0,$F1188))</f>
        <v/>
      </c>
      <c r="H1188" s="15" t="str">
        <f aca="false">IF($B1188="","",IFERROR(INDEX(Services!$A$2:$A$120,MATCH($B1188,Services!$D$2:$D$120,0)),""))</f>
        <v/>
      </c>
      <c r="I1188" s="19"/>
      <c r="J1188" s="15" t="str">
        <f aca="false">IF($B1188="","",IFERROR(INDEX(Services!$E$2:$E$120,MATCH($B1188,Services!$D$2:$D$120,0)),""))</f>
        <v/>
      </c>
    </row>
    <row r="1189" customFormat="false" ht="14.25" hidden="false" customHeight="false" outlineLevel="0" collapsed="false">
      <c r="A1189" s="18"/>
      <c r="B1189" s="6"/>
      <c r="C1189" s="6"/>
      <c r="D1189" s="6"/>
      <c r="E1189" s="16" t="str">
        <f aca="false">IF($B1189="","",IFERROR(INDEX(Services!$C$2:$C$120,MATCH($B1189,Services!$D$2:$D$120,0)),""))</f>
        <v/>
      </c>
      <c r="F1189" s="19"/>
      <c r="G1189" s="9" t="str">
        <f aca="false">IF(OR($B1189="",NOT(ISNUMBER($E1189))),"",$E1189-IF($F1189="",0,$F1189))</f>
        <v/>
      </c>
      <c r="H1189" s="15" t="str">
        <f aca="false">IF($B1189="","",IFERROR(INDEX(Services!$A$2:$A$120,MATCH($B1189,Services!$D$2:$D$120,0)),""))</f>
        <v/>
      </c>
      <c r="I1189" s="19"/>
      <c r="J1189" s="15" t="str">
        <f aca="false">IF($B1189="","",IFERROR(INDEX(Services!$E$2:$E$120,MATCH($B1189,Services!$D$2:$D$120,0)),""))</f>
        <v/>
      </c>
    </row>
    <row r="1190" customFormat="false" ht="14.25" hidden="false" customHeight="false" outlineLevel="0" collapsed="false">
      <c r="A1190" s="18"/>
      <c r="B1190" s="6"/>
      <c r="C1190" s="6"/>
      <c r="D1190" s="6"/>
      <c r="E1190" s="16" t="str">
        <f aca="false">IF($B1190="","",IFERROR(INDEX(Services!$C$2:$C$120,MATCH($B1190,Services!$D$2:$D$120,0)),""))</f>
        <v/>
      </c>
      <c r="F1190" s="19"/>
      <c r="G1190" s="9" t="str">
        <f aca="false">IF(OR($B1190="",NOT(ISNUMBER($E1190))),"",$E1190-IF($F1190="",0,$F1190))</f>
        <v/>
      </c>
      <c r="H1190" s="15" t="str">
        <f aca="false">IF($B1190="","",IFERROR(INDEX(Services!$A$2:$A$120,MATCH($B1190,Services!$D$2:$D$120,0)),""))</f>
        <v/>
      </c>
      <c r="I1190" s="19"/>
      <c r="J1190" s="15" t="str">
        <f aca="false">IF($B1190="","",IFERROR(INDEX(Services!$E$2:$E$120,MATCH($B1190,Services!$D$2:$D$120,0)),""))</f>
        <v/>
      </c>
    </row>
    <row r="1191" customFormat="false" ht="14.25" hidden="false" customHeight="false" outlineLevel="0" collapsed="false">
      <c r="A1191" s="18"/>
      <c r="B1191" s="6"/>
      <c r="C1191" s="6"/>
      <c r="D1191" s="6"/>
      <c r="E1191" s="16" t="str">
        <f aca="false">IF($B1191="","",IFERROR(INDEX(Services!$C$2:$C$120,MATCH($B1191,Services!$D$2:$D$120,0)),""))</f>
        <v/>
      </c>
      <c r="F1191" s="19"/>
      <c r="G1191" s="9" t="str">
        <f aca="false">IF(OR($B1191="",NOT(ISNUMBER($E1191))),"",$E1191-IF($F1191="",0,$F1191))</f>
        <v/>
      </c>
      <c r="H1191" s="15" t="str">
        <f aca="false">IF($B1191="","",IFERROR(INDEX(Services!$A$2:$A$120,MATCH($B1191,Services!$D$2:$D$120,0)),""))</f>
        <v/>
      </c>
      <c r="I1191" s="19"/>
      <c r="J1191" s="15" t="str">
        <f aca="false">IF($B1191="","",IFERROR(INDEX(Services!$E$2:$E$120,MATCH($B1191,Services!$D$2:$D$120,0)),""))</f>
        <v/>
      </c>
    </row>
    <row r="1192" customFormat="false" ht="14.25" hidden="false" customHeight="false" outlineLevel="0" collapsed="false">
      <c r="A1192" s="18"/>
      <c r="B1192" s="6"/>
      <c r="C1192" s="6"/>
      <c r="D1192" s="6"/>
      <c r="E1192" s="16" t="str">
        <f aca="false">IF($B1192="","",IFERROR(INDEX(Services!$C$2:$C$120,MATCH($B1192,Services!$D$2:$D$120,0)),""))</f>
        <v/>
      </c>
      <c r="F1192" s="19"/>
      <c r="G1192" s="9" t="str">
        <f aca="false">IF(OR($B1192="",NOT(ISNUMBER($E1192))),"",$E1192-IF($F1192="",0,$F1192))</f>
        <v/>
      </c>
      <c r="H1192" s="15" t="str">
        <f aca="false">IF($B1192="","",IFERROR(INDEX(Services!$A$2:$A$120,MATCH($B1192,Services!$D$2:$D$120,0)),""))</f>
        <v/>
      </c>
      <c r="I1192" s="19"/>
      <c r="J1192" s="15" t="str">
        <f aca="false">IF($B1192="","",IFERROR(INDEX(Services!$E$2:$E$120,MATCH($B1192,Services!$D$2:$D$120,0)),""))</f>
        <v/>
      </c>
    </row>
    <row r="1193" customFormat="false" ht="14.25" hidden="false" customHeight="false" outlineLevel="0" collapsed="false">
      <c r="A1193" s="18"/>
      <c r="B1193" s="6"/>
      <c r="C1193" s="6"/>
      <c r="D1193" s="6"/>
      <c r="E1193" s="16" t="str">
        <f aca="false">IF($B1193="","",IFERROR(INDEX(Services!$C$2:$C$120,MATCH($B1193,Services!$D$2:$D$120,0)),""))</f>
        <v/>
      </c>
      <c r="F1193" s="19"/>
      <c r="G1193" s="9" t="str">
        <f aca="false">IF(OR($B1193="",NOT(ISNUMBER($E1193))),"",$E1193-IF($F1193="",0,$F1193))</f>
        <v/>
      </c>
      <c r="H1193" s="15" t="str">
        <f aca="false">IF($B1193="","",IFERROR(INDEX(Services!$A$2:$A$120,MATCH($B1193,Services!$D$2:$D$120,0)),""))</f>
        <v/>
      </c>
      <c r="I1193" s="19"/>
      <c r="J1193" s="15" t="str">
        <f aca="false">IF($B1193="","",IFERROR(INDEX(Services!$E$2:$E$120,MATCH($B1193,Services!$D$2:$D$120,0)),""))</f>
        <v/>
      </c>
    </row>
    <row r="1194" customFormat="false" ht="14.25" hidden="false" customHeight="false" outlineLevel="0" collapsed="false">
      <c r="A1194" s="18"/>
      <c r="B1194" s="6"/>
      <c r="C1194" s="6"/>
      <c r="D1194" s="6"/>
      <c r="E1194" s="16" t="str">
        <f aca="false">IF($B1194="","",IFERROR(INDEX(Services!$C$2:$C$120,MATCH($B1194,Services!$D$2:$D$120,0)),""))</f>
        <v/>
      </c>
      <c r="F1194" s="19"/>
      <c r="G1194" s="9" t="str">
        <f aca="false">IF(OR($B1194="",NOT(ISNUMBER($E1194))),"",$E1194-IF($F1194="",0,$F1194))</f>
        <v/>
      </c>
      <c r="H1194" s="15" t="str">
        <f aca="false">IF($B1194="","",IFERROR(INDEX(Services!$A$2:$A$120,MATCH($B1194,Services!$D$2:$D$120,0)),""))</f>
        <v/>
      </c>
      <c r="I1194" s="19"/>
      <c r="J1194" s="15" t="str">
        <f aca="false">IF($B1194="","",IFERROR(INDEX(Services!$E$2:$E$120,MATCH($B1194,Services!$D$2:$D$120,0)),""))</f>
        <v/>
      </c>
    </row>
    <row r="1195" customFormat="false" ht="14.25" hidden="false" customHeight="false" outlineLevel="0" collapsed="false">
      <c r="A1195" s="18"/>
      <c r="B1195" s="6"/>
      <c r="C1195" s="6"/>
      <c r="D1195" s="6"/>
      <c r="E1195" s="16" t="str">
        <f aca="false">IF($B1195="","",IFERROR(INDEX(Services!$C$2:$C$120,MATCH($B1195,Services!$D$2:$D$120,0)),""))</f>
        <v/>
      </c>
      <c r="F1195" s="19"/>
      <c r="G1195" s="9" t="str">
        <f aca="false">IF(OR($B1195="",NOT(ISNUMBER($E1195))),"",$E1195-IF($F1195="",0,$F1195))</f>
        <v/>
      </c>
      <c r="H1195" s="15" t="str">
        <f aca="false">IF($B1195="","",IFERROR(INDEX(Services!$A$2:$A$120,MATCH($B1195,Services!$D$2:$D$120,0)),""))</f>
        <v/>
      </c>
      <c r="I1195" s="19"/>
      <c r="J1195" s="15" t="str">
        <f aca="false">IF($B1195="","",IFERROR(INDEX(Services!$E$2:$E$120,MATCH($B1195,Services!$D$2:$D$120,0)),""))</f>
        <v/>
      </c>
    </row>
    <row r="1196" customFormat="false" ht="14.25" hidden="false" customHeight="false" outlineLevel="0" collapsed="false">
      <c r="A1196" s="18"/>
      <c r="B1196" s="6"/>
      <c r="C1196" s="6"/>
      <c r="D1196" s="6"/>
      <c r="E1196" s="16" t="str">
        <f aca="false">IF($B1196="","",IFERROR(INDEX(Services!$C$2:$C$120,MATCH($B1196,Services!$D$2:$D$120,0)),""))</f>
        <v/>
      </c>
      <c r="F1196" s="19"/>
      <c r="G1196" s="9" t="str">
        <f aca="false">IF(OR($B1196="",NOT(ISNUMBER($E1196))),"",$E1196-IF($F1196="",0,$F1196))</f>
        <v/>
      </c>
      <c r="H1196" s="15" t="str">
        <f aca="false">IF($B1196="","",IFERROR(INDEX(Services!$A$2:$A$120,MATCH($B1196,Services!$D$2:$D$120,0)),""))</f>
        <v/>
      </c>
      <c r="I1196" s="19"/>
      <c r="J1196" s="15" t="str">
        <f aca="false">IF($B1196="","",IFERROR(INDEX(Services!$E$2:$E$120,MATCH($B1196,Services!$D$2:$D$120,0)),""))</f>
        <v/>
      </c>
    </row>
    <row r="1197" customFormat="false" ht="14.25" hidden="false" customHeight="false" outlineLevel="0" collapsed="false">
      <c r="A1197" s="18"/>
      <c r="B1197" s="6"/>
      <c r="C1197" s="6"/>
      <c r="D1197" s="6"/>
      <c r="E1197" s="16" t="str">
        <f aca="false">IF($B1197="","",IFERROR(INDEX(Services!$C$2:$C$120,MATCH($B1197,Services!$D$2:$D$120,0)),""))</f>
        <v/>
      </c>
      <c r="F1197" s="19"/>
      <c r="G1197" s="9" t="str">
        <f aca="false">IF(OR($B1197="",NOT(ISNUMBER($E1197))),"",$E1197-IF($F1197="",0,$F1197))</f>
        <v/>
      </c>
      <c r="H1197" s="15" t="str">
        <f aca="false">IF($B1197="","",IFERROR(INDEX(Services!$A$2:$A$120,MATCH($B1197,Services!$D$2:$D$120,0)),""))</f>
        <v/>
      </c>
      <c r="I1197" s="19"/>
      <c r="J1197" s="15" t="str">
        <f aca="false">IF($B1197="","",IFERROR(INDEX(Services!$E$2:$E$120,MATCH($B1197,Services!$D$2:$D$120,0)),""))</f>
        <v/>
      </c>
    </row>
    <row r="1198" customFormat="false" ht="14.25" hidden="false" customHeight="false" outlineLevel="0" collapsed="false">
      <c r="A1198" s="18"/>
      <c r="B1198" s="6"/>
      <c r="C1198" s="6"/>
      <c r="D1198" s="6"/>
      <c r="E1198" s="16" t="str">
        <f aca="false">IF($B1198="","",IFERROR(INDEX(Services!$C$2:$C$120,MATCH($B1198,Services!$D$2:$D$120,0)),""))</f>
        <v/>
      </c>
      <c r="F1198" s="19"/>
      <c r="G1198" s="9" t="str">
        <f aca="false">IF(OR($B1198="",NOT(ISNUMBER($E1198))),"",$E1198-IF($F1198="",0,$F1198))</f>
        <v/>
      </c>
      <c r="H1198" s="15" t="str">
        <f aca="false">IF($B1198="","",IFERROR(INDEX(Services!$A$2:$A$120,MATCH($B1198,Services!$D$2:$D$120,0)),""))</f>
        <v/>
      </c>
      <c r="I1198" s="19"/>
      <c r="J1198" s="15" t="str">
        <f aca="false">IF($B1198="","",IFERROR(INDEX(Services!$E$2:$E$120,MATCH($B1198,Services!$D$2:$D$120,0)),""))</f>
        <v/>
      </c>
    </row>
    <row r="1199" customFormat="false" ht="14.25" hidden="false" customHeight="false" outlineLevel="0" collapsed="false">
      <c r="A1199" s="18"/>
      <c r="B1199" s="6"/>
      <c r="C1199" s="6"/>
      <c r="D1199" s="6"/>
      <c r="E1199" s="16" t="str">
        <f aca="false">IF($B1199="","",IFERROR(INDEX(Services!$C$2:$C$120,MATCH($B1199,Services!$D$2:$D$120,0)),""))</f>
        <v/>
      </c>
      <c r="F1199" s="19"/>
      <c r="G1199" s="9" t="str">
        <f aca="false">IF(OR($B1199="",NOT(ISNUMBER($E1199))),"",$E1199-IF($F1199="",0,$F1199))</f>
        <v/>
      </c>
      <c r="H1199" s="15" t="str">
        <f aca="false">IF($B1199="","",IFERROR(INDEX(Services!$A$2:$A$120,MATCH($B1199,Services!$D$2:$D$120,0)),""))</f>
        <v/>
      </c>
      <c r="I1199" s="19"/>
      <c r="J1199" s="15" t="str">
        <f aca="false">IF($B1199="","",IFERROR(INDEX(Services!$E$2:$E$120,MATCH($B1199,Services!$D$2:$D$120,0)),""))</f>
        <v/>
      </c>
    </row>
    <row r="1200" customFormat="false" ht="14.25" hidden="false" customHeight="false" outlineLevel="0" collapsed="false">
      <c r="A1200" s="18"/>
      <c r="B1200" s="6"/>
      <c r="C1200" s="6"/>
      <c r="D1200" s="6"/>
      <c r="E1200" s="16" t="str">
        <f aca="false">IF($B1200="","",IFERROR(INDEX(Services!$C$2:$C$120,MATCH($B1200,Services!$D$2:$D$120,0)),""))</f>
        <v/>
      </c>
      <c r="F1200" s="19"/>
      <c r="G1200" s="9" t="str">
        <f aca="false">IF(OR($B1200="",NOT(ISNUMBER($E1200))),"",$E1200-IF($F1200="",0,$F1200))</f>
        <v/>
      </c>
      <c r="H1200" s="15" t="str">
        <f aca="false">IF($B1200="","",IFERROR(INDEX(Services!$A$2:$A$120,MATCH($B1200,Services!$D$2:$D$120,0)),""))</f>
        <v/>
      </c>
      <c r="I1200" s="19"/>
      <c r="J1200" s="15" t="str">
        <f aca="false">IF($B1200="","",IFERROR(INDEX(Services!$E$2:$E$120,MATCH($B1200,Services!$D$2:$D$120,0)),""))</f>
        <v/>
      </c>
    </row>
    <row r="1201" customFormat="false" ht="14.25" hidden="false" customHeight="false" outlineLevel="0" collapsed="false">
      <c r="A1201" s="18"/>
      <c r="B1201" s="6"/>
      <c r="C1201" s="6"/>
      <c r="D1201" s="6"/>
      <c r="E1201" s="16" t="str">
        <f aca="false">IF($B1201="","",IFERROR(INDEX(Services!$C$2:$C$120,MATCH($B1201,Services!$D$2:$D$120,0)),""))</f>
        <v/>
      </c>
      <c r="F1201" s="19"/>
      <c r="G1201" s="9" t="str">
        <f aca="false">IF(OR($B1201="",NOT(ISNUMBER($E1201))),"",$E1201-IF($F1201="",0,$F1201))</f>
        <v/>
      </c>
      <c r="H1201" s="15" t="str">
        <f aca="false">IF($B1201="","",IFERROR(INDEX(Services!$A$2:$A$120,MATCH($B1201,Services!$D$2:$D$120,0)),""))</f>
        <v/>
      </c>
      <c r="I1201" s="19"/>
      <c r="J1201" s="15" t="str">
        <f aca="false">IF($B1201="","",IFERROR(INDEX(Services!$E$2:$E$120,MATCH($B1201,Services!$D$2:$D$120,0)),""))</f>
        <v/>
      </c>
    </row>
    <row r="1202" customFormat="false" ht="14.25" hidden="false" customHeight="false" outlineLevel="0" collapsed="false">
      <c r="A1202" s="18"/>
      <c r="B1202" s="6"/>
      <c r="C1202" s="6"/>
      <c r="D1202" s="6"/>
      <c r="E1202" s="16" t="str">
        <f aca="false">IF($B1202="","",IFERROR(INDEX(Services!$C$2:$C$120,MATCH($B1202,Services!$D$2:$D$120,0)),""))</f>
        <v/>
      </c>
      <c r="F1202" s="19"/>
      <c r="G1202" s="9" t="str">
        <f aca="false">IF(OR($B1202="",NOT(ISNUMBER($E1202))),"",$E1202-IF($F1202="",0,$F1202))</f>
        <v/>
      </c>
      <c r="H1202" s="15" t="str">
        <f aca="false">IF($B1202="","",IFERROR(INDEX(Services!$A$2:$A$120,MATCH($B1202,Services!$D$2:$D$120,0)),""))</f>
        <v/>
      </c>
      <c r="I1202" s="19"/>
      <c r="J1202" s="15" t="str">
        <f aca="false">IF($B1202="","",IFERROR(INDEX(Services!$E$2:$E$120,MATCH($B1202,Services!$D$2:$D$120,0)),""))</f>
        <v/>
      </c>
    </row>
    <row r="1203" customFormat="false" ht="14.25" hidden="false" customHeight="false" outlineLevel="0" collapsed="false">
      <c r="A1203" s="18"/>
      <c r="B1203" s="6"/>
      <c r="C1203" s="6"/>
      <c r="D1203" s="6"/>
      <c r="E1203" s="16" t="str">
        <f aca="false">IF($B1203="","",IFERROR(INDEX(Services!$C$2:$C$120,MATCH($B1203,Services!$D$2:$D$120,0)),""))</f>
        <v/>
      </c>
      <c r="F1203" s="19"/>
      <c r="G1203" s="9" t="str">
        <f aca="false">IF(OR($B1203="",NOT(ISNUMBER($E1203))),"",$E1203-IF($F1203="",0,$F1203))</f>
        <v/>
      </c>
      <c r="H1203" s="15" t="str">
        <f aca="false">IF($B1203="","",IFERROR(INDEX(Services!$A$2:$A$120,MATCH($B1203,Services!$D$2:$D$120,0)),""))</f>
        <v/>
      </c>
      <c r="I1203" s="19"/>
      <c r="J1203" s="15" t="str">
        <f aca="false">IF($B1203="","",IFERROR(INDEX(Services!$E$2:$E$120,MATCH($B1203,Services!$D$2:$D$120,0)),""))</f>
        <v/>
      </c>
    </row>
    <row r="1204" customFormat="false" ht="14.25" hidden="false" customHeight="false" outlineLevel="0" collapsed="false">
      <c r="A1204" s="18"/>
      <c r="B1204" s="6"/>
      <c r="C1204" s="6"/>
      <c r="D1204" s="6"/>
      <c r="E1204" s="16" t="str">
        <f aca="false">IF($B1204="","",IFERROR(INDEX(Services!$C$2:$C$120,MATCH($B1204,Services!$D$2:$D$120,0)),""))</f>
        <v/>
      </c>
      <c r="F1204" s="19"/>
      <c r="G1204" s="9" t="str">
        <f aca="false">IF(OR($B1204="",NOT(ISNUMBER($E1204))),"",$E1204-IF($F1204="",0,$F1204))</f>
        <v/>
      </c>
      <c r="H1204" s="15" t="str">
        <f aca="false">IF($B1204="","",IFERROR(INDEX(Services!$A$2:$A$120,MATCH($B1204,Services!$D$2:$D$120,0)),""))</f>
        <v/>
      </c>
      <c r="I1204" s="19"/>
      <c r="J1204" s="15" t="str">
        <f aca="false">IF($B1204="","",IFERROR(INDEX(Services!$E$2:$E$120,MATCH($B1204,Services!$D$2:$D$120,0)),""))</f>
        <v/>
      </c>
    </row>
    <row r="1205" customFormat="false" ht="14.25" hidden="false" customHeight="false" outlineLevel="0" collapsed="false">
      <c r="A1205" s="18"/>
      <c r="B1205" s="6"/>
      <c r="C1205" s="6"/>
      <c r="D1205" s="6"/>
      <c r="E1205" s="16" t="str">
        <f aca="false">IF($B1205="","",IFERROR(INDEX(Services!$C$2:$C$120,MATCH($B1205,Services!$D$2:$D$120,0)),""))</f>
        <v/>
      </c>
      <c r="F1205" s="19"/>
      <c r="G1205" s="9" t="str">
        <f aca="false">IF(OR($B1205="",NOT(ISNUMBER($E1205))),"",$E1205-IF($F1205="",0,$F1205))</f>
        <v/>
      </c>
      <c r="H1205" s="15" t="str">
        <f aca="false">IF($B1205="","",IFERROR(INDEX(Services!$A$2:$A$120,MATCH($B1205,Services!$D$2:$D$120,0)),""))</f>
        <v/>
      </c>
      <c r="I1205" s="19"/>
      <c r="J1205" s="15" t="str">
        <f aca="false">IF($B1205="","",IFERROR(INDEX(Services!$E$2:$E$120,MATCH($B1205,Services!$D$2:$D$120,0)),""))</f>
        <v/>
      </c>
    </row>
    <row r="1206" customFormat="false" ht="14.25" hidden="false" customHeight="false" outlineLevel="0" collapsed="false">
      <c r="A1206" s="18"/>
      <c r="B1206" s="6"/>
      <c r="C1206" s="6"/>
      <c r="D1206" s="6"/>
      <c r="E1206" s="16" t="str">
        <f aca="false">IF($B1206="","",IFERROR(INDEX(Services!$C$2:$C$120,MATCH($B1206,Services!$D$2:$D$120,0)),""))</f>
        <v/>
      </c>
      <c r="F1206" s="19"/>
      <c r="G1206" s="9" t="str">
        <f aca="false">IF(OR($B1206="",NOT(ISNUMBER($E1206))),"",$E1206-IF($F1206="",0,$F1206))</f>
        <v/>
      </c>
      <c r="H1206" s="15" t="str">
        <f aca="false">IF($B1206="","",IFERROR(INDEX(Services!$A$2:$A$120,MATCH($B1206,Services!$D$2:$D$120,0)),""))</f>
        <v/>
      </c>
      <c r="I1206" s="19"/>
      <c r="J1206" s="15" t="str">
        <f aca="false">IF($B1206="","",IFERROR(INDEX(Services!$E$2:$E$120,MATCH($B1206,Services!$D$2:$D$120,0)),""))</f>
        <v/>
      </c>
    </row>
    <row r="1207" customFormat="false" ht="14.25" hidden="false" customHeight="false" outlineLevel="0" collapsed="false">
      <c r="A1207" s="18"/>
      <c r="B1207" s="6"/>
      <c r="C1207" s="6"/>
      <c r="D1207" s="6"/>
      <c r="E1207" s="16" t="str">
        <f aca="false">IF($B1207="","",IFERROR(INDEX(Services!$C$2:$C$120,MATCH($B1207,Services!$D$2:$D$120,0)),""))</f>
        <v/>
      </c>
      <c r="F1207" s="19"/>
      <c r="G1207" s="9" t="str">
        <f aca="false">IF(OR($B1207="",NOT(ISNUMBER($E1207))),"",$E1207-IF($F1207="",0,$F1207))</f>
        <v/>
      </c>
      <c r="H1207" s="15" t="str">
        <f aca="false">IF($B1207="","",IFERROR(INDEX(Services!$A$2:$A$120,MATCH($B1207,Services!$D$2:$D$120,0)),""))</f>
        <v/>
      </c>
      <c r="I1207" s="19"/>
      <c r="J1207" s="15" t="str">
        <f aca="false">IF($B1207="","",IFERROR(INDEX(Services!$E$2:$E$120,MATCH($B1207,Services!$D$2:$D$120,0)),""))</f>
        <v/>
      </c>
    </row>
    <row r="1208" customFormat="false" ht="14.25" hidden="false" customHeight="false" outlineLevel="0" collapsed="false">
      <c r="A1208" s="18"/>
      <c r="B1208" s="6"/>
      <c r="C1208" s="6"/>
      <c r="D1208" s="6"/>
      <c r="E1208" s="16" t="str">
        <f aca="false">IF($B1208="","",IFERROR(INDEX(Services!$C$2:$C$120,MATCH($B1208,Services!$D$2:$D$120,0)),""))</f>
        <v/>
      </c>
      <c r="F1208" s="19"/>
      <c r="G1208" s="9" t="str">
        <f aca="false">IF(OR($B1208="",NOT(ISNUMBER($E1208))),"",$E1208-IF($F1208="",0,$F1208))</f>
        <v/>
      </c>
      <c r="H1208" s="15" t="str">
        <f aca="false">IF($B1208="","",IFERROR(INDEX(Services!$A$2:$A$120,MATCH($B1208,Services!$D$2:$D$120,0)),""))</f>
        <v/>
      </c>
      <c r="I1208" s="19"/>
      <c r="J1208" s="15" t="str">
        <f aca="false">IF($B1208="","",IFERROR(INDEX(Services!$E$2:$E$120,MATCH($B1208,Services!$D$2:$D$120,0)),""))</f>
        <v/>
      </c>
    </row>
    <row r="1209" customFormat="false" ht="14.25" hidden="false" customHeight="false" outlineLevel="0" collapsed="false">
      <c r="A1209" s="18"/>
      <c r="B1209" s="6"/>
      <c r="C1209" s="6"/>
      <c r="D1209" s="6"/>
      <c r="E1209" s="16" t="str">
        <f aca="false">IF($B1209="","",IFERROR(INDEX(Services!$C$2:$C$120,MATCH($B1209,Services!$D$2:$D$120,0)),""))</f>
        <v/>
      </c>
      <c r="F1209" s="19"/>
      <c r="G1209" s="9" t="str">
        <f aca="false">IF(OR($B1209="",NOT(ISNUMBER($E1209))),"",$E1209-IF($F1209="",0,$F1209))</f>
        <v/>
      </c>
      <c r="H1209" s="15" t="str">
        <f aca="false">IF($B1209="","",IFERROR(INDEX(Services!$A$2:$A$120,MATCH($B1209,Services!$D$2:$D$120,0)),""))</f>
        <v/>
      </c>
      <c r="I1209" s="19"/>
      <c r="J1209" s="15" t="str">
        <f aca="false">IF($B1209="","",IFERROR(INDEX(Services!$E$2:$E$120,MATCH($B1209,Services!$D$2:$D$120,0)),""))</f>
        <v/>
      </c>
    </row>
    <row r="1210" customFormat="false" ht="14.25" hidden="false" customHeight="false" outlineLevel="0" collapsed="false">
      <c r="A1210" s="18"/>
      <c r="B1210" s="6"/>
      <c r="C1210" s="6"/>
      <c r="D1210" s="6"/>
      <c r="E1210" s="16" t="str">
        <f aca="false">IF($B1210="","",IFERROR(INDEX(Services!$C$2:$C$120,MATCH($B1210,Services!$D$2:$D$120,0)),""))</f>
        <v/>
      </c>
      <c r="F1210" s="19"/>
      <c r="G1210" s="9" t="str">
        <f aca="false">IF(OR($B1210="",NOT(ISNUMBER($E1210))),"",$E1210-IF($F1210="",0,$F1210))</f>
        <v/>
      </c>
      <c r="H1210" s="15" t="str">
        <f aca="false">IF($B1210="","",IFERROR(INDEX(Services!$A$2:$A$120,MATCH($B1210,Services!$D$2:$D$120,0)),""))</f>
        <v/>
      </c>
      <c r="I1210" s="19"/>
      <c r="J1210" s="15" t="str">
        <f aca="false">IF($B1210="","",IFERROR(INDEX(Services!$E$2:$E$120,MATCH($B1210,Services!$D$2:$D$120,0)),""))</f>
        <v/>
      </c>
    </row>
    <row r="1211" customFormat="false" ht="14.25" hidden="false" customHeight="false" outlineLevel="0" collapsed="false">
      <c r="A1211" s="18"/>
      <c r="B1211" s="6"/>
      <c r="C1211" s="6"/>
      <c r="D1211" s="6"/>
      <c r="E1211" s="16" t="str">
        <f aca="false">IF($B1211="","",IFERROR(INDEX(Services!$C$2:$C$120,MATCH($B1211,Services!$D$2:$D$120,0)),""))</f>
        <v/>
      </c>
      <c r="F1211" s="19"/>
      <c r="G1211" s="9" t="str">
        <f aca="false">IF(OR($B1211="",NOT(ISNUMBER($E1211))),"",$E1211-IF($F1211="",0,$F1211))</f>
        <v/>
      </c>
      <c r="H1211" s="15" t="str">
        <f aca="false">IF($B1211="","",IFERROR(INDEX(Services!$A$2:$A$120,MATCH($B1211,Services!$D$2:$D$120,0)),""))</f>
        <v/>
      </c>
      <c r="I1211" s="19"/>
      <c r="J1211" s="15" t="str">
        <f aca="false">IF($B1211="","",IFERROR(INDEX(Services!$E$2:$E$120,MATCH($B1211,Services!$D$2:$D$120,0)),""))</f>
        <v/>
      </c>
    </row>
    <row r="1212" customFormat="false" ht="14.25" hidden="false" customHeight="false" outlineLevel="0" collapsed="false">
      <c r="A1212" s="18"/>
      <c r="B1212" s="6"/>
      <c r="C1212" s="6"/>
      <c r="D1212" s="6"/>
      <c r="E1212" s="16" t="str">
        <f aca="false">IF($B1212="","",IFERROR(INDEX(Services!$C$2:$C$120,MATCH($B1212,Services!$D$2:$D$120,0)),""))</f>
        <v/>
      </c>
      <c r="F1212" s="19"/>
      <c r="G1212" s="9" t="str">
        <f aca="false">IF(OR($B1212="",NOT(ISNUMBER($E1212))),"",$E1212-IF($F1212="",0,$F1212))</f>
        <v/>
      </c>
      <c r="H1212" s="15" t="str">
        <f aca="false">IF($B1212="","",IFERROR(INDEX(Services!$A$2:$A$120,MATCH($B1212,Services!$D$2:$D$120,0)),""))</f>
        <v/>
      </c>
      <c r="I1212" s="19"/>
      <c r="J1212" s="15" t="str">
        <f aca="false">IF($B1212="","",IFERROR(INDEX(Services!$E$2:$E$120,MATCH($B1212,Services!$D$2:$D$120,0)),""))</f>
        <v/>
      </c>
    </row>
    <row r="1213" customFormat="false" ht="14.25" hidden="false" customHeight="false" outlineLevel="0" collapsed="false">
      <c r="A1213" s="18"/>
      <c r="B1213" s="6"/>
      <c r="C1213" s="6"/>
      <c r="D1213" s="6"/>
      <c r="E1213" s="16" t="str">
        <f aca="false">IF($B1213="","",IFERROR(INDEX(Services!$C$2:$C$120,MATCH($B1213,Services!$D$2:$D$120,0)),""))</f>
        <v/>
      </c>
      <c r="F1213" s="19"/>
      <c r="G1213" s="9" t="str">
        <f aca="false">IF(OR($B1213="",NOT(ISNUMBER($E1213))),"",$E1213-IF($F1213="",0,$F1213))</f>
        <v/>
      </c>
      <c r="H1213" s="15" t="str">
        <f aca="false">IF($B1213="","",IFERROR(INDEX(Services!$A$2:$A$120,MATCH($B1213,Services!$D$2:$D$120,0)),""))</f>
        <v/>
      </c>
      <c r="I1213" s="19"/>
      <c r="J1213" s="15" t="str">
        <f aca="false">IF($B1213="","",IFERROR(INDEX(Services!$E$2:$E$120,MATCH($B1213,Services!$D$2:$D$120,0)),""))</f>
        <v/>
      </c>
    </row>
    <row r="1214" customFormat="false" ht="14.25" hidden="false" customHeight="false" outlineLevel="0" collapsed="false">
      <c r="A1214" s="18"/>
      <c r="B1214" s="6"/>
      <c r="C1214" s="6"/>
      <c r="D1214" s="6"/>
      <c r="E1214" s="16" t="str">
        <f aca="false">IF($B1214="","",IFERROR(INDEX(Services!$C$2:$C$120,MATCH($B1214,Services!$D$2:$D$120,0)),""))</f>
        <v/>
      </c>
      <c r="F1214" s="19"/>
      <c r="G1214" s="9" t="str">
        <f aca="false">IF(OR($B1214="",NOT(ISNUMBER($E1214))),"",$E1214-IF($F1214="",0,$F1214))</f>
        <v/>
      </c>
      <c r="H1214" s="15" t="str">
        <f aca="false">IF($B1214="","",IFERROR(INDEX(Services!$A$2:$A$120,MATCH($B1214,Services!$D$2:$D$120,0)),""))</f>
        <v/>
      </c>
      <c r="I1214" s="19"/>
      <c r="J1214" s="15" t="str">
        <f aca="false">IF($B1214="","",IFERROR(INDEX(Services!$E$2:$E$120,MATCH($B1214,Services!$D$2:$D$120,0)),""))</f>
        <v/>
      </c>
    </row>
    <row r="1215" customFormat="false" ht="14.25" hidden="false" customHeight="false" outlineLevel="0" collapsed="false">
      <c r="A1215" s="18"/>
      <c r="B1215" s="6"/>
      <c r="C1215" s="6"/>
      <c r="D1215" s="6"/>
      <c r="E1215" s="16" t="str">
        <f aca="false">IF($B1215="","",IFERROR(INDEX(Services!$C$2:$C$120,MATCH($B1215,Services!$D$2:$D$120,0)),""))</f>
        <v/>
      </c>
      <c r="F1215" s="19"/>
      <c r="G1215" s="9" t="str">
        <f aca="false">IF(OR($B1215="",NOT(ISNUMBER($E1215))),"",$E1215-IF($F1215="",0,$F1215))</f>
        <v/>
      </c>
      <c r="H1215" s="15" t="str">
        <f aca="false">IF($B1215="","",IFERROR(INDEX(Services!$A$2:$A$120,MATCH($B1215,Services!$D$2:$D$120,0)),""))</f>
        <v/>
      </c>
      <c r="I1215" s="19"/>
      <c r="J1215" s="15" t="str">
        <f aca="false">IF($B1215="","",IFERROR(INDEX(Services!$E$2:$E$120,MATCH($B1215,Services!$D$2:$D$120,0)),""))</f>
        <v/>
      </c>
    </row>
    <row r="1216" customFormat="false" ht="14.25" hidden="false" customHeight="false" outlineLevel="0" collapsed="false">
      <c r="A1216" s="18"/>
      <c r="B1216" s="6"/>
      <c r="C1216" s="6"/>
      <c r="D1216" s="6"/>
      <c r="E1216" s="16" t="str">
        <f aca="false">IF($B1216="","",IFERROR(INDEX(Services!$C$2:$C$120,MATCH($B1216,Services!$D$2:$D$120,0)),""))</f>
        <v/>
      </c>
      <c r="F1216" s="19"/>
      <c r="G1216" s="9" t="str">
        <f aca="false">IF(OR($B1216="",NOT(ISNUMBER($E1216))),"",$E1216-IF($F1216="",0,$F1216))</f>
        <v/>
      </c>
      <c r="H1216" s="15" t="str">
        <f aca="false">IF($B1216="","",IFERROR(INDEX(Services!$A$2:$A$120,MATCH($B1216,Services!$D$2:$D$120,0)),""))</f>
        <v/>
      </c>
      <c r="I1216" s="19"/>
      <c r="J1216" s="15" t="str">
        <f aca="false">IF($B1216="","",IFERROR(INDEX(Services!$E$2:$E$120,MATCH($B1216,Services!$D$2:$D$120,0)),""))</f>
        <v/>
      </c>
    </row>
    <row r="1217" customFormat="false" ht="14.25" hidden="false" customHeight="false" outlineLevel="0" collapsed="false">
      <c r="A1217" s="18"/>
      <c r="B1217" s="6"/>
      <c r="C1217" s="6"/>
      <c r="D1217" s="6"/>
      <c r="E1217" s="16" t="str">
        <f aca="false">IF($B1217="","",IFERROR(INDEX(Services!$C$2:$C$120,MATCH($B1217,Services!$D$2:$D$120,0)),""))</f>
        <v/>
      </c>
      <c r="F1217" s="19"/>
      <c r="G1217" s="9" t="str">
        <f aca="false">IF(OR($B1217="",NOT(ISNUMBER($E1217))),"",$E1217-IF($F1217="",0,$F1217))</f>
        <v/>
      </c>
      <c r="H1217" s="15" t="str">
        <f aca="false">IF($B1217="","",IFERROR(INDEX(Services!$A$2:$A$120,MATCH($B1217,Services!$D$2:$D$120,0)),""))</f>
        <v/>
      </c>
      <c r="I1217" s="19"/>
      <c r="J1217" s="15" t="str">
        <f aca="false">IF($B1217="","",IFERROR(INDEX(Services!$E$2:$E$120,MATCH($B1217,Services!$D$2:$D$120,0)),""))</f>
        <v/>
      </c>
    </row>
    <row r="1218" customFormat="false" ht="14.25" hidden="false" customHeight="false" outlineLevel="0" collapsed="false">
      <c r="A1218" s="18"/>
      <c r="B1218" s="6"/>
      <c r="C1218" s="6"/>
      <c r="D1218" s="6"/>
      <c r="E1218" s="16" t="str">
        <f aca="false">IF($B1218="","",IFERROR(INDEX(Services!$C$2:$C$120,MATCH($B1218,Services!$D$2:$D$120,0)),""))</f>
        <v/>
      </c>
      <c r="F1218" s="19"/>
      <c r="G1218" s="9" t="str">
        <f aca="false">IF(OR($B1218="",NOT(ISNUMBER($E1218))),"",$E1218-IF($F1218="",0,$F1218))</f>
        <v/>
      </c>
      <c r="H1218" s="15" t="str">
        <f aca="false">IF($B1218="","",IFERROR(INDEX(Services!$A$2:$A$120,MATCH($B1218,Services!$D$2:$D$120,0)),""))</f>
        <v/>
      </c>
      <c r="I1218" s="19"/>
      <c r="J1218" s="15" t="str">
        <f aca="false">IF($B1218="","",IFERROR(INDEX(Services!$E$2:$E$120,MATCH($B1218,Services!$D$2:$D$120,0)),""))</f>
        <v/>
      </c>
    </row>
    <row r="1219" customFormat="false" ht="14.25" hidden="false" customHeight="false" outlineLevel="0" collapsed="false">
      <c r="A1219" s="18"/>
      <c r="B1219" s="6"/>
      <c r="C1219" s="6"/>
      <c r="D1219" s="6"/>
      <c r="E1219" s="16" t="str">
        <f aca="false">IF($B1219="","",IFERROR(INDEX(Services!$C$2:$C$120,MATCH($B1219,Services!$D$2:$D$120,0)),""))</f>
        <v/>
      </c>
      <c r="F1219" s="19"/>
      <c r="G1219" s="9" t="str">
        <f aca="false">IF(OR($B1219="",NOT(ISNUMBER($E1219))),"",$E1219-IF($F1219="",0,$F1219))</f>
        <v/>
      </c>
      <c r="H1219" s="15" t="str">
        <f aca="false">IF($B1219="","",IFERROR(INDEX(Services!$A$2:$A$120,MATCH($B1219,Services!$D$2:$D$120,0)),""))</f>
        <v/>
      </c>
      <c r="I1219" s="19"/>
      <c r="J1219" s="15" t="str">
        <f aca="false">IF($B1219="","",IFERROR(INDEX(Services!$E$2:$E$120,MATCH($B1219,Services!$D$2:$D$120,0)),""))</f>
        <v/>
      </c>
    </row>
    <row r="1220" customFormat="false" ht="14.25" hidden="false" customHeight="false" outlineLevel="0" collapsed="false">
      <c r="A1220" s="18"/>
      <c r="B1220" s="6"/>
      <c r="C1220" s="6"/>
      <c r="D1220" s="6"/>
      <c r="E1220" s="16" t="str">
        <f aca="false">IF($B1220="","",IFERROR(INDEX(Services!$C$2:$C$120,MATCH($B1220,Services!$D$2:$D$120,0)),""))</f>
        <v/>
      </c>
      <c r="F1220" s="19"/>
      <c r="G1220" s="9" t="str">
        <f aca="false">IF(OR($B1220="",NOT(ISNUMBER($E1220))),"",$E1220-IF($F1220="",0,$F1220))</f>
        <v/>
      </c>
      <c r="H1220" s="15" t="str">
        <f aca="false">IF($B1220="","",IFERROR(INDEX(Services!$A$2:$A$120,MATCH($B1220,Services!$D$2:$D$120,0)),""))</f>
        <v/>
      </c>
      <c r="I1220" s="19"/>
      <c r="J1220" s="15" t="str">
        <f aca="false">IF($B1220="","",IFERROR(INDEX(Services!$E$2:$E$120,MATCH($B1220,Services!$D$2:$D$120,0)),""))</f>
        <v/>
      </c>
    </row>
    <row r="1221" customFormat="false" ht="14.25" hidden="false" customHeight="false" outlineLevel="0" collapsed="false">
      <c r="A1221" s="18"/>
      <c r="B1221" s="6"/>
      <c r="C1221" s="6"/>
      <c r="D1221" s="6"/>
      <c r="E1221" s="16" t="str">
        <f aca="false">IF($B1221="","",IFERROR(INDEX(Services!$C$2:$C$120,MATCH($B1221,Services!$D$2:$D$120,0)),""))</f>
        <v/>
      </c>
      <c r="F1221" s="19"/>
      <c r="G1221" s="9" t="str">
        <f aca="false">IF(OR($B1221="",NOT(ISNUMBER($E1221))),"",$E1221-IF($F1221="",0,$F1221))</f>
        <v/>
      </c>
      <c r="H1221" s="15" t="str">
        <f aca="false">IF($B1221="","",IFERROR(INDEX(Services!$A$2:$A$120,MATCH($B1221,Services!$D$2:$D$120,0)),""))</f>
        <v/>
      </c>
      <c r="I1221" s="19"/>
      <c r="J1221" s="15" t="str">
        <f aca="false">IF($B1221="","",IFERROR(INDEX(Services!$E$2:$E$120,MATCH($B1221,Services!$D$2:$D$120,0)),""))</f>
        <v/>
      </c>
    </row>
    <row r="1222" customFormat="false" ht="14.25" hidden="false" customHeight="false" outlineLevel="0" collapsed="false">
      <c r="A1222" s="18"/>
      <c r="B1222" s="6"/>
      <c r="C1222" s="6"/>
      <c r="D1222" s="6"/>
      <c r="E1222" s="16" t="str">
        <f aca="false">IF($B1222="","",IFERROR(INDEX(Services!$C$2:$C$120,MATCH($B1222,Services!$D$2:$D$120,0)),""))</f>
        <v/>
      </c>
      <c r="F1222" s="19"/>
      <c r="G1222" s="9" t="str">
        <f aca="false">IF(OR($B1222="",NOT(ISNUMBER($E1222))),"",$E1222-IF($F1222="",0,$F1222))</f>
        <v/>
      </c>
      <c r="H1222" s="15" t="str">
        <f aca="false">IF($B1222="","",IFERROR(INDEX(Services!$A$2:$A$120,MATCH($B1222,Services!$D$2:$D$120,0)),""))</f>
        <v/>
      </c>
      <c r="I1222" s="19"/>
      <c r="J1222" s="15" t="str">
        <f aca="false">IF($B1222="","",IFERROR(INDEX(Services!$E$2:$E$120,MATCH($B1222,Services!$D$2:$D$120,0)),""))</f>
        <v/>
      </c>
    </row>
    <row r="1223" customFormat="false" ht="14.25" hidden="false" customHeight="false" outlineLevel="0" collapsed="false">
      <c r="A1223" s="18"/>
      <c r="B1223" s="6"/>
      <c r="C1223" s="6"/>
      <c r="D1223" s="6"/>
      <c r="E1223" s="16" t="str">
        <f aca="false">IF($B1223="","",IFERROR(INDEX(Services!$C$2:$C$120,MATCH($B1223,Services!$D$2:$D$120,0)),""))</f>
        <v/>
      </c>
      <c r="F1223" s="19"/>
      <c r="G1223" s="9" t="str">
        <f aca="false">IF(OR($B1223="",NOT(ISNUMBER($E1223))),"",$E1223-IF($F1223="",0,$F1223))</f>
        <v/>
      </c>
      <c r="H1223" s="15" t="str">
        <f aca="false">IF($B1223="","",IFERROR(INDEX(Services!$A$2:$A$120,MATCH($B1223,Services!$D$2:$D$120,0)),""))</f>
        <v/>
      </c>
      <c r="I1223" s="19"/>
      <c r="J1223" s="15" t="str">
        <f aca="false">IF($B1223="","",IFERROR(INDEX(Services!$E$2:$E$120,MATCH($B1223,Services!$D$2:$D$120,0)),""))</f>
        <v/>
      </c>
    </row>
    <row r="1224" customFormat="false" ht="14.25" hidden="false" customHeight="false" outlineLevel="0" collapsed="false">
      <c r="A1224" s="18"/>
      <c r="B1224" s="6"/>
      <c r="C1224" s="6"/>
      <c r="D1224" s="6"/>
      <c r="E1224" s="16" t="str">
        <f aca="false">IF($B1224="","",IFERROR(INDEX(Services!$C$2:$C$120,MATCH($B1224,Services!$D$2:$D$120,0)),""))</f>
        <v/>
      </c>
      <c r="F1224" s="19"/>
      <c r="G1224" s="9" t="str">
        <f aca="false">IF(OR($B1224="",NOT(ISNUMBER($E1224))),"",$E1224-IF($F1224="",0,$F1224))</f>
        <v/>
      </c>
      <c r="H1224" s="15" t="str">
        <f aca="false">IF($B1224="","",IFERROR(INDEX(Services!$A$2:$A$120,MATCH($B1224,Services!$D$2:$D$120,0)),""))</f>
        <v/>
      </c>
      <c r="I1224" s="19"/>
      <c r="J1224" s="15" t="str">
        <f aca="false">IF($B1224="","",IFERROR(INDEX(Services!$E$2:$E$120,MATCH($B1224,Services!$D$2:$D$120,0)),""))</f>
        <v/>
      </c>
    </row>
    <row r="1225" customFormat="false" ht="14.25" hidden="false" customHeight="false" outlineLevel="0" collapsed="false">
      <c r="A1225" s="18"/>
      <c r="B1225" s="6"/>
      <c r="C1225" s="6"/>
      <c r="D1225" s="6"/>
      <c r="E1225" s="16" t="str">
        <f aca="false">IF($B1225="","",IFERROR(INDEX(Services!$C$2:$C$120,MATCH($B1225,Services!$D$2:$D$120,0)),""))</f>
        <v/>
      </c>
      <c r="F1225" s="19"/>
      <c r="G1225" s="9" t="str">
        <f aca="false">IF(OR($B1225="",NOT(ISNUMBER($E1225))),"",$E1225-IF($F1225="",0,$F1225))</f>
        <v/>
      </c>
      <c r="H1225" s="15" t="str">
        <f aca="false">IF($B1225="","",IFERROR(INDEX(Services!$A$2:$A$120,MATCH($B1225,Services!$D$2:$D$120,0)),""))</f>
        <v/>
      </c>
      <c r="I1225" s="19"/>
      <c r="J1225" s="15" t="str">
        <f aca="false">IF($B1225="","",IFERROR(INDEX(Services!$E$2:$E$120,MATCH($B1225,Services!$D$2:$D$120,0)),""))</f>
        <v/>
      </c>
    </row>
    <row r="1226" customFormat="false" ht="14.25" hidden="false" customHeight="false" outlineLevel="0" collapsed="false">
      <c r="A1226" s="18"/>
      <c r="B1226" s="6"/>
      <c r="C1226" s="6"/>
      <c r="D1226" s="6"/>
      <c r="E1226" s="16" t="str">
        <f aca="false">IF($B1226="","",IFERROR(INDEX(Services!$C$2:$C$120,MATCH($B1226,Services!$D$2:$D$120,0)),""))</f>
        <v/>
      </c>
      <c r="F1226" s="19"/>
      <c r="G1226" s="9" t="str">
        <f aca="false">IF(OR($B1226="",NOT(ISNUMBER($E1226))),"",$E1226-IF($F1226="",0,$F1226))</f>
        <v/>
      </c>
      <c r="H1226" s="15" t="str">
        <f aca="false">IF($B1226="","",IFERROR(INDEX(Services!$A$2:$A$120,MATCH($B1226,Services!$D$2:$D$120,0)),""))</f>
        <v/>
      </c>
      <c r="I1226" s="19"/>
      <c r="J1226" s="15" t="str">
        <f aca="false">IF($B1226="","",IFERROR(INDEX(Services!$E$2:$E$120,MATCH($B1226,Services!$D$2:$D$120,0)),""))</f>
        <v/>
      </c>
    </row>
    <row r="1227" customFormat="false" ht="14.25" hidden="false" customHeight="false" outlineLevel="0" collapsed="false">
      <c r="A1227" s="18"/>
      <c r="B1227" s="6"/>
      <c r="C1227" s="6"/>
      <c r="D1227" s="6"/>
      <c r="E1227" s="16" t="str">
        <f aca="false">IF($B1227="","",IFERROR(INDEX(Services!$C$2:$C$120,MATCH($B1227,Services!$D$2:$D$120,0)),""))</f>
        <v/>
      </c>
      <c r="F1227" s="19"/>
      <c r="G1227" s="9" t="str">
        <f aca="false">IF(OR($B1227="",NOT(ISNUMBER($E1227))),"",$E1227-IF($F1227="",0,$F1227))</f>
        <v/>
      </c>
      <c r="H1227" s="15" t="str">
        <f aca="false">IF($B1227="","",IFERROR(INDEX(Services!$A$2:$A$120,MATCH($B1227,Services!$D$2:$D$120,0)),""))</f>
        <v/>
      </c>
      <c r="I1227" s="19"/>
      <c r="J1227" s="15" t="str">
        <f aca="false">IF($B1227="","",IFERROR(INDEX(Services!$E$2:$E$120,MATCH($B1227,Services!$D$2:$D$120,0)),""))</f>
        <v/>
      </c>
    </row>
    <row r="1228" customFormat="false" ht="14.25" hidden="false" customHeight="false" outlineLevel="0" collapsed="false">
      <c r="A1228" s="18"/>
      <c r="B1228" s="6"/>
      <c r="C1228" s="6"/>
      <c r="D1228" s="6"/>
      <c r="E1228" s="16" t="str">
        <f aca="false">IF($B1228="","",IFERROR(INDEX(Services!$C$2:$C$120,MATCH($B1228,Services!$D$2:$D$120,0)),""))</f>
        <v/>
      </c>
      <c r="F1228" s="19"/>
      <c r="G1228" s="9" t="str">
        <f aca="false">IF(OR($B1228="",NOT(ISNUMBER($E1228))),"",$E1228-IF($F1228="",0,$F1228))</f>
        <v/>
      </c>
      <c r="H1228" s="15" t="str">
        <f aca="false">IF($B1228="","",IFERROR(INDEX(Services!$A$2:$A$120,MATCH($B1228,Services!$D$2:$D$120,0)),""))</f>
        <v/>
      </c>
      <c r="I1228" s="19"/>
      <c r="J1228" s="15" t="str">
        <f aca="false">IF($B1228="","",IFERROR(INDEX(Services!$E$2:$E$120,MATCH($B1228,Services!$D$2:$D$120,0)),""))</f>
        <v/>
      </c>
    </row>
    <row r="1229" customFormat="false" ht="14.25" hidden="false" customHeight="false" outlineLevel="0" collapsed="false">
      <c r="A1229" s="18"/>
      <c r="B1229" s="6"/>
      <c r="C1229" s="6"/>
      <c r="D1229" s="6"/>
      <c r="E1229" s="16" t="str">
        <f aca="false">IF($B1229="","",IFERROR(INDEX(Services!$C$2:$C$120,MATCH($B1229,Services!$D$2:$D$120,0)),""))</f>
        <v/>
      </c>
      <c r="F1229" s="19"/>
      <c r="G1229" s="9" t="str">
        <f aca="false">IF(OR($B1229="",NOT(ISNUMBER($E1229))),"",$E1229-IF($F1229="",0,$F1229))</f>
        <v/>
      </c>
      <c r="H1229" s="15" t="str">
        <f aca="false">IF($B1229="","",IFERROR(INDEX(Services!$A$2:$A$120,MATCH($B1229,Services!$D$2:$D$120,0)),""))</f>
        <v/>
      </c>
      <c r="I1229" s="19"/>
      <c r="J1229" s="15" t="str">
        <f aca="false">IF($B1229="","",IFERROR(INDEX(Services!$E$2:$E$120,MATCH($B1229,Services!$D$2:$D$120,0)),""))</f>
        <v/>
      </c>
    </row>
    <row r="1230" customFormat="false" ht="14.25" hidden="false" customHeight="false" outlineLevel="0" collapsed="false">
      <c r="A1230" s="18"/>
      <c r="B1230" s="6"/>
      <c r="C1230" s="6"/>
      <c r="D1230" s="6"/>
      <c r="E1230" s="16" t="str">
        <f aca="false">IF($B1230="","",IFERROR(INDEX(Services!$C$2:$C$120,MATCH($B1230,Services!$D$2:$D$120,0)),""))</f>
        <v/>
      </c>
      <c r="F1230" s="19"/>
      <c r="G1230" s="9" t="str">
        <f aca="false">IF(OR($B1230="",NOT(ISNUMBER($E1230))),"",$E1230-IF($F1230="",0,$F1230))</f>
        <v/>
      </c>
      <c r="H1230" s="15" t="str">
        <f aca="false">IF($B1230="","",IFERROR(INDEX(Services!$A$2:$A$120,MATCH($B1230,Services!$D$2:$D$120,0)),""))</f>
        <v/>
      </c>
      <c r="I1230" s="19"/>
      <c r="J1230" s="15" t="str">
        <f aca="false">IF($B1230="","",IFERROR(INDEX(Services!$E$2:$E$120,MATCH($B1230,Services!$D$2:$D$120,0)),""))</f>
        <v/>
      </c>
    </row>
    <row r="1231" customFormat="false" ht="14.25" hidden="false" customHeight="false" outlineLevel="0" collapsed="false">
      <c r="A1231" s="18"/>
      <c r="B1231" s="6"/>
      <c r="C1231" s="6"/>
      <c r="D1231" s="6"/>
      <c r="E1231" s="16" t="str">
        <f aca="false">IF($B1231="","",IFERROR(INDEX(Services!$C$2:$C$120,MATCH($B1231,Services!$D$2:$D$120,0)),""))</f>
        <v/>
      </c>
      <c r="F1231" s="19"/>
      <c r="G1231" s="9" t="str">
        <f aca="false">IF(OR($B1231="",NOT(ISNUMBER($E1231))),"",$E1231-IF($F1231="",0,$F1231))</f>
        <v/>
      </c>
      <c r="H1231" s="15" t="str">
        <f aca="false">IF($B1231="","",IFERROR(INDEX(Services!$A$2:$A$120,MATCH($B1231,Services!$D$2:$D$120,0)),""))</f>
        <v/>
      </c>
      <c r="I1231" s="19"/>
      <c r="J1231" s="15" t="str">
        <f aca="false">IF($B1231="","",IFERROR(INDEX(Services!$E$2:$E$120,MATCH($B1231,Services!$D$2:$D$120,0)),""))</f>
        <v/>
      </c>
    </row>
    <row r="1232" customFormat="false" ht="14.25" hidden="false" customHeight="false" outlineLevel="0" collapsed="false">
      <c r="A1232" s="18"/>
      <c r="B1232" s="6"/>
      <c r="C1232" s="6"/>
      <c r="D1232" s="6"/>
      <c r="E1232" s="16" t="str">
        <f aca="false">IF($B1232="","",IFERROR(INDEX(Services!$C$2:$C$120,MATCH($B1232,Services!$D$2:$D$120,0)),""))</f>
        <v/>
      </c>
      <c r="F1232" s="19"/>
      <c r="G1232" s="9" t="str">
        <f aca="false">IF(OR($B1232="",NOT(ISNUMBER($E1232))),"",$E1232-IF($F1232="",0,$F1232))</f>
        <v/>
      </c>
      <c r="H1232" s="15" t="str">
        <f aca="false">IF($B1232="","",IFERROR(INDEX(Services!$A$2:$A$120,MATCH($B1232,Services!$D$2:$D$120,0)),""))</f>
        <v/>
      </c>
      <c r="I1232" s="19"/>
      <c r="J1232" s="15" t="str">
        <f aca="false">IF($B1232="","",IFERROR(INDEX(Services!$E$2:$E$120,MATCH($B1232,Services!$D$2:$D$120,0)),""))</f>
        <v/>
      </c>
    </row>
    <row r="1233" customFormat="false" ht="14.25" hidden="false" customHeight="false" outlineLevel="0" collapsed="false">
      <c r="A1233" s="18"/>
      <c r="B1233" s="6"/>
      <c r="C1233" s="6"/>
      <c r="D1233" s="6"/>
      <c r="E1233" s="16" t="str">
        <f aca="false">IF($B1233="","",IFERROR(INDEX(Services!$C$2:$C$120,MATCH($B1233,Services!$D$2:$D$120,0)),""))</f>
        <v/>
      </c>
      <c r="F1233" s="19"/>
      <c r="G1233" s="9" t="str">
        <f aca="false">IF(OR($B1233="",NOT(ISNUMBER($E1233))),"",$E1233-IF($F1233="",0,$F1233))</f>
        <v/>
      </c>
      <c r="H1233" s="15" t="str">
        <f aca="false">IF($B1233="","",IFERROR(INDEX(Services!$A$2:$A$120,MATCH($B1233,Services!$D$2:$D$120,0)),""))</f>
        <v/>
      </c>
      <c r="I1233" s="19"/>
      <c r="J1233" s="15" t="str">
        <f aca="false">IF($B1233="","",IFERROR(INDEX(Services!$E$2:$E$120,MATCH($B1233,Services!$D$2:$D$120,0)),""))</f>
        <v/>
      </c>
    </row>
    <row r="1234" customFormat="false" ht="14.25" hidden="false" customHeight="false" outlineLevel="0" collapsed="false">
      <c r="A1234" s="18"/>
      <c r="B1234" s="6"/>
      <c r="C1234" s="6"/>
      <c r="D1234" s="6"/>
      <c r="E1234" s="16" t="str">
        <f aca="false">IF($B1234="","",IFERROR(INDEX(Services!$C$2:$C$120,MATCH($B1234,Services!$D$2:$D$120,0)),""))</f>
        <v/>
      </c>
      <c r="F1234" s="19"/>
      <c r="G1234" s="9" t="str">
        <f aca="false">IF(OR($B1234="",NOT(ISNUMBER($E1234))),"",$E1234-IF($F1234="",0,$F1234))</f>
        <v/>
      </c>
      <c r="H1234" s="15" t="str">
        <f aca="false">IF($B1234="","",IFERROR(INDEX(Services!$A$2:$A$120,MATCH($B1234,Services!$D$2:$D$120,0)),""))</f>
        <v/>
      </c>
      <c r="I1234" s="19"/>
      <c r="J1234" s="15" t="str">
        <f aca="false">IF($B1234="","",IFERROR(INDEX(Services!$E$2:$E$120,MATCH($B1234,Services!$D$2:$D$120,0)),""))</f>
        <v/>
      </c>
    </row>
    <row r="1235" customFormat="false" ht="14.25" hidden="false" customHeight="false" outlineLevel="0" collapsed="false">
      <c r="A1235" s="18"/>
      <c r="B1235" s="6"/>
      <c r="C1235" s="6"/>
      <c r="D1235" s="6"/>
      <c r="E1235" s="16" t="str">
        <f aca="false">IF($B1235="","",IFERROR(INDEX(Services!$C$2:$C$120,MATCH($B1235,Services!$D$2:$D$120,0)),""))</f>
        <v/>
      </c>
      <c r="F1235" s="19"/>
      <c r="G1235" s="9" t="str">
        <f aca="false">IF(OR($B1235="",NOT(ISNUMBER($E1235))),"",$E1235-IF($F1235="",0,$F1235))</f>
        <v/>
      </c>
      <c r="H1235" s="15" t="str">
        <f aca="false">IF($B1235="","",IFERROR(INDEX(Services!$A$2:$A$120,MATCH($B1235,Services!$D$2:$D$120,0)),""))</f>
        <v/>
      </c>
      <c r="I1235" s="19"/>
      <c r="J1235" s="15" t="str">
        <f aca="false">IF($B1235="","",IFERROR(INDEX(Services!$E$2:$E$120,MATCH($B1235,Services!$D$2:$D$120,0)),""))</f>
        <v/>
      </c>
    </row>
    <row r="1236" customFormat="false" ht="14.25" hidden="false" customHeight="false" outlineLevel="0" collapsed="false">
      <c r="A1236" s="18"/>
      <c r="B1236" s="6"/>
      <c r="C1236" s="6"/>
      <c r="D1236" s="6"/>
      <c r="E1236" s="16" t="str">
        <f aca="false">IF($B1236="","",IFERROR(INDEX(Services!$C$2:$C$120,MATCH($B1236,Services!$D$2:$D$120,0)),""))</f>
        <v/>
      </c>
      <c r="F1236" s="19"/>
      <c r="G1236" s="9" t="str">
        <f aca="false">IF(OR($B1236="",NOT(ISNUMBER($E1236))),"",$E1236-IF($F1236="",0,$F1236))</f>
        <v/>
      </c>
      <c r="H1236" s="15" t="str">
        <f aca="false">IF($B1236="","",IFERROR(INDEX(Services!$A$2:$A$120,MATCH($B1236,Services!$D$2:$D$120,0)),""))</f>
        <v/>
      </c>
      <c r="I1236" s="19"/>
      <c r="J1236" s="15" t="str">
        <f aca="false">IF($B1236="","",IFERROR(INDEX(Services!$E$2:$E$120,MATCH($B1236,Services!$D$2:$D$120,0)),""))</f>
        <v/>
      </c>
    </row>
    <row r="1237" customFormat="false" ht="14.25" hidden="false" customHeight="false" outlineLevel="0" collapsed="false">
      <c r="A1237" s="18"/>
      <c r="B1237" s="6"/>
      <c r="C1237" s="6"/>
      <c r="D1237" s="6"/>
      <c r="E1237" s="16" t="str">
        <f aca="false">IF($B1237="","",IFERROR(INDEX(Services!$C$2:$C$120,MATCH($B1237,Services!$D$2:$D$120,0)),""))</f>
        <v/>
      </c>
      <c r="F1237" s="19"/>
      <c r="G1237" s="9" t="str">
        <f aca="false">IF(OR($B1237="",NOT(ISNUMBER($E1237))),"",$E1237-IF($F1237="",0,$F1237))</f>
        <v/>
      </c>
      <c r="H1237" s="15" t="str">
        <f aca="false">IF($B1237="","",IFERROR(INDEX(Services!$A$2:$A$120,MATCH($B1237,Services!$D$2:$D$120,0)),""))</f>
        <v/>
      </c>
      <c r="I1237" s="19"/>
      <c r="J1237" s="15" t="str">
        <f aca="false">IF($B1237="","",IFERROR(INDEX(Services!$E$2:$E$120,MATCH($B1237,Services!$D$2:$D$120,0)),""))</f>
        <v/>
      </c>
    </row>
    <row r="1238" customFormat="false" ht="14.25" hidden="false" customHeight="false" outlineLevel="0" collapsed="false">
      <c r="A1238" s="18"/>
      <c r="B1238" s="6"/>
      <c r="C1238" s="6"/>
      <c r="D1238" s="6"/>
      <c r="E1238" s="16" t="str">
        <f aca="false">IF($B1238="","",IFERROR(INDEX(Services!$C$2:$C$120,MATCH($B1238,Services!$D$2:$D$120,0)),""))</f>
        <v/>
      </c>
      <c r="F1238" s="19"/>
      <c r="G1238" s="9" t="str">
        <f aca="false">IF(OR($B1238="",NOT(ISNUMBER($E1238))),"",$E1238-IF($F1238="",0,$F1238))</f>
        <v/>
      </c>
      <c r="H1238" s="15" t="str">
        <f aca="false">IF($B1238="","",IFERROR(INDEX(Services!$A$2:$A$120,MATCH($B1238,Services!$D$2:$D$120,0)),""))</f>
        <v/>
      </c>
      <c r="I1238" s="19"/>
      <c r="J1238" s="15" t="str">
        <f aca="false">IF($B1238="","",IFERROR(INDEX(Services!$E$2:$E$120,MATCH($B1238,Services!$D$2:$D$120,0)),""))</f>
        <v/>
      </c>
    </row>
    <row r="1239" customFormat="false" ht="14.25" hidden="false" customHeight="false" outlineLevel="0" collapsed="false">
      <c r="A1239" s="18"/>
      <c r="B1239" s="6"/>
      <c r="C1239" s="6"/>
      <c r="D1239" s="6"/>
      <c r="E1239" s="16" t="str">
        <f aca="false">IF($B1239="","",IFERROR(INDEX(Services!$C$2:$C$120,MATCH($B1239,Services!$D$2:$D$120,0)),""))</f>
        <v/>
      </c>
      <c r="F1239" s="19"/>
      <c r="G1239" s="9" t="str">
        <f aca="false">IF(OR($B1239="",NOT(ISNUMBER($E1239))),"",$E1239-IF($F1239="",0,$F1239))</f>
        <v/>
      </c>
      <c r="H1239" s="15" t="str">
        <f aca="false">IF($B1239="","",IFERROR(INDEX(Services!$A$2:$A$120,MATCH($B1239,Services!$D$2:$D$120,0)),""))</f>
        <v/>
      </c>
      <c r="I1239" s="19"/>
      <c r="J1239" s="15" t="str">
        <f aca="false">IF($B1239="","",IFERROR(INDEX(Services!$E$2:$E$120,MATCH($B1239,Services!$D$2:$D$120,0)),""))</f>
        <v/>
      </c>
    </row>
    <row r="1240" customFormat="false" ht="14.25" hidden="false" customHeight="false" outlineLevel="0" collapsed="false">
      <c r="A1240" s="18"/>
      <c r="B1240" s="6"/>
      <c r="C1240" s="6"/>
      <c r="D1240" s="6"/>
      <c r="E1240" s="16" t="str">
        <f aca="false">IF($B1240="","",IFERROR(INDEX(Services!$C$2:$C$120,MATCH($B1240,Services!$D$2:$D$120,0)),""))</f>
        <v/>
      </c>
      <c r="F1240" s="19"/>
      <c r="G1240" s="9" t="str">
        <f aca="false">IF(OR($B1240="",NOT(ISNUMBER($E1240))),"",$E1240-IF($F1240="",0,$F1240))</f>
        <v/>
      </c>
      <c r="H1240" s="15" t="str">
        <f aca="false">IF($B1240="","",IFERROR(INDEX(Services!$A$2:$A$120,MATCH($B1240,Services!$D$2:$D$120,0)),""))</f>
        <v/>
      </c>
      <c r="I1240" s="19"/>
      <c r="J1240" s="15" t="str">
        <f aca="false">IF($B1240="","",IFERROR(INDEX(Services!$E$2:$E$120,MATCH($B1240,Services!$D$2:$D$120,0)),""))</f>
        <v/>
      </c>
    </row>
    <row r="1241" customFormat="false" ht="14.25" hidden="false" customHeight="false" outlineLevel="0" collapsed="false">
      <c r="A1241" s="18"/>
      <c r="B1241" s="6"/>
      <c r="C1241" s="6"/>
      <c r="D1241" s="6"/>
      <c r="E1241" s="16" t="str">
        <f aca="false">IF($B1241="","",IFERROR(INDEX(Services!$C$2:$C$120,MATCH($B1241,Services!$D$2:$D$120,0)),""))</f>
        <v/>
      </c>
      <c r="F1241" s="19"/>
      <c r="G1241" s="9" t="str">
        <f aca="false">IF(OR($B1241="",NOT(ISNUMBER($E1241))),"",$E1241-IF($F1241="",0,$F1241))</f>
        <v/>
      </c>
      <c r="H1241" s="15" t="str">
        <f aca="false">IF($B1241="","",IFERROR(INDEX(Services!$A$2:$A$120,MATCH($B1241,Services!$D$2:$D$120,0)),""))</f>
        <v/>
      </c>
      <c r="I1241" s="19"/>
      <c r="J1241" s="15" t="str">
        <f aca="false">IF($B1241="","",IFERROR(INDEX(Services!$E$2:$E$120,MATCH($B1241,Services!$D$2:$D$120,0)),""))</f>
        <v/>
      </c>
    </row>
    <row r="1242" customFormat="false" ht="14.25" hidden="false" customHeight="false" outlineLevel="0" collapsed="false">
      <c r="A1242" s="18"/>
      <c r="B1242" s="6"/>
      <c r="C1242" s="6"/>
      <c r="D1242" s="6"/>
      <c r="E1242" s="16" t="str">
        <f aca="false">IF($B1242="","",IFERROR(INDEX(Services!$C$2:$C$120,MATCH($B1242,Services!$D$2:$D$120,0)),""))</f>
        <v/>
      </c>
      <c r="F1242" s="19"/>
      <c r="G1242" s="9" t="str">
        <f aca="false">IF(OR($B1242="",NOT(ISNUMBER($E1242))),"",$E1242-IF($F1242="",0,$F1242))</f>
        <v/>
      </c>
      <c r="H1242" s="15" t="str">
        <f aca="false">IF($B1242="","",IFERROR(INDEX(Services!$A$2:$A$120,MATCH($B1242,Services!$D$2:$D$120,0)),""))</f>
        <v/>
      </c>
      <c r="I1242" s="19"/>
      <c r="J1242" s="15" t="str">
        <f aca="false">IF($B1242="","",IFERROR(INDEX(Services!$E$2:$E$120,MATCH($B1242,Services!$D$2:$D$120,0)),""))</f>
        <v/>
      </c>
    </row>
    <row r="1243" customFormat="false" ht="14.25" hidden="false" customHeight="false" outlineLevel="0" collapsed="false">
      <c r="A1243" s="18"/>
      <c r="B1243" s="6"/>
      <c r="C1243" s="6"/>
      <c r="D1243" s="6"/>
      <c r="E1243" s="16" t="str">
        <f aca="false">IF($B1243="","",IFERROR(INDEX(Services!$C$2:$C$120,MATCH($B1243,Services!$D$2:$D$120,0)),""))</f>
        <v/>
      </c>
      <c r="F1243" s="19"/>
      <c r="G1243" s="9" t="str">
        <f aca="false">IF(OR($B1243="",NOT(ISNUMBER($E1243))),"",$E1243-IF($F1243="",0,$F1243))</f>
        <v/>
      </c>
      <c r="H1243" s="15" t="str">
        <f aca="false">IF($B1243="","",IFERROR(INDEX(Services!$A$2:$A$120,MATCH($B1243,Services!$D$2:$D$120,0)),""))</f>
        <v/>
      </c>
      <c r="I1243" s="19"/>
      <c r="J1243" s="15" t="str">
        <f aca="false">IF($B1243="","",IFERROR(INDEX(Services!$E$2:$E$120,MATCH($B1243,Services!$D$2:$D$120,0)),""))</f>
        <v/>
      </c>
    </row>
    <row r="1244" customFormat="false" ht="14.25" hidden="false" customHeight="false" outlineLevel="0" collapsed="false">
      <c r="A1244" s="18"/>
      <c r="B1244" s="6"/>
      <c r="C1244" s="6"/>
      <c r="D1244" s="6"/>
      <c r="E1244" s="16" t="str">
        <f aca="false">IF($B1244="","",IFERROR(INDEX(Services!$C$2:$C$120,MATCH($B1244,Services!$D$2:$D$120,0)),""))</f>
        <v/>
      </c>
      <c r="F1244" s="19"/>
      <c r="G1244" s="9" t="str">
        <f aca="false">IF(OR($B1244="",NOT(ISNUMBER($E1244))),"",$E1244-IF($F1244="",0,$F1244))</f>
        <v/>
      </c>
      <c r="H1244" s="15" t="str">
        <f aca="false">IF($B1244="","",IFERROR(INDEX(Services!$A$2:$A$120,MATCH($B1244,Services!$D$2:$D$120,0)),""))</f>
        <v/>
      </c>
      <c r="I1244" s="19"/>
      <c r="J1244" s="15" t="str">
        <f aca="false">IF($B1244="","",IFERROR(INDEX(Services!$E$2:$E$120,MATCH($B1244,Services!$D$2:$D$120,0)),""))</f>
        <v/>
      </c>
    </row>
    <row r="1245" customFormat="false" ht="14.25" hidden="false" customHeight="false" outlineLevel="0" collapsed="false">
      <c r="A1245" s="18"/>
      <c r="B1245" s="6"/>
      <c r="C1245" s="6"/>
      <c r="D1245" s="6"/>
      <c r="E1245" s="16" t="str">
        <f aca="false">IF($B1245="","",IFERROR(INDEX(Services!$C$2:$C$120,MATCH($B1245,Services!$D$2:$D$120,0)),""))</f>
        <v/>
      </c>
      <c r="F1245" s="19"/>
      <c r="G1245" s="9" t="str">
        <f aca="false">IF(OR($B1245="",NOT(ISNUMBER($E1245))),"",$E1245-IF($F1245="",0,$F1245))</f>
        <v/>
      </c>
      <c r="H1245" s="15" t="str">
        <f aca="false">IF($B1245="","",IFERROR(INDEX(Services!$A$2:$A$120,MATCH($B1245,Services!$D$2:$D$120,0)),""))</f>
        <v/>
      </c>
      <c r="I1245" s="19"/>
      <c r="J1245" s="15" t="str">
        <f aca="false">IF($B1245="","",IFERROR(INDEX(Services!$E$2:$E$120,MATCH($B1245,Services!$D$2:$D$120,0)),""))</f>
        <v/>
      </c>
    </row>
    <row r="1246" customFormat="false" ht="14.25" hidden="false" customHeight="false" outlineLevel="0" collapsed="false">
      <c r="A1246" s="18"/>
      <c r="B1246" s="6"/>
      <c r="C1246" s="6"/>
      <c r="D1246" s="6"/>
      <c r="E1246" s="16" t="str">
        <f aca="false">IF($B1246="","",IFERROR(INDEX(Services!$C$2:$C$120,MATCH($B1246,Services!$D$2:$D$120,0)),""))</f>
        <v/>
      </c>
      <c r="F1246" s="19"/>
      <c r="G1246" s="9" t="str">
        <f aca="false">IF(OR($B1246="",NOT(ISNUMBER($E1246))),"",$E1246-IF($F1246="",0,$F1246))</f>
        <v/>
      </c>
      <c r="H1246" s="15" t="str">
        <f aca="false">IF($B1246="","",IFERROR(INDEX(Services!$A$2:$A$120,MATCH($B1246,Services!$D$2:$D$120,0)),""))</f>
        <v/>
      </c>
      <c r="I1246" s="19"/>
      <c r="J1246" s="15" t="str">
        <f aca="false">IF($B1246="","",IFERROR(INDEX(Services!$E$2:$E$120,MATCH($B1246,Services!$D$2:$D$120,0)),""))</f>
        <v/>
      </c>
    </row>
    <row r="1247" customFormat="false" ht="14.25" hidden="false" customHeight="false" outlineLevel="0" collapsed="false">
      <c r="A1247" s="18"/>
      <c r="B1247" s="6"/>
      <c r="C1247" s="6"/>
      <c r="D1247" s="6"/>
      <c r="E1247" s="16" t="str">
        <f aca="false">IF($B1247="","",IFERROR(INDEX(Services!$C$2:$C$120,MATCH($B1247,Services!$D$2:$D$120,0)),""))</f>
        <v/>
      </c>
      <c r="F1247" s="19"/>
      <c r="G1247" s="9" t="str">
        <f aca="false">IF(OR($B1247="",NOT(ISNUMBER($E1247))),"",$E1247-IF($F1247="",0,$F1247))</f>
        <v/>
      </c>
      <c r="H1247" s="15" t="str">
        <f aca="false">IF($B1247="","",IFERROR(INDEX(Services!$A$2:$A$120,MATCH($B1247,Services!$D$2:$D$120,0)),""))</f>
        <v/>
      </c>
      <c r="I1247" s="19"/>
      <c r="J1247" s="15" t="str">
        <f aca="false">IF($B1247="","",IFERROR(INDEX(Services!$E$2:$E$120,MATCH($B1247,Services!$D$2:$D$120,0)),""))</f>
        <v/>
      </c>
    </row>
    <row r="1248" customFormat="false" ht="14.25" hidden="false" customHeight="false" outlineLevel="0" collapsed="false">
      <c r="A1248" s="18"/>
      <c r="B1248" s="6"/>
      <c r="C1248" s="6"/>
      <c r="D1248" s="6"/>
      <c r="E1248" s="16" t="str">
        <f aca="false">IF($B1248="","",IFERROR(INDEX(Services!$C$2:$C$120,MATCH($B1248,Services!$D$2:$D$120,0)),""))</f>
        <v/>
      </c>
      <c r="F1248" s="19"/>
      <c r="G1248" s="9" t="str">
        <f aca="false">IF(OR($B1248="",NOT(ISNUMBER($E1248))),"",$E1248-IF($F1248="",0,$F1248))</f>
        <v/>
      </c>
      <c r="H1248" s="15" t="str">
        <f aca="false">IF($B1248="","",IFERROR(INDEX(Services!$A$2:$A$120,MATCH($B1248,Services!$D$2:$D$120,0)),""))</f>
        <v/>
      </c>
      <c r="I1248" s="19"/>
      <c r="J1248" s="15" t="str">
        <f aca="false">IF($B1248="","",IFERROR(INDEX(Services!$E$2:$E$120,MATCH($B1248,Services!$D$2:$D$120,0)),""))</f>
        <v/>
      </c>
    </row>
    <row r="1249" customFormat="false" ht="14.25" hidden="false" customHeight="false" outlineLevel="0" collapsed="false">
      <c r="A1249" s="18"/>
      <c r="B1249" s="6"/>
      <c r="C1249" s="6"/>
      <c r="D1249" s="6"/>
      <c r="E1249" s="16" t="str">
        <f aca="false">IF($B1249="","",IFERROR(INDEX(Services!$C$2:$C$120,MATCH($B1249,Services!$D$2:$D$120,0)),""))</f>
        <v/>
      </c>
      <c r="F1249" s="19"/>
      <c r="G1249" s="9" t="str">
        <f aca="false">IF(OR($B1249="",NOT(ISNUMBER($E1249))),"",$E1249-IF($F1249="",0,$F1249))</f>
        <v/>
      </c>
      <c r="H1249" s="15" t="str">
        <f aca="false">IF($B1249="","",IFERROR(INDEX(Services!$A$2:$A$120,MATCH($B1249,Services!$D$2:$D$120,0)),""))</f>
        <v/>
      </c>
      <c r="I1249" s="19"/>
      <c r="J1249" s="15" t="str">
        <f aca="false">IF($B1249="","",IFERROR(INDEX(Services!$E$2:$E$120,MATCH($B1249,Services!$D$2:$D$120,0)),""))</f>
        <v/>
      </c>
    </row>
    <row r="1250" customFormat="false" ht="14.25" hidden="false" customHeight="false" outlineLevel="0" collapsed="false">
      <c r="A1250" s="18"/>
      <c r="B1250" s="6"/>
      <c r="C1250" s="6"/>
      <c r="D1250" s="6"/>
      <c r="E1250" s="16" t="str">
        <f aca="false">IF($B1250="","",IFERROR(INDEX(Services!$C$2:$C$120,MATCH($B1250,Services!$D$2:$D$120,0)),""))</f>
        <v/>
      </c>
      <c r="F1250" s="19"/>
      <c r="G1250" s="9" t="str">
        <f aca="false">IF(OR($B1250="",NOT(ISNUMBER($E1250))),"",$E1250-IF($F1250="",0,$F1250))</f>
        <v/>
      </c>
      <c r="H1250" s="15" t="str">
        <f aca="false">IF($B1250="","",IFERROR(INDEX(Services!$A$2:$A$120,MATCH($B1250,Services!$D$2:$D$120,0)),""))</f>
        <v/>
      </c>
      <c r="I1250" s="19"/>
      <c r="J1250" s="15" t="str">
        <f aca="false">IF($B1250="","",IFERROR(INDEX(Services!$E$2:$E$120,MATCH($B1250,Services!$D$2:$D$120,0)),""))</f>
        <v/>
      </c>
    </row>
    <row r="1251" customFormat="false" ht="14.25" hidden="false" customHeight="false" outlineLevel="0" collapsed="false">
      <c r="A1251" s="18"/>
      <c r="B1251" s="6"/>
      <c r="C1251" s="6"/>
      <c r="D1251" s="6"/>
      <c r="E1251" s="16" t="str">
        <f aca="false">IF($B1251="","",IFERROR(INDEX(Services!$C$2:$C$120,MATCH($B1251,Services!$D$2:$D$120,0)),""))</f>
        <v/>
      </c>
      <c r="F1251" s="19"/>
      <c r="G1251" s="9" t="str">
        <f aca="false">IF(OR($B1251="",NOT(ISNUMBER($E1251))),"",$E1251-IF($F1251="",0,$F1251))</f>
        <v/>
      </c>
      <c r="H1251" s="15" t="str">
        <f aca="false">IF($B1251="","",IFERROR(INDEX(Services!$A$2:$A$120,MATCH($B1251,Services!$D$2:$D$120,0)),""))</f>
        <v/>
      </c>
      <c r="I1251" s="19"/>
      <c r="J1251" s="15" t="str">
        <f aca="false">IF($B1251="","",IFERROR(INDEX(Services!$E$2:$E$120,MATCH($B1251,Services!$D$2:$D$120,0)),""))</f>
        <v/>
      </c>
    </row>
    <row r="1252" customFormat="false" ht="14.25" hidden="false" customHeight="false" outlineLevel="0" collapsed="false">
      <c r="A1252" s="18"/>
      <c r="B1252" s="6"/>
      <c r="C1252" s="6"/>
      <c r="D1252" s="6"/>
      <c r="E1252" s="16" t="str">
        <f aca="false">IF($B1252="","",IFERROR(INDEX(Services!$C$2:$C$120,MATCH($B1252,Services!$D$2:$D$120,0)),""))</f>
        <v/>
      </c>
      <c r="F1252" s="19"/>
      <c r="G1252" s="9" t="str">
        <f aca="false">IF(OR($B1252="",NOT(ISNUMBER($E1252))),"",$E1252-IF($F1252="",0,$F1252))</f>
        <v/>
      </c>
      <c r="H1252" s="15" t="str">
        <f aca="false">IF($B1252="","",IFERROR(INDEX(Services!$A$2:$A$120,MATCH($B1252,Services!$D$2:$D$120,0)),""))</f>
        <v/>
      </c>
      <c r="I1252" s="19"/>
      <c r="J1252" s="15" t="str">
        <f aca="false">IF($B1252="","",IFERROR(INDEX(Services!$E$2:$E$120,MATCH($B1252,Services!$D$2:$D$120,0)),""))</f>
        <v/>
      </c>
    </row>
    <row r="1253" customFormat="false" ht="14.25" hidden="false" customHeight="false" outlineLevel="0" collapsed="false">
      <c r="A1253" s="18"/>
      <c r="B1253" s="6"/>
      <c r="C1253" s="6"/>
      <c r="D1253" s="6"/>
      <c r="E1253" s="16" t="str">
        <f aca="false">IF($B1253="","",IFERROR(INDEX(Services!$C$2:$C$120,MATCH($B1253,Services!$D$2:$D$120,0)),""))</f>
        <v/>
      </c>
      <c r="F1253" s="19"/>
      <c r="G1253" s="9" t="str">
        <f aca="false">IF(OR($B1253="",NOT(ISNUMBER($E1253))),"",$E1253-IF($F1253="",0,$F1253))</f>
        <v/>
      </c>
      <c r="H1253" s="15" t="str">
        <f aca="false">IF($B1253="","",IFERROR(INDEX(Services!$A$2:$A$120,MATCH($B1253,Services!$D$2:$D$120,0)),""))</f>
        <v/>
      </c>
      <c r="I1253" s="19"/>
      <c r="J1253" s="15" t="str">
        <f aca="false">IF($B1253="","",IFERROR(INDEX(Services!$E$2:$E$120,MATCH($B1253,Services!$D$2:$D$120,0)),""))</f>
        <v/>
      </c>
    </row>
    <row r="1254" customFormat="false" ht="14.25" hidden="false" customHeight="false" outlineLevel="0" collapsed="false">
      <c r="A1254" s="18"/>
      <c r="B1254" s="6"/>
      <c r="C1254" s="6"/>
      <c r="D1254" s="6"/>
      <c r="E1254" s="16" t="str">
        <f aca="false">IF($B1254="","",IFERROR(INDEX(Services!$C$2:$C$120,MATCH($B1254,Services!$D$2:$D$120,0)),""))</f>
        <v/>
      </c>
      <c r="F1254" s="19"/>
      <c r="G1254" s="9" t="str">
        <f aca="false">IF(OR($B1254="",NOT(ISNUMBER($E1254))),"",$E1254-IF($F1254="",0,$F1254))</f>
        <v/>
      </c>
      <c r="H1254" s="15" t="str">
        <f aca="false">IF($B1254="","",IFERROR(INDEX(Services!$A$2:$A$120,MATCH($B1254,Services!$D$2:$D$120,0)),""))</f>
        <v/>
      </c>
      <c r="I1254" s="19"/>
      <c r="J1254" s="15" t="str">
        <f aca="false">IF($B1254="","",IFERROR(INDEX(Services!$E$2:$E$120,MATCH($B1254,Services!$D$2:$D$120,0)),""))</f>
        <v/>
      </c>
    </row>
    <row r="1255" customFormat="false" ht="14.25" hidden="false" customHeight="false" outlineLevel="0" collapsed="false">
      <c r="A1255" s="18"/>
      <c r="B1255" s="6"/>
      <c r="C1255" s="6"/>
      <c r="D1255" s="6"/>
      <c r="E1255" s="16" t="str">
        <f aca="false">IF($B1255="","",IFERROR(INDEX(Services!$C$2:$C$120,MATCH($B1255,Services!$D$2:$D$120,0)),""))</f>
        <v/>
      </c>
      <c r="F1255" s="19"/>
      <c r="G1255" s="9" t="str">
        <f aca="false">IF(OR($B1255="",NOT(ISNUMBER($E1255))),"",$E1255-IF($F1255="",0,$F1255))</f>
        <v/>
      </c>
      <c r="H1255" s="15" t="str">
        <f aca="false">IF($B1255="","",IFERROR(INDEX(Services!$A$2:$A$120,MATCH($B1255,Services!$D$2:$D$120,0)),""))</f>
        <v/>
      </c>
      <c r="I1255" s="19"/>
      <c r="J1255" s="15" t="str">
        <f aca="false">IF($B1255="","",IFERROR(INDEX(Services!$E$2:$E$120,MATCH($B1255,Services!$D$2:$D$120,0)),""))</f>
        <v/>
      </c>
    </row>
    <row r="1256" customFormat="false" ht="14.25" hidden="false" customHeight="false" outlineLevel="0" collapsed="false">
      <c r="A1256" s="18"/>
      <c r="B1256" s="6"/>
      <c r="C1256" s="6"/>
      <c r="D1256" s="6"/>
      <c r="E1256" s="16" t="str">
        <f aca="false">IF($B1256="","",IFERROR(INDEX(Services!$C$2:$C$120,MATCH($B1256,Services!$D$2:$D$120,0)),""))</f>
        <v/>
      </c>
      <c r="F1256" s="19"/>
      <c r="G1256" s="9" t="str">
        <f aca="false">IF(OR($B1256="",NOT(ISNUMBER($E1256))),"",$E1256-IF($F1256="",0,$F1256))</f>
        <v/>
      </c>
      <c r="H1256" s="15" t="str">
        <f aca="false">IF($B1256="","",IFERROR(INDEX(Services!$A$2:$A$120,MATCH($B1256,Services!$D$2:$D$120,0)),""))</f>
        <v/>
      </c>
      <c r="I1256" s="19"/>
      <c r="J1256" s="15" t="str">
        <f aca="false">IF($B1256="","",IFERROR(INDEX(Services!$E$2:$E$120,MATCH($B1256,Services!$D$2:$D$120,0)),""))</f>
        <v/>
      </c>
    </row>
    <row r="1257" customFormat="false" ht="14.25" hidden="false" customHeight="false" outlineLevel="0" collapsed="false">
      <c r="A1257" s="18"/>
      <c r="B1257" s="6"/>
      <c r="C1257" s="6"/>
      <c r="D1257" s="6"/>
      <c r="E1257" s="16" t="str">
        <f aca="false">IF($B1257="","",IFERROR(INDEX(Services!$C$2:$C$120,MATCH($B1257,Services!$D$2:$D$120,0)),""))</f>
        <v/>
      </c>
      <c r="F1257" s="19"/>
      <c r="G1257" s="9" t="str">
        <f aca="false">IF(OR($B1257="",NOT(ISNUMBER($E1257))),"",$E1257-IF($F1257="",0,$F1257))</f>
        <v/>
      </c>
      <c r="H1257" s="15" t="str">
        <f aca="false">IF($B1257="","",IFERROR(INDEX(Services!$A$2:$A$120,MATCH($B1257,Services!$D$2:$D$120,0)),""))</f>
        <v/>
      </c>
      <c r="I1257" s="19"/>
      <c r="J1257" s="15" t="str">
        <f aca="false">IF($B1257="","",IFERROR(INDEX(Services!$E$2:$E$120,MATCH($B1257,Services!$D$2:$D$120,0)),""))</f>
        <v/>
      </c>
    </row>
    <row r="1258" customFormat="false" ht="14.25" hidden="false" customHeight="false" outlineLevel="0" collapsed="false">
      <c r="A1258" s="18"/>
      <c r="B1258" s="6"/>
      <c r="C1258" s="6"/>
      <c r="D1258" s="6"/>
      <c r="E1258" s="16" t="str">
        <f aca="false">IF($B1258="","",IFERROR(INDEX(Services!$C$2:$C$120,MATCH($B1258,Services!$D$2:$D$120,0)),""))</f>
        <v/>
      </c>
      <c r="F1258" s="19"/>
      <c r="G1258" s="9" t="str">
        <f aca="false">IF(OR($B1258="",NOT(ISNUMBER($E1258))),"",$E1258-IF($F1258="",0,$F1258))</f>
        <v/>
      </c>
      <c r="H1258" s="15" t="str">
        <f aca="false">IF($B1258="","",IFERROR(INDEX(Services!$A$2:$A$120,MATCH($B1258,Services!$D$2:$D$120,0)),""))</f>
        <v/>
      </c>
      <c r="I1258" s="19"/>
      <c r="J1258" s="15" t="str">
        <f aca="false">IF($B1258="","",IFERROR(INDEX(Services!$E$2:$E$120,MATCH($B1258,Services!$D$2:$D$120,0)),""))</f>
        <v/>
      </c>
    </row>
    <row r="1259" customFormat="false" ht="14.25" hidden="false" customHeight="false" outlineLevel="0" collapsed="false">
      <c r="A1259" s="18"/>
      <c r="B1259" s="6"/>
      <c r="C1259" s="6"/>
      <c r="D1259" s="6"/>
      <c r="E1259" s="16" t="str">
        <f aca="false">IF($B1259="","",IFERROR(INDEX(Services!$C$2:$C$120,MATCH($B1259,Services!$D$2:$D$120,0)),""))</f>
        <v/>
      </c>
      <c r="F1259" s="19"/>
      <c r="G1259" s="9" t="str">
        <f aca="false">IF(OR($B1259="",NOT(ISNUMBER($E1259))),"",$E1259-IF($F1259="",0,$F1259))</f>
        <v/>
      </c>
      <c r="H1259" s="15" t="str">
        <f aca="false">IF($B1259="","",IFERROR(INDEX(Services!$A$2:$A$120,MATCH($B1259,Services!$D$2:$D$120,0)),""))</f>
        <v/>
      </c>
      <c r="I1259" s="19"/>
      <c r="J1259" s="15" t="str">
        <f aca="false">IF($B1259="","",IFERROR(INDEX(Services!$E$2:$E$120,MATCH($B1259,Services!$D$2:$D$120,0)),""))</f>
        <v/>
      </c>
    </row>
    <row r="1260" customFormat="false" ht="14.25" hidden="false" customHeight="false" outlineLevel="0" collapsed="false">
      <c r="A1260" s="18"/>
      <c r="B1260" s="6"/>
      <c r="C1260" s="6"/>
      <c r="D1260" s="6"/>
      <c r="E1260" s="16" t="str">
        <f aca="false">IF($B1260="","",IFERROR(INDEX(Services!$C$2:$C$120,MATCH($B1260,Services!$D$2:$D$120,0)),""))</f>
        <v/>
      </c>
      <c r="F1260" s="19"/>
      <c r="G1260" s="9" t="str">
        <f aca="false">IF(OR($B1260="",NOT(ISNUMBER($E1260))),"",$E1260-IF($F1260="",0,$F1260))</f>
        <v/>
      </c>
      <c r="H1260" s="15" t="str">
        <f aca="false">IF($B1260="","",IFERROR(INDEX(Services!$A$2:$A$120,MATCH($B1260,Services!$D$2:$D$120,0)),""))</f>
        <v/>
      </c>
      <c r="I1260" s="19"/>
      <c r="J1260" s="15" t="str">
        <f aca="false">IF($B1260="","",IFERROR(INDEX(Services!$E$2:$E$120,MATCH($B1260,Services!$D$2:$D$120,0)),""))</f>
        <v/>
      </c>
    </row>
    <row r="1261" customFormat="false" ht="14.25" hidden="false" customHeight="false" outlineLevel="0" collapsed="false">
      <c r="A1261" s="18"/>
      <c r="B1261" s="6"/>
      <c r="C1261" s="6"/>
      <c r="D1261" s="6"/>
      <c r="E1261" s="16" t="str">
        <f aca="false">IF($B1261="","",IFERROR(INDEX(Services!$C$2:$C$120,MATCH($B1261,Services!$D$2:$D$120,0)),""))</f>
        <v/>
      </c>
      <c r="F1261" s="19"/>
      <c r="G1261" s="9" t="str">
        <f aca="false">IF(OR($B1261="",NOT(ISNUMBER($E1261))),"",$E1261-IF($F1261="",0,$F1261))</f>
        <v/>
      </c>
      <c r="H1261" s="15" t="str">
        <f aca="false">IF($B1261="","",IFERROR(INDEX(Services!$A$2:$A$120,MATCH($B1261,Services!$D$2:$D$120,0)),""))</f>
        <v/>
      </c>
      <c r="I1261" s="19"/>
      <c r="J1261" s="15" t="str">
        <f aca="false">IF($B1261="","",IFERROR(INDEX(Services!$E$2:$E$120,MATCH($B1261,Services!$D$2:$D$120,0)),""))</f>
        <v/>
      </c>
    </row>
    <row r="1262" customFormat="false" ht="14.25" hidden="false" customHeight="false" outlineLevel="0" collapsed="false">
      <c r="A1262" s="18"/>
      <c r="B1262" s="6"/>
      <c r="C1262" s="6"/>
      <c r="D1262" s="6"/>
      <c r="E1262" s="16" t="str">
        <f aca="false">IF($B1262="","",IFERROR(INDEX(Services!$C$2:$C$120,MATCH($B1262,Services!$D$2:$D$120,0)),""))</f>
        <v/>
      </c>
      <c r="F1262" s="19"/>
      <c r="G1262" s="9" t="str">
        <f aca="false">IF(OR($B1262="",NOT(ISNUMBER($E1262))),"",$E1262-IF($F1262="",0,$F1262))</f>
        <v/>
      </c>
      <c r="H1262" s="15" t="str">
        <f aca="false">IF($B1262="","",IFERROR(INDEX(Services!$A$2:$A$120,MATCH($B1262,Services!$D$2:$D$120,0)),""))</f>
        <v/>
      </c>
      <c r="I1262" s="19"/>
      <c r="J1262" s="15" t="str">
        <f aca="false">IF($B1262="","",IFERROR(INDEX(Services!$E$2:$E$120,MATCH($B1262,Services!$D$2:$D$120,0)),""))</f>
        <v/>
      </c>
    </row>
    <row r="1263" customFormat="false" ht="14.25" hidden="false" customHeight="false" outlineLevel="0" collapsed="false">
      <c r="A1263" s="18"/>
      <c r="B1263" s="6"/>
      <c r="C1263" s="6"/>
      <c r="D1263" s="6"/>
      <c r="E1263" s="16" t="str">
        <f aca="false">IF($B1263="","",IFERROR(INDEX(Services!$C$2:$C$120,MATCH($B1263,Services!$D$2:$D$120,0)),""))</f>
        <v/>
      </c>
      <c r="F1263" s="19"/>
      <c r="G1263" s="9" t="str">
        <f aca="false">IF(OR($B1263="",NOT(ISNUMBER($E1263))),"",$E1263-IF($F1263="",0,$F1263))</f>
        <v/>
      </c>
      <c r="H1263" s="15" t="str">
        <f aca="false">IF($B1263="","",IFERROR(INDEX(Services!$A$2:$A$120,MATCH($B1263,Services!$D$2:$D$120,0)),""))</f>
        <v/>
      </c>
      <c r="I1263" s="19"/>
      <c r="J1263" s="15" t="str">
        <f aca="false">IF($B1263="","",IFERROR(INDEX(Services!$E$2:$E$120,MATCH($B1263,Services!$D$2:$D$120,0)),""))</f>
        <v/>
      </c>
    </row>
    <row r="1264" customFormat="false" ht="14.25" hidden="false" customHeight="false" outlineLevel="0" collapsed="false">
      <c r="A1264" s="18"/>
      <c r="B1264" s="6"/>
      <c r="C1264" s="6"/>
      <c r="D1264" s="6"/>
      <c r="E1264" s="16" t="str">
        <f aca="false">IF($B1264="","",IFERROR(INDEX(Services!$C$2:$C$120,MATCH($B1264,Services!$D$2:$D$120,0)),""))</f>
        <v/>
      </c>
      <c r="F1264" s="19"/>
      <c r="G1264" s="9" t="str">
        <f aca="false">IF(OR($B1264="",NOT(ISNUMBER($E1264))),"",$E1264-IF($F1264="",0,$F1264))</f>
        <v/>
      </c>
      <c r="H1264" s="15" t="str">
        <f aca="false">IF($B1264="","",IFERROR(INDEX(Services!$A$2:$A$120,MATCH($B1264,Services!$D$2:$D$120,0)),""))</f>
        <v/>
      </c>
      <c r="I1264" s="19"/>
      <c r="J1264" s="15" t="str">
        <f aca="false">IF($B1264="","",IFERROR(INDEX(Services!$E$2:$E$120,MATCH($B1264,Services!$D$2:$D$120,0)),""))</f>
        <v/>
      </c>
    </row>
    <row r="1265" customFormat="false" ht="14.25" hidden="false" customHeight="false" outlineLevel="0" collapsed="false">
      <c r="A1265" s="18"/>
      <c r="B1265" s="6"/>
      <c r="C1265" s="6"/>
      <c r="D1265" s="6"/>
      <c r="E1265" s="16" t="str">
        <f aca="false">IF($B1265="","",IFERROR(INDEX(Services!$C$2:$C$120,MATCH($B1265,Services!$D$2:$D$120,0)),""))</f>
        <v/>
      </c>
      <c r="F1265" s="19"/>
      <c r="G1265" s="9" t="str">
        <f aca="false">IF(OR($B1265="",NOT(ISNUMBER($E1265))),"",$E1265-IF($F1265="",0,$F1265))</f>
        <v/>
      </c>
      <c r="H1265" s="15" t="str">
        <f aca="false">IF($B1265="","",IFERROR(INDEX(Services!$A$2:$A$120,MATCH($B1265,Services!$D$2:$D$120,0)),""))</f>
        <v/>
      </c>
      <c r="I1265" s="19"/>
      <c r="J1265" s="15" t="str">
        <f aca="false">IF($B1265="","",IFERROR(INDEX(Services!$E$2:$E$120,MATCH($B1265,Services!$D$2:$D$120,0)),""))</f>
        <v/>
      </c>
    </row>
    <row r="1266" customFormat="false" ht="14.25" hidden="false" customHeight="false" outlineLevel="0" collapsed="false">
      <c r="A1266" s="18"/>
      <c r="B1266" s="6"/>
      <c r="C1266" s="6"/>
      <c r="D1266" s="6"/>
      <c r="E1266" s="16" t="str">
        <f aca="false">IF($B1266="","",IFERROR(INDEX(Services!$C$2:$C$120,MATCH($B1266,Services!$D$2:$D$120,0)),""))</f>
        <v/>
      </c>
      <c r="F1266" s="19"/>
      <c r="G1266" s="9" t="str">
        <f aca="false">IF(OR($B1266="",NOT(ISNUMBER($E1266))),"",$E1266-IF($F1266="",0,$F1266))</f>
        <v/>
      </c>
      <c r="H1266" s="15" t="str">
        <f aca="false">IF($B1266="","",IFERROR(INDEX(Services!$A$2:$A$120,MATCH($B1266,Services!$D$2:$D$120,0)),""))</f>
        <v/>
      </c>
      <c r="I1266" s="19"/>
      <c r="J1266" s="15" t="str">
        <f aca="false">IF($B1266="","",IFERROR(INDEX(Services!$E$2:$E$120,MATCH($B1266,Services!$D$2:$D$120,0)),""))</f>
        <v/>
      </c>
    </row>
    <row r="1267" customFormat="false" ht="14.25" hidden="false" customHeight="false" outlineLevel="0" collapsed="false">
      <c r="A1267" s="18"/>
      <c r="B1267" s="6"/>
      <c r="C1267" s="6"/>
      <c r="D1267" s="6"/>
      <c r="E1267" s="16" t="str">
        <f aca="false">IF($B1267="","",IFERROR(INDEX(Services!$C$2:$C$120,MATCH($B1267,Services!$D$2:$D$120,0)),""))</f>
        <v/>
      </c>
      <c r="F1267" s="19"/>
      <c r="G1267" s="9" t="str">
        <f aca="false">IF(OR($B1267="",NOT(ISNUMBER($E1267))),"",$E1267-IF($F1267="",0,$F1267))</f>
        <v/>
      </c>
      <c r="H1267" s="15" t="str">
        <f aca="false">IF($B1267="","",IFERROR(INDEX(Services!$A$2:$A$120,MATCH($B1267,Services!$D$2:$D$120,0)),""))</f>
        <v/>
      </c>
      <c r="I1267" s="19"/>
      <c r="J1267" s="15" t="str">
        <f aca="false">IF($B1267="","",IFERROR(INDEX(Services!$E$2:$E$120,MATCH($B1267,Services!$D$2:$D$120,0)),""))</f>
        <v/>
      </c>
    </row>
    <row r="1268" customFormat="false" ht="14.25" hidden="false" customHeight="false" outlineLevel="0" collapsed="false">
      <c r="A1268" s="18"/>
      <c r="B1268" s="6"/>
      <c r="C1268" s="6"/>
      <c r="D1268" s="6"/>
      <c r="E1268" s="16" t="str">
        <f aca="false">IF($B1268="","",IFERROR(INDEX(Services!$C$2:$C$120,MATCH($B1268,Services!$D$2:$D$120,0)),""))</f>
        <v/>
      </c>
      <c r="F1268" s="19"/>
      <c r="G1268" s="9" t="str">
        <f aca="false">IF(OR($B1268="",NOT(ISNUMBER($E1268))),"",$E1268-IF($F1268="",0,$F1268))</f>
        <v/>
      </c>
      <c r="H1268" s="15" t="str">
        <f aca="false">IF($B1268="","",IFERROR(INDEX(Services!$A$2:$A$120,MATCH($B1268,Services!$D$2:$D$120,0)),""))</f>
        <v/>
      </c>
      <c r="I1268" s="19"/>
      <c r="J1268" s="15" t="str">
        <f aca="false">IF($B1268="","",IFERROR(INDEX(Services!$E$2:$E$120,MATCH($B1268,Services!$D$2:$D$120,0)),""))</f>
        <v/>
      </c>
    </row>
    <row r="1269" customFormat="false" ht="14.25" hidden="false" customHeight="false" outlineLevel="0" collapsed="false">
      <c r="A1269" s="18"/>
      <c r="B1269" s="6"/>
      <c r="C1269" s="6"/>
      <c r="D1269" s="6"/>
      <c r="E1269" s="16" t="str">
        <f aca="false">IF($B1269="","",IFERROR(INDEX(Services!$C$2:$C$120,MATCH($B1269,Services!$D$2:$D$120,0)),""))</f>
        <v/>
      </c>
      <c r="F1269" s="19"/>
      <c r="G1269" s="9" t="str">
        <f aca="false">IF(OR($B1269="",NOT(ISNUMBER($E1269))),"",$E1269-IF($F1269="",0,$F1269))</f>
        <v/>
      </c>
      <c r="H1269" s="15" t="str">
        <f aca="false">IF($B1269="","",IFERROR(INDEX(Services!$A$2:$A$120,MATCH($B1269,Services!$D$2:$D$120,0)),""))</f>
        <v/>
      </c>
      <c r="I1269" s="19"/>
      <c r="J1269" s="15" t="str">
        <f aca="false">IF($B1269="","",IFERROR(INDEX(Services!$E$2:$E$120,MATCH($B1269,Services!$D$2:$D$120,0)),""))</f>
        <v/>
      </c>
    </row>
    <row r="1270" customFormat="false" ht="14.25" hidden="false" customHeight="false" outlineLevel="0" collapsed="false">
      <c r="A1270" s="18"/>
      <c r="B1270" s="6"/>
      <c r="C1270" s="6"/>
      <c r="D1270" s="6"/>
      <c r="E1270" s="16" t="str">
        <f aca="false">IF($B1270="","",IFERROR(INDEX(Services!$C$2:$C$120,MATCH($B1270,Services!$D$2:$D$120,0)),""))</f>
        <v/>
      </c>
      <c r="F1270" s="19"/>
      <c r="G1270" s="9" t="str">
        <f aca="false">IF(OR($B1270="",NOT(ISNUMBER($E1270))),"",$E1270-IF($F1270="",0,$F1270))</f>
        <v/>
      </c>
      <c r="H1270" s="15" t="str">
        <f aca="false">IF($B1270="","",IFERROR(INDEX(Services!$A$2:$A$120,MATCH($B1270,Services!$D$2:$D$120,0)),""))</f>
        <v/>
      </c>
      <c r="I1270" s="19"/>
      <c r="J1270" s="15" t="str">
        <f aca="false">IF($B1270="","",IFERROR(INDEX(Services!$E$2:$E$120,MATCH($B1270,Services!$D$2:$D$120,0)),""))</f>
        <v/>
      </c>
    </row>
    <row r="1271" customFormat="false" ht="14.25" hidden="false" customHeight="false" outlineLevel="0" collapsed="false">
      <c r="A1271" s="18"/>
      <c r="B1271" s="6"/>
      <c r="C1271" s="6"/>
      <c r="D1271" s="6"/>
      <c r="E1271" s="16" t="str">
        <f aca="false">IF($B1271="","",IFERROR(INDEX(Services!$C$2:$C$120,MATCH($B1271,Services!$D$2:$D$120,0)),""))</f>
        <v/>
      </c>
      <c r="F1271" s="19"/>
      <c r="G1271" s="9" t="str">
        <f aca="false">IF(OR($B1271="",NOT(ISNUMBER($E1271))),"",$E1271-IF($F1271="",0,$F1271))</f>
        <v/>
      </c>
      <c r="H1271" s="15" t="str">
        <f aca="false">IF($B1271="","",IFERROR(INDEX(Services!$A$2:$A$120,MATCH($B1271,Services!$D$2:$D$120,0)),""))</f>
        <v/>
      </c>
      <c r="I1271" s="19"/>
      <c r="J1271" s="15" t="str">
        <f aca="false">IF($B1271="","",IFERROR(INDEX(Services!$E$2:$E$120,MATCH($B1271,Services!$D$2:$D$120,0)),""))</f>
        <v/>
      </c>
    </row>
    <row r="1272" customFormat="false" ht="14.25" hidden="false" customHeight="false" outlineLevel="0" collapsed="false">
      <c r="A1272" s="18"/>
      <c r="B1272" s="6"/>
      <c r="C1272" s="6"/>
      <c r="D1272" s="6"/>
      <c r="E1272" s="16" t="str">
        <f aca="false">IF($B1272="","",IFERROR(INDEX(Services!$C$2:$C$120,MATCH($B1272,Services!$D$2:$D$120,0)),""))</f>
        <v/>
      </c>
      <c r="F1272" s="19"/>
      <c r="G1272" s="9" t="str">
        <f aca="false">IF(OR($B1272="",NOT(ISNUMBER($E1272))),"",$E1272-IF($F1272="",0,$F1272))</f>
        <v/>
      </c>
      <c r="H1272" s="15" t="str">
        <f aca="false">IF($B1272="","",IFERROR(INDEX(Services!$A$2:$A$120,MATCH($B1272,Services!$D$2:$D$120,0)),""))</f>
        <v/>
      </c>
      <c r="I1272" s="19"/>
      <c r="J1272" s="15" t="str">
        <f aca="false">IF($B1272="","",IFERROR(INDEX(Services!$E$2:$E$120,MATCH($B1272,Services!$D$2:$D$120,0)),""))</f>
        <v/>
      </c>
    </row>
    <row r="1273" customFormat="false" ht="14.25" hidden="false" customHeight="false" outlineLevel="0" collapsed="false">
      <c r="A1273" s="18"/>
      <c r="B1273" s="6"/>
      <c r="C1273" s="6"/>
      <c r="D1273" s="6"/>
      <c r="E1273" s="16" t="str">
        <f aca="false">IF($B1273="","",IFERROR(INDEX(Services!$C$2:$C$120,MATCH($B1273,Services!$D$2:$D$120,0)),""))</f>
        <v/>
      </c>
      <c r="F1273" s="19"/>
      <c r="G1273" s="9" t="str">
        <f aca="false">IF(OR($B1273="",NOT(ISNUMBER($E1273))),"",$E1273-IF($F1273="",0,$F1273))</f>
        <v/>
      </c>
      <c r="H1273" s="15" t="str">
        <f aca="false">IF($B1273="","",IFERROR(INDEX(Services!$A$2:$A$120,MATCH($B1273,Services!$D$2:$D$120,0)),""))</f>
        <v/>
      </c>
      <c r="I1273" s="19"/>
      <c r="J1273" s="15" t="str">
        <f aca="false">IF($B1273="","",IFERROR(INDEX(Services!$E$2:$E$120,MATCH($B1273,Services!$D$2:$D$120,0)),""))</f>
        <v/>
      </c>
    </row>
    <row r="1274" customFormat="false" ht="14.25" hidden="false" customHeight="false" outlineLevel="0" collapsed="false">
      <c r="A1274" s="18"/>
      <c r="B1274" s="6"/>
      <c r="C1274" s="6"/>
      <c r="D1274" s="6"/>
      <c r="E1274" s="16" t="str">
        <f aca="false">IF($B1274="","",IFERROR(INDEX(Services!$C$2:$C$120,MATCH($B1274,Services!$D$2:$D$120,0)),""))</f>
        <v/>
      </c>
      <c r="F1274" s="19"/>
      <c r="G1274" s="9" t="str">
        <f aca="false">IF(OR($B1274="",NOT(ISNUMBER($E1274))),"",$E1274-IF($F1274="",0,$F1274))</f>
        <v/>
      </c>
      <c r="H1274" s="15" t="str">
        <f aca="false">IF($B1274="","",IFERROR(INDEX(Services!$A$2:$A$120,MATCH($B1274,Services!$D$2:$D$120,0)),""))</f>
        <v/>
      </c>
      <c r="I1274" s="19"/>
      <c r="J1274" s="15" t="str">
        <f aca="false">IF($B1274="","",IFERROR(INDEX(Services!$E$2:$E$120,MATCH($B1274,Services!$D$2:$D$120,0)),""))</f>
        <v/>
      </c>
    </row>
    <row r="1275" customFormat="false" ht="14.25" hidden="false" customHeight="false" outlineLevel="0" collapsed="false">
      <c r="A1275" s="18"/>
      <c r="B1275" s="6"/>
      <c r="C1275" s="6"/>
      <c r="D1275" s="6"/>
      <c r="E1275" s="16" t="str">
        <f aca="false">IF($B1275="","",IFERROR(INDEX(Services!$C$2:$C$120,MATCH($B1275,Services!$D$2:$D$120,0)),""))</f>
        <v/>
      </c>
      <c r="F1275" s="19"/>
      <c r="G1275" s="9" t="str">
        <f aca="false">IF(OR($B1275="",NOT(ISNUMBER($E1275))),"",$E1275-IF($F1275="",0,$F1275))</f>
        <v/>
      </c>
      <c r="H1275" s="15" t="str">
        <f aca="false">IF($B1275="","",IFERROR(INDEX(Services!$A$2:$A$120,MATCH($B1275,Services!$D$2:$D$120,0)),""))</f>
        <v/>
      </c>
      <c r="I1275" s="19"/>
      <c r="J1275" s="15" t="str">
        <f aca="false">IF($B1275="","",IFERROR(INDEX(Services!$E$2:$E$120,MATCH($B1275,Services!$D$2:$D$120,0)),""))</f>
        <v/>
      </c>
    </row>
    <row r="1276" customFormat="false" ht="14.25" hidden="false" customHeight="false" outlineLevel="0" collapsed="false">
      <c r="A1276" s="18"/>
      <c r="B1276" s="6"/>
      <c r="C1276" s="6"/>
      <c r="D1276" s="6"/>
      <c r="E1276" s="16" t="str">
        <f aca="false">IF($B1276="","",IFERROR(INDEX(Services!$C$2:$C$120,MATCH($B1276,Services!$D$2:$D$120,0)),""))</f>
        <v/>
      </c>
      <c r="F1276" s="19"/>
      <c r="G1276" s="9" t="str">
        <f aca="false">IF(OR($B1276="",NOT(ISNUMBER($E1276))),"",$E1276-IF($F1276="",0,$F1276))</f>
        <v/>
      </c>
      <c r="H1276" s="15" t="str">
        <f aca="false">IF($B1276="","",IFERROR(INDEX(Services!$A$2:$A$120,MATCH($B1276,Services!$D$2:$D$120,0)),""))</f>
        <v/>
      </c>
      <c r="I1276" s="19"/>
      <c r="J1276" s="15" t="str">
        <f aca="false">IF($B1276="","",IFERROR(INDEX(Services!$E$2:$E$120,MATCH($B1276,Services!$D$2:$D$120,0)),""))</f>
        <v/>
      </c>
    </row>
    <row r="1277" customFormat="false" ht="14.25" hidden="false" customHeight="false" outlineLevel="0" collapsed="false">
      <c r="A1277" s="18"/>
      <c r="B1277" s="6"/>
      <c r="C1277" s="6"/>
      <c r="D1277" s="6"/>
      <c r="E1277" s="16" t="str">
        <f aca="false">IF($B1277="","",IFERROR(INDEX(Services!$C$2:$C$120,MATCH($B1277,Services!$D$2:$D$120,0)),""))</f>
        <v/>
      </c>
      <c r="F1277" s="19"/>
      <c r="G1277" s="9" t="str">
        <f aca="false">IF(OR($B1277="",NOT(ISNUMBER($E1277))),"",$E1277-IF($F1277="",0,$F1277))</f>
        <v/>
      </c>
      <c r="H1277" s="15" t="str">
        <f aca="false">IF($B1277="","",IFERROR(INDEX(Services!$A$2:$A$120,MATCH($B1277,Services!$D$2:$D$120,0)),""))</f>
        <v/>
      </c>
      <c r="I1277" s="19"/>
      <c r="J1277" s="15" t="str">
        <f aca="false">IF($B1277="","",IFERROR(INDEX(Services!$E$2:$E$120,MATCH($B1277,Services!$D$2:$D$120,0)),""))</f>
        <v/>
      </c>
    </row>
    <row r="1278" customFormat="false" ht="14.25" hidden="false" customHeight="false" outlineLevel="0" collapsed="false">
      <c r="A1278" s="18"/>
      <c r="B1278" s="6"/>
      <c r="C1278" s="6"/>
      <c r="D1278" s="6"/>
      <c r="E1278" s="16" t="str">
        <f aca="false">IF($B1278="","",IFERROR(INDEX(Services!$C$2:$C$120,MATCH($B1278,Services!$D$2:$D$120,0)),""))</f>
        <v/>
      </c>
      <c r="F1278" s="19"/>
      <c r="G1278" s="9" t="str">
        <f aca="false">IF(OR($B1278="",NOT(ISNUMBER($E1278))),"",$E1278-IF($F1278="",0,$F1278))</f>
        <v/>
      </c>
      <c r="H1278" s="15" t="str">
        <f aca="false">IF($B1278="","",IFERROR(INDEX(Services!$A$2:$A$120,MATCH($B1278,Services!$D$2:$D$120,0)),""))</f>
        <v/>
      </c>
      <c r="I1278" s="19"/>
      <c r="J1278" s="15" t="str">
        <f aca="false">IF($B1278="","",IFERROR(INDEX(Services!$E$2:$E$120,MATCH($B1278,Services!$D$2:$D$120,0)),""))</f>
        <v/>
      </c>
    </row>
    <row r="1279" customFormat="false" ht="14.25" hidden="false" customHeight="false" outlineLevel="0" collapsed="false">
      <c r="A1279" s="18"/>
      <c r="B1279" s="6"/>
      <c r="C1279" s="6"/>
      <c r="D1279" s="6"/>
      <c r="E1279" s="16" t="str">
        <f aca="false">IF($B1279="","",IFERROR(INDEX(Services!$C$2:$C$120,MATCH($B1279,Services!$D$2:$D$120,0)),""))</f>
        <v/>
      </c>
      <c r="F1279" s="19"/>
      <c r="G1279" s="9" t="str">
        <f aca="false">IF(OR($B1279="",NOT(ISNUMBER($E1279))),"",$E1279-IF($F1279="",0,$F1279))</f>
        <v/>
      </c>
      <c r="H1279" s="15" t="str">
        <f aca="false">IF($B1279="","",IFERROR(INDEX(Services!$A$2:$A$120,MATCH($B1279,Services!$D$2:$D$120,0)),""))</f>
        <v/>
      </c>
      <c r="I1279" s="19"/>
      <c r="J1279" s="15" t="str">
        <f aca="false">IF($B1279="","",IFERROR(INDEX(Services!$E$2:$E$120,MATCH($B1279,Services!$D$2:$D$120,0)),""))</f>
        <v/>
      </c>
    </row>
    <row r="1280" customFormat="false" ht="14.25" hidden="false" customHeight="false" outlineLevel="0" collapsed="false">
      <c r="A1280" s="18"/>
      <c r="B1280" s="6"/>
      <c r="C1280" s="6"/>
      <c r="D1280" s="6"/>
      <c r="E1280" s="16" t="str">
        <f aca="false">IF($B1280="","",IFERROR(INDEX(Services!$C$2:$C$120,MATCH($B1280,Services!$D$2:$D$120,0)),""))</f>
        <v/>
      </c>
      <c r="F1280" s="19"/>
      <c r="G1280" s="9" t="str">
        <f aca="false">IF(OR($B1280="",NOT(ISNUMBER($E1280))),"",$E1280-IF($F1280="",0,$F1280))</f>
        <v/>
      </c>
      <c r="H1280" s="15" t="str">
        <f aca="false">IF($B1280="","",IFERROR(INDEX(Services!$A$2:$A$120,MATCH($B1280,Services!$D$2:$D$120,0)),""))</f>
        <v/>
      </c>
      <c r="I1280" s="19"/>
      <c r="J1280" s="15" t="str">
        <f aca="false">IF($B1280="","",IFERROR(INDEX(Services!$E$2:$E$120,MATCH($B1280,Services!$D$2:$D$120,0)),""))</f>
        <v/>
      </c>
    </row>
    <row r="1281" customFormat="false" ht="14.25" hidden="false" customHeight="false" outlineLevel="0" collapsed="false">
      <c r="A1281" s="18"/>
      <c r="B1281" s="6"/>
      <c r="C1281" s="6"/>
      <c r="D1281" s="6"/>
      <c r="E1281" s="16" t="str">
        <f aca="false">IF($B1281="","",IFERROR(INDEX(Services!$C$2:$C$120,MATCH($B1281,Services!$D$2:$D$120,0)),""))</f>
        <v/>
      </c>
      <c r="F1281" s="19"/>
      <c r="G1281" s="9" t="str">
        <f aca="false">IF(OR($B1281="",NOT(ISNUMBER($E1281))),"",$E1281-IF($F1281="",0,$F1281))</f>
        <v/>
      </c>
      <c r="H1281" s="15" t="str">
        <f aca="false">IF($B1281="","",IFERROR(INDEX(Services!$A$2:$A$120,MATCH($B1281,Services!$D$2:$D$120,0)),""))</f>
        <v/>
      </c>
      <c r="I1281" s="19"/>
      <c r="J1281" s="15" t="str">
        <f aca="false">IF($B1281="","",IFERROR(INDEX(Services!$E$2:$E$120,MATCH($B1281,Services!$D$2:$D$120,0)),""))</f>
        <v/>
      </c>
    </row>
    <row r="1282" customFormat="false" ht="14.25" hidden="false" customHeight="false" outlineLevel="0" collapsed="false">
      <c r="A1282" s="18"/>
      <c r="B1282" s="6"/>
      <c r="C1282" s="6"/>
      <c r="D1282" s="6"/>
      <c r="E1282" s="16" t="str">
        <f aca="false">IF($B1282="","",IFERROR(INDEX(Services!$C$2:$C$120,MATCH($B1282,Services!$D$2:$D$120,0)),""))</f>
        <v/>
      </c>
      <c r="F1282" s="19"/>
      <c r="G1282" s="9" t="str">
        <f aca="false">IF(OR($B1282="",NOT(ISNUMBER($E1282))),"",$E1282-IF($F1282="",0,$F1282))</f>
        <v/>
      </c>
      <c r="H1282" s="15" t="str">
        <f aca="false">IF($B1282="","",IFERROR(INDEX(Services!$A$2:$A$120,MATCH($B1282,Services!$D$2:$D$120,0)),""))</f>
        <v/>
      </c>
      <c r="I1282" s="19"/>
      <c r="J1282" s="15" t="str">
        <f aca="false">IF($B1282="","",IFERROR(INDEX(Services!$E$2:$E$120,MATCH($B1282,Services!$D$2:$D$120,0)),""))</f>
        <v/>
      </c>
    </row>
    <row r="1283" customFormat="false" ht="14.25" hidden="false" customHeight="false" outlineLevel="0" collapsed="false">
      <c r="A1283" s="18"/>
      <c r="B1283" s="6"/>
      <c r="C1283" s="6"/>
      <c r="D1283" s="6"/>
      <c r="E1283" s="16" t="str">
        <f aca="false">IF($B1283="","",IFERROR(INDEX(Services!$C$2:$C$120,MATCH($B1283,Services!$D$2:$D$120,0)),""))</f>
        <v/>
      </c>
      <c r="F1283" s="19"/>
      <c r="G1283" s="9" t="str">
        <f aca="false">IF(OR($B1283="",NOT(ISNUMBER($E1283))),"",$E1283-IF($F1283="",0,$F1283))</f>
        <v/>
      </c>
      <c r="H1283" s="15" t="str">
        <f aca="false">IF($B1283="","",IFERROR(INDEX(Services!$A$2:$A$120,MATCH($B1283,Services!$D$2:$D$120,0)),""))</f>
        <v/>
      </c>
      <c r="I1283" s="19"/>
      <c r="J1283" s="15" t="str">
        <f aca="false">IF($B1283="","",IFERROR(INDEX(Services!$E$2:$E$120,MATCH($B1283,Services!$D$2:$D$120,0)),""))</f>
        <v/>
      </c>
    </row>
    <row r="1284" customFormat="false" ht="14.25" hidden="false" customHeight="false" outlineLevel="0" collapsed="false">
      <c r="A1284" s="18"/>
      <c r="B1284" s="6"/>
      <c r="C1284" s="6"/>
      <c r="D1284" s="6"/>
      <c r="E1284" s="16" t="str">
        <f aca="false">IF($B1284="","",IFERROR(INDEX(Services!$C$2:$C$120,MATCH($B1284,Services!$D$2:$D$120,0)),""))</f>
        <v/>
      </c>
      <c r="F1284" s="19"/>
      <c r="G1284" s="9" t="str">
        <f aca="false">IF(OR($B1284="",NOT(ISNUMBER($E1284))),"",$E1284-IF($F1284="",0,$F1284))</f>
        <v/>
      </c>
      <c r="H1284" s="15" t="str">
        <f aca="false">IF($B1284="","",IFERROR(INDEX(Services!$A$2:$A$120,MATCH($B1284,Services!$D$2:$D$120,0)),""))</f>
        <v/>
      </c>
      <c r="I1284" s="19"/>
      <c r="J1284" s="15" t="str">
        <f aca="false">IF($B1284="","",IFERROR(INDEX(Services!$E$2:$E$120,MATCH($B1284,Services!$D$2:$D$120,0)),""))</f>
        <v/>
      </c>
    </row>
    <row r="1285" customFormat="false" ht="14.25" hidden="false" customHeight="false" outlineLevel="0" collapsed="false">
      <c r="A1285" s="18"/>
      <c r="B1285" s="6"/>
      <c r="C1285" s="6"/>
      <c r="D1285" s="6"/>
      <c r="E1285" s="16" t="str">
        <f aca="false">IF($B1285="","",IFERROR(INDEX(Services!$C$2:$C$120,MATCH($B1285,Services!$D$2:$D$120,0)),""))</f>
        <v/>
      </c>
      <c r="F1285" s="19"/>
      <c r="G1285" s="9" t="str">
        <f aca="false">IF(OR($B1285="",NOT(ISNUMBER($E1285))),"",$E1285-IF($F1285="",0,$F1285))</f>
        <v/>
      </c>
      <c r="H1285" s="15" t="str">
        <f aca="false">IF($B1285="","",IFERROR(INDEX(Services!$A$2:$A$120,MATCH($B1285,Services!$D$2:$D$120,0)),""))</f>
        <v/>
      </c>
      <c r="I1285" s="19"/>
      <c r="J1285" s="15" t="str">
        <f aca="false">IF($B1285="","",IFERROR(INDEX(Services!$E$2:$E$120,MATCH($B1285,Services!$D$2:$D$120,0)),""))</f>
        <v/>
      </c>
    </row>
    <row r="1286" customFormat="false" ht="14.25" hidden="false" customHeight="false" outlineLevel="0" collapsed="false">
      <c r="A1286" s="18"/>
      <c r="B1286" s="6"/>
      <c r="C1286" s="6"/>
      <c r="D1286" s="6"/>
      <c r="E1286" s="16" t="str">
        <f aca="false">IF($B1286="","",IFERROR(INDEX(Services!$C$2:$C$120,MATCH($B1286,Services!$D$2:$D$120,0)),""))</f>
        <v/>
      </c>
      <c r="F1286" s="19"/>
      <c r="G1286" s="9" t="str">
        <f aca="false">IF(OR($B1286="",NOT(ISNUMBER($E1286))),"",$E1286-IF($F1286="",0,$F1286))</f>
        <v/>
      </c>
      <c r="H1286" s="15" t="str">
        <f aca="false">IF($B1286="","",IFERROR(INDEX(Services!$A$2:$A$120,MATCH($B1286,Services!$D$2:$D$120,0)),""))</f>
        <v/>
      </c>
      <c r="I1286" s="19"/>
      <c r="J1286" s="15" t="str">
        <f aca="false">IF($B1286="","",IFERROR(INDEX(Services!$E$2:$E$120,MATCH($B1286,Services!$D$2:$D$120,0)),""))</f>
        <v/>
      </c>
    </row>
    <row r="1287" customFormat="false" ht="14.25" hidden="false" customHeight="false" outlineLevel="0" collapsed="false">
      <c r="A1287" s="18"/>
      <c r="B1287" s="6"/>
      <c r="C1287" s="6"/>
      <c r="D1287" s="6"/>
      <c r="E1287" s="16" t="str">
        <f aca="false">IF($B1287="","",IFERROR(INDEX(Services!$C$2:$C$120,MATCH($B1287,Services!$D$2:$D$120,0)),""))</f>
        <v/>
      </c>
      <c r="F1287" s="19"/>
      <c r="G1287" s="9" t="str">
        <f aca="false">IF(OR($B1287="",NOT(ISNUMBER($E1287))),"",$E1287-IF($F1287="",0,$F1287))</f>
        <v/>
      </c>
      <c r="H1287" s="15" t="str">
        <f aca="false">IF($B1287="","",IFERROR(INDEX(Services!$A$2:$A$120,MATCH($B1287,Services!$D$2:$D$120,0)),""))</f>
        <v/>
      </c>
      <c r="I1287" s="19"/>
      <c r="J1287" s="15" t="str">
        <f aca="false">IF($B1287="","",IFERROR(INDEX(Services!$E$2:$E$120,MATCH($B1287,Services!$D$2:$D$120,0)),""))</f>
        <v/>
      </c>
    </row>
    <row r="1288" customFormat="false" ht="14.25" hidden="false" customHeight="false" outlineLevel="0" collapsed="false">
      <c r="A1288" s="18"/>
      <c r="B1288" s="6"/>
      <c r="C1288" s="6"/>
      <c r="D1288" s="6"/>
      <c r="E1288" s="16" t="str">
        <f aca="false">IF($B1288="","",IFERROR(INDEX(Services!$C$2:$C$120,MATCH($B1288,Services!$D$2:$D$120,0)),""))</f>
        <v/>
      </c>
      <c r="F1288" s="19"/>
      <c r="G1288" s="9" t="str">
        <f aca="false">IF(OR($B1288="",NOT(ISNUMBER($E1288))),"",$E1288-IF($F1288="",0,$F1288))</f>
        <v/>
      </c>
      <c r="H1288" s="15" t="str">
        <f aca="false">IF($B1288="","",IFERROR(INDEX(Services!$A$2:$A$120,MATCH($B1288,Services!$D$2:$D$120,0)),""))</f>
        <v/>
      </c>
      <c r="I1288" s="19"/>
      <c r="J1288" s="15" t="str">
        <f aca="false">IF($B1288="","",IFERROR(INDEX(Services!$E$2:$E$120,MATCH($B1288,Services!$D$2:$D$120,0)),""))</f>
        <v/>
      </c>
    </row>
    <row r="1289" customFormat="false" ht="14.25" hidden="false" customHeight="false" outlineLevel="0" collapsed="false">
      <c r="A1289" s="18"/>
      <c r="B1289" s="6"/>
      <c r="C1289" s="6"/>
      <c r="D1289" s="6"/>
      <c r="E1289" s="16" t="str">
        <f aca="false">IF($B1289="","",IFERROR(INDEX(Services!$C$2:$C$120,MATCH($B1289,Services!$D$2:$D$120,0)),""))</f>
        <v/>
      </c>
      <c r="F1289" s="19"/>
      <c r="G1289" s="9" t="str">
        <f aca="false">IF(OR($B1289="",NOT(ISNUMBER($E1289))),"",$E1289-IF($F1289="",0,$F1289))</f>
        <v/>
      </c>
      <c r="H1289" s="15" t="str">
        <f aca="false">IF($B1289="","",IFERROR(INDEX(Services!$A$2:$A$120,MATCH($B1289,Services!$D$2:$D$120,0)),""))</f>
        <v/>
      </c>
      <c r="I1289" s="19"/>
      <c r="J1289" s="15" t="str">
        <f aca="false">IF($B1289="","",IFERROR(INDEX(Services!$E$2:$E$120,MATCH($B1289,Services!$D$2:$D$120,0)),""))</f>
        <v/>
      </c>
    </row>
    <row r="1290" customFormat="false" ht="14.25" hidden="false" customHeight="false" outlineLevel="0" collapsed="false">
      <c r="A1290" s="18"/>
      <c r="B1290" s="6"/>
      <c r="C1290" s="6"/>
      <c r="D1290" s="6"/>
      <c r="E1290" s="16" t="str">
        <f aca="false">IF($B1290="","",IFERROR(INDEX(Services!$C$2:$C$120,MATCH($B1290,Services!$D$2:$D$120,0)),""))</f>
        <v/>
      </c>
      <c r="F1290" s="19"/>
      <c r="G1290" s="9" t="str">
        <f aca="false">IF(OR($B1290="",NOT(ISNUMBER($E1290))),"",$E1290-IF($F1290="",0,$F1290))</f>
        <v/>
      </c>
      <c r="H1290" s="15" t="str">
        <f aca="false">IF($B1290="","",IFERROR(INDEX(Services!$A$2:$A$120,MATCH($B1290,Services!$D$2:$D$120,0)),""))</f>
        <v/>
      </c>
      <c r="I1290" s="19"/>
      <c r="J1290" s="15" t="str">
        <f aca="false">IF($B1290="","",IFERROR(INDEX(Services!$E$2:$E$120,MATCH($B1290,Services!$D$2:$D$120,0)),""))</f>
        <v/>
      </c>
    </row>
    <row r="1291" customFormat="false" ht="14.25" hidden="false" customHeight="false" outlineLevel="0" collapsed="false">
      <c r="A1291" s="18"/>
      <c r="B1291" s="6"/>
      <c r="C1291" s="6"/>
      <c r="D1291" s="6"/>
      <c r="E1291" s="16" t="str">
        <f aca="false">IF($B1291="","",IFERROR(INDEX(Services!$C$2:$C$120,MATCH($B1291,Services!$D$2:$D$120,0)),""))</f>
        <v/>
      </c>
      <c r="F1291" s="19"/>
      <c r="G1291" s="9" t="str">
        <f aca="false">IF(OR($B1291="",NOT(ISNUMBER($E1291))),"",$E1291-IF($F1291="",0,$F1291))</f>
        <v/>
      </c>
      <c r="H1291" s="15" t="str">
        <f aca="false">IF($B1291="","",IFERROR(INDEX(Services!$A$2:$A$120,MATCH($B1291,Services!$D$2:$D$120,0)),""))</f>
        <v/>
      </c>
      <c r="I1291" s="19"/>
      <c r="J1291" s="15" t="str">
        <f aca="false">IF($B1291="","",IFERROR(INDEX(Services!$E$2:$E$120,MATCH($B1291,Services!$D$2:$D$120,0)),""))</f>
        <v/>
      </c>
    </row>
    <row r="1292" customFormat="false" ht="14.25" hidden="false" customHeight="false" outlineLevel="0" collapsed="false">
      <c r="A1292" s="18"/>
      <c r="B1292" s="6"/>
      <c r="C1292" s="6"/>
      <c r="D1292" s="6"/>
      <c r="E1292" s="16" t="str">
        <f aca="false">IF($B1292="","",IFERROR(INDEX(Services!$C$2:$C$120,MATCH($B1292,Services!$D$2:$D$120,0)),""))</f>
        <v/>
      </c>
      <c r="F1292" s="19"/>
      <c r="G1292" s="9" t="str">
        <f aca="false">IF(OR($B1292="",NOT(ISNUMBER($E1292))),"",$E1292-IF($F1292="",0,$F1292))</f>
        <v/>
      </c>
      <c r="H1292" s="15" t="str">
        <f aca="false">IF($B1292="","",IFERROR(INDEX(Services!$A$2:$A$120,MATCH($B1292,Services!$D$2:$D$120,0)),""))</f>
        <v/>
      </c>
      <c r="I1292" s="19"/>
      <c r="J1292" s="15" t="str">
        <f aca="false">IF($B1292="","",IFERROR(INDEX(Services!$E$2:$E$120,MATCH($B1292,Services!$D$2:$D$120,0)),""))</f>
        <v/>
      </c>
    </row>
    <row r="1293" customFormat="false" ht="14.25" hidden="false" customHeight="false" outlineLevel="0" collapsed="false">
      <c r="A1293" s="18"/>
      <c r="B1293" s="6"/>
      <c r="C1293" s="6"/>
      <c r="D1293" s="6"/>
      <c r="E1293" s="16" t="str">
        <f aca="false">IF($B1293="","",IFERROR(INDEX(Services!$C$2:$C$120,MATCH($B1293,Services!$D$2:$D$120,0)),""))</f>
        <v/>
      </c>
      <c r="F1293" s="19"/>
      <c r="G1293" s="9" t="str">
        <f aca="false">IF(OR($B1293="",NOT(ISNUMBER($E1293))),"",$E1293-IF($F1293="",0,$F1293))</f>
        <v/>
      </c>
      <c r="H1293" s="15" t="str">
        <f aca="false">IF($B1293="","",IFERROR(INDEX(Services!$A$2:$A$120,MATCH($B1293,Services!$D$2:$D$120,0)),""))</f>
        <v/>
      </c>
      <c r="I1293" s="19"/>
      <c r="J1293" s="15" t="str">
        <f aca="false">IF($B1293="","",IFERROR(INDEX(Services!$E$2:$E$120,MATCH($B1293,Services!$D$2:$D$120,0)),""))</f>
        <v/>
      </c>
    </row>
    <row r="1294" customFormat="false" ht="14.25" hidden="false" customHeight="false" outlineLevel="0" collapsed="false">
      <c r="A1294" s="18"/>
      <c r="B1294" s="6"/>
      <c r="C1294" s="6"/>
      <c r="D1294" s="6"/>
      <c r="E1294" s="16" t="str">
        <f aca="false">IF($B1294="","",IFERROR(INDEX(Services!$C$2:$C$120,MATCH($B1294,Services!$D$2:$D$120,0)),""))</f>
        <v/>
      </c>
      <c r="F1294" s="19"/>
      <c r="G1294" s="9" t="str">
        <f aca="false">IF(OR($B1294="",NOT(ISNUMBER($E1294))),"",$E1294-IF($F1294="",0,$F1294))</f>
        <v/>
      </c>
      <c r="H1294" s="15" t="str">
        <f aca="false">IF($B1294="","",IFERROR(INDEX(Services!$A$2:$A$120,MATCH($B1294,Services!$D$2:$D$120,0)),""))</f>
        <v/>
      </c>
      <c r="I1294" s="19"/>
      <c r="J1294" s="15" t="str">
        <f aca="false">IF($B1294="","",IFERROR(INDEX(Services!$E$2:$E$120,MATCH($B1294,Services!$D$2:$D$120,0)),""))</f>
        <v/>
      </c>
    </row>
    <row r="1295" customFormat="false" ht="14.25" hidden="false" customHeight="false" outlineLevel="0" collapsed="false">
      <c r="A1295" s="18"/>
      <c r="B1295" s="6"/>
      <c r="C1295" s="6"/>
      <c r="D1295" s="6"/>
      <c r="E1295" s="16" t="str">
        <f aca="false">IF($B1295="","",IFERROR(INDEX(Services!$C$2:$C$120,MATCH($B1295,Services!$D$2:$D$120,0)),""))</f>
        <v/>
      </c>
      <c r="F1295" s="19"/>
      <c r="G1295" s="9" t="str">
        <f aca="false">IF(OR($B1295="",NOT(ISNUMBER($E1295))),"",$E1295-IF($F1295="",0,$F1295))</f>
        <v/>
      </c>
      <c r="H1295" s="15" t="str">
        <f aca="false">IF($B1295="","",IFERROR(INDEX(Services!$A$2:$A$120,MATCH($B1295,Services!$D$2:$D$120,0)),""))</f>
        <v/>
      </c>
      <c r="I1295" s="19"/>
      <c r="J1295" s="15" t="str">
        <f aca="false">IF($B1295="","",IFERROR(INDEX(Services!$E$2:$E$120,MATCH($B1295,Services!$D$2:$D$120,0)),""))</f>
        <v/>
      </c>
    </row>
    <row r="1296" customFormat="false" ht="14.25" hidden="false" customHeight="false" outlineLevel="0" collapsed="false">
      <c r="A1296" s="18"/>
      <c r="B1296" s="6"/>
      <c r="C1296" s="6"/>
      <c r="D1296" s="6"/>
      <c r="E1296" s="16" t="str">
        <f aca="false">IF($B1296="","",IFERROR(INDEX(Services!$C$2:$C$120,MATCH($B1296,Services!$D$2:$D$120,0)),""))</f>
        <v/>
      </c>
      <c r="F1296" s="19"/>
      <c r="G1296" s="9" t="str">
        <f aca="false">IF(OR($B1296="",NOT(ISNUMBER($E1296))),"",$E1296-IF($F1296="",0,$F1296))</f>
        <v/>
      </c>
      <c r="H1296" s="15" t="str">
        <f aca="false">IF($B1296="","",IFERROR(INDEX(Services!$A$2:$A$120,MATCH($B1296,Services!$D$2:$D$120,0)),""))</f>
        <v/>
      </c>
      <c r="I1296" s="19"/>
      <c r="J1296" s="15" t="str">
        <f aca="false">IF($B1296="","",IFERROR(INDEX(Services!$E$2:$E$120,MATCH($B1296,Services!$D$2:$D$120,0)),""))</f>
        <v/>
      </c>
    </row>
    <row r="1297" customFormat="false" ht="14.25" hidden="false" customHeight="false" outlineLevel="0" collapsed="false">
      <c r="A1297" s="18"/>
      <c r="B1297" s="6"/>
      <c r="C1297" s="6"/>
      <c r="D1297" s="6"/>
      <c r="E1297" s="16" t="str">
        <f aca="false">IF($B1297="","",IFERROR(INDEX(Services!$C$2:$C$120,MATCH($B1297,Services!$D$2:$D$120,0)),""))</f>
        <v/>
      </c>
      <c r="F1297" s="19"/>
      <c r="G1297" s="9" t="str">
        <f aca="false">IF(OR($B1297="",NOT(ISNUMBER($E1297))),"",$E1297-IF($F1297="",0,$F1297))</f>
        <v/>
      </c>
      <c r="H1297" s="15" t="str">
        <f aca="false">IF($B1297="","",IFERROR(INDEX(Services!$A$2:$A$120,MATCH($B1297,Services!$D$2:$D$120,0)),""))</f>
        <v/>
      </c>
      <c r="I1297" s="19"/>
      <c r="J1297" s="15" t="str">
        <f aca="false">IF($B1297="","",IFERROR(INDEX(Services!$E$2:$E$120,MATCH($B1297,Services!$D$2:$D$120,0)),""))</f>
        <v/>
      </c>
    </row>
    <row r="1298" customFormat="false" ht="14.25" hidden="false" customHeight="false" outlineLevel="0" collapsed="false">
      <c r="A1298" s="18"/>
      <c r="B1298" s="6"/>
      <c r="C1298" s="6"/>
      <c r="D1298" s="6"/>
      <c r="E1298" s="16" t="str">
        <f aca="false">IF($B1298="","",IFERROR(INDEX(Services!$C$2:$C$120,MATCH($B1298,Services!$D$2:$D$120,0)),""))</f>
        <v/>
      </c>
      <c r="F1298" s="19"/>
      <c r="G1298" s="9" t="str">
        <f aca="false">IF(OR($B1298="",NOT(ISNUMBER($E1298))),"",$E1298-IF($F1298="",0,$F1298))</f>
        <v/>
      </c>
      <c r="H1298" s="15" t="str">
        <f aca="false">IF($B1298="","",IFERROR(INDEX(Services!$A$2:$A$120,MATCH($B1298,Services!$D$2:$D$120,0)),""))</f>
        <v/>
      </c>
      <c r="I1298" s="19"/>
      <c r="J1298" s="15" t="str">
        <f aca="false">IF($B1298="","",IFERROR(INDEX(Services!$E$2:$E$120,MATCH($B1298,Services!$D$2:$D$120,0)),""))</f>
        <v/>
      </c>
    </row>
    <row r="1299" customFormat="false" ht="14.25" hidden="false" customHeight="false" outlineLevel="0" collapsed="false">
      <c r="A1299" s="18"/>
      <c r="B1299" s="6"/>
      <c r="C1299" s="6"/>
      <c r="D1299" s="6"/>
      <c r="E1299" s="16" t="str">
        <f aca="false">IF($B1299="","",IFERROR(INDEX(Services!$C$2:$C$120,MATCH($B1299,Services!$D$2:$D$120,0)),""))</f>
        <v/>
      </c>
      <c r="F1299" s="19"/>
      <c r="G1299" s="9" t="str">
        <f aca="false">IF(OR($B1299="",NOT(ISNUMBER($E1299))),"",$E1299-IF($F1299="",0,$F1299))</f>
        <v/>
      </c>
      <c r="H1299" s="15" t="str">
        <f aca="false">IF($B1299="","",IFERROR(INDEX(Services!$A$2:$A$120,MATCH($B1299,Services!$D$2:$D$120,0)),""))</f>
        <v/>
      </c>
      <c r="I1299" s="19"/>
      <c r="J1299" s="15" t="str">
        <f aca="false">IF($B1299="","",IFERROR(INDEX(Services!$E$2:$E$120,MATCH($B1299,Services!$D$2:$D$120,0)),""))</f>
        <v/>
      </c>
    </row>
    <row r="1300" customFormat="false" ht="14.25" hidden="false" customHeight="false" outlineLevel="0" collapsed="false">
      <c r="A1300" s="18"/>
      <c r="B1300" s="6"/>
      <c r="C1300" s="6"/>
      <c r="D1300" s="6"/>
      <c r="E1300" s="16" t="str">
        <f aca="false">IF($B1300="","",IFERROR(INDEX(Services!$C$2:$C$120,MATCH($B1300,Services!$D$2:$D$120,0)),""))</f>
        <v/>
      </c>
      <c r="F1300" s="19"/>
      <c r="G1300" s="9" t="str">
        <f aca="false">IF(OR($B1300="",NOT(ISNUMBER($E1300))),"",$E1300-IF($F1300="",0,$F1300))</f>
        <v/>
      </c>
      <c r="H1300" s="15" t="str">
        <f aca="false">IF($B1300="","",IFERROR(INDEX(Services!$A$2:$A$120,MATCH($B1300,Services!$D$2:$D$120,0)),""))</f>
        <v/>
      </c>
      <c r="I1300" s="19"/>
      <c r="J1300" s="15" t="str">
        <f aca="false">IF($B1300="","",IFERROR(INDEX(Services!$E$2:$E$120,MATCH($B1300,Services!$D$2:$D$120,0)),""))</f>
        <v/>
      </c>
    </row>
    <row r="1301" customFormat="false" ht="14.25" hidden="false" customHeight="false" outlineLevel="0" collapsed="false">
      <c r="A1301" s="18"/>
      <c r="B1301" s="6"/>
      <c r="C1301" s="6"/>
      <c r="D1301" s="6"/>
      <c r="E1301" s="16" t="str">
        <f aca="false">IF($B1301="","",IFERROR(INDEX(Services!$C$2:$C$120,MATCH($B1301,Services!$D$2:$D$120,0)),""))</f>
        <v/>
      </c>
      <c r="F1301" s="19"/>
      <c r="G1301" s="9" t="str">
        <f aca="false">IF(OR($B1301="",NOT(ISNUMBER($E1301))),"",$E1301-IF($F1301="",0,$F1301))</f>
        <v/>
      </c>
      <c r="H1301" s="15" t="str">
        <f aca="false">IF($B1301="","",IFERROR(INDEX(Services!$A$2:$A$120,MATCH($B1301,Services!$D$2:$D$120,0)),""))</f>
        <v/>
      </c>
      <c r="I1301" s="19"/>
      <c r="J1301" s="15" t="str">
        <f aca="false">IF($B1301="","",IFERROR(INDEX(Services!$E$2:$E$120,MATCH($B1301,Services!$D$2:$D$120,0)),""))</f>
        <v/>
      </c>
    </row>
    <row r="1302" customFormat="false" ht="14.25" hidden="false" customHeight="false" outlineLevel="0" collapsed="false">
      <c r="A1302" s="18"/>
      <c r="B1302" s="6"/>
      <c r="C1302" s="6"/>
      <c r="D1302" s="6"/>
      <c r="E1302" s="16" t="str">
        <f aca="false">IF($B1302="","",IFERROR(INDEX(Services!$C$2:$C$120,MATCH($B1302,Services!$D$2:$D$120,0)),""))</f>
        <v/>
      </c>
      <c r="F1302" s="19"/>
      <c r="G1302" s="9" t="str">
        <f aca="false">IF(OR($B1302="",NOT(ISNUMBER($E1302))),"",$E1302-IF($F1302="",0,$F1302))</f>
        <v/>
      </c>
      <c r="H1302" s="15" t="str">
        <f aca="false">IF($B1302="","",IFERROR(INDEX(Services!$A$2:$A$120,MATCH($B1302,Services!$D$2:$D$120,0)),""))</f>
        <v/>
      </c>
      <c r="I1302" s="19"/>
      <c r="J1302" s="15" t="str">
        <f aca="false">IF($B1302="","",IFERROR(INDEX(Services!$E$2:$E$120,MATCH($B1302,Services!$D$2:$D$120,0)),""))</f>
        <v/>
      </c>
    </row>
    <row r="1303" customFormat="false" ht="14.25" hidden="false" customHeight="false" outlineLevel="0" collapsed="false">
      <c r="A1303" s="18"/>
      <c r="B1303" s="6"/>
      <c r="C1303" s="6"/>
      <c r="D1303" s="6"/>
      <c r="E1303" s="16" t="str">
        <f aca="false">IF($B1303="","",IFERROR(INDEX(Services!$C$2:$C$120,MATCH($B1303,Services!$D$2:$D$120,0)),""))</f>
        <v/>
      </c>
      <c r="F1303" s="19"/>
      <c r="G1303" s="9" t="str">
        <f aca="false">IF(OR($B1303="",NOT(ISNUMBER($E1303))),"",$E1303-IF($F1303="",0,$F1303))</f>
        <v/>
      </c>
      <c r="H1303" s="15" t="str">
        <f aca="false">IF($B1303="","",IFERROR(INDEX(Services!$A$2:$A$120,MATCH($B1303,Services!$D$2:$D$120,0)),""))</f>
        <v/>
      </c>
      <c r="I1303" s="19"/>
      <c r="J1303" s="15" t="str">
        <f aca="false">IF($B1303="","",IFERROR(INDEX(Services!$E$2:$E$120,MATCH($B1303,Services!$D$2:$D$120,0)),""))</f>
        <v/>
      </c>
    </row>
    <row r="1304" customFormat="false" ht="14.25" hidden="false" customHeight="false" outlineLevel="0" collapsed="false">
      <c r="A1304" s="18"/>
      <c r="B1304" s="6"/>
      <c r="C1304" s="6"/>
      <c r="D1304" s="6"/>
      <c r="E1304" s="16" t="str">
        <f aca="false">IF($B1304="","",IFERROR(INDEX(Services!$C$2:$C$120,MATCH($B1304,Services!$D$2:$D$120,0)),""))</f>
        <v/>
      </c>
      <c r="F1304" s="19"/>
      <c r="G1304" s="9" t="str">
        <f aca="false">IF(OR($B1304="",NOT(ISNUMBER($E1304))),"",$E1304-IF($F1304="",0,$F1304))</f>
        <v/>
      </c>
      <c r="H1304" s="15" t="str">
        <f aca="false">IF($B1304="","",IFERROR(INDEX(Services!$A$2:$A$120,MATCH($B1304,Services!$D$2:$D$120,0)),""))</f>
        <v/>
      </c>
      <c r="I1304" s="19"/>
      <c r="J1304" s="15" t="str">
        <f aca="false">IF($B1304="","",IFERROR(INDEX(Services!$E$2:$E$120,MATCH($B1304,Services!$D$2:$D$120,0)),""))</f>
        <v/>
      </c>
    </row>
    <row r="1305" customFormat="false" ht="14.25" hidden="false" customHeight="false" outlineLevel="0" collapsed="false">
      <c r="A1305" s="18"/>
      <c r="B1305" s="6"/>
      <c r="C1305" s="6"/>
      <c r="D1305" s="6"/>
      <c r="E1305" s="16" t="str">
        <f aca="false">IF($B1305="","",IFERROR(INDEX(Services!$C$2:$C$120,MATCH($B1305,Services!$D$2:$D$120,0)),""))</f>
        <v/>
      </c>
      <c r="F1305" s="19"/>
      <c r="G1305" s="9" t="str">
        <f aca="false">IF(OR($B1305="",NOT(ISNUMBER($E1305))),"",$E1305-IF($F1305="",0,$F1305))</f>
        <v/>
      </c>
      <c r="H1305" s="15" t="str">
        <f aca="false">IF($B1305="","",IFERROR(INDEX(Services!$A$2:$A$120,MATCH($B1305,Services!$D$2:$D$120,0)),""))</f>
        <v/>
      </c>
      <c r="I1305" s="19"/>
      <c r="J1305" s="15" t="str">
        <f aca="false">IF($B1305="","",IFERROR(INDEX(Services!$E$2:$E$120,MATCH($B1305,Services!$D$2:$D$120,0)),""))</f>
        <v/>
      </c>
    </row>
    <row r="1306" customFormat="false" ht="14.25" hidden="false" customHeight="false" outlineLevel="0" collapsed="false">
      <c r="A1306" s="18"/>
      <c r="B1306" s="6"/>
      <c r="C1306" s="6"/>
      <c r="D1306" s="6"/>
      <c r="E1306" s="16" t="str">
        <f aca="false">IF($B1306="","",IFERROR(INDEX(Services!$C$2:$C$120,MATCH($B1306,Services!$D$2:$D$120,0)),""))</f>
        <v/>
      </c>
      <c r="F1306" s="19"/>
      <c r="G1306" s="9" t="str">
        <f aca="false">IF(OR($B1306="",NOT(ISNUMBER($E1306))),"",$E1306-IF($F1306="",0,$F1306))</f>
        <v/>
      </c>
      <c r="H1306" s="15" t="str">
        <f aca="false">IF($B1306="","",IFERROR(INDEX(Services!$A$2:$A$120,MATCH($B1306,Services!$D$2:$D$120,0)),""))</f>
        <v/>
      </c>
      <c r="I1306" s="19"/>
      <c r="J1306" s="15" t="str">
        <f aca="false">IF($B1306="","",IFERROR(INDEX(Services!$E$2:$E$120,MATCH($B1306,Services!$D$2:$D$120,0)),""))</f>
        <v/>
      </c>
    </row>
    <row r="1307" customFormat="false" ht="14.25" hidden="false" customHeight="false" outlineLevel="0" collapsed="false">
      <c r="A1307" s="18"/>
      <c r="B1307" s="6"/>
      <c r="C1307" s="6"/>
      <c r="D1307" s="6"/>
      <c r="E1307" s="16" t="str">
        <f aca="false">IF($B1307="","",IFERROR(INDEX(Services!$C$2:$C$120,MATCH($B1307,Services!$D$2:$D$120,0)),""))</f>
        <v/>
      </c>
      <c r="F1307" s="19"/>
      <c r="G1307" s="9" t="str">
        <f aca="false">IF(OR($B1307="",NOT(ISNUMBER($E1307))),"",$E1307-IF($F1307="",0,$F1307))</f>
        <v/>
      </c>
      <c r="H1307" s="15" t="str">
        <f aca="false">IF($B1307="","",IFERROR(INDEX(Services!$A$2:$A$120,MATCH($B1307,Services!$D$2:$D$120,0)),""))</f>
        <v/>
      </c>
      <c r="I1307" s="19"/>
      <c r="J1307" s="15" t="str">
        <f aca="false">IF($B1307="","",IFERROR(INDEX(Services!$E$2:$E$120,MATCH($B1307,Services!$D$2:$D$120,0)),""))</f>
        <v/>
      </c>
    </row>
    <row r="1308" customFormat="false" ht="14.25" hidden="false" customHeight="false" outlineLevel="0" collapsed="false">
      <c r="A1308" s="18"/>
      <c r="B1308" s="6"/>
      <c r="C1308" s="6"/>
      <c r="D1308" s="6"/>
      <c r="E1308" s="16" t="str">
        <f aca="false">IF($B1308="","",IFERROR(INDEX(Services!$C$2:$C$120,MATCH($B1308,Services!$D$2:$D$120,0)),""))</f>
        <v/>
      </c>
      <c r="F1308" s="19"/>
      <c r="G1308" s="9" t="str">
        <f aca="false">IF(OR($B1308="",NOT(ISNUMBER($E1308))),"",$E1308-IF($F1308="",0,$F1308))</f>
        <v/>
      </c>
      <c r="H1308" s="15" t="str">
        <f aca="false">IF($B1308="","",IFERROR(INDEX(Services!$A$2:$A$120,MATCH($B1308,Services!$D$2:$D$120,0)),""))</f>
        <v/>
      </c>
      <c r="I1308" s="19"/>
      <c r="J1308" s="15" t="str">
        <f aca="false">IF($B1308="","",IFERROR(INDEX(Services!$E$2:$E$120,MATCH($B1308,Services!$D$2:$D$120,0)),""))</f>
        <v/>
      </c>
    </row>
    <row r="1309" customFormat="false" ht="14.25" hidden="false" customHeight="false" outlineLevel="0" collapsed="false">
      <c r="A1309" s="18"/>
      <c r="B1309" s="6"/>
      <c r="C1309" s="6"/>
      <c r="D1309" s="6"/>
      <c r="E1309" s="16" t="str">
        <f aca="false">IF($B1309="","",IFERROR(INDEX(Services!$C$2:$C$120,MATCH($B1309,Services!$D$2:$D$120,0)),""))</f>
        <v/>
      </c>
      <c r="F1309" s="19"/>
      <c r="G1309" s="9" t="str">
        <f aca="false">IF(OR($B1309="",NOT(ISNUMBER($E1309))),"",$E1309-IF($F1309="",0,$F1309))</f>
        <v/>
      </c>
      <c r="H1309" s="15" t="str">
        <f aca="false">IF($B1309="","",IFERROR(INDEX(Services!$A$2:$A$120,MATCH($B1309,Services!$D$2:$D$120,0)),""))</f>
        <v/>
      </c>
      <c r="I1309" s="19"/>
      <c r="J1309" s="15" t="str">
        <f aca="false">IF($B1309="","",IFERROR(INDEX(Services!$E$2:$E$120,MATCH($B1309,Services!$D$2:$D$120,0)),""))</f>
        <v/>
      </c>
    </row>
    <row r="1310" customFormat="false" ht="14.25" hidden="false" customHeight="false" outlineLevel="0" collapsed="false">
      <c r="A1310" s="18"/>
      <c r="B1310" s="6"/>
      <c r="C1310" s="6"/>
      <c r="D1310" s="6"/>
      <c r="E1310" s="16" t="str">
        <f aca="false">IF($B1310="","",IFERROR(INDEX(Services!$C$2:$C$120,MATCH($B1310,Services!$D$2:$D$120,0)),""))</f>
        <v/>
      </c>
      <c r="F1310" s="19"/>
      <c r="G1310" s="9" t="str">
        <f aca="false">IF(OR($B1310="",NOT(ISNUMBER($E1310))),"",$E1310-IF($F1310="",0,$F1310))</f>
        <v/>
      </c>
      <c r="H1310" s="15" t="str">
        <f aca="false">IF($B1310="","",IFERROR(INDEX(Services!$A$2:$A$120,MATCH($B1310,Services!$D$2:$D$120,0)),""))</f>
        <v/>
      </c>
      <c r="I1310" s="19"/>
      <c r="J1310" s="15" t="str">
        <f aca="false">IF($B1310="","",IFERROR(INDEX(Services!$E$2:$E$120,MATCH($B1310,Services!$D$2:$D$120,0)),""))</f>
        <v/>
      </c>
    </row>
    <row r="1311" customFormat="false" ht="14.25" hidden="false" customHeight="false" outlineLevel="0" collapsed="false">
      <c r="A1311" s="18"/>
      <c r="B1311" s="6"/>
      <c r="C1311" s="6"/>
      <c r="D1311" s="6"/>
      <c r="E1311" s="16" t="str">
        <f aca="false">IF($B1311="","",IFERROR(INDEX(Services!$C$2:$C$120,MATCH($B1311,Services!$D$2:$D$120,0)),""))</f>
        <v/>
      </c>
      <c r="F1311" s="19"/>
      <c r="G1311" s="9" t="str">
        <f aca="false">IF(OR($B1311="",NOT(ISNUMBER($E1311))),"",$E1311-IF($F1311="",0,$F1311))</f>
        <v/>
      </c>
      <c r="H1311" s="15" t="str">
        <f aca="false">IF($B1311="","",IFERROR(INDEX(Services!$A$2:$A$120,MATCH($B1311,Services!$D$2:$D$120,0)),""))</f>
        <v/>
      </c>
      <c r="I1311" s="19"/>
      <c r="J1311" s="15" t="str">
        <f aca="false">IF($B1311="","",IFERROR(INDEX(Services!$E$2:$E$120,MATCH($B1311,Services!$D$2:$D$120,0)),""))</f>
        <v/>
      </c>
    </row>
    <row r="1312" customFormat="false" ht="14.25" hidden="false" customHeight="false" outlineLevel="0" collapsed="false">
      <c r="A1312" s="18"/>
      <c r="B1312" s="6"/>
      <c r="C1312" s="6"/>
      <c r="D1312" s="6"/>
      <c r="E1312" s="16" t="str">
        <f aca="false">IF($B1312="","",IFERROR(INDEX(Services!$C$2:$C$120,MATCH($B1312,Services!$D$2:$D$120,0)),""))</f>
        <v/>
      </c>
      <c r="F1312" s="19"/>
      <c r="G1312" s="9" t="str">
        <f aca="false">IF(OR($B1312="",NOT(ISNUMBER($E1312))),"",$E1312-IF($F1312="",0,$F1312))</f>
        <v/>
      </c>
      <c r="H1312" s="15" t="str">
        <f aca="false">IF($B1312="","",IFERROR(INDEX(Services!$A$2:$A$120,MATCH($B1312,Services!$D$2:$D$120,0)),""))</f>
        <v/>
      </c>
      <c r="I1312" s="19"/>
      <c r="J1312" s="15" t="str">
        <f aca="false">IF($B1312="","",IFERROR(INDEX(Services!$E$2:$E$120,MATCH($B1312,Services!$D$2:$D$120,0)),""))</f>
        <v/>
      </c>
    </row>
    <row r="1313" customFormat="false" ht="14.25" hidden="false" customHeight="false" outlineLevel="0" collapsed="false">
      <c r="A1313" s="18"/>
      <c r="B1313" s="6"/>
      <c r="C1313" s="6"/>
      <c r="D1313" s="6"/>
      <c r="E1313" s="16" t="str">
        <f aca="false">IF($B1313="","",IFERROR(INDEX(Services!$C$2:$C$120,MATCH($B1313,Services!$D$2:$D$120,0)),""))</f>
        <v/>
      </c>
      <c r="F1313" s="19"/>
      <c r="G1313" s="9" t="str">
        <f aca="false">IF(OR($B1313="",NOT(ISNUMBER($E1313))),"",$E1313-IF($F1313="",0,$F1313))</f>
        <v/>
      </c>
      <c r="H1313" s="15" t="str">
        <f aca="false">IF($B1313="","",IFERROR(INDEX(Services!$A$2:$A$120,MATCH($B1313,Services!$D$2:$D$120,0)),""))</f>
        <v/>
      </c>
      <c r="I1313" s="19"/>
      <c r="J1313" s="15" t="str">
        <f aca="false">IF($B1313="","",IFERROR(INDEX(Services!$E$2:$E$120,MATCH($B1313,Services!$D$2:$D$120,0)),""))</f>
        <v/>
      </c>
    </row>
    <row r="1314" customFormat="false" ht="14.25" hidden="false" customHeight="false" outlineLevel="0" collapsed="false">
      <c r="A1314" s="18"/>
      <c r="B1314" s="6"/>
      <c r="C1314" s="6"/>
      <c r="D1314" s="6"/>
      <c r="E1314" s="16" t="str">
        <f aca="false">IF($B1314="","",IFERROR(INDEX(Services!$C$2:$C$120,MATCH($B1314,Services!$D$2:$D$120,0)),""))</f>
        <v/>
      </c>
      <c r="F1314" s="19"/>
      <c r="G1314" s="9" t="str">
        <f aca="false">IF(OR($B1314="",NOT(ISNUMBER($E1314))),"",$E1314-IF($F1314="",0,$F1314))</f>
        <v/>
      </c>
      <c r="H1314" s="15" t="str">
        <f aca="false">IF($B1314="","",IFERROR(INDEX(Services!$A$2:$A$120,MATCH($B1314,Services!$D$2:$D$120,0)),""))</f>
        <v/>
      </c>
      <c r="I1314" s="19"/>
      <c r="J1314" s="15" t="str">
        <f aca="false">IF($B1314="","",IFERROR(INDEX(Services!$E$2:$E$120,MATCH($B1314,Services!$D$2:$D$120,0)),""))</f>
        <v/>
      </c>
    </row>
    <row r="1315" customFormat="false" ht="14.25" hidden="false" customHeight="false" outlineLevel="0" collapsed="false">
      <c r="A1315" s="18"/>
      <c r="B1315" s="6"/>
      <c r="C1315" s="6"/>
      <c r="D1315" s="6"/>
      <c r="E1315" s="16" t="str">
        <f aca="false">IF($B1315="","",IFERROR(INDEX(Services!$C$2:$C$120,MATCH($B1315,Services!$D$2:$D$120,0)),""))</f>
        <v/>
      </c>
      <c r="F1315" s="19"/>
      <c r="G1315" s="9" t="str">
        <f aca="false">IF(OR($B1315="",NOT(ISNUMBER($E1315))),"",$E1315-IF($F1315="",0,$F1315))</f>
        <v/>
      </c>
      <c r="H1315" s="15" t="str">
        <f aca="false">IF($B1315="","",IFERROR(INDEX(Services!$A$2:$A$120,MATCH($B1315,Services!$D$2:$D$120,0)),""))</f>
        <v/>
      </c>
      <c r="I1315" s="19"/>
      <c r="J1315" s="15" t="str">
        <f aca="false">IF($B1315="","",IFERROR(INDEX(Services!$E$2:$E$120,MATCH($B1315,Services!$D$2:$D$120,0)),""))</f>
        <v/>
      </c>
    </row>
    <row r="1316" customFormat="false" ht="14.25" hidden="false" customHeight="false" outlineLevel="0" collapsed="false">
      <c r="A1316" s="18"/>
      <c r="B1316" s="6"/>
      <c r="C1316" s="6"/>
      <c r="D1316" s="6"/>
      <c r="E1316" s="16" t="str">
        <f aca="false">IF($B1316="","",IFERROR(INDEX(Services!$C$2:$C$120,MATCH($B1316,Services!$D$2:$D$120,0)),""))</f>
        <v/>
      </c>
      <c r="F1316" s="19"/>
      <c r="G1316" s="9" t="str">
        <f aca="false">IF(OR($B1316="",NOT(ISNUMBER($E1316))),"",$E1316-IF($F1316="",0,$F1316))</f>
        <v/>
      </c>
      <c r="H1316" s="15" t="str">
        <f aca="false">IF($B1316="","",IFERROR(INDEX(Services!$A$2:$A$120,MATCH($B1316,Services!$D$2:$D$120,0)),""))</f>
        <v/>
      </c>
      <c r="I1316" s="19"/>
      <c r="J1316" s="15" t="str">
        <f aca="false">IF($B1316="","",IFERROR(INDEX(Services!$E$2:$E$120,MATCH($B1316,Services!$D$2:$D$120,0)),""))</f>
        <v/>
      </c>
    </row>
    <row r="1317" customFormat="false" ht="14.25" hidden="false" customHeight="false" outlineLevel="0" collapsed="false">
      <c r="A1317" s="18"/>
      <c r="B1317" s="6"/>
      <c r="C1317" s="6"/>
      <c r="D1317" s="6"/>
      <c r="E1317" s="16" t="str">
        <f aca="false">IF($B1317="","",IFERROR(INDEX(Services!$C$2:$C$120,MATCH($B1317,Services!$D$2:$D$120,0)),""))</f>
        <v/>
      </c>
      <c r="F1317" s="19"/>
      <c r="G1317" s="9" t="str">
        <f aca="false">IF(OR($B1317="",NOT(ISNUMBER($E1317))),"",$E1317-IF($F1317="",0,$F1317))</f>
        <v/>
      </c>
      <c r="H1317" s="15" t="str">
        <f aca="false">IF($B1317="","",IFERROR(INDEX(Services!$A$2:$A$120,MATCH($B1317,Services!$D$2:$D$120,0)),""))</f>
        <v/>
      </c>
      <c r="I1317" s="19"/>
      <c r="J1317" s="15" t="str">
        <f aca="false">IF($B1317="","",IFERROR(INDEX(Services!$E$2:$E$120,MATCH($B1317,Services!$D$2:$D$120,0)),""))</f>
        <v/>
      </c>
    </row>
    <row r="1318" customFormat="false" ht="14.25" hidden="false" customHeight="false" outlineLevel="0" collapsed="false">
      <c r="A1318" s="18"/>
      <c r="B1318" s="6"/>
      <c r="C1318" s="6"/>
      <c r="D1318" s="6"/>
      <c r="E1318" s="16" t="str">
        <f aca="false">IF($B1318="","",IFERROR(INDEX(Services!$C$2:$C$120,MATCH($B1318,Services!$D$2:$D$120,0)),""))</f>
        <v/>
      </c>
      <c r="F1318" s="19"/>
      <c r="G1318" s="9" t="str">
        <f aca="false">IF(OR($B1318="",NOT(ISNUMBER($E1318))),"",$E1318-IF($F1318="",0,$F1318))</f>
        <v/>
      </c>
      <c r="H1318" s="15" t="str">
        <f aca="false">IF($B1318="","",IFERROR(INDEX(Services!$A$2:$A$120,MATCH($B1318,Services!$D$2:$D$120,0)),""))</f>
        <v/>
      </c>
      <c r="I1318" s="19"/>
      <c r="J1318" s="15" t="str">
        <f aca="false">IF($B1318="","",IFERROR(INDEX(Services!$E$2:$E$120,MATCH($B1318,Services!$D$2:$D$120,0)),""))</f>
        <v/>
      </c>
    </row>
    <row r="1319" customFormat="false" ht="14.25" hidden="false" customHeight="false" outlineLevel="0" collapsed="false">
      <c r="A1319" s="18"/>
      <c r="B1319" s="6"/>
      <c r="C1319" s="6"/>
      <c r="D1319" s="6"/>
      <c r="E1319" s="16" t="str">
        <f aca="false">IF($B1319="","",IFERROR(INDEX(Services!$C$2:$C$120,MATCH($B1319,Services!$D$2:$D$120,0)),""))</f>
        <v/>
      </c>
      <c r="F1319" s="19"/>
      <c r="G1319" s="9" t="str">
        <f aca="false">IF(OR($B1319="",NOT(ISNUMBER($E1319))),"",$E1319-IF($F1319="",0,$F1319))</f>
        <v/>
      </c>
      <c r="H1319" s="15" t="str">
        <f aca="false">IF($B1319="","",IFERROR(INDEX(Services!$A$2:$A$120,MATCH($B1319,Services!$D$2:$D$120,0)),""))</f>
        <v/>
      </c>
      <c r="I1319" s="19"/>
      <c r="J1319" s="15" t="str">
        <f aca="false">IF($B1319="","",IFERROR(INDEX(Services!$E$2:$E$120,MATCH($B1319,Services!$D$2:$D$120,0)),""))</f>
        <v/>
      </c>
    </row>
    <row r="1320" customFormat="false" ht="14.25" hidden="false" customHeight="false" outlineLevel="0" collapsed="false">
      <c r="A1320" s="18"/>
      <c r="B1320" s="6"/>
      <c r="C1320" s="6"/>
      <c r="D1320" s="6"/>
      <c r="E1320" s="16" t="str">
        <f aca="false">IF($B1320="","",IFERROR(INDEX(Services!$C$2:$C$120,MATCH($B1320,Services!$D$2:$D$120,0)),""))</f>
        <v/>
      </c>
      <c r="F1320" s="19"/>
      <c r="G1320" s="9" t="str">
        <f aca="false">IF(OR($B1320="",NOT(ISNUMBER($E1320))),"",$E1320-IF($F1320="",0,$F1320))</f>
        <v/>
      </c>
      <c r="H1320" s="15" t="str">
        <f aca="false">IF($B1320="","",IFERROR(INDEX(Services!$A$2:$A$120,MATCH($B1320,Services!$D$2:$D$120,0)),""))</f>
        <v/>
      </c>
      <c r="I1320" s="19"/>
      <c r="J1320" s="15" t="str">
        <f aca="false">IF($B1320="","",IFERROR(INDEX(Services!$E$2:$E$120,MATCH($B1320,Services!$D$2:$D$120,0)),""))</f>
        <v/>
      </c>
    </row>
    <row r="1321" customFormat="false" ht="14.25" hidden="false" customHeight="false" outlineLevel="0" collapsed="false">
      <c r="A1321" s="18"/>
      <c r="B1321" s="6"/>
      <c r="C1321" s="6"/>
      <c r="D1321" s="6"/>
      <c r="E1321" s="16" t="str">
        <f aca="false">IF($B1321="","",IFERROR(INDEX(Services!$C$2:$C$120,MATCH($B1321,Services!$D$2:$D$120,0)),""))</f>
        <v/>
      </c>
      <c r="F1321" s="19"/>
      <c r="G1321" s="9" t="str">
        <f aca="false">IF(OR($B1321="",NOT(ISNUMBER($E1321))),"",$E1321-IF($F1321="",0,$F1321))</f>
        <v/>
      </c>
      <c r="H1321" s="15" t="str">
        <f aca="false">IF($B1321="","",IFERROR(INDEX(Services!$A$2:$A$120,MATCH($B1321,Services!$D$2:$D$120,0)),""))</f>
        <v/>
      </c>
      <c r="I1321" s="19"/>
      <c r="J1321" s="15" t="str">
        <f aca="false">IF($B1321="","",IFERROR(INDEX(Services!$E$2:$E$120,MATCH($B1321,Services!$D$2:$D$120,0)),""))</f>
        <v/>
      </c>
    </row>
    <row r="1322" customFormat="false" ht="14.25" hidden="false" customHeight="false" outlineLevel="0" collapsed="false">
      <c r="A1322" s="18"/>
      <c r="B1322" s="6"/>
      <c r="C1322" s="6"/>
      <c r="D1322" s="6"/>
      <c r="E1322" s="16" t="str">
        <f aca="false">IF($B1322="","",IFERROR(INDEX(Services!$C$2:$C$120,MATCH($B1322,Services!$D$2:$D$120,0)),""))</f>
        <v/>
      </c>
      <c r="F1322" s="19"/>
      <c r="G1322" s="9" t="str">
        <f aca="false">IF(OR($B1322="",NOT(ISNUMBER($E1322))),"",$E1322-IF($F1322="",0,$F1322))</f>
        <v/>
      </c>
      <c r="H1322" s="15" t="str">
        <f aca="false">IF($B1322="","",IFERROR(INDEX(Services!$A$2:$A$120,MATCH($B1322,Services!$D$2:$D$120,0)),""))</f>
        <v/>
      </c>
      <c r="I1322" s="19"/>
      <c r="J1322" s="15" t="str">
        <f aca="false">IF($B1322="","",IFERROR(INDEX(Services!$E$2:$E$120,MATCH($B1322,Services!$D$2:$D$120,0)),""))</f>
        <v/>
      </c>
    </row>
    <row r="1323" customFormat="false" ht="14.25" hidden="false" customHeight="false" outlineLevel="0" collapsed="false">
      <c r="A1323" s="18"/>
      <c r="B1323" s="6"/>
      <c r="C1323" s="6"/>
      <c r="D1323" s="6"/>
      <c r="E1323" s="16" t="str">
        <f aca="false">IF($B1323="","",IFERROR(INDEX(Services!$C$2:$C$120,MATCH($B1323,Services!$D$2:$D$120,0)),""))</f>
        <v/>
      </c>
      <c r="F1323" s="19"/>
      <c r="G1323" s="9" t="str">
        <f aca="false">IF(OR($B1323="",NOT(ISNUMBER($E1323))),"",$E1323-IF($F1323="",0,$F1323))</f>
        <v/>
      </c>
      <c r="H1323" s="15" t="str">
        <f aca="false">IF($B1323="","",IFERROR(INDEX(Services!$A$2:$A$120,MATCH($B1323,Services!$D$2:$D$120,0)),""))</f>
        <v/>
      </c>
      <c r="I1323" s="19"/>
      <c r="J1323" s="15" t="str">
        <f aca="false">IF($B1323="","",IFERROR(INDEX(Services!$E$2:$E$120,MATCH($B1323,Services!$D$2:$D$120,0)),""))</f>
        <v/>
      </c>
    </row>
    <row r="1324" customFormat="false" ht="14.25" hidden="false" customHeight="false" outlineLevel="0" collapsed="false">
      <c r="A1324" s="18"/>
      <c r="B1324" s="6"/>
      <c r="C1324" s="6"/>
      <c r="D1324" s="6"/>
      <c r="E1324" s="16" t="str">
        <f aca="false">IF($B1324="","",IFERROR(INDEX(Services!$C$2:$C$120,MATCH($B1324,Services!$D$2:$D$120,0)),""))</f>
        <v/>
      </c>
      <c r="F1324" s="19"/>
      <c r="G1324" s="9" t="str">
        <f aca="false">IF(OR($B1324="",NOT(ISNUMBER($E1324))),"",$E1324-IF($F1324="",0,$F1324))</f>
        <v/>
      </c>
      <c r="H1324" s="15" t="str">
        <f aca="false">IF($B1324="","",IFERROR(INDEX(Services!$A$2:$A$120,MATCH($B1324,Services!$D$2:$D$120,0)),""))</f>
        <v/>
      </c>
      <c r="I1324" s="19"/>
      <c r="J1324" s="15" t="str">
        <f aca="false">IF($B1324="","",IFERROR(INDEX(Services!$E$2:$E$120,MATCH($B1324,Services!$D$2:$D$120,0)),""))</f>
        <v/>
      </c>
    </row>
    <row r="1325" customFormat="false" ht="14.25" hidden="false" customHeight="false" outlineLevel="0" collapsed="false">
      <c r="A1325" s="18"/>
      <c r="B1325" s="6"/>
      <c r="C1325" s="6"/>
      <c r="D1325" s="6"/>
      <c r="E1325" s="16" t="str">
        <f aca="false">IF($B1325="","",IFERROR(INDEX(Services!$C$2:$C$120,MATCH($B1325,Services!$D$2:$D$120,0)),""))</f>
        <v/>
      </c>
      <c r="F1325" s="19"/>
      <c r="G1325" s="9" t="str">
        <f aca="false">IF(OR($B1325="",NOT(ISNUMBER($E1325))),"",$E1325-IF($F1325="",0,$F1325))</f>
        <v/>
      </c>
      <c r="H1325" s="15" t="str">
        <f aca="false">IF($B1325="","",IFERROR(INDEX(Services!$A$2:$A$120,MATCH($B1325,Services!$D$2:$D$120,0)),""))</f>
        <v/>
      </c>
      <c r="I1325" s="19"/>
      <c r="J1325" s="15" t="str">
        <f aca="false">IF($B1325="","",IFERROR(INDEX(Services!$E$2:$E$120,MATCH($B1325,Services!$D$2:$D$120,0)),""))</f>
        <v/>
      </c>
    </row>
    <row r="1326" customFormat="false" ht="14.25" hidden="false" customHeight="false" outlineLevel="0" collapsed="false">
      <c r="A1326" s="18"/>
      <c r="B1326" s="6"/>
      <c r="C1326" s="6"/>
      <c r="D1326" s="6"/>
      <c r="E1326" s="16" t="str">
        <f aca="false">IF($B1326="","",IFERROR(INDEX(Services!$C$2:$C$120,MATCH($B1326,Services!$D$2:$D$120,0)),""))</f>
        <v/>
      </c>
      <c r="F1326" s="19"/>
      <c r="G1326" s="9" t="str">
        <f aca="false">IF(OR($B1326="",NOT(ISNUMBER($E1326))),"",$E1326-IF($F1326="",0,$F1326))</f>
        <v/>
      </c>
      <c r="H1326" s="15" t="str">
        <f aca="false">IF($B1326="","",IFERROR(INDEX(Services!$A$2:$A$120,MATCH($B1326,Services!$D$2:$D$120,0)),""))</f>
        <v/>
      </c>
      <c r="I1326" s="19"/>
      <c r="J1326" s="15" t="str">
        <f aca="false">IF($B1326="","",IFERROR(INDEX(Services!$E$2:$E$120,MATCH($B1326,Services!$D$2:$D$120,0)),""))</f>
        <v/>
      </c>
    </row>
    <row r="1327" customFormat="false" ht="14.25" hidden="false" customHeight="false" outlineLevel="0" collapsed="false">
      <c r="A1327" s="18"/>
      <c r="B1327" s="6"/>
      <c r="C1327" s="6"/>
      <c r="D1327" s="6"/>
      <c r="E1327" s="16" t="str">
        <f aca="false">IF($B1327="","",IFERROR(INDEX(Services!$C$2:$C$120,MATCH($B1327,Services!$D$2:$D$120,0)),""))</f>
        <v/>
      </c>
      <c r="F1327" s="19"/>
      <c r="G1327" s="9" t="str">
        <f aca="false">IF(OR($B1327="",NOT(ISNUMBER($E1327))),"",$E1327-IF($F1327="",0,$F1327))</f>
        <v/>
      </c>
      <c r="H1327" s="15" t="str">
        <f aca="false">IF($B1327="","",IFERROR(INDEX(Services!$A$2:$A$120,MATCH($B1327,Services!$D$2:$D$120,0)),""))</f>
        <v/>
      </c>
      <c r="I1327" s="19"/>
      <c r="J1327" s="15" t="str">
        <f aca="false">IF($B1327="","",IFERROR(INDEX(Services!$E$2:$E$120,MATCH($B1327,Services!$D$2:$D$120,0)),""))</f>
        <v/>
      </c>
    </row>
    <row r="1328" customFormat="false" ht="14.25" hidden="false" customHeight="false" outlineLevel="0" collapsed="false">
      <c r="A1328" s="18"/>
      <c r="B1328" s="6"/>
      <c r="C1328" s="6"/>
      <c r="D1328" s="6"/>
      <c r="E1328" s="16" t="str">
        <f aca="false">IF($B1328="","",IFERROR(INDEX(Services!$C$2:$C$120,MATCH($B1328,Services!$D$2:$D$120,0)),""))</f>
        <v/>
      </c>
      <c r="F1328" s="19"/>
      <c r="G1328" s="9" t="str">
        <f aca="false">IF(OR($B1328="",NOT(ISNUMBER($E1328))),"",$E1328-IF($F1328="",0,$F1328))</f>
        <v/>
      </c>
      <c r="H1328" s="15" t="str">
        <f aca="false">IF($B1328="","",IFERROR(INDEX(Services!$A$2:$A$120,MATCH($B1328,Services!$D$2:$D$120,0)),""))</f>
        <v/>
      </c>
      <c r="I1328" s="19"/>
      <c r="J1328" s="15" t="str">
        <f aca="false">IF($B1328="","",IFERROR(INDEX(Services!$E$2:$E$120,MATCH($B1328,Services!$D$2:$D$120,0)),""))</f>
        <v/>
      </c>
    </row>
    <row r="1329" customFormat="false" ht="14.25" hidden="false" customHeight="false" outlineLevel="0" collapsed="false">
      <c r="A1329" s="18"/>
      <c r="B1329" s="6"/>
      <c r="C1329" s="6"/>
      <c r="D1329" s="6"/>
      <c r="E1329" s="16" t="str">
        <f aca="false">IF($B1329="","",IFERROR(INDEX(Services!$C$2:$C$120,MATCH($B1329,Services!$D$2:$D$120,0)),""))</f>
        <v/>
      </c>
      <c r="F1329" s="19"/>
      <c r="G1329" s="9" t="str">
        <f aca="false">IF(OR($B1329="",NOT(ISNUMBER($E1329))),"",$E1329-IF($F1329="",0,$F1329))</f>
        <v/>
      </c>
      <c r="H1329" s="15" t="str">
        <f aca="false">IF($B1329="","",IFERROR(INDEX(Services!$A$2:$A$120,MATCH($B1329,Services!$D$2:$D$120,0)),""))</f>
        <v/>
      </c>
      <c r="I1329" s="19"/>
      <c r="J1329" s="15" t="str">
        <f aca="false">IF($B1329="","",IFERROR(INDEX(Services!$E$2:$E$120,MATCH($B1329,Services!$D$2:$D$120,0)),""))</f>
        <v/>
      </c>
    </row>
    <row r="1330" customFormat="false" ht="14.25" hidden="false" customHeight="false" outlineLevel="0" collapsed="false">
      <c r="A1330" s="18"/>
      <c r="B1330" s="6"/>
      <c r="C1330" s="6"/>
      <c r="D1330" s="6"/>
      <c r="E1330" s="16" t="str">
        <f aca="false">IF($B1330="","",IFERROR(INDEX(Services!$C$2:$C$120,MATCH($B1330,Services!$D$2:$D$120,0)),""))</f>
        <v/>
      </c>
      <c r="F1330" s="19"/>
      <c r="G1330" s="9" t="str">
        <f aca="false">IF(OR($B1330="",NOT(ISNUMBER($E1330))),"",$E1330-IF($F1330="",0,$F1330))</f>
        <v/>
      </c>
      <c r="H1330" s="15" t="str">
        <f aca="false">IF($B1330="","",IFERROR(INDEX(Services!$A$2:$A$120,MATCH($B1330,Services!$D$2:$D$120,0)),""))</f>
        <v/>
      </c>
      <c r="I1330" s="19"/>
      <c r="J1330" s="15" t="str">
        <f aca="false">IF($B1330="","",IFERROR(INDEX(Services!$E$2:$E$120,MATCH($B1330,Services!$D$2:$D$120,0)),""))</f>
        <v/>
      </c>
    </row>
    <row r="1331" customFormat="false" ht="14.25" hidden="false" customHeight="false" outlineLevel="0" collapsed="false">
      <c r="A1331" s="18"/>
      <c r="B1331" s="6"/>
      <c r="C1331" s="6"/>
      <c r="D1331" s="6"/>
      <c r="E1331" s="16" t="str">
        <f aca="false">IF($B1331="","",IFERROR(INDEX(Services!$C$2:$C$120,MATCH($B1331,Services!$D$2:$D$120,0)),""))</f>
        <v/>
      </c>
      <c r="F1331" s="19"/>
      <c r="G1331" s="9" t="str">
        <f aca="false">IF(OR($B1331="",NOT(ISNUMBER($E1331))),"",$E1331-IF($F1331="",0,$F1331))</f>
        <v/>
      </c>
      <c r="H1331" s="15" t="str">
        <f aca="false">IF($B1331="","",IFERROR(INDEX(Services!$A$2:$A$120,MATCH($B1331,Services!$D$2:$D$120,0)),""))</f>
        <v/>
      </c>
      <c r="I1331" s="19"/>
      <c r="J1331" s="15" t="str">
        <f aca="false">IF($B1331="","",IFERROR(INDEX(Services!$E$2:$E$120,MATCH($B1331,Services!$D$2:$D$120,0)),""))</f>
        <v/>
      </c>
    </row>
    <row r="1332" customFormat="false" ht="14.25" hidden="false" customHeight="false" outlineLevel="0" collapsed="false">
      <c r="A1332" s="18"/>
      <c r="B1332" s="6"/>
      <c r="C1332" s="6"/>
      <c r="D1332" s="6"/>
      <c r="E1332" s="16" t="str">
        <f aca="false">IF($B1332="","",IFERROR(INDEX(Services!$C$2:$C$120,MATCH($B1332,Services!$D$2:$D$120,0)),""))</f>
        <v/>
      </c>
      <c r="F1332" s="19"/>
      <c r="G1332" s="9" t="str">
        <f aca="false">IF(OR($B1332="",NOT(ISNUMBER($E1332))),"",$E1332-IF($F1332="",0,$F1332))</f>
        <v/>
      </c>
      <c r="H1332" s="15" t="str">
        <f aca="false">IF($B1332="","",IFERROR(INDEX(Services!$A$2:$A$120,MATCH($B1332,Services!$D$2:$D$120,0)),""))</f>
        <v/>
      </c>
      <c r="I1332" s="19"/>
      <c r="J1332" s="15" t="str">
        <f aca="false">IF($B1332="","",IFERROR(INDEX(Services!$E$2:$E$120,MATCH($B1332,Services!$D$2:$D$120,0)),""))</f>
        <v/>
      </c>
    </row>
    <row r="1333" customFormat="false" ht="14.25" hidden="false" customHeight="false" outlineLevel="0" collapsed="false">
      <c r="A1333" s="18"/>
      <c r="B1333" s="6"/>
      <c r="C1333" s="6"/>
      <c r="D1333" s="6"/>
      <c r="E1333" s="16" t="str">
        <f aca="false">IF($B1333="","",IFERROR(INDEX(Services!$C$2:$C$120,MATCH($B1333,Services!$D$2:$D$120,0)),""))</f>
        <v/>
      </c>
      <c r="F1333" s="19"/>
      <c r="G1333" s="9" t="str">
        <f aca="false">IF(OR($B1333="",NOT(ISNUMBER($E1333))),"",$E1333-IF($F1333="",0,$F1333))</f>
        <v/>
      </c>
      <c r="H1333" s="15" t="str">
        <f aca="false">IF($B1333="","",IFERROR(INDEX(Services!$A$2:$A$120,MATCH($B1333,Services!$D$2:$D$120,0)),""))</f>
        <v/>
      </c>
      <c r="I1333" s="19"/>
      <c r="J1333" s="15" t="str">
        <f aca="false">IF($B1333="","",IFERROR(INDEX(Services!$E$2:$E$120,MATCH($B1333,Services!$D$2:$D$120,0)),""))</f>
        <v/>
      </c>
    </row>
    <row r="1334" customFormat="false" ht="14.25" hidden="false" customHeight="false" outlineLevel="0" collapsed="false">
      <c r="A1334" s="18"/>
      <c r="B1334" s="6"/>
      <c r="C1334" s="6"/>
      <c r="D1334" s="6"/>
      <c r="E1334" s="16" t="str">
        <f aca="false">IF($B1334="","",IFERROR(INDEX(Services!$C$2:$C$120,MATCH($B1334,Services!$D$2:$D$120,0)),""))</f>
        <v/>
      </c>
      <c r="F1334" s="19"/>
      <c r="G1334" s="9" t="str">
        <f aca="false">IF(OR($B1334="",NOT(ISNUMBER($E1334))),"",$E1334-IF($F1334="",0,$F1334))</f>
        <v/>
      </c>
      <c r="H1334" s="15" t="str">
        <f aca="false">IF($B1334="","",IFERROR(INDEX(Services!$A$2:$A$120,MATCH($B1334,Services!$D$2:$D$120,0)),""))</f>
        <v/>
      </c>
      <c r="I1334" s="19"/>
      <c r="J1334" s="15" t="str">
        <f aca="false">IF($B1334="","",IFERROR(INDEX(Services!$E$2:$E$120,MATCH($B1334,Services!$D$2:$D$120,0)),""))</f>
        <v/>
      </c>
    </row>
    <row r="1335" customFormat="false" ht="14.25" hidden="false" customHeight="false" outlineLevel="0" collapsed="false">
      <c r="A1335" s="18"/>
      <c r="B1335" s="6"/>
      <c r="C1335" s="6"/>
      <c r="D1335" s="6"/>
      <c r="E1335" s="16" t="str">
        <f aca="false">IF($B1335="","",IFERROR(INDEX(Services!$C$2:$C$120,MATCH($B1335,Services!$D$2:$D$120,0)),""))</f>
        <v/>
      </c>
      <c r="F1335" s="19"/>
      <c r="G1335" s="9" t="str">
        <f aca="false">IF(OR($B1335="",NOT(ISNUMBER($E1335))),"",$E1335-IF($F1335="",0,$F1335))</f>
        <v/>
      </c>
      <c r="H1335" s="15" t="str">
        <f aca="false">IF($B1335="","",IFERROR(INDEX(Services!$A$2:$A$120,MATCH($B1335,Services!$D$2:$D$120,0)),""))</f>
        <v/>
      </c>
      <c r="I1335" s="19"/>
      <c r="J1335" s="15" t="str">
        <f aca="false">IF($B1335="","",IFERROR(INDEX(Services!$E$2:$E$120,MATCH($B1335,Services!$D$2:$D$120,0)),""))</f>
        <v/>
      </c>
    </row>
    <row r="1336" customFormat="false" ht="14.25" hidden="false" customHeight="false" outlineLevel="0" collapsed="false">
      <c r="A1336" s="18"/>
      <c r="B1336" s="6"/>
      <c r="C1336" s="6"/>
      <c r="D1336" s="6"/>
      <c r="E1336" s="16" t="str">
        <f aca="false">IF($B1336="","",IFERROR(INDEX(Services!$C$2:$C$120,MATCH($B1336,Services!$D$2:$D$120,0)),""))</f>
        <v/>
      </c>
      <c r="F1336" s="19"/>
      <c r="G1336" s="9" t="str">
        <f aca="false">IF(OR($B1336="",NOT(ISNUMBER($E1336))),"",$E1336-IF($F1336="",0,$F1336))</f>
        <v/>
      </c>
      <c r="H1336" s="15" t="str">
        <f aca="false">IF($B1336="","",IFERROR(INDEX(Services!$A$2:$A$120,MATCH($B1336,Services!$D$2:$D$120,0)),""))</f>
        <v/>
      </c>
      <c r="I1336" s="19"/>
      <c r="J1336" s="15" t="str">
        <f aca="false">IF($B1336="","",IFERROR(INDEX(Services!$E$2:$E$120,MATCH($B1336,Services!$D$2:$D$120,0)),""))</f>
        <v/>
      </c>
    </row>
    <row r="1337" customFormat="false" ht="14.25" hidden="false" customHeight="false" outlineLevel="0" collapsed="false">
      <c r="A1337" s="18"/>
      <c r="B1337" s="6"/>
      <c r="C1337" s="6"/>
      <c r="D1337" s="6"/>
      <c r="E1337" s="16" t="str">
        <f aca="false">IF($B1337="","",IFERROR(INDEX(Services!$C$2:$C$120,MATCH($B1337,Services!$D$2:$D$120,0)),""))</f>
        <v/>
      </c>
      <c r="F1337" s="19"/>
      <c r="G1337" s="9" t="str">
        <f aca="false">IF(OR($B1337="",NOT(ISNUMBER($E1337))),"",$E1337-IF($F1337="",0,$F1337))</f>
        <v/>
      </c>
      <c r="H1337" s="15" t="str">
        <f aca="false">IF($B1337="","",IFERROR(INDEX(Services!$A$2:$A$120,MATCH($B1337,Services!$D$2:$D$120,0)),""))</f>
        <v/>
      </c>
      <c r="I1337" s="19"/>
      <c r="J1337" s="15" t="str">
        <f aca="false">IF($B1337="","",IFERROR(INDEX(Services!$E$2:$E$120,MATCH($B1337,Services!$D$2:$D$120,0)),""))</f>
        <v/>
      </c>
    </row>
    <row r="1338" customFormat="false" ht="14.25" hidden="false" customHeight="false" outlineLevel="0" collapsed="false">
      <c r="A1338" s="18"/>
      <c r="B1338" s="6"/>
      <c r="C1338" s="6"/>
      <c r="D1338" s="6"/>
      <c r="E1338" s="16" t="str">
        <f aca="false">IF($B1338="","",IFERROR(INDEX(Services!$C$2:$C$120,MATCH($B1338,Services!$D$2:$D$120,0)),""))</f>
        <v/>
      </c>
      <c r="F1338" s="19"/>
      <c r="G1338" s="9" t="str">
        <f aca="false">IF(OR($B1338="",NOT(ISNUMBER($E1338))),"",$E1338-IF($F1338="",0,$F1338))</f>
        <v/>
      </c>
      <c r="H1338" s="15" t="str">
        <f aca="false">IF($B1338="","",IFERROR(INDEX(Services!$A$2:$A$120,MATCH($B1338,Services!$D$2:$D$120,0)),""))</f>
        <v/>
      </c>
      <c r="I1338" s="19"/>
      <c r="J1338" s="15" t="str">
        <f aca="false">IF($B1338="","",IFERROR(INDEX(Services!$E$2:$E$120,MATCH($B1338,Services!$D$2:$D$120,0)),""))</f>
        <v/>
      </c>
    </row>
    <row r="1339" customFormat="false" ht="14.25" hidden="false" customHeight="false" outlineLevel="0" collapsed="false">
      <c r="A1339" s="18"/>
      <c r="B1339" s="6"/>
      <c r="C1339" s="6"/>
      <c r="D1339" s="6"/>
      <c r="E1339" s="16" t="str">
        <f aca="false">IF($B1339="","",IFERROR(INDEX(Services!$C$2:$C$120,MATCH($B1339,Services!$D$2:$D$120,0)),""))</f>
        <v/>
      </c>
      <c r="F1339" s="19"/>
      <c r="G1339" s="9" t="str">
        <f aca="false">IF(OR($B1339="",NOT(ISNUMBER($E1339))),"",$E1339-IF($F1339="",0,$F1339))</f>
        <v/>
      </c>
      <c r="H1339" s="15" t="str">
        <f aca="false">IF($B1339="","",IFERROR(INDEX(Services!$A$2:$A$120,MATCH($B1339,Services!$D$2:$D$120,0)),""))</f>
        <v/>
      </c>
      <c r="I1339" s="19"/>
      <c r="J1339" s="15" t="str">
        <f aca="false">IF($B1339="","",IFERROR(INDEX(Services!$E$2:$E$120,MATCH($B1339,Services!$D$2:$D$120,0)),""))</f>
        <v/>
      </c>
    </row>
    <row r="1340" customFormat="false" ht="14.25" hidden="false" customHeight="false" outlineLevel="0" collapsed="false">
      <c r="A1340" s="18"/>
      <c r="B1340" s="6"/>
      <c r="C1340" s="6"/>
      <c r="D1340" s="6"/>
      <c r="E1340" s="16" t="str">
        <f aca="false">IF($B1340="","",IFERROR(INDEX(Services!$C$2:$C$120,MATCH($B1340,Services!$D$2:$D$120,0)),""))</f>
        <v/>
      </c>
      <c r="F1340" s="19"/>
      <c r="G1340" s="9" t="str">
        <f aca="false">IF(OR($B1340="",NOT(ISNUMBER($E1340))),"",$E1340-IF($F1340="",0,$F1340))</f>
        <v/>
      </c>
      <c r="H1340" s="15" t="str">
        <f aca="false">IF($B1340="","",IFERROR(INDEX(Services!$A$2:$A$120,MATCH($B1340,Services!$D$2:$D$120,0)),""))</f>
        <v/>
      </c>
      <c r="I1340" s="19"/>
      <c r="J1340" s="15" t="str">
        <f aca="false">IF($B1340="","",IFERROR(INDEX(Services!$E$2:$E$120,MATCH($B1340,Services!$D$2:$D$120,0)),""))</f>
        <v/>
      </c>
    </row>
    <row r="1341" customFormat="false" ht="14.25" hidden="false" customHeight="false" outlineLevel="0" collapsed="false">
      <c r="A1341" s="18"/>
      <c r="B1341" s="6"/>
      <c r="C1341" s="6"/>
      <c r="D1341" s="6"/>
      <c r="E1341" s="16" t="str">
        <f aca="false">IF($B1341="","",IFERROR(INDEX(Services!$C$2:$C$120,MATCH($B1341,Services!$D$2:$D$120,0)),""))</f>
        <v/>
      </c>
      <c r="F1341" s="19"/>
      <c r="G1341" s="9" t="str">
        <f aca="false">IF(OR($B1341="",NOT(ISNUMBER($E1341))),"",$E1341-IF($F1341="",0,$F1341))</f>
        <v/>
      </c>
      <c r="H1341" s="15" t="str">
        <f aca="false">IF($B1341="","",IFERROR(INDEX(Services!$A$2:$A$120,MATCH($B1341,Services!$D$2:$D$120,0)),""))</f>
        <v/>
      </c>
      <c r="I1341" s="19"/>
      <c r="J1341" s="15" t="str">
        <f aca="false">IF($B1341="","",IFERROR(INDEX(Services!$E$2:$E$120,MATCH($B1341,Services!$D$2:$D$120,0)),""))</f>
        <v/>
      </c>
    </row>
    <row r="1342" customFormat="false" ht="14.25" hidden="false" customHeight="false" outlineLevel="0" collapsed="false">
      <c r="A1342" s="18"/>
      <c r="B1342" s="6"/>
      <c r="C1342" s="6"/>
      <c r="D1342" s="6"/>
      <c r="E1342" s="16" t="str">
        <f aca="false">IF($B1342="","",IFERROR(INDEX(Services!$C$2:$C$120,MATCH($B1342,Services!$D$2:$D$120,0)),""))</f>
        <v/>
      </c>
      <c r="F1342" s="19"/>
      <c r="G1342" s="9" t="str">
        <f aca="false">IF(OR($B1342="",NOT(ISNUMBER($E1342))),"",$E1342-IF($F1342="",0,$F1342))</f>
        <v/>
      </c>
      <c r="H1342" s="15" t="str">
        <f aca="false">IF($B1342="","",IFERROR(INDEX(Services!$A$2:$A$120,MATCH($B1342,Services!$D$2:$D$120,0)),""))</f>
        <v/>
      </c>
      <c r="I1342" s="19"/>
      <c r="J1342" s="15" t="str">
        <f aca="false">IF($B1342="","",IFERROR(INDEX(Services!$E$2:$E$120,MATCH($B1342,Services!$D$2:$D$120,0)),""))</f>
        <v/>
      </c>
    </row>
    <row r="1343" customFormat="false" ht="14.25" hidden="false" customHeight="false" outlineLevel="0" collapsed="false">
      <c r="A1343" s="18"/>
      <c r="B1343" s="6"/>
      <c r="C1343" s="6"/>
      <c r="D1343" s="6"/>
      <c r="E1343" s="16" t="str">
        <f aca="false">IF($B1343="","",IFERROR(INDEX(Services!$C$2:$C$120,MATCH($B1343,Services!$D$2:$D$120,0)),""))</f>
        <v/>
      </c>
      <c r="F1343" s="19"/>
      <c r="G1343" s="9" t="str">
        <f aca="false">IF(OR($B1343="",NOT(ISNUMBER($E1343))),"",$E1343-IF($F1343="",0,$F1343))</f>
        <v/>
      </c>
      <c r="H1343" s="15" t="str">
        <f aca="false">IF($B1343="","",IFERROR(INDEX(Services!$A$2:$A$120,MATCH($B1343,Services!$D$2:$D$120,0)),""))</f>
        <v/>
      </c>
      <c r="I1343" s="19"/>
      <c r="J1343" s="15" t="str">
        <f aca="false">IF($B1343="","",IFERROR(INDEX(Services!$E$2:$E$120,MATCH($B1343,Services!$D$2:$D$120,0)),""))</f>
        <v/>
      </c>
    </row>
    <row r="1344" customFormat="false" ht="14.25" hidden="false" customHeight="false" outlineLevel="0" collapsed="false">
      <c r="A1344" s="18"/>
      <c r="B1344" s="6"/>
      <c r="C1344" s="6"/>
      <c r="D1344" s="6"/>
      <c r="E1344" s="16" t="str">
        <f aca="false">IF($B1344="","",IFERROR(INDEX(Services!$C$2:$C$120,MATCH($B1344,Services!$D$2:$D$120,0)),""))</f>
        <v/>
      </c>
      <c r="F1344" s="19"/>
      <c r="G1344" s="9" t="str">
        <f aca="false">IF(OR($B1344="",NOT(ISNUMBER($E1344))),"",$E1344-IF($F1344="",0,$F1344))</f>
        <v/>
      </c>
      <c r="H1344" s="15" t="str">
        <f aca="false">IF($B1344="","",IFERROR(INDEX(Services!$A$2:$A$120,MATCH($B1344,Services!$D$2:$D$120,0)),""))</f>
        <v/>
      </c>
      <c r="I1344" s="19"/>
      <c r="J1344" s="15" t="str">
        <f aca="false">IF($B1344="","",IFERROR(INDEX(Services!$E$2:$E$120,MATCH($B1344,Services!$D$2:$D$120,0)),""))</f>
        <v/>
      </c>
    </row>
    <row r="1345" customFormat="false" ht="14.25" hidden="false" customHeight="false" outlineLevel="0" collapsed="false">
      <c r="A1345" s="18"/>
      <c r="B1345" s="6"/>
      <c r="C1345" s="6"/>
      <c r="D1345" s="6"/>
      <c r="E1345" s="16" t="str">
        <f aca="false">IF($B1345="","",IFERROR(INDEX(Services!$C$2:$C$120,MATCH($B1345,Services!$D$2:$D$120,0)),""))</f>
        <v/>
      </c>
      <c r="F1345" s="19"/>
      <c r="G1345" s="9" t="str">
        <f aca="false">IF(OR($B1345="",NOT(ISNUMBER($E1345))),"",$E1345-IF($F1345="",0,$F1345))</f>
        <v/>
      </c>
      <c r="H1345" s="15" t="str">
        <f aca="false">IF($B1345="","",IFERROR(INDEX(Services!$A$2:$A$120,MATCH($B1345,Services!$D$2:$D$120,0)),""))</f>
        <v/>
      </c>
      <c r="I1345" s="19"/>
      <c r="J1345" s="15" t="str">
        <f aca="false">IF($B1345="","",IFERROR(INDEX(Services!$E$2:$E$120,MATCH($B1345,Services!$D$2:$D$120,0)),""))</f>
        <v/>
      </c>
    </row>
    <row r="1346" customFormat="false" ht="14.25" hidden="false" customHeight="false" outlineLevel="0" collapsed="false">
      <c r="A1346" s="18"/>
      <c r="B1346" s="6"/>
      <c r="C1346" s="6"/>
      <c r="D1346" s="6"/>
      <c r="E1346" s="16" t="str">
        <f aca="false">IF($B1346="","",IFERROR(INDEX(Services!$C$2:$C$120,MATCH($B1346,Services!$D$2:$D$120,0)),""))</f>
        <v/>
      </c>
      <c r="F1346" s="19"/>
      <c r="G1346" s="9" t="str">
        <f aca="false">IF(OR($B1346="",NOT(ISNUMBER($E1346))),"",$E1346-IF($F1346="",0,$F1346))</f>
        <v/>
      </c>
      <c r="H1346" s="15" t="str">
        <f aca="false">IF($B1346="","",IFERROR(INDEX(Services!$A$2:$A$120,MATCH($B1346,Services!$D$2:$D$120,0)),""))</f>
        <v/>
      </c>
      <c r="I1346" s="19"/>
      <c r="J1346" s="15" t="str">
        <f aca="false">IF($B1346="","",IFERROR(INDEX(Services!$E$2:$E$120,MATCH($B1346,Services!$D$2:$D$120,0)),""))</f>
        <v/>
      </c>
    </row>
    <row r="1347" customFormat="false" ht="14.25" hidden="false" customHeight="false" outlineLevel="0" collapsed="false">
      <c r="A1347" s="18"/>
      <c r="B1347" s="6"/>
      <c r="C1347" s="6"/>
      <c r="D1347" s="6"/>
      <c r="E1347" s="16" t="str">
        <f aca="false">IF($B1347="","",IFERROR(INDEX(Services!$C$2:$C$120,MATCH($B1347,Services!$D$2:$D$120,0)),""))</f>
        <v/>
      </c>
      <c r="F1347" s="19"/>
      <c r="G1347" s="9" t="str">
        <f aca="false">IF(OR($B1347="",NOT(ISNUMBER($E1347))),"",$E1347-IF($F1347="",0,$F1347))</f>
        <v/>
      </c>
      <c r="H1347" s="15" t="str">
        <f aca="false">IF($B1347="","",IFERROR(INDEX(Services!$A$2:$A$120,MATCH($B1347,Services!$D$2:$D$120,0)),""))</f>
        <v/>
      </c>
      <c r="I1347" s="19"/>
      <c r="J1347" s="15" t="str">
        <f aca="false">IF($B1347="","",IFERROR(INDEX(Services!$E$2:$E$120,MATCH($B1347,Services!$D$2:$D$120,0)),""))</f>
        <v/>
      </c>
    </row>
    <row r="1348" customFormat="false" ht="14.25" hidden="false" customHeight="false" outlineLevel="0" collapsed="false">
      <c r="A1348" s="18"/>
      <c r="B1348" s="6"/>
      <c r="C1348" s="6"/>
      <c r="D1348" s="6"/>
      <c r="E1348" s="16" t="str">
        <f aca="false">IF($B1348="","",IFERROR(INDEX(Services!$C$2:$C$120,MATCH($B1348,Services!$D$2:$D$120,0)),""))</f>
        <v/>
      </c>
      <c r="F1348" s="19"/>
      <c r="G1348" s="9" t="str">
        <f aca="false">IF(OR($B1348="",NOT(ISNUMBER($E1348))),"",$E1348-IF($F1348="",0,$F1348))</f>
        <v/>
      </c>
      <c r="H1348" s="15" t="str">
        <f aca="false">IF($B1348="","",IFERROR(INDEX(Services!$A$2:$A$120,MATCH($B1348,Services!$D$2:$D$120,0)),""))</f>
        <v/>
      </c>
      <c r="I1348" s="19"/>
      <c r="J1348" s="15" t="str">
        <f aca="false">IF($B1348="","",IFERROR(INDEX(Services!$E$2:$E$120,MATCH($B1348,Services!$D$2:$D$120,0)),""))</f>
        <v/>
      </c>
    </row>
    <row r="1349" customFormat="false" ht="14.25" hidden="false" customHeight="false" outlineLevel="0" collapsed="false">
      <c r="A1349" s="18"/>
      <c r="B1349" s="6"/>
      <c r="C1349" s="6"/>
      <c r="D1349" s="6"/>
      <c r="E1349" s="16" t="str">
        <f aca="false">IF($B1349="","",IFERROR(INDEX(Services!$C$2:$C$120,MATCH($B1349,Services!$D$2:$D$120,0)),""))</f>
        <v/>
      </c>
      <c r="F1349" s="19"/>
      <c r="G1349" s="9" t="str">
        <f aca="false">IF(OR($B1349="",NOT(ISNUMBER($E1349))),"",$E1349-IF($F1349="",0,$F1349))</f>
        <v/>
      </c>
      <c r="H1349" s="15" t="str">
        <f aca="false">IF($B1349="","",IFERROR(INDEX(Services!$A$2:$A$120,MATCH($B1349,Services!$D$2:$D$120,0)),""))</f>
        <v/>
      </c>
      <c r="I1349" s="19"/>
      <c r="J1349" s="15" t="str">
        <f aca="false">IF($B1349="","",IFERROR(INDEX(Services!$E$2:$E$120,MATCH($B1349,Services!$D$2:$D$120,0)),""))</f>
        <v/>
      </c>
    </row>
    <row r="1350" customFormat="false" ht="14.25" hidden="false" customHeight="false" outlineLevel="0" collapsed="false">
      <c r="A1350" s="18"/>
      <c r="B1350" s="6"/>
      <c r="C1350" s="6"/>
      <c r="D1350" s="6"/>
      <c r="E1350" s="16" t="str">
        <f aca="false">IF($B1350="","",IFERROR(INDEX(Services!$C$2:$C$120,MATCH($B1350,Services!$D$2:$D$120,0)),""))</f>
        <v/>
      </c>
      <c r="F1350" s="19"/>
      <c r="G1350" s="9" t="str">
        <f aca="false">IF(OR($B1350="",NOT(ISNUMBER($E1350))),"",$E1350-IF($F1350="",0,$F1350))</f>
        <v/>
      </c>
      <c r="H1350" s="15" t="str">
        <f aca="false">IF($B1350="","",IFERROR(INDEX(Services!$A$2:$A$120,MATCH($B1350,Services!$D$2:$D$120,0)),""))</f>
        <v/>
      </c>
      <c r="I1350" s="19"/>
      <c r="J1350" s="15" t="str">
        <f aca="false">IF($B1350="","",IFERROR(INDEX(Services!$E$2:$E$120,MATCH($B1350,Services!$D$2:$D$120,0)),""))</f>
        <v/>
      </c>
    </row>
    <row r="1351" customFormat="false" ht="14.25" hidden="false" customHeight="false" outlineLevel="0" collapsed="false">
      <c r="A1351" s="18"/>
      <c r="B1351" s="6"/>
      <c r="C1351" s="6"/>
      <c r="D1351" s="6"/>
      <c r="E1351" s="16" t="str">
        <f aca="false">IF($B1351="","",IFERROR(INDEX(Services!$C$2:$C$120,MATCH($B1351,Services!$D$2:$D$120,0)),""))</f>
        <v/>
      </c>
      <c r="F1351" s="19"/>
      <c r="G1351" s="9" t="str">
        <f aca="false">IF(OR($B1351="",NOT(ISNUMBER($E1351))),"",$E1351-IF($F1351="",0,$F1351))</f>
        <v/>
      </c>
      <c r="H1351" s="15" t="str">
        <f aca="false">IF($B1351="","",IFERROR(INDEX(Services!$A$2:$A$120,MATCH($B1351,Services!$D$2:$D$120,0)),""))</f>
        <v/>
      </c>
      <c r="I1351" s="19"/>
      <c r="J1351" s="15" t="str">
        <f aca="false">IF($B1351="","",IFERROR(INDEX(Services!$E$2:$E$120,MATCH($B1351,Services!$D$2:$D$120,0)),""))</f>
        <v/>
      </c>
    </row>
    <row r="1352" customFormat="false" ht="14.25" hidden="false" customHeight="false" outlineLevel="0" collapsed="false">
      <c r="A1352" s="18"/>
      <c r="B1352" s="6"/>
      <c r="C1352" s="6"/>
      <c r="D1352" s="6"/>
      <c r="E1352" s="16" t="str">
        <f aca="false">IF($B1352="","",IFERROR(INDEX(Services!$C$2:$C$120,MATCH($B1352,Services!$D$2:$D$120,0)),""))</f>
        <v/>
      </c>
      <c r="F1352" s="19"/>
      <c r="G1352" s="9" t="str">
        <f aca="false">IF(OR($B1352="",NOT(ISNUMBER($E1352))),"",$E1352-IF($F1352="",0,$F1352))</f>
        <v/>
      </c>
      <c r="H1352" s="15" t="str">
        <f aca="false">IF($B1352="","",IFERROR(INDEX(Services!$A$2:$A$120,MATCH($B1352,Services!$D$2:$D$120,0)),""))</f>
        <v/>
      </c>
      <c r="I1352" s="19"/>
      <c r="J1352" s="15" t="str">
        <f aca="false">IF($B1352="","",IFERROR(INDEX(Services!$E$2:$E$120,MATCH($B1352,Services!$D$2:$D$120,0)),""))</f>
        <v/>
      </c>
    </row>
    <row r="1353" customFormat="false" ht="14.25" hidden="false" customHeight="false" outlineLevel="0" collapsed="false">
      <c r="A1353" s="18"/>
      <c r="B1353" s="6"/>
      <c r="C1353" s="6"/>
      <c r="D1353" s="6"/>
      <c r="E1353" s="16" t="str">
        <f aca="false">IF($B1353="","",IFERROR(INDEX(Services!$C$2:$C$120,MATCH($B1353,Services!$D$2:$D$120,0)),""))</f>
        <v/>
      </c>
      <c r="F1353" s="19"/>
      <c r="G1353" s="9" t="str">
        <f aca="false">IF(OR($B1353="",NOT(ISNUMBER($E1353))),"",$E1353-IF($F1353="",0,$F1353))</f>
        <v/>
      </c>
      <c r="H1353" s="15" t="str">
        <f aca="false">IF($B1353="","",IFERROR(INDEX(Services!$A$2:$A$120,MATCH($B1353,Services!$D$2:$D$120,0)),""))</f>
        <v/>
      </c>
      <c r="I1353" s="19"/>
      <c r="J1353" s="15" t="str">
        <f aca="false">IF($B1353="","",IFERROR(INDEX(Services!$E$2:$E$120,MATCH($B1353,Services!$D$2:$D$120,0)),""))</f>
        <v/>
      </c>
    </row>
    <row r="1354" customFormat="false" ht="14.25" hidden="false" customHeight="false" outlineLevel="0" collapsed="false">
      <c r="A1354" s="18"/>
      <c r="B1354" s="6"/>
      <c r="C1354" s="6"/>
      <c r="D1354" s="6"/>
      <c r="E1354" s="16" t="str">
        <f aca="false">IF($B1354="","",IFERROR(INDEX(Services!$C$2:$C$120,MATCH($B1354,Services!$D$2:$D$120,0)),""))</f>
        <v/>
      </c>
      <c r="F1354" s="19"/>
      <c r="G1354" s="9" t="str">
        <f aca="false">IF(OR($B1354="",NOT(ISNUMBER($E1354))),"",$E1354-IF($F1354="",0,$F1354))</f>
        <v/>
      </c>
      <c r="H1354" s="15" t="str">
        <f aca="false">IF($B1354="","",IFERROR(INDEX(Services!$A$2:$A$120,MATCH($B1354,Services!$D$2:$D$120,0)),""))</f>
        <v/>
      </c>
      <c r="I1354" s="19"/>
      <c r="J1354" s="15" t="str">
        <f aca="false">IF($B1354="","",IFERROR(INDEX(Services!$E$2:$E$120,MATCH($B1354,Services!$D$2:$D$120,0)),""))</f>
        <v/>
      </c>
    </row>
    <row r="1355" customFormat="false" ht="14.25" hidden="false" customHeight="false" outlineLevel="0" collapsed="false">
      <c r="A1355" s="18"/>
      <c r="B1355" s="6"/>
      <c r="C1355" s="6"/>
      <c r="D1355" s="6"/>
      <c r="E1355" s="16" t="str">
        <f aca="false">IF($B1355="","",IFERROR(INDEX(Services!$C$2:$C$120,MATCH($B1355,Services!$D$2:$D$120,0)),""))</f>
        <v/>
      </c>
      <c r="F1355" s="19"/>
      <c r="G1355" s="9" t="str">
        <f aca="false">IF(OR($B1355="",NOT(ISNUMBER($E1355))),"",$E1355-IF($F1355="",0,$F1355))</f>
        <v/>
      </c>
      <c r="H1355" s="15" t="str">
        <f aca="false">IF($B1355="","",IFERROR(INDEX(Services!$A$2:$A$120,MATCH($B1355,Services!$D$2:$D$120,0)),""))</f>
        <v/>
      </c>
      <c r="I1355" s="19"/>
      <c r="J1355" s="15" t="str">
        <f aca="false">IF($B1355="","",IFERROR(INDEX(Services!$E$2:$E$120,MATCH($B1355,Services!$D$2:$D$120,0)),""))</f>
        <v/>
      </c>
    </row>
    <row r="1356" customFormat="false" ht="14.25" hidden="false" customHeight="false" outlineLevel="0" collapsed="false">
      <c r="A1356" s="18"/>
      <c r="B1356" s="6"/>
      <c r="C1356" s="6"/>
      <c r="D1356" s="6"/>
      <c r="E1356" s="16" t="str">
        <f aca="false">IF($B1356="","",IFERROR(INDEX(Services!$C$2:$C$120,MATCH($B1356,Services!$D$2:$D$120,0)),""))</f>
        <v/>
      </c>
      <c r="F1356" s="19"/>
      <c r="G1356" s="9" t="str">
        <f aca="false">IF(OR($B1356="",NOT(ISNUMBER($E1356))),"",$E1356-IF($F1356="",0,$F1356))</f>
        <v/>
      </c>
      <c r="H1356" s="15" t="str">
        <f aca="false">IF($B1356="","",IFERROR(INDEX(Services!$A$2:$A$120,MATCH($B1356,Services!$D$2:$D$120,0)),""))</f>
        <v/>
      </c>
      <c r="I1356" s="19"/>
      <c r="J1356" s="15" t="str">
        <f aca="false">IF($B1356="","",IFERROR(INDEX(Services!$E$2:$E$120,MATCH($B1356,Services!$D$2:$D$120,0)),""))</f>
        <v/>
      </c>
    </row>
    <row r="1357" customFormat="false" ht="14.25" hidden="false" customHeight="false" outlineLevel="0" collapsed="false">
      <c r="A1357" s="18"/>
      <c r="B1357" s="6"/>
      <c r="C1357" s="6"/>
      <c r="D1357" s="6"/>
      <c r="E1357" s="16" t="str">
        <f aca="false">IF($B1357="","",IFERROR(INDEX(Services!$C$2:$C$120,MATCH($B1357,Services!$D$2:$D$120,0)),""))</f>
        <v/>
      </c>
      <c r="F1357" s="19"/>
      <c r="G1357" s="9" t="str">
        <f aca="false">IF(OR($B1357="",NOT(ISNUMBER($E1357))),"",$E1357-IF($F1357="",0,$F1357))</f>
        <v/>
      </c>
      <c r="H1357" s="15" t="str">
        <f aca="false">IF($B1357="","",IFERROR(INDEX(Services!$A$2:$A$120,MATCH($B1357,Services!$D$2:$D$120,0)),""))</f>
        <v/>
      </c>
      <c r="I1357" s="19"/>
      <c r="J1357" s="15" t="str">
        <f aca="false">IF($B1357="","",IFERROR(INDEX(Services!$E$2:$E$120,MATCH($B1357,Services!$D$2:$D$120,0)),""))</f>
        <v/>
      </c>
    </row>
    <row r="1358" customFormat="false" ht="14.25" hidden="false" customHeight="false" outlineLevel="0" collapsed="false">
      <c r="A1358" s="18"/>
      <c r="B1358" s="6"/>
      <c r="C1358" s="6"/>
      <c r="D1358" s="6"/>
      <c r="E1358" s="16" t="str">
        <f aca="false">IF($B1358="","",IFERROR(INDEX(Services!$C$2:$C$120,MATCH($B1358,Services!$D$2:$D$120,0)),""))</f>
        <v/>
      </c>
      <c r="F1358" s="19"/>
      <c r="G1358" s="9" t="str">
        <f aca="false">IF(OR($B1358="",NOT(ISNUMBER($E1358))),"",$E1358-IF($F1358="",0,$F1358))</f>
        <v/>
      </c>
      <c r="H1358" s="15" t="str">
        <f aca="false">IF($B1358="","",IFERROR(INDEX(Services!$A$2:$A$120,MATCH($B1358,Services!$D$2:$D$120,0)),""))</f>
        <v/>
      </c>
      <c r="I1358" s="19"/>
      <c r="J1358" s="15" t="str">
        <f aca="false">IF($B1358="","",IFERROR(INDEX(Services!$E$2:$E$120,MATCH($B1358,Services!$D$2:$D$120,0)),""))</f>
        <v/>
      </c>
    </row>
    <row r="1359" customFormat="false" ht="14.25" hidden="false" customHeight="false" outlineLevel="0" collapsed="false">
      <c r="A1359" s="18"/>
      <c r="B1359" s="6"/>
      <c r="C1359" s="6"/>
      <c r="D1359" s="6"/>
      <c r="E1359" s="16" t="str">
        <f aca="false">IF($B1359="","",IFERROR(INDEX(Services!$C$2:$C$120,MATCH($B1359,Services!$D$2:$D$120,0)),""))</f>
        <v/>
      </c>
      <c r="F1359" s="19"/>
      <c r="G1359" s="9" t="str">
        <f aca="false">IF(OR($B1359="",NOT(ISNUMBER($E1359))),"",$E1359-IF($F1359="",0,$F1359))</f>
        <v/>
      </c>
      <c r="H1359" s="15" t="str">
        <f aca="false">IF($B1359="","",IFERROR(INDEX(Services!$A$2:$A$120,MATCH($B1359,Services!$D$2:$D$120,0)),""))</f>
        <v/>
      </c>
      <c r="I1359" s="19"/>
      <c r="J1359" s="15" t="str">
        <f aca="false">IF($B1359="","",IFERROR(INDEX(Services!$E$2:$E$120,MATCH($B1359,Services!$D$2:$D$120,0)),""))</f>
        <v/>
      </c>
    </row>
    <row r="1360" customFormat="false" ht="14.25" hidden="false" customHeight="false" outlineLevel="0" collapsed="false">
      <c r="A1360" s="18"/>
      <c r="B1360" s="6"/>
      <c r="C1360" s="6"/>
      <c r="D1360" s="6"/>
      <c r="E1360" s="16" t="str">
        <f aca="false">IF($B1360="","",IFERROR(INDEX(Services!$C$2:$C$120,MATCH($B1360,Services!$D$2:$D$120,0)),""))</f>
        <v/>
      </c>
      <c r="F1360" s="19"/>
      <c r="G1360" s="9" t="str">
        <f aca="false">IF(OR($B1360="",NOT(ISNUMBER($E1360))),"",$E1360-IF($F1360="",0,$F1360))</f>
        <v/>
      </c>
      <c r="H1360" s="15" t="str">
        <f aca="false">IF($B1360="","",IFERROR(INDEX(Services!$A$2:$A$120,MATCH($B1360,Services!$D$2:$D$120,0)),""))</f>
        <v/>
      </c>
      <c r="I1360" s="19"/>
      <c r="J1360" s="15" t="str">
        <f aca="false">IF($B1360="","",IFERROR(INDEX(Services!$E$2:$E$120,MATCH($B1360,Services!$D$2:$D$120,0)),""))</f>
        <v/>
      </c>
    </row>
    <row r="1361" customFormat="false" ht="14.25" hidden="false" customHeight="false" outlineLevel="0" collapsed="false">
      <c r="A1361" s="18"/>
      <c r="B1361" s="6"/>
      <c r="C1361" s="6"/>
      <c r="D1361" s="6"/>
      <c r="E1361" s="16" t="str">
        <f aca="false">IF($B1361="","",IFERROR(INDEX(Services!$C$2:$C$120,MATCH($B1361,Services!$D$2:$D$120,0)),""))</f>
        <v/>
      </c>
      <c r="F1361" s="19"/>
      <c r="G1361" s="9" t="str">
        <f aca="false">IF(OR($B1361="",NOT(ISNUMBER($E1361))),"",$E1361-IF($F1361="",0,$F1361))</f>
        <v/>
      </c>
      <c r="H1361" s="15" t="str">
        <f aca="false">IF($B1361="","",IFERROR(INDEX(Services!$A$2:$A$120,MATCH($B1361,Services!$D$2:$D$120,0)),""))</f>
        <v/>
      </c>
      <c r="I1361" s="19"/>
      <c r="J1361" s="15" t="str">
        <f aca="false">IF($B1361="","",IFERROR(INDEX(Services!$E$2:$E$120,MATCH($B1361,Services!$D$2:$D$120,0)),""))</f>
        <v/>
      </c>
    </row>
    <row r="1362" customFormat="false" ht="14.25" hidden="false" customHeight="false" outlineLevel="0" collapsed="false">
      <c r="A1362" s="18"/>
      <c r="B1362" s="6"/>
      <c r="C1362" s="6"/>
      <c r="D1362" s="6"/>
      <c r="E1362" s="16" t="str">
        <f aca="false">IF($B1362="","",IFERROR(INDEX(Services!$C$2:$C$120,MATCH($B1362,Services!$D$2:$D$120,0)),""))</f>
        <v/>
      </c>
      <c r="F1362" s="19"/>
      <c r="G1362" s="9" t="str">
        <f aca="false">IF(OR($B1362="",NOT(ISNUMBER($E1362))),"",$E1362-IF($F1362="",0,$F1362))</f>
        <v/>
      </c>
      <c r="H1362" s="15" t="str">
        <f aca="false">IF($B1362="","",IFERROR(INDEX(Services!$A$2:$A$120,MATCH($B1362,Services!$D$2:$D$120,0)),""))</f>
        <v/>
      </c>
      <c r="I1362" s="19"/>
      <c r="J1362" s="15" t="str">
        <f aca="false">IF($B1362="","",IFERROR(INDEX(Services!$E$2:$E$120,MATCH($B1362,Services!$D$2:$D$120,0)),""))</f>
        <v/>
      </c>
    </row>
    <row r="1363" customFormat="false" ht="14.25" hidden="false" customHeight="false" outlineLevel="0" collapsed="false">
      <c r="A1363" s="18"/>
      <c r="B1363" s="6"/>
      <c r="C1363" s="6"/>
      <c r="D1363" s="6"/>
      <c r="E1363" s="16" t="str">
        <f aca="false">IF($B1363="","",IFERROR(INDEX(Services!$C$2:$C$120,MATCH($B1363,Services!$D$2:$D$120,0)),""))</f>
        <v/>
      </c>
      <c r="F1363" s="19"/>
      <c r="G1363" s="9" t="str">
        <f aca="false">IF(OR($B1363="",NOT(ISNUMBER($E1363))),"",$E1363-IF($F1363="",0,$F1363))</f>
        <v/>
      </c>
      <c r="H1363" s="15" t="str">
        <f aca="false">IF($B1363="","",IFERROR(INDEX(Services!$A$2:$A$120,MATCH($B1363,Services!$D$2:$D$120,0)),""))</f>
        <v/>
      </c>
      <c r="I1363" s="19"/>
      <c r="J1363" s="15" t="str">
        <f aca="false">IF($B1363="","",IFERROR(INDEX(Services!$E$2:$E$120,MATCH($B1363,Services!$D$2:$D$120,0)),""))</f>
        <v/>
      </c>
    </row>
    <row r="1364" customFormat="false" ht="14.25" hidden="false" customHeight="false" outlineLevel="0" collapsed="false">
      <c r="A1364" s="18"/>
      <c r="B1364" s="6"/>
      <c r="C1364" s="6"/>
      <c r="D1364" s="6"/>
      <c r="E1364" s="16" t="str">
        <f aca="false">IF($B1364="","",IFERROR(INDEX(Services!$C$2:$C$120,MATCH($B1364,Services!$D$2:$D$120,0)),""))</f>
        <v/>
      </c>
      <c r="F1364" s="19"/>
      <c r="G1364" s="9" t="str">
        <f aca="false">IF(OR($B1364="",NOT(ISNUMBER($E1364))),"",$E1364-IF($F1364="",0,$F1364))</f>
        <v/>
      </c>
      <c r="H1364" s="15" t="str">
        <f aca="false">IF($B1364="","",IFERROR(INDEX(Services!$A$2:$A$120,MATCH($B1364,Services!$D$2:$D$120,0)),""))</f>
        <v/>
      </c>
      <c r="I1364" s="19"/>
      <c r="J1364" s="15" t="str">
        <f aca="false">IF($B1364="","",IFERROR(INDEX(Services!$E$2:$E$120,MATCH($B1364,Services!$D$2:$D$120,0)),""))</f>
        <v/>
      </c>
    </row>
    <row r="1365" customFormat="false" ht="14.25" hidden="false" customHeight="false" outlineLevel="0" collapsed="false">
      <c r="A1365" s="18"/>
      <c r="B1365" s="6"/>
      <c r="C1365" s="6"/>
      <c r="D1365" s="6"/>
      <c r="E1365" s="16" t="str">
        <f aca="false">IF($B1365="","",IFERROR(INDEX(Services!$C$2:$C$120,MATCH($B1365,Services!$D$2:$D$120,0)),""))</f>
        <v/>
      </c>
      <c r="F1365" s="19"/>
      <c r="G1365" s="9" t="str">
        <f aca="false">IF(OR($B1365="",NOT(ISNUMBER($E1365))),"",$E1365-IF($F1365="",0,$F1365))</f>
        <v/>
      </c>
      <c r="H1365" s="15" t="str">
        <f aca="false">IF($B1365="","",IFERROR(INDEX(Services!$A$2:$A$120,MATCH($B1365,Services!$D$2:$D$120,0)),""))</f>
        <v/>
      </c>
      <c r="I1365" s="19"/>
      <c r="J1365" s="15" t="str">
        <f aca="false">IF($B1365="","",IFERROR(INDEX(Services!$E$2:$E$120,MATCH($B1365,Services!$D$2:$D$120,0)),""))</f>
        <v/>
      </c>
    </row>
    <row r="1366" customFormat="false" ht="14.25" hidden="false" customHeight="false" outlineLevel="0" collapsed="false">
      <c r="A1366" s="18"/>
      <c r="B1366" s="6"/>
      <c r="C1366" s="6"/>
      <c r="D1366" s="6"/>
      <c r="E1366" s="16" t="str">
        <f aca="false">IF($B1366="","",IFERROR(INDEX(Services!$C$2:$C$120,MATCH($B1366,Services!$D$2:$D$120,0)),""))</f>
        <v/>
      </c>
      <c r="F1366" s="19"/>
      <c r="G1366" s="9" t="str">
        <f aca="false">IF(OR($B1366="",NOT(ISNUMBER($E1366))),"",$E1366-IF($F1366="",0,$F1366))</f>
        <v/>
      </c>
      <c r="H1366" s="15" t="str">
        <f aca="false">IF($B1366="","",IFERROR(INDEX(Services!$A$2:$A$120,MATCH($B1366,Services!$D$2:$D$120,0)),""))</f>
        <v/>
      </c>
      <c r="I1366" s="19"/>
      <c r="J1366" s="15" t="str">
        <f aca="false">IF($B1366="","",IFERROR(INDEX(Services!$E$2:$E$120,MATCH($B1366,Services!$D$2:$D$120,0)),""))</f>
        <v/>
      </c>
    </row>
    <row r="1367" customFormat="false" ht="14.25" hidden="false" customHeight="false" outlineLevel="0" collapsed="false">
      <c r="A1367" s="18"/>
      <c r="B1367" s="6"/>
      <c r="C1367" s="6"/>
      <c r="D1367" s="6"/>
      <c r="E1367" s="16" t="str">
        <f aca="false">IF($B1367="","",IFERROR(INDEX(Services!$C$2:$C$120,MATCH($B1367,Services!$D$2:$D$120,0)),""))</f>
        <v/>
      </c>
      <c r="F1367" s="19"/>
      <c r="G1367" s="9" t="str">
        <f aca="false">IF(OR($B1367="",NOT(ISNUMBER($E1367))),"",$E1367-IF($F1367="",0,$F1367))</f>
        <v/>
      </c>
      <c r="H1367" s="15" t="str">
        <f aca="false">IF($B1367="","",IFERROR(INDEX(Services!$A$2:$A$120,MATCH($B1367,Services!$D$2:$D$120,0)),""))</f>
        <v/>
      </c>
      <c r="I1367" s="19"/>
      <c r="J1367" s="15" t="str">
        <f aca="false">IF($B1367="","",IFERROR(INDEX(Services!$E$2:$E$120,MATCH($B1367,Services!$D$2:$D$120,0)),""))</f>
        <v/>
      </c>
    </row>
    <row r="1368" customFormat="false" ht="14.25" hidden="false" customHeight="false" outlineLevel="0" collapsed="false">
      <c r="A1368" s="18"/>
      <c r="B1368" s="6"/>
      <c r="C1368" s="6"/>
      <c r="D1368" s="6"/>
      <c r="E1368" s="16" t="str">
        <f aca="false">IF($B1368="","",IFERROR(INDEX(Services!$C$2:$C$120,MATCH($B1368,Services!$D$2:$D$120,0)),""))</f>
        <v/>
      </c>
      <c r="F1368" s="19"/>
      <c r="G1368" s="9" t="str">
        <f aca="false">IF(OR($B1368="",NOT(ISNUMBER($E1368))),"",$E1368-IF($F1368="",0,$F1368))</f>
        <v/>
      </c>
      <c r="H1368" s="15" t="str">
        <f aca="false">IF($B1368="","",IFERROR(INDEX(Services!$A$2:$A$120,MATCH($B1368,Services!$D$2:$D$120,0)),""))</f>
        <v/>
      </c>
      <c r="I1368" s="19"/>
      <c r="J1368" s="15" t="str">
        <f aca="false">IF($B1368="","",IFERROR(INDEX(Services!$E$2:$E$120,MATCH($B1368,Services!$D$2:$D$120,0)),""))</f>
        <v/>
      </c>
    </row>
    <row r="1369" customFormat="false" ht="14.25" hidden="false" customHeight="false" outlineLevel="0" collapsed="false">
      <c r="A1369" s="18"/>
      <c r="B1369" s="6"/>
      <c r="C1369" s="6"/>
      <c r="D1369" s="6"/>
      <c r="E1369" s="16" t="str">
        <f aca="false">IF($B1369="","",IFERROR(INDEX(Services!$C$2:$C$120,MATCH($B1369,Services!$D$2:$D$120,0)),""))</f>
        <v/>
      </c>
      <c r="F1369" s="19"/>
      <c r="G1369" s="9" t="str">
        <f aca="false">IF(OR($B1369="",NOT(ISNUMBER($E1369))),"",$E1369-IF($F1369="",0,$F1369))</f>
        <v/>
      </c>
      <c r="H1369" s="15" t="str">
        <f aca="false">IF($B1369="","",IFERROR(INDEX(Services!$A$2:$A$120,MATCH($B1369,Services!$D$2:$D$120,0)),""))</f>
        <v/>
      </c>
      <c r="I1369" s="19"/>
      <c r="J1369" s="15" t="str">
        <f aca="false">IF($B1369="","",IFERROR(INDEX(Services!$E$2:$E$120,MATCH($B1369,Services!$D$2:$D$120,0)),""))</f>
        <v/>
      </c>
    </row>
    <row r="1370" customFormat="false" ht="14.25" hidden="false" customHeight="false" outlineLevel="0" collapsed="false">
      <c r="A1370" s="18"/>
      <c r="B1370" s="6"/>
      <c r="C1370" s="6"/>
      <c r="D1370" s="6"/>
      <c r="E1370" s="16" t="str">
        <f aca="false">IF($B1370="","",IFERROR(INDEX(Services!$C$2:$C$120,MATCH($B1370,Services!$D$2:$D$120,0)),""))</f>
        <v/>
      </c>
      <c r="F1370" s="19"/>
      <c r="G1370" s="9" t="str">
        <f aca="false">IF(OR($B1370="",NOT(ISNUMBER($E1370))),"",$E1370-IF($F1370="",0,$F1370))</f>
        <v/>
      </c>
      <c r="H1370" s="15" t="str">
        <f aca="false">IF($B1370="","",IFERROR(INDEX(Services!$A$2:$A$120,MATCH($B1370,Services!$D$2:$D$120,0)),""))</f>
        <v/>
      </c>
      <c r="I1370" s="19"/>
      <c r="J1370" s="15" t="str">
        <f aca="false">IF($B1370="","",IFERROR(INDEX(Services!$E$2:$E$120,MATCH($B1370,Services!$D$2:$D$120,0)),""))</f>
        <v/>
      </c>
    </row>
    <row r="1371" customFormat="false" ht="14.25" hidden="false" customHeight="false" outlineLevel="0" collapsed="false">
      <c r="A1371" s="18"/>
      <c r="B1371" s="6"/>
      <c r="C1371" s="6"/>
      <c r="D1371" s="6"/>
      <c r="E1371" s="16" t="str">
        <f aca="false">IF($B1371="","",IFERROR(INDEX(Services!$C$2:$C$120,MATCH($B1371,Services!$D$2:$D$120,0)),""))</f>
        <v/>
      </c>
      <c r="F1371" s="19"/>
      <c r="G1371" s="9" t="str">
        <f aca="false">IF(OR($B1371="",NOT(ISNUMBER($E1371))),"",$E1371-IF($F1371="",0,$F1371))</f>
        <v/>
      </c>
      <c r="H1371" s="15" t="str">
        <f aca="false">IF($B1371="","",IFERROR(INDEX(Services!$A$2:$A$120,MATCH($B1371,Services!$D$2:$D$120,0)),""))</f>
        <v/>
      </c>
      <c r="I1371" s="19"/>
      <c r="J1371" s="15" t="str">
        <f aca="false">IF($B1371="","",IFERROR(INDEX(Services!$E$2:$E$120,MATCH($B1371,Services!$D$2:$D$120,0)),""))</f>
        <v/>
      </c>
    </row>
    <row r="1372" customFormat="false" ht="14.25" hidden="false" customHeight="false" outlineLevel="0" collapsed="false">
      <c r="A1372" s="18"/>
      <c r="B1372" s="6"/>
      <c r="C1372" s="6"/>
      <c r="D1372" s="6"/>
      <c r="E1372" s="16" t="str">
        <f aca="false">IF($B1372="","",IFERROR(INDEX(Services!$C$2:$C$120,MATCH($B1372,Services!$D$2:$D$120,0)),""))</f>
        <v/>
      </c>
      <c r="F1372" s="19"/>
      <c r="G1372" s="9" t="str">
        <f aca="false">IF(OR($B1372="",NOT(ISNUMBER($E1372))),"",$E1372-IF($F1372="",0,$F1372))</f>
        <v/>
      </c>
      <c r="H1372" s="15" t="str">
        <f aca="false">IF($B1372="","",IFERROR(INDEX(Services!$A$2:$A$120,MATCH($B1372,Services!$D$2:$D$120,0)),""))</f>
        <v/>
      </c>
      <c r="I1372" s="19"/>
      <c r="J1372" s="15" t="str">
        <f aca="false">IF($B1372="","",IFERROR(INDEX(Services!$E$2:$E$120,MATCH($B1372,Services!$D$2:$D$120,0)),""))</f>
        <v/>
      </c>
    </row>
    <row r="1373" customFormat="false" ht="14.25" hidden="false" customHeight="false" outlineLevel="0" collapsed="false">
      <c r="A1373" s="18"/>
      <c r="B1373" s="6"/>
      <c r="C1373" s="6"/>
      <c r="D1373" s="6"/>
      <c r="E1373" s="16" t="str">
        <f aca="false">IF($B1373="","",IFERROR(INDEX(Services!$C$2:$C$120,MATCH($B1373,Services!$D$2:$D$120,0)),""))</f>
        <v/>
      </c>
      <c r="F1373" s="19"/>
      <c r="G1373" s="9" t="str">
        <f aca="false">IF(OR($B1373="",NOT(ISNUMBER($E1373))),"",$E1373-IF($F1373="",0,$F1373))</f>
        <v/>
      </c>
      <c r="H1373" s="15" t="str">
        <f aca="false">IF($B1373="","",IFERROR(INDEX(Services!$A$2:$A$120,MATCH($B1373,Services!$D$2:$D$120,0)),""))</f>
        <v/>
      </c>
      <c r="I1373" s="19"/>
      <c r="J1373" s="15" t="str">
        <f aca="false">IF($B1373="","",IFERROR(INDEX(Services!$E$2:$E$120,MATCH($B1373,Services!$D$2:$D$120,0)),""))</f>
        <v/>
      </c>
    </row>
    <row r="1374" customFormat="false" ht="14.25" hidden="false" customHeight="false" outlineLevel="0" collapsed="false">
      <c r="A1374" s="18"/>
      <c r="B1374" s="6"/>
      <c r="C1374" s="6"/>
      <c r="D1374" s="6"/>
      <c r="E1374" s="16" t="str">
        <f aca="false">IF($B1374="","",IFERROR(INDEX(Services!$C$2:$C$120,MATCH($B1374,Services!$D$2:$D$120,0)),""))</f>
        <v/>
      </c>
      <c r="F1374" s="19"/>
      <c r="G1374" s="9" t="str">
        <f aca="false">IF(OR($B1374="",NOT(ISNUMBER($E1374))),"",$E1374-IF($F1374="",0,$F1374))</f>
        <v/>
      </c>
      <c r="H1374" s="15" t="str">
        <f aca="false">IF($B1374="","",IFERROR(INDEX(Services!$A$2:$A$120,MATCH($B1374,Services!$D$2:$D$120,0)),""))</f>
        <v/>
      </c>
      <c r="I1374" s="19"/>
      <c r="J1374" s="15" t="str">
        <f aca="false">IF($B1374="","",IFERROR(INDEX(Services!$E$2:$E$120,MATCH($B1374,Services!$D$2:$D$120,0)),""))</f>
        <v/>
      </c>
    </row>
    <row r="1375" customFormat="false" ht="14.25" hidden="false" customHeight="false" outlineLevel="0" collapsed="false">
      <c r="A1375" s="18"/>
      <c r="B1375" s="6"/>
      <c r="C1375" s="6"/>
      <c r="D1375" s="6"/>
      <c r="E1375" s="16" t="str">
        <f aca="false">IF($B1375="","",IFERROR(INDEX(Services!$C$2:$C$120,MATCH($B1375,Services!$D$2:$D$120,0)),""))</f>
        <v/>
      </c>
      <c r="F1375" s="19"/>
      <c r="G1375" s="9" t="str">
        <f aca="false">IF(OR($B1375="",NOT(ISNUMBER($E1375))),"",$E1375-IF($F1375="",0,$F1375))</f>
        <v/>
      </c>
      <c r="H1375" s="15" t="str">
        <f aca="false">IF($B1375="","",IFERROR(INDEX(Services!$A$2:$A$120,MATCH($B1375,Services!$D$2:$D$120,0)),""))</f>
        <v/>
      </c>
      <c r="I1375" s="19"/>
      <c r="J1375" s="15" t="str">
        <f aca="false">IF($B1375="","",IFERROR(INDEX(Services!$E$2:$E$120,MATCH($B1375,Services!$D$2:$D$120,0)),""))</f>
        <v/>
      </c>
    </row>
    <row r="1376" customFormat="false" ht="14.25" hidden="false" customHeight="false" outlineLevel="0" collapsed="false">
      <c r="A1376" s="18"/>
      <c r="B1376" s="6"/>
      <c r="C1376" s="6"/>
      <c r="D1376" s="6"/>
      <c r="E1376" s="16" t="str">
        <f aca="false">IF($B1376="","",IFERROR(INDEX(Services!$C$2:$C$120,MATCH($B1376,Services!$D$2:$D$120,0)),""))</f>
        <v/>
      </c>
      <c r="F1376" s="19"/>
      <c r="G1376" s="9" t="str">
        <f aca="false">IF(OR($B1376="",NOT(ISNUMBER($E1376))),"",$E1376-IF($F1376="",0,$F1376))</f>
        <v/>
      </c>
      <c r="H1376" s="15" t="str">
        <f aca="false">IF($B1376="","",IFERROR(INDEX(Services!$A$2:$A$120,MATCH($B1376,Services!$D$2:$D$120,0)),""))</f>
        <v/>
      </c>
      <c r="I1376" s="19"/>
      <c r="J1376" s="15" t="str">
        <f aca="false">IF($B1376="","",IFERROR(INDEX(Services!$E$2:$E$120,MATCH($B1376,Services!$D$2:$D$120,0)),""))</f>
        <v/>
      </c>
    </row>
    <row r="1377" customFormat="false" ht="14.25" hidden="false" customHeight="false" outlineLevel="0" collapsed="false">
      <c r="A1377" s="18"/>
      <c r="B1377" s="6"/>
      <c r="C1377" s="6"/>
      <c r="D1377" s="6"/>
      <c r="E1377" s="16" t="str">
        <f aca="false">IF($B1377="","",IFERROR(INDEX(Services!$C$2:$C$120,MATCH($B1377,Services!$D$2:$D$120,0)),""))</f>
        <v/>
      </c>
      <c r="F1377" s="19"/>
      <c r="G1377" s="9" t="str">
        <f aca="false">IF(OR($B1377="",NOT(ISNUMBER($E1377))),"",$E1377-IF($F1377="",0,$F1377))</f>
        <v/>
      </c>
      <c r="H1377" s="15" t="str">
        <f aca="false">IF($B1377="","",IFERROR(INDEX(Services!$A$2:$A$120,MATCH($B1377,Services!$D$2:$D$120,0)),""))</f>
        <v/>
      </c>
      <c r="I1377" s="19"/>
      <c r="J1377" s="15" t="str">
        <f aca="false">IF($B1377="","",IFERROR(INDEX(Services!$E$2:$E$120,MATCH($B1377,Services!$D$2:$D$120,0)),""))</f>
        <v/>
      </c>
    </row>
    <row r="1378" customFormat="false" ht="14.25" hidden="false" customHeight="false" outlineLevel="0" collapsed="false">
      <c r="A1378" s="18"/>
      <c r="B1378" s="6"/>
      <c r="C1378" s="6"/>
      <c r="D1378" s="6"/>
      <c r="E1378" s="16" t="str">
        <f aca="false">IF($B1378="","",IFERROR(INDEX(Services!$C$2:$C$120,MATCH($B1378,Services!$D$2:$D$120,0)),""))</f>
        <v/>
      </c>
      <c r="F1378" s="19"/>
      <c r="G1378" s="9" t="str">
        <f aca="false">IF(OR($B1378="",NOT(ISNUMBER($E1378))),"",$E1378-IF($F1378="",0,$F1378))</f>
        <v/>
      </c>
      <c r="H1378" s="15" t="str">
        <f aca="false">IF($B1378="","",IFERROR(INDEX(Services!$A$2:$A$120,MATCH($B1378,Services!$D$2:$D$120,0)),""))</f>
        <v/>
      </c>
      <c r="I1378" s="19"/>
      <c r="J1378" s="15" t="str">
        <f aca="false">IF($B1378="","",IFERROR(INDEX(Services!$E$2:$E$120,MATCH($B1378,Services!$D$2:$D$120,0)),""))</f>
        <v/>
      </c>
    </row>
    <row r="1379" customFormat="false" ht="14.25" hidden="false" customHeight="false" outlineLevel="0" collapsed="false">
      <c r="A1379" s="18"/>
      <c r="B1379" s="6"/>
      <c r="C1379" s="6"/>
      <c r="D1379" s="6"/>
      <c r="E1379" s="16" t="str">
        <f aca="false">IF($B1379="","",IFERROR(INDEX(Services!$C$2:$C$120,MATCH($B1379,Services!$D$2:$D$120,0)),""))</f>
        <v/>
      </c>
      <c r="F1379" s="19"/>
      <c r="G1379" s="9" t="str">
        <f aca="false">IF(OR($B1379="",NOT(ISNUMBER($E1379))),"",$E1379-IF($F1379="",0,$F1379))</f>
        <v/>
      </c>
      <c r="H1379" s="15" t="str">
        <f aca="false">IF($B1379="","",IFERROR(INDEX(Services!$A$2:$A$120,MATCH($B1379,Services!$D$2:$D$120,0)),""))</f>
        <v/>
      </c>
      <c r="I1379" s="19"/>
      <c r="J1379" s="15" t="str">
        <f aca="false">IF($B1379="","",IFERROR(INDEX(Services!$E$2:$E$120,MATCH($B1379,Services!$D$2:$D$120,0)),""))</f>
        <v/>
      </c>
    </row>
    <row r="1380" customFormat="false" ht="14.25" hidden="false" customHeight="false" outlineLevel="0" collapsed="false">
      <c r="A1380" s="18"/>
      <c r="B1380" s="6"/>
      <c r="C1380" s="6"/>
      <c r="D1380" s="6"/>
      <c r="E1380" s="16" t="str">
        <f aca="false">IF($B1380="","",IFERROR(INDEX(Services!$C$2:$C$120,MATCH($B1380,Services!$D$2:$D$120,0)),""))</f>
        <v/>
      </c>
      <c r="F1380" s="19"/>
      <c r="G1380" s="9" t="str">
        <f aca="false">IF(OR($B1380="",NOT(ISNUMBER($E1380))),"",$E1380-IF($F1380="",0,$F1380))</f>
        <v/>
      </c>
      <c r="H1380" s="15" t="str">
        <f aca="false">IF($B1380="","",IFERROR(INDEX(Services!$A$2:$A$120,MATCH($B1380,Services!$D$2:$D$120,0)),""))</f>
        <v/>
      </c>
      <c r="I1380" s="19"/>
      <c r="J1380" s="15" t="str">
        <f aca="false">IF($B1380="","",IFERROR(INDEX(Services!$E$2:$E$120,MATCH($B1380,Services!$D$2:$D$120,0)),""))</f>
        <v/>
      </c>
    </row>
    <row r="1381" customFormat="false" ht="14.25" hidden="false" customHeight="false" outlineLevel="0" collapsed="false">
      <c r="A1381" s="18"/>
      <c r="B1381" s="6"/>
      <c r="C1381" s="6"/>
      <c r="D1381" s="6"/>
      <c r="E1381" s="16" t="str">
        <f aca="false">IF($B1381="","",IFERROR(INDEX(Services!$C$2:$C$120,MATCH($B1381,Services!$D$2:$D$120,0)),""))</f>
        <v/>
      </c>
      <c r="F1381" s="19"/>
      <c r="G1381" s="9" t="str">
        <f aca="false">IF(OR($B1381="",NOT(ISNUMBER($E1381))),"",$E1381-IF($F1381="",0,$F1381))</f>
        <v/>
      </c>
      <c r="H1381" s="15" t="str">
        <f aca="false">IF($B1381="","",IFERROR(INDEX(Services!$A$2:$A$120,MATCH($B1381,Services!$D$2:$D$120,0)),""))</f>
        <v/>
      </c>
      <c r="I1381" s="19"/>
      <c r="J1381" s="15" t="str">
        <f aca="false">IF($B1381="","",IFERROR(INDEX(Services!$E$2:$E$120,MATCH($B1381,Services!$D$2:$D$120,0)),""))</f>
        <v/>
      </c>
    </row>
    <row r="1382" customFormat="false" ht="14.25" hidden="false" customHeight="false" outlineLevel="0" collapsed="false">
      <c r="A1382" s="18"/>
      <c r="B1382" s="6"/>
      <c r="C1382" s="6"/>
      <c r="D1382" s="6"/>
      <c r="E1382" s="16" t="str">
        <f aca="false">IF($B1382="","",IFERROR(INDEX(Services!$C$2:$C$120,MATCH($B1382,Services!$D$2:$D$120,0)),""))</f>
        <v/>
      </c>
      <c r="F1382" s="19"/>
      <c r="G1382" s="9" t="str">
        <f aca="false">IF(OR($B1382="",NOT(ISNUMBER($E1382))),"",$E1382-IF($F1382="",0,$F1382))</f>
        <v/>
      </c>
      <c r="H1382" s="15" t="str">
        <f aca="false">IF($B1382="","",IFERROR(INDEX(Services!$A$2:$A$120,MATCH($B1382,Services!$D$2:$D$120,0)),""))</f>
        <v/>
      </c>
      <c r="I1382" s="19"/>
      <c r="J1382" s="15" t="str">
        <f aca="false">IF($B1382="","",IFERROR(INDEX(Services!$E$2:$E$120,MATCH($B1382,Services!$D$2:$D$120,0)),""))</f>
        <v/>
      </c>
    </row>
    <row r="1383" customFormat="false" ht="14.25" hidden="false" customHeight="false" outlineLevel="0" collapsed="false">
      <c r="A1383" s="18"/>
      <c r="B1383" s="6"/>
      <c r="C1383" s="6"/>
      <c r="D1383" s="6"/>
      <c r="E1383" s="16" t="str">
        <f aca="false">IF($B1383="","",IFERROR(INDEX(Services!$C$2:$C$120,MATCH($B1383,Services!$D$2:$D$120,0)),""))</f>
        <v/>
      </c>
      <c r="F1383" s="19"/>
      <c r="G1383" s="9" t="str">
        <f aca="false">IF(OR($B1383="",NOT(ISNUMBER($E1383))),"",$E1383-IF($F1383="",0,$F1383))</f>
        <v/>
      </c>
      <c r="H1383" s="15" t="str">
        <f aca="false">IF($B1383="","",IFERROR(INDEX(Services!$A$2:$A$120,MATCH($B1383,Services!$D$2:$D$120,0)),""))</f>
        <v/>
      </c>
      <c r="I1383" s="19"/>
      <c r="J1383" s="15" t="str">
        <f aca="false">IF($B1383="","",IFERROR(INDEX(Services!$E$2:$E$120,MATCH($B1383,Services!$D$2:$D$120,0)),""))</f>
        <v/>
      </c>
    </row>
    <row r="1384" customFormat="false" ht="14.25" hidden="false" customHeight="false" outlineLevel="0" collapsed="false">
      <c r="A1384" s="18"/>
      <c r="B1384" s="6"/>
      <c r="C1384" s="6"/>
      <c r="D1384" s="6"/>
      <c r="E1384" s="16" t="str">
        <f aca="false">IF($B1384="","",IFERROR(INDEX(Services!$C$2:$C$120,MATCH($B1384,Services!$D$2:$D$120,0)),""))</f>
        <v/>
      </c>
      <c r="F1384" s="19"/>
      <c r="G1384" s="9" t="str">
        <f aca="false">IF(OR($B1384="",NOT(ISNUMBER($E1384))),"",$E1384-IF($F1384="",0,$F1384))</f>
        <v/>
      </c>
      <c r="H1384" s="15" t="str">
        <f aca="false">IF($B1384="","",IFERROR(INDEX(Services!$A$2:$A$120,MATCH($B1384,Services!$D$2:$D$120,0)),""))</f>
        <v/>
      </c>
      <c r="I1384" s="19"/>
      <c r="J1384" s="15" t="str">
        <f aca="false">IF($B1384="","",IFERROR(INDEX(Services!$E$2:$E$120,MATCH($B1384,Services!$D$2:$D$120,0)),""))</f>
        <v/>
      </c>
    </row>
    <row r="1385" customFormat="false" ht="14.25" hidden="false" customHeight="false" outlineLevel="0" collapsed="false">
      <c r="A1385" s="18"/>
      <c r="B1385" s="6"/>
      <c r="C1385" s="6"/>
      <c r="D1385" s="6"/>
      <c r="E1385" s="16" t="str">
        <f aca="false">IF($B1385="","",IFERROR(INDEX(Services!$C$2:$C$120,MATCH($B1385,Services!$D$2:$D$120,0)),""))</f>
        <v/>
      </c>
      <c r="F1385" s="19"/>
      <c r="G1385" s="9" t="str">
        <f aca="false">IF(OR($B1385="",NOT(ISNUMBER($E1385))),"",$E1385-IF($F1385="",0,$F1385))</f>
        <v/>
      </c>
      <c r="H1385" s="15" t="str">
        <f aca="false">IF($B1385="","",IFERROR(INDEX(Services!$A$2:$A$120,MATCH($B1385,Services!$D$2:$D$120,0)),""))</f>
        <v/>
      </c>
      <c r="I1385" s="19"/>
      <c r="J1385" s="15" t="str">
        <f aca="false">IF($B1385="","",IFERROR(INDEX(Services!$E$2:$E$120,MATCH($B1385,Services!$D$2:$D$120,0)),""))</f>
        <v/>
      </c>
    </row>
    <row r="1386" customFormat="false" ht="14.25" hidden="false" customHeight="false" outlineLevel="0" collapsed="false">
      <c r="A1386" s="18"/>
      <c r="B1386" s="6"/>
      <c r="C1386" s="6"/>
      <c r="D1386" s="6"/>
      <c r="E1386" s="16" t="str">
        <f aca="false">IF($B1386="","",IFERROR(INDEX(Services!$C$2:$C$120,MATCH($B1386,Services!$D$2:$D$120,0)),""))</f>
        <v/>
      </c>
      <c r="F1386" s="19"/>
      <c r="G1386" s="9" t="str">
        <f aca="false">IF(OR($B1386="",NOT(ISNUMBER($E1386))),"",$E1386-IF($F1386="",0,$F1386))</f>
        <v/>
      </c>
      <c r="H1386" s="15" t="str">
        <f aca="false">IF($B1386="","",IFERROR(INDEX(Services!$A$2:$A$120,MATCH($B1386,Services!$D$2:$D$120,0)),""))</f>
        <v/>
      </c>
      <c r="I1386" s="19"/>
      <c r="J1386" s="15" t="str">
        <f aca="false">IF($B1386="","",IFERROR(INDEX(Services!$E$2:$E$120,MATCH($B1386,Services!$D$2:$D$120,0)),""))</f>
        <v/>
      </c>
    </row>
    <row r="1387" customFormat="false" ht="14.25" hidden="false" customHeight="false" outlineLevel="0" collapsed="false">
      <c r="A1387" s="18"/>
      <c r="B1387" s="6"/>
      <c r="C1387" s="6"/>
      <c r="D1387" s="6"/>
      <c r="E1387" s="16" t="str">
        <f aca="false">IF($B1387="","",IFERROR(INDEX(Services!$C$2:$C$120,MATCH($B1387,Services!$D$2:$D$120,0)),""))</f>
        <v/>
      </c>
      <c r="F1387" s="19"/>
      <c r="G1387" s="9" t="str">
        <f aca="false">IF(OR($B1387="",NOT(ISNUMBER($E1387))),"",$E1387-IF($F1387="",0,$F1387))</f>
        <v/>
      </c>
      <c r="H1387" s="15" t="str">
        <f aca="false">IF($B1387="","",IFERROR(INDEX(Services!$A$2:$A$120,MATCH($B1387,Services!$D$2:$D$120,0)),""))</f>
        <v/>
      </c>
      <c r="I1387" s="19"/>
      <c r="J1387" s="15" t="str">
        <f aca="false">IF($B1387="","",IFERROR(INDEX(Services!$E$2:$E$120,MATCH($B1387,Services!$D$2:$D$120,0)),""))</f>
        <v/>
      </c>
    </row>
    <row r="1388" customFormat="false" ht="14.25" hidden="false" customHeight="false" outlineLevel="0" collapsed="false">
      <c r="A1388" s="18"/>
      <c r="B1388" s="6"/>
      <c r="C1388" s="6"/>
      <c r="D1388" s="6"/>
      <c r="E1388" s="16" t="str">
        <f aca="false">IF($B1388="","",IFERROR(INDEX(Services!$C$2:$C$120,MATCH($B1388,Services!$D$2:$D$120,0)),""))</f>
        <v/>
      </c>
      <c r="F1388" s="19"/>
      <c r="G1388" s="9" t="str">
        <f aca="false">IF(OR($B1388="",NOT(ISNUMBER($E1388))),"",$E1388-IF($F1388="",0,$F1388))</f>
        <v/>
      </c>
      <c r="H1388" s="15" t="str">
        <f aca="false">IF($B1388="","",IFERROR(INDEX(Services!$A$2:$A$120,MATCH($B1388,Services!$D$2:$D$120,0)),""))</f>
        <v/>
      </c>
      <c r="I1388" s="19"/>
      <c r="J1388" s="15" t="str">
        <f aca="false">IF($B1388="","",IFERROR(INDEX(Services!$E$2:$E$120,MATCH($B1388,Services!$D$2:$D$120,0)),""))</f>
        <v/>
      </c>
    </row>
    <row r="1389" customFormat="false" ht="14.25" hidden="false" customHeight="false" outlineLevel="0" collapsed="false">
      <c r="A1389" s="18"/>
      <c r="B1389" s="6"/>
      <c r="C1389" s="6"/>
      <c r="D1389" s="6"/>
      <c r="E1389" s="16" t="str">
        <f aca="false">IF($B1389="","",IFERROR(INDEX(Services!$C$2:$C$120,MATCH($B1389,Services!$D$2:$D$120,0)),""))</f>
        <v/>
      </c>
      <c r="F1389" s="19"/>
      <c r="G1389" s="9" t="str">
        <f aca="false">IF(OR($B1389="",NOT(ISNUMBER($E1389))),"",$E1389-IF($F1389="",0,$F1389))</f>
        <v/>
      </c>
      <c r="H1389" s="15" t="str">
        <f aca="false">IF($B1389="","",IFERROR(INDEX(Services!$A$2:$A$120,MATCH($B1389,Services!$D$2:$D$120,0)),""))</f>
        <v/>
      </c>
      <c r="I1389" s="19"/>
      <c r="J1389" s="15" t="str">
        <f aca="false">IF($B1389="","",IFERROR(INDEX(Services!$E$2:$E$120,MATCH($B1389,Services!$D$2:$D$120,0)),""))</f>
        <v/>
      </c>
    </row>
    <row r="1390" customFormat="false" ht="14.25" hidden="false" customHeight="false" outlineLevel="0" collapsed="false">
      <c r="A1390" s="18"/>
      <c r="B1390" s="6"/>
      <c r="C1390" s="6"/>
      <c r="D1390" s="6"/>
      <c r="E1390" s="16" t="str">
        <f aca="false">IF($B1390="","",IFERROR(INDEX(Services!$C$2:$C$120,MATCH($B1390,Services!$D$2:$D$120,0)),""))</f>
        <v/>
      </c>
      <c r="F1390" s="19"/>
      <c r="G1390" s="9" t="str">
        <f aca="false">IF(OR($B1390="",NOT(ISNUMBER($E1390))),"",$E1390-IF($F1390="",0,$F1390))</f>
        <v/>
      </c>
      <c r="H1390" s="15" t="str">
        <f aca="false">IF($B1390="","",IFERROR(INDEX(Services!$A$2:$A$120,MATCH($B1390,Services!$D$2:$D$120,0)),""))</f>
        <v/>
      </c>
      <c r="I1390" s="19"/>
      <c r="J1390" s="15" t="str">
        <f aca="false">IF($B1390="","",IFERROR(INDEX(Services!$E$2:$E$120,MATCH($B1390,Services!$D$2:$D$120,0)),""))</f>
        <v/>
      </c>
    </row>
    <row r="1391" customFormat="false" ht="14.25" hidden="false" customHeight="false" outlineLevel="0" collapsed="false">
      <c r="A1391" s="18"/>
      <c r="B1391" s="6"/>
      <c r="C1391" s="6"/>
      <c r="D1391" s="6"/>
      <c r="E1391" s="16" t="str">
        <f aca="false">IF($B1391="","",IFERROR(INDEX(Services!$C$2:$C$120,MATCH($B1391,Services!$D$2:$D$120,0)),""))</f>
        <v/>
      </c>
      <c r="F1391" s="19"/>
      <c r="G1391" s="9" t="str">
        <f aca="false">IF(OR($B1391="",NOT(ISNUMBER($E1391))),"",$E1391-IF($F1391="",0,$F1391))</f>
        <v/>
      </c>
      <c r="H1391" s="15" t="str">
        <f aca="false">IF($B1391="","",IFERROR(INDEX(Services!$A$2:$A$120,MATCH($B1391,Services!$D$2:$D$120,0)),""))</f>
        <v/>
      </c>
      <c r="I1391" s="19"/>
      <c r="J1391" s="15" t="str">
        <f aca="false">IF($B1391="","",IFERROR(INDEX(Services!$E$2:$E$120,MATCH($B1391,Services!$D$2:$D$120,0)),""))</f>
        <v/>
      </c>
    </row>
    <row r="1392" customFormat="false" ht="14.25" hidden="false" customHeight="false" outlineLevel="0" collapsed="false">
      <c r="A1392" s="18"/>
      <c r="B1392" s="6"/>
      <c r="C1392" s="6"/>
      <c r="D1392" s="6"/>
      <c r="E1392" s="16" t="str">
        <f aca="false">IF($B1392="","",IFERROR(INDEX(Services!$C$2:$C$120,MATCH($B1392,Services!$D$2:$D$120,0)),""))</f>
        <v/>
      </c>
      <c r="F1392" s="19"/>
      <c r="G1392" s="9" t="str">
        <f aca="false">IF(OR($B1392="",NOT(ISNUMBER($E1392))),"",$E1392-IF($F1392="",0,$F1392))</f>
        <v/>
      </c>
      <c r="H1392" s="15" t="str">
        <f aca="false">IF($B1392="","",IFERROR(INDEX(Services!$A$2:$A$120,MATCH($B1392,Services!$D$2:$D$120,0)),""))</f>
        <v/>
      </c>
      <c r="I1392" s="19"/>
      <c r="J1392" s="15" t="str">
        <f aca="false">IF($B1392="","",IFERROR(INDEX(Services!$E$2:$E$120,MATCH($B1392,Services!$D$2:$D$120,0)),""))</f>
        <v/>
      </c>
    </row>
    <row r="1393" customFormat="false" ht="14.25" hidden="false" customHeight="false" outlineLevel="0" collapsed="false">
      <c r="A1393" s="18"/>
      <c r="B1393" s="6"/>
      <c r="C1393" s="6"/>
      <c r="D1393" s="6"/>
      <c r="E1393" s="16" t="str">
        <f aca="false">IF($B1393="","",IFERROR(INDEX(Services!$C$2:$C$120,MATCH($B1393,Services!$D$2:$D$120,0)),""))</f>
        <v/>
      </c>
      <c r="F1393" s="19"/>
      <c r="G1393" s="9" t="str">
        <f aca="false">IF(OR($B1393="",NOT(ISNUMBER($E1393))),"",$E1393-IF($F1393="",0,$F1393))</f>
        <v/>
      </c>
      <c r="H1393" s="15" t="str">
        <f aca="false">IF($B1393="","",IFERROR(INDEX(Services!$A$2:$A$120,MATCH($B1393,Services!$D$2:$D$120,0)),""))</f>
        <v/>
      </c>
      <c r="I1393" s="19"/>
      <c r="J1393" s="15" t="str">
        <f aca="false">IF($B1393="","",IFERROR(INDEX(Services!$E$2:$E$120,MATCH($B1393,Services!$D$2:$D$120,0)),""))</f>
        <v/>
      </c>
    </row>
    <row r="1394" customFormat="false" ht="14.25" hidden="false" customHeight="false" outlineLevel="0" collapsed="false">
      <c r="A1394" s="18"/>
      <c r="B1394" s="6"/>
      <c r="C1394" s="6"/>
      <c r="D1394" s="6"/>
      <c r="E1394" s="16" t="str">
        <f aca="false">IF($B1394="","",IFERROR(INDEX(Services!$C$2:$C$120,MATCH($B1394,Services!$D$2:$D$120,0)),""))</f>
        <v/>
      </c>
      <c r="F1394" s="19"/>
      <c r="G1394" s="9" t="str">
        <f aca="false">IF(OR($B1394="",NOT(ISNUMBER($E1394))),"",$E1394-IF($F1394="",0,$F1394))</f>
        <v/>
      </c>
      <c r="H1394" s="15" t="str">
        <f aca="false">IF($B1394="","",IFERROR(INDEX(Services!$A$2:$A$120,MATCH($B1394,Services!$D$2:$D$120,0)),""))</f>
        <v/>
      </c>
      <c r="I1394" s="19"/>
      <c r="J1394" s="15" t="str">
        <f aca="false">IF($B1394="","",IFERROR(INDEX(Services!$E$2:$E$120,MATCH($B1394,Services!$D$2:$D$120,0)),""))</f>
        <v/>
      </c>
    </row>
    <row r="1395" customFormat="false" ht="14.25" hidden="false" customHeight="false" outlineLevel="0" collapsed="false">
      <c r="A1395" s="18"/>
      <c r="B1395" s="6"/>
      <c r="C1395" s="6"/>
      <c r="D1395" s="6"/>
      <c r="E1395" s="16" t="str">
        <f aca="false">IF($B1395="","",IFERROR(INDEX(Services!$C$2:$C$120,MATCH($B1395,Services!$D$2:$D$120,0)),""))</f>
        <v/>
      </c>
      <c r="F1395" s="19"/>
      <c r="G1395" s="9" t="str">
        <f aca="false">IF(OR($B1395="",NOT(ISNUMBER($E1395))),"",$E1395-IF($F1395="",0,$F1395))</f>
        <v/>
      </c>
      <c r="H1395" s="15" t="str">
        <f aca="false">IF($B1395="","",IFERROR(INDEX(Services!$A$2:$A$120,MATCH($B1395,Services!$D$2:$D$120,0)),""))</f>
        <v/>
      </c>
      <c r="I1395" s="19"/>
      <c r="J1395" s="15" t="str">
        <f aca="false">IF($B1395="","",IFERROR(INDEX(Services!$E$2:$E$120,MATCH($B1395,Services!$D$2:$D$120,0)),""))</f>
        <v/>
      </c>
    </row>
    <row r="1396" customFormat="false" ht="14.25" hidden="false" customHeight="false" outlineLevel="0" collapsed="false">
      <c r="A1396" s="18"/>
      <c r="B1396" s="6"/>
      <c r="C1396" s="6"/>
      <c r="D1396" s="6"/>
      <c r="E1396" s="16" t="str">
        <f aca="false">IF($B1396="","",IFERROR(INDEX(Services!$C$2:$C$120,MATCH($B1396,Services!$D$2:$D$120,0)),""))</f>
        <v/>
      </c>
      <c r="F1396" s="19"/>
      <c r="G1396" s="9" t="str">
        <f aca="false">IF(OR($B1396="",NOT(ISNUMBER($E1396))),"",$E1396-IF($F1396="",0,$F1396))</f>
        <v/>
      </c>
      <c r="H1396" s="15" t="str">
        <f aca="false">IF($B1396="","",IFERROR(INDEX(Services!$A$2:$A$120,MATCH($B1396,Services!$D$2:$D$120,0)),""))</f>
        <v/>
      </c>
      <c r="I1396" s="19"/>
      <c r="J1396" s="15" t="str">
        <f aca="false">IF($B1396="","",IFERROR(INDEX(Services!$E$2:$E$120,MATCH($B1396,Services!$D$2:$D$120,0)),""))</f>
        <v/>
      </c>
    </row>
    <row r="1397" customFormat="false" ht="14.25" hidden="false" customHeight="false" outlineLevel="0" collapsed="false">
      <c r="A1397" s="18"/>
      <c r="B1397" s="6"/>
      <c r="C1397" s="6"/>
      <c r="D1397" s="6"/>
      <c r="E1397" s="16" t="str">
        <f aca="false">IF($B1397="","",IFERROR(INDEX(Services!$C$2:$C$120,MATCH($B1397,Services!$D$2:$D$120,0)),""))</f>
        <v/>
      </c>
      <c r="F1397" s="19"/>
      <c r="G1397" s="9" t="str">
        <f aca="false">IF(OR($B1397="",NOT(ISNUMBER($E1397))),"",$E1397-IF($F1397="",0,$F1397))</f>
        <v/>
      </c>
      <c r="H1397" s="15" t="str">
        <f aca="false">IF($B1397="","",IFERROR(INDEX(Services!$A$2:$A$120,MATCH($B1397,Services!$D$2:$D$120,0)),""))</f>
        <v/>
      </c>
      <c r="I1397" s="19"/>
      <c r="J1397" s="15" t="str">
        <f aca="false">IF($B1397="","",IFERROR(INDEX(Services!$E$2:$E$120,MATCH($B1397,Services!$D$2:$D$120,0)),""))</f>
        <v/>
      </c>
    </row>
    <row r="1398" customFormat="false" ht="14.25" hidden="false" customHeight="false" outlineLevel="0" collapsed="false">
      <c r="A1398" s="18"/>
      <c r="B1398" s="6"/>
      <c r="C1398" s="6"/>
      <c r="D1398" s="6"/>
      <c r="E1398" s="16" t="str">
        <f aca="false">IF($B1398="","",IFERROR(INDEX(Services!$C$2:$C$120,MATCH($B1398,Services!$D$2:$D$120,0)),""))</f>
        <v/>
      </c>
      <c r="F1398" s="19"/>
      <c r="G1398" s="9" t="str">
        <f aca="false">IF(OR($B1398="",NOT(ISNUMBER($E1398))),"",$E1398-IF($F1398="",0,$F1398))</f>
        <v/>
      </c>
      <c r="H1398" s="15" t="str">
        <f aca="false">IF($B1398="","",IFERROR(INDEX(Services!$A$2:$A$120,MATCH($B1398,Services!$D$2:$D$120,0)),""))</f>
        <v/>
      </c>
      <c r="I1398" s="19"/>
      <c r="J1398" s="15" t="str">
        <f aca="false">IF($B1398="","",IFERROR(INDEX(Services!$E$2:$E$120,MATCH($B1398,Services!$D$2:$D$120,0)),""))</f>
        <v/>
      </c>
    </row>
    <row r="1399" customFormat="false" ht="14.25" hidden="false" customHeight="false" outlineLevel="0" collapsed="false">
      <c r="A1399" s="18"/>
      <c r="B1399" s="6"/>
      <c r="C1399" s="6"/>
      <c r="D1399" s="6"/>
      <c r="E1399" s="16" t="str">
        <f aca="false">IF($B1399="","",IFERROR(INDEX(Services!$C$2:$C$120,MATCH($B1399,Services!$D$2:$D$120,0)),""))</f>
        <v/>
      </c>
      <c r="F1399" s="19"/>
      <c r="G1399" s="9" t="str">
        <f aca="false">IF(OR($B1399="",NOT(ISNUMBER($E1399))),"",$E1399-IF($F1399="",0,$F1399))</f>
        <v/>
      </c>
      <c r="H1399" s="15" t="str">
        <f aca="false">IF($B1399="","",IFERROR(INDEX(Services!$A$2:$A$120,MATCH($B1399,Services!$D$2:$D$120,0)),""))</f>
        <v/>
      </c>
      <c r="I1399" s="19"/>
      <c r="J1399" s="15" t="str">
        <f aca="false">IF($B1399="","",IFERROR(INDEX(Services!$E$2:$E$120,MATCH($B1399,Services!$D$2:$D$120,0)),""))</f>
        <v/>
      </c>
    </row>
    <row r="1400" customFormat="false" ht="14.25" hidden="false" customHeight="false" outlineLevel="0" collapsed="false">
      <c r="A1400" s="18"/>
      <c r="B1400" s="6"/>
      <c r="C1400" s="6"/>
      <c r="D1400" s="6"/>
      <c r="E1400" s="16" t="str">
        <f aca="false">IF($B1400="","",IFERROR(INDEX(Services!$C$2:$C$120,MATCH($B1400,Services!$D$2:$D$120,0)),""))</f>
        <v/>
      </c>
      <c r="F1400" s="19"/>
      <c r="G1400" s="9" t="str">
        <f aca="false">IF(OR($B1400="",NOT(ISNUMBER($E1400))),"",$E1400-IF($F1400="",0,$F1400))</f>
        <v/>
      </c>
      <c r="H1400" s="15" t="str">
        <f aca="false">IF($B1400="","",IFERROR(INDEX(Services!$A$2:$A$120,MATCH($B1400,Services!$D$2:$D$120,0)),""))</f>
        <v/>
      </c>
      <c r="I1400" s="19"/>
      <c r="J1400" s="15" t="str">
        <f aca="false">IF($B1400="","",IFERROR(INDEX(Services!$E$2:$E$120,MATCH($B1400,Services!$D$2:$D$120,0)),""))</f>
        <v/>
      </c>
    </row>
    <row r="1401" customFormat="false" ht="14.25" hidden="false" customHeight="false" outlineLevel="0" collapsed="false">
      <c r="A1401" s="18"/>
      <c r="B1401" s="6"/>
      <c r="C1401" s="6"/>
      <c r="D1401" s="6"/>
      <c r="E1401" s="16" t="str">
        <f aca="false">IF($B1401="","",IFERROR(INDEX(Services!$C$2:$C$120,MATCH($B1401,Services!$D$2:$D$120,0)),""))</f>
        <v/>
      </c>
      <c r="F1401" s="19"/>
      <c r="G1401" s="9" t="str">
        <f aca="false">IF(OR($B1401="",NOT(ISNUMBER($E1401))),"",$E1401-IF($F1401="",0,$F1401))</f>
        <v/>
      </c>
      <c r="H1401" s="15" t="str">
        <f aca="false">IF($B1401="","",IFERROR(INDEX(Services!$A$2:$A$120,MATCH($B1401,Services!$D$2:$D$120,0)),""))</f>
        <v/>
      </c>
      <c r="I1401" s="19"/>
      <c r="J1401" s="15" t="str">
        <f aca="false">IF($B1401="","",IFERROR(INDEX(Services!$E$2:$E$120,MATCH($B1401,Services!$D$2:$D$120,0)),""))</f>
        <v/>
      </c>
    </row>
    <row r="1402" customFormat="false" ht="14.25" hidden="false" customHeight="false" outlineLevel="0" collapsed="false">
      <c r="A1402" s="18"/>
      <c r="B1402" s="6"/>
      <c r="C1402" s="6"/>
      <c r="D1402" s="6"/>
      <c r="E1402" s="16" t="str">
        <f aca="false">IF($B1402="","",IFERROR(INDEX(Services!$C$2:$C$120,MATCH($B1402,Services!$D$2:$D$120,0)),""))</f>
        <v/>
      </c>
      <c r="F1402" s="19"/>
      <c r="G1402" s="9" t="str">
        <f aca="false">IF(OR($B1402="",NOT(ISNUMBER($E1402))),"",$E1402-IF($F1402="",0,$F1402))</f>
        <v/>
      </c>
      <c r="H1402" s="15" t="str">
        <f aca="false">IF($B1402="","",IFERROR(INDEX(Services!$A$2:$A$120,MATCH($B1402,Services!$D$2:$D$120,0)),""))</f>
        <v/>
      </c>
      <c r="I1402" s="19"/>
      <c r="J1402" s="15" t="str">
        <f aca="false">IF($B1402="","",IFERROR(INDEX(Services!$E$2:$E$120,MATCH($B1402,Services!$D$2:$D$120,0)),""))</f>
        <v/>
      </c>
    </row>
    <row r="1403" customFormat="false" ht="14.25" hidden="false" customHeight="false" outlineLevel="0" collapsed="false">
      <c r="A1403" s="18"/>
      <c r="B1403" s="6"/>
      <c r="C1403" s="6"/>
      <c r="D1403" s="6"/>
      <c r="E1403" s="16" t="str">
        <f aca="false">IF($B1403="","",IFERROR(INDEX(Services!$C$2:$C$120,MATCH($B1403,Services!$D$2:$D$120,0)),""))</f>
        <v/>
      </c>
      <c r="F1403" s="19"/>
      <c r="G1403" s="9" t="str">
        <f aca="false">IF(OR($B1403="",NOT(ISNUMBER($E1403))),"",$E1403-IF($F1403="",0,$F1403))</f>
        <v/>
      </c>
      <c r="H1403" s="15" t="str">
        <f aca="false">IF($B1403="","",IFERROR(INDEX(Services!$A$2:$A$120,MATCH($B1403,Services!$D$2:$D$120,0)),""))</f>
        <v/>
      </c>
      <c r="I1403" s="19"/>
      <c r="J1403" s="15" t="str">
        <f aca="false">IF($B1403="","",IFERROR(INDEX(Services!$E$2:$E$120,MATCH($B1403,Services!$D$2:$D$120,0)),""))</f>
        <v/>
      </c>
    </row>
    <row r="1404" customFormat="false" ht="14.25" hidden="false" customHeight="false" outlineLevel="0" collapsed="false">
      <c r="A1404" s="18"/>
      <c r="B1404" s="6"/>
      <c r="C1404" s="6"/>
      <c r="D1404" s="6"/>
      <c r="E1404" s="16" t="str">
        <f aca="false">IF($B1404="","",IFERROR(INDEX(Services!$C$2:$C$120,MATCH($B1404,Services!$D$2:$D$120,0)),""))</f>
        <v/>
      </c>
      <c r="F1404" s="19"/>
      <c r="G1404" s="9" t="str">
        <f aca="false">IF(OR($B1404="",NOT(ISNUMBER($E1404))),"",$E1404-IF($F1404="",0,$F1404))</f>
        <v/>
      </c>
      <c r="H1404" s="15" t="str">
        <f aca="false">IF($B1404="","",IFERROR(INDEX(Services!$A$2:$A$120,MATCH($B1404,Services!$D$2:$D$120,0)),""))</f>
        <v/>
      </c>
      <c r="I1404" s="19"/>
      <c r="J1404" s="15" t="str">
        <f aca="false">IF($B1404="","",IFERROR(INDEX(Services!$E$2:$E$120,MATCH($B1404,Services!$D$2:$D$120,0)),""))</f>
        <v/>
      </c>
    </row>
    <row r="1405" customFormat="false" ht="14.25" hidden="false" customHeight="false" outlineLevel="0" collapsed="false">
      <c r="A1405" s="18"/>
      <c r="B1405" s="6"/>
      <c r="C1405" s="6"/>
      <c r="D1405" s="6"/>
      <c r="E1405" s="16" t="str">
        <f aca="false">IF($B1405="","",IFERROR(INDEX(Services!$C$2:$C$120,MATCH($B1405,Services!$D$2:$D$120,0)),""))</f>
        <v/>
      </c>
      <c r="F1405" s="19"/>
      <c r="G1405" s="9" t="str">
        <f aca="false">IF(OR($B1405="",NOT(ISNUMBER($E1405))),"",$E1405-IF($F1405="",0,$F1405))</f>
        <v/>
      </c>
      <c r="H1405" s="15" t="str">
        <f aca="false">IF($B1405="","",IFERROR(INDEX(Services!$A$2:$A$120,MATCH($B1405,Services!$D$2:$D$120,0)),""))</f>
        <v/>
      </c>
      <c r="I1405" s="19"/>
      <c r="J1405" s="15" t="str">
        <f aca="false">IF($B1405="","",IFERROR(INDEX(Services!$E$2:$E$120,MATCH($B1405,Services!$D$2:$D$120,0)),""))</f>
        <v/>
      </c>
    </row>
    <row r="1406" customFormat="false" ht="14.25" hidden="false" customHeight="false" outlineLevel="0" collapsed="false">
      <c r="A1406" s="18"/>
      <c r="B1406" s="6"/>
      <c r="C1406" s="6"/>
      <c r="D1406" s="6"/>
      <c r="E1406" s="16" t="str">
        <f aca="false">IF($B1406="","",IFERROR(INDEX(Services!$C$2:$C$120,MATCH($B1406,Services!$D$2:$D$120,0)),""))</f>
        <v/>
      </c>
      <c r="F1406" s="19"/>
      <c r="G1406" s="9" t="str">
        <f aca="false">IF(OR($B1406="",NOT(ISNUMBER($E1406))),"",$E1406-IF($F1406="",0,$F1406))</f>
        <v/>
      </c>
      <c r="H1406" s="15" t="str">
        <f aca="false">IF($B1406="","",IFERROR(INDEX(Services!$A$2:$A$120,MATCH($B1406,Services!$D$2:$D$120,0)),""))</f>
        <v/>
      </c>
      <c r="I1406" s="19"/>
      <c r="J1406" s="15" t="str">
        <f aca="false">IF($B1406="","",IFERROR(INDEX(Services!$E$2:$E$120,MATCH($B1406,Services!$D$2:$D$120,0)),""))</f>
        <v/>
      </c>
    </row>
    <row r="1407" customFormat="false" ht="14.25" hidden="false" customHeight="false" outlineLevel="0" collapsed="false">
      <c r="A1407" s="18"/>
      <c r="B1407" s="6"/>
      <c r="C1407" s="6"/>
      <c r="D1407" s="6"/>
      <c r="E1407" s="16" t="str">
        <f aca="false">IF($B1407="","",IFERROR(INDEX(Services!$C$2:$C$120,MATCH($B1407,Services!$D$2:$D$120,0)),""))</f>
        <v/>
      </c>
      <c r="F1407" s="19"/>
      <c r="G1407" s="9" t="str">
        <f aca="false">IF(OR($B1407="",NOT(ISNUMBER($E1407))),"",$E1407-IF($F1407="",0,$F1407))</f>
        <v/>
      </c>
      <c r="H1407" s="15" t="str">
        <f aca="false">IF($B1407="","",IFERROR(INDEX(Services!$A$2:$A$120,MATCH($B1407,Services!$D$2:$D$120,0)),""))</f>
        <v/>
      </c>
      <c r="I1407" s="19"/>
      <c r="J1407" s="15" t="str">
        <f aca="false">IF($B1407="","",IFERROR(INDEX(Services!$E$2:$E$120,MATCH($B1407,Services!$D$2:$D$120,0)),""))</f>
        <v/>
      </c>
    </row>
    <row r="1408" customFormat="false" ht="14.25" hidden="false" customHeight="false" outlineLevel="0" collapsed="false">
      <c r="A1408" s="18"/>
      <c r="B1408" s="6"/>
      <c r="C1408" s="6"/>
      <c r="D1408" s="6"/>
      <c r="E1408" s="16" t="str">
        <f aca="false">IF($B1408="","",IFERROR(INDEX(Services!$C$2:$C$120,MATCH($B1408,Services!$D$2:$D$120,0)),""))</f>
        <v/>
      </c>
      <c r="F1408" s="19"/>
      <c r="G1408" s="9" t="str">
        <f aca="false">IF(OR($B1408="",NOT(ISNUMBER($E1408))),"",$E1408-IF($F1408="",0,$F1408))</f>
        <v/>
      </c>
      <c r="H1408" s="15" t="str">
        <f aca="false">IF($B1408="","",IFERROR(INDEX(Services!$A$2:$A$120,MATCH($B1408,Services!$D$2:$D$120,0)),""))</f>
        <v/>
      </c>
      <c r="I1408" s="19"/>
      <c r="J1408" s="15" t="str">
        <f aca="false">IF($B1408="","",IFERROR(INDEX(Services!$E$2:$E$120,MATCH($B1408,Services!$D$2:$D$120,0)),""))</f>
        <v/>
      </c>
    </row>
    <row r="1409" customFormat="false" ht="14.25" hidden="false" customHeight="false" outlineLevel="0" collapsed="false">
      <c r="A1409" s="18"/>
      <c r="B1409" s="6"/>
      <c r="C1409" s="6"/>
      <c r="D1409" s="6"/>
      <c r="E1409" s="16" t="str">
        <f aca="false">IF($B1409="","",IFERROR(INDEX(Services!$C$2:$C$120,MATCH($B1409,Services!$D$2:$D$120,0)),""))</f>
        <v/>
      </c>
      <c r="F1409" s="19"/>
      <c r="G1409" s="9" t="str">
        <f aca="false">IF(OR($B1409="",NOT(ISNUMBER($E1409))),"",$E1409-IF($F1409="",0,$F1409))</f>
        <v/>
      </c>
      <c r="H1409" s="15" t="str">
        <f aca="false">IF($B1409="","",IFERROR(INDEX(Services!$A$2:$A$120,MATCH($B1409,Services!$D$2:$D$120,0)),""))</f>
        <v/>
      </c>
      <c r="I1409" s="19"/>
      <c r="J1409" s="15" t="str">
        <f aca="false">IF($B1409="","",IFERROR(INDEX(Services!$E$2:$E$120,MATCH($B1409,Services!$D$2:$D$120,0)),""))</f>
        <v/>
      </c>
    </row>
    <row r="1410" customFormat="false" ht="14.25" hidden="false" customHeight="false" outlineLevel="0" collapsed="false">
      <c r="A1410" s="18"/>
      <c r="B1410" s="6"/>
      <c r="C1410" s="6"/>
      <c r="D1410" s="6"/>
      <c r="E1410" s="16" t="str">
        <f aca="false">IF($B1410="","",IFERROR(INDEX(Services!$C$2:$C$120,MATCH($B1410,Services!$D$2:$D$120,0)),""))</f>
        <v/>
      </c>
      <c r="F1410" s="19"/>
      <c r="G1410" s="9" t="str">
        <f aca="false">IF(OR($B1410="",NOT(ISNUMBER($E1410))),"",$E1410-IF($F1410="",0,$F1410))</f>
        <v/>
      </c>
      <c r="H1410" s="15" t="str">
        <f aca="false">IF($B1410="","",IFERROR(INDEX(Services!$A$2:$A$120,MATCH($B1410,Services!$D$2:$D$120,0)),""))</f>
        <v/>
      </c>
      <c r="I1410" s="19"/>
      <c r="J1410" s="15" t="str">
        <f aca="false">IF($B1410="","",IFERROR(INDEX(Services!$E$2:$E$120,MATCH($B1410,Services!$D$2:$D$120,0)),""))</f>
        <v/>
      </c>
    </row>
    <row r="1411" customFormat="false" ht="14.25" hidden="false" customHeight="false" outlineLevel="0" collapsed="false">
      <c r="A1411" s="18"/>
      <c r="B1411" s="6"/>
      <c r="C1411" s="6"/>
      <c r="D1411" s="6"/>
      <c r="E1411" s="16" t="str">
        <f aca="false">IF($B1411="","",IFERROR(INDEX(Services!$C$2:$C$120,MATCH($B1411,Services!$D$2:$D$120,0)),""))</f>
        <v/>
      </c>
      <c r="F1411" s="19"/>
      <c r="G1411" s="9" t="str">
        <f aca="false">IF(OR($B1411="",NOT(ISNUMBER($E1411))),"",$E1411-IF($F1411="",0,$F1411))</f>
        <v/>
      </c>
      <c r="H1411" s="15" t="str">
        <f aca="false">IF($B1411="","",IFERROR(INDEX(Services!$A$2:$A$120,MATCH($B1411,Services!$D$2:$D$120,0)),""))</f>
        <v/>
      </c>
      <c r="I1411" s="19"/>
      <c r="J1411" s="15" t="str">
        <f aca="false">IF($B1411="","",IFERROR(INDEX(Services!$E$2:$E$120,MATCH($B1411,Services!$D$2:$D$120,0)),""))</f>
        <v/>
      </c>
    </row>
    <row r="1412" customFormat="false" ht="14.25" hidden="false" customHeight="false" outlineLevel="0" collapsed="false">
      <c r="A1412" s="18"/>
      <c r="B1412" s="6"/>
      <c r="C1412" s="6"/>
      <c r="D1412" s="6"/>
      <c r="E1412" s="16" t="str">
        <f aca="false">IF($B1412="","",IFERROR(INDEX(Services!$C$2:$C$120,MATCH($B1412,Services!$D$2:$D$120,0)),""))</f>
        <v/>
      </c>
      <c r="F1412" s="19"/>
      <c r="G1412" s="9" t="str">
        <f aca="false">IF(OR($B1412="",NOT(ISNUMBER($E1412))),"",$E1412-IF($F1412="",0,$F1412))</f>
        <v/>
      </c>
      <c r="H1412" s="15" t="str">
        <f aca="false">IF($B1412="","",IFERROR(INDEX(Services!$A$2:$A$120,MATCH($B1412,Services!$D$2:$D$120,0)),""))</f>
        <v/>
      </c>
      <c r="I1412" s="19"/>
      <c r="J1412" s="15" t="str">
        <f aca="false">IF($B1412="","",IFERROR(INDEX(Services!$E$2:$E$120,MATCH($B1412,Services!$D$2:$D$120,0)),""))</f>
        <v/>
      </c>
    </row>
    <row r="1413" customFormat="false" ht="14.25" hidden="false" customHeight="false" outlineLevel="0" collapsed="false">
      <c r="A1413" s="18"/>
      <c r="B1413" s="6"/>
      <c r="C1413" s="6"/>
      <c r="D1413" s="6"/>
      <c r="E1413" s="16" t="str">
        <f aca="false">IF($B1413="","",IFERROR(INDEX(Services!$C$2:$C$120,MATCH($B1413,Services!$D$2:$D$120,0)),""))</f>
        <v/>
      </c>
      <c r="F1413" s="19"/>
      <c r="G1413" s="9" t="str">
        <f aca="false">IF(OR($B1413="",NOT(ISNUMBER($E1413))),"",$E1413-IF($F1413="",0,$F1413))</f>
        <v/>
      </c>
      <c r="H1413" s="15" t="str">
        <f aca="false">IF($B1413="","",IFERROR(INDEX(Services!$A$2:$A$120,MATCH($B1413,Services!$D$2:$D$120,0)),""))</f>
        <v/>
      </c>
      <c r="I1413" s="19"/>
      <c r="J1413" s="15" t="str">
        <f aca="false">IF($B1413="","",IFERROR(INDEX(Services!$E$2:$E$120,MATCH($B1413,Services!$D$2:$D$120,0)),""))</f>
        <v/>
      </c>
    </row>
    <row r="1414" customFormat="false" ht="14.25" hidden="false" customHeight="false" outlineLevel="0" collapsed="false">
      <c r="A1414" s="18"/>
      <c r="B1414" s="6"/>
      <c r="C1414" s="6"/>
      <c r="D1414" s="6"/>
      <c r="E1414" s="16" t="str">
        <f aca="false">IF($B1414="","",IFERROR(INDEX(Services!$C$2:$C$120,MATCH($B1414,Services!$D$2:$D$120,0)),""))</f>
        <v/>
      </c>
      <c r="F1414" s="19"/>
      <c r="G1414" s="9" t="str">
        <f aca="false">IF(OR($B1414="",NOT(ISNUMBER($E1414))),"",$E1414-IF($F1414="",0,$F1414))</f>
        <v/>
      </c>
      <c r="H1414" s="15" t="str">
        <f aca="false">IF($B1414="","",IFERROR(INDEX(Services!$A$2:$A$120,MATCH($B1414,Services!$D$2:$D$120,0)),""))</f>
        <v/>
      </c>
      <c r="I1414" s="19"/>
      <c r="J1414" s="15" t="str">
        <f aca="false">IF($B1414="","",IFERROR(INDEX(Services!$E$2:$E$120,MATCH($B1414,Services!$D$2:$D$120,0)),""))</f>
        <v/>
      </c>
    </row>
    <row r="1415" customFormat="false" ht="14.25" hidden="false" customHeight="false" outlineLevel="0" collapsed="false">
      <c r="A1415" s="18"/>
      <c r="B1415" s="6"/>
      <c r="C1415" s="6"/>
      <c r="D1415" s="6"/>
      <c r="E1415" s="16" t="str">
        <f aca="false">IF($B1415="","",IFERROR(INDEX(Services!$C$2:$C$120,MATCH($B1415,Services!$D$2:$D$120,0)),""))</f>
        <v/>
      </c>
      <c r="F1415" s="19"/>
      <c r="G1415" s="9" t="str">
        <f aca="false">IF(OR($B1415="",NOT(ISNUMBER($E1415))),"",$E1415-IF($F1415="",0,$F1415))</f>
        <v/>
      </c>
      <c r="H1415" s="15" t="str">
        <f aca="false">IF($B1415="","",IFERROR(INDEX(Services!$A$2:$A$120,MATCH($B1415,Services!$D$2:$D$120,0)),""))</f>
        <v/>
      </c>
      <c r="I1415" s="19"/>
      <c r="J1415" s="15" t="str">
        <f aca="false">IF($B1415="","",IFERROR(INDEX(Services!$E$2:$E$120,MATCH($B1415,Services!$D$2:$D$120,0)),""))</f>
        <v/>
      </c>
    </row>
    <row r="1416" customFormat="false" ht="14.25" hidden="false" customHeight="false" outlineLevel="0" collapsed="false">
      <c r="A1416" s="18"/>
      <c r="B1416" s="6"/>
      <c r="C1416" s="6"/>
      <c r="D1416" s="6"/>
      <c r="E1416" s="16" t="str">
        <f aca="false">IF($B1416="","",IFERROR(INDEX(Services!$C$2:$C$120,MATCH($B1416,Services!$D$2:$D$120,0)),""))</f>
        <v/>
      </c>
      <c r="F1416" s="19"/>
      <c r="G1416" s="9" t="str">
        <f aca="false">IF(OR($B1416="",NOT(ISNUMBER($E1416))),"",$E1416-IF($F1416="",0,$F1416))</f>
        <v/>
      </c>
      <c r="H1416" s="15" t="str">
        <f aca="false">IF($B1416="","",IFERROR(INDEX(Services!$A$2:$A$120,MATCH($B1416,Services!$D$2:$D$120,0)),""))</f>
        <v/>
      </c>
      <c r="I1416" s="19"/>
      <c r="J1416" s="15" t="str">
        <f aca="false">IF($B1416="","",IFERROR(INDEX(Services!$E$2:$E$120,MATCH($B1416,Services!$D$2:$D$120,0)),""))</f>
        <v/>
      </c>
    </row>
    <row r="1417" customFormat="false" ht="14.25" hidden="false" customHeight="false" outlineLevel="0" collapsed="false">
      <c r="A1417" s="18"/>
      <c r="B1417" s="6"/>
      <c r="C1417" s="6"/>
      <c r="D1417" s="6"/>
      <c r="E1417" s="16" t="str">
        <f aca="false">IF($B1417="","",IFERROR(INDEX(Services!$C$2:$C$120,MATCH($B1417,Services!$D$2:$D$120,0)),""))</f>
        <v/>
      </c>
      <c r="F1417" s="19"/>
      <c r="G1417" s="9" t="str">
        <f aca="false">IF(OR($B1417="",NOT(ISNUMBER($E1417))),"",$E1417-IF($F1417="",0,$F1417))</f>
        <v/>
      </c>
      <c r="H1417" s="15" t="str">
        <f aca="false">IF($B1417="","",IFERROR(INDEX(Services!$A$2:$A$120,MATCH($B1417,Services!$D$2:$D$120,0)),""))</f>
        <v/>
      </c>
      <c r="I1417" s="19"/>
      <c r="J1417" s="15" t="str">
        <f aca="false">IF($B1417="","",IFERROR(INDEX(Services!$E$2:$E$120,MATCH($B1417,Services!$D$2:$D$120,0)),""))</f>
        <v/>
      </c>
    </row>
    <row r="1418" customFormat="false" ht="14.25" hidden="false" customHeight="false" outlineLevel="0" collapsed="false">
      <c r="A1418" s="18"/>
      <c r="B1418" s="6"/>
      <c r="C1418" s="6"/>
      <c r="D1418" s="6"/>
      <c r="E1418" s="16" t="str">
        <f aca="false">IF($B1418="","",IFERROR(INDEX(Services!$C$2:$C$120,MATCH($B1418,Services!$D$2:$D$120,0)),""))</f>
        <v/>
      </c>
      <c r="F1418" s="19"/>
      <c r="G1418" s="9" t="str">
        <f aca="false">IF(OR($B1418="",NOT(ISNUMBER($E1418))),"",$E1418-IF($F1418="",0,$F1418))</f>
        <v/>
      </c>
      <c r="H1418" s="15" t="str">
        <f aca="false">IF($B1418="","",IFERROR(INDEX(Services!$A$2:$A$120,MATCH($B1418,Services!$D$2:$D$120,0)),""))</f>
        <v/>
      </c>
      <c r="I1418" s="19"/>
      <c r="J1418" s="15" t="str">
        <f aca="false">IF($B1418="","",IFERROR(INDEX(Services!$E$2:$E$120,MATCH($B1418,Services!$D$2:$D$120,0)),""))</f>
        <v/>
      </c>
    </row>
    <row r="1419" customFormat="false" ht="14.25" hidden="false" customHeight="false" outlineLevel="0" collapsed="false">
      <c r="A1419" s="18"/>
      <c r="B1419" s="6"/>
      <c r="C1419" s="6"/>
      <c r="D1419" s="6"/>
      <c r="E1419" s="16" t="str">
        <f aca="false">IF($B1419="","",IFERROR(INDEX(Services!$C$2:$C$120,MATCH($B1419,Services!$D$2:$D$120,0)),""))</f>
        <v/>
      </c>
      <c r="F1419" s="19"/>
      <c r="G1419" s="9" t="str">
        <f aca="false">IF(OR($B1419="",NOT(ISNUMBER($E1419))),"",$E1419-IF($F1419="",0,$F1419))</f>
        <v/>
      </c>
      <c r="H1419" s="15" t="str">
        <f aca="false">IF($B1419="","",IFERROR(INDEX(Services!$A$2:$A$120,MATCH($B1419,Services!$D$2:$D$120,0)),""))</f>
        <v/>
      </c>
      <c r="I1419" s="19"/>
      <c r="J1419" s="15" t="str">
        <f aca="false">IF($B1419="","",IFERROR(INDEX(Services!$E$2:$E$120,MATCH($B1419,Services!$D$2:$D$120,0)),""))</f>
        <v/>
      </c>
    </row>
    <row r="1420" customFormat="false" ht="14.25" hidden="false" customHeight="false" outlineLevel="0" collapsed="false">
      <c r="A1420" s="18"/>
      <c r="B1420" s="6"/>
      <c r="C1420" s="6"/>
      <c r="D1420" s="6"/>
      <c r="E1420" s="16" t="str">
        <f aca="false">IF($B1420="","",IFERROR(INDEX(Services!$C$2:$C$120,MATCH($B1420,Services!$D$2:$D$120,0)),""))</f>
        <v/>
      </c>
      <c r="F1420" s="19"/>
      <c r="G1420" s="9" t="str">
        <f aca="false">IF(OR($B1420="",NOT(ISNUMBER($E1420))),"",$E1420-IF($F1420="",0,$F1420))</f>
        <v/>
      </c>
      <c r="H1420" s="15" t="str">
        <f aca="false">IF($B1420="","",IFERROR(INDEX(Services!$A$2:$A$120,MATCH($B1420,Services!$D$2:$D$120,0)),""))</f>
        <v/>
      </c>
      <c r="I1420" s="19"/>
      <c r="J1420" s="15" t="str">
        <f aca="false">IF($B1420="","",IFERROR(INDEX(Services!$E$2:$E$120,MATCH($B1420,Services!$D$2:$D$120,0)),""))</f>
        <v/>
      </c>
    </row>
    <row r="1421" customFormat="false" ht="14.25" hidden="false" customHeight="false" outlineLevel="0" collapsed="false">
      <c r="A1421" s="18"/>
      <c r="B1421" s="6"/>
      <c r="C1421" s="6"/>
      <c r="D1421" s="6"/>
      <c r="E1421" s="16" t="str">
        <f aca="false">IF($B1421="","",IFERROR(INDEX(Services!$C$2:$C$120,MATCH($B1421,Services!$D$2:$D$120,0)),""))</f>
        <v/>
      </c>
      <c r="F1421" s="19"/>
      <c r="G1421" s="9" t="str">
        <f aca="false">IF(OR($B1421="",NOT(ISNUMBER($E1421))),"",$E1421-IF($F1421="",0,$F1421))</f>
        <v/>
      </c>
      <c r="H1421" s="15" t="str">
        <f aca="false">IF($B1421="","",IFERROR(INDEX(Services!$A$2:$A$120,MATCH($B1421,Services!$D$2:$D$120,0)),""))</f>
        <v/>
      </c>
      <c r="I1421" s="19"/>
      <c r="J1421" s="15" t="str">
        <f aca="false">IF($B1421="","",IFERROR(INDEX(Services!$E$2:$E$120,MATCH($B1421,Services!$D$2:$D$120,0)),""))</f>
        <v/>
      </c>
    </row>
    <row r="1422" customFormat="false" ht="14.25" hidden="false" customHeight="false" outlineLevel="0" collapsed="false">
      <c r="A1422" s="18"/>
      <c r="B1422" s="6"/>
      <c r="C1422" s="6"/>
      <c r="D1422" s="6"/>
      <c r="E1422" s="16" t="str">
        <f aca="false">IF($B1422="","",IFERROR(INDEX(Services!$C$2:$C$120,MATCH($B1422,Services!$D$2:$D$120,0)),""))</f>
        <v/>
      </c>
      <c r="F1422" s="19"/>
      <c r="G1422" s="9" t="str">
        <f aca="false">IF(OR($B1422="",NOT(ISNUMBER($E1422))),"",$E1422-IF($F1422="",0,$F1422))</f>
        <v/>
      </c>
      <c r="H1422" s="15" t="str">
        <f aca="false">IF($B1422="","",IFERROR(INDEX(Services!$A$2:$A$120,MATCH($B1422,Services!$D$2:$D$120,0)),""))</f>
        <v/>
      </c>
      <c r="I1422" s="19"/>
      <c r="J1422" s="15" t="str">
        <f aca="false">IF($B1422="","",IFERROR(INDEX(Services!$E$2:$E$120,MATCH($B1422,Services!$D$2:$D$120,0)),""))</f>
        <v/>
      </c>
    </row>
    <row r="1423" customFormat="false" ht="14.25" hidden="false" customHeight="false" outlineLevel="0" collapsed="false">
      <c r="A1423" s="18"/>
      <c r="B1423" s="6"/>
      <c r="C1423" s="6"/>
      <c r="D1423" s="6"/>
      <c r="E1423" s="16" t="str">
        <f aca="false">IF($B1423="","",IFERROR(INDEX(Services!$C$2:$C$120,MATCH($B1423,Services!$D$2:$D$120,0)),""))</f>
        <v/>
      </c>
      <c r="F1423" s="19"/>
      <c r="G1423" s="9" t="str">
        <f aca="false">IF(OR($B1423="",NOT(ISNUMBER($E1423))),"",$E1423-IF($F1423="",0,$F1423))</f>
        <v/>
      </c>
      <c r="H1423" s="15" t="str">
        <f aca="false">IF($B1423="","",IFERROR(INDEX(Services!$A$2:$A$120,MATCH($B1423,Services!$D$2:$D$120,0)),""))</f>
        <v/>
      </c>
      <c r="I1423" s="19"/>
      <c r="J1423" s="15" t="str">
        <f aca="false">IF($B1423="","",IFERROR(INDEX(Services!$E$2:$E$120,MATCH($B1423,Services!$D$2:$D$120,0)),""))</f>
        <v/>
      </c>
    </row>
    <row r="1424" customFormat="false" ht="14.25" hidden="false" customHeight="false" outlineLevel="0" collapsed="false">
      <c r="A1424" s="18"/>
      <c r="B1424" s="6"/>
      <c r="C1424" s="6"/>
      <c r="D1424" s="6"/>
      <c r="E1424" s="16" t="str">
        <f aca="false">IF($B1424="","",IFERROR(INDEX(Services!$C$2:$C$120,MATCH($B1424,Services!$D$2:$D$120,0)),""))</f>
        <v/>
      </c>
      <c r="F1424" s="19"/>
      <c r="G1424" s="9" t="str">
        <f aca="false">IF(OR($B1424="",NOT(ISNUMBER($E1424))),"",$E1424-IF($F1424="",0,$F1424))</f>
        <v/>
      </c>
      <c r="H1424" s="15" t="str">
        <f aca="false">IF($B1424="","",IFERROR(INDEX(Services!$A$2:$A$120,MATCH($B1424,Services!$D$2:$D$120,0)),""))</f>
        <v/>
      </c>
      <c r="I1424" s="19"/>
      <c r="J1424" s="15" t="str">
        <f aca="false">IF($B1424="","",IFERROR(INDEX(Services!$E$2:$E$120,MATCH($B1424,Services!$D$2:$D$120,0)),""))</f>
        <v/>
      </c>
    </row>
    <row r="1425" customFormat="false" ht="14.25" hidden="false" customHeight="false" outlineLevel="0" collapsed="false">
      <c r="A1425" s="18"/>
      <c r="B1425" s="6"/>
      <c r="C1425" s="6"/>
      <c r="D1425" s="6"/>
      <c r="E1425" s="16" t="str">
        <f aca="false">IF($B1425="","",IFERROR(INDEX(Services!$C$2:$C$120,MATCH($B1425,Services!$D$2:$D$120,0)),""))</f>
        <v/>
      </c>
      <c r="F1425" s="19"/>
      <c r="G1425" s="9" t="str">
        <f aca="false">IF(OR($B1425="",NOT(ISNUMBER($E1425))),"",$E1425-IF($F1425="",0,$F1425))</f>
        <v/>
      </c>
      <c r="H1425" s="15" t="str">
        <f aca="false">IF($B1425="","",IFERROR(INDEX(Services!$A$2:$A$120,MATCH($B1425,Services!$D$2:$D$120,0)),""))</f>
        <v/>
      </c>
      <c r="I1425" s="19"/>
      <c r="J1425" s="15" t="str">
        <f aca="false">IF($B1425="","",IFERROR(INDEX(Services!$E$2:$E$120,MATCH($B1425,Services!$D$2:$D$120,0)),""))</f>
        <v/>
      </c>
    </row>
    <row r="1426" customFormat="false" ht="14.25" hidden="false" customHeight="false" outlineLevel="0" collapsed="false">
      <c r="A1426" s="18"/>
      <c r="B1426" s="6"/>
      <c r="C1426" s="6"/>
      <c r="D1426" s="6"/>
      <c r="E1426" s="16" t="str">
        <f aca="false">IF($B1426="","",IFERROR(INDEX(Services!$C$2:$C$120,MATCH($B1426,Services!$D$2:$D$120,0)),""))</f>
        <v/>
      </c>
      <c r="F1426" s="19"/>
      <c r="G1426" s="9" t="str">
        <f aca="false">IF(OR($B1426="",NOT(ISNUMBER($E1426))),"",$E1426-IF($F1426="",0,$F1426))</f>
        <v/>
      </c>
      <c r="H1426" s="15" t="str">
        <f aca="false">IF($B1426="","",IFERROR(INDEX(Services!$A$2:$A$120,MATCH($B1426,Services!$D$2:$D$120,0)),""))</f>
        <v/>
      </c>
      <c r="I1426" s="19"/>
      <c r="J1426" s="15" t="str">
        <f aca="false">IF($B1426="","",IFERROR(INDEX(Services!$E$2:$E$120,MATCH($B1426,Services!$D$2:$D$120,0)),""))</f>
        <v/>
      </c>
    </row>
    <row r="1427" customFormat="false" ht="14.25" hidden="false" customHeight="false" outlineLevel="0" collapsed="false">
      <c r="A1427" s="18"/>
      <c r="B1427" s="6"/>
      <c r="C1427" s="6"/>
      <c r="D1427" s="6"/>
      <c r="E1427" s="16" t="str">
        <f aca="false">IF($B1427="","",IFERROR(INDEX(Services!$C$2:$C$120,MATCH($B1427,Services!$D$2:$D$120,0)),""))</f>
        <v/>
      </c>
      <c r="F1427" s="19"/>
      <c r="G1427" s="9" t="str">
        <f aca="false">IF(OR($B1427="",NOT(ISNUMBER($E1427))),"",$E1427-IF($F1427="",0,$F1427))</f>
        <v/>
      </c>
      <c r="H1427" s="15" t="str">
        <f aca="false">IF($B1427="","",IFERROR(INDEX(Services!$A$2:$A$120,MATCH($B1427,Services!$D$2:$D$120,0)),""))</f>
        <v/>
      </c>
      <c r="I1427" s="19"/>
      <c r="J1427" s="15" t="str">
        <f aca="false">IF($B1427="","",IFERROR(INDEX(Services!$E$2:$E$120,MATCH($B1427,Services!$D$2:$D$120,0)),""))</f>
        <v/>
      </c>
    </row>
    <row r="1428" customFormat="false" ht="14.25" hidden="false" customHeight="false" outlineLevel="0" collapsed="false">
      <c r="A1428" s="18"/>
      <c r="B1428" s="6"/>
      <c r="C1428" s="6"/>
      <c r="D1428" s="6"/>
      <c r="E1428" s="16" t="str">
        <f aca="false">IF($B1428="","",IFERROR(INDEX(Services!$C$2:$C$120,MATCH($B1428,Services!$D$2:$D$120,0)),""))</f>
        <v/>
      </c>
      <c r="F1428" s="19"/>
      <c r="G1428" s="9" t="str">
        <f aca="false">IF(OR($B1428="",NOT(ISNUMBER($E1428))),"",$E1428-IF($F1428="",0,$F1428))</f>
        <v/>
      </c>
      <c r="H1428" s="15" t="str">
        <f aca="false">IF($B1428="","",IFERROR(INDEX(Services!$A$2:$A$120,MATCH($B1428,Services!$D$2:$D$120,0)),""))</f>
        <v/>
      </c>
      <c r="I1428" s="19"/>
      <c r="J1428" s="15" t="str">
        <f aca="false">IF($B1428="","",IFERROR(INDEX(Services!$E$2:$E$120,MATCH($B1428,Services!$D$2:$D$120,0)),""))</f>
        <v/>
      </c>
    </row>
    <row r="1429" customFormat="false" ht="14.25" hidden="false" customHeight="false" outlineLevel="0" collapsed="false">
      <c r="A1429" s="18"/>
      <c r="B1429" s="6"/>
      <c r="C1429" s="6"/>
      <c r="D1429" s="6"/>
      <c r="E1429" s="16" t="str">
        <f aca="false">IF($B1429="","",IFERROR(INDEX(Services!$C$2:$C$120,MATCH($B1429,Services!$D$2:$D$120,0)),""))</f>
        <v/>
      </c>
      <c r="F1429" s="19"/>
      <c r="G1429" s="9" t="str">
        <f aca="false">IF(OR($B1429="",NOT(ISNUMBER($E1429))),"",$E1429-IF($F1429="",0,$F1429))</f>
        <v/>
      </c>
      <c r="H1429" s="15" t="str">
        <f aca="false">IF($B1429="","",IFERROR(INDEX(Services!$A$2:$A$120,MATCH($B1429,Services!$D$2:$D$120,0)),""))</f>
        <v/>
      </c>
      <c r="I1429" s="19"/>
      <c r="J1429" s="15" t="str">
        <f aca="false">IF($B1429="","",IFERROR(INDEX(Services!$E$2:$E$120,MATCH($B1429,Services!$D$2:$D$120,0)),""))</f>
        <v/>
      </c>
    </row>
    <row r="1430" customFormat="false" ht="14.25" hidden="false" customHeight="false" outlineLevel="0" collapsed="false">
      <c r="A1430" s="18"/>
      <c r="B1430" s="6"/>
      <c r="C1430" s="6"/>
      <c r="D1430" s="6"/>
      <c r="E1430" s="16" t="str">
        <f aca="false">IF($B1430="","",IFERROR(INDEX(Services!$C$2:$C$120,MATCH($B1430,Services!$D$2:$D$120,0)),""))</f>
        <v/>
      </c>
      <c r="F1430" s="19"/>
      <c r="G1430" s="9" t="str">
        <f aca="false">IF(OR($B1430="",NOT(ISNUMBER($E1430))),"",$E1430-IF($F1430="",0,$F1430))</f>
        <v/>
      </c>
      <c r="H1430" s="15" t="str">
        <f aca="false">IF($B1430="","",IFERROR(INDEX(Services!$A$2:$A$120,MATCH($B1430,Services!$D$2:$D$120,0)),""))</f>
        <v/>
      </c>
      <c r="I1430" s="19"/>
      <c r="J1430" s="15" t="str">
        <f aca="false">IF($B1430="","",IFERROR(INDEX(Services!$E$2:$E$120,MATCH($B1430,Services!$D$2:$D$120,0)),""))</f>
        <v/>
      </c>
    </row>
    <row r="1431" customFormat="false" ht="14.25" hidden="false" customHeight="false" outlineLevel="0" collapsed="false">
      <c r="A1431" s="18"/>
      <c r="B1431" s="6"/>
      <c r="C1431" s="6"/>
      <c r="D1431" s="6"/>
      <c r="E1431" s="16" t="str">
        <f aca="false">IF($B1431="","",IFERROR(INDEX(Services!$C$2:$C$120,MATCH($B1431,Services!$D$2:$D$120,0)),""))</f>
        <v/>
      </c>
      <c r="F1431" s="19"/>
      <c r="G1431" s="9" t="str">
        <f aca="false">IF(OR($B1431="",NOT(ISNUMBER($E1431))),"",$E1431-IF($F1431="",0,$F1431))</f>
        <v/>
      </c>
      <c r="H1431" s="15" t="str">
        <f aca="false">IF($B1431="","",IFERROR(INDEX(Services!$A$2:$A$120,MATCH($B1431,Services!$D$2:$D$120,0)),""))</f>
        <v/>
      </c>
      <c r="I1431" s="19"/>
      <c r="J1431" s="15" t="str">
        <f aca="false">IF($B1431="","",IFERROR(INDEX(Services!$E$2:$E$120,MATCH($B1431,Services!$D$2:$D$120,0)),""))</f>
        <v/>
      </c>
    </row>
    <row r="1432" customFormat="false" ht="14.25" hidden="false" customHeight="false" outlineLevel="0" collapsed="false">
      <c r="A1432" s="18"/>
      <c r="B1432" s="6"/>
      <c r="C1432" s="6"/>
      <c r="D1432" s="6"/>
      <c r="E1432" s="16" t="str">
        <f aca="false">IF($B1432="","",IFERROR(INDEX(Services!$C$2:$C$120,MATCH($B1432,Services!$D$2:$D$120,0)),""))</f>
        <v/>
      </c>
      <c r="F1432" s="19"/>
      <c r="G1432" s="9" t="str">
        <f aca="false">IF(OR($B1432="",NOT(ISNUMBER($E1432))),"",$E1432-IF($F1432="",0,$F1432))</f>
        <v/>
      </c>
      <c r="H1432" s="15" t="str">
        <f aca="false">IF($B1432="","",IFERROR(INDEX(Services!$A$2:$A$120,MATCH($B1432,Services!$D$2:$D$120,0)),""))</f>
        <v/>
      </c>
      <c r="I1432" s="19"/>
      <c r="J1432" s="15" t="str">
        <f aca="false">IF($B1432="","",IFERROR(INDEX(Services!$E$2:$E$120,MATCH($B1432,Services!$D$2:$D$120,0)),""))</f>
        <v/>
      </c>
    </row>
    <row r="1433" customFormat="false" ht="14.25" hidden="false" customHeight="false" outlineLevel="0" collapsed="false">
      <c r="A1433" s="18"/>
      <c r="B1433" s="6"/>
      <c r="C1433" s="6"/>
      <c r="D1433" s="6"/>
      <c r="E1433" s="16" t="str">
        <f aca="false">IF($B1433="","",IFERROR(INDEX(Services!$C$2:$C$120,MATCH($B1433,Services!$D$2:$D$120,0)),""))</f>
        <v/>
      </c>
      <c r="F1433" s="19"/>
      <c r="G1433" s="9" t="str">
        <f aca="false">IF(OR($B1433="",NOT(ISNUMBER($E1433))),"",$E1433-IF($F1433="",0,$F1433))</f>
        <v/>
      </c>
      <c r="H1433" s="15" t="str">
        <f aca="false">IF($B1433="","",IFERROR(INDEX(Services!$A$2:$A$120,MATCH($B1433,Services!$D$2:$D$120,0)),""))</f>
        <v/>
      </c>
      <c r="I1433" s="19"/>
      <c r="J1433" s="15" t="str">
        <f aca="false">IF($B1433="","",IFERROR(INDEX(Services!$E$2:$E$120,MATCH($B1433,Services!$D$2:$D$120,0)),""))</f>
        <v/>
      </c>
    </row>
    <row r="1434" customFormat="false" ht="14.25" hidden="false" customHeight="false" outlineLevel="0" collapsed="false">
      <c r="A1434" s="18"/>
      <c r="B1434" s="6"/>
      <c r="C1434" s="6"/>
      <c r="D1434" s="6"/>
      <c r="E1434" s="16" t="str">
        <f aca="false">IF($B1434="","",IFERROR(INDEX(Services!$C$2:$C$120,MATCH($B1434,Services!$D$2:$D$120,0)),""))</f>
        <v/>
      </c>
      <c r="F1434" s="19"/>
      <c r="G1434" s="9" t="str">
        <f aca="false">IF(OR($B1434="",NOT(ISNUMBER($E1434))),"",$E1434-IF($F1434="",0,$F1434))</f>
        <v/>
      </c>
      <c r="H1434" s="15" t="str">
        <f aca="false">IF($B1434="","",IFERROR(INDEX(Services!$A$2:$A$120,MATCH($B1434,Services!$D$2:$D$120,0)),""))</f>
        <v/>
      </c>
      <c r="I1434" s="19"/>
      <c r="J1434" s="15" t="str">
        <f aca="false">IF($B1434="","",IFERROR(INDEX(Services!$E$2:$E$120,MATCH($B1434,Services!$D$2:$D$120,0)),""))</f>
        <v/>
      </c>
    </row>
    <row r="1435" customFormat="false" ht="14.25" hidden="false" customHeight="false" outlineLevel="0" collapsed="false">
      <c r="A1435" s="18"/>
      <c r="B1435" s="6"/>
      <c r="C1435" s="6"/>
      <c r="D1435" s="6"/>
      <c r="E1435" s="16" t="str">
        <f aca="false">IF($B1435="","",IFERROR(INDEX(Services!$C$2:$C$120,MATCH($B1435,Services!$D$2:$D$120,0)),""))</f>
        <v/>
      </c>
      <c r="F1435" s="19"/>
      <c r="G1435" s="9" t="str">
        <f aca="false">IF(OR($B1435="",NOT(ISNUMBER($E1435))),"",$E1435-IF($F1435="",0,$F1435))</f>
        <v/>
      </c>
      <c r="H1435" s="15" t="str">
        <f aca="false">IF($B1435="","",IFERROR(INDEX(Services!$A$2:$A$120,MATCH($B1435,Services!$D$2:$D$120,0)),""))</f>
        <v/>
      </c>
      <c r="I1435" s="19"/>
      <c r="J1435" s="15" t="str">
        <f aca="false">IF($B1435="","",IFERROR(INDEX(Services!$E$2:$E$120,MATCH($B1435,Services!$D$2:$D$120,0)),""))</f>
        <v/>
      </c>
    </row>
    <row r="1436" customFormat="false" ht="14.25" hidden="false" customHeight="false" outlineLevel="0" collapsed="false">
      <c r="A1436" s="18"/>
      <c r="B1436" s="6"/>
      <c r="C1436" s="6"/>
      <c r="D1436" s="6"/>
      <c r="E1436" s="16" t="str">
        <f aca="false">IF($B1436="","",IFERROR(INDEX(Services!$C$2:$C$120,MATCH($B1436,Services!$D$2:$D$120,0)),""))</f>
        <v/>
      </c>
      <c r="F1436" s="19"/>
      <c r="G1436" s="9" t="str">
        <f aca="false">IF(OR($B1436="",NOT(ISNUMBER($E1436))),"",$E1436-IF($F1436="",0,$F1436))</f>
        <v/>
      </c>
      <c r="H1436" s="15" t="str">
        <f aca="false">IF($B1436="","",IFERROR(INDEX(Services!$A$2:$A$120,MATCH($B1436,Services!$D$2:$D$120,0)),""))</f>
        <v/>
      </c>
      <c r="I1436" s="19"/>
      <c r="J1436" s="15" t="str">
        <f aca="false">IF($B1436="","",IFERROR(INDEX(Services!$E$2:$E$120,MATCH($B1436,Services!$D$2:$D$120,0)),""))</f>
        <v/>
      </c>
    </row>
    <row r="1437" customFormat="false" ht="14.25" hidden="false" customHeight="false" outlineLevel="0" collapsed="false">
      <c r="A1437" s="18"/>
      <c r="B1437" s="6"/>
      <c r="C1437" s="6"/>
      <c r="D1437" s="6"/>
      <c r="E1437" s="16" t="str">
        <f aca="false">IF($B1437="","",IFERROR(INDEX(Services!$C$2:$C$120,MATCH($B1437,Services!$D$2:$D$120,0)),""))</f>
        <v/>
      </c>
      <c r="F1437" s="19"/>
      <c r="G1437" s="9" t="str">
        <f aca="false">IF(OR($B1437="",NOT(ISNUMBER($E1437))),"",$E1437-IF($F1437="",0,$F1437))</f>
        <v/>
      </c>
      <c r="H1437" s="15" t="str">
        <f aca="false">IF($B1437="","",IFERROR(INDEX(Services!$A$2:$A$120,MATCH($B1437,Services!$D$2:$D$120,0)),""))</f>
        <v/>
      </c>
      <c r="I1437" s="19"/>
      <c r="J1437" s="15" t="str">
        <f aca="false">IF($B1437="","",IFERROR(INDEX(Services!$E$2:$E$120,MATCH($B1437,Services!$D$2:$D$120,0)),""))</f>
        <v/>
      </c>
    </row>
    <row r="1438" customFormat="false" ht="14.25" hidden="false" customHeight="false" outlineLevel="0" collapsed="false">
      <c r="A1438" s="18"/>
      <c r="B1438" s="6"/>
      <c r="C1438" s="6"/>
      <c r="D1438" s="6"/>
      <c r="E1438" s="16" t="str">
        <f aca="false">IF($B1438="","",IFERROR(INDEX(Services!$C$2:$C$120,MATCH($B1438,Services!$D$2:$D$120,0)),""))</f>
        <v/>
      </c>
      <c r="F1438" s="19"/>
      <c r="G1438" s="9" t="str">
        <f aca="false">IF(OR($B1438="",NOT(ISNUMBER($E1438))),"",$E1438-IF($F1438="",0,$F1438))</f>
        <v/>
      </c>
      <c r="H1438" s="15" t="str">
        <f aca="false">IF($B1438="","",IFERROR(INDEX(Services!$A$2:$A$120,MATCH($B1438,Services!$D$2:$D$120,0)),""))</f>
        <v/>
      </c>
      <c r="I1438" s="19"/>
      <c r="J1438" s="15" t="str">
        <f aca="false">IF($B1438="","",IFERROR(INDEX(Services!$E$2:$E$120,MATCH($B1438,Services!$D$2:$D$120,0)),""))</f>
        <v/>
      </c>
    </row>
    <row r="1439" customFormat="false" ht="14.25" hidden="false" customHeight="false" outlineLevel="0" collapsed="false">
      <c r="A1439" s="18"/>
      <c r="B1439" s="6"/>
      <c r="C1439" s="6"/>
      <c r="D1439" s="6"/>
      <c r="E1439" s="16" t="str">
        <f aca="false">IF($B1439="","",IFERROR(INDEX(Services!$C$2:$C$120,MATCH($B1439,Services!$D$2:$D$120,0)),""))</f>
        <v/>
      </c>
      <c r="F1439" s="19"/>
      <c r="G1439" s="9" t="str">
        <f aca="false">IF(OR($B1439="",NOT(ISNUMBER($E1439))),"",$E1439-IF($F1439="",0,$F1439))</f>
        <v/>
      </c>
      <c r="H1439" s="15" t="str">
        <f aca="false">IF($B1439="","",IFERROR(INDEX(Services!$A$2:$A$120,MATCH($B1439,Services!$D$2:$D$120,0)),""))</f>
        <v/>
      </c>
      <c r="I1439" s="19"/>
      <c r="J1439" s="15" t="str">
        <f aca="false">IF($B1439="","",IFERROR(INDEX(Services!$E$2:$E$120,MATCH($B1439,Services!$D$2:$D$120,0)),""))</f>
        <v/>
      </c>
    </row>
    <row r="1440" customFormat="false" ht="14.25" hidden="false" customHeight="false" outlineLevel="0" collapsed="false">
      <c r="A1440" s="18"/>
      <c r="B1440" s="6"/>
      <c r="C1440" s="6"/>
      <c r="D1440" s="6"/>
      <c r="E1440" s="16" t="str">
        <f aca="false">IF($B1440="","",IFERROR(INDEX(Services!$C$2:$C$120,MATCH($B1440,Services!$D$2:$D$120,0)),""))</f>
        <v/>
      </c>
      <c r="F1440" s="19"/>
      <c r="G1440" s="9" t="str">
        <f aca="false">IF(OR($B1440="",NOT(ISNUMBER($E1440))),"",$E1440-IF($F1440="",0,$F1440))</f>
        <v/>
      </c>
      <c r="H1440" s="15" t="str">
        <f aca="false">IF($B1440="","",IFERROR(INDEX(Services!$A$2:$A$120,MATCH($B1440,Services!$D$2:$D$120,0)),""))</f>
        <v/>
      </c>
      <c r="I1440" s="19"/>
      <c r="J1440" s="15" t="str">
        <f aca="false">IF($B1440="","",IFERROR(INDEX(Services!$E$2:$E$120,MATCH($B1440,Services!$D$2:$D$120,0)),""))</f>
        <v/>
      </c>
    </row>
    <row r="1441" customFormat="false" ht="14.25" hidden="false" customHeight="false" outlineLevel="0" collapsed="false">
      <c r="A1441" s="18"/>
      <c r="B1441" s="6"/>
      <c r="C1441" s="6"/>
      <c r="D1441" s="6"/>
      <c r="E1441" s="16" t="str">
        <f aca="false">IF($B1441="","",IFERROR(INDEX(Services!$C$2:$C$120,MATCH($B1441,Services!$D$2:$D$120,0)),""))</f>
        <v/>
      </c>
      <c r="F1441" s="19"/>
      <c r="G1441" s="9" t="str">
        <f aca="false">IF(OR($B1441="",NOT(ISNUMBER($E1441))),"",$E1441-IF($F1441="",0,$F1441))</f>
        <v/>
      </c>
      <c r="H1441" s="15" t="str">
        <f aca="false">IF($B1441="","",IFERROR(INDEX(Services!$A$2:$A$120,MATCH($B1441,Services!$D$2:$D$120,0)),""))</f>
        <v/>
      </c>
      <c r="I1441" s="19"/>
      <c r="J1441" s="15" t="str">
        <f aca="false">IF($B1441="","",IFERROR(INDEX(Services!$E$2:$E$120,MATCH($B1441,Services!$D$2:$D$120,0)),""))</f>
        <v/>
      </c>
    </row>
    <row r="1442" customFormat="false" ht="14.25" hidden="false" customHeight="false" outlineLevel="0" collapsed="false">
      <c r="A1442" s="18"/>
      <c r="B1442" s="6"/>
      <c r="C1442" s="6"/>
      <c r="D1442" s="6"/>
      <c r="E1442" s="16" t="str">
        <f aca="false">IF($B1442="","",IFERROR(INDEX(Services!$C$2:$C$120,MATCH($B1442,Services!$D$2:$D$120,0)),""))</f>
        <v/>
      </c>
      <c r="F1442" s="19"/>
      <c r="G1442" s="9" t="str">
        <f aca="false">IF(OR($B1442="",NOT(ISNUMBER($E1442))),"",$E1442-IF($F1442="",0,$F1442))</f>
        <v/>
      </c>
      <c r="H1442" s="15" t="str">
        <f aca="false">IF($B1442="","",IFERROR(INDEX(Services!$A$2:$A$120,MATCH($B1442,Services!$D$2:$D$120,0)),""))</f>
        <v/>
      </c>
      <c r="I1442" s="19"/>
      <c r="J1442" s="15" t="str">
        <f aca="false">IF($B1442="","",IFERROR(INDEX(Services!$E$2:$E$120,MATCH($B1442,Services!$D$2:$D$120,0)),""))</f>
        <v/>
      </c>
    </row>
    <row r="1443" customFormat="false" ht="14.25" hidden="false" customHeight="false" outlineLevel="0" collapsed="false">
      <c r="A1443" s="18"/>
      <c r="B1443" s="6"/>
      <c r="C1443" s="6"/>
      <c r="D1443" s="6"/>
      <c r="E1443" s="16" t="str">
        <f aca="false">IF($B1443="","",IFERROR(INDEX(Services!$C$2:$C$120,MATCH($B1443,Services!$D$2:$D$120,0)),""))</f>
        <v/>
      </c>
      <c r="F1443" s="19"/>
      <c r="G1443" s="9" t="str">
        <f aca="false">IF(OR($B1443="",NOT(ISNUMBER($E1443))),"",$E1443-IF($F1443="",0,$F1443))</f>
        <v/>
      </c>
      <c r="H1443" s="15" t="str">
        <f aca="false">IF($B1443="","",IFERROR(INDEX(Services!$A$2:$A$120,MATCH($B1443,Services!$D$2:$D$120,0)),""))</f>
        <v/>
      </c>
      <c r="I1443" s="19"/>
      <c r="J1443" s="15" t="str">
        <f aca="false">IF($B1443="","",IFERROR(INDEX(Services!$E$2:$E$120,MATCH($B1443,Services!$D$2:$D$120,0)),""))</f>
        <v/>
      </c>
    </row>
    <row r="1444" customFormat="false" ht="14.25" hidden="false" customHeight="false" outlineLevel="0" collapsed="false">
      <c r="A1444" s="18"/>
      <c r="B1444" s="6"/>
      <c r="C1444" s="6"/>
      <c r="D1444" s="6"/>
      <c r="E1444" s="16" t="str">
        <f aca="false">IF($B1444="","",IFERROR(INDEX(Services!$C$2:$C$120,MATCH($B1444,Services!$D$2:$D$120,0)),""))</f>
        <v/>
      </c>
      <c r="F1444" s="19"/>
      <c r="G1444" s="9" t="str">
        <f aca="false">IF(OR($B1444="",NOT(ISNUMBER($E1444))),"",$E1444-IF($F1444="",0,$F1444))</f>
        <v/>
      </c>
      <c r="H1444" s="15" t="str">
        <f aca="false">IF($B1444="","",IFERROR(INDEX(Services!$A$2:$A$120,MATCH($B1444,Services!$D$2:$D$120,0)),""))</f>
        <v/>
      </c>
      <c r="I1444" s="19"/>
      <c r="J1444" s="15" t="str">
        <f aca="false">IF($B1444="","",IFERROR(INDEX(Services!$E$2:$E$120,MATCH($B1444,Services!$D$2:$D$120,0)),""))</f>
        <v/>
      </c>
    </row>
    <row r="1445" customFormat="false" ht="14.25" hidden="false" customHeight="false" outlineLevel="0" collapsed="false">
      <c r="A1445" s="18"/>
      <c r="B1445" s="6"/>
      <c r="C1445" s="6"/>
      <c r="D1445" s="6"/>
      <c r="E1445" s="16" t="str">
        <f aca="false">IF($B1445="","",IFERROR(INDEX(Services!$C$2:$C$120,MATCH($B1445,Services!$D$2:$D$120,0)),""))</f>
        <v/>
      </c>
      <c r="F1445" s="19"/>
      <c r="G1445" s="9" t="str">
        <f aca="false">IF(OR($B1445="",NOT(ISNUMBER($E1445))),"",$E1445-IF($F1445="",0,$F1445))</f>
        <v/>
      </c>
      <c r="H1445" s="15" t="str">
        <f aca="false">IF($B1445="","",IFERROR(INDEX(Services!$A$2:$A$120,MATCH($B1445,Services!$D$2:$D$120,0)),""))</f>
        <v/>
      </c>
      <c r="I1445" s="19"/>
      <c r="J1445" s="15" t="str">
        <f aca="false">IF($B1445="","",IFERROR(INDEX(Services!$E$2:$E$120,MATCH($B1445,Services!$D$2:$D$120,0)),""))</f>
        <v/>
      </c>
    </row>
    <row r="1446" customFormat="false" ht="14.25" hidden="false" customHeight="false" outlineLevel="0" collapsed="false">
      <c r="A1446" s="18"/>
      <c r="B1446" s="6"/>
      <c r="C1446" s="6"/>
      <c r="D1446" s="6"/>
      <c r="E1446" s="16" t="str">
        <f aca="false">IF($B1446="","",IFERROR(INDEX(Services!$C$2:$C$120,MATCH($B1446,Services!$D$2:$D$120,0)),""))</f>
        <v/>
      </c>
      <c r="F1446" s="19"/>
      <c r="G1446" s="9" t="str">
        <f aca="false">IF(OR($B1446="",NOT(ISNUMBER($E1446))),"",$E1446-IF($F1446="",0,$F1446))</f>
        <v/>
      </c>
      <c r="H1446" s="15" t="str">
        <f aca="false">IF($B1446="","",IFERROR(INDEX(Services!$A$2:$A$120,MATCH($B1446,Services!$D$2:$D$120,0)),""))</f>
        <v/>
      </c>
      <c r="I1446" s="19"/>
      <c r="J1446" s="15" t="str">
        <f aca="false">IF($B1446="","",IFERROR(INDEX(Services!$E$2:$E$120,MATCH($B1446,Services!$D$2:$D$120,0)),""))</f>
        <v/>
      </c>
    </row>
    <row r="1447" customFormat="false" ht="14.25" hidden="false" customHeight="false" outlineLevel="0" collapsed="false">
      <c r="A1447" s="18"/>
      <c r="B1447" s="6"/>
      <c r="C1447" s="6"/>
      <c r="D1447" s="6"/>
      <c r="E1447" s="16" t="str">
        <f aca="false">IF($B1447="","",IFERROR(INDEX(Services!$C$2:$C$120,MATCH($B1447,Services!$D$2:$D$120,0)),""))</f>
        <v/>
      </c>
      <c r="F1447" s="19"/>
      <c r="G1447" s="9" t="str">
        <f aca="false">IF(OR($B1447="",NOT(ISNUMBER($E1447))),"",$E1447-IF($F1447="",0,$F1447))</f>
        <v/>
      </c>
      <c r="H1447" s="15" t="str">
        <f aca="false">IF($B1447="","",IFERROR(INDEX(Services!$A$2:$A$120,MATCH($B1447,Services!$D$2:$D$120,0)),""))</f>
        <v/>
      </c>
      <c r="I1447" s="19"/>
      <c r="J1447" s="15" t="str">
        <f aca="false">IF($B1447="","",IFERROR(INDEX(Services!$E$2:$E$120,MATCH($B1447,Services!$D$2:$D$120,0)),""))</f>
        <v/>
      </c>
    </row>
    <row r="1448" customFormat="false" ht="14.25" hidden="false" customHeight="false" outlineLevel="0" collapsed="false">
      <c r="A1448" s="18"/>
      <c r="B1448" s="6"/>
      <c r="C1448" s="6"/>
      <c r="D1448" s="6"/>
      <c r="E1448" s="16" t="str">
        <f aca="false">IF($B1448="","",IFERROR(INDEX(Services!$C$2:$C$120,MATCH($B1448,Services!$D$2:$D$120,0)),""))</f>
        <v/>
      </c>
      <c r="F1448" s="19"/>
      <c r="G1448" s="9" t="str">
        <f aca="false">IF(OR($B1448="",NOT(ISNUMBER($E1448))),"",$E1448-IF($F1448="",0,$F1448))</f>
        <v/>
      </c>
      <c r="H1448" s="15" t="str">
        <f aca="false">IF($B1448="","",IFERROR(INDEX(Services!$A$2:$A$120,MATCH($B1448,Services!$D$2:$D$120,0)),""))</f>
        <v/>
      </c>
      <c r="I1448" s="19"/>
      <c r="J1448" s="15" t="str">
        <f aca="false">IF($B1448="","",IFERROR(INDEX(Services!$E$2:$E$120,MATCH($B1448,Services!$D$2:$D$120,0)),""))</f>
        <v/>
      </c>
    </row>
    <row r="1449" customFormat="false" ht="14.25" hidden="false" customHeight="false" outlineLevel="0" collapsed="false">
      <c r="A1449" s="18"/>
      <c r="B1449" s="6"/>
      <c r="C1449" s="6"/>
      <c r="D1449" s="6"/>
      <c r="E1449" s="16" t="str">
        <f aca="false">IF($B1449="","",IFERROR(INDEX(Services!$C$2:$C$120,MATCH($B1449,Services!$D$2:$D$120,0)),""))</f>
        <v/>
      </c>
      <c r="F1449" s="19"/>
      <c r="G1449" s="9" t="str">
        <f aca="false">IF(OR($B1449="",NOT(ISNUMBER($E1449))),"",$E1449-IF($F1449="",0,$F1449))</f>
        <v/>
      </c>
      <c r="H1449" s="15" t="str">
        <f aca="false">IF($B1449="","",IFERROR(INDEX(Services!$A$2:$A$120,MATCH($B1449,Services!$D$2:$D$120,0)),""))</f>
        <v/>
      </c>
      <c r="I1449" s="19"/>
      <c r="J1449" s="15" t="str">
        <f aca="false">IF($B1449="","",IFERROR(INDEX(Services!$E$2:$E$120,MATCH($B1449,Services!$D$2:$D$120,0)),""))</f>
        <v/>
      </c>
    </row>
    <row r="1450" customFormat="false" ht="14.25" hidden="false" customHeight="false" outlineLevel="0" collapsed="false">
      <c r="A1450" s="18"/>
      <c r="B1450" s="6"/>
      <c r="C1450" s="6"/>
      <c r="D1450" s="6"/>
      <c r="E1450" s="16" t="str">
        <f aca="false">IF($B1450="","",IFERROR(INDEX(Services!$C$2:$C$120,MATCH($B1450,Services!$D$2:$D$120,0)),""))</f>
        <v/>
      </c>
      <c r="F1450" s="19"/>
      <c r="G1450" s="9" t="str">
        <f aca="false">IF(OR($B1450="",NOT(ISNUMBER($E1450))),"",$E1450-IF($F1450="",0,$F1450))</f>
        <v/>
      </c>
      <c r="H1450" s="15" t="str">
        <f aca="false">IF($B1450="","",IFERROR(INDEX(Services!$A$2:$A$120,MATCH($B1450,Services!$D$2:$D$120,0)),""))</f>
        <v/>
      </c>
      <c r="I1450" s="19"/>
      <c r="J1450" s="15" t="str">
        <f aca="false">IF($B1450="","",IFERROR(INDEX(Services!$E$2:$E$120,MATCH($B1450,Services!$D$2:$D$120,0)),""))</f>
        <v/>
      </c>
    </row>
    <row r="1451" customFormat="false" ht="14.25" hidden="false" customHeight="false" outlineLevel="0" collapsed="false">
      <c r="A1451" s="18"/>
      <c r="B1451" s="6"/>
      <c r="C1451" s="6"/>
      <c r="D1451" s="6"/>
      <c r="E1451" s="16" t="str">
        <f aca="false">IF($B1451="","",IFERROR(INDEX(Services!$C$2:$C$120,MATCH($B1451,Services!$D$2:$D$120,0)),""))</f>
        <v/>
      </c>
      <c r="F1451" s="19"/>
      <c r="G1451" s="9" t="str">
        <f aca="false">IF(OR($B1451="",NOT(ISNUMBER($E1451))),"",$E1451-IF($F1451="",0,$F1451))</f>
        <v/>
      </c>
      <c r="H1451" s="15" t="str">
        <f aca="false">IF($B1451="","",IFERROR(INDEX(Services!$A$2:$A$120,MATCH($B1451,Services!$D$2:$D$120,0)),""))</f>
        <v/>
      </c>
      <c r="I1451" s="19"/>
      <c r="J1451" s="15" t="str">
        <f aca="false">IF($B1451="","",IFERROR(INDEX(Services!$E$2:$E$120,MATCH($B1451,Services!$D$2:$D$120,0)),""))</f>
        <v/>
      </c>
    </row>
    <row r="1452" customFormat="false" ht="14.25" hidden="false" customHeight="false" outlineLevel="0" collapsed="false">
      <c r="A1452" s="18"/>
      <c r="B1452" s="6"/>
      <c r="C1452" s="6"/>
      <c r="D1452" s="6"/>
      <c r="E1452" s="16" t="str">
        <f aca="false">IF($B1452="","",IFERROR(INDEX(Services!$C$2:$C$120,MATCH($B1452,Services!$D$2:$D$120,0)),""))</f>
        <v/>
      </c>
      <c r="F1452" s="19"/>
      <c r="G1452" s="9" t="str">
        <f aca="false">IF(OR($B1452="",NOT(ISNUMBER($E1452))),"",$E1452-IF($F1452="",0,$F1452))</f>
        <v/>
      </c>
      <c r="H1452" s="15" t="str">
        <f aca="false">IF($B1452="","",IFERROR(INDEX(Services!$A$2:$A$120,MATCH($B1452,Services!$D$2:$D$120,0)),""))</f>
        <v/>
      </c>
      <c r="I1452" s="19"/>
      <c r="J1452" s="15" t="str">
        <f aca="false">IF($B1452="","",IFERROR(INDEX(Services!$E$2:$E$120,MATCH($B1452,Services!$D$2:$D$120,0)),""))</f>
        <v/>
      </c>
    </row>
    <row r="1453" customFormat="false" ht="14.25" hidden="false" customHeight="false" outlineLevel="0" collapsed="false">
      <c r="A1453" s="18"/>
      <c r="B1453" s="6"/>
      <c r="C1453" s="6"/>
      <c r="D1453" s="6"/>
      <c r="E1453" s="16" t="str">
        <f aca="false">IF($B1453="","",IFERROR(INDEX(Services!$C$2:$C$120,MATCH($B1453,Services!$D$2:$D$120,0)),""))</f>
        <v/>
      </c>
      <c r="F1453" s="19"/>
      <c r="G1453" s="9" t="str">
        <f aca="false">IF(OR($B1453="",NOT(ISNUMBER($E1453))),"",$E1453-IF($F1453="",0,$F1453))</f>
        <v/>
      </c>
      <c r="H1453" s="15" t="str">
        <f aca="false">IF($B1453="","",IFERROR(INDEX(Services!$A$2:$A$120,MATCH($B1453,Services!$D$2:$D$120,0)),""))</f>
        <v/>
      </c>
      <c r="I1453" s="19"/>
      <c r="J1453" s="15" t="str">
        <f aca="false">IF($B1453="","",IFERROR(INDEX(Services!$E$2:$E$120,MATCH($B1453,Services!$D$2:$D$120,0)),""))</f>
        <v/>
      </c>
    </row>
    <row r="1454" customFormat="false" ht="14.25" hidden="false" customHeight="false" outlineLevel="0" collapsed="false">
      <c r="A1454" s="18"/>
      <c r="B1454" s="6"/>
      <c r="C1454" s="6"/>
      <c r="D1454" s="6"/>
      <c r="E1454" s="16" t="str">
        <f aca="false">IF($B1454="","",IFERROR(INDEX(Services!$C$2:$C$120,MATCH($B1454,Services!$D$2:$D$120,0)),""))</f>
        <v/>
      </c>
      <c r="F1454" s="19"/>
      <c r="G1454" s="9" t="str">
        <f aca="false">IF(OR($B1454="",NOT(ISNUMBER($E1454))),"",$E1454-IF($F1454="",0,$F1454))</f>
        <v/>
      </c>
      <c r="H1454" s="15" t="str">
        <f aca="false">IF($B1454="","",IFERROR(INDEX(Services!$A$2:$A$120,MATCH($B1454,Services!$D$2:$D$120,0)),""))</f>
        <v/>
      </c>
      <c r="I1454" s="19"/>
      <c r="J1454" s="15" t="str">
        <f aca="false">IF($B1454="","",IFERROR(INDEX(Services!$E$2:$E$120,MATCH($B1454,Services!$D$2:$D$120,0)),""))</f>
        <v/>
      </c>
    </row>
    <row r="1455" customFormat="false" ht="14.25" hidden="false" customHeight="false" outlineLevel="0" collapsed="false">
      <c r="A1455" s="18"/>
      <c r="B1455" s="6"/>
      <c r="C1455" s="6"/>
      <c r="D1455" s="6"/>
      <c r="E1455" s="16" t="str">
        <f aca="false">IF($B1455="","",IFERROR(INDEX(Services!$C$2:$C$120,MATCH($B1455,Services!$D$2:$D$120,0)),""))</f>
        <v/>
      </c>
      <c r="F1455" s="19"/>
      <c r="G1455" s="9" t="str">
        <f aca="false">IF(OR($B1455="",NOT(ISNUMBER($E1455))),"",$E1455-IF($F1455="",0,$F1455))</f>
        <v/>
      </c>
      <c r="H1455" s="15" t="str">
        <f aca="false">IF($B1455="","",IFERROR(INDEX(Services!$A$2:$A$120,MATCH($B1455,Services!$D$2:$D$120,0)),""))</f>
        <v/>
      </c>
      <c r="I1455" s="19"/>
      <c r="J1455" s="15" t="str">
        <f aca="false">IF($B1455="","",IFERROR(INDEX(Services!$E$2:$E$120,MATCH($B1455,Services!$D$2:$D$120,0)),""))</f>
        <v/>
      </c>
    </row>
    <row r="1456" customFormat="false" ht="14.25" hidden="false" customHeight="false" outlineLevel="0" collapsed="false">
      <c r="A1456" s="18"/>
      <c r="B1456" s="6"/>
      <c r="C1456" s="6"/>
      <c r="D1456" s="6"/>
      <c r="E1456" s="16" t="str">
        <f aca="false">IF($B1456="","",IFERROR(INDEX(Services!$C$2:$C$120,MATCH($B1456,Services!$D$2:$D$120,0)),""))</f>
        <v/>
      </c>
      <c r="F1456" s="19"/>
      <c r="G1456" s="9" t="str">
        <f aca="false">IF(OR($B1456="",NOT(ISNUMBER($E1456))),"",$E1456-IF($F1456="",0,$F1456))</f>
        <v/>
      </c>
      <c r="H1456" s="15" t="str">
        <f aca="false">IF($B1456="","",IFERROR(INDEX(Services!$A$2:$A$120,MATCH($B1456,Services!$D$2:$D$120,0)),""))</f>
        <v/>
      </c>
      <c r="I1456" s="19"/>
      <c r="J1456" s="15" t="str">
        <f aca="false">IF($B1456="","",IFERROR(INDEX(Services!$E$2:$E$120,MATCH($B1456,Services!$D$2:$D$120,0)),""))</f>
        <v/>
      </c>
    </row>
    <row r="1457" customFormat="false" ht="14.25" hidden="false" customHeight="false" outlineLevel="0" collapsed="false">
      <c r="A1457" s="18"/>
      <c r="B1457" s="6"/>
      <c r="C1457" s="6"/>
      <c r="D1457" s="6"/>
      <c r="E1457" s="16" t="str">
        <f aca="false">IF($B1457="","",IFERROR(INDEX(Services!$C$2:$C$120,MATCH($B1457,Services!$D$2:$D$120,0)),""))</f>
        <v/>
      </c>
      <c r="F1457" s="19"/>
      <c r="G1457" s="9" t="str">
        <f aca="false">IF(OR($B1457="",NOT(ISNUMBER($E1457))),"",$E1457-IF($F1457="",0,$F1457))</f>
        <v/>
      </c>
      <c r="H1457" s="15" t="str">
        <f aca="false">IF($B1457="","",IFERROR(INDEX(Services!$A$2:$A$120,MATCH($B1457,Services!$D$2:$D$120,0)),""))</f>
        <v/>
      </c>
      <c r="I1457" s="19"/>
      <c r="J1457" s="15" t="str">
        <f aca="false">IF($B1457="","",IFERROR(INDEX(Services!$E$2:$E$120,MATCH($B1457,Services!$D$2:$D$120,0)),""))</f>
        <v/>
      </c>
    </row>
    <row r="1458" customFormat="false" ht="14.25" hidden="false" customHeight="false" outlineLevel="0" collapsed="false">
      <c r="A1458" s="18"/>
      <c r="B1458" s="6"/>
      <c r="C1458" s="6"/>
      <c r="D1458" s="6"/>
      <c r="E1458" s="16" t="str">
        <f aca="false">IF($B1458="","",IFERROR(INDEX(Services!$C$2:$C$120,MATCH($B1458,Services!$D$2:$D$120,0)),""))</f>
        <v/>
      </c>
      <c r="F1458" s="19"/>
      <c r="G1458" s="9" t="str">
        <f aca="false">IF(OR($B1458="",NOT(ISNUMBER($E1458))),"",$E1458-IF($F1458="",0,$F1458))</f>
        <v/>
      </c>
      <c r="H1458" s="15" t="str">
        <f aca="false">IF($B1458="","",IFERROR(INDEX(Services!$A$2:$A$120,MATCH($B1458,Services!$D$2:$D$120,0)),""))</f>
        <v/>
      </c>
      <c r="I1458" s="19"/>
      <c r="J1458" s="15" t="str">
        <f aca="false">IF($B1458="","",IFERROR(INDEX(Services!$E$2:$E$120,MATCH($B1458,Services!$D$2:$D$120,0)),""))</f>
        <v/>
      </c>
    </row>
    <row r="1459" customFormat="false" ht="14.25" hidden="false" customHeight="false" outlineLevel="0" collapsed="false">
      <c r="A1459" s="18"/>
      <c r="B1459" s="6"/>
      <c r="C1459" s="6"/>
      <c r="D1459" s="6"/>
      <c r="E1459" s="16" t="str">
        <f aca="false">IF($B1459="","",IFERROR(INDEX(Services!$C$2:$C$120,MATCH($B1459,Services!$D$2:$D$120,0)),""))</f>
        <v/>
      </c>
      <c r="F1459" s="19"/>
      <c r="G1459" s="9" t="str">
        <f aca="false">IF(OR($B1459="",NOT(ISNUMBER($E1459))),"",$E1459-IF($F1459="",0,$F1459))</f>
        <v/>
      </c>
      <c r="H1459" s="15" t="str">
        <f aca="false">IF($B1459="","",IFERROR(INDEX(Services!$A$2:$A$120,MATCH($B1459,Services!$D$2:$D$120,0)),""))</f>
        <v/>
      </c>
      <c r="I1459" s="19"/>
      <c r="J1459" s="15" t="str">
        <f aca="false">IF($B1459="","",IFERROR(INDEX(Services!$E$2:$E$120,MATCH($B1459,Services!$D$2:$D$120,0)),""))</f>
        <v/>
      </c>
    </row>
    <row r="1460" customFormat="false" ht="14.25" hidden="false" customHeight="false" outlineLevel="0" collapsed="false">
      <c r="A1460" s="18"/>
      <c r="B1460" s="6"/>
      <c r="C1460" s="6"/>
      <c r="D1460" s="6"/>
      <c r="E1460" s="16" t="str">
        <f aca="false">IF($B1460="","",IFERROR(INDEX(Services!$C$2:$C$120,MATCH($B1460,Services!$D$2:$D$120,0)),""))</f>
        <v/>
      </c>
      <c r="F1460" s="19"/>
      <c r="G1460" s="9" t="str">
        <f aca="false">IF(OR($B1460="",NOT(ISNUMBER($E1460))),"",$E1460-IF($F1460="",0,$F1460))</f>
        <v/>
      </c>
      <c r="H1460" s="15" t="str">
        <f aca="false">IF($B1460="","",IFERROR(INDEX(Services!$A$2:$A$120,MATCH($B1460,Services!$D$2:$D$120,0)),""))</f>
        <v/>
      </c>
      <c r="I1460" s="19"/>
      <c r="J1460" s="15" t="str">
        <f aca="false">IF($B1460="","",IFERROR(INDEX(Services!$E$2:$E$120,MATCH($B1460,Services!$D$2:$D$120,0)),""))</f>
        <v/>
      </c>
    </row>
    <row r="1461" customFormat="false" ht="14.25" hidden="false" customHeight="false" outlineLevel="0" collapsed="false">
      <c r="A1461" s="18"/>
      <c r="B1461" s="6"/>
      <c r="C1461" s="6"/>
      <c r="D1461" s="6"/>
      <c r="E1461" s="16" t="str">
        <f aca="false">IF($B1461="","",IFERROR(INDEX(Services!$C$2:$C$120,MATCH($B1461,Services!$D$2:$D$120,0)),""))</f>
        <v/>
      </c>
      <c r="F1461" s="19"/>
      <c r="G1461" s="9" t="str">
        <f aca="false">IF(OR($B1461="",NOT(ISNUMBER($E1461))),"",$E1461-IF($F1461="",0,$F1461))</f>
        <v/>
      </c>
      <c r="H1461" s="15" t="str">
        <f aca="false">IF($B1461="","",IFERROR(INDEX(Services!$A$2:$A$120,MATCH($B1461,Services!$D$2:$D$120,0)),""))</f>
        <v/>
      </c>
      <c r="I1461" s="19"/>
      <c r="J1461" s="15" t="str">
        <f aca="false">IF($B1461="","",IFERROR(INDEX(Services!$E$2:$E$120,MATCH($B1461,Services!$D$2:$D$120,0)),""))</f>
        <v/>
      </c>
    </row>
    <row r="1462" customFormat="false" ht="14.25" hidden="false" customHeight="false" outlineLevel="0" collapsed="false">
      <c r="A1462" s="18"/>
      <c r="B1462" s="6"/>
      <c r="C1462" s="6"/>
      <c r="D1462" s="6"/>
      <c r="E1462" s="16" t="str">
        <f aca="false">IF($B1462="","",IFERROR(INDEX(Services!$C$2:$C$120,MATCH($B1462,Services!$D$2:$D$120,0)),""))</f>
        <v/>
      </c>
      <c r="F1462" s="19"/>
      <c r="G1462" s="9" t="str">
        <f aca="false">IF(OR($B1462="",NOT(ISNUMBER($E1462))),"",$E1462-IF($F1462="",0,$F1462))</f>
        <v/>
      </c>
      <c r="H1462" s="15" t="str">
        <f aca="false">IF($B1462="","",IFERROR(INDEX(Services!$A$2:$A$120,MATCH($B1462,Services!$D$2:$D$120,0)),""))</f>
        <v/>
      </c>
      <c r="I1462" s="19"/>
      <c r="J1462" s="15" t="str">
        <f aca="false">IF($B1462="","",IFERROR(INDEX(Services!$E$2:$E$120,MATCH($B1462,Services!$D$2:$D$120,0)),""))</f>
        <v/>
      </c>
    </row>
    <row r="1463" customFormat="false" ht="14.25" hidden="false" customHeight="false" outlineLevel="0" collapsed="false">
      <c r="A1463" s="18"/>
      <c r="B1463" s="6"/>
      <c r="C1463" s="6"/>
      <c r="D1463" s="6"/>
      <c r="E1463" s="16" t="str">
        <f aca="false">IF($B1463="","",IFERROR(INDEX(Services!$C$2:$C$120,MATCH($B1463,Services!$D$2:$D$120,0)),""))</f>
        <v/>
      </c>
      <c r="F1463" s="19"/>
      <c r="G1463" s="9" t="str">
        <f aca="false">IF(OR($B1463="",NOT(ISNUMBER($E1463))),"",$E1463-IF($F1463="",0,$F1463))</f>
        <v/>
      </c>
      <c r="H1463" s="15" t="str">
        <f aca="false">IF($B1463="","",IFERROR(INDEX(Services!$A$2:$A$120,MATCH($B1463,Services!$D$2:$D$120,0)),""))</f>
        <v/>
      </c>
      <c r="I1463" s="19"/>
      <c r="J1463" s="15" t="str">
        <f aca="false">IF($B1463="","",IFERROR(INDEX(Services!$E$2:$E$120,MATCH($B1463,Services!$D$2:$D$120,0)),""))</f>
        <v/>
      </c>
    </row>
    <row r="1464" customFormat="false" ht="14.25" hidden="false" customHeight="false" outlineLevel="0" collapsed="false">
      <c r="A1464" s="18"/>
      <c r="B1464" s="6"/>
      <c r="C1464" s="6"/>
      <c r="D1464" s="6"/>
      <c r="E1464" s="16" t="str">
        <f aca="false">IF($B1464="","",IFERROR(INDEX(Services!$C$2:$C$120,MATCH($B1464,Services!$D$2:$D$120,0)),""))</f>
        <v/>
      </c>
      <c r="F1464" s="19"/>
      <c r="G1464" s="9" t="str">
        <f aca="false">IF(OR($B1464="",NOT(ISNUMBER($E1464))),"",$E1464-IF($F1464="",0,$F1464))</f>
        <v/>
      </c>
      <c r="H1464" s="15" t="str">
        <f aca="false">IF($B1464="","",IFERROR(INDEX(Services!$A$2:$A$120,MATCH($B1464,Services!$D$2:$D$120,0)),""))</f>
        <v/>
      </c>
      <c r="I1464" s="19"/>
      <c r="J1464" s="15" t="str">
        <f aca="false">IF($B1464="","",IFERROR(INDEX(Services!$E$2:$E$120,MATCH($B1464,Services!$D$2:$D$120,0)),""))</f>
        <v/>
      </c>
    </row>
    <row r="1465" customFormat="false" ht="14.25" hidden="false" customHeight="false" outlineLevel="0" collapsed="false">
      <c r="A1465" s="18"/>
      <c r="B1465" s="6"/>
      <c r="C1465" s="6"/>
      <c r="D1465" s="6"/>
      <c r="E1465" s="16" t="str">
        <f aca="false">IF($B1465="","",IFERROR(INDEX(Services!$C$2:$C$120,MATCH($B1465,Services!$D$2:$D$120,0)),""))</f>
        <v/>
      </c>
      <c r="F1465" s="19"/>
      <c r="G1465" s="9" t="str">
        <f aca="false">IF(OR($B1465="",NOT(ISNUMBER($E1465))),"",$E1465-IF($F1465="",0,$F1465))</f>
        <v/>
      </c>
      <c r="H1465" s="15" t="str">
        <f aca="false">IF($B1465="","",IFERROR(INDEX(Services!$A$2:$A$120,MATCH($B1465,Services!$D$2:$D$120,0)),""))</f>
        <v/>
      </c>
      <c r="I1465" s="19"/>
      <c r="J1465" s="15" t="str">
        <f aca="false">IF($B1465="","",IFERROR(INDEX(Services!$E$2:$E$120,MATCH($B1465,Services!$D$2:$D$120,0)),""))</f>
        <v/>
      </c>
    </row>
    <row r="1466" customFormat="false" ht="14.25" hidden="false" customHeight="false" outlineLevel="0" collapsed="false">
      <c r="A1466" s="18"/>
      <c r="B1466" s="6"/>
      <c r="C1466" s="6"/>
      <c r="D1466" s="6"/>
      <c r="E1466" s="16" t="str">
        <f aca="false">IF($B1466="","",IFERROR(INDEX(Services!$C$2:$C$120,MATCH($B1466,Services!$D$2:$D$120,0)),""))</f>
        <v/>
      </c>
      <c r="F1466" s="19"/>
      <c r="G1466" s="9" t="str">
        <f aca="false">IF(OR($B1466="",NOT(ISNUMBER($E1466))),"",$E1466-IF($F1466="",0,$F1466))</f>
        <v/>
      </c>
      <c r="H1466" s="15" t="str">
        <f aca="false">IF($B1466="","",IFERROR(INDEX(Services!$A$2:$A$120,MATCH($B1466,Services!$D$2:$D$120,0)),""))</f>
        <v/>
      </c>
      <c r="I1466" s="19"/>
      <c r="J1466" s="15" t="str">
        <f aca="false">IF($B1466="","",IFERROR(INDEX(Services!$E$2:$E$120,MATCH($B1466,Services!$D$2:$D$120,0)),""))</f>
        <v/>
      </c>
    </row>
    <row r="1467" customFormat="false" ht="14.25" hidden="false" customHeight="false" outlineLevel="0" collapsed="false">
      <c r="A1467" s="18"/>
      <c r="B1467" s="6"/>
      <c r="C1467" s="6"/>
      <c r="D1467" s="6"/>
      <c r="E1467" s="16" t="str">
        <f aca="false">IF($B1467="","",IFERROR(INDEX(Services!$C$2:$C$120,MATCH($B1467,Services!$D$2:$D$120,0)),""))</f>
        <v/>
      </c>
      <c r="F1467" s="19"/>
      <c r="G1467" s="9" t="str">
        <f aca="false">IF(OR($B1467="",NOT(ISNUMBER($E1467))),"",$E1467-IF($F1467="",0,$F1467))</f>
        <v/>
      </c>
      <c r="H1467" s="15" t="str">
        <f aca="false">IF($B1467="","",IFERROR(INDEX(Services!$A$2:$A$120,MATCH($B1467,Services!$D$2:$D$120,0)),""))</f>
        <v/>
      </c>
      <c r="I1467" s="19"/>
      <c r="J1467" s="15" t="str">
        <f aca="false">IF($B1467="","",IFERROR(INDEX(Services!$E$2:$E$120,MATCH($B1467,Services!$D$2:$D$120,0)),""))</f>
        <v/>
      </c>
    </row>
    <row r="1468" customFormat="false" ht="14.25" hidden="false" customHeight="false" outlineLevel="0" collapsed="false">
      <c r="A1468" s="18"/>
      <c r="B1468" s="6"/>
      <c r="C1468" s="6"/>
      <c r="D1468" s="6"/>
      <c r="E1468" s="16" t="str">
        <f aca="false">IF($B1468="","",IFERROR(INDEX(Services!$C$2:$C$120,MATCH($B1468,Services!$D$2:$D$120,0)),""))</f>
        <v/>
      </c>
      <c r="F1468" s="19"/>
      <c r="G1468" s="9" t="str">
        <f aca="false">IF(OR($B1468="",NOT(ISNUMBER($E1468))),"",$E1468-IF($F1468="",0,$F1468))</f>
        <v/>
      </c>
      <c r="H1468" s="15" t="str">
        <f aca="false">IF($B1468="","",IFERROR(INDEX(Services!$A$2:$A$120,MATCH($B1468,Services!$D$2:$D$120,0)),""))</f>
        <v/>
      </c>
      <c r="I1468" s="19"/>
      <c r="J1468" s="15" t="str">
        <f aca="false">IF($B1468="","",IFERROR(INDEX(Services!$E$2:$E$120,MATCH($B1468,Services!$D$2:$D$120,0)),""))</f>
        <v/>
      </c>
    </row>
    <row r="1469" customFormat="false" ht="14.25" hidden="false" customHeight="false" outlineLevel="0" collapsed="false">
      <c r="A1469" s="18"/>
      <c r="B1469" s="6"/>
      <c r="C1469" s="6"/>
      <c r="D1469" s="6"/>
      <c r="E1469" s="16" t="str">
        <f aca="false">IF($B1469="","",IFERROR(INDEX(Services!$C$2:$C$120,MATCH($B1469,Services!$D$2:$D$120,0)),""))</f>
        <v/>
      </c>
      <c r="F1469" s="19"/>
      <c r="G1469" s="9" t="str">
        <f aca="false">IF(OR($B1469="",NOT(ISNUMBER($E1469))),"",$E1469-IF($F1469="",0,$F1469))</f>
        <v/>
      </c>
      <c r="H1469" s="15" t="str">
        <f aca="false">IF($B1469="","",IFERROR(INDEX(Services!$A$2:$A$120,MATCH($B1469,Services!$D$2:$D$120,0)),""))</f>
        <v/>
      </c>
      <c r="I1469" s="19"/>
      <c r="J1469" s="15" t="str">
        <f aca="false">IF($B1469="","",IFERROR(INDEX(Services!$E$2:$E$120,MATCH($B1469,Services!$D$2:$D$120,0)),""))</f>
        <v/>
      </c>
    </row>
    <row r="1470" customFormat="false" ht="14.25" hidden="false" customHeight="false" outlineLevel="0" collapsed="false">
      <c r="A1470" s="18"/>
      <c r="B1470" s="6"/>
      <c r="C1470" s="6"/>
      <c r="D1470" s="6"/>
      <c r="E1470" s="16" t="str">
        <f aca="false">IF($B1470="","",IFERROR(INDEX(Services!$C$2:$C$120,MATCH($B1470,Services!$D$2:$D$120,0)),""))</f>
        <v/>
      </c>
      <c r="F1470" s="19"/>
      <c r="G1470" s="9" t="str">
        <f aca="false">IF(OR($B1470="",NOT(ISNUMBER($E1470))),"",$E1470-IF($F1470="",0,$F1470))</f>
        <v/>
      </c>
      <c r="H1470" s="15" t="str">
        <f aca="false">IF($B1470="","",IFERROR(INDEX(Services!$A$2:$A$120,MATCH($B1470,Services!$D$2:$D$120,0)),""))</f>
        <v/>
      </c>
      <c r="I1470" s="19"/>
      <c r="J1470" s="15" t="str">
        <f aca="false">IF($B1470="","",IFERROR(INDEX(Services!$E$2:$E$120,MATCH($B1470,Services!$D$2:$D$120,0)),""))</f>
        <v/>
      </c>
    </row>
    <row r="1471" customFormat="false" ht="14.25" hidden="false" customHeight="false" outlineLevel="0" collapsed="false">
      <c r="A1471" s="18"/>
      <c r="B1471" s="6"/>
      <c r="C1471" s="6"/>
      <c r="D1471" s="6"/>
      <c r="E1471" s="16" t="str">
        <f aca="false">IF($B1471="","",IFERROR(INDEX(Services!$C$2:$C$120,MATCH($B1471,Services!$D$2:$D$120,0)),""))</f>
        <v/>
      </c>
      <c r="F1471" s="19"/>
      <c r="G1471" s="9" t="str">
        <f aca="false">IF(OR($B1471="",NOT(ISNUMBER($E1471))),"",$E1471-IF($F1471="",0,$F1471))</f>
        <v/>
      </c>
      <c r="H1471" s="15" t="str">
        <f aca="false">IF($B1471="","",IFERROR(INDEX(Services!$A$2:$A$120,MATCH($B1471,Services!$D$2:$D$120,0)),""))</f>
        <v/>
      </c>
      <c r="I1471" s="19"/>
      <c r="J1471" s="15" t="str">
        <f aca="false">IF($B1471="","",IFERROR(INDEX(Services!$E$2:$E$120,MATCH($B1471,Services!$D$2:$D$120,0)),""))</f>
        <v/>
      </c>
    </row>
    <row r="1472" customFormat="false" ht="14.25" hidden="false" customHeight="false" outlineLevel="0" collapsed="false">
      <c r="A1472" s="18"/>
      <c r="B1472" s="6"/>
      <c r="C1472" s="6"/>
      <c r="D1472" s="6"/>
      <c r="E1472" s="16" t="str">
        <f aca="false">IF($B1472="","",IFERROR(INDEX(Services!$C$2:$C$120,MATCH($B1472,Services!$D$2:$D$120,0)),""))</f>
        <v/>
      </c>
      <c r="F1472" s="19"/>
      <c r="G1472" s="9" t="str">
        <f aca="false">IF(OR($B1472="",NOT(ISNUMBER($E1472))),"",$E1472-IF($F1472="",0,$F1472))</f>
        <v/>
      </c>
      <c r="H1472" s="15" t="str">
        <f aca="false">IF($B1472="","",IFERROR(INDEX(Services!$A$2:$A$120,MATCH($B1472,Services!$D$2:$D$120,0)),""))</f>
        <v/>
      </c>
      <c r="I1472" s="19"/>
      <c r="J1472" s="15" t="str">
        <f aca="false">IF($B1472="","",IFERROR(INDEX(Services!$E$2:$E$120,MATCH($B1472,Services!$D$2:$D$120,0)),""))</f>
        <v/>
      </c>
    </row>
    <row r="1473" customFormat="false" ht="14.25" hidden="false" customHeight="false" outlineLevel="0" collapsed="false">
      <c r="A1473" s="18"/>
      <c r="B1473" s="6"/>
      <c r="C1473" s="6"/>
      <c r="D1473" s="6"/>
      <c r="E1473" s="16" t="str">
        <f aca="false">IF($B1473="","",IFERROR(INDEX(Services!$C$2:$C$120,MATCH($B1473,Services!$D$2:$D$120,0)),""))</f>
        <v/>
      </c>
      <c r="F1473" s="19"/>
      <c r="G1473" s="9" t="str">
        <f aca="false">IF(OR($B1473="",NOT(ISNUMBER($E1473))),"",$E1473-IF($F1473="",0,$F1473))</f>
        <v/>
      </c>
      <c r="H1473" s="15" t="str">
        <f aca="false">IF($B1473="","",IFERROR(INDEX(Services!$A$2:$A$120,MATCH($B1473,Services!$D$2:$D$120,0)),""))</f>
        <v/>
      </c>
      <c r="I1473" s="19"/>
      <c r="J1473" s="15" t="str">
        <f aca="false">IF($B1473="","",IFERROR(INDEX(Services!$E$2:$E$120,MATCH($B1473,Services!$D$2:$D$120,0)),""))</f>
        <v/>
      </c>
    </row>
    <row r="1474" customFormat="false" ht="14.25" hidden="false" customHeight="false" outlineLevel="0" collapsed="false">
      <c r="A1474" s="18"/>
      <c r="B1474" s="6"/>
      <c r="C1474" s="6"/>
      <c r="D1474" s="6"/>
      <c r="E1474" s="16" t="str">
        <f aca="false">IF($B1474="","",IFERROR(INDEX(Services!$C$2:$C$120,MATCH($B1474,Services!$D$2:$D$120,0)),""))</f>
        <v/>
      </c>
      <c r="F1474" s="19"/>
      <c r="G1474" s="9" t="str">
        <f aca="false">IF(OR($B1474="",NOT(ISNUMBER($E1474))),"",$E1474-IF($F1474="",0,$F1474))</f>
        <v/>
      </c>
      <c r="H1474" s="15" t="str">
        <f aca="false">IF($B1474="","",IFERROR(INDEX(Services!$A$2:$A$120,MATCH($B1474,Services!$D$2:$D$120,0)),""))</f>
        <v/>
      </c>
      <c r="I1474" s="19"/>
      <c r="J1474" s="15" t="str">
        <f aca="false">IF($B1474="","",IFERROR(INDEX(Services!$E$2:$E$120,MATCH($B1474,Services!$D$2:$D$120,0)),""))</f>
        <v/>
      </c>
    </row>
    <row r="1475" customFormat="false" ht="14.25" hidden="false" customHeight="false" outlineLevel="0" collapsed="false">
      <c r="A1475" s="18"/>
      <c r="B1475" s="6"/>
      <c r="C1475" s="6"/>
      <c r="D1475" s="6"/>
      <c r="E1475" s="16" t="str">
        <f aca="false">IF($B1475="","",IFERROR(INDEX(Services!$C$2:$C$120,MATCH($B1475,Services!$D$2:$D$120,0)),""))</f>
        <v/>
      </c>
      <c r="F1475" s="19"/>
      <c r="G1475" s="9" t="str">
        <f aca="false">IF(OR($B1475="",NOT(ISNUMBER($E1475))),"",$E1475-IF($F1475="",0,$F1475))</f>
        <v/>
      </c>
      <c r="H1475" s="15" t="str">
        <f aca="false">IF($B1475="","",IFERROR(INDEX(Services!$A$2:$A$120,MATCH($B1475,Services!$D$2:$D$120,0)),""))</f>
        <v/>
      </c>
      <c r="I1475" s="19"/>
      <c r="J1475" s="15" t="str">
        <f aca="false">IF($B1475="","",IFERROR(INDEX(Services!$E$2:$E$120,MATCH($B1475,Services!$D$2:$D$120,0)),""))</f>
        <v/>
      </c>
    </row>
    <row r="1476" customFormat="false" ht="14.25" hidden="false" customHeight="false" outlineLevel="0" collapsed="false">
      <c r="A1476" s="18"/>
      <c r="B1476" s="6"/>
      <c r="C1476" s="6"/>
      <c r="D1476" s="6"/>
      <c r="E1476" s="16" t="str">
        <f aca="false">IF($B1476="","",IFERROR(INDEX(Services!$C$2:$C$120,MATCH($B1476,Services!$D$2:$D$120,0)),""))</f>
        <v/>
      </c>
      <c r="F1476" s="19"/>
      <c r="G1476" s="9" t="str">
        <f aca="false">IF(OR($B1476="",NOT(ISNUMBER($E1476))),"",$E1476-IF($F1476="",0,$F1476))</f>
        <v/>
      </c>
      <c r="H1476" s="15" t="str">
        <f aca="false">IF($B1476="","",IFERROR(INDEX(Services!$A$2:$A$120,MATCH($B1476,Services!$D$2:$D$120,0)),""))</f>
        <v/>
      </c>
      <c r="I1476" s="19"/>
      <c r="J1476" s="15" t="str">
        <f aca="false">IF($B1476="","",IFERROR(INDEX(Services!$E$2:$E$120,MATCH($B1476,Services!$D$2:$D$120,0)),""))</f>
        <v/>
      </c>
    </row>
    <row r="1477" customFormat="false" ht="14.25" hidden="false" customHeight="false" outlineLevel="0" collapsed="false">
      <c r="A1477" s="18"/>
      <c r="B1477" s="6"/>
      <c r="C1477" s="6"/>
      <c r="D1477" s="6"/>
      <c r="E1477" s="16" t="str">
        <f aca="false">IF($B1477="","",IFERROR(INDEX(Services!$C$2:$C$120,MATCH($B1477,Services!$D$2:$D$120,0)),""))</f>
        <v/>
      </c>
      <c r="F1477" s="19"/>
      <c r="G1477" s="9" t="str">
        <f aca="false">IF(OR($B1477="",NOT(ISNUMBER($E1477))),"",$E1477-IF($F1477="",0,$F1477))</f>
        <v/>
      </c>
      <c r="H1477" s="15" t="str">
        <f aca="false">IF($B1477="","",IFERROR(INDEX(Services!$A$2:$A$120,MATCH($B1477,Services!$D$2:$D$120,0)),""))</f>
        <v/>
      </c>
      <c r="I1477" s="19"/>
      <c r="J1477" s="15" t="str">
        <f aca="false">IF($B1477="","",IFERROR(INDEX(Services!$E$2:$E$120,MATCH($B1477,Services!$D$2:$D$120,0)),""))</f>
        <v/>
      </c>
    </row>
    <row r="1478" customFormat="false" ht="14.25" hidden="false" customHeight="false" outlineLevel="0" collapsed="false">
      <c r="A1478" s="18"/>
      <c r="B1478" s="6"/>
      <c r="C1478" s="6"/>
      <c r="D1478" s="6"/>
      <c r="E1478" s="16" t="str">
        <f aca="false">IF($B1478="","",IFERROR(INDEX(Services!$C$2:$C$120,MATCH($B1478,Services!$D$2:$D$120,0)),""))</f>
        <v/>
      </c>
      <c r="F1478" s="19"/>
      <c r="G1478" s="9" t="str">
        <f aca="false">IF(OR($B1478="",NOT(ISNUMBER($E1478))),"",$E1478-IF($F1478="",0,$F1478))</f>
        <v/>
      </c>
      <c r="H1478" s="15" t="str">
        <f aca="false">IF($B1478="","",IFERROR(INDEX(Services!$A$2:$A$120,MATCH($B1478,Services!$D$2:$D$120,0)),""))</f>
        <v/>
      </c>
      <c r="I1478" s="19"/>
      <c r="J1478" s="15" t="str">
        <f aca="false">IF($B1478="","",IFERROR(INDEX(Services!$E$2:$E$120,MATCH($B1478,Services!$D$2:$D$120,0)),""))</f>
        <v/>
      </c>
    </row>
    <row r="1479" customFormat="false" ht="14.25" hidden="false" customHeight="false" outlineLevel="0" collapsed="false">
      <c r="A1479" s="18"/>
      <c r="B1479" s="6"/>
      <c r="C1479" s="6"/>
      <c r="D1479" s="6"/>
      <c r="E1479" s="16" t="str">
        <f aca="false">IF($B1479="","",IFERROR(INDEX(Services!$C$2:$C$120,MATCH($B1479,Services!$D$2:$D$120,0)),""))</f>
        <v/>
      </c>
      <c r="F1479" s="19"/>
      <c r="G1479" s="9" t="str">
        <f aca="false">IF(OR($B1479="",NOT(ISNUMBER($E1479))),"",$E1479-IF($F1479="",0,$F1479))</f>
        <v/>
      </c>
      <c r="H1479" s="15" t="str">
        <f aca="false">IF($B1479="","",IFERROR(INDEX(Services!$A$2:$A$120,MATCH($B1479,Services!$D$2:$D$120,0)),""))</f>
        <v/>
      </c>
      <c r="I1479" s="19"/>
      <c r="J1479" s="15" t="str">
        <f aca="false">IF($B1479="","",IFERROR(INDEX(Services!$E$2:$E$120,MATCH($B1479,Services!$D$2:$D$120,0)),""))</f>
        <v/>
      </c>
    </row>
    <row r="1480" customFormat="false" ht="14.25" hidden="false" customHeight="false" outlineLevel="0" collapsed="false">
      <c r="A1480" s="18"/>
      <c r="B1480" s="6"/>
      <c r="C1480" s="6"/>
      <c r="D1480" s="6"/>
      <c r="E1480" s="16" t="str">
        <f aca="false">IF($B1480="","",IFERROR(INDEX(Services!$C$2:$C$120,MATCH($B1480,Services!$D$2:$D$120,0)),""))</f>
        <v/>
      </c>
      <c r="F1480" s="19"/>
      <c r="G1480" s="9" t="str">
        <f aca="false">IF(OR($B1480="",NOT(ISNUMBER($E1480))),"",$E1480-IF($F1480="",0,$F1480))</f>
        <v/>
      </c>
      <c r="H1480" s="15" t="str">
        <f aca="false">IF($B1480="","",IFERROR(INDEX(Services!$A$2:$A$120,MATCH($B1480,Services!$D$2:$D$120,0)),""))</f>
        <v/>
      </c>
      <c r="I1480" s="19"/>
      <c r="J1480" s="15" t="str">
        <f aca="false">IF($B1480="","",IFERROR(INDEX(Services!$E$2:$E$120,MATCH($B1480,Services!$D$2:$D$120,0)),""))</f>
        <v/>
      </c>
    </row>
    <row r="1481" customFormat="false" ht="14.25" hidden="false" customHeight="false" outlineLevel="0" collapsed="false">
      <c r="A1481" s="18"/>
      <c r="B1481" s="6"/>
      <c r="C1481" s="6"/>
      <c r="D1481" s="6"/>
      <c r="E1481" s="16" t="str">
        <f aca="false">IF($B1481="","",IFERROR(INDEX(Services!$C$2:$C$120,MATCH($B1481,Services!$D$2:$D$120,0)),""))</f>
        <v/>
      </c>
      <c r="F1481" s="19"/>
      <c r="G1481" s="9" t="str">
        <f aca="false">IF(OR($B1481="",NOT(ISNUMBER($E1481))),"",$E1481-IF($F1481="",0,$F1481))</f>
        <v/>
      </c>
      <c r="H1481" s="15" t="str">
        <f aca="false">IF($B1481="","",IFERROR(INDEX(Services!$A$2:$A$120,MATCH($B1481,Services!$D$2:$D$120,0)),""))</f>
        <v/>
      </c>
      <c r="I1481" s="19"/>
      <c r="J1481" s="15" t="str">
        <f aca="false">IF($B1481="","",IFERROR(INDEX(Services!$E$2:$E$120,MATCH($B1481,Services!$D$2:$D$120,0)),""))</f>
        <v/>
      </c>
    </row>
    <row r="1482" customFormat="false" ht="14.25" hidden="false" customHeight="false" outlineLevel="0" collapsed="false">
      <c r="A1482" s="18"/>
      <c r="B1482" s="6"/>
      <c r="C1482" s="6"/>
      <c r="D1482" s="6"/>
      <c r="E1482" s="16" t="str">
        <f aca="false">IF($B1482="","",IFERROR(INDEX(Services!$C$2:$C$120,MATCH($B1482,Services!$D$2:$D$120,0)),""))</f>
        <v/>
      </c>
      <c r="F1482" s="19"/>
      <c r="G1482" s="9" t="str">
        <f aca="false">IF(OR($B1482="",NOT(ISNUMBER($E1482))),"",$E1482-IF($F1482="",0,$F1482))</f>
        <v/>
      </c>
      <c r="H1482" s="15" t="str">
        <f aca="false">IF($B1482="","",IFERROR(INDEX(Services!$A$2:$A$120,MATCH($B1482,Services!$D$2:$D$120,0)),""))</f>
        <v/>
      </c>
      <c r="I1482" s="19"/>
      <c r="J1482" s="15" t="str">
        <f aca="false">IF($B1482="","",IFERROR(INDEX(Services!$E$2:$E$120,MATCH($B1482,Services!$D$2:$D$120,0)),""))</f>
        <v/>
      </c>
    </row>
    <row r="1483" customFormat="false" ht="14.25" hidden="false" customHeight="false" outlineLevel="0" collapsed="false">
      <c r="A1483" s="18"/>
      <c r="B1483" s="6"/>
      <c r="C1483" s="6"/>
      <c r="D1483" s="6"/>
      <c r="E1483" s="16" t="str">
        <f aca="false">IF($B1483="","",IFERROR(INDEX(Services!$C$2:$C$120,MATCH($B1483,Services!$D$2:$D$120,0)),""))</f>
        <v/>
      </c>
      <c r="F1483" s="19"/>
      <c r="G1483" s="9" t="str">
        <f aca="false">IF(OR($B1483="",NOT(ISNUMBER($E1483))),"",$E1483-IF($F1483="",0,$F1483))</f>
        <v/>
      </c>
      <c r="H1483" s="15" t="str">
        <f aca="false">IF($B1483="","",IFERROR(INDEX(Services!$A$2:$A$120,MATCH($B1483,Services!$D$2:$D$120,0)),""))</f>
        <v/>
      </c>
      <c r="I1483" s="19"/>
      <c r="J1483" s="15" t="str">
        <f aca="false">IF($B1483="","",IFERROR(INDEX(Services!$E$2:$E$120,MATCH($B1483,Services!$D$2:$D$120,0)),""))</f>
        <v/>
      </c>
    </row>
    <row r="1484" customFormat="false" ht="14.25" hidden="false" customHeight="false" outlineLevel="0" collapsed="false">
      <c r="A1484" s="18"/>
      <c r="B1484" s="6"/>
      <c r="C1484" s="6"/>
      <c r="D1484" s="6"/>
      <c r="E1484" s="16" t="str">
        <f aca="false">IF($B1484="","",IFERROR(INDEX(Services!$C$2:$C$120,MATCH($B1484,Services!$D$2:$D$120,0)),""))</f>
        <v/>
      </c>
      <c r="F1484" s="19"/>
      <c r="G1484" s="9" t="str">
        <f aca="false">IF(OR($B1484="",NOT(ISNUMBER($E1484))),"",$E1484-IF($F1484="",0,$F1484))</f>
        <v/>
      </c>
      <c r="H1484" s="15" t="str">
        <f aca="false">IF($B1484="","",IFERROR(INDEX(Services!$A$2:$A$120,MATCH($B1484,Services!$D$2:$D$120,0)),""))</f>
        <v/>
      </c>
      <c r="I1484" s="19"/>
      <c r="J1484" s="15" t="str">
        <f aca="false">IF($B1484="","",IFERROR(INDEX(Services!$E$2:$E$120,MATCH($B1484,Services!$D$2:$D$120,0)),""))</f>
        <v/>
      </c>
    </row>
    <row r="1485" customFormat="false" ht="14.25" hidden="false" customHeight="false" outlineLevel="0" collapsed="false">
      <c r="A1485" s="18"/>
      <c r="B1485" s="6"/>
      <c r="C1485" s="6"/>
      <c r="D1485" s="6"/>
      <c r="E1485" s="16" t="str">
        <f aca="false">IF($B1485="","",IFERROR(INDEX(Services!$C$2:$C$120,MATCH($B1485,Services!$D$2:$D$120,0)),""))</f>
        <v/>
      </c>
      <c r="F1485" s="19"/>
      <c r="G1485" s="9" t="str">
        <f aca="false">IF(OR($B1485="",NOT(ISNUMBER($E1485))),"",$E1485-IF($F1485="",0,$F1485))</f>
        <v/>
      </c>
      <c r="H1485" s="15" t="str">
        <f aca="false">IF($B1485="","",IFERROR(INDEX(Services!$A$2:$A$120,MATCH($B1485,Services!$D$2:$D$120,0)),""))</f>
        <v/>
      </c>
      <c r="I1485" s="19"/>
      <c r="J1485" s="15" t="str">
        <f aca="false">IF($B1485="","",IFERROR(INDEX(Services!$E$2:$E$120,MATCH($B1485,Services!$D$2:$D$120,0)),""))</f>
        <v/>
      </c>
    </row>
    <row r="1486" customFormat="false" ht="14.25" hidden="false" customHeight="false" outlineLevel="0" collapsed="false">
      <c r="A1486" s="18"/>
      <c r="B1486" s="6"/>
      <c r="C1486" s="6"/>
      <c r="D1486" s="6"/>
      <c r="E1486" s="16" t="str">
        <f aca="false">IF($B1486="","",IFERROR(INDEX(Services!$C$2:$C$120,MATCH($B1486,Services!$D$2:$D$120,0)),""))</f>
        <v/>
      </c>
      <c r="F1486" s="19"/>
      <c r="G1486" s="9" t="str">
        <f aca="false">IF(OR($B1486="",NOT(ISNUMBER($E1486))),"",$E1486-IF($F1486="",0,$F1486))</f>
        <v/>
      </c>
      <c r="H1486" s="15" t="str">
        <f aca="false">IF($B1486="","",IFERROR(INDEX(Services!$A$2:$A$120,MATCH($B1486,Services!$D$2:$D$120,0)),""))</f>
        <v/>
      </c>
      <c r="I1486" s="19"/>
      <c r="J1486" s="15" t="str">
        <f aca="false">IF($B1486="","",IFERROR(INDEX(Services!$E$2:$E$120,MATCH($B1486,Services!$D$2:$D$120,0)),""))</f>
        <v/>
      </c>
    </row>
    <row r="1487" customFormat="false" ht="14.25" hidden="false" customHeight="false" outlineLevel="0" collapsed="false">
      <c r="A1487" s="18"/>
      <c r="B1487" s="6"/>
      <c r="C1487" s="6"/>
      <c r="D1487" s="6"/>
      <c r="E1487" s="16" t="str">
        <f aca="false">IF($B1487="","",IFERROR(INDEX(Services!$C$2:$C$120,MATCH($B1487,Services!$D$2:$D$120,0)),""))</f>
        <v/>
      </c>
      <c r="F1487" s="19"/>
      <c r="G1487" s="9" t="str">
        <f aca="false">IF(OR($B1487="",NOT(ISNUMBER($E1487))),"",$E1487-IF($F1487="",0,$F1487))</f>
        <v/>
      </c>
      <c r="H1487" s="15" t="str">
        <f aca="false">IF($B1487="","",IFERROR(INDEX(Services!$A$2:$A$120,MATCH($B1487,Services!$D$2:$D$120,0)),""))</f>
        <v/>
      </c>
      <c r="I1487" s="19"/>
      <c r="J1487" s="15" t="str">
        <f aca="false">IF($B1487="","",IFERROR(INDEX(Services!$E$2:$E$120,MATCH($B1487,Services!$D$2:$D$120,0)),""))</f>
        <v/>
      </c>
    </row>
    <row r="1488" customFormat="false" ht="14.25" hidden="false" customHeight="false" outlineLevel="0" collapsed="false">
      <c r="A1488" s="18"/>
      <c r="B1488" s="6"/>
      <c r="C1488" s="6"/>
      <c r="D1488" s="6"/>
      <c r="E1488" s="16" t="str">
        <f aca="false">IF($B1488="","",IFERROR(INDEX(Services!$C$2:$C$120,MATCH($B1488,Services!$D$2:$D$120,0)),""))</f>
        <v/>
      </c>
      <c r="F1488" s="19"/>
      <c r="G1488" s="9" t="str">
        <f aca="false">IF(OR($B1488="",NOT(ISNUMBER($E1488))),"",$E1488-IF($F1488="",0,$F1488))</f>
        <v/>
      </c>
      <c r="H1488" s="15" t="str">
        <f aca="false">IF($B1488="","",IFERROR(INDEX(Services!$A$2:$A$120,MATCH($B1488,Services!$D$2:$D$120,0)),""))</f>
        <v/>
      </c>
      <c r="I1488" s="19"/>
      <c r="J1488" s="15" t="str">
        <f aca="false">IF($B1488="","",IFERROR(INDEX(Services!$E$2:$E$120,MATCH($B1488,Services!$D$2:$D$120,0)),""))</f>
        <v/>
      </c>
    </row>
    <row r="1489" customFormat="false" ht="14.25" hidden="false" customHeight="false" outlineLevel="0" collapsed="false">
      <c r="A1489" s="18"/>
      <c r="B1489" s="6"/>
      <c r="C1489" s="6"/>
      <c r="D1489" s="6"/>
      <c r="E1489" s="16" t="str">
        <f aca="false">IF($B1489="","",IFERROR(INDEX(Services!$C$2:$C$120,MATCH($B1489,Services!$D$2:$D$120,0)),""))</f>
        <v/>
      </c>
      <c r="F1489" s="19"/>
      <c r="G1489" s="9" t="str">
        <f aca="false">IF(OR($B1489="",NOT(ISNUMBER($E1489))),"",$E1489-IF($F1489="",0,$F1489))</f>
        <v/>
      </c>
      <c r="H1489" s="15" t="str">
        <f aca="false">IF($B1489="","",IFERROR(INDEX(Services!$A$2:$A$120,MATCH($B1489,Services!$D$2:$D$120,0)),""))</f>
        <v/>
      </c>
      <c r="I1489" s="19"/>
      <c r="J1489" s="15" t="str">
        <f aca="false">IF($B1489="","",IFERROR(INDEX(Services!$E$2:$E$120,MATCH($B1489,Services!$D$2:$D$120,0)),""))</f>
        <v/>
      </c>
    </row>
    <row r="1490" customFormat="false" ht="14.25" hidden="false" customHeight="false" outlineLevel="0" collapsed="false">
      <c r="A1490" s="18"/>
      <c r="B1490" s="6"/>
      <c r="C1490" s="6"/>
      <c r="D1490" s="6"/>
      <c r="E1490" s="16" t="str">
        <f aca="false">IF($B1490="","",IFERROR(INDEX(Services!$C$2:$C$120,MATCH($B1490,Services!$D$2:$D$120,0)),""))</f>
        <v/>
      </c>
      <c r="F1490" s="19"/>
      <c r="G1490" s="9" t="str">
        <f aca="false">IF(OR($B1490="",NOT(ISNUMBER($E1490))),"",$E1490-IF($F1490="",0,$F1490))</f>
        <v/>
      </c>
      <c r="H1490" s="15" t="str">
        <f aca="false">IF($B1490="","",IFERROR(INDEX(Services!$A$2:$A$120,MATCH($B1490,Services!$D$2:$D$120,0)),""))</f>
        <v/>
      </c>
      <c r="I1490" s="19"/>
      <c r="J1490" s="15" t="str">
        <f aca="false">IF($B1490="","",IFERROR(INDEX(Services!$E$2:$E$120,MATCH($B1490,Services!$D$2:$D$120,0)),""))</f>
        <v/>
      </c>
    </row>
    <row r="1491" customFormat="false" ht="14.25" hidden="false" customHeight="false" outlineLevel="0" collapsed="false">
      <c r="A1491" s="18"/>
      <c r="B1491" s="6"/>
      <c r="C1491" s="6"/>
      <c r="D1491" s="6"/>
      <c r="E1491" s="16" t="str">
        <f aca="false">IF($B1491="","",IFERROR(INDEX(Services!$C$2:$C$120,MATCH($B1491,Services!$D$2:$D$120,0)),""))</f>
        <v/>
      </c>
      <c r="F1491" s="19"/>
      <c r="G1491" s="9" t="str">
        <f aca="false">IF(OR($B1491="",NOT(ISNUMBER($E1491))),"",$E1491-IF($F1491="",0,$F1491))</f>
        <v/>
      </c>
      <c r="H1491" s="15" t="str">
        <f aca="false">IF($B1491="","",IFERROR(INDEX(Services!$A$2:$A$120,MATCH($B1491,Services!$D$2:$D$120,0)),""))</f>
        <v/>
      </c>
      <c r="I1491" s="19"/>
      <c r="J1491" s="15" t="str">
        <f aca="false">IF($B1491="","",IFERROR(INDEX(Services!$E$2:$E$120,MATCH($B1491,Services!$D$2:$D$120,0)),""))</f>
        <v/>
      </c>
    </row>
    <row r="1492" customFormat="false" ht="14.25" hidden="false" customHeight="false" outlineLevel="0" collapsed="false">
      <c r="A1492" s="18"/>
      <c r="B1492" s="6"/>
      <c r="C1492" s="6"/>
      <c r="D1492" s="6"/>
      <c r="E1492" s="16" t="str">
        <f aca="false">IF($B1492="","",IFERROR(INDEX(Services!$C$2:$C$120,MATCH($B1492,Services!$D$2:$D$120,0)),""))</f>
        <v/>
      </c>
      <c r="F1492" s="19"/>
      <c r="G1492" s="9" t="str">
        <f aca="false">IF(OR($B1492="",NOT(ISNUMBER($E1492))),"",$E1492-IF($F1492="",0,$F1492))</f>
        <v/>
      </c>
      <c r="H1492" s="15" t="str">
        <f aca="false">IF($B1492="","",IFERROR(INDEX(Services!$A$2:$A$120,MATCH($B1492,Services!$D$2:$D$120,0)),""))</f>
        <v/>
      </c>
      <c r="I1492" s="19"/>
      <c r="J1492" s="15" t="str">
        <f aca="false">IF($B1492="","",IFERROR(INDEX(Services!$E$2:$E$120,MATCH($B1492,Services!$D$2:$D$120,0)),""))</f>
        <v/>
      </c>
    </row>
    <row r="1493" customFormat="false" ht="14.25" hidden="false" customHeight="false" outlineLevel="0" collapsed="false">
      <c r="A1493" s="18"/>
      <c r="B1493" s="6"/>
      <c r="C1493" s="6"/>
      <c r="D1493" s="6"/>
      <c r="E1493" s="16" t="str">
        <f aca="false">IF($B1493="","",IFERROR(INDEX(Services!$C$2:$C$120,MATCH($B1493,Services!$D$2:$D$120,0)),""))</f>
        <v/>
      </c>
      <c r="F1493" s="19"/>
      <c r="G1493" s="9" t="str">
        <f aca="false">IF(OR($B1493="",NOT(ISNUMBER($E1493))),"",$E1493-IF($F1493="",0,$F1493))</f>
        <v/>
      </c>
      <c r="H1493" s="15" t="str">
        <f aca="false">IF($B1493="","",IFERROR(INDEX(Services!$A$2:$A$120,MATCH($B1493,Services!$D$2:$D$120,0)),""))</f>
        <v/>
      </c>
      <c r="I1493" s="19"/>
      <c r="J1493" s="15" t="str">
        <f aca="false">IF($B1493="","",IFERROR(INDEX(Services!$E$2:$E$120,MATCH($B1493,Services!$D$2:$D$120,0)),""))</f>
        <v/>
      </c>
    </row>
    <row r="1494" customFormat="false" ht="14.25" hidden="false" customHeight="false" outlineLevel="0" collapsed="false">
      <c r="A1494" s="18"/>
      <c r="B1494" s="6"/>
      <c r="C1494" s="6"/>
      <c r="D1494" s="6"/>
      <c r="E1494" s="16" t="str">
        <f aca="false">IF($B1494="","",IFERROR(INDEX(Services!$C$2:$C$120,MATCH($B1494,Services!$D$2:$D$120,0)),""))</f>
        <v/>
      </c>
      <c r="F1494" s="19"/>
      <c r="G1494" s="9" t="str">
        <f aca="false">IF(OR($B1494="",NOT(ISNUMBER($E1494))),"",$E1494-IF($F1494="",0,$F1494))</f>
        <v/>
      </c>
      <c r="H1494" s="15" t="str">
        <f aca="false">IF($B1494="","",IFERROR(INDEX(Services!$A$2:$A$120,MATCH($B1494,Services!$D$2:$D$120,0)),""))</f>
        <v/>
      </c>
      <c r="I1494" s="19"/>
      <c r="J1494" s="15" t="str">
        <f aca="false">IF($B1494="","",IFERROR(INDEX(Services!$E$2:$E$120,MATCH($B1494,Services!$D$2:$D$120,0)),""))</f>
        <v/>
      </c>
    </row>
    <row r="1495" customFormat="false" ht="14.25" hidden="false" customHeight="false" outlineLevel="0" collapsed="false">
      <c r="A1495" s="18"/>
      <c r="B1495" s="6"/>
      <c r="C1495" s="6"/>
      <c r="D1495" s="6"/>
      <c r="E1495" s="16" t="str">
        <f aca="false">IF($B1495="","",IFERROR(INDEX(Services!$C$2:$C$120,MATCH($B1495,Services!$D$2:$D$120,0)),""))</f>
        <v/>
      </c>
      <c r="F1495" s="19"/>
      <c r="G1495" s="9" t="str">
        <f aca="false">IF(OR($B1495="",NOT(ISNUMBER($E1495))),"",$E1495-IF($F1495="",0,$F1495))</f>
        <v/>
      </c>
      <c r="H1495" s="15" t="str">
        <f aca="false">IF($B1495="","",IFERROR(INDEX(Services!$A$2:$A$120,MATCH($B1495,Services!$D$2:$D$120,0)),""))</f>
        <v/>
      </c>
      <c r="I1495" s="19"/>
      <c r="J1495" s="15" t="str">
        <f aca="false">IF($B1495="","",IFERROR(INDEX(Services!$E$2:$E$120,MATCH($B1495,Services!$D$2:$D$120,0)),""))</f>
        <v/>
      </c>
    </row>
    <row r="1496" customFormat="false" ht="14.25" hidden="false" customHeight="false" outlineLevel="0" collapsed="false">
      <c r="A1496" s="18"/>
      <c r="B1496" s="6"/>
      <c r="C1496" s="6"/>
      <c r="D1496" s="6"/>
      <c r="E1496" s="16" t="str">
        <f aca="false">IF($B1496="","",IFERROR(INDEX(Services!$C$2:$C$120,MATCH($B1496,Services!$D$2:$D$120,0)),""))</f>
        <v/>
      </c>
      <c r="F1496" s="19"/>
      <c r="G1496" s="9" t="str">
        <f aca="false">IF(OR($B1496="",NOT(ISNUMBER($E1496))),"",$E1496-IF($F1496="",0,$F1496))</f>
        <v/>
      </c>
      <c r="H1496" s="15" t="str">
        <f aca="false">IF($B1496="","",IFERROR(INDEX(Services!$A$2:$A$120,MATCH($B1496,Services!$D$2:$D$120,0)),""))</f>
        <v/>
      </c>
      <c r="I1496" s="19"/>
      <c r="J1496" s="15" t="str">
        <f aca="false">IF($B1496="","",IFERROR(INDEX(Services!$E$2:$E$120,MATCH($B1496,Services!$D$2:$D$120,0)),""))</f>
        <v/>
      </c>
    </row>
    <row r="1497" customFormat="false" ht="14.25" hidden="false" customHeight="false" outlineLevel="0" collapsed="false">
      <c r="A1497" s="18"/>
      <c r="B1497" s="6"/>
      <c r="C1497" s="6"/>
      <c r="D1497" s="6"/>
      <c r="E1497" s="16" t="str">
        <f aca="false">IF($B1497="","",IFERROR(INDEX(Services!$C$2:$C$120,MATCH($B1497,Services!$D$2:$D$120,0)),""))</f>
        <v/>
      </c>
      <c r="F1497" s="19"/>
      <c r="G1497" s="9" t="str">
        <f aca="false">IF(OR($B1497="",NOT(ISNUMBER($E1497))),"",$E1497-IF($F1497="",0,$F1497))</f>
        <v/>
      </c>
      <c r="H1497" s="15" t="str">
        <f aca="false">IF($B1497="","",IFERROR(INDEX(Services!$A$2:$A$120,MATCH($B1497,Services!$D$2:$D$120,0)),""))</f>
        <v/>
      </c>
      <c r="I1497" s="19"/>
      <c r="J1497" s="15" t="str">
        <f aca="false">IF($B1497="","",IFERROR(INDEX(Services!$E$2:$E$120,MATCH($B1497,Services!$D$2:$D$120,0)),""))</f>
        <v/>
      </c>
    </row>
    <row r="1498" customFormat="false" ht="14.25" hidden="false" customHeight="false" outlineLevel="0" collapsed="false">
      <c r="A1498" s="18"/>
      <c r="B1498" s="6"/>
      <c r="C1498" s="6"/>
      <c r="D1498" s="6"/>
      <c r="E1498" s="16" t="str">
        <f aca="false">IF($B1498="","",IFERROR(INDEX(Services!$C$2:$C$120,MATCH($B1498,Services!$D$2:$D$120,0)),""))</f>
        <v/>
      </c>
      <c r="F1498" s="19"/>
      <c r="G1498" s="9" t="str">
        <f aca="false">IF(OR($B1498="",NOT(ISNUMBER($E1498))),"",$E1498-IF($F1498="",0,$F1498))</f>
        <v/>
      </c>
      <c r="H1498" s="15" t="str">
        <f aca="false">IF($B1498="","",IFERROR(INDEX(Services!$A$2:$A$120,MATCH($B1498,Services!$D$2:$D$120,0)),""))</f>
        <v/>
      </c>
      <c r="I1498" s="19"/>
      <c r="J1498" s="15" t="str">
        <f aca="false">IF($B1498="","",IFERROR(INDEX(Services!$E$2:$E$120,MATCH($B1498,Services!$D$2:$D$120,0)),""))</f>
        <v/>
      </c>
    </row>
    <row r="1499" customFormat="false" ht="14.25" hidden="false" customHeight="false" outlineLevel="0" collapsed="false">
      <c r="A1499" s="18"/>
      <c r="B1499" s="6"/>
      <c r="C1499" s="6"/>
      <c r="D1499" s="6"/>
      <c r="E1499" s="16" t="str">
        <f aca="false">IF($B1499="","",IFERROR(INDEX(Services!$C$2:$C$120,MATCH($B1499,Services!$D$2:$D$120,0)),""))</f>
        <v/>
      </c>
      <c r="F1499" s="19"/>
      <c r="G1499" s="9" t="str">
        <f aca="false">IF(OR($B1499="",NOT(ISNUMBER($E1499))),"",$E1499-IF($F1499="",0,$F1499))</f>
        <v/>
      </c>
      <c r="H1499" s="15" t="str">
        <f aca="false">IF($B1499="","",IFERROR(INDEX(Services!$A$2:$A$120,MATCH($B1499,Services!$D$2:$D$120,0)),""))</f>
        <v/>
      </c>
      <c r="I1499" s="19"/>
      <c r="J1499" s="15" t="str">
        <f aca="false">IF($B1499="","",IFERROR(INDEX(Services!$E$2:$E$120,MATCH($B1499,Services!$D$2:$D$120,0)),""))</f>
        <v/>
      </c>
    </row>
    <row r="1500" customFormat="false" ht="14.25" hidden="false" customHeight="false" outlineLevel="0" collapsed="false">
      <c r="A1500" s="18"/>
      <c r="B1500" s="6"/>
      <c r="C1500" s="6"/>
      <c r="D1500" s="6"/>
      <c r="E1500" s="16" t="str">
        <f aca="false">IF($B1500="","",IFERROR(INDEX(Services!$C$2:$C$120,MATCH($B1500,Services!$D$2:$D$120,0)),""))</f>
        <v/>
      </c>
      <c r="F1500" s="19"/>
      <c r="G1500" s="9" t="str">
        <f aca="false">IF(OR($B1500="",NOT(ISNUMBER($E1500))),"",$E1500-IF($F1500="",0,$F1500))</f>
        <v/>
      </c>
      <c r="H1500" s="15" t="str">
        <f aca="false">IF($B1500="","",IFERROR(INDEX(Services!$A$2:$A$120,MATCH($B1500,Services!$D$2:$D$120,0)),""))</f>
        <v/>
      </c>
      <c r="I1500" s="19"/>
      <c r="J1500" s="15" t="str">
        <f aca="false">IF($B1500="","",IFERROR(INDEX(Services!$E$2:$E$120,MATCH($B1500,Services!$D$2:$D$120,0)),""))</f>
        <v/>
      </c>
    </row>
    <row r="1501" customFormat="false" ht="14.25" hidden="false" customHeight="false" outlineLevel="0" collapsed="false">
      <c r="A1501" s="18"/>
      <c r="B1501" s="6"/>
      <c r="C1501" s="6"/>
      <c r="D1501" s="6"/>
      <c r="E1501" s="16" t="str">
        <f aca="false">IF($B1501="","",IFERROR(INDEX(Services!$C$2:$C$120,MATCH($B1501,Services!$D$2:$D$120,0)),""))</f>
        <v/>
      </c>
      <c r="F1501" s="19"/>
      <c r="G1501" s="9" t="str">
        <f aca="false">IF(OR($B1501="",NOT(ISNUMBER($E1501))),"",$E1501-IF($F1501="",0,$F1501))</f>
        <v/>
      </c>
      <c r="H1501" s="15" t="str">
        <f aca="false">IF($B1501="","",IFERROR(INDEX(Services!$A$2:$A$120,MATCH($B1501,Services!$D$2:$D$120,0)),""))</f>
        <v/>
      </c>
      <c r="I1501" s="19"/>
      <c r="J1501" s="15" t="str">
        <f aca="false">IF($B1501="","",IFERROR(INDEX(Services!$E$2:$E$120,MATCH($B1501,Services!$D$2:$D$120,0)),""))</f>
        <v/>
      </c>
    </row>
    <row r="1502" customFormat="false" ht="14.25" hidden="false" customHeight="false" outlineLevel="0" collapsed="false">
      <c r="A1502" s="18"/>
      <c r="B1502" s="6"/>
      <c r="C1502" s="6"/>
      <c r="D1502" s="6"/>
      <c r="E1502" s="16" t="str">
        <f aca="false">IF($B1502="","",IFERROR(INDEX(Services!$C$2:$C$120,MATCH($B1502,Services!$D$2:$D$120,0)),""))</f>
        <v/>
      </c>
      <c r="F1502" s="19"/>
      <c r="G1502" s="9" t="str">
        <f aca="false">IF(OR($B1502="",NOT(ISNUMBER($E1502))),"",$E1502-IF($F1502="",0,$F1502))</f>
        <v/>
      </c>
      <c r="H1502" s="15" t="str">
        <f aca="false">IF($B1502="","",IFERROR(INDEX(Services!$A$2:$A$120,MATCH($B1502,Services!$D$2:$D$120,0)),""))</f>
        <v/>
      </c>
      <c r="I1502" s="19"/>
      <c r="J1502" s="15" t="str">
        <f aca="false">IF($B1502="","",IFERROR(INDEX(Services!$E$2:$E$120,MATCH($B1502,Services!$D$2:$D$120,0)),""))</f>
        <v/>
      </c>
    </row>
    <row r="1503" customFormat="false" ht="14.25" hidden="false" customHeight="false" outlineLevel="0" collapsed="false">
      <c r="A1503" s="18"/>
      <c r="B1503" s="6"/>
      <c r="C1503" s="6"/>
      <c r="D1503" s="6"/>
      <c r="E1503" s="16" t="str">
        <f aca="false">IF($B1503="","",IFERROR(INDEX(Services!$C$2:$C$120,MATCH($B1503,Services!$D$2:$D$120,0)),""))</f>
        <v/>
      </c>
      <c r="F1503" s="19"/>
      <c r="G1503" s="9" t="str">
        <f aca="false">IF(OR($B1503="",NOT(ISNUMBER($E1503))),"",$E1503-IF($F1503="",0,$F1503))</f>
        <v/>
      </c>
      <c r="H1503" s="15" t="str">
        <f aca="false">IF($B1503="","",IFERROR(INDEX(Services!$A$2:$A$120,MATCH($B1503,Services!$D$2:$D$120,0)),""))</f>
        <v/>
      </c>
      <c r="I1503" s="19"/>
      <c r="J1503" s="15" t="str">
        <f aca="false">IF($B1503="","",IFERROR(INDEX(Services!$E$2:$E$120,MATCH($B1503,Services!$D$2:$D$120,0)),""))</f>
        <v/>
      </c>
    </row>
    <row r="1504" customFormat="false" ht="14.25" hidden="false" customHeight="false" outlineLevel="0" collapsed="false">
      <c r="A1504" s="18"/>
      <c r="B1504" s="6"/>
      <c r="C1504" s="6"/>
      <c r="D1504" s="6"/>
      <c r="E1504" s="16" t="str">
        <f aca="false">IF($B1504="","",IFERROR(INDEX(Services!$C$2:$C$120,MATCH($B1504,Services!$D$2:$D$120,0)),""))</f>
        <v/>
      </c>
      <c r="F1504" s="19"/>
      <c r="G1504" s="9" t="str">
        <f aca="false">IF(OR($B1504="",NOT(ISNUMBER($E1504))),"",$E1504-IF($F1504="",0,$F1504))</f>
        <v/>
      </c>
      <c r="H1504" s="15" t="str">
        <f aca="false">IF($B1504="","",IFERROR(INDEX(Services!$A$2:$A$120,MATCH($B1504,Services!$D$2:$D$120,0)),""))</f>
        <v/>
      </c>
      <c r="I1504" s="19"/>
      <c r="J1504" s="15" t="str">
        <f aca="false">IF($B1504="","",IFERROR(INDEX(Services!$E$2:$E$120,MATCH($B1504,Services!$D$2:$D$120,0)),""))</f>
        <v/>
      </c>
    </row>
    <row r="1505" customFormat="false" ht="14.25" hidden="false" customHeight="false" outlineLevel="0" collapsed="false">
      <c r="A1505" s="18"/>
      <c r="B1505" s="6"/>
      <c r="C1505" s="6"/>
      <c r="D1505" s="6"/>
      <c r="E1505" s="16" t="str">
        <f aca="false">IF($B1505="","",IFERROR(INDEX(Services!$C$2:$C$120,MATCH($B1505,Services!$D$2:$D$120,0)),""))</f>
        <v/>
      </c>
      <c r="F1505" s="19"/>
      <c r="G1505" s="9" t="str">
        <f aca="false">IF(OR($B1505="",NOT(ISNUMBER($E1505))),"",$E1505-IF($F1505="",0,$F1505))</f>
        <v/>
      </c>
      <c r="H1505" s="15" t="str">
        <f aca="false">IF($B1505="","",IFERROR(INDEX(Services!$A$2:$A$120,MATCH($B1505,Services!$D$2:$D$120,0)),""))</f>
        <v/>
      </c>
      <c r="I1505" s="19"/>
      <c r="J1505" s="15" t="str">
        <f aca="false">IF($B1505="","",IFERROR(INDEX(Services!$E$2:$E$120,MATCH($B1505,Services!$D$2:$D$120,0)),""))</f>
        <v/>
      </c>
    </row>
    <row r="1506" customFormat="false" ht="14.25" hidden="false" customHeight="false" outlineLevel="0" collapsed="false">
      <c r="A1506" s="18"/>
      <c r="B1506" s="6"/>
      <c r="C1506" s="6"/>
      <c r="D1506" s="6"/>
      <c r="E1506" s="16" t="str">
        <f aca="false">IF($B1506="","",IFERROR(INDEX(Services!$C$2:$C$120,MATCH($B1506,Services!$D$2:$D$120,0)),""))</f>
        <v/>
      </c>
      <c r="F1506" s="19"/>
      <c r="G1506" s="9" t="str">
        <f aca="false">IF(OR($B1506="",NOT(ISNUMBER($E1506))),"",$E1506-IF($F1506="",0,$F1506))</f>
        <v/>
      </c>
      <c r="H1506" s="15" t="str">
        <f aca="false">IF($B1506="","",IFERROR(INDEX(Services!$A$2:$A$120,MATCH($B1506,Services!$D$2:$D$120,0)),""))</f>
        <v/>
      </c>
      <c r="I1506" s="19"/>
      <c r="J1506" s="15" t="str">
        <f aca="false">IF($B1506="","",IFERROR(INDEX(Services!$E$2:$E$120,MATCH($B1506,Services!$D$2:$D$120,0)),""))</f>
        <v/>
      </c>
    </row>
    <row r="1507" customFormat="false" ht="14.25" hidden="false" customHeight="false" outlineLevel="0" collapsed="false">
      <c r="A1507" s="18"/>
      <c r="B1507" s="6"/>
      <c r="C1507" s="6"/>
      <c r="D1507" s="6"/>
      <c r="E1507" s="16" t="str">
        <f aca="false">IF($B1507="","",IFERROR(INDEX(Services!$C$2:$C$120,MATCH($B1507,Services!$D$2:$D$120,0)),""))</f>
        <v/>
      </c>
      <c r="F1507" s="19"/>
      <c r="G1507" s="9" t="str">
        <f aca="false">IF(OR($B1507="",NOT(ISNUMBER($E1507))),"",$E1507-IF($F1507="",0,$F1507))</f>
        <v/>
      </c>
      <c r="H1507" s="15" t="str">
        <f aca="false">IF($B1507="","",IFERROR(INDEX(Services!$A$2:$A$120,MATCH($B1507,Services!$D$2:$D$120,0)),""))</f>
        <v/>
      </c>
      <c r="I1507" s="19"/>
      <c r="J1507" s="15" t="str">
        <f aca="false">IF($B1507="","",IFERROR(INDEX(Services!$E$2:$E$120,MATCH($B1507,Services!$D$2:$D$120,0)),""))</f>
        <v/>
      </c>
    </row>
    <row r="1508" customFormat="false" ht="14.25" hidden="false" customHeight="false" outlineLevel="0" collapsed="false">
      <c r="A1508" s="18"/>
      <c r="B1508" s="6"/>
      <c r="C1508" s="6"/>
      <c r="D1508" s="6"/>
      <c r="E1508" s="16" t="str">
        <f aca="false">IF($B1508="","",IFERROR(INDEX(Services!$C$2:$C$120,MATCH($B1508,Services!$D$2:$D$120,0)),""))</f>
        <v/>
      </c>
      <c r="F1508" s="19"/>
      <c r="G1508" s="9" t="str">
        <f aca="false">IF(OR($B1508="",NOT(ISNUMBER($E1508))),"",$E1508-IF($F1508="",0,$F1508))</f>
        <v/>
      </c>
      <c r="H1508" s="15" t="str">
        <f aca="false">IF($B1508="","",IFERROR(INDEX(Services!$A$2:$A$120,MATCH($B1508,Services!$D$2:$D$120,0)),""))</f>
        <v/>
      </c>
      <c r="I1508" s="19"/>
      <c r="J1508" s="15" t="str">
        <f aca="false">IF($B1508="","",IFERROR(INDEX(Services!$E$2:$E$120,MATCH($B1508,Services!$D$2:$D$120,0)),""))</f>
        <v/>
      </c>
    </row>
    <row r="1509" customFormat="false" ht="14.25" hidden="false" customHeight="false" outlineLevel="0" collapsed="false">
      <c r="A1509" s="18"/>
      <c r="B1509" s="6"/>
      <c r="C1509" s="6"/>
      <c r="D1509" s="6"/>
      <c r="E1509" s="16" t="str">
        <f aca="false">IF($B1509="","",IFERROR(INDEX(Services!$C$2:$C$120,MATCH($B1509,Services!$D$2:$D$120,0)),""))</f>
        <v/>
      </c>
      <c r="F1509" s="19"/>
      <c r="G1509" s="9" t="str">
        <f aca="false">IF(OR($B1509="",NOT(ISNUMBER($E1509))),"",$E1509-IF($F1509="",0,$F1509))</f>
        <v/>
      </c>
      <c r="H1509" s="15" t="str">
        <f aca="false">IF($B1509="","",IFERROR(INDEX(Services!$A$2:$A$120,MATCH($B1509,Services!$D$2:$D$120,0)),""))</f>
        <v/>
      </c>
      <c r="I1509" s="19"/>
      <c r="J1509" s="15" t="str">
        <f aca="false">IF($B1509="","",IFERROR(INDEX(Services!$E$2:$E$120,MATCH($B1509,Services!$D$2:$D$120,0)),""))</f>
        <v/>
      </c>
    </row>
    <row r="1510" customFormat="false" ht="14.25" hidden="false" customHeight="false" outlineLevel="0" collapsed="false">
      <c r="A1510" s="18"/>
      <c r="B1510" s="6"/>
      <c r="C1510" s="6"/>
      <c r="D1510" s="6"/>
      <c r="E1510" s="16" t="str">
        <f aca="false">IF($B1510="","",IFERROR(INDEX(Services!$C$2:$C$120,MATCH($B1510,Services!$D$2:$D$120,0)),""))</f>
        <v/>
      </c>
      <c r="F1510" s="19"/>
      <c r="G1510" s="9" t="str">
        <f aca="false">IF(OR($B1510="",NOT(ISNUMBER($E1510))),"",$E1510-IF($F1510="",0,$F1510))</f>
        <v/>
      </c>
      <c r="H1510" s="15" t="str">
        <f aca="false">IF($B1510="","",IFERROR(INDEX(Services!$A$2:$A$120,MATCH($B1510,Services!$D$2:$D$120,0)),""))</f>
        <v/>
      </c>
      <c r="I1510" s="19"/>
      <c r="J1510" s="15" t="str">
        <f aca="false">IF($B1510="","",IFERROR(INDEX(Services!$E$2:$E$120,MATCH($B1510,Services!$D$2:$D$120,0)),""))</f>
        <v/>
      </c>
    </row>
    <row r="1511" customFormat="false" ht="14.25" hidden="false" customHeight="false" outlineLevel="0" collapsed="false">
      <c r="A1511" s="18"/>
      <c r="B1511" s="6"/>
      <c r="C1511" s="6"/>
      <c r="D1511" s="6"/>
      <c r="E1511" s="16" t="str">
        <f aca="false">IF($B1511="","",IFERROR(INDEX(Services!$C$2:$C$120,MATCH($B1511,Services!$D$2:$D$120,0)),""))</f>
        <v/>
      </c>
      <c r="F1511" s="19"/>
      <c r="G1511" s="9" t="str">
        <f aca="false">IF(OR($B1511="",NOT(ISNUMBER($E1511))),"",$E1511-IF($F1511="",0,$F1511))</f>
        <v/>
      </c>
      <c r="H1511" s="15" t="str">
        <f aca="false">IF($B1511="","",IFERROR(INDEX(Services!$A$2:$A$120,MATCH($B1511,Services!$D$2:$D$120,0)),""))</f>
        <v/>
      </c>
      <c r="I1511" s="19"/>
      <c r="J1511" s="15" t="str">
        <f aca="false">IF($B1511="","",IFERROR(INDEX(Services!$E$2:$E$120,MATCH($B1511,Services!$D$2:$D$120,0)),""))</f>
        <v/>
      </c>
    </row>
    <row r="1512" customFormat="false" ht="14.25" hidden="false" customHeight="false" outlineLevel="0" collapsed="false">
      <c r="A1512" s="18"/>
      <c r="B1512" s="6"/>
      <c r="C1512" s="6"/>
      <c r="D1512" s="6"/>
      <c r="E1512" s="16" t="str">
        <f aca="false">IF($B1512="","",IFERROR(INDEX(Services!$C$2:$C$120,MATCH($B1512,Services!$D$2:$D$120,0)),""))</f>
        <v/>
      </c>
      <c r="F1512" s="19"/>
      <c r="G1512" s="9" t="str">
        <f aca="false">IF(OR($B1512="",NOT(ISNUMBER($E1512))),"",$E1512-IF($F1512="",0,$F1512))</f>
        <v/>
      </c>
      <c r="H1512" s="15" t="str">
        <f aca="false">IF($B1512="","",IFERROR(INDEX(Services!$A$2:$A$120,MATCH($B1512,Services!$D$2:$D$120,0)),""))</f>
        <v/>
      </c>
      <c r="I1512" s="19"/>
      <c r="J1512" s="15" t="str">
        <f aca="false">IF($B1512="","",IFERROR(INDEX(Services!$E$2:$E$120,MATCH($B1512,Services!$D$2:$D$120,0)),""))</f>
        <v/>
      </c>
    </row>
    <row r="1513" customFormat="false" ht="14.25" hidden="false" customHeight="false" outlineLevel="0" collapsed="false">
      <c r="A1513" s="18"/>
      <c r="B1513" s="6"/>
      <c r="C1513" s="6"/>
      <c r="D1513" s="6"/>
      <c r="E1513" s="16" t="str">
        <f aca="false">IF($B1513="","",IFERROR(INDEX(Services!$C$2:$C$120,MATCH($B1513,Services!$D$2:$D$120,0)),""))</f>
        <v/>
      </c>
      <c r="F1513" s="19"/>
      <c r="G1513" s="9" t="str">
        <f aca="false">IF(OR($B1513="",NOT(ISNUMBER($E1513))),"",$E1513-IF($F1513="",0,$F1513))</f>
        <v/>
      </c>
      <c r="H1513" s="15" t="str">
        <f aca="false">IF($B1513="","",IFERROR(INDEX(Services!$A$2:$A$120,MATCH($B1513,Services!$D$2:$D$120,0)),""))</f>
        <v/>
      </c>
      <c r="I1513" s="19"/>
      <c r="J1513" s="15" t="str">
        <f aca="false">IF($B1513="","",IFERROR(INDEX(Services!$E$2:$E$120,MATCH($B1513,Services!$D$2:$D$120,0)),""))</f>
        <v/>
      </c>
    </row>
    <row r="1514" customFormat="false" ht="14.25" hidden="false" customHeight="false" outlineLevel="0" collapsed="false">
      <c r="A1514" s="18"/>
      <c r="B1514" s="6"/>
      <c r="C1514" s="6"/>
      <c r="D1514" s="6"/>
      <c r="E1514" s="16" t="str">
        <f aca="false">IF($B1514="","",IFERROR(INDEX(Services!$C$2:$C$120,MATCH($B1514,Services!$D$2:$D$120,0)),""))</f>
        <v/>
      </c>
      <c r="F1514" s="19"/>
      <c r="G1514" s="9" t="str">
        <f aca="false">IF(OR($B1514="",NOT(ISNUMBER($E1514))),"",$E1514-IF($F1514="",0,$F1514))</f>
        <v/>
      </c>
      <c r="H1514" s="15" t="str">
        <f aca="false">IF($B1514="","",IFERROR(INDEX(Services!$A$2:$A$120,MATCH($B1514,Services!$D$2:$D$120,0)),""))</f>
        <v/>
      </c>
      <c r="I1514" s="19"/>
      <c r="J1514" s="15" t="str">
        <f aca="false">IF($B1514="","",IFERROR(INDEX(Services!$E$2:$E$120,MATCH($B1514,Services!$D$2:$D$120,0)),""))</f>
        <v/>
      </c>
    </row>
    <row r="1515" customFormat="false" ht="14.25" hidden="false" customHeight="false" outlineLevel="0" collapsed="false">
      <c r="A1515" s="18"/>
      <c r="B1515" s="6"/>
      <c r="C1515" s="6"/>
      <c r="D1515" s="6"/>
      <c r="E1515" s="16" t="str">
        <f aca="false">IF($B1515="","",IFERROR(INDEX(Services!$C$2:$C$120,MATCH($B1515,Services!$D$2:$D$120,0)),""))</f>
        <v/>
      </c>
      <c r="F1515" s="19"/>
      <c r="G1515" s="9" t="str">
        <f aca="false">IF(OR($B1515="",NOT(ISNUMBER($E1515))),"",$E1515-IF($F1515="",0,$F1515))</f>
        <v/>
      </c>
      <c r="H1515" s="15" t="str">
        <f aca="false">IF($B1515="","",IFERROR(INDEX(Services!$A$2:$A$120,MATCH($B1515,Services!$D$2:$D$120,0)),""))</f>
        <v/>
      </c>
      <c r="I1515" s="19"/>
      <c r="J1515" s="15" t="str">
        <f aca="false">IF($B1515="","",IFERROR(INDEX(Services!$E$2:$E$120,MATCH($B1515,Services!$D$2:$D$120,0)),""))</f>
        <v/>
      </c>
    </row>
    <row r="1516" customFormat="false" ht="14.25" hidden="false" customHeight="false" outlineLevel="0" collapsed="false">
      <c r="A1516" s="18"/>
      <c r="B1516" s="6"/>
      <c r="C1516" s="6"/>
      <c r="D1516" s="6"/>
      <c r="E1516" s="16" t="str">
        <f aca="false">IF($B1516="","",IFERROR(INDEX(Services!$C$2:$C$120,MATCH($B1516,Services!$D$2:$D$120,0)),""))</f>
        <v/>
      </c>
      <c r="F1516" s="19"/>
      <c r="G1516" s="9" t="str">
        <f aca="false">IF(OR($B1516="",NOT(ISNUMBER($E1516))),"",$E1516-IF($F1516="",0,$F1516))</f>
        <v/>
      </c>
      <c r="H1516" s="15" t="str">
        <f aca="false">IF($B1516="","",IFERROR(INDEX(Services!$A$2:$A$120,MATCH($B1516,Services!$D$2:$D$120,0)),""))</f>
        <v/>
      </c>
      <c r="I1516" s="19"/>
      <c r="J1516" s="15" t="str">
        <f aca="false">IF($B1516="","",IFERROR(INDEX(Services!$E$2:$E$120,MATCH($B1516,Services!$D$2:$D$120,0)),""))</f>
        <v/>
      </c>
    </row>
    <row r="1517" customFormat="false" ht="14.25" hidden="false" customHeight="false" outlineLevel="0" collapsed="false">
      <c r="A1517" s="18"/>
      <c r="B1517" s="6"/>
      <c r="C1517" s="6"/>
      <c r="D1517" s="6"/>
      <c r="E1517" s="16" t="str">
        <f aca="false">IF($B1517="","",IFERROR(INDEX(Services!$C$2:$C$120,MATCH($B1517,Services!$D$2:$D$120,0)),""))</f>
        <v/>
      </c>
      <c r="F1517" s="19"/>
      <c r="G1517" s="9" t="str">
        <f aca="false">IF(OR($B1517="",NOT(ISNUMBER($E1517))),"",$E1517-IF($F1517="",0,$F1517))</f>
        <v/>
      </c>
      <c r="H1517" s="15" t="str">
        <f aca="false">IF($B1517="","",IFERROR(INDEX(Services!$A$2:$A$120,MATCH($B1517,Services!$D$2:$D$120,0)),""))</f>
        <v/>
      </c>
      <c r="I1517" s="19"/>
      <c r="J1517" s="15" t="str">
        <f aca="false">IF($B1517="","",IFERROR(INDEX(Services!$E$2:$E$120,MATCH($B1517,Services!$D$2:$D$120,0)),""))</f>
        <v/>
      </c>
    </row>
    <row r="1518" customFormat="false" ht="14.25" hidden="false" customHeight="false" outlineLevel="0" collapsed="false">
      <c r="A1518" s="18"/>
      <c r="B1518" s="6"/>
      <c r="C1518" s="6"/>
      <c r="D1518" s="6"/>
      <c r="E1518" s="16" t="str">
        <f aca="false">IF($B1518="","",IFERROR(INDEX(Services!$C$2:$C$120,MATCH($B1518,Services!$D$2:$D$120,0)),""))</f>
        <v/>
      </c>
      <c r="F1518" s="19"/>
      <c r="G1518" s="9" t="str">
        <f aca="false">IF(OR($B1518="",NOT(ISNUMBER($E1518))),"",$E1518-IF($F1518="",0,$F1518))</f>
        <v/>
      </c>
      <c r="H1518" s="15" t="str">
        <f aca="false">IF($B1518="","",IFERROR(INDEX(Services!$A$2:$A$120,MATCH($B1518,Services!$D$2:$D$120,0)),""))</f>
        <v/>
      </c>
      <c r="I1518" s="19"/>
      <c r="J1518" s="15" t="str">
        <f aca="false">IF($B1518="","",IFERROR(INDEX(Services!$E$2:$E$120,MATCH($B1518,Services!$D$2:$D$120,0)),""))</f>
        <v/>
      </c>
    </row>
    <row r="1519" customFormat="false" ht="14.25" hidden="false" customHeight="false" outlineLevel="0" collapsed="false">
      <c r="A1519" s="18"/>
      <c r="B1519" s="6"/>
      <c r="C1519" s="6"/>
      <c r="D1519" s="6"/>
      <c r="E1519" s="16" t="str">
        <f aca="false">IF($B1519="","",IFERROR(INDEX(Services!$C$2:$C$120,MATCH($B1519,Services!$D$2:$D$120,0)),""))</f>
        <v/>
      </c>
      <c r="F1519" s="19"/>
      <c r="G1519" s="9" t="str">
        <f aca="false">IF(OR($B1519="",NOT(ISNUMBER($E1519))),"",$E1519-IF($F1519="",0,$F1519))</f>
        <v/>
      </c>
      <c r="H1519" s="15" t="str">
        <f aca="false">IF($B1519="","",IFERROR(INDEX(Services!$A$2:$A$120,MATCH($B1519,Services!$D$2:$D$120,0)),""))</f>
        <v/>
      </c>
      <c r="I1519" s="19"/>
      <c r="J1519" s="15" t="str">
        <f aca="false">IF($B1519="","",IFERROR(INDEX(Services!$E$2:$E$120,MATCH($B1519,Services!$D$2:$D$120,0)),""))</f>
        <v/>
      </c>
    </row>
    <row r="1520" customFormat="false" ht="14.25" hidden="false" customHeight="false" outlineLevel="0" collapsed="false">
      <c r="A1520" s="18"/>
      <c r="B1520" s="6"/>
      <c r="C1520" s="6"/>
      <c r="D1520" s="6"/>
      <c r="E1520" s="16" t="str">
        <f aca="false">IF($B1520="","",IFERROR(INDEX(Services!$C$2:$C$120,MATCH($B1520,Services!$D$2:$D$120,0)),""))</f>
        <v/>
      </c>
      <c r="F1520" s="19"/>
      <c r="G1520" s="9" t="str">
        <f aca="false">IF(OR($B1520="",NOT(ISNUMBER($E1520))),"",$E1520-IF($F1520="",0,$F1520))</f>
        <v/>
      </c>
      <c r="H1520" s="15" t="str">
        <f aca="false">IF($B1520="","",IFERROR(INDEX(Services!$A$2:$A$120,MATCH($B1520,Services!$D$2:$D$120,0)),""))</f>
        <v/>
      </c>
      <c r="I1520" s="19"/>
      <c r="J1520" s="15" t="str">
        <f aca="false">IF($B1520="","",IFERROR(INDEX(Services!$E$2:$E$120,MATCH($B1520,Services!$D$2:$D$120,0)),""))</f>
        <v/>
      </c>
    </row>
    <row r="1521" customFormat="false" ht="14.25" hidden="false" customHeight="false" outlineLevel="0" collapsed="false">
      <c r="A1521" s="18"/>
      <c r="B1521" s="6"/>
      <c r="C1521" s="6"/>
      <c r="D1521" s="6"/>
      <c r="E1521" s="16" t="str">
        <f aca="false">IF($B1521="","",IFERROR(INDEX(Services!$C$2:$C$120,MATCH($B1521,Services!$D$2:$D$120,0)),""))</f>
        <v/>
      </c>
      <c r="F1521" s="19"/>
      <c r="G1521" s="9" t="str">
        <f aca="false">IF(OR($B1521="",NOT(ISNUMBER($E1521))),"",$E1521-IF($F1521="",0,$F1521))</f>
        <v/>
      </c>
      <c r="H1521" s="15" t="str">
        <f aca="false">IF($B1521="","",IFERROR(INDEX(Services!$A$2:$A$120,MATCH($B1521,Services!$D$2:$D$120,0)),""))</f>
        <v/>
      </c>
      <c r="I1521" s="19"/>
      <c r="J1521" s="15" t="str">
        <f aca="false">IF($B1521="","",IFERROR(INDEX(Services!$E$2:$E$120,MATCH($B1521,Services!$D$2:$D$120,0)),""))</f>
        <v/>
      </c>
    </row>
    <row r="1522" customFormat="false" ht="14.25" hidden="false" customHeight="false" outlineLevel="0" collapsed="false">
      <c r="A1522" s="18"/>
      <c r="B1522" s="6"/>
      <c r="C1522" s="6"/>
      <c r="D1522" s="6"/>
      <c r="E1522" s="16" t="str">
        <f aca="false">IF($B1522="","",IFERROR(INDEX(Services!$C$2:$C$120,MATCH($B1522,Services!$D$2:$D$120,0)),""))</f>
        <v/>
      </c>
      <c r="F1522" s="19"/>
      <c r="G1522" s="9" t="str">
        <f aca="false">IF(OR($B1522="",NOT(ISNUMBER($E1522))),"",$E1522-IF($F1522="",0,$F1522))</f>
        <v/>
      </c>
      <c r="H1522" s="15" t="str">
        <f aca="false">IF($B1522="","",IFERROR(INDEX(Services!$A$2:$A$120,MATCH($B1522,Services!$D$2:$D$120,0)),""))</f>
        <v/>
      </c>
      <c r="I1522" s="19"/>
      <c r="J1522" s="15" t="str">
        <f aca="false">IF($B1522="","",IFERROR(INDEX(Services!$E$2:$E$120,MATCH($B1522,Services!$D$2:$D$120,0)),""))</f>
        <v/>
      </c>
    </row>
    <row r="1523" customFormat="false" ht="14.25" hidden="false" customHeight="false" outlineLevel="0" collapsed="false">
      <c r="A1523" s="18"/>
      <c r="B1523" s="6"/>
      <c r="C1523" s="6"/>
      <c r="D1523" s="6"/>
      <c r="E1523" s="16" t="str">
        <f aca="false">IF($B1523="","",IFERROR(INDEX(Services!$C$2:$C$120,MATCH($B1523,Services!$D$2:$D$120,0)),""))</f>
        <v/>
      </c>
      <c r="F1523" s="19"/>
      <c r="G1523" s="9" t="str">
        <f aca="false">IF(OR($B1523="",NOT(ISNUMBER($E1523))),"",$E1523-IF($F1523="",0,$F1523))</f>
        <v/>
      </c>
      <c r="H1523" s="15" t="str">
        <f aca="false">IF($B1523="","",IFERROR(INDEX(Services!$A$2:$A$120,MATCH($B1523,Services!$D$2:$D$120,0)),""))</f>
        <v/>
      </c>
      <c r="I1523" s="19"/>
      <c r="J1523" s="15" t="str">
        <f aca="false">IF($B1523="","",IFERROR(INDEX(Services!$E$2:$E$120,MATCH($B1523,Services!$D$2:$D$120,0)),""))</f>
        <v/>
      </c>
    </row>
    <row r="1524" customFormat="false" ht="14.25" hidden="false" customHeight="false" outlineLevel="0" collapsed="false">
      <c r="A1524" s="18"/>
      <c r="B1524" s="6"/>
      <c r="C1524" s="6"/>
      <c r="D1524" s="6"/>
      <c r="E1524" s="16" t="str">
        <f aca="false">IF($B1524="","",IFERROR(INDEX(Services!$C$2:$C$120,MATCH($B1524,Services!$D$2:$D$120,0)),""))</f>
        <v/>
      </c>
      <c r="F1524" s="19"/>
      <c r="G1524" s="9" t="str">
        <f aca="false">IF(OR($B1524="",NOT(ISNUMBER($E1524))),"",$E1524-IF($F1524="",0,$F1524))</f>
        <v/>
      </c>
      <c r="H1524" s="15" t="str">
        <f aca="false">IF($B1524="","",IFERROR(INDEX(Services!$A$2:$A$120,MATCH($B1524,Services!$D$2:$D$120,0)),""))</f>
        <v/>
      </c>
      <c r="I1524" s="19"/>
      <c r="J1524" s="15" t="str">
        <f aca="false">IF($B1524="","",IFERROR(INDEX(Services!$E$2:$E$120,MATCH($B1524,Services!$D$2:$D$120,0)),""))</f>
        <v/>
      </c>
    </row>
    <row r="1525" customFormat="false" ht="14.25" hidden="false" customHeight="false" outlineLevel="0" collapsed="false">
      <c r="A1525" s="18"/>
      <c r="B1525" s="6"/>
      <c r="C1525" s="6"/>
      <c r="D1525" s="6"/>
      <c r="E1525" s="16" t="str">
        <f aca="false">IF($B1525="","",IFERROR(INDEX(Services!$C$2:$C$120,MATCH($B1525,Services!$D$2:$D$120,0)),""))</f>
        <v/>
      </c>
      <c r="F1525" s="19"/>
      <c r="G1525" s="9" t="str">
        <f aca="false">IF(OR($B1525="",NOT(ISNUMBER($E1525))),"",$E1525-IF($F1525="",0,$F1525))</f>
        <v/>
      </c>
      <c r="H1525" s="15" t="str">
        <f aca="false">IF($B1525="","",IFERROR(INDEX(Services!$A$2:$A$120,MATCH($B1525,Services!$D$2:$D$120,0)),""))</f>
        <v/>
      </c>
      <c r="I1525" s="19"/>
      <c r="J1525" s="15" t="str">
        <f aca="false">IF($B1525="","",IFERROR(INDEX(Services!$E$2:$E$120,MATCH($B1525,Services!$D$2:$D$120,0)),""))</f>
        <v/>
      </c>
    </row>
    <row r="1526" customFormat="false" ht="14.25" hidden="false" customHeight="false" outlineLevel="0" collapsed="false">
      <c r="A1526" s="18"/>
      <c r="B1526" s="6"/>
      <c r="C1526" s="6"/>
      <c r="D1526" s="6"/>
      <c r="E1526" s="16" t="str">
        <f aca="false">IF($B1526="","",IFERROR(INDEX(Services!$C$2:$C$120,MATCH($B1526,Services!$D$2:$D$120,0)),""))</f>
        <v/>
      </c>
      <c r="F1526" s="19"/>
      <c r="G1526" s="9" t="str">
        <f aca="false">IF(OR($B1526="",NOT(ISNUMBER($E1526))),"",$E1526-IF($F1526="",0,$F1526))</f>
        <v/>
      </c>
      <c r="H1526" s="15" t="str">
        <f aca="false">IF($B1526="","",IFERROR(INDEX(Services!$A$2:$A$120,MATCH($B1526,Services!$D$2:$D$120,0)),""))</f>
        <v/>
      </c>
      <c r="I1526" s="19"/>
      <c r="J1526" s="15" t="str">
        <f aca="false">IF($B1526="","",IFERROR(INDEX(Services!$E$2:$E$120,MATCH($B1526,Services!$D$2:$D$120,0)),""))</f>
        <v/>
      </c>
    </row>
    <row r="1527" customFormat="false" ht="14.25" hidden="false" customHeight="false" outlineLevel="0" collapsed="false">
      <c r="A1527" s="18"/>
      <c r="B1527" s="6"/>
      <c r="C1527" s="6"/>
      <c r="D1527" s="6"/>
      <c r="E1527" s="16" t="str">
        <f aca="false">IF($B1527="","",IFERROR(INDEX(Services!$C$2:$C$120,MATCH($B1527,Services!$D$2:$D$120,0)),""))</f>
        <v/>
      </c>
      <c r="F1527" s="19"/>
      <c r="G1527" s="9" t="str">
        <f aca="false">IF(OR($B1527="",NOT(ISNUMBER($E1527))),"",$E1527-IF($F1527="",0,$F1527))</f>
        <v/>
      </c>
      <c r="H1527" s="15" t="str">
        <f aca="false">IF($B1527="","",IFERROR(INDEX(Services!$A$2:$A$120,MATCH($B1527,Services!$D$2:$D$120,0)),""))</f>
        <v/>
      </c>
      <c r="I1527" s="19"/>
      <c r="J1527" s="15" t="str">
        <f aca="false">IF($B1527="","",IFERROR(INDEX(Services!$E$2:$E$120,MATCH($B1527,Services!$D$2:$D$120,0)),""))</f>
        <v/>
      </c>
    </row>
    <row r="1528" customFormat="false" ht="14.25" hidden="false" customHeight="false" outlineLevel="0" collapsed="false">
      <c r="A1528" s="18"/>
      <c r="B1528" s="6"/>
      <c r="C1528" s="6"/>
      <c r="D1528" s="6"/>
      <c r="E1528" s="16" t="str">
        <f aca="false">IF($B1528="","",IFERROR(INDEX(Services!$C$2:$C$120,MATCH($B1528,Services!$D$2:$D$120,0)),""))</f>
        <v/>
      </c>
      <c r="F1528" s="19"/>
      <c r="G1528" s="9" t="str">
        <f aca="false">IF(OR($B1528="",NOT(ISNUMBER($E1528))),"",$E1528-IF($F1528="",0,$F1528))</f>
        <v/>
      </c>
      <c r="H1528" s="15" t="str">
        <f aca="false">IF($B1528="","",IFERROR(INDEX(Services!$A$2:$A$120,MATCH($B1528,Services!$D$2:$D$120,0)),""))</f>
        <v/>
      </c>
      <c r="I1528" s="19"/>
      <c r="J1528" s="15" t="str">
        <f aca="false">IF($B1528="","",IFERROR(INDEX(Services!$E$2:$E$120,MATCH($B1528,Services!$D$2:$D$120,0)),""))</f>
        <v/>
      </c>
    </row>
    <row r="1529" customFormat="false" ht="14.25" hidden="false" customHeight="false" outlineLevel="0" collapsed="false">
      <c r="A1529" s="18"/>
      <c r="B1529" s="6"/>
      <c r="C1529" s="6"/>
      <c r="D1529" s="6"/>
      <c r="E1529" s="16" t="str">
        <f aca="false">IF($B1529="","",IFERROR(INDEX(Services!$C$2:$C$120,MATCH($B1529,Services!$D$2:$D$120,0)),""))</f>
        <v/>
      </c>
      <c r="F1529" s="19"/>
      <c r="G1529" s="9" t="str">
        <f aca="false">IF(OR($B1529="",NOT(ISNUMBER($E1529))),"",$E1529-IF($F1529="",0,$F1529))</f>
        <v/>
      </c>
      <c r="H1529" s="15" t="str">
        <f aca="false">IF($B1529="","",IFERROR(INDEX(Services!$A$2:$A$120,MATCH($B1529,Services!$D$2:$D$120,0)),""))</f>
        <v/>
      </c>
      <c r="I1529" s="19"/>
      <c r="J1529" s="15" t="str">
        <f aca="false">IF($B1529="","",IFERROR(INDEX(Services!$E$2:$E$120,MATCH($B1529,Services!$D$2:$D$120,0)),""))</f>
        <v/>
      </c>
    </row>
    <row r="1530" customFormat="false" ht="14.25" hidden="false" customHeight="false" outlineLevel="0" collapsed="false">
      <c r="A1530" s="18"/>
      <c r="B1530" s="6"/>
      <c r="C1530" s="6"/>
      <c r="D1530" s="6"/>
      <c r="E1530" s="16" t="str">
        <f aca="false">IF($B1530="","",IFERROR(INDEX(Services!$C$2:$C$120,MATCH($B1530,Services!$D$2:$D$120,0)),""))</f>
        <v/>
      </c>
      <c r="F1530" s="19"/>
      <c r="G1530" s="9" t="str">
        <f aca="false">IF(OR($B1530="",NOT(ISNUMBER($E1530))),"",$E1530-IF($F1530="",0,$F1530))</f>
        <v/>
      </c>
      <c r="H1530" s="15" t="str">
        <f aca="false">IF($B1530="","",IFERROR(INDEX(Services!$A$2:$A$120,MATCH($B1530,Services!$D$2:$D$120,0)),""))</f>
        <v/>
      </c>
      <c r="I1530" s="19"/>
      <c r="J1530" s="15" t="str">
        <f aca="false">IF($B1530="","",IFERROR(INDEX(Services!$E$2:$E$120,MATCH($B1530,Services!$D$2:$D$120,0)),""))</f>
        <v/>
      </c>
    </row>
    <row r="1531" customFormat="false" ht="14.25" hidden="false" customHeight="false" outlineLevel="0" collapsed="false">
      <c r="A1531" s="18"/>
      <c r="B1531" s="6"/>
      <c r="C1531" s="6"/>
      <c r="D1531" s="6"/>
      <c r="E1531" s="16" t="str">
        <f aca="false">IF($B1531="","",IFERROR(INDEX(Services!$C$2:$C$120,MATCH($B1531,Services!$D$2:$D$120,0)),""))</f>
        <v/>
      </c>
      <c r="F1531" s="19"/>
      <c r="G1531" s="9" t="str">
        <f aca="false">IF(OR($B1531="",NOT(ISNUMBER($E1531))),"",$E1531-IF($F1531="",0,$F1531))</f>
        <v/>
      </c>
      <c r="H1531" s="15" t="str">
        <f aca="false">IF($B1531="","",IFERROR(INDEX(Services!$A$2:$A$120,MATCH($B1531,Services!$D$2:$D$120,0)),""))</f>
        <v/>
      </c>
      <c r="I1531" s="19"/>
      <c r="J1531" s="15" t="str">
        <f aca="false">IF($B1531="","",IFERROR(INDEX(Services!$E$2:$E$120,MATCH($B1531,Services!$D$2:$D$120,0)),""))</f>
        <v/>
      </c>
    </row>
    <row r="1532" customFormat="false" ht="14.25" hidden="false" customHeight="false" outlineLevel="0" collapsed="false">
      <c r="A1532" s="18"/>
      <c r="B1532" s="6"/>
      <c r="C1532" s="6"/>
      <c r="D1532" s="6"/>
      <c r="E1532" s="16" t="str">
        <f aca="false">IF($B1532="","",IFERROR(INDEX(Services!$C$2:$C$120,MATCH($B1532,Services!$D$2:$D$120,0)),""))</f>
        <v/>
      </c>
      <c r="F1532" s="19"/>
      <c r="G1532" s="9" t="str">
        <f aca="false">IF(OR($B1532="",NOT(ISNUMBER($E1532))),"",$E1532-IF($F1532="",0,$F1532))</f>
        <v/>
      </c>
      <c r="H1532" s="15" t="str">
        <f aca="false">IF($B1532="","",IFERROR(INDEX(Services!$A$2:$A$120,MATCH($B1532,Services!$D$2:$D$120,0)),""))</f>
        <v/>
      </c>
      <c r="I1532" s="19"/>
      <c r="J1532" s="15" t="str">
        <f aca="false">IF($B1532="","",IFERROR(INDEX(Services!$E$2:$E$120,MATCH($B1532,Services!$D$2:$D$120,0)),""))</f>
        <v/>
      </c>
    </row>
    <row r="1533" customFormat="false" ht="14.25" hidden="false" customHeight="false" outlineLevel="0" collapsed="false">
      <c r="A1533" s="18"/>
      <c r="B1533" s="6"/>
      <c r="C1533" s="6"/>
      <c r="D1533" s="6"/>
      <c r="E1533" s="16" t="str">
        <f aca="false">IF($B1533="","",IFERROR(INDEX(Services!$C$2:$C$120,MATCH($B1533,Services!$D$2:$D$120,0)),""))</f>
        <v/>
      </c>
      <c r="F1533" s="19"/>
      <c r="G1533" s="9" t="str">
        <f aca="false">IF(OR($B1533="",NOT(ISNUMBER($E1533))),"",$E1533-IF($F1533="",0,$F1533))</f>
        <v/>
      </c>
      <c r="H1533" s="15" t="str">
        <f aca="false">IF($B1533="","",IFERROR(INDEX(Services!$A$2:$A$120,MATCH($B1533,Services!$D$2:$D$120,0)),""))</f>
        <v/>
      </c>
      <c r="I1533" s="19"/>
      <c r="J1533" s="15" t="str">
        <f aca="false">IF($B1533="","",IFERROR(INDEX(Services!$E$2:$E$120,MATCH($B1533,Services!$D$2:$D$120,0)),""))</f>
        <v/>
      </c>
    </row>
    <row r="1534" customFormat="false" ht="14.25" hidden="false" customHeight="false" outlineLevel="0" collapsed="false">
      <c r="A1534" s="18"/>
      <c r="B1534" s="6"/>
      <c r="C1534" s="6"/>
      <c r="D1534" s="6"/>
      <c r="E1534" s="16" t="str">
        <f aca="false">IF($B1534="","",IFERROR(INDEX(Services!$C$2:$C$120,MATCH($B1534,Services!$D$2:$D$120,0)),""))</f>
        <v/>
      </c>
      <c r="F1534" s="19"/>
      <c r="G1534" s="9" t="str">
        <f aca="false">IF(OR($B1534="",NOT(ISNUMBER($E1534))),"",$E1534-IF($F1534="",0,$F1534))</f>
        <v/>
      </c>
      <c r="H1534" s="15" t="str">
        <f aca="false">IF($B1534="","",IFERROR(INDEX(Services!$A$2:$A$120,MATCH($B1534,Services!$D$2:$D$120,0)),""))</f>
        <v/>
      </c>
      <c r="I1534" s="19"/>
      <c r="J1534" s="15" t="str">
        <f aca="false">IF($B1534="","",IFERROR(INDEX(Services!$E$2:$E$120,MATCH($B1534,Services!$D$2:$D$120,0)),""))</f>
        <v/>
      </c>
    </row>
    <row r="1535" customFormat="false" ht="14.25" hidden="false" customHeight="false" outlineLevel="0" collapsed="false">
      <c r="A1535" s="18"/>
      <c r="B1535" s="6"/>
      <c r="C1535" s="6"/>
      <c r="D1535" s="6"/>
      <c r="E1535" s="16" t="str">
        <f aca="false">IF($B1535="","",IFERROR(INDEX(Services!$C$2:$C$120,MATCH($B1535,Services!$D$2:$D$120,0)),""))</f>
        <v/>
      </c>
      <c r="F1535" s="19"/>
      <c r="G1535" s="9" t="str">
        <f aca="false">IF(OR($B1535="",NOT(ISNUMBER($E1535))),"",$E1535-IF($F1535="",0,$F1535))</f>
        <v/>
      </c>
      <c r="H1535" s="15" t="str">
        <f aca="false">IF($B1535="","",IFERROR(INDEX(Services!$A$2:$A$120,MATCH($B1535,Services!$D$2:$D$120,0)),""))</f>
        <v/>
      </c>
      <c r="I1535" s="19"/>
      <c r="J1535" s="15" t="str">
        <f aca="false">IF($B1535="","",IFERROR(INDEX(Services!$E$2:$E$120,MATCH($B1535,Services!$D$2:$D$120,0)),""))</f>
        <v/>
      </c>
    </row>
    <row r="1536" customFormat="false" ht="14.25" hidden="false" customHeight="false" outlineLevel="0" collapsed="false">
      <c r="A1536" s="18"/>
      <c r="B1536" s="6"/>
      <c r="C1536" s="6"/>
      <c r="D1536" s="6"/>
      <c r="E1536" s="16" t="str">
        <f aca="false">IF($B1536="","",IFERROR(INDEX(Services!$C$2:$C$120,MATCH($B1536,Services!$D$2:$D$120,0)),""))</f>
        <v/>
      </c>
      <c r="F1536" s="19"/>
      <c r="G1536" s="9" t="str">
        <f aca="false">IF(OR($B1536="",NOT(ISNUMBER($E1536))),"",$E1536-IF($F1536="",0,$F1536))</f>
        <v/>
      </c>
      <c r="H1536" s="15" t="str">
        <f aca="false">IF($B1536="","",IFERROR(INDEX(Services!$A$2:$A$120,MATCH($B1536,Services!$D$2:$D$120,0)),""))</f>
        <v/>
      </c>
      <c r="I1536" s="19"/>
      <c r="J1536" s="15" t="str">
        <f aca="false">IF($B1536="","",IFERROR(INDEX(Services!$E$2:$E$120,MATCH($B1536,Services!$D$2:$D$120,0)),""))</f>
        <v/>
      </c>
    </row>
    <row r="1537" customFormat="false" ht="14.25" hidden="false" customHeight="false" outlineLevel="0" collapsed="false">
      <c r="A1537" s="18"/>
      <c r="B1537" s="6"/>
      <c r="C1537" s="6"/>
      <c r="D1537" s="6"/>
      <c r="E1537" s="16" t="str">
        <f aca="false">IF($B1537="","",IFERROR(INDEX(Services!$C$2:$C$120,MATCH($B1537,Services!$D$2:$D$120,0)),""))</f>
        <v/>
      </c>
      <c r="F1537" s="19"/>
      <c r="G1537" s="9" t="str">
        <f aca="false">IF(OR($B1537="",NOT(ISNUMBER($E1537))),"",$E1537-IF($F1537="",0,$F1537))</f>
        <v/>
      </c>
      <c r="H1537" s="15" t="str">
        <f aca="false">IF($B1537="","",IFERROR(INDEX(Services!$A$2:$A$120,MATCH($B1537,Services!$D$2:$D$120,0)),""))</f>
        <v/>
      </c>
      <c r="I1537" s="19"/>
      <c r="J1537" s="15" t="str">
        <f aca="false">IF($B1537="","",IFERROR(INDEX(Services!$E$2:$E$120,MATCH($B1537,Services!$D$2:$D$120,0)),""))</f>
        <v/>
      </c>
    </row>
    <row r="1538" customFormat="false" ht="14.25" hidden="false" customHeight="false" outlineLevel="0" collapsed="false">
      <c r="A1538" s="18"/>
      <c r="B1538" s="6"/>
      <c r="C1538" s="6"/>
      <c r="D1538" s="6"/>
      <c r="E1538" s="16" t="str">
        <f aca="false">IF($B1538="","",IFERROR(INDEX(Services!$C$2:$C$120,MATCH($B1538,Services!$D$2:$D$120,0)),""))</f>
        <v/>
      </c>
      <c r="F1538" s="19"/>
      <c r="G1538" s="9" t="str">
        <f aca="false">IF(OR($B1538="",NOT(ISNUMBER($E1538))),"",$E1538-IF($F1538="",0,$F1538))</f>
        <v/>
      </c>
      <c r="H1538" s="15" t="str">
        <f aca="false">IF($B1538="","",IFERROR(INDEX(Services!$A$2:$A$120,MATCH($B1538,Services!$D$2:$D$120,0)),""))</f>
        <v/>
      </c>
      <c r="I1538" s="19"/>
      <c r="J1538" s="15" t="str">
        <f aca="false">IF($B1538="","",IFERROR(INDEX(Services!$E$2:$E$120,MATCH($B1538,Services!$D$2:$D$120,0)),""))</f>
        <v/>
      </c>
    </row>
    <row r="1539" customFormat="false" ht="14.25" hidden="false" customHeight="false" outlineLevel="0" collapsed="false">
      <c r="A1539" s="18"/>
      <c r="B1539" s="6"/>
      <c r="C1539" s="6"/>
      <c r="D1539" s="6"/>
      <c r="E1539" s="16" t="str">
        <f aca="false">IF($B1539="","",IFERROR(INDEX(Services!$C$2:$C$120,MATCH($B1539,Services!$D$2:$D$120,0)),""))</f>
        <v/>
      </c>
      <c r="F1539" s="19"/>
      <c r="G1539" s="9" t="str">
        <f aca="false">IF(OR($B1539="",NOT(ISNUMBER($E1539))),"",$E1539-IF($F1539="",0,$F1539))</f>
        <v/>
      </c>
      <c r="H1539" s="15" t="str">
        <f aca="false">IF($B1539="","",IFERROR(INDEX(Services!$A$2:$A$120,MATCH($B1539,Services!$D$2:$D$120,0)),""))</f>
        <v/>
      </c>
      <c r="I1539" s="19"/>
      <c r="J1539" s="15" t="str">
        <f aca="false">IF($B1539="","",IFERROR(INDEX(Services!$E$2:$E$120,MATCH($B1539,Services!$D$2:$D$120,0)),""))</f>
        <v/>
      </c>
    </row>
    <row r="1540" customFormat="false" ht="14.25" hidden="false" customHeight="false" outlineLevel="0" collapsed="false">
      <c r="A1540" s="18"/>
      <c r="B1540" s="6"/>
      <c r="C1540" s="6"/>
      <c r="D1540" s="6"/>
      <c r="E1540" s="16" t="str">
        <f aca="false">IF($B1540="","",IFERROR(INDEX(Services!$C$2:$C$120,MATCH($B1540,Services!$D$2:$D$120,0)),""))</f>
        <v/>
      </c>
      <c r="F1540" s="19"/>
      <c r="G1540" s="9" t="str">
        <f aca="false">IF(OR($B1540="",NOT(ISNUMBER($E1540))),"",$E1540-IF($F1540="",0,$F1540))</f>
        <v/>
      </c>
      <c r="H1540" s="15" t="str">
        <f aca="false">IF($B1540="","",IFERROR(INDEX(Services!$A$2:$A$120,MATCH($B1540,Services!$D$2:$D$120,0)),""))</f>
        <v/>
      </c>
      <c r="I1540" s="19"/>
      <c r="J1540" s="15" t="str">
        <f aca="false">IF($B1540="","",IFERROR(INDEX(Services!$E$2:$E$120,MATCH($B1540,Services!$D$2:$D$120,0)),""))</f>
        <v/>
      </c>
    </row>
    <row r="1541" customFormat="false" ht="14.25" hidden="false" customHeight="false" outlineLevel="0" collapsed="false">
      <c r="A1541" s="18"/>
      <c r="B1541" s="6"/>
      <c r="C1541" s="6"/>
      <c r="D1541" s="6"/>
      <c r="E1541" s="16" t="str">
        <f aca="false">IF($B1541="","",IFERROR(INDEX(Services!$C$2:$C$120,MATCH($B1541,Services!$D$2:$D$120,0)),""))</f>
        <v/>
      </c>
      <c r="F1541" s="19"/>
      <c r="G1541" s="9" t="str">
        <f aca="false">IF(OR($B1541="",NOT(ISNUMBER($E1541))),"",$E1541-IF($F1541="",0,$F1541))</f>
        <v/>
      </c>
      <c r="H1541" s="15" t="str">
        <f aca="false">IF($B1541="","",IFERROR(INDEX(Services!$A$2:$A$120,MATCH($B1541,Services!$D$2:$D$120,0)),""))</f>
        <v/>
      </c>
      <c r="I1541" s="19"/>
      <c r="J1541" s="15" t="str">
        <f aca="false">IF($B1541="","",IFERROR(INDEX(Services!$E$2:$E$120,MATCH($B1541,Services!$D$2:$D$120,0)),""))</f>
        <v/>
      </c>
    </row>
    <row r="1542" customFormat="false" ht="14.25" hidden="false" customHeight="false" outlineLevel="0" collapsed="false">
      <c r="A1542" s="18"/>
      <c r="B1542" s="6"/>
      <c r="C1542" s="6"/>
      <c r="D1542" s="6"/>
      <c r="E1542" s="16" t="str">
        <f aca="false">IF($B1542="","",IFERROR(INDEX(Services!$C$2:$C$120,MATCH($B1542,Services!$D$2:$D$120,0)),""))</f>
        <v/>
      </c>
      <c r="F1542" s="19"/>
      <c r="G1542" s="9" t="str">
        <f aca="false">IF(OR($B1542="",NOT(ISNUMBER($E1542))),"",$E1542-IF($F1542="",0,$F1542))</f>
        <v/>
      </c>
      <c r="H1542" s="15" t="str">
        <f aca="false">IF($B1542="","",IFERROR(INDEX(Services!$A$2:$A$120,MATCH($B1542,Services!$D$2:$D$120,0)),""))</f>
        <v/>
      </c>
      <c r="I1542" s="19"/>
      <c r="J1542" s="15" t="str">
        <f aca="false">IF($B1542="","",IFERROR(INDEX(Services!$E$2:$E$120,MATCH($B1542,Services!$D$2:$D$120,0)),""))</f>
        <v/>
      </c>
    </row>
    <row r="1543" customFormat="false" ht="14.25" hidden="false" customHeight="false" outlineLevel="0" collapsed="false">
      <c r="A1543" s="18"/>
      <c r="B1543" s="6"/>
      <c r="C1543" s="6"/>
      <c r="D1543" s="6"/>
      <c r="E1543" s="16" t="str">
        <f aca="false">IF($B1543="","",IFERROR(INDEX(Services!$C$2:$C$120,MATCH($B1543,Services!$D$2:$D$120,0)),""))</f>
        <v/>
      </c>
      <c r="F1543" s="19"/>
      <c r="G1543" s="9" t="str">
        <f aca="false">IF(OR($B1543="",NOT(ISNUMBER($E1543))),"",$E1543-IF($F1543="",0,$F1543))</f>
        <v/>
      </c>
      <c r="H1543" s="15" t="str">
        <f aca="false">IF($B1543="","",IFERROR(INDEX(Services!$A$2:$A$120,MATCH($B1543,Services!$D$2:$D$120,0)),""))</f>
        <v/>
      </c>
      <c r="I1543" s="19"/>
      <c r="J1543" s="15" t="str">
        <f aca="false">IF($B1543="","",IFERROR(INDEX(Services!$E$2:$E$120,MATCH($B1543,Services!$D$2:$D$120,0)),""))</f>
        <v/>
      </c>
    </row>
    <row r="1544" customFormat="false" ht="14.25" hidden="false" customHeight="false" outlineLevel="0" collapsed="false">
      <c r="A1544" s="18"/>
      <c r="B1544" s="6"/>
      <c r="C1544" s="6"/>
      <c r="D1544" s="6"/>
      <c r="E1544" s="16" t="str">
        <f aca="false">IF($B1544="","",IFERROR(INDEX(Services!$C$2:$C$120,MATCH($B1544,Services!$D$2:$D$120,0)),""))</f>
        <v/>
      </c>
      <c r="F1544" s="19"/>
      <c r="G1544" s="9" t="str">
        <f aca="false">IF(OR($B1544="",NOT(ISNUMBER($E1544))),"",$E1544-IF($F1544="",0,$F1544))</f>
        <v/>
      </c>
      <c r="H1544" s="15" t="str">
        <f aca="false">IF($B1544="","",IFERROR(INDEX(Services!$A$2:$A$120,MATCH($B1544,Services!$D$2:$D$120,0)),""))</f>
        <v/>
      </c>
      <c r="I1544" s="19"/>
      <c r="J1544" s="15" t="str">
        <f aca="false">IF($B1544="","",IFERROR(INDEX(Services!$E$2:$E$120,MATCH($B1544,Services!$D$2:$D$120,0)),""))</f>
        <v/>
      </c>
    </row>
    <row r="1545" customFormat="false" ht="14.25" hidden="false" customHeight="false" outlineLevel="0" collapsed="false">
      <c r="A1545" s="18"/>
      <c r="B1545" s="6"/>
      <c r="C1545" s="6"/>
      <c r="D1545" s="6"/>
      <c r="E1545" s="16" t="str">
        <f aca="false">IF($B1545="","",IFERROR(INDEX(Services!$C$2:$C$120,MATCH($B1545,Services!$D$2:$D$120,0)),""))</f>
        <v/>
      </c>
      <c r="F1545" s="19"/>
      <c r="G1545" s="9" t="str">
        <f aca="false">IF(OR($B1545="",NOT(ISNUMBER($E1545))),"",$E1545-IF($F1545="",0,$F1545))</f>
        <v/>
      </c>
      <c r="H1545" s="15" t="str">
        <f aca="false">IF($B1545="","",IFERROR(INDEX(Services!$A$2:$A$120,MATCH($B1545,Services!$D$2:$D$120,0)),""))</f>
        <v/>
      </c>
      <c r="I1545" s="19"/>
      <c r="J1545" s="15" t="str">
        <f aca="false">IF($B1545="","",IFERROR(INDEX(Services!$E$2:$E$120,MATCH($B1545,Services!$D$2:$D$120,0)),""))</f>
        <v/>
      </c>
    </row>
    <row r="1546" customFormat="false" ht="14.25" hidden="false" customHeight="false" outlineLevel="0" collapsed="false">
      <c r="A1546" s="18"/>
      <c r="B1546" s="6"/>
      <c r="C1546" s="6"/>
      <c r="D1546" s="6"/>
      <c r="E1546" s="16" t="str">
        <f aca="false">IF($B1546="","",IFERROR(INDEX(Services!$C$2:$C$120,MATCH($B1546,Services!$D$2:$D$120,0)),""))</f>
        <v/>
      </c>
      <c r="F1546" s="19"/>
      <c r="G1546" s="9" t="str">
        <f aca="false">IF(OR($B1546="",NOT(ISNUMBER($E1546))),"",$E1546-IF($F1546="",0,$F1546))</f>
        <v/>
      </c>
      <c r="H1546" s="15" t="str">
        <f aca="false">IF($B1546="","",IFERROR(INDEX(Services!$A$2:$A$120,MATCH($B1546,Services!$D$2:$D$120,0)),""))</f>
        <v/>
      </c>
      <c r="I1546" s="19"/>
      <c r="J1546" s="15" t="str">
        <f aca="false">IF($B1546="","",IFERROR(INDEX(Services!$E$2:$E$120,MATCH($B1546,Services!$D$2:$D$120,0)),""))</f>
        <v/>
      </c>
    </row>
    <row r="1547" customFormat="false" ht="14.25" hidden="false" customHeight="false" outlineLevel="0" collapsed="false">
      <c r="A1547" s="18"/>
      <c r="B1547" s="6"/>
      <c r="C1547" s="6"/>
      <c r="D1547" s="6"/>
      <c r="E1547" s="16" t="str">
        <f aca="false">IF($B1547="","",IFERROR(INDEX(Services!$C$2:$C$120,MATCH($B1547,Services!$D$2:$D$120,0)),""))</f>
        <v/>
      </c>
      <c r="F1547" s="19"/>
      <c r="G1547" s="9" t="str">
        <f aca="false">IF(OR($B1547="",NOT(ISNUMBER($E1547))),"",$E1547-IF($F1547="",0,$F1547))</f>
        <v/>
      </c>
      <c r="H1547" s="15" t="str">
        <f aca="false">IF($B1547="","",IFERROR(INDEX(Services!$A$2:$A$120,MATCH($B1547,Services!$D$2:$D$120,0)),""))</f>
        <v/>
      </c>
      <c r="I1547" s="19"/>
      <c r="J1547" s="15" t="str">
        <f aca="false">IF($B1547="","",IFERROR(INDEX(Services!$E$2:$E$120,MATCH($B1547,Services!$D$2:$D$120,0)),""))</f>
        <v/>
      </c>
    </row>
    <row r="1548" customFormat="false" ht="14.25" hidden="false" customHeight="false" outlineLevel="0" collapsed="false">
      <c r="A1548" s="18"/>
      <c r="B1548" s="6"/>
      <c r="C1548" s="6"/>
      <c r="D1548" s="6"/>
      <c r="E1548" s="16" t="str">
        <f aca="false">IF($B1548="","",IFERROR(INDEX(Services!$C$2:$C$120,MATCH($B1548,Services!$D$2:$D$120,0)),""))</f>
        <v/>
      </c>
      <c r="F1548" s="19"/>
      <c r="G1548" s="9" t="str">
        <f aca="false">IF(OR($B1548="",NOT(ISNUMBER($E1548))),"",$E1548-IF($F1548="",0,$F1548))</f>
        <v/>
      </c>
      <c r="H1548" s="15" t="str">
        <f aca="false">IF($B1548="","",IFERROR(INDEX(Services!$A$2:$A$120,MATCH($B1548,Services!$D$2:$D$120,0)),""))</f>
        <v/>
      </c>
      <c r="I1548" s="19"/>
      <c r="J1548" s="15" t="str">
        <f aca="false">IF($B1548="","",IFERROR(INDEX(Services!$E$2:$E$120,MATCH($B1548,Services!$D$2:$D$120,0)),""))</f>
        <v/>
      </c>
    </row>
    <row r="1549" customFormat="false" ht="14.25" hidden="false" customHeight="false" outlineLevel="0" collapsed="false">
      <c r="A1549" s="18"/>
      <c r="B1549" s="6"/>
      <c r="C1549" s="6"/>
      <c r="D1549" s="6"/>
      <c r="E1549" s="16" t="str">
        <f aca="false">IF($B1549="","",IFERROR(INDEX(Services!$C$2:$C$120,MATCH($B1549,Services!$D$2:$D$120,0)),""))</f>
        <v/>
      </c>
      <c r="F1549" s="19"/>
      <c r="G1549" s="9" t="str">
        <f aca="false">IF(OR($B1549="",NOT(ISNUMBER($E1549))),"",$E1549-IF($F1549="",0,$F1549))</f>
        <v/>
      </c>
      <c r="H1549" s="15" t="str">
        <f aca="false">IF($B1549="","",IFERROR(INDEX(Services!$A$2:$A$120,MATCH($B1549,Services!$D$2:$D$120,0)),""))</f>
        <v/>
      </c>
      <c r="I1549" s="19"/>
      <c r="J1549" s="15" t="str">
        <f aca="false">IF($B1549="","",IFERROR(INDEX(Services!$E$2:$E$120,MATCH($B1549,Services!$D$2:$D$120,0)),""))</f>
        <v/>
      </c>
    </row>
    <row r="1550" customFormat="false" ht="14.25" hidden="false" customHeight="false" outlineLevel="0" collapsed="false">
      <c r="A1550" s="18"/>
      <c r="B1550" s="6"/>
      <c r="C1550" s="6"/>
      <c r="D1550" s="6"/>
      <c r="E1550" s="16" t="str">
        <f aca="false">IF($B1550="","",IFERROR(INDEX(Services!$C$2:$C$120,MATCH($B1550,Services!$D$2:$D$120,0)),""))</f>
        <v/>
      </c>
      <c r="F1550" s="19"/>
      <c r="G1550" s="9" t="str">
        <f aca="false">IF(OR($B1550="",NOT(ISNUMBER($E1550))),"",$E1550-IF($F1550="",0,$F1550))</f>
        <v/>
      </c>
      <c r="H1550" s="15" t="str">
        <f aca="false">IF($B1550="","",IFERROR(INDEX(Services!$A$2:$A$120,MATCH($B1550,Services!$D$2:$D$120,0)),""))</f>
        <v/>
      </c>
      <c r="I1550" s="19"/>
      <c r="J1550" s="15" t="str">
        <f aca="false">IF($B1550="","",IFERROR(INDEX(Services!$E$2:$E$120,MATCH($B1550,Services!$D$2:$D$120,0)),""))</f>
        <v/>
      </c>
    </row>
    <row r="1551" customFormat="false" ht="14.25" hidden="false" customHeight="false" outlineLevel="0" collapsed="false">
      <c r="A1551" s="18"/>
      <c r="B1551" s="6"/>
      <c r="C1551" s="6"/>
      <c r="D1551" s="6"/>
      <c r="E1551" s="16" t="str">
        <f aca="false">IF($B1551="","",IFERROR(INDEX(Services!$C$2:$C$120,MATCH($B1551,Services!$D$2:$D$120,0)),""))</f>
        <v/>
      </c>
      <c r="F1551" s="19"/>
      <c r="G1551" s="9" t="str">
        <f aca="false">IF(OR($B1551="",NOT(ISNUMBER($E1551))),"",$E1551-IF($F1551="",0,$F1551))</f>
        <v/>
      </c>
      <c r="H1551" s="15" t="str">
        <f aca="false">IF($B1551="","",IFERROR(INDEX(Services!$A$2:$A$120,MATCH($B1551,Services!$D$2:$D$120,0)),""))</f>
        <v/>
      </c>
      <c r="I1551" s="19"/>
      <c r="J1551" s="15" t="str">
        <f aca="false">IF($B1551="","",IFERROR(INDEX(Services!$E$2:$E$120,MATCH($B1551,Services!$D$2:$D$120,0)),""))</f>
        <v/>
      </c>
    </row>
    <row r="1552" customFormat="false" ht="14.25" hidden="false" customHeight="false" outlineLevel="0" collapsed="false">
      <c r="A1552" s="18"/>
      <c r="B1552" s="6"/>
      <c r="C1552" s="6"/>
      <c r="D1552" s="6"/>
      <c r="E1552" s="16" t="str">
        <f aca="false">IF($B1552="","",IFERROR(INDEX(Services!$C$2:$C$120,MATCH($B1552,Services!$D$2:$D$120,0)),""))</f>
        <v/>
      </c>
      <c r="F1552" s="19"/>
      <c r="G1552" s="9" t="str">
        <f aca="false">IF(OR($B1552="",NOT(ISNUMBER($E1552))),"",$E1552-IF($F1552="",0,$F1552))</f>
        <v/>
      </c>
      <c r="H1552" s="15" t="str">
        <f aca="false">IF($B1552="","",IFERROR(INDEX(Services!$A$2:$A$120,MATCH($B1552,Services!$D$2:$D$120,0)),""))</f>
        <v/>
      </c>
      <c r="I1552" s="19"/>
      <c r="J1552" s="15" t="str">
        <f aca="false">IF($B1552="","",IFERROR(INDEX(Services!$E$2:$E$120,MATCH($B1552,Services!$D$2:$D$120,0)),""))</f>
        <v/>
      </c>
    </row>
    <row r="1553" customFormat="false" ht="14.25" hidden="false" customHeight="false" outlineLevel="0" collapsed="false">
      <c r="A1553" s="18"/>
      <c r="B1553" s="6"/>
      <c r="C1553" s="6"/>
      <c r="D1553" s="6"/>
      <c r="E1553" s="16" t="str">
        <f aca="false">IF($B1553="","",IFERROR(INDEX(Services!$C$2:$C$120,MATCH($B1553,Services!$D$2:$D$120,0)),""))</f>
        <v/>
      </c>
      <c r="F1553" s="19"/>
      <c r="G1553" s="9" t="str">
        <f aca="false">IF(OR($B1553="",NOT(ISNUMBER($E1553))),"",$E1553-IF($F1553="",0,$F1553))</f>
        <v/>
      </c>
      <c r="H1553" s="15" t="str">
        <f aca="false">IF($B1553="","",IFERROR(INDEX(Services!$A$2:$A$120,MATCH($B1553,Services!$D$2:$D$120,0)),""))</f>
        <v/>
      </c>
      <c r="I1553" s="19"/>
      <c r="J1553" s="15" t="str">
        <f aca="false">IF($B1553="","",IFERROR(INDEX(Services!$E$2:$E$120,MATCH($B1553,Services!$D$2:$D$120,0)),""))</f>
        <v/>
      </c>
    </row>
    <row r="1554" customFormat="false" ht="14.25" hidden="false" customHeight="false" outlineLevel="0" collapsed="false">
      <c r="A1554" s="18"/>
      <c r="B1554" s="6"/>
      <c r="C1554" s="6"/>
      <c r="D1554" s="6"/>
      <c r="E1554" s="16" t="str">
        <f aca="false">IF($B1554="","",IFERROR(INDEX(Services!$C$2:$C$120,MATCH($B1554,Services!$D$2:$D$120,0)),""))</f>
        <v/>
      </c>
      <c r="F1554" s="19"/>
      <c r="G1554" s="9" t="str">
        <f aca="false">IF(OR($B1554="",NOT(ISNUMBER($E1554))),"",$E1554-IF($F1554="",0,$F1554))</f>
        <v/>
      </c>
      <c r="H1554" s="15" t="str">
        <f aca="false">IF($B1554="","",IFERROR(INDEX(Services!$A$2:$A$120,MATCH($B1554,Services!$D$2:$D$120,0)),""))</f>
        <v/>
      </c>
      <c r="I1554" s="19"/>
      <c r="J1554" s="15" t="str">
        <f aca="false">IF($B1554="","",IFERROR(INDEX(Services!$E$2:$E$120,MATCH($B1554,Services!$D$2:$D$120,0)),""))</f>
        <v/>
      </c>
    </row>
    <row r="1555" customFormat="false" ht="14.25" hidden="false" customHeight="false" outlineLevel="0" collapsed="false">
      <c r="A1555" s="18"/>
      <c r="B1555" s="6"/>
      <c r="C1555" s="6"/>
      <c r="D1555" s="6"/>
      <c r="E1555" s="16" t="str">
        <f aca="false">IF($B1555="","",IFERROR(INDEX(Services!$C$2:$C$120,MATCH($B1555,Services!$D$2:$D$120,0)),""))</f>
        <v/>
      </c>
      <c r="F1555" s="19"/>
      <c r="G1555" s="9" t="str">
        <f aca="false">IF(OR($B1555="",NOT(ISNUMBER($E1555))),"",$E1555-IF($F1555="",0,$F1555))</f>
        <v/>
      </c>
      <c r="H1555" s="15" t="str">
        <f aca="false">IF($B1555="","",IFERROR(INDEX(Services!$A$2:$A$120,MATCH($B1555,Services!$D$2:$D$120,0)),""))</f>
        <v/>
      </c>
      <c r="I1555" s="19"/>
      <c r="J1555" s="15" t="str">
        <f aca="false">IF($B1555="","",IFERROR(INDEX(Services!$E$2:$E$120,MATCH($B1555,Services!$D$2:$D$120,0)),""))</f>
        <v/>
      </c>
    </row>
    <row r="1556" customFormat="false" ht="14.25" hidden="false" customHeight="false" outlineLevel="0" collapsed="false">
      <c r="A1556" s="18"/>
      <c r="B1556" s="6"/>
      <c r="C1556" s="6"/>
      <c r="D1556" s="6"/>
      <c r="E1556" s="16" t="str">
        <f aca="false">IF($B1556="","",IFERROR(INDEX(Services!$C$2:$C$120,MATCH($B1556,Services!$D$2:$D$120,0)),""))</f>
        <v/>
      </c>
      <c r="F1556" s="19"/>
      <c r="G1556" s="9" t="str">
        <f aca="false">IF(OR($B1556="",NOT(ISNUMBER($E1556))),"",$E1556-IF($F1556="",0,$F1556))</f>
        <v/>
      </c>
      <c r="H1556" s="15" t="str">
        <f aca="false">IF($B1556="","",IFERROR(INDEX(Services!$A$2:$A$120,MATCH($B1556,Services!$D$2:$D$120,0)),""))</f>
        <v/>
      </c>
      <c r="I1556" s="19"/>
      <c r="J1556" s="15" t="str">
        <f aca="false">IF($B1556="","",IFERROR(INDEX(Services!$E$2:$E$120,MATCH($B1556,Services!$D$2:$D$120,0)),""))</f>
        <v/>
      </c>
    </row>
    <row r="1557" customFormat="false" ht="14.25" hidden="false" customHeight="false" outlineLevel="0" collapsed="false">
      <c r="A1557" s="18"/>
      <c r="B1557" s="6"/>
      <c r="C1557" s="6"/>
      <c r="D1557" s="6"/>
      <c r="E1557" s="16" t="str">
        <f aca="false">IF($B1557="","",IFERROR(INDEX(Services!$C$2:$C$120,MATCH($B1557,Services!$D$2:$D$120,0)),""))</f>
        <v/>
      </c>
      <c r="F1557" s="19"/>
      <c r="G1557" s="9" t="str">
        <f aca="false">IF(OR($B1557="",NOT(ISNUMBER($E1557))),"",$E1557-IF($F1557="",0,$F1557))</f>
        <v/>
      </c>
      <c r="H1557" s="15" t="str">
        <f aca="false">IF($B1557="","",IFERROR(INDEX(Services!$A$2:$A$120,MATCH($B1557,Services!$D$2:$D$120,0)),""))</f>
        <v/>
      </c>
      <c r="I1557" s="19"/>
      <c r="J1557" s="15" t="str">
        <f aca="false">IF($B1557="","",IFERROR(INDEX(Services!$E$2:$E$120,MATCH($B1557,Services!$D$2:$D$120,0)),""))</f>
        <v/>
      </c>
    </row>
    <row r="1558" customFormat="false" ht="14.25" hidden="false" customHeight="false" outlineLevel="0" collapsed="false">
      <c r="A1558" s="18"/>
      <c r="B1558" s="6"/>
      <c r="C1558" s="6"/>
      <c r="D1558" s="6"/>
      <c r="E1558" s="16" t="str">
        <f aca="false">IF($B1558="","",IFERROR(INDEX(Services!$C$2:$C$120,MATCH($B1558,Services!$D$2:$D$120,0)),""))</f>
        <v/>
      </c>
      <c r="F1558" s="19"/>
      <c r="G1558" s="9" t="str">
        <f aca="false">IF(OR($B1558="",NOT(ISNUMBER($E1558))),"",$E1558-IF($F1558="",0,$F1558))</f>
        <v/>
      </c>
      <c r="H1558" s="15" t="str">
        <f aca="false">IF($B1558="","",IFERROR(INDEX(Services!$A$2:$A$120,MATCH($B1558,Services!$D$2:$D$120,0)),""))</f>
        <v/>
      </c>
      <c r="I1558" s="19"/>
      <c r="J1558" s="15" t="str">
        <f aca="false">IF($B1558="","",IFERROR(INDEX(Services!$E$2:$E$120,MATCH($B1558,Services!$D$2:$D$120,0)),""))</f>
        <v/>
      </c>
    </row>
    <row r="1559" customFormat="false" ht="14.25" hidden="false" customHeight="false" outlineLevel="0" collapsed="false">
      <c r="A1559" s="18"/>
      <c r="B1559" s="6"/>
      <c r="C1559" s="6"/>
      <c r="D1559" s="6"/>
      <c r="E1559" s="16" t="str">
        <f aca="false">IF($B1559="","",IFERROR(INDEX(Services!$C$2:$C$120,MATCH($B1559,Services!$D$2:$D$120,0)),""))</f>
        <v/>
      </c>
      <c r="F1559" s="19"/>
      <c r="G1559" s="9" t="str">
        <f aca="false">IF(OR($B1559="",NOT(ISNUMBER($E1559))),"",$E1559-IF($F1559="",0,$F1559))</f>
        <v/>
      </c>
      <c r="H1559" s="15" t="str">
        <f aca="false">IF($B1559="","",IFERROR(INDEX(Services!$A$2:$A$120,MATCH($B1559,Services!$D$2:$D$120,0)),""))</f>
        <v/>
      </c>
      <c r="I1559" s="19"/>
      <c r="J1559" s="15" t="str">
        <f aca="false">IF($B1559="","",IFERROR(INDEX(Services!$E$2:$E$120,MATCH($B1559,Services!$D$2:$D$120,0)),""))</f>
        <v/>
      </c>
    </row>
    <row r="1560" customFormat="false" ht="14.25" hidden="false" customHeight="false" outlineLevel="0" collapsed="false">
      <c r="A1560" s="18"/>
      <c r="B1560" s="6"/>
      <c r="C1560" s="6"/>
      <c r="D1560" s="6"/>
      <c r="E1560" s="16" t="str">
        <f aca="false">IF($B1560="","",IFERROR(INDEX(Services!$C$2:$C$120,MATCH($B1560,Services!$D$2:$D$120,0)),""))</f>
        <v/>
      </c>
      <c r="F1560" s="19"/>
      <c r="G1560" s="9" t="str">
        <f aca="false">IF(OR($B1560="",NOT(ISNUMBER($E1560))),"",$E1560-IF($F1560="",0,$F1560))</f>
        <v/>
      </c>
      <c r="H1560" s="15" t="str">
        <f aca="false">IF($B1560="","",IFERROR(INDEX(Services!$A$2:$A$120,MATCH($B1560,Services!$D$2:$D$120,0)),""))</f>
        <v/>
      </c>
      <c r="I1560" s="19"/>
      <c r="J1560" s="15" t="str">
        <f aca="false">IF($B1560="","",IFERROR(INDEX(Services!$E$2:$E$120,MATCH($B1560,Services!$D$2:$D$120,0)),""))</f>
        <v/>
      </c>
    </row>
    <row r="1561" customFormat="false" ht="14.25" hidden="false" customHeight="false" outlineLevel="0" collapsed="false">
      <c r="A1561" s="18"/>
      <c r="B1561" s="6"/>
      <c r="C1561" s="6"/>
      <c r="D1561" s="6"/>
      <c r="E1561" s="16" t="str">
        <f aca="false">IF($B1561="","",IFERROR(INDEX(Services!$C$2:$C$120,MATCH($B1561,Services!$D$2:$D$120,0)),""))</f>
        <v/>
      </c>
      <c r="F1561" s="19"/>
      <c r="G1561" s="9" t="str">
        <f aca="false">IF(OR($B1561="",NOT(ISNUMBER($E1561))),"",$E1561-IF($F1561="",0,$F1561))</f>
        <v/>
      </c>
      <c r="H1561" s="15" t="str">
        <f aca="false">IF($B1561="","",IFERROR(INDEX(Services!$A$2:$A$120,MATCH($B1561,Services!$D$2:$D$120,0)),""))</f>
        <v/>
      </c>
      <c r="I1561" s="19"/>
      <c r="J1561" s="15" t="str">
        <f aca="false">IF($B1561="","",IFERROR(INDEX(Services!$E$2:$E$120,MATCH($B1561,Services!$D$2:$D$120,0)),""))</f>
        <v/>
      </c>
    </row>
    <row r="1562" customFormat="false" ht="14.25" hidden="false" customHeight="false" outlineLevel="0" collapsed="false">
      <c r="A1562" s="18"/>
      <c r="B1562" s="6"/>
      <c r="C1562" s="6"/>
      <c r="D1562" s="6"/>
      <c r="E1562" s="16" t="str">
        <f aca="false">IF($B1562="","",IFERROR(INDEX(Services!$C$2:$C$120,MATCH($B1562,Services!$D$2:$D$120,0)),""))</f>
        <v/>
      </c>
      <c r="F1562" s="19"/>
      <c r="G1562" s="9" t="str">
        <f aca="false">IF(OR($B1562="",NOT(ISNUMBER($E1562))),"",$E1562-IF($F1562="",0,$F1562))</f>
        <v/>
      </c>
      <c r="H1562" s="15" t="str">
        <f aca="false">IF($B1562="","",IFERROR(INDEX(Services!$A$2:$A$120,MATCH($B1562,Services!$D$2:$D$120,0)),""))</f>
        <v/>
      </c>
      <c r="I1562" s="19"/>
      <c r="J1562" s="15" t="str">
        <f aca="false">IF($B1562="","",IFERROR(INDEX(Services!$E$2:$E$120,MATCH($B1562,Services!$D$2:$D$120,0)),""))</f>
        <v/>
      </c>
    </row>
    <row r="1563" customFormat="false" ht="14.25" hidden="false" customHeight="false" outlineLevel="0" collapsed="false">
      <c r="A1563" s="18"/>
      <c r="B1563" s="6"/>
      <c r="C1563" s="6"/>
      <c r="D1563" s="6"/>
      <c r="E1563" s="16" t="str">
        <f aca="false">IF($B1563="","",IFERROR(INDEX(Services!$C$2:$C$120,MATCH($B1563,Services!$D$2:$D$120,0)),""))</f>
        <v/>
      </c>
      <c r="F1563" s="19"/>
      <c r="G1563" s="9" t="str">
        <f aca="false">IF(OR($B1563="",NOT(ISNUMBER($E1563))),"",$E1563-IF($F1563="",0,$F1563))</f>
        <v/>
      </c>
      <c r="H1563" s="15" t="str">
        <f aca="false">IF($B1563="","",IFERROR(INDEX(Services!$A$2:$A$120,MATCH($B1563,Services!$D$2:$D$120,0)),""))</f>
        <v/>
      </c>
      <c r="I1563" s="19"/>
      <c r="J1563" s="15" t="str">
        <f aca="false">IF($B1563="","",IFERROR(INDEX(Services!$E$2:$E$120,MATCH($B1563,Services!$D$2:$D$120,0)),""))</f>
        <v/>
      </c>
    </row>
    <row r="1564" customFormat="false" ht="14.25" hidden="false" customHeight="false" outlineLevel="0" collapsed="false">
      <c r="A1564" s="18"/>
      <c r="B1564" s="6"/>
      <c r="C1564" s="6"/>
      <c r="D1564" s="6"/>
      <c r="E1564" s="16" t="str">
        <f aca="false">IF($B1564="","",IFERROR(INDEX(Services!$C$2:$C$120,MATCH($B1564,Services!$D$2:$D$120,0)),""))</f>
        <v/>
      </c>
      <c r="F1564" s="19"/>
      <c r="G1564" s="9" t="str">
        <f aca="false">IF(OR($B1564="",NOT(ISNUMBER($E1564))),"",$E1564-IF($F1564="",0,$F1564))</f>
        <v/>
      </c>
      <c r="H1564" s="15" t="str">
        <f aca="false">IF($B1564="","",IFERROR(INDEX(Services!$A$2:$A$120,MATCH($B1564,Services!$D$2:$D$120,0)),""))</f>
        <v/>
      </c>
      <c r="I1564" s="19"/>
      <c r="J1564" s="15" t="str">
        <f aca="false">IF($B1564="","",IFERROR(INDEX(Services!$E$2:$E$120,MATCH($B1564,Services!$D$2:$D$120,0)),""))</f>
        <v/>
      </c>
    </row>
    <row r="1565" customFormat="false" ht="14.25" hidden="false" customHeight="false" outlineLevel="0" collapsed="false">
      <c r="A1565" s="18"/>
      <c r="B1565" s="6"/>
      <c r="C1565" s="6"/>
      <c r="D1565" s="6"/>
      <c r="E1565" s="16" t="str">
        <f aca="false">IF($B1565="","",IFERROR(INDEX(Services!$C$2:$C$120,MATCH($B1565,Services!$D$2:$D$120,0)),""))</f>
        <v/>
      </c>
      <c r="F1565" s="19"/>
      <c r="G1565" s="9" t="str">
        <f aca="false">IF(OR($B1565="",NOT(ISNUMBER($E1565))),"",$E1565-IF($F1565="",0,$F1565))</f>
        <v/>
      </c>
      <c r="H1565" s="15" t="str">
        <f aca="false">IF($B1565="","",IFERROR(INDEX(Services!$A$2:$A$120,MATCH($B1565,Services!$D$2:$D$120,0)),""))</f>
        <v/>
      </c>
      <c r="I1565" s="19"/>
      <c r="J1565" s="15" t="str">
        <f aca="false">IF($B1565="","",IFERROR(INDEX(Services!$E$2:$E$120,MATCH($B1565,Services!$D$2:$D$120,0)),""))</f>
        <v/>
      </c>
    </row>
    <row r="1566" customFormat="false" ht="14.25" hidden="false" customHeight="false" outlineLevel="0" collapsed="false">
      <c r="A1566" s="18"/>
      <c r="B1566" s="6"/>
      <c r="C1566" s="6"/>
      <c r="D1566" s="6"/>
      <c r="E1566" s="16" t="str">
        <f aca="false">IF($B1566="","",IFERROR(INDEX(Services!$C$2:$C$120,MATCH($B1566,Services!$D$2:$D$120,0)),""))</f>
        <v/>
      </c>
      <c r="F1566" s="19"/>
      <c r="G1566" s="9" t="str">
        <f aca="false">IF(OR($B1566="",NOT(ISNUMBER($E1566))),"",$E1566-IF($F1566="",0,$F1566))</f>
        <v/>
      </c>
      <c r="H1566" s="15" t="str">
        <f aca="false">IF($B1566="","",IFERROR(INDEX(Services!$A$2:$A$120,MATCH($B1566,Services!$D$2:$D$120,0)),""))</f>
        <v/>
      </c>
      <c r="I1566" s="19"/>
      <c r="J1566" s="15" t="str">
        <f aca="false">IF($B1566="","",IFERROR(INDEX(Services!$E$2:$E$120,MATCH($B1566,Services!$D$2:$D$120,0)),""))</f>
        <v/>
      </c>
    </row>
    <row r="1567" customFormat="false" ht="14.25" hidden="false" customHeight="false" outlineLevel="0" collapsed="false">
      <c r="A1567" s="18"/>
      <c r="B1567" s="6"/>
      <c r="C1567" s="6"/>
      <c r="D1567" s="6"/>
      <c r="E1567" s="16" t="str">
        <f aca="false">IF($B1567="","",IFERROR(INDEX(Services!$C$2:$C$120,MATCH($B1567,Services!$D$2:$D$120,0)),""))</f>
        <v/>
      </c>
      <c r="F1567" s="19"/>
      <c r="G1567" s="9" t="str">
        <f aca="false">IF(OR($B1567="",NOT(ISNUMBER($E1567))),"",$E1567-IF($F1567="",0,$F1567))</f>
        <v/>
      </c>
      <c r="H1567" s="15" t="str">
        <f aca="false">IF($B1567="","",IFERROR(INDEX(Services!$A$2:$A$120,MATCH($B1567,Services!$D$2:$D$120,0)),""))</f>
        <v/>
      </c>
      <c r="I1567" s="19"/>
      <c r="J1567" s="15" t="str">
        <f aca="false">IF($B1567="","",IFERROR(INDEX(Services!$E$2:$E$120,MATCH($B1567,Services!$D$2:$D$120,0)),""))</f>
        <v/>
      </c>
    </row>
    <row r="1568" customFormat="false" ht="14.25" hidden="false" customHeight="false" outlineLevel="0" collapsed="false">
      <c r="A1568" s="18"/>
      <c r="B1568" s="6"/>
      <c r="C1568" s="6"/>
      <c r="D1568" s="6"/>
      <c r="E1568" s="16" t="str">
        <f aca="false">IF($B1568="","",IFERROR(INDEX(Services!$C$2:$C$120,MATCH($B1568,Services!$D$2:$D$120,0)),""))</f>
        <v/>
      </c>
      <c r="F1568" s="19"/>
      <c r="G1568" s="9" t="str">
        <f aca="false">IF(OR($B1568="",NOT(ISNUMBER($E1568))),"",$E1568-IF($F1568="",0,$F1568))</f>
        <v/>
      </c>
      <c r="H1568" s="15" t="str">
        <f aca="false">IF($B1568="","",IFERROR(INDEX(Services!$A$2:$A$120,MATCH($B1568,Services!$D$2:$D$120,0)),""))</f>
        <v/>
      </c>
      <c r="I1568" s="19"/>
      <c r="J1568" s="15" t="str">
        <f aca="false">IF($B1568="","",IFERROR(INDEX(Services!$E$2:$E$120,MATCH($B1568,Services!$D$2:$D$120,0)),""))</f>
        <v/>
      </c>
    </row>
    <row r="1569" customFormat="false" ht="14.25" hidden="false" customHeight="false" outlineLevel="0" collapsed="false">
      <c r="A1569" s="18"/>
      <c r="B1569" s="6"/>
      <c r="C1569" s="6"/>
      <c r="D1569" s="6"/>
      <c r="E1569" s="16" t="str">
        <f aca="false">IF($B1569="","",IFERROR(INDEX(Services!$C$2:$C$120,MATCH($B1569,Services!$D$2:$D$120,0)),""))</f>
        <v/>
      </c>
      <c r="F1569" s="19"/>
      <c r="G1569" s="9" t="str">
        <f aca="false">IF(OR($B1569="",NOT(ISNUMBER($E1569))),"",$E1569-IF($F1569="",0,$F1569))</f>
        <v/>
      </c>
      <c r="H1569" s="15" t="str">
        <f aca="false">IF($B1569="","",IFERROR(INDEX(Services!$A$2:$A$120,MATCH($B1569,Services!$D$2:$D$120,0)),""))</f>
        <v/>
      </c>
      <c r="I1569" s="19"/>
      <c r="J1569" s="15" t="str">
        <f aca="false">IF($B1569="","",IFERROR(INDEX(Services!$E$2:$E$120,MATCH($B1569,Services!$D$2:$D$120,0)),""))</f>
        <v/>
      </c>
    </row>
    <row r="1570" customFormat="false" ht="14.25" hidden="false" customHeight="false" outlineLevel="0" collapsed="false">
      <c r="A1570" s="18"/>
      <c r="B1570" s="6"/>
      <c r="C1570" s="6"/>
      <c r="D1570" s="6"/>
      <c r="E1570" s="16" t="str">
        <f aca="false">IF($B1570="","",IFERROR(INDEX(Services!$C$2:$C$120,MATCH($B1570,Services!$D$2:$D$120,0)),""))</f>
        <v/>
      </c>
      <c r="F1570" s="19"/>
      <c r="G1570" s="9" t="str">
        <f aca="false">IF(OR($B1570="",NOT(ISNUMBER($E1570))),"",$E1570-IF($F1570="",0,$F1570))</f>
        <v/>
      </c>
      <c r="H1570" s="15" t="str">
        <f aca="false">IF($B1570="","",IFERROR(INDEX(Services!$A$2:$A$120,MATCH($B1570,Services!$D$2:$D$120,0)),""))</f>
        <v/>
      </c>
      <c r="I1570" s="19"/>
      <c r="J1570" s="15" t="str">
        <f aca="false">IF($B1570="","",IFERROR(INDEX(Services!$E$2:$E$120,MATCH($B1570,Services!$D$2:$D$120,0)),""))</f>
        <v/>
      </c>
    </row>
    <row r="1571" customFormat="false" ht="14.25" hidden="false" customHeight="false" outlineLevel="0" collapsed="false">
      <c r="A1571" s="18"/>
      <c r="B1571" s="6"/>
      <c r="C1571" s="6"/>
      <c r="D1571" s="6"/>
      <c r="E1571" s="16" t="str">
        <f aca="false">IF($B1571="","",IFERROR(INDEX(Services!$C$2:$C$120,MATCH($B1571,Services!$D$2:$D$120,0)),""))</f>
        <v/>
      </c>
      <c r="F1571" s="19"/>
      <c r="G1571" s="9" t="str">
        <f aca="false">IF(OR($B1571="",NOT(ISNUMBER($E1571))),"",$E1571-IF($F1571="",0,$F1571))</f>
        <v/>
      </c>
      <c r="H1571" s="15" t="str">
        <f aca="false">IF($B1571="","",IFERROR(INDEX(Services!$A$2:$A$120,MATCH($B1571,Services!$D$2:$D$120,0)),""))</f>
        <v/>
      </c>
      <c r="I1571" s="19"/>
      <c r="J1571" s="15" t="str">
        <f aca="false">IF($B1571="","",IFERROR(INDEX(Services!$E$2:$E$120,MATCH($B1571,Services!$D$2:$D$120,0)),""))</f>
        <v/>
      </c>
    </row>
    <row r="1572" customFormat="false" ht="14.25" hidden="false" customHeight="false" outlineLevel="0" collapsed="false">
      <c r="A1572" s="18"/>
      <c r="B1572" s="6"/>
      <c r="C1572" s="6"/>
      <c r="D1572" s="6"/>
      <c r="E1572" s="16" t="str">
        <f aca="false">IF($B1572="","",IFERROR(INDEX(Services!$C$2:$C$120,MATCH($B1572,Services!$D$2:$D$120,0)),""))</f>
        <v/>
      </c>
      <c r="F1572" s="19"/>
      <c r="G1572" s="9" t="str">
        <f aca="false">IF(OR($B1572="",NOT(ISNUMBER($E1572))),"",$E1572-IF($F1572="",0,$F1572))</f>
        <v/>
      </c>
      <c r="H1572" s="15" t="str">
        <f aca="false">IF($B1572="","",IFERROR(INDEX(Services!$A$2:$A$120,MATCH($B1572,Services!$D$2:$D$120,0)),""))</f>
        <v/>
      </c>
      <c r="I1572" s="19"/>
      <c r="J1572" s="15" t="str">
        <f aca="false">IF($B1572="","",IFERROR(INDEX(Services!$E$2:$E$120,MATCH($B1572,Services!$D$2:$D$120,0)),""))</f>
        <v/>
      </c>
    </row>
    <row r="1573" customFormat="false" ht="14.25" hidden="false" customHeight="false" outlineLevel="0" collapsed="false">
      <c r="A1573" s="18"/>
      <c r="B1573" s="6"/>
      <c r="C1573" s="6"/>
      <c r="D1573" s="6"/>
      <c r="E1573" s="16" t="str">
        <f aca="false">IF($B1573="","",IFERROR(INDEX(Services!$C$2:$C$120,MATCH($B1573,Services!$D$2:$D$120,0)),""))</f>
        <v/>
      </c>
      <c r="F1573" s="19"/>
      <c r="G1573" s="9" t="str">
        <f aca="false">IF(OR($B1573="",NOT(ISNUMBER($E1573))),"",$E1573-IF($F1573="",0,$F1573))</f>
        <v/>
      </c>
      <c r="H1573" s="15" t="str">
        <f aca="false">IF($B1573="","",IFERROR(INDEX(Services!$A$2:$A$120,MATCH($B1573,Services!$D$2:$D$120,0)),""))</f>
        <v/>
      </c>
      <c r="I1573" s="19"/>
      <c r="J1573" s="15" t="str">
        <f aca="false">IF($B1573="","",IFERROR(INDEX(Services!$E$2:$E$120,MATCH($B1573,Services!$D$2:$D$120,0)),""))</f>
        <v/>
      </c>
    </row>
    <row r="1574" customFormat="false" ht="14.25" hidden="false" customHeight="false" outlineLevel="0" collapsed="false">
      <c r="A1574" s="18"/>
      <c r="B1574" s="6"/>
      <c r="C1574" s="6"/>
      <c r="D1574" s="6"/>
      <c r="E1574" s="16" t="str">
        <f aca="false">IF($B1574="","",IFERROR(INDEX(Services!$C$2:$C$120,MATCH($B1574,Services!$D$2:$D$120,0)),""))</f>
        <v/>
      </c>
      <c r="F1574" s="19"/>
      <c r="G1574" s="9" t="str">
        <f aca="false">IF(OR($B1574="",NOT(ISNUMBER($E1574))),"",$E1574-IF($F1574="",0,$F1574))</f>
        <v/>
      </c>
      <c r="H1574" s="15" t="str">
        <f aca="false">IF($B1574="","",IFERROR(INDEX(Services!$A$2:$A$120,MATCH($B1574,Services!$D$2:$D$120,0)),""))</f>
        <v/>
      </c>
      <c r="I1574" s="19"/>
      <c r="J1574" s="15" t="str">
        <f aca="false">IF($B1574="","",IFERROR(INDEX(Services!$E$2:$E$120,MATCH($B1574,Services!$D$2:$D$120,0)),""))</f>
        <v/>
      </c>
    </row>
    <row r="1575" customFormat="false" ht="14.25" hidden="false" customHeight="false" outlineLevel="0" collapsed="false">
      <c r="A1575" s="18"/>
      <c r="B1575" s="6"/>
      <c r="C1575" s="6"/>
      <c r="D1575" s="6"/>
      <c r="E1575" s="16" t="str">
        <f aca="false">IF($B1575="","",IFERROR(INDEX(Services!$C$2:$C$120,MATCH($B1575,Services!$D$2:$D$120,0)),""))</f>
        <v/>
      </c>
      <c r="F1575" s="19"/>
      <c r="G1575" s="9" t="str">
        <f aca="false">IF(OR($B1575="",NOT(ISNUMBER($E1575))),"",$E1575-IF($F1575="",0,$F1575))</f>
        <v/>
      </c>
      <c r="H1575" s="15" t="str">
        <f aca="false">IF($B1575="","",IFERROR(INDEX(Services!$A$2:$A$120,MATCH($B1575,Services!$D$2:$D$120,0)),""))</f>
        <v/>
      </c>
      <c r="I1575" s="19"/>
      <c r="J1575" s="15" t="str">
        <f aca="false">IF($B1575="","",IFERROR(INDEX(Services!$E$2:$E$120,MATCH($B1575,Services!$D$2:$D$120,0)),""))</f>
        <v/>
      </c>
    </row>
    <row r="1576" customFormat="false" ht="14.25" hidden="false" customHeight="false" outlineLevel="0" collapsed="false">
      <c r="A1576" s="18"/>
      <c r="B1576" s="6"/>
      <c r="C1576" s="6"/>
      <c r="D1576" s="6"/>
      <c r="E1576" s="16" t="str">
        <f aca="false">IF($B1576="","",IFERROR(INDEX(Services!$C$2:$C$120,MATCH($B1576,Services!$D$2:$D$120,0)),""))</f>
        <v/>
      </c>
      <c r="F1576" s="19"/>
      <c r="G1576" s="9" t="str">
        <f aca="false">IF(OR($B1576="",NOT(ISNUMBER($E1576))),"",$E1576-IF($F1576="",0,$F1576))</f>
        <v/>
      </c>
      <c r="H1576" s="15" t="str">
        <f aca="false">IF($B1576="","",IFERROR(INDEX(Services!$A$2:$A$120,MATCH($B1576,Services!$D$2:$D$120,0)),""))</f>
        <v/>
      </c>
      <c r="I1576" s="19"/>
      <c r="J1576" s="15" t="str">
        <f aca="false">IF($B1576="","",IFERROR(INDEX(Services!$E$2:$E$120,MATCH($B1576,Services!$D$2:$D$120,0)),""))</f>
        <v/>
      </c>
    </row>
    <row r="1577" customFormat="false" ht="14.25" hidden="false" customHeight="false" outlineLevel="0" collapsed="false">
      <c r="A1577" s="18"/>
      <c r="B1577" s="6"/>
      <c r="C1577" s="6"/>
      <c r="D1577" s="6"/>
      <c r="E1577" s="16" t="str">
        <f aca="false">IF($B1577="","",IFERROR(INDEX(Services!$C$2:$C$120,MATCH($B1577,Services!$D$2:$D$120,0)),""))</f>
        <v/>
      </c>
      <c r="F1577" s="19"/>
      <c r="G1577" s="9" t="str">
        <f aca="false">IF(OR($B1577="",NOT(ISNUMBER($E1577))),"",$E1577-IF($F1577="",0,$F1577))</f>
        <v/>
      </c>
      <c r="H1577" s="15" t="str">
        <f aca="false">IF($B1577="","",IFERROR(INDEX(Services!$A$2:$A$120,MATCH($B1577,Services!$D$2:$D$120,0)),""))</f>
        <v/>
      </c>
      <c r="I1577" s="19"/>
      <c r="J1577" s="15" t="str">
        <f aca="false">IF($B1577="","",IFERROR(INDEX(Services!$E$2:$E$120,MATCH($B1577,Services!$D$2:$D$120,0)),""))</f>
        <v/>
      </c>
    </row>
    <row r="1578" customFormat="false" ht="14.25" hidden="false" customHeight="false" outlineLevel="0" collapsed="false">
      <c r="A1578" s="18"/>
      <c r="B1578" s="6"/>
      <c r="C1578" s="6"/>
      <c r="D1578" s="6"/>
      <c r="E1578" s="16" t="str">
        <f aca="false">IF($B1578="","",IFERROR(INDEX(Services!$C$2:$C$120,MATCH($B1578,Services!$D$2:$D$120,0)),""))</f>
        <v/>
      </c>
      <c r="F1578" s="19"/>
      <c r="G1578" s="9" t="str">
        <f aca="false">IF(OR($B1578="",NOT(ISNUMBER($E1578))),"",$E1578-IF($F1578="",0,$F1578))</f>
        <v/>
      </c>
      <c r="H1578" s="15" t="str">
        <f aca="false">IF($B1578="","",IFERROR(INDEX(Services!$A$2:$A$120,MATCH($B1578,Services!$D$2:$D$120,0)),""))</f>
        <v/>
      </c>
      <c r="I1578" s="19"/>
      <c r="J1578" s="15" t="str">
        <f aca="false">IF($B1578="","",IFERROR(INDEX(Services!$E$2:$E$120,MATCH($B1578,Services!$D$2:$D$120,0)),""))</f>
        <v/>
      </c>
    </row>
    <row r="1579" customFormat="false" ht="14.25" hidden="false" customHeight="false" outlineLevel="0" collapsed="false">
      <c r="A1579" s="18"/>
      <c r="B1579" s="6"/>
      <c r="C1579" s="6"/>
      <c r="D1579" s="6"/>
      <c r="E1579" s="16" t="str">
        <f aca="false">IF($B1579="","",IFERROR(INDEX(Services!$C$2:$C$120,MATCH($B1579,Services!$D$2:$D$120,0)),""))</f>
        <v/>
      </c>
      <c r="F1579" s="19"/>
      <c r="G1579" s="9" t="str">
        <f aca="false">IF(OR($B1579="",NOT(ISNUMBER($E1579))),"",$E1579-IF($F1579="",0,$F1579))</f>
        <v/>
      </c>
      <c r="H1579" s="15" t="str">
        <f aca="false">IF($B1579="","",IFERROR(INDEX(Services!$A$2:$A$120,MATCH($B1579,Services!$D$2:$D$120,0)),""))</f>
        <v/>
      </c>
      <c r="I1579" s="19"/>
      <c r="J1579" s="15" t="str">
        <f aca="false">IF($B1579="","",IFERROR(INDEX(Services!$E$2:$E$120,MATCH($B1579,Services!$D$2:$D$120,0)),""))</f>
        <v/>
      </c>
    </row>
    <row r="1580" customFormat="false" ht="14.25" hidden="false" customHeight="false" outlineLevel="0" collapsed="false">
      <c r="A1580" s="18"/>
      <c r="B1580" s="6"/>
      <c r="C1580" s="6"/>
      <c r="D1580" s="6"/>
      <c r="E1580" s="16" t="str">
        <f aca="false">IF($B1580="","",IFERROR(INDEX(Services!$C$2:$C$120,MATCH($B1580,Services!$D$2:$D$120,0)),""))</f>
        <v/>
      </c>
      <c r="F1580" s="19"/>
      <c r="G1580" s="9" t="str">
        <f aca="false">IF(OR($B1580="",NOT(ISNUMBER($E1580))),"",$E1580-IF($F1580="",0,$F1580))</f>
        <v/>
      </c>
      <c r="H1580" s="15" t="str">
        <f aca="false">IF($B1580="","",IFERROR(INDEX(Services!$A$2:$A$120,MATCH($B1580,Services!$D$2:$D$120,0)),""))</f>
        <v/>
      </c>
      <c r="I1580" s="19"/>
      <c r="J1580" s="15" t="str">
        <f aca="false">IF($B1580="","",IFERROR(INDEX(Services!$E$2:$E$120,MATCH($B1580,Services!$D$2:$D$120,0)),""))</f>
        <v/>
      </c>
    </row>
    <row r="1581" customFormat="false" ht="14.25" hidden="false" customHeight="false" outlineLevel="0" collapsed="false">
      <c r="A1581" s="18"/>
      <c r="B1581" s="6"/>
      <c r="C1581" s="6"/>
      <c r="D1581" s="6"/>
      <c r="E1581" s="16" t="str">
        <f aca="false">IF($B1581="","",IFERROR(INDEX(Services!$C$2:$C$120,MATCH($B1581,Services!$D$2:$D$120,0)),""))</f>
        <v/>
      </c>
      <c r="F1581" s="19"/>
      <c r="G1581" s="9" t="str">
        <f aca="false">IF(OR($B1581="",NOT(ISNUMBER($E1581))),"",$E1581-IF($F1581="",0,$F1581))</f>
        <v/>
      </c>
      <c r="H1581" s="15" t="str">
        <f aca="false">IF($B1581="","",IFERROR(INDEX(Services!$A$2:$A$120,MATCH($B1581,Services!$D$2:$D$120,0)),""))</f>
        <v/>
      </c>
      <c r="I1581" s="19"/>
      <c r="J1581" s="15" t="str">
        <f aca="false">IF($B1581="","",IFERROR(INDEX(Services!$E$2:$E$120,MATCH($B1581,Services!$D$2:$D$120,0)),""))</f>
        <v/>
      </c>
    </row>
    <row r="1582" customFormat="false" ht="14.25" hidden="false" customHeight="false" outlineLevel="0" collapsed="false">
      <c r="A1582" s="18"/>
      <c r="B1582" s="6"/>
      <c r="C1582" s="6"/>
      <c r="D1582" s="6"/>
      <c r="E1582" s="16" t="str">
        <f aca="false">IF($B1582="","",IFERROR(INDEX(Services!$C$2:$C$120,MATCH($B1582,Services!$D$2:$D$120,0)),""))</f>
        <v/>
      </c>
      <c r="F1582" s="19"/>
      <c r="G1582" s="9" t="str">
        <f aca="false">IF(OR($B1582="",NOT(ISNUMBER($E1582))),"",$E1582-IF($F1582="",0,$F1582))</f>
        <v/>
      </c>
      <c r="H1582" s="15" t="str">
        <f aca="false">IF($B1582="","",IFERROR(INDEX(Services!$A$2:$A$120,MATCH($B1582,Services!$D$2:$D$120,0)),""))</f>
        <v/>
      </c>
      <c r="I1582" s="19"/>
      <c r="J1582" s="15" t="str">
        <f aca="false">IF($B1582="","",IFERROR(INDEX(Services!$E$2:$E$120,MATCH($B1582,Services!$D$2:$D$120,0)),""))</f>
        <v/>
      </c>
    </row>
    <row r="1583" customFormat="false" ht="14.25" hidden="false" customHeight="false" outlineLevel="0" collapsed="false">
      <c r="A1583" s="18"/>
      <c r="B1583" s="6"/>
      <c r="C1583" s="6"/>
      <c r="D1583" s="6"/>
      <c r="E1583" s="16" t="str">
        <f aca="false">IF($B1583="","",IFERROR(INDEX(Services!$C$2:$C$120,MATCH($B1583,Services!$D$2:$D$120,0)),""))</f>
        <v/>
      </c>
      <c r="F1583" s="19"/>
      <c r="G1583" s="9" t="str">
        <f aca="false">IF(OR($B1583="",NOT(ISNUMBER($E1583))),"",$E1583-IF($F1583="",0,$F1583))</f>
        <v/>
      </c>
      <c r="H1583" s="15" t="str">
        <f aca="false">IF($B1583="","",IFERROR(INDEX(Services!$A$2:$A$120,MATCH($B1583,Services!$D$2:$D$120,0)),""))</f>
        <v/>
      </c>
      <c r="I1583" s="19"/>
      <c r="J1583" s="15" t="str">
        <f aca="false">IF($B1583="","",IFERROR(INDEX(Services!$E$2:$E$120,MATCH($B1583,Services!$D$2:$D$120,0)),""))</f>
        <v/>
      </c>
    </row>
    <row r="1584" customFormat="false" ht="14.25" hidden="false" customHeight="false" outlineLevel="0" collapsed="false">
      <c r="A1584" s="18"/>
      <c r="B1584" s="6"/>
      <c r="C1584" s="6"/>
      <c r="D1584" s="6"/>
      <c r="E1584" s="16" t="str">
        <f aca="false">IF($B1584="","",IFERROR(INDEX(Services!$C$2:$C$120,MATCH($B1584,Services!$D$2:$D$120,0)),""))</f>
        <v/>
      </c>
      <c r="F1584" s="19"/>
      <c r="G1584" s="9" t="str">
        <f aca="false">IF(OR($B1584="",NOT(ISNUMBER($E1584))),"",$E1584-IF($F1584="",0,$F1584))</f>
        <v/>
      </c>
      <c r="H1584" s="15" t="str">
        <f aca="false">IF($B1584="","",IFERROR(INDEX(Services!$A$2:$A$120,MATCH($B1584,Services!$D$2:$D$120,0)),""))</f>
        <v/>
      </c>
      <c r="I1584" s="19"/>
      <c r="J1584" s="15" t="str">
        <f aca="false">IF($B1584="","",IFERROR(INDEX(Services!$E$2:$E$120,MATCH($B1584,Services!$D$2:$D$120,0)),""))</f>
        <v/>
      </c>
    </row>
    <row r="1585" customFormat="false" ht="14.25" hidden="false" customHeight="false" outlineLevel="0" collapsed="false">
      <c r="A1585" s="18"/>
      <c r="B1585" s="6"/>
      <c r="C1585" s="6"/>
      <c r="D1585" s="6"/>
      <c r="E1585" s="16" t="str">
        <f aca="false">IF($B1585="","",IFERROR(INDEX(Services!$C$2:$C$120,MATCH($B1585,Services!$D$2:$D$120,0)),""))</f>
        <v/>
      </c>
      <c r="F1585" s="19"/>
      <c r="G1585" s="9" t="str">
        <f aca="false">IF(OR($B1585="",NOT(ISNUMBER($E1585))),"",$E1585-IF($F1585="",0,$F1585))</f>
        <v/>
      </c>
      <c r="H1585" s="15" t="str">
        <f aca="false">IF($B1585="","",IFERROR(INDEX(Services!$A$2:$A$120,MATCH($B1585,Services!$D$2:$D$120,0)),""))</f>
        <v/>
      </c>
      <c r="I1585" s="19"/>
      <c r="J1585" s="15" t="str">
        <f aca="false">IF($B1585="","",IFERROR(INDEX(Services!$E$2:$E$120,MATCH($B1585,Services!$D$2:$D$120,0)),""))</f>
        <v/>
      </c>
    </row>
    <row r="1586" customFormat="false" ht="14.25" hidden="false" customHeight="false" outlineLevel="0" collapsed="false">
      <c r="A1586" s="18"/>
      <c r="B1586" s="6"/>
      <c r="C1586" s="6"/>
      <c r="D1586" s="6"/>
      <c r="E1586" s="16" t="str">
        <f aca="false">IF($B1586="","",IFERROR(INDEX(Services!$C$2:$C$120,MATCH($B1586,Services!$D$2:$D$120,0)),""))</f>
        <v/>
      </c>
      <c r="F1586" s="19"/>
      <c r="G1586" s="9" t="str">
        <f aca="false">IF(OR($B1586="",NOT(ISNUMBER($E1586))),"",$E1586-IF($F1586="",0,$F1586))</f>
        <v/>
      </c>
      <c r="H1586" s="15" t="str">
        <f aca="false">IF($B1586="","",IFERROR(INDEX(Services!$A$2:$A$120,MATCH($B1586,Services!$D$2:$D$120,0)),""))</f>
        <v/>
      </c>
      <c r="I1586" s="19"/>
      <c r="J1586" s="15" t="str">
        <f aca="false">IF($B1586="","",IFERROR(INDEX(Services!$E$2:$E$120,MATCH($B1586,Services!$D$2:$D$120,0)),""))</f>
        <v/>
      </c>
    </row>
    <row r="1587" customFormat="false" ht="14.25" hidden="false" customHeight="false" outlineLevel="0" collapsed="false">
      <c r="A1587" s="18"/>
      <c r="B1587" s="6"/>
      <c r="C1587" s="6"/>
      <c r="D1587" s="6"/>
      <c r="E1587" s="16" t="str">
        <f aca="false">IF($B1587="","",IFERROR(INDEX(Services!$C$2:$C$120,MATCH($B1587,Services!$D$2:$D$120,0)),""))</f>
        <v/>
      </c>
      <c r="F1587" s="19"/>
      <c r="G1587" s="9" t="str">
        <f aca="false">IF(OR($B1587="",NOT(ISNUMBER($E1587))),"",$E1587-IF($F1587="",0,$F1587))</f>
        <v/>
      </c>
      <c r="H1587" s="15" t="str">
        <f aca="false">IF($B1587="","",IFERROR(INDEX(Services!$A$2:$A$120,MATCH($B1587,Services!$D$2:$D$120,0)),""))</f>
        <v/>
      </c>
      <c r="I1587" s="19"/>
      <c r="J1587" s="15" t="str">
        <f aca="false">IF($B1587="","",IFERROR(INDEX(Services!$E$2:$E$120,MATCH($B1587,Services!$D$2:$D$120,0)),""))</f>
        <v/>
      </c>
    </row>
    <row r="1588" customFormat="false" ht="14.25" hidden="false" customHeight="false" outlineLevel="0" collapsed="false">
      <c r="A1588" s="18"/>
      <c r="B1588" s="6"/>
      <c r="C1588" s="6"/>
      <c r="D1588" s="6"/>
      <c r="E1588" s="16" t="str">
        <f aca="false">IF($B1588="","",IFERROR(INDEX(Services!$C$2:$C$120,MATCH($B1588,Services!$D$2:$D$120,0)),""))</f>
        <v/>
      </c>
      <c r="F1588" s="19"/>
      <c r="G1588" s="9" t="str">
        <f aca="false">IF(OR($B1588="",NOT(ISNUMBER($E1588))),"",$E1588-IF($F1588="",0,$F1588))</f>
        <v/>
      </c>
      <c r="H1588" s="15" t="str">
        <f aca="false">IF($B1588="","",IFERROR(INDEX(Services!$A$2:$A$120,MATCH($B1588,Services!$D$2:$D$120,0)),""))</f>
        <v/>
      </c>
      <c r="I1588" s="19"/>
      <c r="J1588" s="15" t="str">
        <f aca="false">IF($B1588="","",IFERROR(INDEX(Services!$E$2:$E$120,MATCH($B1588,Services!$D$2:$D$120,0)),""))</f>
        <v/>
      </c>
    </row>
    <row r="1589" customFormat="false" ht="14.25" hidden="false" customHeight="false" outlineLevel="0" collapsed="false">
      <c r="A1589" s="18"/>
      <c r="B1589" s="6"/>
      <c r="C1589" s="6"/>
      <c r="D1589" s="6"/>
      <c r="E1589" s="16" t="str">
        <f aca="false">IF($B1589="","",IFERROR(INDEX(Services!$C$2:$C$120,MATCH($B1589,Services!$D$2:$D$120,0)),""))</f>
        <v/>
      </c>
      <c r="F1589" s="19"/>
      <c r="G1589" s="9" t="str">
        <f aca="false">IF(OR($B1589="",NOT(ISNUMBER($E1589))),"",$E1589-IF($F1589="",0,$F1589))</f>
        <v/>
      </c>
      <c r="H1589" s="15" t="str">
        <f aca="false">IF($B1589="","",IFERROR(INDEX(Services!$A$2:$A$120,MATCH($B1589,Services!$D$2:$D$120,0)),""))</f>
        <v/>
      </c>
      <c r="I1589" s="19"/>
      <c r="J1589" s="15" t="str">
        <f aca="false">IF($B1589="","",IFERROR(INDEX(Services!$E$2:$E$120,MATCH($B1589,Services!$D$2:$D$120,0)),""))</f>
        <v/>
      </c>
    </row>
    <row r="1590" customFormat="false" ht="14.25" hidden="false" customHeight="false" outlineLevel="0" collapsed="false">
      <c r="A1590" s="18"/>
      <c r="B1590" s="6"/>
      <c r="C1590" s="6"/>
      <c r="D1590" s="6"/>
      <c r="E1590" s="16" t="str">
        <f aca="false">IF($B1590="","",IFERROR(INDEX(Services!$C$2:$C$120,MATCH($B1590,Services!$D$2:$D$120,0)),""))</f>
        <v/>
      </c>
      <c r="F1590" s="19"/>
      <c r="G1590" s="9" t="str">
        <f aca="false">IF(OR($B1590="",NOT(ISNUMBER($E1590))),"",$E1590-IF($F1590="",0,$F1590))</f>
        <v/>
      </c>
      <c r="H1590" s="15" t="str">
        <f aca="false">IF($B1590="","",IFERROR(INDEX(Services!$A$2:$A$120,MATCH($B1590,Services!$D$2:$D$120,0)),""))</f>
        <v/>
      </c>
      <c r="I1590" s="19"/>
      <c r="J1590" s="15" t="str">
        <f aca="false">IF($B1590="","",IFERROR(INDEX(Services!$E$2:$E$120,MATCH($B1590,Services!$D$2:$D$120,0)),""))</f>
        <v/>
      </c>
    </row>
    <row r="1591" customFormat="false" ht="14.25" hidden="false" customHeight="false" outlineLevel="0" collapsed="false">
      <c r="A1591" s="18"/>
      <c r="B1591" s="6"/>
      <c r="C1591" s="6"/>
      <c r="D1591" s="6"/>
      <c r="E1591" s="16" t="str">
        <f aca="false">IF($B1591="","",IFERROR(INDEX(Services!$C$2:$C$120,MATCH($B1591,Services!$D$2:$D$120,0)),""))</f>
        <v/>
      </c>
      <c r="F1591" s="19"/>
      <c r="G1591" s="9" t="str">
        <f aca="false">IF(OR($B1591="",NOT(ISNUMBER($E1591))),"",$E1591-IF($F1591="",0,$F1591))</f>
        <v/>
      </c>
      <c r="H1591" s="15" t="str">
        <f aca="false">IF($B1591="","",IFERROR(INDEX(Services!$A$2:$A$120,MATCH($B1591,Services!$D$2:$D$120,0)),""))</f>
        <v/>
      </c>
      <c r="I1591" s="19"/>
      <c r="J1591" s="15" t="str">
        <f aca="false">IF($B1591="","",IFERROR(INDEX(Services!$E$2:$E$120,MATCH($B1591,Services!$D$2:$D$120,0)),""))</f>
        <v/>
      </c>
    </row>
    <row r="1592" customFormat="false" ht="14.25" hidden="false" customHeight="false" outlineLevel="0" collapsed="false">
      <c r="A1592" s="18"/>
      <c r="B1592" s="6"/>
      <c r="C1592" s="6"/>
      <c r="D1592" s="6"/>
      <c r="E1592" s="16" t="str">
        <f aca="false">IF($B1592="","",IFERROR(INDEX(Services!$C$2:$C$120,MATCH($B1592,Services!$D$2:$D$120,0)),""))</f>
        <v/>
      </c>
      <c r="F1592" s="19"/>
      <c r="G1592" s="9" t="str">
        <f aca="false">IF(OR($B1592="",NOT(ISNUMBER($E1592))),"",$E1592-IF($F1592="",0,$F1592))</f>
        <v/>
      </c>
      <c r="H1592" s="15" t="str">
        <f aca="false">IF($B1592="","",IFERROR(INDEX(Services!$A$2:$A$120,MATCH($B1592,Services!$D$2:$D$120,0)),""))</f>
        <v/>
      </c>
      <c r="I1592" s="19"/>
      <c r="J1592" s="15" t="str">
        <f aca="false">IF($B1592="","",IFERROR(INDEX(Services!$E$2:$E$120,MATCH($B1592,Services!$D$2:$D$120,0)),""))</f>
        <v/>
      </c>
    </row>
    <row r="1593" customFormat="false" ht="14.25" hidden="false" customHeight="false" outlineLevel="0" collapsed="false">
      <c r="A1593" s="18"/>
      <c r="B1593" s="6"/>
      <c r="C1593" s="6"/>
      <c r="D1593" s="6"/>
      <c r="E1593" s="16" t="str">
        <f aca="false">IF($B1593="","",IFERROR(INDEX(Services!$C$2:$C$120,MATCH($B1593,Services!$D$2:$D$120,0)),""))</f>
        <v/>
      </c>
      <c r="F1593" s="19"/>
      <c r="G1593" s="9" t="str">
        <f aca="false">IF(OR($B1593="",NOT(ISNUMBER($E1593))),"",$E1593-IF($F1593="",0,$F1593))</f>
        <v/>
      </c>
      <c r="H1593" s="15" t="str">
        <f aca="false">IF($B1593="","",IFERROR(INDEX(Services!$A$2:$A$120,MATCH($B1593,Services!$D$2:$D$120,0)),""))</f>
        <v/>
      </c>
      <c r="I1593" s="19"/>
      <c r="J1593" s="15" t="str">
        <f aca="false">IF($B1593="","",IFERROR(INDEX(Services!$E$2:$E$120,MATCH($B1593,Services!$D$2:$D$120,0)),""))</f>
        <v/>
      </c>
    </row>
    <row r="1594" customFormat="false" ht="14.25" hidden="false" customHeight="false" outlineLevel="0" collapsed="false">
      <c r="A1594" s="18"/>
      <c r="B1594" s="6"/>
      <c r="C1594" s="6"/>
      <c r="D1594" s="6"/>
      <c r="E1594" s="16" t="str">
        <f aca="false">IF($B1594="","",IFERROR(INDEX(Services!$C$2:$C$120,MATCH($B1594,Services!$D$2:$D$120,0)),""))</f>
        <v/>
      </c>
      <c r="F1594" s="19"/>
      <c r="G1594" s="9" t="str">
        <f aca="false">IF(OR($B1594="",NOT(ISNUMBER($E1594))),"",$E1594-IF($F1594="",0,$F1594))</f>
        <v/>
      </c>
      <c r="H1594" s="15" t="str">
        <f aca="false">IF($B1594="","",IFERROR(INDEX(Services!$A$2:$A$120,MATCH($B1594,Services!$D$2:$D$120,0)),""))</f>
        <v/>
      </c>
      <c r="I1594" s="19"/>
      <c r="J1594" s="15" t="str">
        <f aca="false">IF($B1594="","",IFERROR(INDEX(Services!$E$2:$E$120,MATCH($B1594,Services!$D$2:$D$120,0)),""))</f>
        <v/>
      </c>
    </row>
    <row r="1595" customFormat="false" ht="14.25" hidden="false" customHeight="false" outlineLevel="0" collapsed="false">
      <c r="A1595" s="18"/>
      <c r="B1595" s="6"/>
      <c r="C1595" s="6"/>
      <c r="D1595" s="6"/>
      <c r="E1595" s="16" t="str">
        <f aca="false">IF($B1595="","",IFERROR(INDEX(Services!$C$2:$C$120,MATCH($B1595,Services!$D$2:$D$120,0)),""))</f>
        <v/>
      </c>
      <c r="F1595" s="19"/>
      <c r="G1595" s="9" t="str">
        <f aca="false">IF(OR($B1595="",NOT(ISNUMBER($E1595))),"",$E1595-IF($F1595="",0,$F1595))</f>
        <v/>
      </c>
      <c r="H1595" s="15" t="str">
        <f aca="false">IF($B1595="","",IFERROR(INDEX(Services!$A$2:$A$120,MATCH($B1595,Services!$D$2:$D$120,0)),""))</f>
        <v/>
      </c>
      <c r="I1595" s="19"/>
      <c r="J1595" s="15" t="str">
        <f aca="false">IF($B1595="","",IFERROR(INDEX(Services!$E$2:$E$120,MATCH($B1595,Services!$D$2:$D$120,0)),""))</f>
        <v/>
      </c>
    </row>
    <row r="1596" customFormat="false" ht="14.25" hidden="false" customHeight="false" outlineLevel="0" collapsed="false">
      <c r="A1596" s="18"/>
      <c r="B1596" s="6"/>
      <c r="C1596" s="6"/>
      <c r="D1596" s="6"/>
      <c r="E1596" s="16" t="str">
        <f aca="false">IF($B1596="","",IFERROR(INDEX(Services!$C$2:$C$120,MATCH($B1596,Services!$D$2:$D$120,0)),""))</f>
        <v/>
      </c>
      <c r="F1596" s="19"/>
      <c r="G1596" s="9" t="str">
        <f aca="false">IF(OR($B1596="",NOT(ISNUMBER($E1596))),"",$E1596-IF($F1596="",0,$F1596))</f>
        <v/>
      </c>
      <c r="H1596" s="15" t="str">
        <f aca="false">IF($B1596="","",IFERROR(INDEX(Services!$A$2:$A$120,MATCH($B1596,Services!$D$2:$D$120,0)),""))</f>
        <v/>
      </c>
      <c r="I1596" s="19"/>
      <c r="J1596" s="15" t="str">
        <f aca="false">IF($B1596="","",IFERROR(INDEX(Services!$E$2:$E$120,MATCH($B1596,Services!$D$2:$D$120,0)),""))</f>
        <v/>
      </c>
    </row>
    <row r="1597" customFormat="false" ht="14.25" hidden="false" customHeight="false" outlineLevel="0" collapsed="false">
      <c r="A1597" s="18"/>
      <c r="B1597" s="6"/>
      <c r="C1597" s="6"/>
      <c r="D1597" s="6"/>
      <c r="E1597" s="16" t="str">
        <f aca="false">IF($B1597="","",IFERROR(INDEX(Services!$C$2:$C$120,MATCH($B1597,Services!$D$2:$D$120,0)),""))</f>
        <v/>
      </c>
      <c r="F1597" s="19"/>
      <c r="G1597" s="9" t="str">
        <f aca="false">IF(OR($B1597="",NOT(ISNUMBER($E1597))),"",$E1597-IF($F1597="",0,$F1597))</f>
        <v/>
      </c>
      <c r="H1597" s="15" t="str">
        <f aca="false">IF($B1597="","",IFERROR(INDEX(Services!$A$2:$A$120,MATCH($B1597,Services!$D$2:$D$120,0)),""))</f>
        <v/>
      </c>
      <c r="I1597" s="19"/>
      <c r="J1597" s="15" t="str">
        <f aca="false">IF($B1597="","",IFERROR(INDEX(Services!$E$2:$E$120,MATCH($B1597,Services!$D$2:$D$120,0)),""))</f>
        <v/>
      </c>
    </row>
    <row r="1598" customFormat="false" ht="14.25" hidden="false" customHeight="false" outlineLevel="0" collapsed="false">
      <c r="A1598" s="18"/>
      <c r="B1598" s="6"/>
      <c r="C1598" s="6"/>
      <c r="D1598" s="6"/>
      <c r="E1598" s="16" t="str">
        <f aca="false">IF($B1598="","",IFERROR(INDEX(Services!$C$2:$C$120,MATCH($B1598,Services!$D$2:$D$120,0)),""))</f>
        <v/>
      </c>
      <c r="F1598" s="19"/>
      <c r="G1598" s="9" t="str">
        <f aca="false">IF(OR($B1598="",NOT(ISNUMBER($E1598))),"",$E1598-IF($F1598="",0,$F1598))</f>
        <v/>
      </c>
      <c r="H1598" s="15" t="str">
        <f aca="false">IF($B1598="","",IFERROR(INDEX(Services!$A$2:$A$120,MATCH($B1598,Services!$D$2:$D$120,0)),""))</f>
        <v/>
      </c>
      <c r="I1598" s="19"/>
      <c r="J1598" s="15" t="str">
        <f aca="false">IF($B1598="","",IFERROR(INDEX(Services!$E$2:$E$120,MATCH($B1598,Services!$D$2:$D$120,0)),""))</f>
        <v/>
      </c>
    </row>
    <row r="1599" customFormat="false" ht="14.25" hidden="false" customHeight="false" outlineLevel="0" collapsed="false">
      <c r="A1599" s="18"/>
      <c r="B1599" s="6"/>
      <c r="C1599" s="6"/>
      <c r="D1599" s="6"/>
      <c r="E1599" s="16" t="str">
        <f aca="false">IF($B1599="","",IFERROR(INDEX(Services!$C$2:$C$120,MATCH($B1599,Services!$D$2:$D$120,0)),""))</f>
        <v/>
      </c>
      <c r="F1599" s="19"/>
      <c r="G1599" s="9" t="str">
        <f aca="false">IF(OR($B1599="",NOT(ISNUMBER($E1599))),"",$E1599-IF($F1599="",0,$F1599))</f>
        <v/>
      </c>
      <c r="H1599" s="15" t="str">
        <f aca="false">IF($B1599="","",IFERROR(INDEX(Services!$A$2:$A$120,MATCH($B1599,Services!$D$2:$D$120,0)),""))</f>
        <v/>
      </c>
      <c r="I1599" s="19"/>
      <c r="J1599" s="15" t="str">
        <f aca="false">IF($B1599="","",IFERROR(INDEX(Services!$E$2:$E$120,MATCH($B1599,Services!$D$2:$D$120,0)),""))</f>
        <v/>
      </c>
    </row>
    <row r="1600" customFormat="false" ht="14.25" hidden="false" customHeight="false" outlineLevel="0" collapsed="false">
      <c r="A1600" s="18"/>
      <c r="B1600" s="6"/>
      <c r="C1600" s="6"/>
      <c r="D1600" s="6"/>
      <c r="E1600" s="16" t="str">
        <f aca="false">IF($B1600="","",IFERROR(INDEX(Services!$C$2:$C$120,MATCH($B1600,Services!$D$2:$D$120,0)),""))</f>
        <v/>
      </c>
      <c r="F1600" s="19"/>
      <c r="G1600" s="9" t="str">
        <f aca="false">IF(OR($B1600="",NOT(ISNUMBER($E1600))),"",$E1600-IF($F1600="",0,$F1600))</f>
        <v/>
      </c>
      <c r="H1600" s="15" t="str">
        <f aca="false">IF($B1600="","",IFERROR(INDEX(Services!$A$2:$A$120,MATCH($B1600,Services!$D$2:$D$120,0)),""))</f>
        <v/>
      </c>
      <c r="I1600" s="19"/>
      <c r="J1600" s="15" t="str">
        <f aca="false">IF($B1600="","",IFERROR(INDEX(Services!$E$2:$E$120,MATCH($B1600,Services!$D$2:$D$120,0)),""))</f>
        <v/>
      </c>
    </row>
    <row r="1601" customFormat="false" ht="14.25" hidden="false" customHeight="false" outlineLevel="0" collapsed="false">
      <c r="A1601" s="18"/>
      <c r="B1601" s="6"/>
      <c r="C1601" s="6"/>
      <c r="D1601" s="6"/>
      <c r="E1601" s="16" t="str">
        <f aca="false">IF($B1601="","",IFERROR(INDEX(Services!$C$2:$C$120,MATCH($B1601,Services!$D$2:$D$120,0)),""))</f>
        <v/>
      </c>
      <c r="F1601" s="19"/>
      <c r="G1601" s="9" t="str">
        <f aca="false">IF(OR($B1601="",NOT(ISNUMBER($E1601))),"",$E1601-IF($F1601="",0,$F1601))</f>
        <v/>
      </c>
      <c r="H1601" s="15" t="str">
        <f aca="false">IF($B1601="","",IFERROR(INDEX(Services!$A$2:$A$120,MATCH($B1601,Services!$D$2:$D$120,0)),""))</f>
        <v/>
      </c>
      <c r="I1601" s="19"/>
      <c r="J1601" s="15" t="str">
        <f aca="false">IF($B1601="","",IFERROR(INDEX(Services!$E$2:$E$120,MATCH($B1601,Services!$D$2:$D$120,0)),""))</f>
        <v/>
      </c>
    </row>
    <row r="1602" customFormat="false" ht="14.25" hidden="false" customHeight="false" outlineLevel="0" collapsed="false">
      <c r="A1602" s="18"/>
      <c r="B1602" s="6"/>
      <c r="C1602" s="6"/>
      <c r="D1602" s="6"/>
      <c r="E1602" s="16" t="str">
        <f aca="false">IF($B1602="","",IFERROR(INDEX(Services!$C$2:$C$120,MATCH($B1602,Services!$D$2:$D$120,0)),""))</f>
        <v/>
      </c>
      <c r="F1602" s="19"/>
      <c r="G1602" s="9" t="str">
        <f aca="false">IF(OR($B1602="",NOT(ISNUMBER($E1602))),"",$E1602-IF($F1602="",0,$F1602))</f>
        <v/>
      </c>
      <c r="H1602" s="15" t="str">
        <f aca="false">IF($B1602="","",IFERROR(INDEX(Services!$A$2:$A$120,MATCH($B1602,Services!$D$2:$D$120,0)),""))</f>
        <v/>
      </c>
      <c r="I1602" s="19"/>
      <c r="J1602" s="15" t="str">
        <f aca="false">IF($B1602="","",IFERROR(INDEX(Services!$E$2:$E$120,MATCH($B1602,Services!$D$2:$D$120,0)),""))</f>
        <v/>
      </c>
    </row>
    <row r="1603" customFormat="false" ht="14.25" hidden="false" customHeight="false" outlineLevel="0" collapsed="false">
      <c r="A1603" s="18"/>
      <c r="B1603" s="6"/>
      <c r="C1603" s="6"/>
      <c r="D1603" s="6"/>
      <c r="E1603" s="16" t="str">
        <f aca="false">IF($B1603="","",IFERROR(INDEX(Services!$C$2:$C$120,MATCH($B1603,Services!$D$2:$D$120,0)),""))</f>
        <v/>
      </c>
      <c r="F1603" s="19"/>
      <c r="G1603" s="9" t="str">
        <f aca="false">IF(OR($B1603="",NOT(ISNUMBER($E1603))),"",$E1603-IF($F1603="",0,$F1603))</f>
        <v/>
      </c>
      <c r="H1603" s="15" t="str">
        <f aca="false">IF($B1603="","",IFERROR(INDEX(Services!$A$2:$A$120,MATCH($B1603,Services!$D$2:$D$120,0)),""))</f>
        <v/>
      </c>
      <c r="I1603" s="19"/>
      <c r="J1603" s="15" t="str">
        <f aca="false">IF($B1603="","",IFERROR(INDEX(Services!$E$2:$E$120,MATCH($B1603,Services!$D$2:$D$120,0)),""))</f>
        <v/>
      </c>
    </row>
    <row r="1604" customFormat="false" ht="14.25" hidden="false" customHeight="false" outlineLevel="0" collapsed="false">
      <c r="A1604" s="18"/>
      <c r="B1604" s="6"/>
      <c r="C1604" s="6"/>
      <c r="D1604" s="6"/>
      <c r="E1604" s="16" t="str">
        <f aca="false">IF($B1604="","",IFERROR(INDEX(Services!$C$2:$C$120,MATCH($B1604,Services!$D$2:$D$120,0)),""))</f>
        <v/>
      </c>
      <c r="F1604" s="19"/>
      <c r="G1604" s="9" t="str">
        <f aca="false">IF(OR($B1604="",NOT(ISNUMBER($E1604))),"",$E1604-IF($F1604="",0,$F1604))</f>
        <v/>
      </c>
      <c r="H1604" s="15" t="str">
        <f aca="false">IF($B1604="","",IFERROR(INDEX(Services!$A$2:$A$120,MATCH($B1604,Services!$D$2:$D$120,0)),""))</f>
        <v/>
      </c>
      <c r="I1604" s="19"/>
      <c r="J1604" s="15" t="str">
        <f aca="false">IF($B1604="","",IFERROR(INDEX(Services!$E$2:$E$120,MATCH($B1604,Services!$D$2:$D$120,0)),""))</f>
        <v/>
      </c>
    </row>
    <row r="1605" customFormat="false" ht="14.25" hidden="false" customHeight="false" outlineLevel="0" collapsed="false">
      <c r="A1605" s="18"/>
      <c r="B1605" s="6"/>
      <c r="C1605" s="6"/>
      <c r="D1605" s="6"/>
      <c r="E1605" s="16" t="str">
        <f aca="false">IF($B1605="","",IFERROR(INDEX(Services!$C$2:$C$120,MATCH($B1605,Services!$D$2:$D$120,0)),""))</f>
        <v/>
      </c>
      <c r="F1605" s="19"/>
      <c r="G1605" s="9" t="str">
        <f aca="false">IF(OR($B1605="",NOT(ISNUMBER($E1605))),"",$E1605-IF($F1605="",0,$F1605))</f>
        <v/>
      </c>
      <c r="H1605" s="15" t="str">
        <f aca="false">IF($B1605="","",IFERROR(INDEX(Services!$A$2:$A$120,MATCH($B1605,Services!$D$2:$D$120,0)),""))</f>
        <v/>
      </c>
      <c r="I1605" s="19"/>
      <c r="J1605" s="15" t="str">
        <f aca="false">IF($B1605="","",IFERROR(INDEX(Services!$E$2:$E$120,MATCH($B1605,Services!$D$2:$D$120,0)),""))</f>
        <v/>
      </c>
    </row>
    <row r="1606" customFormat="false" ht="14.25" hidden="false" customHeight="false" outlineLevel="0" collapsed="false">
      <c r="A1606" s="18"/>
      <c r="B1606" s="6"/>
      <c r="C1606" s="6"/>
      <c r="D1606" s="6"/>
      <c r="E1606" s="16" t="str">
        <f aca="false">IF($B1606="","",IFERROR(INDEX(Services!$C$2:$C$120,MATCH($B1606,Services!$D$2:$D$120,0)),""))</f>
        <v/>
      </c>
      <c r="F1606" s="19"/>
      <c r="G1606" s="9" t="str">
        <f aca="false">IF(OR($B1606="",NOT(ISNUMBER($E1606))),"",$E1606-IF($F1606="",0,$F1606))</f>
        <v/>
      </c>
      <c r="H1606" s="15" t="str">
        <f aca="false">IF($B1606="","",IFERROR(INDEX(Services!$A$2:$A$120,MATCH($B1606,Services!$D$2:$D$120,0)),""))</f>
        <v/>
      </c>
      <c r="I1606" s="19"/>
      <c r="J1606" s="15" t="str">
        <f aca="false">IF($B1606="","",IFERROR(INDEX(Services!$E$2:$E$120,MATCH($B1606,Services!$D$2:$D$120,0)),""))</f>
        <v/>
      </c>
    </row>
    <row r="1607" customFormat="false" ht="14.25" hidden="false" customHeight="false" outlineLevel="0" collapsed="false">
      <c r="A1607" s="18"/>
      <c r="B1607" s="6"/>
      <c r="C1607" s="6"/>
      <c r="D1607" s="6"/>
      <c r="E1607" s="16" t="str">
        <f aca="false">IF($B1607="","",IFERROR(INDEX(Services!$C$2:$C$120,MATCH($B1607,Services!$D$2:$D$120,0)),""))</f>
        <v/>
      </c>
      <c r="F1607" s="19"/>
      <c r="G1607" s="9" t="str">
        <f aca="false">IF(OR($B1607="",NOT(ISNUMBER($E1607))),"",$E1607-IF($F1607="",0,$F1607))</f>
        <v/>
      </c>
      <c r="H1607" s="15" t="str">
        <f aca="false">IF($B1607="","",IFERROR(INDEX(Services!$A$2:$A$120,MATCH($B1607,Services!$D$2:$D$120,0)),""))</f>
        <v/>
      </c>
      <c r="I1607" s="19"/>
      <c r="J1607" s="15" t="str">
        <f aca="false">IF($B1607="","",IFERROR(INDEX(Services!$E$2:$E$120,MATCH($B1607,Services!$D$2:$D$120,0)),""))</f>
        <v/>
      </c>
    </row>
    <row r="1608" customFormat="false" ht="14.25" hidden="false" customHeight="false" outlineLevel="0" collapsed="false">
      <c r="A1608" s="18"/>
      <c r="B1608" s="6"/>
      <c r="C1608" s="6"/>
      <c r="D1608" s="6"/>
      <c r="E1608" s="16" t="str">
        <f aca="false">IF($B1608="","",IFERROR(INDEX(Services!$C$2:$C$120,MATCH($B1608,Services!$D$2:$D$120,0)),""))</f>
        <v/>
      </c>
      <c r="F1608" s="19"/>
      <c r="G1608" s="9" t="str">
        <f aca="false">IF(OR($B1608="",NOT(ISNUMBER($E1608))),"",$E1608-IF($F1608="",0,$F1608))</f>
        <v/>
      </c>
      <c r="H1608" s="15" t="str">
        <f aca="false">IF($B1608="","",IFERROR(INDEX(Services!$A$2:$A$120,MATCH($B1608,Services!$D$2:$D$120,0)),""))</f>
        <v/>
      </c>
      <c r="I1608" s="19"/>
      <c r="J1608" s="15" t="str">
        <f aca="false">IF($B1608="","",IFERROR(INDEX(Services!$E$2:$E$120,MATCH($B1608,Services!$D$2:$D$120,0)),""))</f>
        <v/>
      </c>
    </row>
    <row r="1609" customFormat="false" ht="14.25" hidden="false" customHeight="false" outlineLevel="0" collapsed="false">
      <c r="A1609" s="18"/>
      <c r="B1609" s="6"/>
      <c r="C1609" s="6"/>
      <c r="D1609" s="6"/>
      <c r="E1609" s="16" t="str">
        <f aca="false">IF($B1609="","",IFERROR(INDEX(Services!$C$2:$C$120,MATCH($B1609,Services!$D$2:$D$120,0)),""))</f>
        <v/>
      </c>
      <c r="F1609" s="19"/>
      <c r="G1609" s="9" t="str">
        <f aca="false">IF(OR($B1609="",NOT(ISNUMBER($E1609))),"",$E1609-IF($F1609="",0,$F1609))</f>
        <v/>
      </c>
      <c r="H1609" s="15" t="str">
        <f aca="false">IF($B1609="","",IFERROR(INDEX(Services!$A$2:$A$120,MATCH($B1609,Services!$D$2:$D$120,0)),""))</f>
        <v/>
      </c>
      <c r="I1609" s="19"/>
      <c r="J1609" s="15" t="str">
        <f aca="false">IF($B1609="","",IFERROR(INDEX(Services!$E$2:$E$120,MATCH($B1609,Services!$D$2:$D$120,0)),""))</f>
        <v/>
      </c>
    </row>
    <row r="1610" customFormat="false" ht="14.25" hidden="false" customHeight="false" outlineLevel="0" collapsed="false">
      <c r="A1610" s="18"/>
      <c r="B1610" s="6"/>
      <c r="C1610" s="6"/>
      <c r="D1610" s="6"/>
      <c r="E1610" s="16" t="str">
        <f aca="false">IF($B1610="","",IFERROR(INDEX(Services!$C$2:$C$120,MATCH($B1610,Services!$D$2:$D$120,0)),""))</f>
        <v/>
      </c>
      <c r="F1610" s="19"/>
      <c r="G1610" s="9" t="str">
        <f aca="false">IF(OR($B1610="",NOT(ISNUMBER($E1610))),"",$E1610-IF($F1610="",0,$F1610))</f>
        <v/>
      </c>
      <c r="H1610" s="15" t="str">
        <f aca="false">IF($B1610="","",IFERROR(INDEX(Services!$A$2:$A$120,MATCH($B1610,Services!$D$2:$D$120,0)),""))</f>
        <v/>
      </c>
      <c r="I1610" s="19"/>
      <c r="J1610" s="15" t="str">
        <f aca="false">IF($B1610="","",IFERROR(INDEX(Services!$E$2:$E$120,MATCH($B1610,Services!$D$2:$D$120,0)),""))</f>
        <v/>
      </c>
    </row>
    <row r="1611" customFormat="false" ht="14.25" hidden="false" customHeight="false" outlineLevel="0" collapsed="false">
      <c r="A1611" s="18"/>
      <c r="B1611" s="6"/>
      <c r="C1611" s="6"/>
      <c r="D1611" s="6"/>
      <c r="E1611" s="16" t="str">
        <f aca="false">IF($B1611="","",IFERROR(INDEX(Services!$C$2:$C$120,MATCH($B1611,Services!$D$2:$D$120,0)),""))</f>
        <v/>
      </c>
      <c r="F1611" s="19"/>
      <c r="G1611" s="9" t="str">
        <f aca="false">IF(OR($B1611="",NOT(ISNUMBER($E1611))),"",$E1611-IF($F1611="",0,$F1611))</f>
        <v/>
      </c>
      <c r="H1611" s="15" t="str">
        <f aca="false">IF($B1611="","",IFERROR(INDEX(Services!$A$2:$A$120,MATCH($B1611,Services!$D$2:$D$120,0)),""))</f>
        <v/>
      </c>
      <c r="I1611" s="19"/>
      <c r="J1611" s="15" t="str">
        <f aca="false">IF($B1611="","",IFERROR(INDEX(Services!$E$2:$E$120,MATCH($B1611,Services!$D$2:$D$120,0)),""))</f>
        <v/>
      </c>
    </row>
    <row r="1612" customFormat="false" ht="14.25" hidden="false" customHeight="false" outlineLevel="0" collapsed="false">
      <c r="A1612" s="18"/>
      <c r="B1612" s="6"/>
      <c r="C1612" s="6"/>
      <c r="D1612" s="6"/>
      <c r="E1612" s="16" t="str">
        <f aca="false">IF($B1612="","",IFERROR(INDEX(Services!$C$2:$C$120,MATCH($B1612,Services!$D$2:$D$120,0)),""))</f>
        <v/>
      </c>
      <c r="F1612" s="19"/>
      <c r="G1612" s="9" t="str">
        <f aca="false">IF(OR($B1612="",NOT(ISNUMBER($E1612))),"",$E1612-IF($F1612="",0,$F1612))</f>
        <v/>
      </c>
      <c r="H1612" s="15" t="str">
        <f aca="false">IF($B1612="","",IFERROR(INDEX(Services!$A$2:$A$120,MATCH($B1612,Services!$D$2:$D$120,0)),""))</f>
        <v/>
      </c>
      <c r="I1612" s="19"/>
      <c r="J1612" s="15" t="str">
        <f aca="false">IF($B1612="","",IFERROR(INDEX(Services!$E$2:$E$120,MATCH($B1612,Services!$D$2:$D$120,0)),""))</f>
        <v/>
      </c>
    </row>
    <row r="1613" customFormat="false" ht="14.25" hidden="false" customHeight="false" outlineLevel="0" collapsed="false">
      <c r="A1613" s="18"/>
      <c r="B1613" s="6"/>
      <c r="C1613" s="6"/>
      <c r="D1613" s="6"/>
      <c r="E1613" s="16" t="str">
        <f aca="false">IF($B1613="","",IFERROR(INDEX(Services!$C$2:$C$120,MATCH($B1613,Services!$D$2:$D$120,0)),""))</f>
        <v/>
      </c>
      <c r="F1613" s="19"/>
      <c r="G1613" s="9" t="str">
        <f aca="false">IF(OR($B1613="",NOT(ISNUMBER($E1613))),"",$E1613-IF($F1613="",0,$F1613))</f>
        <v/>
      </c>
      <c r="H1613" s="15" t="str">
        <f aca="false">IF($B1613="","",IFERROR(INDEX(Services!$A$2:$A$120,MATCH($B1613,Services!$D$2:$D$120,0)),""))</f>
        <v/>
      </c>
      <c r="I1613" s="19"/>
      <c r="J1613" s="15" t="str">
        <f aca="false">IF($B1613="","",IFERROR(INDEX(Services!$E$2:$E$120,MATCH($B1613,Services!$D$2:$D$120,0)),""))</f>
        <v/>
      </c>
    </row>
    <row r="1614" customFormat="false" ht="14.25" hidden="false" customHeight="false" outlineLevel="0" collapsed="false">
      <c r="A1614" s="18"/>
      <c r="B1614" s="6"/>
      <c r="C1614" s="6"/>
      <c r="D1614" s="6"/>
      <c r="E1614" s="16" t="str">
        <f aca="false">IF($B1614="","",IFERROR(INDEX(Services!$C$2:$C$120,MATCH($B1614,Services!$D$2:$D$120,0)),""))</f>
        <v/>
      </c>
      <c r="F1614" s="19"/>
      <c r="G1614" s="9" t="str">
        <f aca="false">IF(OR($B1614="",NOT(ISNUMBER($E1614))),"",$E1614-IF($F1614="",0,$F1614))</f>
        <v/>
      </c>
      <c r="H1614" s="15" t="str">
        <f aca="false">IF($B1614="","",IFERROR(INDEX(Services!$A$2:$A$120,MATCH($B1614,Services!$D$2:$D$120,0)),""))</f>
        <v/>
      </c>
      <c r="I1614" s="19"/>
      <c r="J1614" s="15" t="str">
        <f aca="false">IF($B1614="","",IFERROR(INDEX(Services!$E$2:$E$120,MATCH($B1614,Services!$D$2:$D$120,0)),""))</f>
        <v/>
      </c>
    </row>
    <row r="1615" customFormat="false" ht="14.25" hidden="false" customHeight="false" outlineLevel="0" collapsed="false">
      <c r="A1615" s="18"/>
      <c r="B1615" s="6"/>
      <c r="C1615" s="6"/>
      <c r="D1615" s="6"/>
      <c r="E1615" s="16" t="str">
        <f aca="false">IF($B1615="","",IFERROR(INDEX(Services!$C$2:$C$120,MATCH($B1615,Services!$D$2:$D$120,0)),""))</f>
        <v/>
      </c>
      <c r="F1615" s="19"/>
      <c r="G1615" s="9" t="str">
        <f aca="false">IF(OR($B1615="",NOT(ISNUMBER($E1615))),"",$E1615-IF($F1615="",0,$F1615))</f>
        <v/>
      </c>
      <c r="H1615" s="15" t="str">
        <f aca="false">IF($B1615="","",IFERROR(INDEX(Services!$A$2:$A$120,MATCH($B1615,Services!$D$2:$D$120,0)),""))</f>
        <v/>
      </c>
      <c r="I1615" s="19"/>
      <c r="J1615" s="15" t="str">
        <f aca="false">IF($B1615="","",IFERROR(INDEX(Services!$E$2:$E$120,MATCH($B1615,Services!$D$2:$D$120,0)),""))</f>
        <v/>
      </c>
    </row>
    <row r="1616" customFormat="false" ht="14.25" hidden="false" customHeight="false" outlineLevel="0" collapsed="false">
      <c r="A1616" s="18"/>
      <c r="B1616" s="6"/>
      <c r="C1616" s="6"/>
      <c r="D1616" s="6"/>
      <c r="E1616" s="16" t="str">
        <f aca="false">IF($B1616="","",IFERROR(INDEX(Services!$C$2:$C$120,MATCH($B1616,Services!$D$2:$D$120,0)),""))</f>
        <v/>
      </c>
      <c r="F1616" s="19"/>
      <c r="G1616" s="9" t="str">
        <f aca="false">IF(OR($B1616="",NOT(ISNUMBER($E1616))),"",$E1616-IF($F1616="",0,$F1616))</f>
        <v/>
      </c>
      <c r="H1616" s="15" t="str">
        <f aca="false">IF($B1616="","",IFERROR(INDEX(Services!$A$2:$A$120,MATCH($B1616,Services!$D$2:$D$120,0)),""))</f>
        <v/>
      </c>
      <c r="I1616" s="19"/>
      <c r="J1616" s="15" t="str">
        <f aca="false">IF($B1616="","",IFERROR(INDEX(Services!$E$2:$E$120,MATCH($B1616,Services!$D$2:$D$120,0)),""))</f>
        <v/>
      </c>
    </row>
    <row r="1617" customFormat="false" ht="14.25" hidden="false" customHeight="false" outlineLevel="0" collapsed="false">
      <c r="A1617" s="18"/>
      <c r="B1617" s="6"/>
      <c r="C1617" s="6"/>
      <c r="D1617" s="6"/>
      <c r="E1617" s="16" t="str">
        <f aca="false">IF($B1617="","",IFERROR(INDEX(Services!$C$2:$C$120,MATCH($B1617,Services!$D$2:$D$120,0)),""))</f>
        <v/>
      </c>
      <c r="F1617" s="19"/>
      <c r="G1617" s="9" t="str">
        <f aca="false">IF(OR($B1617="",NOT(ISNUMBER($E1617))),"",$E1617-IF($F1617="",0,$F1617))</f>
        <v/>
      </c>
      <c r="H1617" s="15" t="str">
        <f aca="false">IF($B1617="","",IFERROR(INDEX(Services!$A$2:$A$120,MATCH($B1617,Services!$D$2:$D$120,0)),""))</f>
        <v/>
      </c>
      <c r="I1617" s="19"/>
      <c r="J1617" s="15" t="str">
        <f aca="false">IF($B1617="","",IFERROR(INDEX(Services!$E$2:$E$120,MATCH($B1617,Services!$D$2:$D$120,0)),""))</f>
        <v/>
      </c>
    </row>
    <row r="1618" customFormat="false" ht="14.25" hidden="false" customHeight="false" outlineLevel="0" collapsed="false">
      <c r="A1618" s="18"/>
      <c r="B1618" s="6"/>
      <c r="C1618" s="6"/>
      <c r="D1618" s="6"/>
      <c r="E1618" s="16" t="str">
        <f aca="false">IF($B1618="","",IFERROR(INDEX(Services!$C$2:$C$120,MATCH($B1618,Services!$D$2:$D$120,0)),""))</f>
        <v/>
      </c>
      <c r="F1618" s="19"/>
      <c r="G1618" s="9" t="str">
        <f aca="false">IF(OR($B1618="",NOT(ISNUMBER($E1618))),"",$E1618-IF($F1618="",0,$F1618))</f>
        <v/>
      </c>
      <c r="H1618" s="15" t="str">
        <f aca="false">IF($B1618="","",IFERROR(INDEX(Services!$A$2:$A$120,MATCH($B1618,Services!$D$2:$D$120,0)),""))</f>
        <v/>
      </c>
      <c r="I1618" s="19"/>
      <c r="J1618" s="15" t="str">
        <f aca="false">IF($B1618="","",IFERROR(INDEX(Services!$E$2:$E$120,MATCH($B1618,Services!$D$2:$D$120,0)),""))</f>
        <v/>
      </c>
    </row>
    <row r="1619" customFormat="false" ht="14.25" hidden="false" customHeight="false" outlineLevel="0" collapsed="false">
      <c r="A1619" s="18"/>
      <c r="B1619" s="6"/>
      <c r="C1619" s="6"/>
      <c r="D1619" s="6"/>
      <c r="E1619" s="16" t="str">
        <f aca="false">IF($B1619="","",IFERROR(INDEX(Services!$C$2:$C$120,MATCH($B1619,Services!$D$2:$D$120,0)),""))</f>
        <v/>
      </c>
      <c r="F1619" s="19"/>
      <c r="G1619" s="9" t="str">
        <f aca="false">IF(OR($B1619="",NOT(ISNUMBER($E1619))),"",$E1619-IF($F1619="",0,$F1619))</f>
        <v/>
      </c>
      <c r="H1619" s="15" t="str">
        <f aca="false">IF($B1619="","",IFERROR(INDEX(Services!$A$2:$A$120,MATCH($B1619,Services!$D$2:$D$120,0)),""))</f>
        <v/>
      </c>
      <c r="I1619" s="19"/>
      <c r="J1619" s="15" t="str">
        <f aca="false">IF($B1619="","",IFERROR(INDEX(Services!$E$2:$E$120,MATCH($B1619,Services!$D$2:$D$120,0)),""))</f>
        <v/>
      </c>
    </row>
    <row r="1620" customFormat="false" ht="14.25" hidden="false" customHeight="false" outlineLevel="0" collapsed="false">
      <c r="A1620" s="18"/>
      <c r="B1620" s="6"/>
      <c r="C1620" s="6"/>
      <c r="D1620" s="6"/>
      <c r="E1620" s="16" t="str">
        <f aca="false">IF($B1620="","",IFERROR(INDEX(Services!$C$2:$C$120,MATCH($B1620,Services!$D$2:$D$120,0)),""))</f>
        <v/>
      </c>
      <c r="F1620" s="19"/>
      <c r="G1620" s="9" t="str">
        <f aca="false">IF(OR($B1620="",NOT(ISNUMBER($E1620))),"",$E1620-IF($F1620="",0,$F1620))</f>
        <v/>
      </c>
      <c r="H1620" s="15" t="str">
        <f aca="false">IF($B1620="","",IFERROR(INDEX(Services!$A$2:$A$120,MATCH($B1620,Services!$D$2:$D$120,0)),""))</f>
        <v/>
      </c>
      <c r="I1620" s="19"/>
      <c r="J1620" s="15" t="str">
        <f aca="false">IF($B1620="","",IFERROR(INDEX(Services!$E$2:$E$120,MATCH($B1620,Services!$D$2:$D$120,0)),""))</f>
        <v/>
      </c>
    </row>
    <row r="1621" customFormat="false" ht="14.25" hidden="false" customHeight="false" outlineLevel="0" collapsed="false">
      <c r="A1621" s="18"/>
      <c r="B1621" s="6"/>
      <c r="C1621" s="6"/>
      <c r="D1621" s="6"/>
      <c r="E1621" s="16" t="str">
        <f aca="false">IF($B1621="","",IFERROR(INDEX(Services!$C$2:$C$120,MATCH($B1621,Services!$D$2:$D$120,0)),""))</f>
        <v/>
      </c>
      <c r="F1621" s="19"/>
      <c r="G1621" s="9" t="str">
        <f aca="false">IF(OR($B1621="",NOT(ISNUMBER($E1621))),"",$E1621-IF($F1621="",0,$F1621))</f>
        <v/>
      </c>
      <c r="H1621" s="15" t="str">
        <f aca="false">IF($B1621="","",IFERROR(INDEX(Services!$A$2:$A$120,MATCH($B1621,Services!$D$2:$D$120,0)),""))</f>
        <v/>
      </c>
      <c r="I1621" s="19"/>
      <c r="J1621" s="15" t="str">
        <f aca="false">IF($B1621="","",IFERROR(INDEX(Services!$E$2:$E$120,MATCH($B1621,Services!$D$2:$D$120,0)),""))</f>
        <v/>
      </c>
    </row>
    <row r="1622" customFormat="false" ht="14.25" hidden="false" customHeight="false" outlineLevel="0" collapsed="false">
      <c r="A1622" s="18"/>
      <c r="B1622" s="6"/>
      <c r="C1622" s="6"/>
      <c r="D1622" s="6"/>
      <c r="E1622" s="16" t="str">
        <f aca="false">IF($B1622="","",IFERROR(INDEX(Services!$C$2:$C$120,MATCH($B1622,Services!$D$2:$D$120,0)),""))</f>
        <v/>
      </c>
      <c r="F1622" s="19"/>
      <c r="G1622" s="9" t="str">
        <f aca="false">IF(OR($B1622="",NOT(ISNUMBER($E1622))),"",$E1622-IF($F1622="",0,$F1622))</f>
        <v/>
      </c>
      <c r="H1622" s="15" t="str">
        <f aca="false">IF($B1622="","",IFERROR(INDEX(Services!$A$2:$A$120,MATCH($B1622,Services!$D$2:$D$120,0)),""))</f>
        <v/>
      </c>
      <c r="I1622" s="19"/>
      <c r="J1622" s="15" t="str">
        <f aca="false">IF($B1622="","",IFERROR(INDEX(Services!$E$2:$E$120,MATCH($B1622,Services!$D$2:$D$120,0)),""))</f>
        <v/>
      </c>
    </row>
    <row r="1623" customFormat="false" ht="14.25" hidden="false" customHeight="false" outlineLevel="0" collapsed="false">
      <c r="A1623" s="18"/>
      <c r="B1623" s="6"/>
      <c r="C1623" s="6"/>
      <c r="D1623" s="6"/>
      <c r="E1623" s="16" t="str">
        <f aca="false">IF($B1623="","",IFERROR(INDEX(Services!$C$2:$C$120,MATCH($B1623,Services!$D$2:$D$120,0)),""))</f>
        <v/>
      </c>
      <c r="F1623" s="19"/>
      <c r="G1623" s="9" t="str">
        <f aca="false">IF(OR($B1623="",NOT(ISNUMBER($E1623))),"",$E1623-IF($F1623="",0,$F1623))</f>
        <v/>
      </c>
      <c r="H1623" s="15" t="str">
        <f aca="false">IF($B1623="","",IFERROR(INDEX(Services!$A$2:$A$120,MATCH($B1623,Services!$D$2:$D$120,0)),""))</f>
        <v/>
      </c>
      <c r="I1623" s="19"/>
      <c r="J1623" s="15" t="str">
        <f aca="false">IF($B1623="","",IFERROR(INDEX(Services!$E$2:$E$120,MATCH($B1623,Services!$D$2:$D$120,0)),""))</f>
        <v/>
      </c>
    </row>
    <row r="1624" customFormat="false" ht="14.25" hidden="false" customHeight="false" outlineLevel="0" collapsed="false">
      <c r="A1624" s="18"/>
      <c r="B1624" s="6"/>
      <c r="C1624" s="6"/>
      <c r="D1624" s="6"/>
      <c r="E1624" s="16" t="str">
        <f aca="false">IF($B1624="","",IFERROR(INDEX(Services!$C$2:$C$120,MATCH($B1624,Services!$D$2:$D$120,0)),""))</f>
        <v/>
      </c>
      <c r="F1624" s="19"/>
      <c r="G1624" s="9" t="str">
        <f aca="false">IF(OR($B1624="",NOT(ISNUMBER($E1624))),"",$E1624-IF($F1624="",0,$F1624))</f>
        <v/>
      </c>
      <c r="H1624" s="15" t="str">
        <f aca="false">IF($B1624="","",IFERROR(INDEX(Services!$A$2:$A$120,MATCH($B1624,Services!$D$2:$D$120,0)),""))</f>
        <v/>
      </c>
      <c r="I1624" s="19"/>
      <c r="J1624" s="15" t="str">
        <f aca="false">IF($B1624="","",IFERROR(INDEX(Services!$E$2:$E$120,MATCH($B1624,Services!$D$2:$D$120,0)),""))</f>
        <v/>
      </c>
    </row>
    <row r="1625" customFormat="false" ht="14.25" hidden="false" customHeight="false" outlineLevel="0" collapsed="false">
      <c r="A1625" s="18"/>
      <c r="B1625" s="6"/>
      <c r="C1625" s="6"/>
      <c r="D1625" s="6"/>
      <c r="E1625" s="16" t="str">
        <f aca="false">IF($B1625="","",IFERROR(INDEX(Services!$C$2:$C$120,MATCH($B1625,Services!$D$2:$D$120,0)),""))</f>
        <v/>
      </c>
      <c r="F1625" s="19"/>
      <c r="G1625" s="9" t="str">
        <f aca="false">IF(OR($B1625="",NOT(ISNUMBER($E1625))),"",$E1625-IF($F1625="",0,$F1625))</f>
        <v/>
      </c>
      <c r="H1625" s="15" t="str">
        <f aca="false">IF($B1625="","",IFERROR(INDEX(Services!$A$2:$A$120,MATCH($B1625,Services!$D$2:$D$120,0)),""))</f>
        <v/>
      </c>
      <c r="I1625" s="19"/>
      <c r="J1625" s="15" t="str">
        <f aca="false">IF($B1625="","",IFERROR(INDEX(Services!$E$2:$E$120,MATCH($B1625,Services!$D$2:$D$120,0)),""))</f>
        <v/>
      </c>
    </row>
    <row r="1626" customFormat="false" ht="14.25" hidden="false" customHeight="false" outlineLevel="0" collapsed="false">
      <c r="A1626" s="18"/>
      <c r="B1626" s="6"/>
      <c r="C1626" s="6"/>
      <c r="D1626" s="6"/>
      <c r="E1626" s="16" t="str">
        <f aca="false">IF($B1626="","",IFERROR(INDEX(Services!$C$2:$C$120,MATCH($B1626,Services!$D$2:$D$120,0)),""))</f>
        <v/>
      </c>
      <c r="F1626" s="19"/>
      <c r="G1626" s="9" t="str">
        <f aca="false">IF(OR($B1626="",NOT(ISNUMBER($E1626))),"",$E1626-IF($F1626="",0,$F1626))</f>
        <v/>
      </c>
      <c r="H1626" s="15" t="str">
        <f aca="false">IF($B1626="","",IFERROR(INDEX(Services!$A$2:$A$120,MATCH($B1626,Services!$D$2:$D$120,0)),""))</f>
        <v/>
      </c>
      <c r="I1626" s="19"/>
      <c r="J1626" s="15" t="str">
        <f aca="false">IF($B1626="","",IFERROR(INDEX(Services!$E$2:$E$120,MATCH($B1626,Services!$D$2:$D$120,0)),""))</f>
        <v/>
      </c>
    </row>
    <row r="1627" customFormat="false" ht="14.25" hidden="false" customHeight="false" outlineLevel="0" collapsed="false">
      <c r="A1627" s="18"/>
      <c r="B1627" s="6"/>
      <c r="C1627" s="6"/>
      <c r="D1627" s="6"/>
      <c r="E1627" s="16" t="str">
        <f aca="false">IF($B1627="","",IFERROR(INDEX(Services!$C$2:$C$120,MATCH($B1627,Services!$D$2:$D$120,0)),""))</f>
        <v/>
      </c>
      <c r="F1627" s="19"/>
      <c r="G1627" s="9" t="str">
        <f aca="false">IF(OR($B1627="",NOT(ISNUMBER($E1627))),"",$E1627-IF($F1627="",0,$F1627))</f>
        <v/>
      </c>
      <c r="H1627" s="15" t="str">
        <f aca="false">IF($B1627="","",IFERROR(INDEX(Services!$A$2:$A$120,MATCH($B1627,Services!$D$2:$D$120,0)),""))</f>
        <v/>
      </c>
      <c r="I1627" s="19"/>
      <c r="J1627" s="15" t="str">
        <f aca="false">IF($B1627="","",IFERROR(INDEX(Services!$E$2:$E$120,MATCH($B1627,Services!$D$2:$D$120,0)),""))</f>
        <v/>
      </c>
    </row>
    <row r="1628" customFormat="false" ht="14.25" hidden="false" customHeight="false" outlineLevel="0" collapsed="false">
      <c r="A1628" s="18"/>
      <c r="B1628" s="6"/>
      <c r="C1628" s="6"/>
      <c r="D1628" s="6"/>
      <c r="E1628" s="16" t="str">
        <f aca="false">IF($B1628="","",IFERROR(INDEX(Services!$C$2:$C$120,MATCH($B1628,Services!$D$2:$D$120,0)),""))</f>
        <v/>
      </c>
      <c r="F1628" s="19"/>
      <c r="G1628" s="9" t="str">
        <f aca="false">IF(OR($B1628="",NOT(ISNUMBER($E1628))),"",$E1628-IF($F1628="",0,$F1628))</f>
        <v/>
      </c>
      <c r="H1628" s="15" t="str">
        <f aca="false">IF($B1628="","",IFERROR(INDEX(Services!$A$2:$A$120,MATCH($B1628,Services!$D$2:$D$120,0)),""))</f>
        <v/>
      </c>
      <c r="I1628" s="19"/>
      <c r="J1628" s="15" t="str">
        <f aca="false">IF($B1628="","",IFERROR(INDEX(Services!$E$2:$E$120,MATCH($B1628,Services!$D$2:$D$120,0)),""))</f>
        <v/>
      </c>
    </row>
    <row r="1629" customFormat="false" ht="14.25" hidden="false" customHeight="false" outlineLevel="0" collapsed="false">
      <c r="A1629" s="18"/>
      <c r="B1629" s="6"/>
      <c r="C1629" s="6"/>
      <c r="D1629" s="6"/>
      <c r="E1629" s="16" t="str">
        <f aca="false">IF($B1629="","",IFERROR(INDEX(Services!$C$2:$C$120,MATCH($B1629,Services!$D$2:$D$120,0)),""))</f>
        <v/>
      </c>
      <c r="F1629" s="19"/>
      <c r="G1629" s="9" t="str">
        <f aca="false">IF(OR($B1629="",NOT(ISNUMBER($E1629))),"",$E1629-IF($F1629="",0,$F1629))</f>
        <v/>
      </c>
      <c r="H1629" s="15" t="str">
        <f aca="false">IF($B1629="","",IFERROR(INDEX(Services!$A$2:$A$120,MATCH($B1629,Services!$D$2:$D$120,0)),""))</f>
        <v/>
      </c>
      <c r="I1629" s="19"/>
      <c r="J1629" s="15" t="str">
        <f aca="false">IF($B1629="","",IFERROR(INDEX(Services!$E$2:$E$120,MATCH($B1629,Services!$D$2:$D$120,0)),""))</f>
        <v/>
      </c>
    </row>
    <row r="1630" customFormat="false" ht="14.25" hidden="false" customHeight="false" outlineLevel="0" collapsed="false">
      <c r="A1630" s="18"/>
      <c r="B1630" s="6"/>
      <c r="C1630" s="6"/>
      <c r="D1630" s="6"/>
      <c r="E1630" s="16" t="str">
        <f aca="false">IF($B1630="","",IFERROR(INDEX(Services!$C$2:$C$120,MATCH($B1630,Services!$D$2:$D$120,0)),""))</f>
        <v/>
      </c>
      <c r="F1630" s="19"/>
      <c r="G1630" s="9" t="str">
        <f aca="false">IF(OR($B1630="",NOT(ISNUMBER($E1630))),"",$E1630-IF($F1630="",0,$F1630))</f>
        <v/>
      </c>
      <c r="H1630" s="15" t="str">
        <f aca="false">IF($B1630="","",IFERROR(INDEX(Services!$A$2:$A$120,MATCH($B1630,Services!$D$2:$D$120,0)),""))</f>
        <v/>
      </c>
      <c r="I1630" s="19"/>
      <c r="J1630" s="15" t="str">
        <f aca="false">IF($B1630="","",IFERROR(INDEX(Services!$E$2:$E$120,MATCH($B1630,Services!$D$2:$D$120,0)),""))</f>
        <v/>
      </c>
    </row>
    <row r="1631" customFormat="false" ht="14.25" hidden="false" customHeight="false" outlineLevel="0" collapsed="false">
      <c r="A1631" s="18"/>
      <c r="B1631" s="6"/>
      <c r="C1631" s="6"/>
      <c r="D1631" s="6"/>
      <c r="E1631" s="16" t="str">
        <f aca="false">IF($B1631="","",IFERROR(INDEX(Services!$C$2:$C$120,MATCH($B1631,Services!$D$2:$D$120,0)),""))</f>
        <v/>
      </c>
      <c r="F1631" s="19"/>
      <c r="G1631" s="9" t="str">
        <f aca="false">IF(OR($B1631="",NOT(ISNUMBER($E1631))),"",$E1631-IF($F1631="",0,$F1631))</f>
        <v/>
      </c>
      <c r="H1631" s="15" t="str">
        <f aca="false">IF($B1631="","",IFERROR(INDEX(Services!$A$2:$A$120,MATCH($B1631,Services!$D$2:$D$120,0)),""))</f>
        <v/>
      </c>
      <c r="I1631" s="19"/>
      <c r="J1631" s="15" t="str">
        <f aca="false">IF($B1631="","",IFERROR(INDEX(Services!$E$2:$E$120,MATCH($B1631,Services!$D$2:$D$120,0)),""))</f>
        <v/>
      </c>
    </row>
    <row r="1632" customFormat="false" ht="14.25" hidden="false" customHeight="false" outlineLevel="0" collapsed="false">
      <c r="A1632" s="18"/>
      <c r="B1632" s="6"/>
      <c r="C1632" s="6"/>
      <c r="D1632" s="6"/>
      <c r="E1632" s="16" t="str">
        <f aca="false">IF($B1632="","",IFERROR(INDEX(Services!$C$2:$C$120,MATCH($B1632,Services!$D$2:$D$120,0)),""))</f>
        <v/>
      </c>
      <c r="F1632" s="19"/>
      <c r="G1632" s="9" t="str">
        <f aca="false">IF(OR($B1632="",NOT(ISNUMBER($E1632))),"",$E1632-IF($F1632="",0,$F1632))</f>
        <v/>
      </c>
      <c r="H1632" s="15" t="str">
        <f aca="false">IF($B1632="","",IFERROR(INDEX(Services!$A$2:$A$120,MATCH($B1632,Services!$D$2:$D$120,0)),""))</f>
        <v/>
      </c>
      <c r="I1632" s="19"/>
      <c r="J1632" s="15" t="str">
        <f aca="false">IF($B1632="","",IFERROR(INDEX(Services!$E$2:$E$120,MATCH($B1632,Services!$D$2:$D$120,0)),""))</f>
        <v/>
      </c>
    </row>
    <row r="1633" customFormat="false" ht="14.25" hidden="false" customHeight="false" outlineLevel="0" collapsed="false">
      <c r="A1633" s="18"/>
      <c r="B1633" s="6"/>
      <c r="C1633" s="6"/>
      <c r="D1633" s="6"/>
      <c r="E1633" s="16" t="str">
        <f aca="false">IF($B1633="","",IFERROR(INDEX(Services!$C$2:$C$120,MATCH($B1633,Services!$D$2:$D$120,0)),""))</f>
        <v/>
      </c>
      <c r="F1633" s="19"/>
      <c r="G1633" s="9" t="str">
        <f aca="false">IF(OR($B1633="",NOT(ISNUMBER($E1633))),"",$E1633-IF($F1633="",0,$F1633))</f>
        <v/>
      </c>
      <c r="H1633" s="15" t="str">
        <f aca="false">IF($B1633="","",IFERROR(INDEX(Services!$A$2:$A$120,MATCH($B1633,Services!$D$2:$D$120,0)),""))</f>
        <v/>
      </c>
      <c r="I1633" s="19"/>
      <c r="J1633" s="15" t="str">
        <f aca="false">IF($B1633="","",IFERROR(INDEX(Services!$E$2:$E$120,MATCH($B1633,Services!$D$2:$D$120,0)),""))</f>
        <v/>
      </c>
    </row>
    <row r="1634" customFormat="false" ht="14.25" hidden="false" customHeight="false" outlineLevel="0" collapsed="false">
      <c r="A1634" s="18"/>
      <c r="B1634" s="6"/>
      <c r="C1634" s="6"/>
      <c r="D1634" s="6"/>
      <c r="E1634" s="16" t="str">
        <f aca="false">IF($B1634="","",IFERROR(INDEX(Services!$C$2:$C$120,MATCH($B1634,Services!$D$2:$D$120,0)),""))</f>
        <v/>
      </c>
      <c r="F1634" s="19"/>
      <c r="G1634" s="9" t="str">
        <f aca="false">IF(OR($B1634="",NOT(ISNUMBER($E1634))),"",$E1634-IF($F1634="",0,$F1634))</f>
        <v/>
      </c>
      <c r="H1634" s="15" t="str">
        <f aca="false">IF($B1634="","",IFERROR(INDEX(Services!$A$2:$A$120,MATCH($B1634,Services!$D$2:$D$120,0)),""))</f>
        <v/>
      </c>
      <c r="I1634" s="19"/>
      <c r="J1634" s="15" t="str">
        <f aca="false">IF($B1634="","",IFERROR(INDEX(Services!$E$2:$E$120,MATCH($B1634,Services!$D$2:$D$120,0)),""))</f>
        <v/>
      </c>
    </row>
    <row r="1635" customFormat="false" ht="14.25" hidden="false" customHeight="false" outlineLevel="0" collapsed="false">
      <c r="A1635" s="18"/>
      <c r="B1635" s="6"/>
      <c r="C1635" s="6"/>
      <c r="D1635" s="6"/>
      <c r="E1635" s="16" t="str">
        <f aca="false">IF($B1635="","",IFERROR(INDEX(Services!$C$2:$C$120,MATCH($B1635,Services!$D$2:$D$120,0)),""))</f>
        <v/>
      </c>
      <c r="F1635" s="19"/>
      <c r="G1635" s="9" t="str">
        <f aca="false">IF(OR($B1635="",NOT(ISNUMBER($E1635))),"",$E1635-IF($F1635="",0,$F1635))</f>
        <v/>
      </c>
      <c r="H1635" s="15" t="str">
        <f aca="false">IF($B1635="","",IFERROR(INDEX(Services!$A$2:$A$120,MATCH($B1635,Services!$D$2:$D$120,0)),""))</f>
        <v/>
      </c>
      <c r="I1635" s="19"/>
      <c r="J1635" s="15" t="str">
        <f aca="false">IF($B1635="","",IFERROR(INDEX(Services!$E$2:$E$120,MATCH($B1635,Services!$D$2:$D$120,0)),""))</f>
        <v/>
      </c>
    </row>
    <row r="1636" customFormat="false" ht="14.25" hidden="false" customHeight="false" outlineLevel="0" collapsed="false">
      <c r="A1636" s="18"/>
      <c r="B1636" s="6"/>
      <c r="C1636" s="6"/>
      <c r="D1636" s="6"/>
      <c r="E1636" s="16" t="str">
        <f aca="false">IF($B1636="","",IFERROR(INDEX(Services!$C$2:$C$120,MATCH($B1636,Services!$D$2:$D$120,0)),""))</f>
        <v/>
      </c>
      <c r="F1636" s="19"/>
      <c r="G1636" s="9" t="str">
        <f aca="false">IF(OR($B1636="",NOT(ISNUMBER($E1636))),"",$E1636-IF($F1636="",0,$F1636))</f>
        <v/>
      </c>
      <c r="H1636" s="15" t="str">
        <f aca="false">IF($B1636="","",IFERROR(INDEX(Services!$A$2:$A$120,MATCH($B1636,Services!$D$2:$D$120,0)),""))</f>
        <v/>
      </c>
      <c r="I1636" s="19"/>
      <c r="J1636" s="15" t="str">
        <f aca="false">IF($B1636="","",IFERROR(INDEX(Services!$E$2:$E$120,MATCH($B1636,Services!$D$2:$D$120,0)),""))</f>
        <v/>
      </c>
    </row>
    <row r="1637" customFormat="false" ht="14.25" hidden="false" customHeight="false" outlineLevel="0" collapsed="false">
      <c r="A1637" s="18"/>
      <c r="B1637" s="6"/>
      <c r="C1637" s="6"/>
      <c r="D1637" s="6"/>
      <c r="E1637" s="16" t="str">
        <f aca="false">IF($B1637="","",IFERROR(INDEX(Services!$C$2:$C$120,MATCH($B1637,Services!$D$2:$D$120,0)),""))</f>
        <v/>
      </c>
      <c r="F1637" s="19"/>
      <c r="G1637" s="9" t="str">
        <f aca="false">IF(OR($B1637="",NOT(ISNUMBER($E1637))),"",$E1637-IF($F1637="",0,$F1637))</f>
        <v/>
      </c>
      <c r="H1637" s="15" t="str">
        <f aca="false">IF($B1637="","",IFERROR(INDEX(Services!$A$2:$A$120,MATCH($B1637,Services!$D$2:$D$120,0)),""))</f>
        <v/>
      </c>
      <c r="I1637" s="19"/>
      <c r="J1637" s="15" t="str">
        <f aca="false">IF($B1637="","",IFERROR(INDEX(Services!$E$2:$E$120,MATCH($B1637,Services!$D$2:$D$120,0)),""))</f>
        <v/>
      </c>
    </row>
    <row r="1638" customFormat="false" ht="14.25" hidden="false" customHeight="false" outlineLevel="0" collapsed="false">
      <c r="A1638" s="18"/>
      <c r="B1638" s="6"/>
      <c r="C1638" s="6"/>
      <c r="D1638" s="6"/>
      <c r="E1638" s="16" t="str">
        <f aca="false">IF($B1638="","",IFERROR(INDEX(Services!$C$2:$C$120,MATCH($B1638,Services!$D$2:$D$120,0)),""))</f>
        <v/>
      </c>
      <c r="F1638" s="19"/>
      <c r="G1638" s="9" t="str">
        <f aca="false">IF(OR($B1638="",NOT(ISNUMBER($E1638))),"",$E1638-IF($F1638="",0,$F1638))</f>
        <v/>
      </c>
      <c r="H1638" s="15" t="str">
        <f aca="false">IF($B1638="","",IFERROR(INDEX(Services!$A$2:$A$120,MATCH($B1638,Services!$D$2:$D$120,0)),""))</f>
        <v/>
      </c>
      <c r="I1638" s="19"/>
      <c r="J1638" s="15" t="str">
        <f aca="false">IF($B1638="","",IFERROR(INDEX(Services!$E$2:$E$120,MATCH($B1638,Services!$D$2:$D$120,0)),""))</f>
        <v/>
      </c>
    </row>
    <row r="1639" customFormat="false" ht="14.25" hidden="false" customHeight="false" outlineLevel="0" collapsed="false">
      <c r="A1639" s="18"/>
      <c r="B1639" s="6"/>
      <c r="C1639" s="6"/>
      <c r="D1639" s="6"/>
      <c r="E1639" s="16" t="str">
        <f aca="false">IF($B1639="","",IFERROR(INDEX(Services!$C$2:$C$120,MATCH($B1639,Services!$D$2:$D$120,0)),""))</f>
        <v/>
      </c>
      <c r="F1639" s="19"/>
      <c r="G1639" s="9" t="str">
        <f aca="false">IF(OR($B1639="",NOT(ISNUMBER($E1639))),"",$E1639-IF($F1639="",0,$F1639))</f>
        <v/>
      </c>
      <c r="H1639" s="15" t="str">
        <f aca="false">IF($B1639="","",IFERROR(INDEX(Services!$A$2:$A$120,MATCH($B1639,Services!$D$2:$D$120,0)),""))</f>
        <v/>
      </c>
      <c r="I1639" s="19"/>
      <c r="J1639" s="15" t="str">
        <f aca="false">IF($B1639="","",IFERROR(INDEX(Services!$E$2:$E$120,MATCH($B1639,Services!$D$2:$D$120,0)),""))</f>
        <v/>
      </c>
    </row>
    <row r="1640" customFormat="false" ht="14.25" hidden="false" customHeight="false" outlineLevel="0" collapsed="false">
      <c r="A1640" s="18"/>
      <c r="B1640" s="6"/>
      <c r="C1640" s="6"/>
      <c r="D1640" s="6"/>
      <c r="E1640" s="16" t="str">
        <f aca="false">IF($B1640="","",IFERROR(INDEX(Services!$C$2:$C$120,MATCH($B1640,Services!$D$2:$D$120,0)),""))</f>
        <v/>
      </c>
      <c r="F1640" s="19"/>
      <c r="G1640" s="9" t="str">
        <f aca="false">IF(OR($B1640="",NOT(ISNUMBER($E1640))),"",$E1640-IF($F1640="",0,$F1640))</f>
        <v/>
      </c>
      <c r="H1640" s="15" t="str">
        <f aca="false">IF($B1640="","",IFERROR(INDEX(Services!$A$2:$A$120,MATCH($B1640,Services!$D$2:$D$120,0)),""))</f>
        <v/>
      </c>
      <c r="I1640" s="19"/>
      <c r="J1640" s="15" t="str">
        <f aca="false">IF($B1640="","",IFERROR(INDEX(Services!$E$2:$E$120,MATCH($B1640,Services!$D$2:$D$120,0)),""))</f>
        <v/>
      </c>
    </row>
    <row r="1641" customFormat="false" ht="14.25" hidden="false" customHeight="false" outlineLevel="0" collapsed="false">
      <c r="A1641" s="18"/>
      <c r="B1641" s="6"/>
      <c r="C1641" s="6"/>
      <c r="D1641" s="6"/>
      <c r="E1641" s="16" t="str">
        <f aca="false">IF($B1641="","",IFERROR(INDEX(Services!$C$2:$C$120,MATCH($B1641,Services!$D$2:$D$120,0)),""))</f>
        <v/>
      </c>
      <c r="F1641" s="19"/>
      <c r="G1641" s="9" t="str">
        <f aca="false">IF(OR($B1641="",NOT(ISNUMBER($E1641))),"",$E1641-IF($F1641="",0,$F1641))</f>
        <v/>
      </c>
      <c r="H1641" s="15" t="str">
        <f aca="false">IF($B1641="","",IFERROR(INDEX(Services!$A$2:$A$120,MATCH($B1641,Services!$D$2:$D$120,0)),""))</f>
        <v/>
      </c>
      <c r="I1641" s="19"/>
      <c r="J1641" s="15" t="str">
        <f aca="false">IF($B1641="","",IFERROR(INDEX(Services!$E$2:$E$120,MATCH($B1641,Services!$D$2:$D$120,0)),""))</f>
        <v/>
      </c>
    </row>
    <row r="1642" customFormat="false" ht="14.25" hidden="false" customHeight="false" outlineLevel="0" collapsed="false">
      <c r="A1642" s="18"/>
      <c r="B1642" s="6"/>
      <c r="C1642" s="6"/>
      <c r="D1642" s="6"/>
      <c r="E1642" s="16" t="str">
        <f aca="false">IF($B1642="","",IFERROR(INDEX(Services!$C$2:$C$120,MATCH($B1642,Services!$D$2:$D$120,0)),""))</f>
        <v/>
      </c>
      <c r="F1642" s="19"/>
      <c r="G1642" s="9" t="str">
        <f aca="false">IF(OR($B1642="",NOT(ISNUMBER($E1642))),"",$E1642-IF($F1642="",0,$F1642))</f>
        <v/>
      </c>
      <c r="H1642" s="15" t="str">
        <f aca="false">IF($B1642="","",IFERROR(INDEX(Services!$A$2:$A$120,MATCH($B1642,Services!$D$2:$D$120,0)),""))</f>
        <v/>
      </c>
      <c r="I1642" s="19"/>
      <c r="J1642" s="15" t="str">
        <f aca="false">IF($B1642="","",IFERROR(INDEX(Services!$E$2:$E$120,MATCH($B1642,Services!$D$2:$D$120,0)),""))</f>
        <v/>
      </c>
    </row>
    <row r="1643" customFormat="false" ht="14.25" hidden="false" customHeight="false" outlineLevel="0" collapsed="false">
      <c r="A1643" s="18"/>
      <c r="B1643" s="6"/>
      <c r="C1643" s="6"/>
      <c r="D1643" s="6"/>
      <c r="E1643" s="16" t="str">
        <f aca="false">IF($B1643="","",IFERROR(INDEX(Services!$C$2:$C$120,MATCH($B1643,Services!$D$2:$D$120,0)),""))</f>
        <v/>
      </c>
      <c r="F1643" s="19"/>
      <c r="G1643" s="9" t="str">
        <f aca="false">IF(OR($B1643="",NOT(ISNUMBER($E1643))),"",$E1643-IF($F1643="",0,$F1643))</f>
        <v/>
      </c>
      <c r="H1643" s="15" t="str">
        <f aca="false">IF($B1643="","",IFERROR(INDEX(Services!$A$2:$A$120,MATCH($B1643,Services!$D$2:$D$120,0)),""))</f>
        <v/>
      </c>
      <c r="I1643" s="19"/>
      <c r="J1643" s="15" t="str">
        <f aca="false">IF($B1643="","",IFERROR(INDEX(Services!$E$2:$E$120,MATCH($B1643,Services!$D$2:$D$120,0)),""))</f>
        <v/>
      </c>
    </row>
    <row r="1644" customFormat="false" ht="14.25" hidden="false" customHeight="false" outlineLevel="0" collapsed="false">
      <c r="A1644" s="18"/>
      <c r="B1644" s="6"/>
      <c r="C1644" s="6"/>
      <c r="D1644" s="6"/>
      <c r="E1644" s="16" t="str">
        <f aca="false">IF($B1644="","",IFERROR(INDEX(Services!$C$2:$C$120,MATCH($B1644,Services!$D$2:$D$120,0)),""))</f>
        <v/>
      </c>
      <c r="F1644" s="19"/>
      <c r="G1644" s="9" t="str">
        <f aca="false">IF(OR($B1644="",NOT(ISNUMBER($E1644))),"",$E1644-IF($F1644="",0,$F1644))</f>
        <v/>
      </c>
      <c r="H1644" s="15" t="str">
        <f aca="false">IF($B1644="","",IFERROR(INDEX(Services!$A$2:$A$120,MATCH($B1644,Services!$D$2:$D$120,0)),""))</f>
        <v/>
      </c>
      <c r="I1644" s="19"/>
      <c r="J1644" s="15" t="str">
        <f aca="false">IF($B1644="","",IFERROR(INDEX(Services!$E$2:$E$120,MATCH($B1644,Services!$D$2:$D$120,0)),""))</f>
        <v/>
      </c>
    </row>
    <row r="1645" customFormat="false" ht="14.25" hidden="false" customHeight="false" outlineLevel="0" collapsed="false">
      <c r="A1645" s="18"/>
      <c r="B1645" s="6"/>
      <c r="C1645" s="6"/>
      <c r="D1645" s="6"/>
      <c r="E1645" s="16" t="str">
        <f aca="false">IF($B1645="","",IFERROR(INDEX(Services!$C$2:$C$120,MATCH($B1645,Services!$D$2:$D$120,0)),""))</f>
        <v/>
      </c>
      <c r="F1645" s="19"/>
      <c r="G1645" s="9" t="str">
        <f aca="false">IF(OR($B1645="",NOT(ISNUMBER($E1645))),"",$E1645-IF($F1645="",0,$F1645))</f>
        <v/>
      </c>
      <c r="H1645" s="15" t="str">
        <f aca="false">IF($B1645="","",IFERROR(INDEX(Services!$A$2:$A$120,MATCH($B1645,Services!$D$2:$D$120,0)),""))</f>
        <v/>
      </c>
      <c r="I1645" s="19"/>
      <c r="J1645" s="15" t="str">
        <f aca="false">IF($B1645="","",IFERROR(INDEX(Services!$E$2:$E$120,MATCH($B1645,Services!$D$2:$D$120,0)),""))</f>
        <v/>
      </c>
    </row>
    <row r="1646" customFormat="false" ht="14.25" hidden="false" customHeight="false" outlineLevel="0" collapsed="false">
      <c r="A1646" s="18"/>
      <c r="B1646" s="6"/>
      <c r="C1646" s="6"/>
      <c r="D1646" s="6"/>
      <c r="E1646" s="16" t="str">
        <f aca="false">IF($B1646="","",IFERROR(INDEX(Services!$C$2:$C$120,MATCH($B1646,Services!$D$2:$D$120,0)),""))</f>
        <v/>
      </c>
      <c r="F1646" s="19"/>
      <c r="G1646" s="9" t="str">
        <f aca="false">IF(OR($B1646="",NOT(ISNUMBER($E1646))),"",$E1646-IF($F1646="",0,$F1646))</f>
        <v/>
      </c>
      <c r="H1646" s="15" t="str">
        <f aca="false">IF($B1646="","",IFERROR(INDEX(Services!$A$2:$A$120,MATCH($B1646,Services!$D$2:$D$120,0)),""))</f>
        <v/>
      </c>
      <c r="I1646" s="19"/>
      <c r="J1646" s="15" t="str">
        <f aca="false">IF($B1646="","",IFERROR(INDEX(Services!$E$2:$E$120,MATCH($B1646,Services!$D$2:$D$120,0)),""))</f>
        <v/>
      </c>
    </row>
    <row r="1647" customFormat="false" ht="14.25" hidden="false" customHeight="false" outlineLevel="0" collapsed="false">
      <c r="A1647" s="18"/>
      <c r="B1647" s="6"/>
      <c r="C1647" s="6"/>
      <c r="D1647" s="6"/>
      <c r="E1647" s="16" t="str">
        <f aca="false">IF($B1647="","",IFERROR(INDEX(Services!$C$2:$C$120,MATCH($B1647,Services!$D$2:$D$120,0)),""))</f>
        <v/>
      </c>
      <c r="F1647" s="19"/>
      <c r="G1647" s="9" t="str">
        <f aca="false">IF(OR($B1647="",NOT(ISNUMBER($E1647))),"",$E1647-IF($F1647="",0,$F1647))</f>
        <v/>
      </c>
      <c r="H1647" s="15" t="str">
        <f aca="false">IF($B1647="","",IFERROR(INDEX(Services!$A$2:$A$120,MATCH($B1647,Services!$D$2:$D$120,0)),""))</f>
        <v/>
      </c>
      <c r="I1647" s="19"/>
      <c r="J1647" s="15" t="str">
        <f aca="false">IF($B1647="","",IFERROR(INDEX(Services!$E$2:$E$120,MATCH($B1647,Services!$D$2:$D$120,0)),""))</f>
        <v/>
      </c>
    </row>
    <row r="1648" customFormat="false" ht="14.25" hidden="false" customHeight="false" outlineLevel="0" collapsed="false">
      <c r="A1648" s="18"/>
      <c r="B1648" s="6"/>
      <c r="C1648" s="6"/>
      <c r="D1648" s="6"/>
      <c r="E1648" s="16" t="str">
        <f aca="false">IF($B1648="","",IFERROR(INDEX(Services!$C$2:$C$120,MATCH($B1648,Services!$D$2:$D$120,0)),""))</f>
        <v/>
      </c>
      <c r="F1648" s="19"/>
      <c r="G1648" s="9" t="str">
        <f aca="false">IF(OR($B1648="",NOT(ISNUMBER($E1648))),"",$E1648-IF($F1648="",0,$F1648))</f>
        <v/>
      </c>
      <c r="H1648" s="15" t="str">
        <f aca="false">IF($B1648="","",IFERROR(INDEX(Services!$A$2:$A$120,MATCH($B1648,Services!$D$2:$D$120,0)),""))</f>
        <v/>
      </c>
      <c r="I1648" s="19"/>
      <c r="J1648" s="15" t="str">
        <f aca="false">IF($B1648="","",IFERROR(INDEX(Services!$E$2:$E$120,MATCH($B1648,Services!$D$2:$D$120,0)),""))</f>
        <v/>
      </c>
    </row>
    <row r="1649" customFormat="false" ht="14.25" hidden="false" customHeight="false" outlineLevel="0" collapsed="false">
      <c r="A1649" s="18"/>
      <c r="B1649" s="6"/>
      <c r="C1649" s="6"/>
      <c r="D1649" s="6"/>
      <c r="E1649" s="16" t="str">
        <f aca="false">IF($B1649="","",IFERROR(INDEX(Services!$C$2:$C$120,MATCH($B1649,Services!$D$2:$D$120,0)),""))</f>
        <v/>
      </c>
      <c r="F1649" s="19"/>
      <c r="G1649" s="9" t="str">
        <f aca="false">IF(OR($B1649="",NOT(ISNUMBER($E1649))),"",$E1649-IF($F1649="",0,$F1649))</f>
        <v/>
      </c>
      <c r="H1649" s="15" t="str">
        <f aca="false">IF($B1649="","",IFERROR(INDEX(Services!$A$2:$A$120,MATCH($B1649,Services!$D$2:$D$120,0)),""))</f>
        <v/>
      </c>
      <c r="I1649" s="19"/>
      <c r="J1649" s="15" t="str">
        <f aca="false">IF($B1649="","",IFERROR(INDEX(Services!$E$2:$E$120,MATCH($B1649,Services!$D$2:$D$120,0)),""))</f>
        <v/>
      </c>
    </row>
    <row r="1650" customFormat="false" ht="14.25" hidden="false" customHeight="false" outlineLevel="0" collapsed="false">
      <c r="A1650" s="18"/>
      <c r="B1650" s="6"/>
      <c r="C1650" s="6"/>
      <c r="D1650" s="6"/>
      <c r="E1650" s="16" t="str">
        <f aca="false">IF($B1650="","",IFERROR(INDEX(Services!$C$2:$C$120,MATCH($B1650,Services!$D$2:$D$120,0)),""))</f>
        <v/>
      </c>
      <c r="F1650" s="19"/>
      <c r="G1650" s="9" t="str">
        <f aca="false">IF(OR($B1650="",NOT(ISNUMBER($E1650))),"",$E1650-IF($F1650="",0,$F1650))</f>
        <v/>
      </c>
      <c r="H1650" s="15" t="str">
        <f aca="false">IF($B1650="","",IFERROR(INDEX(Services!$A$2:$A$120,MATCH($B1650,Services!$D$2:$D$120,0)),""))</f>
        <v/>
      </c>
      <c r="I1650" s="19"/>
      <c r="J1650" s="15" t="str">
        <f aca="false">IF($B1650="","",IFERROR(INDEX(Services!$E$2:$E$120,MATCH($B1650,Services!$D$2:$D$120,0)),""))</f>
        <v/>
      </c>
    </row>
    <row r="1651" customFormat="false" ht="14.25" hidden="false" customHeight="false" outlineLevel="0" collapsed="false">
      <c r="A1651" s="18"/>
      <c r="B1651" s="6"/>
      <c r="C1651" s="6"/>
      <c r="D1651" s="6"/>
      <c r="E1651" s="16" t="str">
        <f aca="false">IF($B1651="","",IFERROR(INDEX(Services!$C$2:$C$120,MATCH($B1651,Services!$D$2:$D$120,0)),""))</f>
        <v/>
      </c>
      <c r="F1651" s="19"/>
      <c r="G1651" s="9" t="str">
        <f aca="false">IF(OR($B1651="",NOT(ISNUMBER($E1651))),"",$E1651-IF($F1651="",0,$F1651))</f>
        <v/>
      </c>
      <c r="H1651" s="15" t="str">
        <f aca="false">IF($B1651="","",IFERROR(INDEX(Services!$A$2:$A$120,MATCH($B1651,Services!$D$2:$D$120,0)),""))</f>
        <v/>
      </c>
      <c r="I1651" s="19"/>
      <c r="J1651" s="15" t="str">
        <f aca="false">IF($B1651="","",IFERROR(INDEX(Services!$E$2:$E$120,MATCH($B1651,Services!$D$2:$D$120,0)),""))</f>
        <v/>
      </c>
    </row>
    <row r="1652" customFormat="false" ht="14.25" hidden="false" customHeight="false" outlineLevel="0" collapsed="false">
      <c r="A1652" s="18"/>
      <c r="B1652" s="6"/>
      <c r="C1652" s="6"/>
      <c r="D1652" s="6"/>
      <c r="E1652" s="16" t="str">
        <f aca="false">IF($B1652="","",IFERROR(INDEX(Services!$C$2:$C$120,MATCH($B1652,Services!$D$2:$D$120,0)),""))</f>
        <v/>
      </c>
      <c r="F1652" s="19"/>
      <c r="G1652" s="9" t="str">
        <f aca="false">IF(OR($B1652="",NOT(ISNUMBER($E1652))),"",$E1652-IF($F1652="",0,$F1652))</f>
        <v/>
      </c>
      <c r="H1652" s="15" t="str">
        <f aca="false">IF($B1652="","",IFERROR(INDEX(Services!$A$2:$A$120,MATCH($B1652,Services!$D$2:$D$120,0)),""))</f>
        <v/>
      </c>
      <c r="I1652" s="19"/>
      <c r="J1652" s="15" t="str">
        <f aca="false">IF($B1652="","",IFERROR(INDEX(Services!$E$2:$E$120,MATCH($B1652,Services!$D$2:$D$120,0)),""))</f>
        <v/>
      </c>
    </row>
    <row r="1653" customFormat="false" ht="14.25" hidden="false" customHeight="false" outlineLevel="0" collapsed="false">
      <c r="A1653" s="18"/>
      <c r="B1653" s="6"/>
      <c r="C1653" s="6"/>
      <c r="D1653" s="6"/>
      <c r="E1653" s="16" t="str">
        <f aca="false">IF($B1653="","",IFERROR(INDEX(Services!$C$2:$C$120,MATCH($B1653,Services!$D$2:$D$120,0)),""))</f>
        <v/>
      </c>
      <c r="F1653" s="19"/>
      <c r="G1653" s="9" t="str">
        <f aca="false">IF(OR($B1653="",NOT(ISNUMBER($E1653))),"",$E1653-IF($F1653="",0,$F1653))</f>
        <v/>
      </c>
      <c r="H1653" s="15" t="str">
        <f aca="false">IF($B1653="","",IFERROR(INDEX(Services!$A$2:$A$120,MATCH($B1653,Services!$D$2:$D$120,0)),""))</f>
        <v/>
      </c>
      <c r="I1653" s="19"/>
      <c r="J1653" s="15" t="str">
        <f aca="false">IF($B1653="","",IFERROR(INDEX(Services!$E$2:$E$120,MATCH($B1653,Services!$D$2:$D$120,0)),""))</f>
        <v/>
      </c>
    </row>
    <row r="1654" customFormat="false" ht="14.25" hidden="false" customHeight="false" outlineLevel="0" collapsed="false">
      <c r="A1654" s="18"/>
      <c r="B1654" s="6"/>
      <c r="C1654" s="6"/>
      <c r="D1654" s="6"/>
      <c r="E1654" s="16" t="str">
        <f aca="false">IF($B1654="","",IFERROR(INDEX(Services!$C$2:$C$120,MATCH($B1654,Services!$D$2:$D$120,0)),""))</f>
        <v/>
      </c>
      <c r="F1654" s="19"/>
      <c r="G1654" s="9" t="str">
        <f aca="false">IF(OR($B1654="",NOT(ISNUMBER($E1654))),"",$E1654-IF($F1654="",0,$F1654))</f>
        <v/>
      </c>
      <c r="H1654" s="15" t="str">
        <f aca="false">IF($B1654="","",IFERROR(INDEX(Services!$A$2:$A$120,MATCH($B1654,Services!$D$2:$D$120,0)),""))</f>
        <v/>
      </c>
      <c r="I1654" s="19"/>
      <c r="J1654" s="15" t="str">
        <f aca="false">IF($B1654="","",IFERROR(INDEX(Services!$E$2:$E$120,MATCH($B1654,Services!$D$2:$D$120,0)),""))</f>
        <v/>
      </c>
    </row>
    <row r="1655" customFormat="false" ht="14.25" hidden="false" customHeight="false" outlineLevel="0" collapsed="false">
      <c r="A1655" s="18"/>
      <c r="B1655" s="6"/>
      <c r="C1655" s="6"/>
      <c r="D1655" s="6"/>
      <c r="E1655" s="16" t="str">
        <f aca="false">IF($B1655="","",IFERROR(INDEX(Services!$C$2:$C$120,MATCH($B1655,Services!$D$2:$D$120,0)),""))</f>
        <v/>
      </c>
      <c r="F1655" s="19"/>
      <c r="G1655" s="9" t="str">
        <f aca="false">IF(OR($B1655="",NOT(ISNUMBER($E1655))),"",$E1655-IF($F1655="",0,$F1655))</f>
        <v/>
      </c>
      <c r="H1655" s="15" t="str">
        <f aca="false">IF($B1655="","",IFERROR(INDEX(Services!$A$2:$A$120,MATCH($B1655,Services!$D$2:$D$120,0)),""))</f>
        <v/>
      </c>
      <c r="I1655" s="19"/>
      <c r="J1655" s="15" t="str">
        <f aca="false">IF($B1655="","",IFERROR(INDEX(Services!$E$2:$E$120,MATCH($B1655,Services!$D$2:$D$120,0)),""))</f>
        <v/>
      </c>
    </row>
    <row r="1656" customFormat="false" ht="14.25" hidden="false" customHeight="false" outlineLevel="0" collapsed="false">
      <c r="A1656" s="18"/>
      <c r="B1656" s="6"/>
      <c r="C1656" s="6"/>
      <c r="D1656" s="6"/>
      <c r="E1656" s="16" t="str">
        <f aca="false">IF($B1656="","",IFERROR(INDEX(Services!$C$2:$C$120,MATCH($B1656,Services!$D$2:$D$120,0)),""))</f>
        <v/>
      </c>
      <c r="F1656" s="19"/>
      <c r="G1656" s="9" t="str">
        <f aca="false">IF(OR($B1656="",NOT(ISNUMBER($E1656))),"",$E1656-IF($F1656="",0,$F1656))</f>
        <v/>
      </c>
      <c r="H1656" s="15" t="str">
        <f aca="false">IF($B1656="","",IFERROR(INDEX(Services!$A$2:$A$120,MATCH($B1656,Services!$D$2:$D$120,0)),""))</f>
        <v/>
      </c>
      <c r="I1656" s="19"/>
      <c r="J1656" s="15" t="str">
        <f aca="false">IF($B1656="","",IFERROR(INDEX(Services!$E$2:$E$120,MATCH($B1656,Services!$D$2:$D$120,0)),""))</f>
        <v/>
      </c>
    </row>
    <row r="1657" customFormat="false" ht="14.25" hidden="false" customHeight="false" outlineLevel="0" collapsed="false">
      <c r="A1657" s="18"/>
      <c r="B1657" s="6"/>
      <c r="C1657" s="6"/>
      <c r="D1657" s="6"/>
      <c r="E1657" s="16" t="str">
        <f aca="false">IF($B1657="","",IFERROR(INDEX(Services!$C$2:$C$120,MATCH($B1657,Services!$D$2:$D$120,0)),""))</f>
        <v/>
      </c>
      <c r="F1657" s="19"/>
      <c r="G1657" s="9" t="str">
        <f aca="false">IF(OR($B1657="",NOT(ISNUMBER($E1657))),"",$E1657-IF($F1657="",0,$F1657))</f>
        <v/>
      </c>
      <c r="H1657" s="15" t="str">
        <f aca="false">IF($B1657="","",IFERROR(INDEX(Services!$A$2:$A$120,MATCH($B1657,Services!$D$2:$D$120,0)),""))</f>
        <v/>
      </c>
      <c r="I1657" s="19"/>
      <c r="J1657" s="15" t="str">
        <f aca="false">IF($B1657="","",IFERROR(INDEX(Services!$E$2:$E$120,MATCH($B1657,Services!$D$2:$D$120,0)),""))</f>
        <v/>
      </c>
    </row>
    <row r="1658" customFormat="false" ht="14.25" hidden="false" customHeight="false" outlineLevel="0" collapsed="false">
      <c r="A1658" s="18"/>
      <c r="B1658" s="6"/>
      <c r="C1658" s="6"/>
      <c r="D1658" s="6"/>
      <c r="E1658" s="16" t="str">
        <f aca="false">IF($B1658="","",IFERROR(INDEX(Services!$C$2:$C$120,MATCH($B1658,Services!$D$2:$D$120,0)),""))</f>
        <v/>
      </c>
      <c r="F1658" s="19"/>
      <c r="G1658" s="9" t="str">
        <f aca="false">IF(OR($B1658="",NOT(ISNUMBER($E1658))),"",$E1658-IF($F1658="",0,$F1658))</f>
        <v/>
      </c>
      <c r="H1658" s="15" t="str">
        <f aca="false">IF($B1658="","",IFERROR(INDEX(Services!$A$2:$A$120,MATCH($B1658,Services!$D$2:$D$120,0)),""))</f>
        <v/>
      </c>
      <c r="I1658" s="19"/>
      <c r="J1658" s="15" t="str">
        <f aca="false">IF($B1658="","",IFERROR(INDEX(Services!$E$2:$E$120,MATCH($B1658,Services!$D$2:$D$120,0)),""))</f>
        <v/>
      </c>
    </row>
    <row r="1659" customFormat="false" ht="14.25" hidden="false" customHeight="false" outlineLevel="0" collapsed="false">
      <c r="A1659" s="18"/>
      <c r="B1659" s="6"/>
      <c r="C1659" s="6"/>
      <c r="D1659" s="6"/>
      <c r="E1659" s="16" t="str">
        <f aca="false">IF($B1659="","",IFERROR(INDEX(Services!$C$2:$C$120,MATCH($B1659,Services!$D$2:$D$120,0)),""))</f>
        <v/>
      </c>
      <c r="F1659" s="19"/>
      <c r="G1659" s="9" t="str">
        <f aca="false">IF(OR($B1659="",NOT(ISNUMBER($E1659))),"",$E1659-IF($F1659="",0,$F1659))</f>
        <v/>
      </c>
      <c r="H1659" s="15" t="str">
        <f aca="false">IF($B1659="","",IFERROR(INDEX(Services!$A$2:$A$120,MATCH($B1659,Services!$D$2:$D$120,0)),""))</f>
        <v/>
      </c>
      <c r="I1659" s="19"/>
      <c r="J1659" s="15" t="str">
        <f aca="false">IF($B1659="","",IFERROR(INDEX(Services!$E$2:$E$120,MATCH($B1659,Services!$D$2:$D$120,0)),""))</f>
        <v/>
      </c>
    </row>
    <row r="1660" customFormat="false" ht="14.25" hidden="false" customHeight="false" outlineLevel="0" collapsed="false">
      <c r="A1660" s="18"/>
      <c r="B1660" s="6"/>
      <c r="C1660" s="6"/>
      <c r="D1660" s="6"/>
      <c r="E1660" s="16" t="str">
        <f aca="false">IF($B1660="","",IFERROR(INDEX(Services!$C$2:$C$120,MATCH($B1660,Services!$D$2:$D$120,0)),""))</f>
        <v/>
      </c>
      <c r="F1660" s="19"/>
      <c r="G1660" s="9" t="str">
        <f aca="false">IF(OR($B1660="",NOT(ISNUMBER($E1660))),"",$E1660-IF($F1660="",0,$F1660))</f>
        <v/>
      </c>
      <c r="H1660" s="15" t="str">
        <f aca="false">IF($B1660="","",IFERROR(INDEX(Services!$A$2:$A$120,MATCH($B1660,Services!$D$2:$D$120,0)),""))</f>
        <v/>
      </c>
      <c r="I1660" s="19"/>
      <c r="J1660" s="15" t="str">
        <f aca="false">IF($B1660="","",IFERROR(INDEX(Services!$E$2:$E$120,MATCH($B1660,Services!$D$2:$D$120,0)),""))</f>
        <v/>
      </c>
    </row>
    <row r="1661" customFormat="false" ht="14.25" hidden="false" customHeight="false" outlineLevel="0" collapsed="false">
      <c r="A1661" s="18"/>
      <c r="B1661" s="6"/>
      <c r="C1661" s="6"/>
      <c r="D1661" s="6"/>
      <c r="E1661" s="16" t="str">
        <f aca="false">IF($B1661="","",IFERROR(INDEX(Services!$C$2:$C$120,MATCH($B1661,Services!$D$2:$D$120,0)),""))</f>
        <v/>
      </c>
      <c r="F1661" s="19"/>
      <c r="G1661" s="9" t="str">
        <f aca="false">IF(OR($B1661="",NOT(ISNUMBER($E1661))),"",$E1661-IF($F1661="",0,$F1661))</f>
        <v/>
      </c>
      <c r="H1661" s="15" t="str">
        <f aca="false">IF($B1661="","",IFERROR(INDEX(Services!$A$2:$A$120,MATCH($B1661,Services!$D$2:$D$120,0)),""))</f>
        <v/>
      </c>
      <c r="I1661" s="19"/>
      <c r="J1661" s="15" t="str">
        <f aca="false">IF($B1661="","",IFERROR(INDEX(Services!$E$2:$E$120,MATCH($B1661,Services!$D$2:$D$120,0)),""))</f>
        <v/>
      </c>
    </row>
    <row r="1662" customFormat="false" ht="14.25" hidden="false" customHeight="false" outlineLevel="0" collapsed="false">
      <c r="A1662" s="18"/>
      <c r="B1662" s="6"/>
      <c r="C1662" s="6"/>
      <c r="D1662" s="6"/>
      <c r="E1662" s="16" t="str">
        <f aca="false">IF($B1662="","",IFERROR(INDEX(Services!$C$2:$C$120,MATCH($B1662,Services!$D$2:$D$120,0)),""))</f>
        <v/>
      </c>
      <c r="F1662" s="19"/>
      <c r="G1662" s="9" t="str">
        <f aca="false">IF(OR($B1662="",NOT(ISNUMBER($E1662))),"",$E1662-IF($F1662="",0,$F1662))</f>
        <v/>
      </c>
      <c r="H1662" s="15" t="str">
        <f aca="false">IF($B1662="","",IFERROR(INDEX(Services!$A$2:$A$120,MATCH($B1662,Services!$D$2:$D$120,0)),""))</f>
        <v/>
      </c>
      <c r="I1662" s="19"/>
      <c r="J1662" s="15" t="str">
        <f aca="false">IF($B1662="","",IFERROR(INDEX(Services!$E$2:$E$120,MATCH($B1662,Services!$D$2:$D$120,0)),""))</f>
        <v/>
      </c>
    </row>
    <row r="1663" customFormat="false" ht="14.25" hidden="false" customHeight="false" outlineLevel="0" collapsed="false">
      <c r="A1663" s="18"/>
      <c r="B1663" s="6"/>
      <c r="C1663" s="6"/>
      <c r="D1663" s="6"/>
      <c r="E1663" s="16" t="str">
        <f aca="false">IF($B1663="","",IFERROR(INDEX(Services!$C$2:$C$120,MATCH($B1663,Services!$D$2:$D$120,0)),""))</f>
        <v/>
      </c>
      <c r="F1663" s="19"/>
      <c r="G1663" s="9" t="str">
        <f aca="false">IF(OR($B1663="",NOT(ISNUMBER($E1663))),"",$E1663-IF($F1663="",0,$F1663))</f>
        <v/>
      </c>
      <c r="H1663" s="15" t="str">
        <f aca="false">IF($B1663="","",IFERROR(INDEX(Services!$A$2:$A$120,MATCH($B1663,Services!$D$2:$D$120,0)),""))</f>
        <v/>
      </c>
      <c r="I1663" s="19"/>
      <c r="J1663" s="15" t="str">
        <f aca="false">IF($B1663="","",IFERROR(INDEX(Services!$E$2:$E$120,MATCH($B1663,Services!$D$2:$D$120,0)),""))</f>
        <v/>
      </c>
    </row>
    <row r="1664" customFormat="false" ht="14.25" hidden="false" customHeight="false" outlineLevel="0" collapsed="false">
      <c r="A1664" s="18"/>
      <c r="B1664" s="6"/>
      <c r="C1664" s="6"/>
      <c r="D1664" s="6"/>
      <c r="E1664" s="16" t="str">
        <f aca="false">IF($B1664="","",IFERROR(INDEX(Services!$C$2:$C$120,MATCH($B1664,Services!$D$2:$D$120,0)),""))</f>
        <v/>
      </c>
      <c r="F1664" s="19"/>
      <c r="G1664" s="9" t="str">
        <f aca="false">IF(OR($B1664="",NOT(ISNUMBER($E1664))),"",$E1664-IF($F1664="",0,$F1664))</f>
        <v/>
      </c>
      <c r="H1664" s="15" t="str">
        <f aca="false">IF($B1664="","",IFERROR(INDEX(Services!$A$2:$A$120,MATCH($B1664,Services!$D$2:$D$120,0)),""))</f>
        <v/>
      </c>
      <c r="I1664" s="19"/>
      <c r="J1664" s="15" t="str">
        <f aca="false">IF($B1664="","",IFERROR(INDEX(Services!$E$2:$E$120,MATCH($B1664,Services!$D$2:$D$120,0)),""))</f>
        <v/>
      </c>
    </row>
    <row r="1665" customFormat="false" ht="14.25" hidden="false" customHeight="false" outlineLevel="0" collapsed="false">
      <c r="A1665" s="18"/>
      <c r="B1665" s="6"/>
      <c r="C1665" s="6"/>
      <c r="D1665" s="6"/>
      <c r="E1665" s="16" t="str">
        <f aca="false">IF($B1665="","",IFERROR(INDEX(Services!$C$2:$C$120,MATCH($B1665,Services!$D$2:$D$120,0)),""))</f>
        <v/>
      </c>
      <c r="F1665" s="19"/>
      <c r="G1665" s="9" t="str">
        <f aca="false">IF(OR($B1665="",NOT(ISNUMBER($E1665))),"",$E1665-IF($F1665="",0,$F1665))</f>
        <v/>
      </c>
      <c r="H1665" s="15" t="str">
        <f aca="false">IF($B1665="","",IFERROR(INDEX(Services!$A$2:$A$120,MATCH($B1665,Services!$D$2:$D$120,0)),""))</f>
        <v/>
      </c>
      <c r="I1665" s="19"/>
      <c r="J1665" s="15" t="str">
        <f aca="false">IF($B1665="","",IFERROR(INDEX(Services!$E$2:$E$120,MATCH($B1665,Services!$D$2:$D$120,0)),""))</f>
        <v/>
      </c>
    </row>
    <row r="1666" customFormat="false" ht="14.25" hidden="false" customHeight="false" outlineLevel="0" collapsed="false">
      <c r="A1666" s="18"/>
      <c r="B1666" s="6"/>
      <c r="C1666" s="6"/>
      <c r="D1666" s="6"/>
      <c r="E1666" s="16" t="str">
        <f aca="false">IF($B1666="","",IFERROR(INDEX(Services!$C$2:$C$120,MATCH($B1666,Services!$D$2:$D$120,0)),""))</f>
        <v/>
      </c>
      <c r="F1666" s="19"/>
      <c r="G1666" s="9" t="str">
        <f aca="false">IF(OR($B1666="",NOT(ISNUMBER($E1666))),"",$E1666-IF($F1666="",0,$F1666))</f>
        <v/>
      </c>
      <c r="H1666" s="15" t="str">
        <f aca="false">IF($B1666="","",IFERROR(INDEX(Services!$A$2:$A$120,MATCH($B1666,Services!$D$2:$D$120,0)),""))</f>
        <v/>
      </c>
      <c r="I1666" s="19"/>
      <c r="J1666" s="15" t="str">
        <f aca="false">IF($B1666="","",IFERROR(INDEX(Services!$E$2:$E$120,MATCH($B1666,Services!$D$2:$D$120,0)),""))</f>
        <v/>
      </c>
    </row>
    <row r="1667" customFormat="false" ht="14.25" hidden="false" customHeight="false" outlineLevel="0" collapsed="false">
      <c r="A1667" s="18"/>
      <c r="B1667" s="6"/>
      <c r="C1667" s="6"/>
      <c r="D1667" s="6"/>
      <c r="E1667" s="16" t="str">
        <f aca="false">IF($B1667="","",IFERROR(INDEX(Services!$C$2:$C$120,MATCH($B1667,Services!$D$2:$D$120,0)),""))</f>
        <v/>
      </c>
      <c r="F1667" s="19"/>
      <c r="G1667" s="9" t="str">
        <f aca="false">IF(OR($B1667="",NOT(ISNUMBER($E1667))),"",$E1667-IF($F1667="",0,$F1667))</f>
        <v/>
      </c>
      <c r="H1667" s="15" t="str">
        <f aca="false">IF($B1667="","",IFERROR(INDEX(Services!$A$2:$A$120,MATCH($B1667,Services!$D$2:$D$120,0)),""))</f>
        <v/>
      </c>
      <c r="I1667" s="19"/>
      <c r="J1667" s="15" t="str">
        <f aca="false">IF($B1667="","",IFERROR(INDEX(Services!$E$2:$E$120,MATCH($B1667,Services!$D$2:$D$120,0)),""))</f>
        <v/>
      </c>
    </row>
    <row r="1668" customFormat="false" ht="14.25" hidden="false" customHeight="false" outlineLevel="0" collapsed="false">
      <c r="A1668" s="18"/>
      <c r="B1668" s="6"/>
      <c r="C1668" s="6"/>
      <c r="D1668" s="6"/>
      <c r="E1668" s="16" t="str">
        <f aca="false">IF($B1668="","",IFERROR(INDEX(Services!$C$2:$C$120,MATCH($B1668,Services!$D$2:$D$120,0)),""))</f>
        <v/>
      </c>
      <c r="F1668" s="19"/>
      <c r="G1668" s="9" t="str">
        <f aca="false">IF(OR($B1668="",NOT(ISNUMBER($E1668))),"",$E1668-IF($F1668="",0,$F1668))</f>
        <v/>
      </c>
      <c r="H1668" s="15" t="str">
        <f aca="false">IF($B1668="","",IFERROR(INDEX(Services!$A$2:$A$120,MATCH($B1668,Services!$D$2:$D$120,0)),""))</f>
        <v/>
      </c>
      <c r="I1668" s="19"/>
      <c r="J1668" s="15" t="str">
        <f aca="false">IF($B1668="","",IFERROR(INDEX(Services!$E$2:$E$120,MATCH($B1668,Services!$D$2:$D$120,0)),""))</f>
        <v/>
      </c>
    </row>
    <row r="1669" customFormat="false" ht="14.25" hidden="false" customHeight="false" outlineLevel="0" collapsed="false">
      <c r="A1669" s="18"/>
      <c r="B1669" s="6"/>
      <c r="C1669" s="6"/>
      <c r="D1669" s="6"/>
      <c r="E1669" s="16" t="str">
        <f aca="false">IF($B1669="","",IFERROR(INDEX(Services!$C$2:$C$120,MATCH($B1669,Services!$D$2:$D$120,0)),""))</f>
        <v/>
      </c>
      <c r="F1669" s="19"/>
      <c r="G1669" s="9" t="str">
        <f aca="false">IF(OR($B1669="",NOT(ISNUMBER($E1669))),"",$E1669-IF($F1669="",0,$F1669))</f>
        <v/>
      </c>
      <c r="H1669" s="15" t="str">
        <f aca="false">IF($B1669="","",IFERROR(INDEX(Services!$A$2:$A$120,MATCH($B1669,Services!$D$2:$D$120,0)),""))</f>
        <v/>
      </c>
      <c r="I1669" s="19"/>
      <c r="J1669" s="15" t="str">
        <f aca="false">IF($B1669="","",IFERROR(INDEX(Services!$E$2:$E$120,MATCH($B1669,Services!$D$2:$D$120,0)),""))</f>
        <v/>
      </c>
    </row>
    <row r="1670" customFormat="false" ht="14.25" hidden="false" customHeight="false" outlineLevel="0" collapsed="false">
      <c r="A1670" s="18"/>
      <c r="B1670" s="6"/>
      <c r="C1670" s="6"/>
      <c r="D1670" s="6"/>
      <c r="E1670" s="16" t="str">
        <f aca="false">IF($B1670="","",IFERROR(INDEX(Services!$C$2:$C$120,MATCH($B1670,Services!$D$2:$D$120,0)),""))</f>
        <v/>
      </c>
      <c r="F1670" s="19"/>
      <c r="G1670" s="9" t="str">
        <f aca="false">IF(OR($B1670="",NOT(ISNUMBER($E1670))),"",$E1670-IF($F1670="",0,$F1670))</f>
        <v/>
      </c>
      <c r="H1670" s="15" t="str">
        <f aca="false">IF($B1670="","",IFERROR(INDEX(Services!$A$2:$A$120,MATCH($B1670,Services!$D$2:$D$120,0)),""))</f>
        <v/>
      </c>
      <c r="I1670" s="19"/>
      <c r="J1670" s="15" t="str">
        <f aca="false">IF($B1670="","",IFERROR(INDEX(Services!$E$2:$E$120,MATCH($B1670,Services!$D$2:$D$120,0)),""))</f>
        <v/>
      </c>
    </row>
    <row r="1671" customFormat="false" ht="14.25" hidden="false" customHeight="false" outlineLevel="0" collapsed="false">
      <c r="A1671" s="18"/>
      <c r="B1671" s="6"/>
      <c r="C1671" s="6"/>
      <c r="D1671" s="6"/>
      <c r="E1671" s="16" t="str">
        <f aca="false">IF($B1671="","",IFERROR(INDEX(Services!$C$2:$C$120,MATCH($B1671,Services!$D$2:$D$120,0)),""))</f>
        <v/>
      </c>
      <c r="F1671" s="19"/>
      <c r="G1671" s="9" t="str">
        <f aca="false">IF(OR($B1671="",NOT(ISNUMBER($E1671))),"",$E1671-IF($F1671="",0,$F1671))</f>
        <v/>
      </c>
      <c r="H1671" s="15" t="str">
        <f aca="false">IF($B1671="","",IFERROR(INDEX(Services!$A$2:$A$120,MATCH($B1671,Services!$D$2:$D$120,0)),""))</f>
        <v/>
      </c>
      <c r="I1671" s="19"/>
      <c r="J1671" s="15" t="str">
        <f aca="false">IF($B1671="","",IFERROR(INDEX(Services!$E$2:$E$120,MATCH($B1671,Services!$D$2:$D$120,0)),""))</f>
        <v/>
      </c>
    </row>
    <row r="1672" customFormat="false" ht="14.25" hidden="false" customHeight="false" outlineLevel="0" collapsed="false">
      <c r="A1672" s="18"/>
      <c r="B1672" s="6"/>
      <c r="C1672" s="6"/>
      <c r="D1672" s="6"/>
      <c r="E1672" s="16" t="str">
        <f aca="false">IF($B1672="","",IFERROR(INDEX(Services!$C$2:$C$120,MATCH($B1672,Services!$D$2:$D$120,0)),""))</f>
        <v/>
      </c>
      <c r="F1672" s="19"/>
      <c r="G1672" s="9" t="str">
        <f aca="false">IF(OR($B1672="",NOT(ISNUMBER($E1672))),"",$E1672-IF($F1672="",0,$F1672))</f>
        <v/>
      </c>
      <c r="H1672" s="15" t="str">
        <f aca="false">IF($B1672="","",IFERROR(INDEX(Services!$A$2:$A$120,MATCH($B1672,Services!$D$2:$D$120,0)),""))</f>
        <v/>
      </c>
      <c r="I1672" s="19"/>
      <c r="J1672" s="15" t="str">
        <f aca="false">IF($B1672="","",IFERROR(INDEX(Services!$E$2:$E$120,MATCH($B1672,Services!$D$2:$D$120,0)),""))</f>
        <v/>
      </c>
    </row>
    <row r="1673" customFormat="false" ht="14.25" hidden="false" customHeight="false" outlineLevel="0" collapsed="false">
      <c r="A1673" s="18"/>
      <c r="B1673" s="6"/>
      <c r="C1673" s="6"/>
      <c r="D1673" s="6"/>
      <c r="E1673" s="16" t="str">
        <f aca="false">IF($B1673="","",IFERROR(INDEX(Services!$C$2:$C$120,MATCH($B1673,Services!$D$2:$D$120,0)),""))</f>
        <v/>
      </c>
      <c r="F1673" s="19"/>
      <c r="G1673" s="9" t="str">
        <f aca="false">IF(OR($B1673="",NOT(ISNUMBER($E1673))),"",$E1673-IF($F1673="",0,$F1673))</f>
        <v/>
      </c>
      <c r="H1673" s="15" t="str">
        <f aca="false">IF($B1673="","",IFERROR(INDEX(Services!$A$2:$A$120,MATCH($B1673,Services!$D$2:$D$120,0)),""))</f>
        <v/>
      </c>
      <c r="I1673" s="19"/>
      <c r="J1673" s="15" t="str">
        <f aca="false">IF($B1673="","",IFERROR(INDEX(Services!$E$2:$E$120,MATCH($B1673,Services!$D$2:$D$120,0)),""))</f>
        <v/>
      </c>
    </row>
    <row r="1674" customFormat="false" ht="14.25" hidden="false" customHeight="false" outlineLevel="0" collapsed="false">
      <c r="A1674" s="18"/>
      <c r="B1674" s="6"/>
      <c r="C1674" s="6"/>
      <c r="D1674" s="6"/>
      <c r="E1674" s="16" t="str">
        <f aca="false">IF($B1674="","",IFERROR(INDEX(Services!$C$2:$C$120,MATCH($B1674,Services!$D$2:$D$120,0)),""))</f>
        <v/>
      </c>
      <c r="F1674" s="19"/>
      <c r="G1674" s="9" t="str">
        <f aca="false">IF(OR($B1674="",NOT(ISNUMBER($E1674))),"",$E1674-IF($F1674="",0,$F1674))</f>
        <v/>
      </c>
      <c r="H1674" s="15" t="str">
        <f aca="false">IF($B1674="","",IFERROR(INDEX(Services!$A$2:$A$120,MATCH($B1674,Services!$D$2:$D$120,0)),""))</f>
        <v/>
      </c>
      <c r="I1674" s="19"/>
      <c r="J1674" s="15" t="str">
        <f aca="false">IF($B1674="","",IFERROR(INDEX(Services!$E$2:$E$120,MATCH($B1674,Services!$D$2:$D$120,0)),""))</f>
        <v/>
      </c>
    </row>
    <row r="1675" customFormat="false" ht="14.25" hidden="false" customHeight="false" outlineLevel="0" collapsed="false">
      <c r="A1675" s="18"/>
      <c r="B1675" s="6"/>
      <c r="C1675" s="6"/>
      <c r="D1675" s="6"/>
      <c r="E1675" s="16" t="str">
        <f aca="false">IF($B1675="","",IFERROR(INDEX(Services!$C$2:$C$120,MATCH($B1675,Services!$D$2:$D$120,0)),""))</f>
        <v/>
      </c>
      <c r="F1675" s="19"/>
      <c r="G1675" s="9" t="str">
        <f aca="false">IF(OR($B1675="",NOT(ISNUMBER($E1675))),"",$E1675-IF($F1675="",0,$F1675))</f>
        <v/>
      </c>
      <c r="H1675" s="15" t="str">
        <f aca="false">IF($B1675="","",IFERROR(INDEX(Services!$A$2:$A$120,MATCH($B1675,Services!$D$2:$D$120,0)),""))</f>
        <v/>
      </c>
      <c r="I1675" s="19"/>
      <c r="J1675" s="15" t="str">
        <f aca="false">IF($B1675="","",IFERROR(INDEX(Services!$E$2:$E$120,MATCH($B1675,Services!$D$2:$D$120,0)),""))</f>
        <v/>
      </c>
    </row>
    <row r="1676" customFormat="false" ht="14.25" hidden="false" customHeight="false" outlineLevel="0" collapsed="false">
      <c r="A1676" s="18"/>
      <c r="B1676" s="6"/>
      <c r="C1676" s="6"/>
      <c r="D1676" s="6"/>
      <c r="E1676" s="16" t="str">
        <f aca="false">IF($B1676="","",IFERROR(INDEX(Services!$C$2:$C$120,MATCH($B1676,Services!$D$2:$D$120,0)),""))</f>
        <v/>
      </c>
      <c r="F1676" s="19"/>
      <c r="G1676" s="9" t="str">
        <f aca="false">IF(OR($B1676="",NOT(ISNUMBER($E1676))),"",$E1676-IF($F1676="",0,$F1676))</f>
        <v/>
      </c>
      <c r="H1676" s="15" t="str">
        <f aca="false">IF($B1676="","",IFERROR(INDEX(Services!$A$2:$A$120,MATCH($B1676,Services!$D$2:$D$120,0)),""))</f>
        <v/>
      </c>
      <c r="I1676" s="19"/>
      <c r="J1676" s="15" t="str">
        <f aca="false">IF($B1676="","",IFERROR(INDEX(Services!$E$2:$E$120,MATCH($B1676,Services!$D$2:$D$120,0)),""))</f>
        <v/>
      </c>
    </row>
    <row r="1677" customFormat="false" ht="14.25" hidden="false" customHeight="false" outlineLevel="0" collapsed="false">
      <c r="A1677" s="18"/>
      <c r="B1677" s="6"/>
      <c r="C1677" s="6"/>
      <c r="D1677" s="6"/>
      <c r="E1677" s="16" t="str">
        <f aca="false">IF($B1677="","",IFERROR(INDEX(Services!$C$2:$C$120,MATCH($B1677,Services!$D$2:$D$120,0)),""))</f>
        <v/>
      </c>
      <c r="F1677" s="19"/>
      <c r="G1677" s="9" t="str">
        <f aca="false">IF(OR($B1677="",NOT(ISNUMBER($E1677))),"",$E1677-IF($F1677="",0,$F1677))</f>
        <v/>
      </c>
      <c r="H1677" s="15" t="str">
        <f aca="false">IF($B1677="","",IFERROR(INDEX(Services!$A$2:$A$120,MATCH($B1677,Services!$D$2:$D$120,0)),""))</f>
        <v/>
      </c>
      <c r="I1677" s="19"/>
      <c r="J1677" s="15" t="str">
        <f aca="false">IF($B1677="","",IFERROR(INDEX(Services!$E$2:$E$120,MATCH($B1677,Services!$D$2:$D$120,0)),""))</f>
        <v/>
      </c>
    </row>
    <row r="1678" customFormat="false" ht="14.25" hidden="false" customHeight="false" outlineLevel="0" collapsed="false">
      <c r="A1678" s="18"/>
      <c r="B1678" s="6"/>
      <c r="C1678" s="6"/>
      <c r="D1678" s="6"/>
      <c r="E1678" s="16" t="str">
        <f aca="false">IF($B1678="","",IFERROR(INDEX(Services!$C$2:$C$120,MATCH($B1678,Services!$D$2:$D$120,0)),""))</f>
        <v/>
      </c>
      <c r="F1678" s="19"/>
      <c r="G1678" s="9" t="str">
        <f aca="false">IF(OR($B1678="",NOT(ISNUMBER($E1678))),"",$E1678-IF($F1678="",0,$F1678))</f>
        <v/>
      </c>
      <c r="H1678" s="15" t="str">
        <f aca="false">IF($B1678="","",IFERROR(INDEX(Services!$A$2:$A$120,MATCH($B1678,Services!$D$2:$D$120,0)),""))</f>
        <v/>
      </c>
      <c r="I1678" s="19"/>
      <c r="J1678" s="15" t="str">
        <f aca="false">IF($B1678="","",IFERROR(INDEX(Services!$E$2:$E$120,MATCH($B1678,Services!$D$2:$D$120,0)),""))</f>
        <v/>
      </c>
    </row>
    <row r="1679" customFormat="false" ht="14.25" hidden="false" customHeight="false" outlineLevel="0" collapsed="false">
      <c r="A1679" s="18"/>
      <c r="B1679" s="6"/>
      <c r="C1679" s="6"/>
      <c r="D1679" s="6"/>
      <c r="E1679" s="16" t="str">
        <f aca="false">IF($B1679="","",IFERROR(INDEX(Services!$C$2:$C$120,MATCH($B1679,Services!$D$2:$D$120,0)),""))</f>
        <v/>
      </c>
      <c r="F1679" s="19"/>
      <c r="G1679" s="9" t="str">
        <f aca="false">IF(OR($B1679="",NOT(ISNUMBER($E1679))),"",$E1679-IF($F1679="",0,$F1679))</f>
        <v/>
      </c>
      <c r="H1679" s="15" t="str">
        <f aca="false">IF($B1679="","",IFERROR(INDEX(Services!$A$2:$A$120,MATCH($B1679,Services!$D$2:$D$120,0)),""))</f>
        <v/>
      </c>
      <c r="I1679" s="19"/>
      <c r="J1679" s="15" t="str">
        <f aca="false">IF($B1679="","",IFERROR(INDEX(Services!$E$2:$E$120,MATCH($B1679,Services!$D$2:$D$120,0)),""))</f>
        <v/>
      </c>
    </row>
    <row r="1680" customFormat="false" ht="14.25" hidden="false" customHeight="false" outlineLevel="0" collapsed="false">
      <c r="A1680" s="18"/>
      <c r="B1680" s="6"/>
      <c r="C1680" s="6"/>
      <c r="D1680" s="6"/>
      <c r="E1680" s="16" t="str">
        <f aca="false">IF($B1680="","",IFERROR(INDEX(Services!$C$2:$C$120,MATCH($B1680,Services!$D$2:$D$120,0)),""))</f>
        <v/>
      </c>
      <c r="F1680" s="19"/>
      <c r="G1680" s="9" t="str">
        <f aca="false">IF(OR($B1680="",NOT(ISNUMBER($E1680))),"",$E1680-IF($F1680="",0,$F1680))</f>
        <v/>
      </c>
      <c r="H1680" s="15" t="str">
        <f aca="false">IF($B1680="","",IFERROR(INDEX(Services!$A$2:$A$120,MATCH($B1680,Services!$D$2:$D$120,0)),""))</f>
        <v/>
      </c>
      <c r="I1680" s="19"/>
      <c r="J1680" s="15" t="str">
        <f aca="false">IF($B1680="","",IFERROR(INDEX(Services!$E$2:$E$120,MATCH($B1680,Services!$D$2:$D$120,0)),""))</f>
        <v/>
      </c>
    </row>
    <row r="1681" customFormat="false" ht="14.25" hidden="false" customHeight="false" outlineLevel="0" collapsed="false">
      <c r="A1681" s="18"/>
      <c r="B1681" s="6"/>
      <c r="C1681" s="6"/>
      <c r="D1681" s="6"/>
      <c r="E1681" s="16" t="str">
        <f aca="false">IF($B1681="","",IFERROR(INDEX(Services!$C$2:$C$120,MATCH($B1681,Services!$D$2:$D$120,0)),""))</f>
        <v/>
      </c>
      <c r="F1681" s="19"/>
      <c r="G1681" s="9" t="str">
        <f aca="false">IF(OR($B1681="",NOT(ISNUMBER($E1681))),"",$E1681-IF($F1681="",0,$F1681))</f>
        <v/>
      </c>
      <c r="H1681" s="15" t="str">
        <f aca="false">IF($B1681="","",IFERROR(INDEX(Services!$A$2:$A$120,MATCH($B1681,Services!$D$2:$D$120,0)),""))</f>
        <v/>
      </c>
      <c r="I1681" s="19"/>
      <c r="J1681" s="15" t="str">
        <f aca="false">IF($B1681="","",IFERROR(INDEX(Services!$E$2:$E$120,MATCH($B1681,Services!$D$2:$D$120,0)),""))</f>
        <v/>
      </c>
    </row>
    <row r="1682" customFormat="false" ht="14.25" hidden="false" customHeight="false" outlineLevel="0" collapsed="false">
      <c r="A1682" s="18"/>
      <c r="B1682" s="6"/>
      <c r="C1682" s="6"/>
      <c r="D1682" s="6"/>
      <c r="E1682" s="16" t="str">
        <f aca="false">IF($B1682="","",IFERROR(INDEX(Services!$C$2:$C$120,MATCH($B1682,Services!$D$2:$D$120,0)),""))</f>
        <v/>
      </c>
      <c r="F1682" s="19"/>
      <c r="G1682" s="9" t="str">
        <f aca="false">IF(OR($B1682="",NOT(ISNUMBER($E1682))),"",$E1682-IF($F1682="",0,$F1682))</f>
        <v/>
      </c>
      <c r="H1682" s="15" t="str">
        <f aca="false">IF($B1682="","",IFERROR(INDEX(Services!$A$2:$A$120,MATCH($B1682,Services!$D$2:$D$120,0)),""))</f>
        <v/>
      </c>
      <c r="I1682" s="19"/>
      <c r="J1682" s="15" t="str">
        <f aca="false">IF($B1682="","",IFERROR(INDEX(Services!$E$2:$E$120,MATCH($B1682,Services!$D$2:$D$120,0)),""))</f>
        <v/>
      </c>
    </row>
    <row r="1683" customFormat="false" ht="14.25" hidden="false" customHeight="false" outlineLevel="0" collapsed="false">
      <c r="A1683" s="18"/>
      <c r="B1683" s="6"/>
      <c r="C1683" s="6"/>
      <c r="D1683" s="6"/>
      <c r="E1683" s="16" t="str">
        <f aca="false">IF($B1683="","",IFERROR(INDEX(Services!$C$2:$C$120,MATCH($B1683,Services!$D$2:$D$120,0)),""))</f>
        <v/>
      </c>
      <c r="F1683" s="19"/>
      <c r="G1683" s="9" t="str">
        <f aca="false">IF(OR($B1683="",NOT(ISNUMBER($E1683))),"",$E1683-IF($F1683="",0,$F1683))</f>
        <v/>
      </c>
      <c r="H1683" s="15" t="str">
        <f aca="false">IF($B1683="","",IFERROR(INDEX(Services!$A$2:$A$120,MATCH($B1683,Services!$D$2:$D$120,0)),""))</f>
        <v/>
      </c>
      <c r="I1683" s="19"/>
      <c r="J1683" s="15" t="str">
        <f aca="false">IF($B1683="","",IFERROR(INDEX(Services!$E$2:$E$120,MATCH($B1683,Services!$D$2:$D$120,0)),""))</f>
        <v/>
      </c>
    </row>
    <row r="1684" customFormat="false" ht="14.25" hidden="false" customHeight="false" outlineLevel="0" collapsed="false">
      <c r="A1684" s="18"/>
      <c r="B1684" s="6"/>
      <c r="C1684" s="6"/>
      <c r="D1684" s="6"/>
      <c r="E1684" s="16" t="str">
        <f aca="false">IF($B1684="","",IFERROR(INDEX(Services!$C$2:$C$120,MATCH($B1684,Services!$D$2:$D$120,0)),""))</f>
        <v/>
      </c>
      <c r="F1684" s="19"/>
      <c r="G1684" s="9" t="str">
        <f aca="false">IF(OR($B1684="",NOT(ISNUMBER($E1684))),"",$E1684-IF($F1684="",0,$F1684))</f>
        <v/>
      </c>
      <c r="H1684" s="15" t="str">
        <f aca="false">IF($B1684="","",IFERROR(INDEX(Services!$A$2:$A$120,MATCH($B1684,Services!$D$2:$D$120,0)),""))</f>
        <v/>
      </c>
      <c r="I1684" s="19"/>
      <c r="J1684" s="15" t="str">
        <f aca="false">IF($B1684="","",IFERROR(INDEX(Services!$E$2:$E$120,MATCH($B1684,Services!$D$2:$D$120,0)),""))</f>
        <v/>
      </c>
    </row>
    <row r="1685" customFormat="false" ht="14.25" hidden="false" customHeight="false" outlineLevel="0" collapsed="false">
      <c r="A1685" s="18"/>
      <c r="B1685" s="6"/>
      <c r="C1685" s="6"/>
      <c r="D1685" s="6"/>
      <c r="E1685" s="16" t="str">
        <f aca="false">IF($B1685="","",IFERROR(INDEX(Services!$C$2:$C$120,MATCH($B1685,Services!$D$2:$D$120,0)),""))</f>
        <v/>
      </c>
      <c r="F1685" s="19"/>
      <c r="G1685" s="9" t="str">
        <f aca="false">IF(OR($B1685="",NOT(ISNUMBER($E1685))),"",$E1685-IF($F1685="",0,$F1685))</f>
        <v/>
      </c>
      <c r="H1685" s="15" t="str">
        <f aca="false">IF($B1685="","",IFERROR(INDEX(Services!$A$2:$A$120,MATCH($B1685,Services!$D$2:$D$120,0)),""))</f>
        <v/>
      </c>
      <c r="I1685" s="19"/>
      <c r="J1685" s="15" t="str">
        <f aca="false">IF($B1685="","",IFERROR(INDEX(Services!$E$2:$E$120,MATCH($B1685,Services!$D$2:$D$120,0)),""))</f>
        <v/>
      </c>
    </row>
    <row r="1686" customFormat="false" ht="14.25" hidden="false" customHeight="false" outlineLevel="0" collapsed="false">
      <c r="A1686" s="18"/>
      <c r="B1686" s="6"/>
      <c r="C1686" s="6"/>
      <c r="D1686" s="6"/>
      <c r="E1686" s="16" t="str">
        <f aca="false">IF($B1686="","",IFERROR(INDEX(Services!$C$2:$C$120,MATCH($B1686,Services!$D$2:$D$120,0)),""))</f>
        <v/>
      </c>
      <c r="F1686" s="19"/>
      <c r="G1686" s="9" t="str">
        <f aca="false">IF(OR($B1686="",NOT(ISNUMBER($E1686))),"",$E1686-IF($F1686="",0,$F1686))</f>
        <v/>
      </c>
      <c r="H1686" s="15" t="str">
        <f aca="false">IF($B1686="","",IFERROR(INDEX(Services!$A$2:$A$120,MATCH($B1686,Services!$D$2:$D$120,0)),""))</f>
        <v/>
      </c>
      <c r="I1686" s="19"/>
      <c r="J1686" s="15" t="str">
        <f aca="false">IF($B1686="","",IFERROR(INDEX(Services!$E$2:$E$120,MATCH($B1686,Services!$D$2:$D$120,0)),""))</f>
        <v/>
      </c>
    </row>
    <row r="1687" customFormat="false" ht="14.25" hidden="false" customHeight="false" outlineLevel="0" collapsed="false">
      <c r="A1687" s="18"/>
      <c r="B1687" s="6"/>
      <c r="C1687" s="6"/>
      <c r="D1687" s="6"/>
      <c r="E1687" s="16" t="str">
        <f aca="false">IF($B1687="","",IFERROR(INDEX(Services!$C$2:$C$120,MATCH($B1687,Services!$D$2:$D$120,0)),""))</f>
        <v/>
      </c>
      <c r="F1687" s="19"/>
      <c r="G1687" s="9" t="str">
        <f aca="false">IF(OR($B1687="",NOT(ISNUMBER($E1687))),"",$E1687-IF($F1687="",0,$F1687))</f>
        <v/>
      </c>
      <c r="H1687" s="15" t="str">
        <f aca="false">IF($B1687="","",IFERROR(INDEX(Services!$A$2:$A$120,MATCH($B1687,Services!$D$2:$D$120,0)),""))</f>
        <v/>
      </c>
      <c r="I1687" s="19"/>
      <c r="J1687" s="15" t="str">
        <f aca="false">IF($B1687="","",IFERROR(INDEX(Services!$E$2:$E$120,MATCH($B1687,Services!$D$2:$D$120,0)),""))</f>
        <v/>
      </c>
    </row>
    <row r="1688" customFormat="false" ht="14.25" hidden="false" customHeight="false" outlineLevel="0" collapsed="false">
      <c r="A1688" s="18"/>
      <c r="B1688" s="6"/>
      <c r="C1688" s="6"/>
      <c r="D1688" s="6"/>
      <c r="E1688" s="16" t="str">
        <f aca="false">IF($B1688="","",IFERROR(INDEX(Services!$C$2:$C$120,MATCH($B1688,Services!$D$2:$D$120,0)),""))</f>
        <v/>
      </c>
      <c r="F1688" s="19"/>
      <c r="G1688" s="9" t="str">
        <f aca="false">IF(OR($B1688="",NOT(ISNUMBER($E1688))),"",$E1688-IF($F1688="",0,$F1688))</f>
        <v/>
      </c>
      <c r="H1688" s="15" t="str">
        <f aca="false">IF($B1688="","",IFERROR(INDEX(Services!$A$2:$A$120,MATCH($B1688,Services!$D$2:$D$120,0)),""))</f>
        <v/>
      </c>
      <c r="I1688" s="19"/>
      <c r="J1688" s="15" t="str">
        <f aca="false">IF($B1688="","",IFERROR(INDEX(Services!$E$2:$E$120,MATCH($B1688,Services!$D$2:$D$120,0)),""))</f>
        <v/>
      </c>
    </row>
    <row r="1689" customFormat="false" ht="14.25" hidden="false" customHeight="false" outlineLevel="0" collapsed="false">
      <c r="A1689" s="18"/>
      <c r="B1689" s="6"/>
      <c r="C1689" s="6"/>
      <c r="D1689" s="6"/>
      <c r="E1689" s="16" t="str">
        <f aca="false">IF($B1689="","",IFERROR(INDEX(Services!$C$2:$C$120,MATCH($B1689,Services!$D$2:$D$120,0)),""))</f>
        <v/>
      </c>
      <c r="F1689" s="19"/>
      <c r="G1689" s="9" t="str">
        <f aca="false">IF(OR($B1689="",NOT(ISNUMBER($E1689))),"",$E1689-IF($F1689="",0,$F1689))</f>
        <v/>
      </c>
      <c r="H1689" s="15" t="str">
        <f aca="false">IF($B1689="","",IFERROR(INDEX(Services!$A$2:$A$120,MATCH($B1689,Services!$D$2:$D$120,0)),""))</f>
        <v/>
      </c>
      <c r="I1689" s="19"/>
      <c r="J1689" s="15" t="str">
        <f aca="false">IF($B1689="","",IFERROR(INDEX(Services!$E$2:$E$120,MATCH($B1689,Services!$D$2:$D$120,0)),""))</f>
        <v/>
      </c>
    </row>
    <row r="1690" customFormat="false" ht="14.25" hidden="false" customHeight="false" outlineLevel="0" collapsed="false">
      <c r="A1690" s="18"/>
      <c r="B1690" s="6"/>
      <c r="C1690" s="6"/>
      <c r="D1690" s="6"/>
      <c r="E1690" s="16" t="str">
        <f aca="false">IF($B1690="","",IFERROR(INDEX(Services!$C$2:$C$120,MATCH($B1690,Services!$D$2:$D$120,0)),""))</f>
        <v/>
      </c>
      <c r="F1690" s="19"/>
      <c r="G1690" s="9" t="str">
        <f aca="false">IF(OR($B1690="",NOT(ISNUMBER($E1690))),"",$E1690-IF($F1690="",0,$F1690))</f>
        <v/>
      </c>
      <c r="H1690" s="15" t="str">
        <f aca="false">IF($B1690="","",IFERROR(INDEX(Services!$A$2:$A$120,MATCH($B1690,Services!$D$2:$D$120,0)),""))</f>
        <v/>
      </c>
      <c r="I1690" s="19"/>
      <c r="J1690" s="15" t="str">
        <f aca="false">IF($B1690="","",IFERROR(INDEX(Services!$E$2:$E$120,MATCH($B1690,Services!$D$2:$D$120,0)),""))</f>
        <v/>
      </c>
    </row>
    <row r="1691" customFormat="false" ht="14.25" hidden="false" customHeight="false" outlineLevel="0" collapsed="false">
      <c r="A1691" s="18"/>
      <c r="B1691" s="6"/>
      <c r="C1691" s="6"/>
      <c r="D1691" s="6"/>
      <c r="E1691" s="16" t="str">
        <f aca="false">IF($B1691="","",IFERROR(INDEX(Services!$C$2:$C$120,MATCH($B1691,Services!$D$2:$D$120,0)),""))</f>
        <v/>
      </c>
      <c r="F1691" s="19"/>
      <c r="G1691" s="9" t="str">
        <f aca="false">IF(OR($B1691="",NOT(ISNUMBER($E1691))),"",$E1691-IF($F1691="",0,$F1691))</f>
        <v/>
      </c>
      <c r="H1691" s="15" t="str">
        <f aca="false">IF($B1691="","",IFERROR(INDEX(Services!$A$2:$A$120,MATCH($B1691,Services!$D$2:$D$120,0)),""))</f>
        <v/>
      </c>
      <c r="I1691" s="19"/>
      <c r="J1691" s="15" t="str">
        <f aca="false">IF($B1691="","",IFERROR(INDEX(Services!$E$2:$E$120,MATCH($B1691,Services!$D$2:$D$120,0)),""))</f>
        <v/>
      </c>
    </row>
    <row r="1692" customFormat="false" ht="14.25" hidden="false" customHeight="false" outlineLevel="0" collapsed="false">
      <c r="A1692" s="18"/>
      <c r="B1692" s="6"/>
      <c r="C1692" s="6"/>
      <c r="D1692" s="6"/>
      <c r="E1692" s="16" t="str">
        <f aca="false">IF($B1692="","",IFERROR(INDEX(Services!$C$2:$C$120,MATCH($B1692,Services!$D$2:$D$120,0)),""))</f>
        <v/>
      </c>
      <c r="F1692" s="19"/>
      <c r="G1692" s="9" t="str">
        <f aca="false">IF(OR($B1692="",NOT(ISNUMBER($E1692))),"",$E1692-IF($F1692="",0,$F1692))</f>
        <v/>
      </c>
      <c r="H1692" s="15" t="str">
        <f aca="false">IF($B1692="","",IFERROR(INDEX(Services!$A$2:$A$120,MATCH($B1692,Services!$D$2:$D$120,0)),""))</f>
        <v/>
      </c>
      <c r="I1692" s="19"/>
      <c r="J1692" s="15" t="str">
        <f aca="false">IF($B1692="","",IFERROR(INDEX(Services!$E$2:$E$120,MATCH($B1692,Services!$D$2:$D$120,0)),""))</f>
        <v/>
      </c>
    </row>
    <row r="1693" customFormat="false" ht="14.25" hidden="false" customHeight="false" outlineLevel="0" collapsed="false">
      <c r="A1693" s="18"/>
      <c r="B1693" s="6"/>
      <c r="C1693" s="6"/>
      <c r="D1693" s="6"/>
      <c r="E1693" s="16" t="str">
        <f aca="false">IF($B1693="","",IFERROR(INDEX(Services!$C$2:$C$120,MATCH($B1693,Services!$D$2:$D$120,0)),""))</f>
        <v/>
      </c>
      <c r="F1693" s="19"/>
      <c r="G1693" s="9" t="str">
        <f aca="false">IF(OR($B1693="",NOT(ISNUMBER($E1693))),"",$E1693-IF($F1693="",0,$F1693))</f>
        <v/>
      </c>
      <c r="H1693" s="15" t="str">
        <f aca="false">IF($B1693="","",IFERROR(INDEX(Services!$A$2:$A$120,MATCH($B1693,Services!$D$2:$D$120,0)),""))</f>
        <v/>
      </c>
      <c r="I1693" s="19"/>
      <c r="J1693" s="15" t="str">
        <f aca="false">IF($B1693="","",IFERROR(INDEX(Services!$E$2:$E$120,MATCH($B1693,Services!$D$2:$D$120,0)),""))</f>
        <v/>
      </c>
    </row>
    <row r="1694" customFormat="false" ht="14.25" hidden="false" customHeight="false" outlineLevel="0" collapsed="false">
      <c r="A1694" s="18"/>
      <c r="B1694" s="6"/>
      <c r="C1694" s="6"/>
      <c r="D1694" s="6"/>
      <c r="E1694" s="16" t="str">
        <f aca="false">IF($B1694="","",IFERROR(INDEX(Services!$C$2:$C$120,MATCH($B1694,Services!$D$2:$D$120,0)),""))</f>
        <v/>
      </c>
      <c r="F1694" s="19"/>
      <c r="G1694" s="9" t="str">
        <f aca="false">IF(OR($B1694="",NOT(ISNUMBER($E1694))),"",$E1694-IF($F1694="",0,$F1694))</f>
        <v/>
      </c>
      <c r="H1694" s="15" t="str">
        <f aca="false">IF($B1694="","",IFERROR(INDEX(Services!$A$2:$A$120,MATCH($B1694,Services!$D$2:$D$120,0)),""))</f>
        <v/>
      </c>
      <c r="I1694" s="19"/>
      <c r="J1694" s="15" t="str">
        <f aca="false">IF($B1694="","",IFERROR(INDEX(Services!$E$2:$E$120,MATCH($B1694,Services!$D$2:$D$120,0)),""))</f>
        <v/>
      </c>
    </row>
    <row r="1695" customFormat="false" ht="14.25" hidden="false" customHeight="false" outlineLevel="0" collapsed="false">
      <c r="A1695" s="18"/>
      <c r="B1695" s="6"/>
      <c r="C1695" s="6"/>
      <c r="D1695" s="6"/>
      <c r="E1695" s="16" t="str">
        <f aca="false">IF($B1695="","",IFERROR(INDEX(Services!$C$2:$C$120,MATCH($B1695,Services!$D$2:$D$120,0)),""))</f>
        <v/>
      </c>
      <c r="F1695" s="19"/>
      <c r="G1695" s="9" t="str">
        <f aca="false">IF(OR($B1695="",NOT(ISNUMBER($E1695))),"",$E1695-IF($F1695="",0,$F1695))</f>
        <v/>
      </c>
      <c r="H1695" s="15" t="str">
        <f aca="false">IF($B1695="","",IFERROR(INDEX(Services!$A$2:$A$120,MATCH($B1695,Services!$D$2:$D$120,0)),""))</f>
        <v/>
      </c>
      <c r="I1695" s="19"/>
      <c r="J1695" s="15" t="str">
        <f aca="false">IF($B1695="","",IFERROR(INDEX(Services!$E$2:$E$120,MATCH($B1695,Services!$D$2:$D$120,0)),""))</f>
        <v/>
      </c>
    </row>
    <row r="1696" customFormat="false" ht="14.25" hidden="false" customHeight="false" outlineLevel="0" collapsed="false">
      <c r="A1696" s="18"/>
      <c r="B1696" s="6"/>
      <c r="C1696" s="6"/>
      <c r="D1696" s="6"/>
      <c r="E1696" s="16" t="str">
        <f aca="false">IF($B1696="","",IFERROR(INDEX(Services!$C$2:$C$120,MATCH($B1696,Services!$D$2:$D$120,0)),""))</f>
        <v/>
      </c>
      <c r="F1696" s="19"/>
      <c r="G1696" s="9" t="str">
        <f aca="false">IF(OR($B1696="",NOT(ISNUMBER($E1696))),"",$E1696-IF($F1696="",0,$F1696))</f>
        <v/>
      </c>
      <c r="H1696" s="15" t="str">
        <f aca="false">IF($B1696="","",IFERROR(INDEX(Services!$A$2:$A$120,MATCH($B1696,Services!$D$2:$D$120,0)),""))</f>
        <v/>
      </c>
      <c r="I1696" s="19"/>
      <c r="J1696" s="15" t="str">
        <f aca="false">IF($B1696="","",IFERROR(INDEX(Services!$E$2:$E$120,MATCH($B1696,Services!$D$2:$D$120,0)),""))</f>
        <v/>
      </c>
    </row>
    <row r="1697" customFormat="false" ht="14.25" hidden="false" customHeight="false" outlineLevel="0" collapsed="false">
      <c r="A1697" s="18"/>
      <c r="B1697" s="6"/>
      <c r="C1697" s="6"/>
      <c r="D1697" s="6"/>
      <c r="E1697" s="16" t="str">
        <f aca="false">IF($B1697="","",IFERROR(INDEX(Services!$C$2:$C$120,MATCH($B1697,Services!$D$2:$D$120,0)),""))</f>
        <v/>
      </c>
      <c r="F1697" s="19"/>
      <c r="G1697" s="9" t="str">
        <f aca="false">IF(OR($B1697="",NOT(ISNUMBER($E1697))),"",$E1697-IF($F1697="",0,$F1697))</f>
        <v/>
      </c>
      <c r="H1697" s="15" t="str">
        <f aca="false">IF($B1697="","",IFERROR(INDEX(Services!$A$2:$A$120,MATCH($B1697,Services!$D$2:$D$120,0)),""))</f>
        <v/>
      </c>
      <c r="I1697" s="19"/>
      <c r="J1697" s="15" t="str">
        <f aca="false">IF($B1697="","",IFERROR(INDEX(Services!$E$2:$E$120,MATCH($B1697,Services!$D$2:$D$120,0)),""))</f>
        <v/>
      </c>
    </row>
    <row r="1698" customFormat="false" ht="14.25" hidden="false" customHeight="false" outlineLevel="0" collapsed="false">
      <c r="A1698" s="18"/>
      <c r="B1698" s="6"/>
      <c r="C1698" s="6"/>
      <c r="D1698" s="6"/>
      <c r="E1698" s="16" t="str">
        <f aca="false">IF($B1698="","",IFERROR(INDEX(Services!$C$2:$C$120,MATCH($B1698,Services!$D$2:$D$120,0)),""))</f>
        <v/>
      </c>
      <c r="F1698" s="19"/>
      <c r="G1698" s="9" t="str">
        <f aca="false">IF(OR($B1698="",NOT(ISNUMBER($E1698))),"",$E1698-IF($F1698="",0,$F1698))</f>
        <v/>
      </c>
      <c r="H1698" s="15" t="str">
        <f aca="false">IF($B1698="","",IFERROR(INDEX(Services!$A$2:$A$120,MATCH($B1698,Services!$D$2:$D$120,0)),""))</f>
        <v/>
      </c>
      <c r="I1698" s="19"/>
      <c r="J1698" s="15" t="str">
        <f aca="false">IF($B1698="","",IFERROR(INDEX(Services!$E$2:$E$120,MATCH($B1698,Services!$D$2:$D$120,0)),""))</f>
        <v/>
      </c>
    </row>
    <row r="1699" customFormat="false" ht="14.25" hidden="false" customHeight="false" outlineLevel="0" collapsed="false">
      <c r="A1699" s="18"/>
      <c r="B1699" s="6"/>
      <c r="C1699" s="6"/>
      <c r="D1699" s="6"/>
      <c r="E1699" s="16" t="str">
        <f aca="false">IF($B1699="","",IFERROR(INDEX(Services!$C$2:$C$120,MATCH($B1699,Services!$D$2:$D$120,0)),""))</f>
        <v/>
      </c>
      <c r="F1699" s="19"/>
      <c r="G1699" s="9" t="str">
        <f aca="false">IF(OR($B1699="",NOT(ISNUMBER($E1699))),"",$E1699-IF($F1699="",0,$F1699))</f>
        <v/>
      </c>
      <c r="H1699" s="15" t="str">
        <f aca="false">IF($B1699="","",IFERROR(INDEX(Services!$A$2:$A$120,MATCH($B1699,Services!$D$2:$D$120,0)),""))</f>
        <v/>
      </c>
      <c r="I1699" s="19"/>
      <c r="J1699" s="15" t="str">
        <f aca="false">IF($B1699="","",IFERROR(INDEX(Services!$E$2:$E$120,MATCH($B1699,Services!$D$2:$D$120,0)),""))</f>
        <v/>
      </c>
    </row>
    <row r="1700" customFormat="false" ht="14.25" hidden="false" customHeight="false" outlineLevel="0" collapsed="false">
      <c r="A1700" s="18"/>
      <c r="B1700" s="6"/>
      <c r="C1700" s="6"/>
      <c r="D1700" s="6"/>
      <c r="E1700" s="16" t="str">
        <f aca="false">IF($B1700="","",IFERROR(INDEX(Services!$C$2:$C$120,MATCH($B1700,Services!$D$2:$D$120,0)),""))</f>
        <v/>
      </c>
      <c r="F1700" s="19"/>
      <c r="G1700" s="9" t="str">
        <f aca="false">IF(OR($B1700="",NOT(ISNUMBER($E1700))),"",$E1700-IF($F1700="",0,$F1700))</f>
        <v/>
      </c>
      <c r="H1700" s="15" t="str">
        <f aca="false">IF($B1700="","",IFERROR(INDEX(Services!$A$2:$A$120,MATCH($B1700,Services!$D$2:$D$120,0)),""))</f>
        <v/>
      </c>
      <c r="I1700" s="19"/>
      <c r="J1700" s="15" t="str">
        <f aca="false">IF($B1700="","",IFERROR(INDEX(Services!$E$2:$E$120,MATCH($B1700,Services!$D$2:$D$120,0)),""))</f>
        <v/>
      </c>
    </row>
    <row r="1701" customFormat="false" ht="14.25" hidden="false" customHeight="false" outlineLevel="0" collapsed="false">
      <c r="A1701" s="18"/>
      <c r="B1701" s="6"/>
      <c r="C1701" s="6"/>
      <c r="D1701" s="6"/>
      <c r="E1701" s="16" t="str">
        <f aca="false">IF($B1701="","",IFERROR(INDEX(Services!$C$2:$C$120,MATCH($B1701,Services!$D$2:$D$120,0)),""))</f>
        <v/>
      </c>
      <c r="F1701" s="19"/>
      <c r="G1701" s="9" t="str">
        <f aca="false">IF(OR($B1701="",NOT(ISNUMBER($E1701))),"",$E1701-IF($F1701="",0,$F1701))</f>
        <v/>
      </c>
      <c r="H1701" s="15" t="str">
        <f aca="false">IF($B1701="","",IFERROR(INDEX(Services!$A$2:$A$120,MATCH($B1701,Services!$D$2:$D$120,0)),""))</f>
        <v/>
      </c>
      <c r="I1701" s="19"/>
      <c r="J1701" s="15" t="str">
        <f aca="false">IF($B1701="","",IFERROR(INDEX(Services!$E$2:$E$120,MATCH($B1701,Services!$D$2:$D$120,0)),""))</f>
        <v/>
      </c>
    </row>
    <row r="1702" customFormat="false" ht="14.25" hidden="false" customHeight="false" outlineLevel="0" collapsed="false">
      <c r="A1702" s="18"/>
      <c r="B1702" s="6"/>
      <c r="C1702" s="6"/>
      <c r="D1702" s="6"/>
      <c r="E1702" s="16" t="str">
        <f aca="false">IF($B1702="","",IFERROR(INDEX(Services!$C$2:$C$120,MATCH($B1702,Services!$D$2:$D$120,0)),""))</f>
        <v/>
      </c>
      <c r="F1702" s="19"/>
      <c r="G1702" s="9" t="str">
        <f aca="false">IF(OR($B1702="",NOT(ISNUMBER($E1702))),"",$E1702-IF($F1702="",0,$F1702))</f>
        <v/>
      </c>
      <c r="H1702" s="15" t="str">
        <f aca="false">IF($B1702="","",IFERROR(INDEX(Services!$A$2:$A$120,MATCH($B1702,Services!$D$2:$D$120,0)),""))</f>
        <v/>
      </c>
      <c r="I1702" s="19"/>
      <c r="J1702" s="15" t="str">
        <f aca="false">IF($B1702="","",IFERROR(INDEX(Services!$E$2:$E$120,MATCH($B1702,Services!$D$2:$D$120,0)),""))</f>
        <v/>
      </c>
    </row>
    <row r="1703" customFormat="false" ht="14.25" hidden="false" customHeight="false" outlineLevel="0" collapsed="false">
      <c r="A1703" s="18"/>
      <c r="B1703" s="6"/>
      <c r="C1703" s="6"/>
      <c r="D1703" s="6"/>
      <c r="E1703" s="16" t="str">
        <f aca="false">IF($B1703="","",IFERROR(INDEX(Services!$C$2:$C$120,MATCH($B1703,Services!$D$2:$D$120,0)),""))</f>
        <v/>
      </c>
      <c r="F1703" s="19"/>
      <c r="G1703" s="9" t="str">
        <f aca="false">IF(OR($B1703="",NOT(ISNUMBER($E1703))),"",$E1703-IF($F1703="",0,$F1703))</f>
        <v/>
      </c>
      <c r="H1703" s="15" t="str">
        <f aca="false">IF($B1703="","",IFERROR(INDEX(Services!$A$2:$A$120,MATCH($B1703,Services!$D$2:$D$120,0)),""))</f>
        <v/>
      </c>
      <c r="I1703" s="19"/>
      <c r="J1703" s="15" t="str">
        <f aca="false">IF($B1703="","",IFERROR(INDEX(Services!$E$2:$E$120,MATCH($B1703,Services!$D$2:$D$120,0)),""))</f>
        <v/>
      </c>
    </row>
    <row r="1704" customFormat="false" ht="14.25" hidden="false" customHeight="false" outlineLevel="0" collapsed="false">
      <c r="A1704" s="18"/>
      <c r="B1704" s="6"/>
      <c r="C1704" s="6"/>
      <c r="D1704" s="6"/>
      <c r="E1704" s="16" t="str">
        <f aca="false">IF($B1704="","",IFERROR(INDEX(Services!$C$2:$C$120,MATCH($B1704,Services!$D$2:$D$120,0)),""))</f>
        <v/>
      </c>
      <c r="F1704" s="19"/>
      <c r="G1704" s="9" t="str">
        <f aca="false">IF(OR($B1704="",NOT(ISNUMBER($E1704))),"",$E1704-IF($F1704="",0,$F1704))</f>
        <v/>
      </c>
      <c r="H1704" s="15" t="str">
        <f aca="false">IF($B1704="","",IFERROR(INDEX(Services!$A$2:$A$120,MATCH($B1704,Services!$D$2:$D$120,0)),""))</f>
        <v/>
      </c>
      <c r="I1704" s="19"/>
      <c r="J1704" s="15" t="str">
        <f aca="false">IF($B1704="","",IFERROR(INDEX(Services!$E$2:$E$120,MATCH($B1704,Services!$D$2:$D$120,0)),""))</f>
        <v/>
      </c>
    </row>
    <row r="1705" customFormat="false" ht="14.25" hidden="false" customHeight="false" outlineLevel="0" collapsed="false">
      <c r="A1705" s="18"/>
      <c r="B1705" s="6"/>
      <c r="C1705" s="6"/>
      <c r="D1705" s="6"/>
      <c r="E1705" s="16" t="str">
        <f aca="false">IF($B1705="","",IFERROR(INDEX(Services!$C$2:$C$120,MATCH($B1705,Services!$D$2:$D$120,0)),""))</f>
        <v/>
      </c>
      <c r="F1705" s="19"/>
      <c r="G1705" s="9" t="str">
        <f aca="false">IF(OR($B1705="",NOT(ISNUMBER($E1705))),"",$E1705-IF($F1705="",0,$F1705))</f>
        <v/>
      </c>
      <c r="H1705" s="15" t="str">
        <f aca="false">IF($B1705="","",IFERROR(INDEX(Services!$A$2:$A$120,MATCH($B1705,Services!$D$2:$D$120,0)),""))</f>
        <v/>
      </c>
      <c r="I1705" s="19"/>
      <c r="J1705" s="15" t="str">
        <f aca="false">IF($B1705="","",IFERROR(INDEX(Services!$E$2:$E$120,MATCH($B1705,Services!$D$2:$D$120,0)),""))</f>
        <v/>
      </c>
    </row>
    <row r="1706" customFormat="false" ht="14.25" hidden="false" customHeight="false" outlineLevel="0" collapsed="false">
      <c r="A1706" s="18"/>
      <c r="B1706" s="6"/>
      <c r="C1706" s="6"/>
      <c r="D1706" s="6"/>
      <c r="E1706" s="16" t="str">
        <f aca="false">IF($B1706="","",IFERROR(INDEX(Services!$C$2:$C$120,MATCH($B1706,Services!$D$2:$D$120,0)),""))</f>
        <v/>
      </c>
      <c r="F1706" s="19"/>
      <c r="G1706" s="9" t="str">
        <f aca="false">IF(OR($B1706="",NOT(ISNUMBER($E1706))),"",$E1706-IF($F1706="",0,$F1706))</f>
        <v/>
      </c>
      <c r="H1706" s="15" t="str">
        <f aca="false">IF($B1706="","",IFERROR(INDEX(Services!$A$2:$A$120,MATCH($B1706,Services!$D$2:$D$120,0)),""))</f>
        <v/>
      </c>
      <c r="I1706" s="19"/>
      <c r="J1706" s="15" t="str">
        <f aca="false">IF($B1706="","",IFERROR(INDEX(Services!$E$2:$E$120,MATCH($B1706,Services!$D$2:$D$120,0)),""))</f>
        <v/>
      </c>
    </row>
    <row r="1707" customFormat="false" ht="14.25" hidden="false" customHeight="false" outlineLevel="0" collapsed="false">
      <c r="A1707" s="18"/>
      <c r="B1707" s="6"/>
      <c r="C1707" s="6"/>
      <c r="D1707" s="6"/>
      <c r="E1707" s="16" t="str">
        <f aca="false">IF($B1707="","",IFERROR(INDEX(Services!$C$2:$C$120,MATCH($B1707,Services!$D$2:$D$120,0)),""))</f>
        <v/>
      </c>
      <c r="F1707" s="19"/>
      <c r="G1707" s="9" t="str">
        <f aca="false">IF(OR($B1707="",NOT(ISNUMBER($E1707))),"",$E1707-IF($F1707="",0,$F1707))</f>
        <v/>
      </c>
      <c r="H1707" s="15" t="str">
        <f aca="false">IF($B1707="","",IFERROR(INDEX(Services!$A$2:$A$120,MATCH($B1707,Services!$D$2:$D$120,0)),""))</f>
        <v/>
      </c>
      <c r="I1707" s="19"/>
      <c r="J1707" s="15" t="str">
        <f aca="false">IF($B1707="","",IFERROR(INDEX(Services!$E$2:$E$120,MATCH($B1707,Services!$D$2:$D$120,0)),""))</f>
        <v/>
      </c>
    </row>
    <row r="1708" customFormat="false" ht="14.25" hidden="false" customHeight="false" outlineLevel="0" collapsed="false">
      <c r="A1708" s="18"/>
      <c r="B1708" s="6"/>
      <c r="C1708" s="6"/>
      <c r="D1708" s="6"/>
      <c r="E1708" s="16" t="str">
        <f aca="false">IF($B1708="","",IFERROR(INDEX(Services!$C$2:$C$120,MATCH($B1708,Services!$D$2:$D$120,0)),""))</f>
        <v/>
      </c>
      <c r="F1708" s="19"/>
      <c r="G1708" s="9" t="str">
        <f aca="false">IF(OR($B1708="",NOT(ISNUMBER($E1708))),"",$E1708-IF($F1708="",0,$F1708))</f>
        <v/>
      </c>
      <c r="H1708" s="15" t="str">
        <f aca="false">IF($B1708="","",IFERROR(INDEX(Services!$A$2:$A$120,MATCH($B1708,Services!$D$2:$D$120,0)),""))</f>
        <v/>
      </c>
      <c r="I1708" s="19"/>
      <c r="J1708" s="15" t="str">
        <f aca="false">IF($B1708="","",IFERROR(INDEX(Services!$E$2:$E$120,MATCH($B1708,Services!$D$2:$D$120,0)),""))</f>
        <v/>
      </c>
    </row>
    <row r="1709" customFormat="false" ht="14.25" hidden="false" customHeight="false" outlineLevel="0" collapsed="false">
      <c r="A1709" s="18"/>
      <c r="B1709" s="6"/>
      <c r="C1709" s="6"/>
      <c r="D1709" s="6"/>
      <c r="E1709" s="16" t="str">
        <f aca="false">IF($B1709="","",IFERROR(INDEX(Services!$C$2:$C$120,MATCH($B1709,Services!$D$2:$D$120,0)),""))</f>
        <v/>
      </c>
      <c r="F1709" s="19"/>
      <c r="G1709" s="9" t="str">
        <f aca="false">IF(OR($B1709="",NOT(ISNUMBER($E1709))),"",$E1709-IF($F1709="",0,$F1709))</f>
        <v/>
      </c>
      <c r="H1709" s="15" t="str">
        <f aca="false">IF($B1709="","",IFERROR(INDEX(Services!$A$2:$A$120,MATCH($B1709,Services!$D$2:$D$120,0)),""))</f>
        <v/>
      </c>
      <c r="I1709" s="19"/>
      <c r="J1709" s="15" t="str">
        <f aca="false">IF($B1709="","",IFERROR(INDEX(Services!$E$2:$E$120,MATCH($B1709,Services!$D$2:$D$120,0)),""))</f>
        <v/>
      </c>
    </row>
    <row r="1710" customFormat="false" ht="14.25" hidden="false" customHeight="false" outlineLevel="0" collapsed="false">
      <c r="A1710" s="18"/>
      <c r="B1710" s="6"/>
      <c r="C1710" s="6"/>
      <c r="D1710" s="6"/>
      <c r="E1710" s="16" t="str">
        <f aca="false">IF($B1710="","",IFERROR(INDEX(Services!$C$2:$C$120,MATCH($B1710,Services!$D$2:$D$120,0)),""))</f>
        <v/>
      </c>
      <c r="F1710" s="19"/>
      <c r="G1710" s="9" t="str">
        <f aca="false">IF(OR($B1710="",NOT(ISNUMBER($E1710))),"",$E1710-IF($F1710="",0,$F1710))</f>
        <v/>
      </c>
      <c r="H1710" s="15" t="str">
        <f aca="false">IF($B1710="","",IFERROR(INDEX(Services!$A$2:$A$120,MATCH($B1710,Services!$D$2:$D$120,0)),""))</f>
        <v/>
      </c>
      <c r="I1710" s="19"/>
      <c r="J1710" s="15" t="str">
        <f aca="false">IF($B1710="","",IFERROR(INDEX(Services!$E$2:$E$120,MATCH($B1710,Services!$D$2:$D$120,0)),""))</f>
        <v/>
      </c>
    </row>
    <row r="1711" customFormat="false" ht="14.25" hidden="false" customHeight="false" outlineLevel="0" collapsed="false">
      <c r="A1711" s="18"/>
      <c r="B1711" s="6"/>
      <c r="C1711" s="6"/>
      <c r="D1711" s="6"/>
      <c r="E1711" s="16" t="str">
        <f aca="false">IF($B1711="","",IFERROR(INDEX(Services!$C$2:$C$120,MATCH($B1711,Services!$D$2:$D$120,0)),""))</f>
        <v/>
      </c>
      <c r="F1711" s="19"/>
      <c r="G1711" s="9" t="str">
        <f aca="false">IF(OR($B1711="",NOT(ISNUMBER($E1711))),"",$E1711-IF($F1711="",0,$F1711))</f>
        <v/>
      </c>
      <c r="H1711" s="15" t="str">
        <f aca="false">IF($B1711="","",IFERROR(INDEX(Services!$A$2:$A$120,MATCH($B1711,Services!$D$2:$D$120,0)),""))</f>
        <v/>
      </c>
      <c r="I1711" s="19"/>
      <c r="J1711" s="15" t="str">
        <f aca="false">IF($B1711="","",IFERROR(INDEX(Services!$E$2:$E$120,MATCH($B1711,Services!$D$2:$D$120,0)),""))</f>
        <v/>
      </c>
    </row>
    <row r="1712" customFormat="false" ht="14.25" hidden="false" customHeight="false" outlineLevel="0" collapsed="false">
      <c r="A1712" s="18"/>
      <c r="B1712" s="6"/>
      <c r="C1712" s="6"/>
      <c r="D1712" s="6"/>
      <c r="E1712" s="16" t="str">
        <f aca="false">IF($B1712="","",IFERROR(INDEX(Services!$C$2:$C$120,MATCH($B1712,Services!$D$2:$D$120,0)),""))</f>
        <v/>
      </c>
      <c r="F1712" s="19"/>
      <c r="G1712" s="9" t="str">
        <f aca="false">IF(OR($B1712="",NOT(ISNUMBER($E1712))),"",$E1712-IF($F1712="",0,$F1712))</f>
        <v/>
      </c>
      <c r="H1712" s="15" t="str">
        <f aca="false">IF($B1712="","",IFERROR(INDEX(Services!$A$2:$A$120,MATCH($B1712,Services!$D$2:$D$120,0)),""))</f>
        <v/>
      </c>
      <c r="I1712" s="19"/>
      <c r="J1712" s="15" t="str">
        <f aca="false">IF($B1712="","",IFERROR(INDEX(Services!$E$2:$E$120,MATCH($B1712,Services!$D$2:$D$120,0)),""))</f>
        <v/>
      </c>
    </row>
    <row r="1713" customFormat="false" ht="14.25" hidden="false" customHeight="false" outlineLevel="0" collapsed="false">
      <c r="A1713" s="18"/>
      <c r="B1713" s="6"/>
      <c r="C1713" s="6"/>
      <c r="D1713" s="6"/>
      <c r="E1713" s="16" t="str">
        <f aca="false">IF($B1713="","",IFERROR(INDEX(Services!$C$2:$C$120,MATCH($B1713,Services!$D$2:$D$120,0)),""))</f>
        <v/>
      </c>
      <c r="F1713" s="19"/>
      <c r="G1713" s="9" t="str">
        <f aca="false">IF(OR($B1713="",NOT(ISNUMBER($E1713))),"",$E1713-IF($F1713="",0,$F1713))</f>
        <v/>
      </c>
      <c r="H1713" s="15" t="str">
        <f aca="false">IF($B1713="","",IFERROR(INDEX(Services!$A$2:$A$120,MATCH($B1713,Services!$D$2:$D$120,0)),""))</f>
        <v/>
      </c>
      <c r="I1713" s="19"/>
      <c r="J1713" s="15" t="str">
        <f aca="false">IF($B1713="","",IFERROR(INDEX(Services!$E$2:$E$120,MATCH($B1713,Services!$D$2:$D$120,0)),""))</f>
        <v/>
      </c>
    </row>
    <row r="1714" customFormat="false" ht="14.25" hidden="false" customHeight="false" outlineLevel="0" collapsed="false">
      <c r="A1714" s="18"/>
      <c r="B1714" s="6"/>
      <c r="C1714" s="6"/>
      <c r="D1714" s="6"/>
      <c r="E1714" s="16" t="str">
        <f aca="false">IF($B1714="","",IFERROR(INDEX(Services!$C$2:$C$120,MATCH($B1714,Services!$D$2:$D$120,0)),""))</f>
        <v/>
      </c>
      <c r="F1714" s="19"/>
      <c r="G1714" s="9" t="str">
        <f aca="false">IF(OR($B1714="",NOT(ISNUMBER($E1714))),"",$E1714-IF($F1714="",0,$F1714))</f>
        <v/>
      </c>
      <c r="H1714" s="15" t="str">
        <f aca="false">IF($B1714="","",IFERROR(INDEX(Services!$A$2:$A$120,MATCH($B1714,Services!$D$2:$D$120,0)),""))</f>
        <v/>
      </c>
      <c r="I1714" s="19"/>
      <c r="J1714" s="15" t="str">
        <f aca="false">IF($B1714="","",IFERROR(INDEX(Services!$E$2:$E$120,MATCH($B1714,Services!$D$2:$D$120,0)),""))</f>
        <v/>
      </c>
    </row>
    <row r="1715" customFormat="false" ht="14.25" hidden="false" customHeight="false" outlineLevel="0" collapsed="false">
      <c r="A1715" s="18"/>
      <c r="B1715" s="6"/>
      <c r="C1715" s="6"/>
      <c r="D1715" s="6"/>
      <c r="E1715" s="16" t="str">
        <f aca="false">IF($B1715="","",IFERROR(INDEX(Services!$C$2:$C$120,MATCH($B1715,Services!$D$2:$D$120,0)),""))</f>
        <v/>
      </c>
      <c r="F1715" s="19"/>
      <c r="G1715" s="9" t="str">
        <f aca="false">IF(OR($B1715="",NOT(ISNUMBER($E1715))),"",$E1715-IF($F1715="",0,$F1715))</f>
        <v/>
      </c>
      <c r="H1715" s="15" t="str">
        <f aca="false">IF($B1715="","",IFERROR(INDEX(Services!$A$2:$A$120,MATCH($B1715,Services!$D$2:$D$120,0)),""))</f>
        <v/>
      </c>
      <c r="I1715" s="19"/>
      <c r="J1715" s="15" t="str">
        <f aca="false">IF($B1715="","",IFERROR(INDEX(Services!$E$2:$E$120,MATCH($B1715,Services!$D$2:$D$120,0)),""))</f>
        <v/>
      </c>
    </row>
    <row r="1716" customFormat="false" ht="14.25" hidden="false" customHeight="false" outlineLevel="0" collapsed="false">
      <c r="A1716" s="18"/>
      <c r="B1716" s="6"/>
      <c r="C1716" s="6"/>
      <c r="D1716" s="6"/>
      <c r="E1716" s="16" t="str">
        <f aca="false">IF($B1716="","",IFERROR(INDEX(Services!$C$2:$C$120,MATCH($B1716,Services!$D$2:$D$120,0)),""))</f>
        <v/>
      </c>
      <c r="F1716" s="19"/>
      <c r="G1716" s="9" t="str">
        <f aca="false">IF(OR($B1716="",NOT(ISNUMBER($E1716))),"",$E1716-IF($F1716="",0,$F1716))</f>
        <v/>
      </c>
      <c r="H1716" s="15" t="str">
        <f aca="false">IF($B1716="","",IFERROR(INDEX(Services!$A$2:$A$120,MATCH($B1716,Services!$D$2:$D$120,0)),""))</f>
        <v/>
      </c>
      <c r="I1716" s="19"/>
      <c r="J1716" s="15" t="str">
        <f aca="false">IF($B1716="","",IFERROR(INDEX(Services!$E$2:$E$120,MATCH($B1716,Services!$D$2:$D$120,0)),""))</f>
        <v/>
      </c>
    </row>
    <row r="1717" customFormat="false" ht="14.25" hidden="false" customHeight="false" outlineLevel="0" collapsed="false">
      <c r="A1717" s="18"/>
      <c r="B1717" s="6"/>
      <c r="C1717" s="6"/>
      <c r="D1717" s="6"/>
      <c r="E1717" s="16" t="str">
        <f aca="false">IF($B1717="","",IFERROR(INDEX(Services!$C$2:$C$120,MATCH($B1717,Services!$D$2:$D$120,0)),""))</f>
        <v/>
      </c>
      <c r="F1717" s="19"/>
      <c r="G1717" s="9" t="str">
        <f aca="false">IF(OR($B1717="",NOT(ISNUMBER($E1717))),"",$E1717-IF($F1717="",0,$F1717))</f>
        <v/>
      </c>
      <c r="H1717" s="15" t="str">
        <f aca="false">IF($B1717="","",IFERROR(INDEX(Services!$A$2:$A$120,MATCH($B1717,Services!$D$2:$D$120,0)),""))</f>
        <v/>
      </c>
      <c r="I1717" s="19"/>
      <c r="J1717" s="15" t="str">
        <f aca="false">IF($B1717="","",IFERROR(INDEX(Services!$E$2:$E$120,MATCH($B1717,Services!$D$2:$D$120,0)),""))</f>
        <v/>
      </c>
    </row>
    <row r="1718" customFormat="false" ht="14.25" hidden="false" customHeight="false" outlineLevel="0" collapsed="false">
      <c r="A1718" s="18"/>
      <c r="B1718" s="6"/>
      <c r="C1718" s="6"/>
      <c r="D1718" s="6"/>
      <c r="E1718" s="16" t="str">
        <f aca="false">IF($B1718="","",IFERROR(INDEX(Services!$C$2:$C$120,MATCH($B1718,Services!$D$2:$D$120,0)),""))</f>
        <v/>
      </c>
      <c r="F1718" s="19"/>
      <c r="G1718" s="9" t="str">
        <f aca="false">IF(OR($B1718="",NOT(ISNUMBER($E1718))),"",$E1718-IF($F1718="",0,$F1718))</f>
        <v/>
      </c>
      <c r="H1718" s="15" t="str">
        <f aca="false">IF($B1718="","",IFERROR(INDEX(Services!$A$2:$A$120,MATCH($B1718,Services!$D$2:$D$120,0)),""))</f>
        <v/>
      </c>
      <c r="I1718" s="19"/>
      <c r="J1718" s="15" t="str">
        <f aca="false">IF($B1718="","",IFERROR(INDEX(Services!$E$2:$E$120,MATCH($B1718,Services!$D$2:$D$120,0)),""))</f>
        <v/>
      </c>
    </row>
    <row r="1719" customFormat="false" ht="14.25" hidden="false" customHeight="false" outlineLevel="0" collapsed="false">
      <c r="A1719" s="18"/>
      <c r="B1719" s="6"/>
      <c r="C1719" s="6"/>
      <c r="D1719" s="6"/>
      <c r="E1719" s="16" t="str">
        <f aca="false">IF($B1719="","",IFERROR(INDEX(Services!$C$2:$C$120,MATCH($B1719,Services!$D$2:$D$120,0)),""))</f>
        <v/>
      </c>
      <c r="F1719" s="19"/>
      <c r="G1719" s="9" t="str">
        <f aca="false">IF(OR($B1719="",NOT(ISNUMBER($E1719))),"",$E1719-IF($F1719="",0,$F1719))</f>
        <v/>
      </c>
      <c r="H1719" s="15" t="str">
        <f aca="false">IF($B1719="","",IFERROR(INDEX(Services!$A$2:$A$120,MATCH($B1719,Services!$D$2:$D$120,0)),""))</f>
        <v/>
      </c>
      <c r="I1719" s="19"/>
      <c r="J1719" s="15" t="str">
        <f aca="false">IF($B1719="","",IFERROR(INDEX(Services!$E$2:$E$120,MATCH($B1719,Services!$D$2:$D$120,0)),""))</f>
        <v/>
      </c>
    </row>
    <row r="1720" customFormat="false" ht="14.25" hidden="false" customHeight="false" outlineLevel="0" collapsed="false">
      <c r="A1720" s="18"/>
      <c r="B1720" s="6"/>
      <c r="C1720" s="6"/>
      <c r="D1720" s="6"/>
      <c r="E1720" s="16" t="str">
        <f aca="false">IF($B1720="","",IFERROR(INDEX(Services!$C$2:$C$120,MATCH($B1720,Services!$D$2:$D$120,0)),""))</f>
        <v/>
      </c>
      <c r="F1720" s="19"/>
      <c r="G1720" s="9" t="str">
        <f aca="false">IF(OR($B1720="",NOT(ISNUMBER($E1720))),"",$E1720-IF($F1720="",0,$F1720))</f>
        <v/>
      </c>
      <c r="H1720" s="15" t="str">
        <f aca="false">IF($B1720="","",IFERROR(INDEX(Services!$A$2:$A$120,MATCH($B1720,Services!$D$2:$D$120,0)),""))</f>
        <v/>
      </c>
      <c r="I1720" s="19"/>
      <c r="J1720" s="15" t="str">
        <f aca="false">IF($B1720="","",IFERROR(INDEX(Services!$E$2:$E$120,MATCH($B1720,Services!$D$2:$D$120,0)),""))</f>
        <v/>
      </c>
    </row>
    <row r="1721" customFormat="false" ht="14.25" hidden="false" customHeight="false" outlineLevel="0" collapsed="false">
      <c r="A1721" s="18"/>
      <c r="B1721" s="6"/>
      <c r="C1721" s="6"/>
      <c r="D1721" s="6"/>
      <c r="E1721" s="16" t="str">
        <f aca="false">IF($B1721="","",IFERROR(INDEX(Services!$C$2:$C$120,MATCH($B1721,Services!$D$2:$D$120,0)),""))</f>
        <v/>
      </c>
      <c r="F1721" s="19"/>
      <c r="G1721" s="9" t="str">
        <f aca="false">IF(OR($B1721="",NOT(ISNUMBER($E1721))),"",$E1721-IF($F1721="",0,$F1721))</f>
        <v/>
      </c>
      <c r="H1721" s="15" t="str">
        <f aca="false">IF($B1721="","",IFERROR(INDEX(Services!$A$2:$A$120,MATCH($B1721,Services!$D$2:$D$120,0)),""))</f>
        <v/>
      </c>
      <c r="I1721" s="19"/>
      <c r="J1721" s="15" t="str">
        <f aca="false">IF($B1721="","",IFERROR(INDEX(Services!$E$2:$E$120,MATCH($B1721,Services!$D$2:$D$120,0)),""))</f>
        <v/>
      </c>
    </row>
    <row r="1722" customFormat="false" ht="14.25" hidden="false" customHeight="false" outlineLevel="0" collapsed="false">
      <c r="A1722" s="18"/>
      <c r="B1722" s="6"/>
      <c r="C1722" s="6"/>
      <c r="D1722" s="6"/>
      <c r="E1722" s="16" t="str">
        <f aca="false">IF($B1722="","",IFERROR(INDEX(Services!$C$2:$C$120,MATCH($B1722,Services!$D$2:$D$120,0)),""))</f>
        <v/>
      </c>
      <c r="F1722" s="19"/>
      <c r="G1722" s="9" t="str">
        <f aca="false">IF(OR($B1722="",NOT(ISNUMBER($E1722))),"",$E1722-IF($F1722="",0,$F1722))</f>
        <v/>
      </c>
      <c r="H1722" s="15" t="str">
        <f aca="false">IF($B1722="","",IFERROR(INDEX(Services!$A$2:$A$120,MATCH($B1722,Services!$D$2:$D$120,0)),""))</f>
        <v/>
      </c>
      <c r="I1722" s="19"/>
      <c r="J1722" s="15" t="str">
        <f aca="false">IF($B1722="","",IFERROR(INDEX(Services!$E$2:$E$120,MATCH($B1722,Services!$D$2:$D$120,0)),""))</f>
        <v/>
      </c>
    </row>
    <row r="1723" customFormat="false" ht="14.25" hidden="false" customHeight="false" outlineLevel="0" collapsed="false">
      <c r="A1723" s="18"/>
      <c r="B1723" s="6"/>
      <c r="C1723" s="6"/>
      <c r="D1723" s="6"/>
      <c r="E1723" s="16" t="str">
        <f aca="false">IF($B1723="","",IFERROR(INDEX(Services!$C$2:$C$120,MATCH($B1723,Services!$D$2:$D$120,0)),""))</f>
        <v/>
      </c>
      <c r="F1723" s="19"/>
      <c r="G1723" s="9" t="str">
        <f aca="false">IF(OR($B1723="",NOT(ISNUMBER($E1723))),"",$E1723-IF($F1723="",0,$F1723))</f>
        <v/>
      </c>
      <c r="H1723" s="15" t="str">
        <f aca="false">IF($B1723="","",IFERROR(INDEX(Services!$A$2:$A$120,MATCH($B1723,Services!$D$2:$D$120,0)),""))</f>
        <v/>
      </c>
      <c r="I1723" s="19"/>
      <c r="J1723" s="15" t="str">
        <f aca="false">IF($B1723="","",IFERROR(INDEX(Services!$E$2:$E$120,MATCH($B1723,Services!$D$2:$D$120,0)),""))</f>
        <v/>
      </c>
    </row>
    <row r="1724" customFormat="false" ht="14.25" hidden="false" customHeight="false" outlineLevel="0" collapsed="false">
      <c r="A1724" s="18"/>
      <c r="B1724" s="6"/>
      <c r="C1724" s="6"/>
      <c r="D1724" s="6"/>
      <c r="E1724" s="16" t="str">
        <f aca="false">IF($B1724="","",IFERROR(INDEX(Services!$C$2:$C$120,MATCH($B1724,Services!$D$2:$D$120,0)),""))</f>
        <v/>
      </c>
      <c r="F1724" s="19"/>
      <c r="G1724" s="9" t="str">
        <f aca="false">IF(OR($B1724="",NOT(ISNUMBER($E1724))),"",$E1724-IF($F1724="",0,$F1724))</f>
        <v/>
      </c>
      <c r="H1724" s="15" t="str">
        <f aca="false">IF($B1724="","",IFERROR(INDEX(Services!$A$2:$A$120,MATCH($B1724,Services!$D$2:$D$120,0)),""))</f>
        <v/>
      </c>
      <c r="I1724" s="19"/>
      <c r="J1724" s="15" t="str">
        <f aca="false">IF($B1724="","",IFERROR(INDEX(Services!$E$2:$E$120,MATCH($B1724,Services!$D$2:$D$120,0)),""))</f>
        <v/>
      </c>
    </row>
    <row r="1725" customFormat="false" ht="14.25" hidden="false" customHeight="false" outlineLevel="0" collapsed="false">
      <c r="A1725" s="18"/>
      <c r="B1725" s="6"/>
      <c r="C1725" s="6"/>
      <c r="D1725" s="6"/>
      <c r="E1725" s="16" t="str">
        <f aca="false">IF($B1725="","",IFERROR(INDEX(Services!$C$2:$C$120,MATCH($B1725,Services!$D$2:$D$120,0)),""))</f>
        <v/>
      </c>
      <c r="F1725" s="19"/>
      <c r="G1725" s="9" t="str">
        <f aca="false">IF(OR($B1725="",NOT(ISNUMBER($E1725))),"",$E1725-IF($F1725="",0,$F1725))</f>
        <v/>
      </c>
      <c r="H1725" s="15" t="str">
        <f aca="false">IF($B1725="","",IFERROR(INDEX(Services!$A$2:$A$120,MATCH($B1725,Services!$D$2:$D$120,0)),""))</f>
        <v/>
      </c>
      <c r="I1725" s="19"/>
      <c r="J1725" s="15" t="str">
        <f aca="false">IF($B1725="","",IFERROR(INDEX(Services!$E$2:$E$120,MATCH($B1725,Services!$D$2:$D$120,0)),""))</f>
        <v/>
      </c>
    </row>
    <row r="1726" customFormat="false" ht="14.25" hidden="false" customHeight="false" outlineLevel="0" collapsed="false">
      <c r="A1726" s="18"/>
      <c r="B1726" s="6"/>
      <c r="C1726" s="6"/>
      <c r="D1726" s="6"/>
      <c r="E1726" s="16" t="str">
        <f aca="false">IF($B1726="","",IFERROR(INDEX(Services!$C$2:$C$120,MATCH($B1726,Services!$D$2:$D$120,0)),""))</f>
        <v/>
      </c>
      <c r="F1726" s="19"/>
      <c r="G1726" s="9" t="str">
        <f aca="false">IF(OR($B1726="",NOT(ISNUMBER($E1726))),"",$E1726-IF($F1726="",0,$F1726))</f>
        <v/>
      </c>
      <c r="H1726" s="15" t="str">
        <f aca="false">IF($B1726="","",IFERROR(INDEX(Services!$A$2:$A$120,MATCH($B1726,Services!$D$2:$D$120,0)),""))</f>
        <v/>
      </c>
      <c r="I1726" s="19"/>
      <c r="J1726" s="15" t="str">
        <f aca="false">IF($B1726="","",IFERROR(INDEX(Services!$E$2:$E$120,MATCH($B1726,Services!$D$2:$D$120,0)),""))</f>
        <v/>
      </c>
    </row>
    <row r="1727" customFormat="false" ht="14.25" hidden="false" customHeight="false" outlineLevel="0" collapsed="false">
      <c r="A1727" s="18"/>
      <c r="B1727" s="6"/>
      <c r="C1727" s="6"/>
      <c r="D1727" s="6"/>
      <c r="E1727" s="16" t="str">
        <f aca="false">IF($B1727="","",IFERROR(INDEX(Services!$C$2:$C$120,MATCH($B1727,Services!$D$2:$D$120,0)),""))</f>
        <v/>
      </c>
      <c r="F1727" s="19"/>
      <c r="G1727" s="9" t="str">
        <f aca="false">IF(OR($B1727="",NOT(ISNUMBER($E1727))),"",$E1727-IF($F1727="",0,$F1727))</f>
        <v/>
      </c>
      <c r="H1727" s="15" t="str">
        <f aca="false">IF($B1727="","",IFERROR(INDEX(Services!$A$2:$A$120,MATCH($B1727,Services!$D$2:$D$120,0)),""))</f>
        <v/>
      </c>
      <c r="I1727" s="19"/>
      <c r="J1727" s="15" t="str">
        <f aca="false">IF($B1727="","",IFERROR(INDEX(Services!$E$2:$E$120,MATCH($B1727,Services!$D$2:$D$120,0)),""))</f>
        <v/>
      </c>
    </row>
    <row r="1728" customFormat="false" ht="14.25" hidden="false" customHeight="false" outlineLevel="0" collapsed="false">
      <c r="A1728" s="18"/>
      <c r="B1728" s="6"/>
      <c r="C1728" s="6"/>
      <c r="D1728" s="6"/>
      <c r="E1728" s="16" t="str">
        <f aca="false">IF($B1728="","",IFERROR(INDEX(Services!$C$2:$C$120,MATCH($B1728,Services!$D$2:$D$120,0)),""))</f>
        <v/>
      </c>
      <c r="F1728" s="19"/>
      <c r="G1728" s="9" t="str">
        <f aca="false">IF(OR($B1728="",NOT(ISNUMBER($E1728))),"",$E1728-IF($F1728="",0,$F1728))</f>
        <v/>
      </c>
      <c r="H1728" s="15" t="str">
        <f aca="false">IF($B1728="","",IFERROR(INDEX(Services!$A$2:$A$120,MATCH($B1728,Services!$D$2:$D$120,0)),""))</f>
        <v/>
      </c>
      <c r="I1728" s="19"/>
      <c r="J1728" s="15" t="str">
        <f aca="false">IF($B1728="","",IFERROR(INDEX(Services!$E$2:$E$120,MATCH($B1728,Services!$D$2:$D$120,0)),""))</f>
        <v/>
      </c>
    </row>
    <row r="1729" customFormat="false" ht="14.25" hidden="false" customHeight="false" outlineLevel="0" collapsed="false">
      <c r="A1729" s="18"/>
      <c r="B1729" s="6"/>
      <c r="C1729" s="6"/>
      <c r="D1729" s="6"/>
      <c r="E1729" s="16" t="str">
        <f aca="false">IF($B1729="","",IFERROR(INDEX(Services!$C$2:$C$120,MATCH($B1729,Services!$D$2:$D$120,0)),""))</f>
        <v/>
      </c>
      <c r="F1729" s="19"/>
      <c r="G1729" s="9" t="str">
        <f aca="false">IF(OR($B1729="",NOT(ISNUMBER($E1729))),"",$E1729-IF($F1729="",0,$F1729))</f>
        <v/>
      </c>
      <c r="H1729" s="15" t="str">
        <f aca="false">IF($B1729="","",IFERROR(INDEX(Services!$A$2:$A$120,MATCH($B1729,Services!$D$2:$D$120,0)),""))</f>
        <v/>
      </c>
      <c r="I1729" s="19"/>
      <c r="J1729" s="15" t="str">
        <f aca="false">IF($B1729="","",IFERROR(INDEX(Services!$E$2:$E$120,MATCH($B1729,Services!$D$2:$D$120,0)),""))</f>
        <v/>
      </c>
    </row>
    <row r="1730" customFormat="false" ht="14.25" hidden="false" customHeight="false" outlineLevel="0" collapsed="false">
      <c r="A1730" s="18"/>
      <c r="B1730" s="6"/>
      <c r="C1730" s="6"/>
      <c r="D1730" s="6"/>
      <c r="E1730" s="16" t="str">
        <f aca="false">IF($B1730="","",IFERROR(INDEX(Services!$C$2:$C$120,MATCH($B1730,Services!$D$2:$D$120,0)),""))</f>
        <v/>
      </c>
      <c r="F1730" s="19"/>
      <c r="G1730" s="9" t="str">
        <f aca="false">IF(OR($B1730="",NOT(ISNUMBER($E1730))),"",$E1730-IF($F1730="",0,$F1730))</f>
        <v/>
      </c>
      <c r="H1730" s="15" t="str">
        <f aca="false">IF($B1730="","",IFERROR(INDEX(Services!$A$2:$A$120,MATCH($B1730,Services!$D$2:$D$120,0)),""))</f>
        <v/>
      </c>
      <c r="I1730" s="19"/>
      <c r="J1730" s="15" t="str">
        <f aca="false">IF($B1730="","",IFERROR(INDEX(Services!$E$2:$E$120,MATCH($B1730,Services!$D$2:$D$120,0)),""))</f>
        <v/>
      </c>
    </row>
    <row r="1731" customFormat="false" ht="14.25" hidden="false" customHeight="false" outlineLevel="0" collapsed="false">
      <c r="A1731" s="18"/>
      <c r="B1731" s="6"/>
      <c r="C1731" s="6"/>
      <c r="D1731" s="6"/>
      <c r="E1731" s="16" t="str">
        <f aca="false">IF($B1731="","",IFERROR(INDEX(Services!$C$2:$C$120,MATCH($B1731,Services!$D$2:$D$120,0)),""))</f>
        <v/>
      </c>
      <c r="F1731" s="19"/>
      <c r="G1731" s="9" t="str">
        <f aca="false">IF(OR($B1731="",NOT(ISNUMBER($E1731))),"",$E1731-IF($F1731="",0,$F1731))</f>
        <v/>
      </c>
      <c r="H1731" s="15" t="str">
        <f aca="false">IF($B1731="","",IFERROR(INDEX(Services!$A$2:$A$120,MATCH($B1731,Services!$D$2:$D$120,0)),""))</f>
        <v/>
      </c>
      <c r="I1731" s="19"/>
      <c r="J1731" s="15" t="str">
        <f aca="false">IF($B1731="","",IFERROR(INDEX(Services!$E$2:$E$120,MATCH($B1731,Services!$D$2:$D$120,0)),""))</f>
        <v/>
      </c>
    </row>
    <row r="1732" customFormat="false" ht="14.25" hidden="false" customHeight="false" outlineLevel="0" collapsed="false">
      <c r="A1732" s="18"/>
      <c r="B1732" s="6"/>
      <c r="C1732" s="6"/>
      <c r="D1732" s="6"/>
      <c r="E1732" s="16" t="str">
        <f aca="false">IF($B1732="","",IFERROR(INDEX(Services!$C$2:$C$120,MATCH($B1732,Services!$D$2:$D$120,0)),""))</f>
        <v/>
      </c>
      <c r="F1732" s="19"/>
      <c r="G1732" s="9" t="str">
        <f aca="false">IF(OR($B1732="",NOT(ISNUMBER($E1732))),"",$E1732-IF($F1732="",0,$F1732))</f>
        <v/>
      </c>
      <c r="H1732" s="15" t="str">
        <f aca="false">IF($B1732="","",IFERROR(INDEX(Services!$A$2:$A$120,MATCH($B1732,Services!$D$2:$D$120,0)),""))</f>
        <v/>
      </c>
      <c r="I1732" s="19"/>
      <c r="J1732" s="15" t="str">
        <f aca="false">IF($B1732="","",IFERROR(INDEX(Services!$E$2:$E$120,MATCH($B1732,Services!$D$2:$D$120,0)),""))</f>
        <v/>
      </c>
    </row>
    <row r="1733" customFormat="false" ht="14.25" hidden="false" customHeight="false" outlineLevel="0" collapsed="false">
      <c r="A1733" s="18"/>
      <c r="B1733" s="6"/>
      <c r="C1733" s="6"/>
      <c r="D1733" s="6"/>
      <c r="E1733" s="16" t="str">
        <f aca="false">IF($B1733="","",IFERROR(INDEX(Services!$C$2:$C$120,MATCH($B1733,Services!$D$2:$D$120,0)),""))</f>
        <v/>
      </c>
      <c r="F1733" s="19"/>
      <c r="G1733" s="9" t="str">
        <f aca="false">IF(OR($B1733="",NOT(ISNUMBER($E1733))),"",$E1733-IF($F1733="",0,$F1733))</f>
        <v/>
      </c>
      <c r="H1733" s="15" t="str">
        <f aca="false">IF($B1733="","",IFERROR(INDEX(Services!$A$2:$A$120,MATCH($B1733,Services!$D$2:$D$120,0)),""))</f>
        <v/>
      </c>
      <c r="I1733" s="19"/>
      <c r="J1733" s="15" t="str">
        <f aca="false">IF($B1733="","",IFERROR(INDEX(Services!$E$2:$E$120,MATCH($B1733,Services!$D$2:$D$120,0)),""))</f>
        <v/>
      </c>
    </row>
    <row r="1734" customFormat="false" ht="14.25" hidden="false" customHeight="false" outlineLevel="0" collapsed="false">
      <c r="A1734" s="18"/>
      <c r="B1734" s="6"/>
      <c r="C1734" s="6"/>
      <c r="D1734" s="6"/>
      <c r="E1734" s="16" t="str">
        <f aca="false">IF($B1734="","",IFERROR(INDEX(Services!$C$2:$C$120,MATCH($B1734,Services!$D$2:$D$120,0)),""))</f>
        <v/>
      </c>
      <c r="F1734" s="19"/>
      <c r="G1734" s="9" t="str">
        <f aca="false">IF(OR($B1734="",NOT(ISNUMBER($E1734))),"",$E1734-IF($F1734="",0,$F1734))</f>
        <v/>
      </c>
      <c r="H1734" s="15" t="str">
        <f aca="false">IF($B1734="","",IFERROR(INDEX(Services!$A$2:$A$120,MATCH($B1734,Services!$D$2:$D$120,0)),""))</f>
        <v/>
      </c>
      <c r="I1734" s="19"/>
      <c r="J1734" s="15" t="str">
        <f aca="false">IF($B1734="","",IFERROR(INDEX(Services!$E$2:$E$120,MATCH($B1734,Services!$D$2:$D$120,0)),""))</f>
        <v/>
      </c>
    </row>
    <row r="1735" customFormat="false" ht="14.25" hidden="false" customHeight="false" outlineLevel="0" collapsed="false">
      <c r="A1735" s="18"/>
      <c r="B1735" s="6"/>
      <c r="C1735" s="6"/>
      <c r="D1735" s="6"/>
      <c r="E1735" s="16" t="str">
        <f aca="false">IF($B1735="","",IFERROR(INDEX(Services!$C$2:$C$120,MATCH($B1735,Services!$D$2:$D$120,0)),""))</f>
        <v/>
      </c>
      <c r="F1735" s="19"/>
      <c r="G1735" s="9" t="str">
        <f aca="false">IF(OR($B1735="",NOT(ISNUMBER($E1735))),"",$E1735-IF($F1735="",0,$F1735))</f>
        <v/>
      </c>
      <c r="H1735" s="15" t="str">
        <f aca="false">IF($B1735="","",IFERROR(INDEX(Services!$A$2:$A$120,MATCH($B1735,Services!$D$2:$D$120,0)),""))</f>
        <v/>
      </c>
      <c r="I1735" s="19"/>
      <c r="J1735" s="15" t="str">
        <f aca="false">IF($B1735="","",IFERROR(INDEX(Services!$E$2:$E$120,MATCH($B1735,Services!$D$2:$D$120,0)),""))</f>
        <v/>
      </c>
    </row>
    <row r="1736" customFormat="false" ht="14.25" hidden="false" customHeight="false" outlineLevel="0" collapsed="false">
      <c r="A1736" s="18"/>
      <c r="B1736" s="6"/>
      <c r="C1736" s="6"/>
      <c r="D1736" s="6"/>
      <c r="E1736" s="16" t="str">
        <f aca="false">IF($B1736="","",IFERROR(INDEX(Services!$C$2:$C$120,MATCH($B1736,Services!$D$2:$D$120,0)),""))</f>
        <v/>
      </c>
      <c r="F1736" s="19"/>
      <c r="G1736" s="9" t="str">
        <f aca="false">IF(OR($B1736="",NOT(ISNUMBER($E1736))),"",$E1736-IF($F1736="",0,$F1736))</f>
        <v/>
      </c>
      <c r="H1736" s="15" t="str">
        <f aca="false">IF($B1736="","",IFERROR(INDEX(Services!$A$2:$A$120,MATCH($B1736,Services!$D$2:$D$120,0)),""))</f>
        <v/>
      </c>
      <c r="I1736" s="19"/>
      <c r="J1736" s="15" t="str">
        <f aca="false">IF($B1736="","",IFERROR(INDEX(Services!$E$2:$E$120,MATCH($B1736,Services!$D$2:$D$120,0)),""))</f>
        <v/>
      </c>
    </row>
    <row r="1737" customFormat="false" ht="14.25" hidden="false" customHeight="false" outlineLevel="0" collapsed="false">
      <c r="A1737" s="18"/>
      <c r="B1737" s="6"/>
      <c r="C1737" s="6"/>
      <c r="D1737" s="6"/>
      <c r="E1737" s="16" t="str">
        <f aca="false">IF($B1737="","",IFERROR(INDEX(Services!$C$2:$C$120,MATCH($B1737,Services!$D$2:$D$120,0)),""))</f>
        <v/>
      </c>
      <c r="F1737" s="19"/>
      <c r="G1737" s="9" t="str">
        <f aca="false">IF(OR($B1737="",NOT(ISNUMBER($E1737))),"",$E1737-IF($F1737="",0,$F1737))</f>
        <v/>
      </c>
      <c r="H1737" s="15" t="str">
        <f aca="false">IF($B1737="","",IFERROR(INDEX(Services!$A$2:$A$120,MATCH($B1737,Services!$D$2:$D$120,0)),""))</f>
        <v/>
      </c>
      <c r="I1737" s="19"/>
      <c r="J1737" s="15" t="str">
        <f aca="false">IF($B1737="","",IFERROR(INDEX(Services!$E$2:$E$120,MATCH($B1737,Services!$D$2:$D$120,0)),""))</f>
        <v/>
      </c>
    </row>
    <row r="1738" customFormat="false" ht="14.25" hidden="false" customHeight="false" outlineLevel="0" collapsed="false">
      <c r="A1738" s="18"/>
      <c r="B1738" s="6"/>
      <c r="C1738" s="6"/>
      <c r="D1738" s="6"/>
      <c r="E1738" s="16" t="str">
        <f aca="false">IF($B1738="","",IFERROR(INDEX(Services!$C$2:$C$120,MATCH($B1738,Services!$D$2:$D$120,0)),""))</f>
        <v/>
      </c>
      <c r="F1738" s="19"/>
      <c r="G1738" s="9" t="str">
        <f aca="false">IF(OR($B1738="",NOT(ISNUMBER($E1738))),"",$E1738-IF($F1738="",0,$F1738))</f>
        <v/>
      </c>
      <c r="H1738" s="15" t="str">
        <f aca="false">IF($B1738="","",IFERROR(INDEX(Services!$A$2:$A$120,MATCH($B1738,Services!$D$2:$D$120,0)),""))</f>
        <v/>
      </c>
      <c r="I1738" s="19"/>
      <c r="J1738" s="15" t="str">
        <f aca="false">IF($B1738="","",IFERROR(INDEX(Services!$E$2:$E$120,MATCH($B1738,Services!$D$2:$D$120,0)),""))</f>
        <v/>
      </c>
    </row>
    <row r="1739" customFormat="false" ht="14.25" hidden="false" customHeight="false" outlineLevel="0" collapsed="false">
      <c r="A1739" s="18"/>
      <c r="B1739" s="6"/>
      <c r="C1739" s="6"/>
      <c r="D1739" s="6"/>
      <c r="E1739" s="16" t="str">
        <f aca="false">IF($B1739="","",IFERROR(INDEX(Services!$C$2:$C$120,MATCH($B1739,Services!$D$2:$D$120,0)),""))</f>
        <v/>
      </c>
      <c r="F1739" s="19"/>
      <c r="G1739" s="9" t="str">
        <f aca="false">IF(OR($B1739="",NOT(ISNUMBER($E1739))),"",$E1739-IF($F1739="",0,$F1739))</f>
        <v/>
      </c>
      <c r="H1739" s="15" t="str">
        <f aca="false">IF($B1739="","",IFERROR(INDEX(Services!$A$2:$A$120,MATCH($B1739,Services!$D$2:$D$120,0)),""))</f>
        <v/>
      </c>
      <c r="I1739" s="19"/>
      <c r="J1739" s="15" t="str">
        <f aca="false">IF($B1739="","",IFERROR(INDEX(Services!$E$2:$E$120,MATCH($B1739,Services!$D$2:$D$120,0)),""))</f>
        <v/>
      </c>
    </row>
    <row r="1740" customFormat="false" ht="14.25" hidden="false" customHeight="false" outlineLevel="0" collapsed="false">
      <c r="A1740" s="18"/>
      <c r="B1740" s="6"/>
      <c r="C1740" s="6"/>
      <c r="D1740" s="6"/>
      <c r="E1740" s="16" t="str">
        <f aca="false">IF($B1740="","",IFERROR(INDEX(Services!$C$2:$C$120,MATCH($B1740,Services!$D$2:$D$120,0)),""))</f>
        <v/>
      </c>
      <c r="F1740" s="19"/>
      <c r="G1740" s="9" t="str">
        <f aca="false">IF(OR($B1740="",NOT(ISNUMBER($E1740))),"",$E1740-IF($F1740="",0,$F1740))</f>
        <v/>
      </c>
      <c r="H1740" s="15" t="str">
        <f aca="false">IF($B1740="","",IFERROR(INDEX(Services!$A$2:$A$120,MATCH($B1740,Services!$D$2:$D$120,0)),""))</f>
        <v/>
      </c>
      <c r="I1740" s="19"/>
      <c r="J1740" s="15" t="str">
        <f aca="false">IF($B1740="","",IFERROR(INDEX(Services!$E$2:$E$120,MATCH($B1740,Services!$D$2:$D$120,0)),""))</f>
        <v/>
      </c>
    </row>
    <row r="1741" customFormat="false" ht="14.25" hidden="false" customHeight="false" outlineLevel="0" collapsed="false">
      <c r="A1741" s="18"/>
      <c r="B1741" s="6"/>
      <c r="C1741" s="6"/>
      <c r="D1741" s="6"/>
      <c r="E1741" s="16" t="str">
        <f aca="false">IF($B1741="","",IFERROR(INDEX(Services!$C$2:$C$120,MATCH($B1741,Services!$D$2:$D$120,0)),""))</f>
        <v/>
      </c>
      <c r="F1741" s="19"/>
      <c r="G1741" s="9" t="str">
        <f aca="false">IF(OR($B1741="",NOT(ISNUMBER($E1741))),"",$E1741-IF($F1741="",0,$F1741))</f>
        <v/>
      </c>
      <c r="H1741" s="15" t="str">
        <f aca="false">IF($B1741="","",IFERROR(INDEX(Services!$A$2:$A$120,MATCH($B1741,Services!$D$2:$D$120,0)),""))</f>
        <v/>
      </c>
      <c r="I1741" s="19"/>
      <c r="J1741" s="15" t="str">
        <f aca="false">IF($B1741="","",IFERROR(INDEX(Services!$E$2:$E$120,MATCH($B1741,Services!$D$2:$D$120,0)),""))</f>
        <v/>
      </c>
    </row>
    <row r="1742" customFormat="false" ht="14.25" hidden="false" customHeight="false" outlineLevel="0" collapsed="false">
      <c r="A1742" s="18"/>
      <c r="B1742" s="6"/>
      <c r="C1742" s="6"/>
      <c r="D1742" s="6"/>
      <c r="E1742" s="16" t="str">
        <f aca="false">IF($B1742="","",IFERROR(INDEX(Services!$C$2:$C$120,MATCH($B1742,Services!$D$2:$D$120,0)),""))</f>
        <v/>
      </c>
      <c r="F1742" s="19"/>
      <c r="G1742" s="9" t="str">
        <f aca="false">IF(OR($B1742="",NOT(ISNUMBER($E1742))),"",$E1742-IF($F1742="",0,$F1742))</f>
        <v/>
      </c>
      <c r="H1742" s="15" t="str">
        <f aca="false">IF($B1742="","",IFERROR(INDEX(Services!$A$2:$A$120,MATCH($B1742,Services!$D$2:$D$120,0)),""))</f>
        <v/>
      </c>
      <c r="I1742" s="19"/>
      <c r="J1742" s="15" t="str">
        <f aca="false">IF($B1742="","",IFERROR(INDEX(Services!$E$2:$E$120,MATCH($B1742,Services!$D$2:$D$120,0)),""))</f>
        <v/>
      </c>
    </row>
    <row r="1743" customFormat="false" ht="14.25" hidden="false" customHeight="false" outlineLevel="0" collapsed="false">
      <c r="A1743" s="18"/>
      <c r="B1743" s="6"/>
      <c r="C1743" s="6"/>
      <c r="D1743" s="6"/>
      <c r="E1743" s="16" t="str">
        <f aca="false">IF($B1743="","",IFERROR(INDEX(Services!$C$2:$C$120,MATCH($B1743,Services!$D$2:$D$120,0)),""))</f>
        <v/>
      </c>
      <c r="F1743" s="19"/>
      <c r="G1743" s="9" t="str">
        <f aca="false">IF(OR($B1743="",NOT(ISNUMBER($E1743))),"",$E1743-IF($F1743="",0,$F1743))</f>
        <v/>
      </c>
      <c r="H1743" s="15" t="str">
        <f aca="false">IF($B1743="","",IFERROR(INDEX(Services!$A$2:$A$120,MATCH($B1743,Services!$D$2:$D$120,0)),""))</f>
        <v/>
      </c>
      <c r="I1743" s="19"/>
      <c r="J1743" s="15" t="str">
        <f aca="false">IF($B1743="","",IFERROR(INDEX(Services!$E$2:$E$120,MATCH($B1743,Services!$D$2:$D$120,0)),""))</f>
        <v/>
      </c>
    </row>
    <row r="1744" customFormat="false" ht="14.25" hidden="false" customHeight="false" outlineLevel="0" collapsed="false">
      <c r="A1744" s="18"/>
      <c r="B1744" s="6"/>
      <c r="C1744" s="6"/>
      <c r="D1744" s="6"/>
      <c r="E1744" s="16" t="str">
        <f aca="false">IF($B1744="","",IFERROR(INDEX(Services!$C$2:$C$120,MATCH($B1744,Services!$D$2:$D$120,0)),""))</f>
        <v/>
      </c>
      <c r="F1744" s="19"/>
      <c r="G1744" s="9" t="str">
        <f aca="false">IF(OR($B1744="",NOT(ISNUMBER($E1744))),"",$E1744-IF($F1744="",0,$F1744))</f>
        <v/>
      </c>
      <c r="H1744" s="15" t="str">
        <f aca="false">IF($B1744="","",IFERROR(INDEX(Services!$A$2:$A$120,MATCH($B1744,Services!$D$2:$D$120,0)),""))</f>
        <v/>
      </c>
      <c r="I1744" s="19"/>
      <c r="J1744" s="15" t="str">
        <f aca="false">IF($B1744="","",IFERROR(INDEX(Services!$E$2:$E$120,MATCH($B1744,Services!$D$2:$D$120,0)),""))</f>
        <v/>
      </c>
    </row>
    <row r="1745" customFormat="false" ht="14.25" hidden="false" customHeight="false" outlineLevel="0" collapsed="false">
      <c r="A1745" s="18"/>
      <c r="B1745" s="6"/>
      <c r="C1745" s="6"/>
      <c r="D1745" s="6"/>
      <c r="E1745" s="16" t="str">
        <f aca="false">IF($B1745="","",IFERROR(INDEX(Services!$C$2:$C$120,MATCH($B1745,Services!$D$2:$D$120,0)),""))</f>
        <v/>
      </c>
      <c r="F1745" s="19"/>
      <c r="G1745" s="9" t="str">
        <f aca="false">IF(OR($B1745="",NOT(ISNUMBER($E1745))),"",$E1745-IF($F1745="",0,$F1745))</f>
        <v/>
      </c>
      <c r="H1745" s="15" t="str">
        <f aca="false">IF($B1745="","",IFERROR(INDEX(Services!$A$2:$A$120,MATCH($B1745,Services!$D$2:$D$120,0)),""))</f>
        <v/>
      </c>
      <c r="I1745" s="19"/>
      <c r="J1745" s="15" t="str">
        <f aca="false">IF($B1745="","",IFERROR(INDEX(Services!$E$2:$E$120,MATCH($B1745,Services!$D$2:$D$120,0)),""))</f>
        <v/>
      </c>
    </row>
    <row r="1746" customFormat="false" ht="14.25" hidden="false" customHeight="false" outlineLevel="0" collapsed="false">
      <c r="A1746" s="18"/>
      <c r="B1746" s="6"/>
      <c r="C1746" s="6"/>
      <c r="D1746" s="6"/>
      <c r="E1746" s="16" t="str">
        <f aca="false">IF($B1746="","",IFERROR(INDEX(Services!$C$2:$C$120,MATCH($B1746,Services!$D$2:$D$120,0)),""))</f>
        <v/>
      </c>
      <c r="F1746" s="19"/>
      <c r="G1746" s="9" t="str">
        <f aca="false">IF(OR($B1746="",NOT(ISNUMBER($E1746))),"",$E1746-IF($F1746="",0,$F1746))</f>
        <v/>
      </c>
      <c r="H1746" s="15" t="str">
        <f aca="false">IF($B1746="","",IFERROR(INDEX(Services!$A$2:$A$120,MATCH($B1746,Services!$D$2:$D$120,0)),""))</f>
        <v/>
      </c>
      <c r="I1746" s="19"/>
      <c r="J1746" s="15" t="str">
        <f aca="false">IF($B1746="","",IFERROR(INDEX(Services!$E$2:$E$120,MATCH($B1746,Services!$D$2:$D$120,0)),""))</f>
        <v/>
      </c>
    </row>
    <row r="1747" customFormat="false" ht="14.25" hidden="false" customHeight="false" outlineLevel="0" collapsed="false">
      <c r="A1747" s="18"/>
      <c r="B1747" s="6"/>
      <c r="C1747" s="6"/>
      <c r="D1747" s="6"/>
      <c r="E1747" s="16" t="str">
        <f aca="false">IF($B1747="","",IFERROR(INDEX(Services!$C$2:$C$120,MATCH($B1747,Services!$D$2:$D$120,0)),""))</f>
        <v/>
      </c>
      <c r="F1747" s="19"/>
      <c r="G1747" s="9" t="str">
        <f aca="false">IF(OR($B1747="",NOT(ISNUMBER($E1747))),"",$E1747-IF($F1747="",0,$F1747))</f>
        <v/>
      </c>
      <c r="H1747" s="15" t="str">
        <f aca="false">IF($B1747="","",IFERROR(INDEX(Services!$A$2:$A$120,MATCH($B1747,Services!$D$2:$D$120,0)),""))</f>
        <v/>
      </c>
      <c r="I1747" s="19"/>
      <c r="J1747" s="15" t="str">
        <f aca="false">IF($B1747="","",IFERROR(INDEX(Services!$E$2:$E$120,MATCH($B1747,Services!$D$2:$D$120,0)),""))</f>
        <v/>
      </c>
    </row>
    <row r="1748" customFormat="false" ht="14.25" hidden="false" customHeight="false" outlineLevel="0" collapsed="false">
      <c r="A1748" s="18"/>
      <c r="B1748" s="6"/>
      <c r="C1748" s="6"/>
      <c r="D1748" s="6"/>
      <c r="E1748" s="16" t="str">
        <f aca="false">IF($B1748="","",IFERROR(INDEX(Services!$C$2:$C$120,MATCH($B1748,Services!$D$2:$D$120,0)),""))</f>
        <v/>
      </c>
      <c r="F1748" s="19"/>
      <c r="G1748" s="9" t="str">
        <f aca="false">IF(OR($B1748="",NOT(ISNUMBER($E1748))),"",$E1748-IF($F1748="",0,$F1748))</f>
        <v/>
      </c>
      <c r="H1748" s="15" t="str">
        <f aca="false">IF($B1748="","",IFERROR(INDEX(Services!$A$2:$A$120,MATCH($B1748,Services!$D$2:$D$120,0)),""))</f>
        <v/>
      </c>
      <c r="I1748" s="19"/>
      <c r="J1748" s="15" t="str">
        <f aca="false">IF($B1748="","",IFERROR(INDEX(Services!$E$2:$E$120,MATCH($B1748,Services!$D$2:$D$120,0)),""))</f>
        <v/>
      </c>
    </row>
    <row r="1749" customFormat="false" ht="14.25" hidden="false" customHeight="false" outlineLevel="0" collapsed="false">
      <c r="A1749" s="18"/>
      <c r="B1749" s="6"/>
      <c r="C1749" s="6"/>
      <c r="D1749" s="6"/>
      <c r="E1749" s="16" t="str">
        <f aca="false">IF($B1749="","",IFERROR(INDEX(Services!$C$2:$C$120,MATCH($B1749,Services!$D$2:$D$120,0)),""))</f>
        <v/>
      </c>
      <c r="F1749" s="19"/>
      <c r="G1749" s="9" t="str">
        <f aca="false">IF(OR($B1749="",NOT(ISNUMBER($E1749))),"",$E1749-IF($F1749="",0,$F1749))</f>
        <v/>
      </c>
      <c r="H1749" s="15" t="str">
        <f aca="false">IF($B1749="","",IFERROR(INDEX(Services!$A$2:$A$120,MATCH($B1749,Services!$D$2:$D$120,0)),""))</f>
        <v/>
      </c>
      <c r="I1749" s="19"/>
      <c r="J1749" s="15" t="str">
        <f aca="false">IF($B1749="","",IFERROR(INDEX(Services!$E$2:$E$120,MATCH($B1749,Services!$D$2:$D$120,0)),""))</f>
        <v/>
      </c>
    </row>
    <row r="1750" customFormat="false" ht="14.25" hidden="false" customHeight="false" outlineLevel="0" collapsed="false">
      <c r="A1750" s="18"/>
      <c r="B1750" s="6"/>
      <c r="C1750" s="6"/>
      <c r="D1750" s="6"/>
      <c r="E1750" s="16" t="str">
        <f aca="false">IF($B1750="","",IFERROR(INDEX(Services!$C$2:$C$120,MATCH($B1750,Services!$D$2:$D$120,0)),""))</f>
        <v/>
      </c>
      <c r="F1750" s="19"/>
      <c r="G1750" s="9" t="str">
        <f aca="false">IF(OR($B1750="",NOT(ISNUMBER($E1750))),"",$E1750-IF($F1750="",0,$F1750))</f>
        <v/>
      </c>
      <c r="H1750" s="15" t="str">
        <f aca="false">IF($B1750="","",IFERROR(INDEX(Services!$A$2:$A$120,MATCH($B1750,Services!$D$2:$D$120,0)),""))</f>
        <v/>
      </c>
      <c r="I1750" s="19"/>
      <c r="J1750" s="15" t="str">
        <f aca="false">IF($B1750="","",IFERROR(INDEX(Services!$E$2:$E$120,MATCH($B1750,Services!$D$2:$D$120,0)),""))</f>
        <v/>
      </c>
    </row>
    <row r="1751" customFormat="false" ht="14.25" hidden="false" customHeight="false" outlineLevel="0" collapsed="false">
      <c r="A1751" s="18"/>
      <c r="B1751" s="6"/>
      <c r="C1751" s="6"/>
      <c r="D1751" s="6"/>
      <c r="E1751" s="16" t="str">
        <f aca="false">IF($B1751="","",IFERROR(INDEX(Services!$C$2:$C$120,MATCH($B1751,Services!$D$2:$D$120,0)),""))</f>
        <v/>
      </c>
      <c r="F1751" s="19"/>
      <c r="G1751" s="9" t="str">
        <f aca="false">IF(OR($B1751="",NOT(ISNUMBER($E1751))),"",$E1751-IF($F1751="",0,$F1751))</f>
        <v/>
      </c>
      <c r="H1751" s="15" t="str">
        <f aca="false">IF($B1751="","",IFERROR(INDEX(Services!$A$2:$A$120,MATCH($B1751,Services!$D$2:$D$120,0)),""))</f>
        <v/>
      </c>
      <c r="I1751" s="19"/>
      <c r="J1751" s="15" t="str">
        <f aca="false">IF($B1751="","",IFERROR(INDEX(Services!$E$2:$E$120,MATCH($B1751,Services!$D$2:$D$120,0)),""))</f>
        <v/>
      </c>
    </row>
    <row r="1752" customFormat="false" ht="14.25" hidden="false" customHeight="false" outlineLevel="0" collapsed="false">
      <c r="A1752" s="18"/>
      <c r="B1752" s="6"/>
      <c r="C1752" s="6"/>
      <c r="D1752" s="6"/>
      <c r="E1752" s="16" t="str">
        <f aca="false">IF($B1752="","",IFERROR(INDEX(Services!$C$2:$C$120,MATCH($B1752,Services!$D$2:$D$120,0)),""))</f>
        <v/>
      </c>
      <c r="F1752" s="19"/>
      <c r="G1752" s="9" t="str">
        <f aca="false">IF(OR($B1752="",NOT(ISNUMBER($E1752))),"",$E1752-IF($F1752="",0,$F1752))</f>
        <v/>
      </c>
      <c r="H1752" s="15" t="str">
        <f aca="false">IF($B1752="","",IFERROR(INDEX(Services!$A$2:$A$120,MATCH($B1752,Services!$D$2:$D$120,0)),""))</f>
        <v/>
      </c>
      <c r="I1752" s="19"/>
      <c r="J1752" s="15" t="str">
        <f aca="false">IF($B1752="","",IFERROR(INDEX(Services!$E$2:$E$120,MATCH($B1752,Services!$D$2:$D$120,0)),""))</f>
        <v/>
      </c>
    </row>
    <row r="1753" customFormat="false" ht="14.25" hidden="false" customHeight="false" outlineLevel="0" collapsed="false">
      <c r="A1753" s="18"/>
      <c r="B1753" s="6"/>
      <c r="C1753" s="6"/>
      <c r="D1753" s="6"/>
      <c r="E1753" s="16" t="str">
        <f aca="false">IF($B1753="","",IFERROR(INDEX(Services!$C$2:$C$120,MATCH($B1753,Services!$D$2:$D$120,0)),""))</f>
        <v/>
      </c>
      <c r="F1753" s="19"/>
      <c r="G1753" s="9" t="str">
        <f aca="false">IF(OR($B1753="",NOT(ISNUMBER($E1753))),"",$E1753-IF($F1753="",0,$F1753))</f>
        <v/>
      </c>
      <c r="H1753" s="15" t="str">
        <f aca="false">IF($B1753="","",IFERROR(INDEX(Services!$A$2:$A$120,MATCH($B1753,Services!$D$2:$D$120,0)),""))</f>
        <v/>
      </c>
      <c r="I1753" s="19"/>
      <c r="J1753" s="15" t="str">
        <f aca="false">IF($B1753="","",IFERROR(INDEX(Services!$E$2:$E$120,MATCH($B1753,Services!$D$2:$D$120,0)),""))</f>
        <v/>
      </c>
    </row>
    <row r="1754" customFormat="false" ht="14.25" hidden="false" customHeight="false" outlineLevel="0" collapsed="false">
      <c r="A1754" s="18"/>
      <c r="B1754" s="6"/>
      <c r="C1754" s="6"/>
      <c r="D1754" s="6"/>
      <c r="E1754" s="16" t="str">
        <f aca="false">IF($B1754="","",IFERROR(INDEX(Services!$C$2:$C$120,MATCH($B1754,Services!$D$2:$D$120,0)),""))</f>
        <v/>
      </c>
      <c r="F1754" s="19"/>
      <c r="G1754" s="9" t="str">
        <f aca="false">IF(OR($B1754="",NOT(ISNUMBER($E1754))),"",$E1754-IF($F1754="",0,$F1754))</f>
        <v/>
      </c>
      <c r="H1754" s="15" t="str">
        <f aca="false">IF($B1754="","",IFERROR(INDEX(Services!$A$2:$A$120,MATCH($B1754,Services!$D$2:$D$120,0)),""))</f>
        <v/>
      </c>
      <c r="I1754" s="19"/>
      <c r="J1754" s="15" t="str">
        <f aca="false">IF($B1754="","",IFERROR(INDEX(Services!$E$2:$E$120,MATCH($B1754,Services!$D$2:$D$120,0)),""))</f>
        <v/>
      </c>
    </row>
    <row r="1755" customFormat="false" ht="14.25" hidden="false" customHeight="false" outlineLevel="0" collapsed="false">
      <c r="A1755" s="18"/>
      <c r="B1755" s="6"/>
      <c r="C1755" s="6"/>
      <c r="D1755" s="6"/>
      <c r="E1755" s="16" t="str">
        <f aca="false">IF($B1755="","",IFERROR(INDEX(Services!$C$2:$C$120,MATCH($B1755,Services!$D$2:$D$120,0)),""))</f>
        <v/>
      </c>
      <c r="F1755" s="19"/>
      <c r="G1755" s="9" t="str">
        <f aca="false">IF(OR($B1755="",NOT(ISNUMBER($E1755))),"",$E1755-IF($F1755="",0,$F1755))</f>
        <v/>
      </c>
      <c r="H1755" s="15" t="str">
        <f aca="false">IF($B1755="","",IFERROR(INDEX(Services!$A$2:$A$120,MATCH($B1755,Services!$D$2:$D$120,0)),""))</f>
        <v/>
      </c>
      <c r="I1755" s="19"/>
      <c r="J1755" s="15" t="str">
        <f aca="false">IF($B1755="","",IFERROR(INDEX(Services!$E$2:$E$120,MATCH($B1755,Services!$D$2:$D$120,0)),""))</f>
        <v/>
      </c>
    </row>
    <row r="1756" customFormat="false" ht="14.25" hidden="false" customHeight="false" outlineLevel="0" collapsed="false">
      <c r="A1756" s="18"/>
      <c r="B1756" s="6"/>
      <c r="C1756" s="6"/>
      <c r="D1756" s="6"/>
      <c r="E1756" s="16" t="str">
        <f aca="false">IF($B1756="","",IFERROR(INDEX(Services!$C$2:$C$120,MATCH($B1756,Services!$D$2:$D$120,0)),""))</f>
        <v/>
      </c>
      <c r="F1756" s="19"/>
      <c r="G1756" s="9" t="str">
        <f aca="false">IF(OR($B1756="",NOT(ISNUMBER($E1756))),"",$E1756-IF($F1756="",0,$F1756))</f>
        <v/>
      </c>
      <c r="H1756" s="15" t="str">
        <f aca="false">IF($B1756="","",IFERROR(INDEX(Services!$A$2:$A$120,MATCH($B1756,Services!$D$2:$D$120,0)),""))</f>
        <v/>
      </c>
      <c r="I1756" s="19"/>
      <c r="J1756" s="15" t="str">
        <f aca="false">IF($B1756="","",IFERROR(INDEX(Services!$E$2:$E$120,MATCH($B1756,Services!$D$2:$D$120,0)),""))</f>
        <v/>
      </c>
    </row>
    <row r="1757" customFormat="false" ht="14.25" hidden="false" customHeight="false" outlineLevel="0" collapsed="false">
      <c r="A1757" s="18"/>
      <c r="B1757" s="6"/>
      <c r="C1757" s="6"/>
      <c r="D1757" s="6"/>
      <c r="E1757" s="16" t="str">
        <f aca="false">IF($B1757="","",IFERROR(INDEX(Services!$C$2:$C$120,MATCH($B1757,Services!$D$2:$D$120,0)),""))</f>
        <v/>
      </c>
      <c r="F1757" s="19"/>
      <c r="G1757" s="9" t="str">
        <f aca="false">IF(OR($B1757="",NOT(ISNUMBER($E1757))),"",$E1757-IF($F1757="",0,$F1757))</f>
        <v/>
      </c>
      <c r="H1757" s="15" t="str">
        <f aca="false">IF($B1757="","",IFERROR(INDEX(Services!$A$2:$A$120,MATCH($B1757,Services!$D$2:$D$120,0)),""))</f>
        <v/>
      </c>
      <c r="I1757" s="19"/>
      <c r="J1757" s="15" t="str">
        <f aca="false">IF($B1757="","",IFERROR(INDEX(Services!$E$2:$E$120,MATCH($B1757,Services!$D$2:$D$120,0)),""))</f>
        <v/>
      </c>
    </row>
    <row r="1758" customFormat="false" ht="14.25" hidden="false" customHeight="false" outlineLevel="0" collapsed="false">
      <c r="A1758" s="18"/>
      <c r="B1758" s="6"/>
      <c r="C1758" s="6"/>
      <c r="D1758" s="6"/>
      <c r="E1758" s="16" t="str">
        <f aca="false">IF($B1758="","",IFERROR(INDEX(Services!$C$2:$C$120,MATCH($B1758,Services!$D$2:$D$120,0)),""))</f>
        <v/>
      </c>
      <c r="F1758" s="19"/>
      <c r="G1758" s="9" t="str">
        <f aca="false">IF(OR($B1758="",NOT(ISNUMBER($E1758))),"",$E1758-IF($F1758="",0,$F1758))</f>
        <v/>
      </c>
      <c r="H1758" s="15" t="str">
        <f aca="false">IF($B1758="","",IFERROR(INDEX(Services!$A$2:$A$120,MATCH($B1758,Services!$D$2:$D$120,0)),""))</f>
        <v/>
      </c>
      <c r="I1758" s="19"/>
      <c r="J1758" s="15" t="str">
        <f aca="false">IF($B1758="","",IFERROR(INDEX(Services!$E$2:$E$120,MATCH($B1758,Services!$D$2:$D$120,0)),""))</f>
        <v/>
      </c>
    </row>
    <row r="1759" customFormat="false" ht="14.25" hidden="false" customHeight="false" outlineLevel="0" collapsed="false">
      <c r="A1759" s="18"/>
      <c r="B1759" s="6"/>
      <c r="C1759" s="6"/>
      <c r="D1759" s="6"/>
      <c r="E1759" s="16" t="str">
        <f aca="false">IF($B1759="","",IFERROR(INDEX(Services!$C$2:$C$120,MATCH($B1759,Services!$D$2:$D$120,0)),""))</f>
        <v/>
      </c>
      <c r="F1759" s="19"/>
      <c r="G1759" s="9" t="str">
        <f aca="false">IF(OR($B1759="",NOT(ISNUMBER($E1759))),"",$E1759-IF($F1759="",0,$F1759))</f>
        <v/>
      </c>
      <c r="H1759" s="15" t="str">
        <f aca="false">IF($B1759="","",IFERROR(INDEX(Services!$A$2:$A$120,MATCH($B1759,Services!$D$2:$D$120,0)),""))</f>
        <v/>
      </c>
      <c r="I1759" s="19"/>
      <c r="J1759" s="15" t="str">
        <f aca="false">IF($B1759="","",IFERROR(INDEX(Services!$E$2:$E$120,MATCH($B1759,Services!$D$2:$D$120,0)),""))</f>
        <v/>
      </c>
    </row>
    <row r="1760" customFormat="false" ht="14.25" hidden="false" customHeight="false" outlineLevel="0" collapsed="false">
      <c r="A1760" s="18"/>
      <c r="B1760" s="6"/>
      <c r="C1760" s="6"/>
      <c r="D1760" s="6"/>
      <c r="E1760" s="16" t="str">
        <f aca="false">IF($B1760="","",IFERROR(INDEX(Services!$C$2:$C$120,MATCH($B1760,Services!$D$2:$D$120,0)),""))</f>
        <v/>
      </c>
      <c r="F1760" s="19"/>
      <c r="G1760" s="9" t="str">
        <f aca="false">IF(OR($B1760="",NOT(ISNUMBER($E1760))),"",$E1760-IF($F1760="",0,$F1760))</f>
        <v/>
      </c>
      <c r="H1760" s="15" t="str">
        <f aca="false">IF($B1760="","",IFERROR(INDEX(Services!$A$2:$A$120,MATCH($B1760,Services!$D$2:$D$120,0)),""))</f>
        <v/>
      </c>
      <c r="I1760" s="19"/>
      <c r="J1760" s="15" t="str">
        <f aca="false">IF($B1760="","",IFERROR(INDEX(Services!$E$2:$E$120,MATCH($B1760,Services!$D$2:$D$120,0)),""))</f>
        <v/>
      </c>
    </row>
    <row r="1761" customFormat="false" ht="14.25" hidden="false" customHeight="false" outlineLevel="0" collapsed="false">
      <c r="A1761" s="18"/>
      <c r="B1761" s="6"/>
      <c r="C1761" s="6"/>
      <c r="D1761" s="6"/>
      <c r="E1761" s="16" t="str">
        <f aca="false">IF($B1761="","",IFERROR(INDEX(Services!$C$2:$C$120,MATCH($B1761,Services!$D$2:$D$120,0)),""))</f>
        <v/>
      </c>
      <c r="F1761" s="19"/>
      <c r="G1761" s="9" t="str">
        <f aca="false">IF(OR($B1761="",NOT(ISNUMBER($E1761))),"",$E1761-IF($F1761="",0,$F1761))</f>
        <v/>
      </c>
      <c r="H1761" s="15" t="str">
        <f aca="false">IF($B1761="","",IFERROR(INDEX(Services!$A$2:$A$120,MATCH($B1761,Services!$D$2:$D$120,0)),""))</f>
        <v/>
      </c>
      <c r="I1761" s="19"/>
      <c r="J1761" s="15" t="str">
        <f aca="false">IF($B1761="","",IFERROR(INDEX(Services!$E$2:$E$120,MATCH($B1761,Services!$D$2:$D$120,0)),""))</f>
        <v/>
      </c>
    </row>
    <row r="1762" customFormat="false" ht="14.25" hidden="false" customHeight="false" outlineLevel="0" collapsed="false">
      <c r="A1762" s="18"/>
      <c r="B1762" s="6"/>
      <c r="C1762" s="6"/>
      <c r="D1762" s="6"/>
      <c r="E1762" s="16" t="str">
        <f aca="false">IF($B1762="","",IFERROR(INDEX(Services!$C$2:$C$120,MATCH($B1762,Services!$D$2:$D$120,0)),""))</f>
        <v/>
      </c>
      <c r="F1762" s="19"/>
      <c r="G1762" s="9" t="str">
        <f aca="false">IF(OR($B1762="",NOT(ISNUMBER($E1762))),"",$E1762-IF($F1762="",0,$F1762))</f>
        <v/>
      </c>
      <c r="H1762" s="15" t="str">
        <f aca="false">IF($B1762="","",IFERROR(INDEX(Services!$A$2:$A$120,MATCH($B1762,Services!$D$2:$D$120,0)),""))</f>
        <v/>
      </c>
      <c r="I1762" s="19"/>
      <c r="J1762" s="15" t="str">
        <f aca="false">IF($B1762="","",IFERROR(INDEX(Services!$E$2:$E$120,MATCH($B1762,Services!$D$2:$D$120,0)),""))</f>
        <v/>
      </c>
    </row>
    <row r="1763" customFormat="false" ht="14.25" hidden="false" customHeight="false" outlineLevel="0" collapsed="false">
      <c r="A1763" s="18"/>
      <c r="B1763" s="6"/>
      <c r="C1763" s="6"/>
      <c r="D1763" s="6"/>
      <c r="E1763" s="16" t="str">
        <f aca="false">IF($B1763="","",IFERROR(INDEX(Services!$C$2:$C$120,MATCH($B1763,Services!$D$2:$D$120,0)),""))</f>
        <v/>
      </c>
      <c r="F1763" s="19"/>
      <c r="G1763" s="9" t="str">
        <f aca="false">IF(OR($B1763="",NOT(ISNUMBER($E1763))),"",$E1763-IF($F1763="",0,$F1763))</f>
        <v/>
      </c>
      <c r="H1763" s="15" t="str">
        <f aca="false">IF($B1763="","",IFERROR(INDEX(Services!$A$2:$A$120,MATCH($B1763,Services!$D$2:$D$120,0)),""))</f>
        <v/>
      </c>
      <c r="I1763" s="19"/>
      <c r="J1763" s="15" t="str">
        <f aca="false">IF($B1763="","",IFERROR(INDEX(Services!$E$2:$E$120,MATCH($B1763,Services!$D$2:$D$120,0)),""))</f>
        <v/>
      </c>
    </row>
    <row r="1764" customFormat="false" ht="14.25" hidden="false" customHeight="false" outlineLevel="0" collapsed="false">
      <c r="A1764" s="18"/>
      <c r="B1764" s="6"/>
      <c r="C1764" s="6"/>
      <c r="D1764" s="6"/>
      <c r="E1764" s="16" t="str">
        <f aca="false">IF($B1764="","",IFERROR(INDEX(Services!$C$2:$C$120,MATCH($B1764,Services!$D$2:$D$120,0)),""))</f>
        <v/>
      </c>
      <c r="F1764" s="19"/>
      <c r="G1764" s="9" t="str">
        <f aca="false">IF(OR($B1764="",NOT(ISNUMBER($E1764))),"",$E1764-IF($F1764="",0,$F1764))</f>
        <v/>
      </c>
      <c r="H1764" s="15" t="str">
        <f aca="false">IF($B1764="","",IFERROR(INDEX(Services!$A$2:$A$120,MATCH($B1764,Services!$D$2:$D$120,0)),""))</f>
        <v/>
      </c>
      <c r="I1764" s="19"/>
      <c r="J1764" s="15" t="str">
        <f aca="false">IF($B1764="","",IFERROR(INDEX(Services!$E$2:$E$120,MATCH($B1764,Services!$D$2:$D$120,0)),""))</f>
        <v/>
      </c>
    </row>
    <row r="1765" customFormat="false" ht="14.25" hidden="false" customHeight="false" outlineLevel="0" collapsed="false">
      <c r="A1765" s="18"/>
      <c r="B1765" s="6"/>
      <c r="C1765" s="6"/>
      <c r="D1765" s="6"/>
      <c r="E1765" s="16" t="str">
        <f aca="false">IF($B1765="","",IFERROR(INDEX(Services!$C$2:$C$120,MATCH($B1765,Services!$D$2:$D$120,0)),""))</f>
        <v/>
      </c>
      <c r="F1765" s="19"/>
      <c r="G1765" s="9" t="str">
        <f aca="false">IF(OR($B1765="",NOT(ISNUMBER($E1765))),"",$E1765-IF($F1765="",0,$F1765))</f>
        <v/>
      </c>
      <c r="H1765" s="15" t="str">
        <f aca="false">IF($B1765="","",IFERROR(INDEX(Services!$A$2:$A$120,MATCH($B1765,Services!$D$2:$D$120,0)),""))</f>
        <v/>
      </c>
      <c r="I1765" s="19"/>
      <c r="J1765" s="15" t="str">
        <f aca="false">IF($B1765="","",IFERROR(INDEX(Services!$E$2:$E$120,MATCH($B1765,Services!$D$2:$D$120,0)),""))</f>
        <v/>
      </c>
    </row>
    <row r="1766" customFormat="false" ht="14.25" hidden="false" customHeight="false" outlineLevel="0" collapsed="false">
      <c r="A1766" s="18"/>
      <c r="B1766" s="6"/>
      <c r="C1766" s="6"/>
      <c r="D1766" s="6"/>
      <c r="E1766" s="16" t="str">
        <f aca="false">IF($B1766="","",IFERROR(INDEX(Services!$C$2:$C$120,MATCH($B1766,Services!$D$2:$D$120,0)),""))</f>
        <v/>
      </c>
      <c r="F1766" s="19"/>
      <c r="G1766" s="9" t="str">
        <f aca="false">IF(OR($B1766="",NOT(ISNUMBER($E1766))),"",$E1766-IF($F1766="",0,$F1766))</f>
        <v/>
      </c>
      <c r="H1766" s="15" t="str">
        <f aca="false">IF($B1766="","",IFERROR(INDEX(Services!$A$2:$A$120,MATCH($B1766,Services!$D$2:$D$120,0)),""))</f>
        <v/>
      </c>
      <c r="I1766" s="19"/>
      <c r="J1766" s="15" t="str">
        <f aca="false">IF($B1766="","",IFERROR(INDEX(Services!$E$2:$E$120,MATCH($B1766,Services!$D$2:$D$120,0)),""))</f>
        <v/>
      </c>
    </row>
    <row r="1767" customFormat="false" ht="14.25" hidden="false" customHeight="false" outlineLevel="0" collapsed="false">
      <c r="A1767" s="18"/>
      <c r="B1767" s="6"/>
      <c r="C1767" s="6"/>
      <c r="D1767" s="6"/>
      <c r="E1767" s="16" t="str">
        <f aca="false">IF($B1767="","",IFERROR(INDEX(Services!$C$2:$C$120,MATCH($B1767,Services!$D$2:$D$120,0)),""))</f>
        <v/>
      </c>
      <c r="F1767" s="19"/>
      <c r="G1767" s="9" t="str">
        <f aca="false">IF(OR($B1767="",NOT(ISNUMBER($E1767))),"",$E1767-IF($F1767="",0,$F1767))</f>
        <v/>
      </c>
      <c r="H1767" s="15" t="str">
        <f aca="false">IF($B1767="","",IFERROR(INDEX(Services!$A$2:$A$120,MATCH($B1767,Services!$D$2:$D$120,0)),""))</f>
        <v/>
      </c>
      <c r="I1767" s="19"/>
      <c r="J1767" s="15" t="str">
        <f aca="false">IF($B1767="","",IFERROR(INDEX(Services!$E$2:$E$120,MATCH($B1767,Services!$D$2:$D$120,0)),""))</f>
        <v/>
      </c>
    </row>
    <row r="1768" customFormat="false" ht="14.25" hidden="false" customHeight="false" outlineLevel="0" collapsed="false">
      <c r="A1768" s="18"/>
      <c r="B1768" s="6"/>
      <c r="C1768" s="6"/>
      <c r="D1768" s="6"/>
      <c r="E1768" s="16" t="str">
        <f aca="false">IF($B1768="","",IFERROR(INDEX(Services!$C$2:$C$120,MATCH($B1768,Services!$D$2:$D$120,0)),""))</f>
        <v/>
      </c>
      <c r="F1768" s="19"/>
      <c r="G1768" s="9" t="str">
        <f aca="false">IF(OR($B1768="",NOT(ISNUMBER($E1768))),"",$E1768-IF($F1768="",0,$F1768))</f>
        <v/>
      </c>
      <c r="H1768" s="15" t="str">
        <f aca="false">IF($B1768="","",IFERROR(INDEX(Services!$A$2:$A$120,MATCH($B1768,Services!$D$2:$D$120,0)),""))</f>
        <v/>
      </c>
      <c r="I1768" s="19"/>
      <c r="J1768" s="15" t="str">
        <f aca="false">IF($B1768="","",IFERROR(INDEX(Services!$E$2:$E$120,MATCH($B1768,Services!$D$2:$D$120,0)),""))</f>
        <v/>
      </c>
    </row>
    <row r="1769" customFormat="false" ht="14.25" hidden="false" customHeight="false" outlineLevel="0" collapsed="false">
      <c r="A1769" s="18"/>
      <c r="B1769" s="6"/>
      <c r="C1769" s="6"/>
      <c r="D1769" s="6"/>
      <c r="E1769" s="16" t="str">
        <f aca="false">IF($B1769="","",IFERROR(INDEX(Services!$C$2:$C$120,MATCH($B1769,Services!$D$2:$D$120,0)),""))</f>
        <v/>
      </c>
      <c r="F1769" s="19"/>
      <c r="G1769" s="9" t="str">
        <f aca="false">IF(OR($B1769="",NOT(ISNUMBER($E1769))),"",$E1769-IF($F1769="",0,$F1769))</f>
        <v/>
      </c>
      <c r="H1769" s="15" t="str">
        <f aca="false">IF($B1769="","",IFERROR(INDEX(Services!$A$2:$A$120,MATCH($B1769,Services!$D$2:$D$120,0)),""))</f>
        <v/>
      </c>
      <c r="I1769" s="19"/>
      <c r="J1769" s="15" t="str">
        <f aca="false">IF($B1769="","",IFERROR(INDEX(Services!$E$2:$E$120,MATCH($B1769,Services!$D$2:$D$120,0)),""))</f>
        <v/>
      </c>
    </row>
    <row r="1770" customFormat="false" ht="14.25" hidden="false" customHeight="false" outlineLevel="0" collapsed="false">
      <c r="A1770" s="18"/>
      <c r="B1770" s="6"/>
      <c r="C1770" s="6"/>
      <c r="D1770" s="6"/>
      <c r="E1770" s="16" t="str">
        <f aca="false">IF($B1770="","",IFERROR(INDEX(Services!$C$2:$C$120,MATCH($B1770,Services!$D$2:$D$120,0)),""))</f>
        <v/>
      </c>
      <c r="F1770" s="19"/>
      <c r="G1770" s="9" t="str">
        <f aca="false">IF(OR($B1770="",NOT(ISNUMBER($E1770))),"",$E1770-IF($F1770="",0,$F1770))</f>
        <v/>
      </c>
      <c r="H1770" s="15" t="str">
        <f aca="false">IF($B1770="","",IFERROR(INDEX(Services!$A$2:$A$120,MATCH($B1770,Services!$D$2:$D$120,0)),""))</f>
        <v/>
      </c>
      <c r="I1770" s="19"/>
      <c r="J1770" s="15" t="str">
        <f aca="false">IF($B1770="","",IFERROR(INDEX(Services!$E$2:$E$120,MATCH($B1770,Services!$D$2:$D$120,0)),""))</f>
        <v/>
      </c>
    </row>
    <row r="1771" customFormat="false" ht="14.25" hidden="false" customHeight="false" outlineLevel="0" collapsed="false">
      <c r="A1771" s="18"/>
      <c r="B1771" s="6"/>
      <c r="C1771" s="6"/>
      <c r="D1771" s="6"/>
      <c r="E1771" s="16" t="str">
        <f aca="false">IF($B1771="","",IFERROR(INDEX(Services!$C$2:$C$120,MATCH($B1771,Services!$D$2:$D$120,0)),""))</f>
        <v/>
      </c>
      <c r="F1771" s="19"/>
      <c r="G1771" s="9" t="str">
        <f aca="false">IF(OR($B1771="",NOT(ISNUMBER($E1771))),"",$E1771-IF($F1771="",0,$F1771))</f>
        <v/>
      </c>
      <c r="H1771" s="15" t="str">
        <f aca="false">IF($B1771="","",IFERROR(INDEX(Services!$A$2:$A$120,MATCH($B1771,Services!$D$2:$D$120,0)),""))</f>
        <v/>
      </c>
      <c r="I1771" s="19"/>
      <c r="J1771" s="15" t="str">
        <f aca="false">IF($B1771="","",IFERROR(INDEX(Services!$E$2:$E$120,MATCH($B1771,Services!$D$2:$D$120,0)),""))</f>
        <v/>
      </c>
    </row>
    <row r="1772" customFormat="false" ht="14.25" hidden="false" customHeight="false" outlineLevel="0" collapsed="false">
      <c r="A1772" s="18"/>
      <c r="B1772" s="6"/>
      <c r="C1772" s="6"/>
      <c r="D1772" s="6"/>
      <c r="E1772" s="16" t="str">
        <f aca="false">IF($B1772="","",IFERROR(INDEX(Services!$C$2:$C$120,MATCH($B1772,Services!$D$2:$D$120,0)),""))</f>
        <v/>
      </c>
      <c r="F1772" s="19"/>
      <c r="G1772" s="9" t="str">
        <f aca="false">IF(OR($B1772="",NOT(ISNUMBER($E1772))),"",$E1772-IF($F1772="",0,$F1772))</f>
        <v/>
      </c>
      <c r="H1772" s="15" t="str">
        <f aca="false">IF($B1772="","",IFERROR(INDEX(Services!$A$2:$A$120,MATCH($B1772,Services!$D$2:$D$120,0)),""))</f>
        <v/>
      </c>
      <c r="I1772" s="19"/>
      <c r="J1772" s="15" t="str">
        <f aca="false">IF($B1772="","",IFERROR(INDEX(Services!$E$2:$E$120,MATCH($B1772,Services!$D$2:$D$120,0)),""))</f>
        <v/>
      </c>
    </row>
    <row r="1773" customFormat="false" ht="14.25" hidden="false" customHeight="false" outlineLevel="0" collapsed="false">
      <c r="A1773" s="18"/>
      <c r="B1773" s="6"/>
      <c r="C1773" s="6"/>
      <c r="D1773" s="6"/>
      <c r="E1773" s="16" t="str">
        <f aca="false">IF($B1773="","",IFERROR(INDEX(Services!$C$2:$C$120,MATCH($B1773,Services!$D$2:$D$120,0)),""))</f>
        <v/>
      </c>
      <c r="F1773" s="19"/>
      <c r="G1773" s="9" t="str">
        <f aca="false">IF(OR($B1773="",NOT(ISNUMBER($E1773))),"",$E1773-IF($F1773="",0,$F1773))</f>
        <v/>
      </c>
      <c r="H1773" s="15" t="str">
        <f aca="false">IF($B1773="","",IFERROR(INDEX(Services!$A$2:$A$120,MATCH($B1773,Services!$D$2:$D$120,0)),""))</f>
        <v/>
      </c>
      <c r="I1773" s="19"/>
      <c r="J1773" s="15" t="str">
        <f aca="false">IF($B1773="","",IFERROR(INDEX(Services!$E$2:$E$120,MATCH($B1773,Services!$D$2:$D$120,0)),""))</f>
        <v/>
      </c>
    </row>
    <row r="1774" customFormat="false" ht="14.25" hidden="false" customHeight="false" outlineLevel="0" collapsed="false">
      <c r="A1774" s="18"/>
      <c r="B1774" s="6"/>
      <c r="C1774" s="6"/>
      <c r="D1774" s="6"/>
      <c r="E1774" s="16" t="str">
        <f aca="false">IF($B1774="","",IFERROR(INDEX(Services!$C$2:$C$120,MATCH($B1774,Services!$D$2:$D$120,0)),""))</f>
        <v/>
      </c>
      <c r="F1774" s="19"/>
      <c r="G1774" s="9" t="str">
        <f aca="false">IF(OR($B1774="",NOT(ISNUMBER($E1774))),"",$E1774-IF($F1774="",0,$F1774))</f>
        <v/>
      </c>
      <c r="H1774" s="15" t="str">
        <f aca="false">IF($B1774="","",IFERROR(INDEX(Services!$A$2:$A$120,MATCH($B1774,Services!$D$2:$D$120,0)),""))</f>
        <v/>
      </c>
      <c r="I1774" s="19"/>
      <c r="J1774" s="15" t="str">
        <f aca="false">IF($B1774="","",IFERROR(INDEX(Services!$E$2:$E$120,MATCH($B1774,Services!$D$2:$D$120,0)),""))</f>
        <v/>
      </c>
    </row>
    <row r="1775" customFormat="false" ht="14.25" hidden="false" customHeight="false" outlineLevel="0" collapsed="false">
      <c r="A1775" s="18"/>
      <c r="B1775" s="6"/>
      <c r="C1775" s="6"/>
      <c r="D1775" s="6"/>
      <c r="E1775" s="16" t="str">
        <f aca="false">IF($B1775="","",IFERROR(INDEX(Services!$C$2:$C$120,MATCH($B1775,Services!$D$2:$D$120,0)),""))</f>
        <v/>
      </c>
      <c r="F1775" s="19"/>
      <c r="G1775" s="9" t="str">
        <f aca="false">IF(OR($B1775="",NOT(ISNUMBER($E1775))),"",$E1775-IF($F1775="",0,$F1775))</f>
        <v/>
      </c>
      <c r="H1775" s="15" t="str">
        <f aca="false">IF($B1775="","",IFERROR(INDEX(Services!$A$2:$A$120,MATCH($B1775,Services!$D$2:$D$120,0)),""))</f>
        <v/>
      </c>
      <c r="I1775" s="19"/>
      <c r="J1775" s="15" t="str">
        <f aca="false">IF($B1775="","",IFERROR(INDEX(Services!$E$2:$E$120,MATCH($B1775,Services!$D$2:$D$120,0)),""))</f>
        <v/>
      </c>
    </row>
    <row r="1776" customFormat="false" ht="14.25" hidden="false" customHeight="false" outlineLevel="0" collapsed="false">
      <c r="A1776" s="18"/>
      <c r="B1776" s="6"/>
      <c r="C1776" s="6"/>
      <c r="D1776" s="6"/>
      <c r="E1776" s="16" t="str">
        <f aca="false">IF($B1776="","",IFERROR(INDEX(Services!$C$2:$C$120,MATCH($B1776,Services!$D$2:$D$120,0)),""))</f>
        <v/>
      </c>
      <c r="F1776" s="19"/>
      <c r="G1776" s="9" t="str">
        <f aca="false">IF(OR($B1776="",NOT(ISNUMBER($E1776))),"",$E1776-IF($F1776="",0,$F1776))</f>
        <v/>
      </c>
      <c r="H1776" s="15" t="str">
        <f aca="false">IF($B1776="","",IFERROR(INDEX(Services!$A$2:$A$120,MATCH($B1776,Services!$D$2:$D$120,0)),""))</f>
        <v/>
      </c>
      <c r="I1776" s="19"/>
      <c r="J1776" s="15" t="str">
        <f aca="false">IF($B1776="","",IFERROR(INDEX(Services!$E$2:$E$120,MATCH($B1776,Services!$D$2:$D$120,0)),""))</f>
        <v/>
      </c>
    </row>
    <row r="1777" customFormat="false" ht="14.25" hidden="false" customHeight="false" outlineLevel="0" collapsed="false">
      <c r="A1777" s="18"/>
      <c r="B1777" s="6"/>
      <c r="C1777" s="6"/>
      <c r="D1777" s="6"/>
      <c r="E1777" s="16" t="str">
        <f aca="false">IF($B1777="","",IFERROR(INDEX(Services!$C$2:$C$120,MATCH($B1777,Services!$D$2:$D$120,0)),""))</f>
        <v/>
      </c>
      <c r="F1777" s="19"/>
      <c r="G1777" s="9" t="str">
        <f aca="false">IF(OR($B1777="",NOT(ISNUMBER($E1777))),"",$E1777-IF($F1777="",0,$F1777))</f>
        <v/>
      </c>
      <c r="H1777" s="15" t="str">
        <f aca="false">IF($B1777="","",IFERROR(INDEX(Services!$A$2:$A$120,MATCH($B1777,Services!$D$2:$D$120,0)),""))</f>
        <v/>
      </c>
      <c r="I1777" s="19"/>
      <c r="J1777" s="15" t="str">
        <f aca="false">IF($B1777="","",IFERROR(INDEX(Services!$E$2:$E$120,MATCH($B1777,Services!$D$2:$D$120,0)),""))</f>
        <v/>
      </c>
    </row>
    <row r="1778" customFormat="false" ht="14.25" hidden="false" customHeight="false" outlineLevel="0" collapsed="false">
      <c r="A1778" s="18"/>
      <c r="B1778" s="6"/>
      <c r="C1778" s="6"/>
      <c r="D1778" s="6"/>
      <c r="E1778" s="16" t="str">
        <f aca="false">IF($B1778="","",IFERROR(INDEX(Services!$C$2:$C$120,MATCH($B1778,Services!$D$2:$D$120,0)),""))</f>
        <v/>
      </c>
      <c r="F1778" s="19"/>
      <c r="G1778" s="9" t="str">
        <f aca="false">IF(OR($B1778="",NOT(ISNUMBER($E1778))),"",$E1778-IF($F1778="",0,$F1778))</f>
        <v/>
      </c>
      <c r="H1778" s="15" t="str">
        <f aca="false">IF($B1778="","",IFERROR(INDEX(Services!$A$2:$A$120,MATCH($B1778,Services!$D$2:$D$120,0)),""))</f>
        <v/>
      </c>
      <c r="I1778" s="19"/>
      <c r="J1778" s="15" t="str">
        <f aca="false">IF($B1778="","",IFERROR(INDEX(Services!$E$2:$E$120,MATCH($B1778,Services!$D$2:$D$120,0)),""))</f>
        <v/>
      </c>
    </row>
    <row r="1779" customFormat="false" ht="14.25" hidden="false" customHeight="false" outlineLevel="0" collapsed="false">
      <c r="A1779" s="18"/>
      <c r="B1779" s="6"/>
      <c r="C1779" s="6"/>
      <c r="D1779" s="6"/>
      <c r="E1779" s="16" t="str">
        <f aca="false">IF($B1779="","",IFERROR(INDEX(Services!$C$2:$C$120,MATCH($B1779,Services!$D$2:$D$120,0)),""))</f>
        <v/>
      </c>
      <c r="F1779" s="19"/>
      <c r="G1779" s="9" t="str">
        <f aca="false">IF(OR($B1779="",NOT(ISNUMBER($E1779))),"",$E1779-IF($F1779="",0,$F1779))</f>
        <v/>
      </c>
      <c r="H1779" s="15" t="str">
        <f aca="false">IF($B1779="","",IFERROR(INDEX(Services!$A$2:$A$120,MATCH($B1779,Services!$D$2:$D$120,0)),""))</f>
        <v/>
      </c>
      <c r="I1779" s="19"/>
      <c r="J1779" s="15" t="str">
        <f aca="false">IF($B1779="","",IFERROR(INDEX(Services!$E$2:$E$120,MATCH($B1779,Services!$D$2:$D$120,0)),""))</f>
        <v/>
      </c>
    </row>
    <row r="1780" customFormat="false" ht="14.25" hidden="false" customHeight="false" outlineLevel="0" collapsed="false">
      <c r="A1780" s="18"/>
      <c r="B1780" s="6"/>
      <c r="C1780" s="6"/>
      <c r="D1780" s="6"/>
      <c r="E1780" s="16" t="str">
        <f aca="false">IF($B1780="","",IFERROR(INDEX(Services!$C$2:$C$120,MATCH($B1780,Services!$D$2:$D$120,0)),""))</f>
        <v/>
      </c>
      <c r="F1780" s="19"/>
      <c r="G1780" s="9" t="str">
        <f aca="false">IF(OR($B1780="",NOT(ISNUMBER($E1780))),"",$E1780-IF($F1780="",0,$F1780))</f>
        <v/>
      </c>
      <c r="H1780" s="15" t="str">
        <f aca="false">IF($B1780="","",IFERROR(INDEX(Services!$A$2:$A$120,MATCH($B1780,Services!$D$2:$D$120,0)),""))</f>
        <v/>
      </c>
      <c r="I1780" s="19"/>
      <c r="J1780" s="15" t="str">
        <f aca="false">IF($B1780="","",IFERROR(INDEX(Services!$E$2:$E$120,MATCH($B1780,Services!$D$2:$D$120,0)),""))</f>
        <v/>
      </c>
    </row>
    <row r="1781" customFormat="false" ht="14.25" hidden="false" customHeight="false" outlineLevel="0" collapsed="false">
      <c r="A1781" s="18"/>
      <c r="B1781" s="6"/>
      <c r="C1781" s="6"/>
      <c r="D1781" s="6"/>
      <c r="E1781" s="16" t="str">
        <f aca="false">IF($B1781="","",IFERROR(INDEX(Services!$C$2:$C$120,MATCH($B1781,Services!$D$2:$D$120,0)),""))</f>
        <v/>
      </c>
      <c r="F1781" s="19"/>
      <c r="G1781" s="9" t="str">
        <f aca="false">IF(OR($B1781="",NOT(ISNUMBER($E1781))),"",$E1781-IF($F1781="",0,$F1781))</f>
        <v/>
      </c>
      <c r="H1781" s="15" t="str">
        <f aca="false">IF($B1781="","",IFERROR(INDEX(Services!$A$2:$A$120,MATCH($B1781,Services!$D$2:$D$120,0)),""))</f>
        <v/>
      </c>
      <c r="I1781" s="19"/>
      <c r="J1781" s="15" t="str">
        <f aca="false">IF($B1781="","",IFERROR(INDEX(Services!$E$2:$E$120,MATCH($B1781,Services!$D$2:$D$120,0)),""))</f>
        <v/>
      </c>
    </row>
    <row r="1782" customFormat="false" ht="14.25" hidden="false" customHeight="false" outlineLevel="0" collapsed="false">
      <c r="A1782" s="18"/>
      <c r="B1782" s="6"/>
      <c r="C1782" s="6"/>
      <c r="D1782" s="6"/>
      <c r="E1782" s="16" t="str">
        <f aca="false">IF($B1782="","",IFERROR(INDEX(Services!$C$2:$C$120,MATCH($B1782,Services!$D$2:$D$120,0)),""))</f>
        <v/>
      </c>
      <c r="F1782" s="19"/>
      <c r="G1782" s="9" t="str">
        <f aca="false">IF(OR($B1782="",NOT(ISNUMBER($E1782))),"",$E1782-IF($F1782="",0,$F1782))</f>
        <v/>
      </c>
      <c r="H1782" s="15" t="str">
        <f aca="false">IF($B1782="","",IFERROR(INDEX(Services!$A$2:$A$120,MATCH($B1782,Services!$D$2:$D$120,0)),""))</f>
        <v/>
      </c>
      <c r="I1782" s="19"/>
      <c r="J1782" s="15" t="str">
        <f aca="false">IF($B1782="","",IFERROR(INDEX(Services!$E$2:$E$120,MATCH($B1782,Services!$D$2:$D$120,0)),""))</f>
        <v/>
      </c>
    </row>
    <row r="1783" customFormat="false" ht="14.25" hidden="false" customHeight="false" outlineLevel="0" collapsed="false">
      <c r="A1783" s="18"/>
      <c r="B1783" s="6"/>
      <c r="C1783" s="6"/>
      <c r="D1783" s="6"/>
      <c r="E1783" s="16" t="str">
        <f aca="false">IF($B1783="","",IFERROR(INDEX(Services!$C$2:$C$120,MATCH($B1783,Services!$D$2:$D$120,0)),""))</f>
        <v/>
      </c>
      <c r="F1783" s="19"/>
      <c r="G1783" s="9" t="str">
        <f aca="false">IF(OR($B1783="",NOT(ISNUMBER($E1783))),"",$E1783-IF($F1783="",0,$F1783))</f>
        <v/>
      </c>
      <c r="H1783" s="15" t="str">
        <f aca="false">IF($B1783="","",IFERROR(INDEX(Services!$A$2:$A$120,MATCH($B1783,Services!$D$2:$D$120,0)),""))</f>
        <v/>
      </c>
      <c r="I1783" s="19"/>
      <c r="J1783" s="15" t="str">
        <f aca="false">IF($B1783="","",IFERROR(INDEX(Services!$E$2:$E$120,MATCH($B1783,Services!$D$2:$D$120,0)),""))</f>
        <v/>
      </c>
    </row>
    <row r="1784" customFormat="false" ht="14.25" hidden="false" customHeight="false" outlineLevel="0" collapsed="false">
      <c r="A1784" s="18"/>
      <c r="B1784" s="6"/>
      <c r="C1784" s="6"/>
      <c r="D1784" s="6"/>
      <c r="E1784" s="16" t="str">
        <f aca="false">IF($B1784="","",IFERROR(INDEX(Services!$C$2:$C$120,MATCH($B1784,Services!$D$2:$D$120,0)),""))</f>
        <v/>
      </c>
      <c r="F1784" s="19"/>
      <c r="G1784" s="9" t="str">
        <f aca="false">IF(OR($B1784="",NOT(ISNUMBER($E1784))),"",$E1784-IF($F1784="",0,$F1784))</f>
        <v/>
      </c>
      <c r="H1784" s="15" t="str">
        <f aca="false">IF($B1784="","",IFERROR(INDEX(Services!$A$2:$A$120,MATCH($B1784,Services!$D$2:$D$120,0)),""))</f>
        <v/>
      </c>
      <c r="I1784" s="19"/>
      <c r="J1784" s="15" t="str">
        <f aca="false">IF($B1784="","",IFERROR(INDEX(Services!$E$2:$E$120,MATCH($B1784,Services!$D$2:$D$120,0)),""))</f>
        <v/>
      </c>
    </row>
    <row r="1785" customFormat="false" ht="14.25" hidden="false" customHeight="false" outlineLevel="0" collapsed="false">
      <c r="A1785" s="18"/>
      <c r="B1785" s="6"/>
      <c r="C1785" s="6"/>
      <c r="D1785" s="6"/>
      <c r="E1785" s="16" t="str">
        <f aca="false">IF($B1785="","",IFERROR(INDEX(Services!$C$2:$C$120,MATCH($B1785,Services!$D$2:$D$120,0)),""))</f>
        <v/>
      </c>
      <c r="F1785" s="19"/>
      <c r="G1785" s="9" t="str">
        <f aca="false">IF(OR($B1785="",NOT(ISNUMBER($E1785))),"",$E1785-IF($F1785="",0,$F1785))</f>
        <v/>
      </c>
      <c r="H1785" s="15" t="str">
        <f aca="false">IF($B1785="","",IFERROR(INDEX(Services!$A$2:$A$120,MATCH($B1785,Services!$D$2:$D$120,0)),""))</f>
        <v/>
      </c>
      <c r="I1785" s="19"/>
      <c r="J1785" s="15" t="str">
        <f aca="false">IF($B1785="","",IFERROR(INDEX(Services!$E$2:$E$120,MATCH($B1785,Services!$D$2:$D$120,0)),""))</f>
        <v/>
      </c>
    </row>
    <row r="1786" customFormat="false" ht="14.25" hidden="false" customHeight="false" outlineLevel="0" collapsed="false">
      <c r="A1786" s="18"/>
      <c r="B1786" s="6"/>
      <c r="C1786" s="6"/>
      <c r="D1786" s="6"/>
      <c r="E1786" s="16" t="str">
        <f aca="false">IF($B1786="","",IFERROR(INDEX(Services!$C$2:$C$120,MATCH($B1786,Services!$D$2:$D$120,0)),""))</f>
        <v/>
      </c>
      <c r="F1786" s="19"/>
      <c r="G1786" s="9" t="str">
        <f aca="false">IF(OR($B1786="",NOT(ISNUMBER($E1786))),"",$E1786-IF($F1786="",0,$F1786))</f>
        <v/>
      </c>
      <c r="H1786" s="15" t="str">
        <f aca="false">IF($B1786="","",IFERROR(INDEX(Services!$A$2:$A$120,MATCH($B1786,Services!$D$2:$D$120,0)),""))</f>
        <v/>
      </c>
      <c r="I1786" s="19"/>
      <c r="J1786" s="15" t="str">
        <f aca="false">IF($B1786="","",IFERROR(INDEX(Services!$E$2:$E$120,MATCH($B1786,Services!$D$2:$D$120,0)),""))</f>
        <v/>
      </c>
    </row>
    <row r="1787" customFormat="false" ht="14.25" hidden="false" customHeight="false" outlineLevel="0" collapsed="false">
      <c r="A1787" s="18"/>
      <c r="B1787" s="6"/>
      <c r="C1787" s="6"/>
      <c r="D1787" s="6"/>
      <c r="E1787" s="16" t="str">
        <f aca="false">IF($B1787="","",IFERROR(INDEX(Services!$C$2:$C$120,MATCH($B1787,Services!$D$2:$D$120,0)),""))</f>
        <v/>
      </c>
      <c r="F1787" s="19"/>
      <c r="G1787" s="9" t="str">
        <f aca="false">IF(OR($B1787="",NOT(ISNUMBER($E1787))),"",$E1787-IF($F1787="",0,$F1787))</f>
        <v/>
      </c>
      <c r="H1787" s="15" t="str">
        <f aca="false">IF($B1787="","",IFERROR(INDEX(Services!$A$2:$A$120,MATCH($B1787,Services!$D$2:$D$120,0)),""))</f>
        <v/>
      </c>
      <c r="I1787" s="19"/>
      <c r="J1787" s="15" t="str">
        <f aca="false">IF($B1787="","",IFERROR(INDEX(Services!$E$2:$E$120,MATCH($B1787,Services!$D$2:$D$120,0)),""))</f>
        <v/>
      </c>
    </row>
    <row r="1788" customFormat="false" ht="14.25" hidden="false" customHeight="false" outlineLevel="0" collapsed="false">
      <c r="A1788" s="18"/>
      <c r="B1788" s="6"/>
      <c r="C1788" s="6"/>
      <c r="D1788" s="6"/>
      <c r="E1788" s="16" t="str">
        <f aca="false">IF($B1788="","",IFERROR(INDEX(Services!$C$2:$C$120,MATCH($B1788,Services!$D$2:$D$120,0)),""))</f>
        <v/>
      </c>
      <c r="F1788" s="19"/>
      <c r="G1788" s="9" t="str">
        <f aca="false">IF(OR($B1788="",NOT(ISNUMBER($E1788))),"",$E1788-IF($F1788="",0,$F1788))</f>
        <v/>
      </c>
      <c r="H1788" s="15" t="str">
        <f aca="false">IF($B1788="","",IFERROR(INDEX(Services!$A$2:$A$120,MATCH($B1788,Services!$D$2:$D$120,0)),""))</f>
        <v/>
      </c>
      <c r="I1788" s="19"/>
      <c r="J1788" s="15" t="str">
        <f aca="false">IF($B1788="","",IFERROR(INDEX(Services!$E$2:$E$120,MATCH($B1788,Services!$D$2:$D$120,0)),""))</f>
        <v/>
      </c>
    </row>
    <row r="1789" customFormat="false" ht="14.25" hidden="false" customHeight="false" outlineLevel="0" collapsed="false">
      <c r="A1789" s="18"/>
      <c r="B1789" s="6"/>
      <c r="C1789" s="6"/>
      <c r="D1789" s="6"/>
      <c r="E1789" s="16" t="str">
        <f aca="false">IF($B1789="","",IFERROR(INDEX(Services!$C$2:$C$120,MATCH($B1789,Services!$D$2:$D$120,0)),""))</f>
        <v/>
      </c>
      <c r="F1789" s="19"/>
      <c r="G1789" s="9" t="str">
        <f aca="false">IF(OR($B1789="",NOT(ISNUMBER($E1789))),"",$E1789-IF($F1789="",0,$F1789))</f>
        <v/>
      </c>
      <c r="H1789" s="15" t="str">
        <f aca="false">IF($B1789="","",IFERROR(INDEX(Services!$A$2:$A$120,MATCH($B1789,Services!$D$2:$D$120,0)),""))</f>
        <v/>
      </c>
      <c r="I1789" s="19"/>
      <c r="J1789" s="15" t="str">
        <f aca="false">IF($B1789="","",IFERROR(INDEX(Services!$E$2:$E$120,MATCH($B1789,Services!$D$2:$D$120,0)),""))</f>
        <v/>
      </c>
    </row>
    <row r="1790" customFormat="false" ht="14.25" hidden="false" customHeight="false" outlineLevel="0" collapsed="false">
      <c r="A1790" s="18"/>
      <c r="B1790" s="6"/>
      <c r="C1790" s="6"/>
      <c r="D1790" s="6"/>
      <c r="E1790" s="16" t="str">
        <f aca="false">IF($B1790="","",IFERROR(INDEX(Services!$C$2:$C$120,MATCH($B1790,Services!$D$2:$D$120,0)),""))</f>
        <v/>
      </c>
      <c r="F1790" s="19"/>
      <c r="G1790" s="9" t="str">
        <f aca="false">IF(OR($B1790="",NOT(ISNUMBER($E1790))),"",$E1790-IF($F1790="",0,$F1790))</f>
        <v/>
      </c>
      <c r="H1790" s="15" t="str">
        <f aca="false">IF($B1790="","",IFERROR(INDEX(Services!$A$2:$A$120,MATCH($B1790,Services!$D$2:$D$120,0)),""))</f>
        <v/>
      </c>
      <c r="I1790" s="19"/>
      <c r="J1790" s="15" t="str">
        <f aca="false">IF($B1790="","",IFERROR(INDEX(Services!$E$2:$E$120,MATCH($B1790,Services!$D$2:$D$120,0)),""))</f>
        <v/>
      </c>
    </row>
    <row r="1791" customFormat="false" ht="14.25" hidden="false" customHeight="false" outlineLevel="0" collapsed="false">
      <c r="A1791" s="18"/>
      <c r="B1791" s="6"/>
      <c r="C1791" s="6"/>
      <c r="D1791" s="6"/>
      <c r="E1791" s="16" t="str">
        <f aca="false">IF($B1791="","",IFERROR(INDEX(Services!$C$2:$C$120,MATCH($B1791,Services!$D$2:$D$120,0)),""))</f>
        <v/>
      </c>
      <c r="F1791" s="19"/>
      <c r="G1791" s="9" t="str">
        <f aca="false">IF(OR($B1791="",NOT(ISNUMBER($E1791))),"",$E1791-IF($F1791="",0,$F1791))</f>
        <v/>
      </c>
      <c r="H1791" s="15" t="str">
        <f aca="false">IF($B1791="","",IFERROR(INDEX(Services!$A$2:$A$120,MATCH($B1791,Services!$D$2:$D$120,0)),""))</f>
        <v/>
      </c>
      <c r="I1791" s="19"/>
      <c r="J1791" s="15" t="str">
        <f aca="false">IF($B1791="","",IFERROR(INDEX(Services!$E$2:$E$120,MATCH($B1791,Services!$D$2:$D$120,0)),""))</f>
        <v/>
      </c>
    </row>
    <row r="1792" customFormat="false" ht="14.25" hidden="false" customHeight="false" outlineLevel="0" collapsed="false">
      <c r="A1792" s="18"/>
      <c r="B1792" s="6"/>
      <c r="C1792" s="6"/>
      <c r="D1792" s="6"/>
      <c r="E1792" s="16" t="str">
        <f aca="false">IF($B1792="","",IFERROR(INDEX(Services!$C$2:$C$120,MATCH($B1792,Services!$D$2:$D$120,0)),""))</f>
        <v/>
      </c>
      <c r="F1792" s="19"/>
      <c r="G1792" s="9" t="str">
        <f aca="false">IF(OR($B1792="",NOT(ISNUMBER($E1792))),"",$E1792-IF($F1792="",0,$F1792))</f>
        <v/>
      </c>
      <c r="H1792" s="15" t="str">
        <f aca="false">IF($B1792="","",IFERROR(INDEX(Services!$A$2:$A$120,MATCH($B1792,Services!$D$2:$D$120,0)),""))</f>
        <v/>
      </c>
      <c r="I1792" s="19"/>
      <c r="J1792" s="15" t="str">
        <f aca="false">IF($B1792="","",IFERROR(INDEX(Services!$E$2:$E$120,MATCH($B1792,Services!$D$2:$D$120,0)),""))</f>
        <v/>
      </c>
    </row>
    <row r="1793" customFormat="false" ht="14.25" hidden="false" customHeight="false" outlineLevel="0" collapsed="false">
      <c r="A1793" s="18"/>
      <c r="B1793" s="6"/>
      <c r="C1793" s="6"/>
      <c r="D1793" s="6"/>
      <c r="E1793" s="16" t="str">
        <f aca="false">IF($B1793="","",IFERROR(INDEX(Services!$C$2:$C$120,MATCH($B1793,Services!$D$2:$D$120,0)),""))</f>
        <v/>
      </c>
      <c r="F1793" s="19"/>
      <c r="G1793" s="9" t="str">
        <f aca="false">IF(OR($B1793="",NOT(ISNUMBER($E1793))),"",$E1793-IF($F1793="",0,$F1793))</f>
        <v/>
      </c>
      <c r="H1793" s="15" t="str">
        <f aca="false">IF($B1793="","",IFERROR(INDEX(Services!$A$2:$A$120,MATCH($B1793,Services!$D$2:$D$120,0)),""))</f>
        <v/>
      </c>
      <c r="I1793" s="19"/>
      <c r="J1793" s="15" t="str">
        <f aca="false">IF($B1793="","",IFERROR(INDEX(Services!$E$2:$E$120,MATCH($B1793,Services!$D$2:$D$120,0)),""))</f>
        <v/>
      </c>
    </row>
    <row r="1794" customFormat="false" ht="14.25" hidden="false" customHeight="false" outlineLevel="0" collapsed="false">
      <c r="A1794" s="18"/>
      <c r="B1794" s="6"/>
      <c r="C1794" s="6"/>
      <c r="D1794" s="6"/>
      <c r="E1794" s="16" t="str">
        <f aca="false">IF($B1794="","",IFERROR(INDEX(Services!$C$2:$C$120,MATCH($B1794,Services!$D$2:$D$120,0)),""))</f>
        <v/>
      </c>
      <c r="F1794" s="19"/>
      <c r="G1794" s="9" t="str">
        <f aca="false">IF(OR($B1794="",NOT(ISNUMBER($E1794))),"",$E1794-IF($F1794="",0,$F1794))</f>
        <v/>
      </c>
      <c r="H1794" s="15" t="str">
        <f aca="false">IF($B1794="","",IFERROR(INDEX(Services!$A$2:$A$120,MATCH($B1794,Services!$D$2:$D$120,0)),""))</f>
        <v/>
      </c>
      <c r="I1794" s="19"/>
      <c r="J1794" s="15" t="str">
        <f aca="false">IF($B1794="","",IFERROR(INDEX(Services!$E$2:$E$120,MATCH($B1794,Services!$D$2:$D$120,0)),""))</f>
        <v/>
      </c>
    </row>
    <row r="1795" customFormat="false" ht="14.25" hidden="false" customHeight="false" outlineLevel="0" collapsed="false">
      <c r="A1795" s="18"/>
      <c r="B1795" s="6"/>
      <c r="C1795" s="6"/>
      <c r="D1795" s="6"/>
      <c r="E1795" s="16" t="str">
        <f aca="false">IF($B1795="","",IFERROR(INDEX(Services!$C$2:$C$120,MATCH($B1795,Services!$D$2:$D$120,0)),""))</f>
        <v/>
      </c>
      <c r="F1795" s="19"/>
      <c r="G1795" s="9" t="str">
        <f aca="false">IF(OR($B1795="",NOT(ISNUMBER($E1795))),"",$E1795-IF($F1795="",0,$F1795))</f>
        <v/>
      </c>
      <c r="H1795" s="15" t="str">
        <f aca="false">IF($B1795="","",IFERROR(INDEX(Services!$A$2:$A$120,MATCH($B1795,Services!$D$2:$D$120,0)),""))</f>
        <v/>
      </c>
      <c r="I1795" s="19"/>
      <c r="J1795" s="15" t="str">
        <f aca="false">IF($B1795="","",IFERROR(INDEX(Services!$E$2:$E$120,MATCH($B1795,Services!$D$2:$D$120,0)),""))</f>
        <v/>
      </c>
    </row>
    <row r="1796" customFormat="false" ht="14.25" hidden="false" customHeight="false" outlineLevel="0" collapsed="false">
      <c r="A1796" s="18"/>
      <c r="B1796" s="6"/>
      <c r="C1796" s="6"/>
      <c r="D1796" s="6"/>
      <c r="E1796" s="16" t="str">
        <f aca="false">IF($B1796="","",IFERROR(INDEX(Services!$C$2:$C$120,MATCH($B1796,Services!$D$2:$D$120,0)),""))</f>
        <v/>
      </c>
      <c r="F1796" s="19"/>
      <c r="G1796" s="9" t="str">
        <f aca="false">IF(OR($B1796="",NOT(ISNUMBER($E1796))),"",$E1796-IF($F1796="",0,$F1796))</f>
        <v/>
      </c>
      <c r="H1796" s="15" t="str">
        <f aca="false">IF($B1796="","",IFERROR(INDEX(Services!$A$2:$A$120,MATCH($B1796,Services!$D$2:$D$120,0)),""))</f>
        <v/>
      </c>
      <c r="I1796" s="19"/>
      <c r="J1796" s="15" t="str">
        <f aca="false">IF($B1796="","",IFERROR(INDEX(Services!$E$2:$E$120,MATCH($B1796,Services!$D$2:$D$120,0)),""))</f>
        <v/>
      </c>
    </row>
    <row r="1797" customFormat="false" ht="14.25" hidden="false" customHeight="false" outlineLevel="0" collapsed="false">
      <c r="A1797" s="18"/>
      <c r="B1797" s="6"/>
      <c r="C1797" s="6"/>
      <c r="D1797" s="6"/>
      <c r="E1797" s="16" t="str">
        <f aca="false">IF($B1797="","",IFERROR(INDEX(Services!$C$2:$C$120,MATCH($B1797,Services!$D$2:$D$120,0)),""))</f>
        <v/>
      </c>
      <c r="F1797" s="19"/>
      <c r="G1797" s="9" t="str">
        <f aca="false">IF(OR($B1797="",NOT(ISNUMBER($E1797))),"",$E1797-IF($F1797="",0,$F1797))</f>
        <v/>
      </c>
      <c r="H1797" s="15" t="str">
        <f aca="false">IF($B1797="","",IFERROR(INDEX(Services!$A$2:$A$120,MATCH($B1797,Services!$D$2:$D$120,0)),""))</f>
        <v/>
      </c>
      <c r="I1797" s="19"/>
      <c r="J1797" s="15" t="str">
        <f aca="false">IF($B1797="","",IFERROR(INDEX(Services!$E$2:$E$120,MATCH($B1797,Services!$D$2:$D$120,0)),""))</f>
        <v/>
      </c>
    </row>
    <row r="1798" customFormat="false" ht="14.25" hidden="false" customHeight="false" outlineLevel="0" collapsed="false">
      <c r="A1798" s="18"/>
      <c r="B1798" s="6"/>
      <c r="C1798" s="6"/>
      <c r="D1798" s="6"/>
      <c r="E1798" s="16" t="str">
        <f aca="false">IF($B1798="","",IFERROR(INDEX(Services!$C$2:$C$120,MATCH($B1798,Services!$D$2:$D$120,0)),""))</f>
        <v/>
      </c>
      <c r="F1798" s="19"/>
      <c r="G1798" s="9" t="str">
        <f aca="false">IF(OR($B1798="",NOT(ISNUMBER($E1798))),"",$E1798-IF($F1798="",0,$F1798))</f>
        <v/>
      </c>
      <c r="H1798" s="15" t="str">
        <f aca="false">IF($B1798="","",IFERROR(INDEX(Services!$A$2:$A$120,MATCH($B1798,Services!$D$2:$D$120,0)),""))</f>
        <v/>
      </c>
      <c r="I1798" s="19"/>
      <c r="J1798" s="15" t="str">
        <f aca="false">IF($B1798="","",IFERROR(INDEX(Services!$E$2:$E$120,MATCH($B1798,Services!$D$2:$D$120,0)),""))</f>
        <v/>
      </c>
    </row>
    <row r="1799" customFormat="false" ht="14.25" hidden="false" customHeight="false" outlineLevel="0" collapsed="false">
      <c r="A1799" s="18"/>
      <c r="B1799" s="6"/>
      <c r="C1799" s="6"/>
      <c r="D1799" s="6"/>
      <c r="E1799" s="16" t="str">
        <f aca="false">IF($B1799="","",IFERROR(INDEX(Services!$C$2:$C$120,MATCH($B1799,Services!$D$2:$D$120,0)),""))</f>
        <v/>
      </c>
      <c r="F1799" s="19"/>
      <c r="G1799" s="9" t="str">
        <f aca="false">IF(OR($B1799="",NOT(ISNUMBER($E1799))),"",$E1799-IF($F1799="",0,$F1799))</f>
        <v/>
      </c>
      <c r="H1799" s="15" t="str">
        <f aca="false">IF($B1799="","",IFERROR(INDEX(Services!$A$2:$A$120,MATCH($B1799,Services!$D$2:$D$120,0)),""))</f>
        <v/>
      </c>
      <c r="I1799" s="19"/>
      <c r="J1799" s="15" t="str">
        <f aca="false">IF($B1799="","",IFERROR(INDEX(Services!$E$2:$E$120,MATCH($B1799,Services!$D$2:$D$120,0)),""))</f>
        <v/>
      </c>
    </row>
    <row r="1800" customFormat="false" ht="14.25" hidden="false" customHeight="false" outlineLevel="0" collapsed="false">
      <c r="A1800" s="18"/>
      <c r="B1800" s="6"/>
      <c r="C1800" s="6"/>
      <c r="D1800" s="6"/>
      <c r="E1800" s="16" t="str">
        <f aca="false">IF($B1800="","",IFERROR(INDEX(Services!$C$2:$C$120,MATCH($B1800,Services!$D$2:$D$120,0)),""))</f>
        <v/>
      </c>
      <c r="F1800" s="19"/>
      <c r="G1800" s="9" t="str">
        <f aca="false">IF(OR($B1800="",NOT(ISNUMBER($E1800))),"",$E1800-IF($F1800="",0,$F1800))</f>
        <v/>
      </c>
      <c r="H1800" s="15" t="str">
        <f aca="false">IF($B1800="","",IFERROR(INDEX(Services!$A$2:$A$120,MATCH($B1800,Services!$D$2:$D$120,0)),""))</f>
        <v/>
      </c>
      <c r="I1800" s="19"/>
      <c r="J1800" s="15" t="str">
        <f aca="false">IF($B1800="","",IFERROR(INDEX(Services!$E$2:$E$120,MATCH($B1800,Services!$D$2:$D$120,0)),""))</f>
        <v/>
      </c>
    </row>
    <row r="1801" customFormat="false" ht="14.25" hidden="false" customHeight="false" outlineLevel="0" collapsed="false">
      <c r="A1801" s="18"/>
      <c r="B1801" s="6"/>
      <c r="C1801" s="6"/>
      <c r="D1801" s="6"/>
      <c r="E1801" s="16" t="str">
        <f aca="false">IF($B1801="","",IFERROR(INDEX(Services!$C$2:$C$120,MATCH($B1801,Services!$D$2:$D$120,0)),""))</f>
        <v/>
      </c>
      <c r="F1801" s="19"/>
      <c r="G1801" s="9" t="str">
        <f aca="false">IF(OR($B1801="",NOT(ISNUMBER($E1801))),"",$E1801-IF($F1801="",0,$F1801))</f>
        <v/>
      </c>
      <c r="H1801" s="15" t="str">
        <f aca="false">IF($B1801="","",IFERROR(INDEX(Services!$A$2:$A$120,MATCH($B1801,Services!$D$2:$D$120,0)),""))</f>
        <v/>
      </c>
      <c r="I1801" s="19"/>
      <c r="J1801" s="15" t="str">
        <f aca="false">IF($B1801="","",IFERROR(INDEX(Services!$E$2:$E$120,MATCH($B1801,Services!$D$2:$D$120,0)),""))</f>
        <v/>
      </c>
    </row>
    <row r="1802" customFormat="false" ht="14.25" hidden="false" customHeight="false" outlineLevel="0" collapsed="false">
      <c r="A1802" s="18"/>
      <c r="B1802" s="6"/>
      <c r="C1802" s="6"/>
      <c r="D1802" s="6"/>
      <c r="E1802" s="16" t="str">
        <f aca="false">IF($B1802="","",IFERROR(INDEX(Services!$C$2:$C$120,MATCH($B1802,Services!$D$2:$D$120,0)),""))</f>
        <v/>
      </c>
      <c r="F1802" s="19"/>
      <c r="G1802" s="9" t="str">
        <f aca="false">IF(OR($B1802="",NOT(ISNUMBER($E1802))),"",$E1802-IF($F1802="",0,$F1802))</f>
        <v/>
      </c>
      <c r="H1802" s="15" t="str">
        <f aca="false">IF($B1802="","",IFERROR(INDEX(Services!$A$2:$A$120,MATCH($B1802,Services!$D$2:$D$120,0)),""))</f>
        <v/>
      </c>
      <c r="I1802" s="19"/>
      <c r="J1802" s="15" t="str">
        <f aca="false">IF($B1802="","",IFERROR(INDEX(Services!$E$2:$E$120,MATCH($B1802,Services!$D$2:$D$120,0)),""))</f>
        <v/>
      </c>
    </row>
    <row r="1803" customFormat="false" ht="14.25" hidden="false" customHeight="false" outlineLevel="0" collapsed="false">
      <c r="A1803" s="18"/>
      <c r="B1803" s="6"/>
      <c r="C1803" s="6"/>
      <c r="D1803" s="6"/>
      <c r="E1803" s="16" t="str">
        <f aca="false">IF($B1803="","",IFERROR(INDEX(Services!$C$2:$C$120,MATCH($B1803,Services!$D$2:$D$120,0)),""))</f>
        <v/>
      </c>
      <c r="F1803" s="19"/>
      <c r="G1803" s="9" t="str">
        <f aca="false">IF(OR($B1803="",NOT(ISNUMBER($E1803))),"",$E1803-IF($F1803="",0,$F1803))</f>
        <v/>
      </c>
      <c r="H1803" s="15" t="str">
        <f aca="false">IF($B1803="","",IFERROR(INDEX(Services!$A$2:$A$120,MATCH($B1803,Services!$D$2:$D$120,0)),""))</f>
        <v/>
      </c>
      <c r="I1803" s="19"/>
      <c r="J1803" s="15" t="str">
        <f aca="false">IF($B1803="","",IFERROR(INDEX(Services!$E$2:$E$120,MATCH($B1803,Services!$D$2:$D$120,0)),""))</f>
        <v/>
      </c>
    </row>
    <row r="1804" customFormat="false" ht="14.25" hidden="false" customHeight="false" outlineLevel="0" collapsed="false">
      <c r="A1804" s="18"/>
      <c r="B1804" s="6"/>
      <c r="C1804" s="6"/>
      <c r="D1804" s="6"/>
      <c r="E1804" s="16" t="str">
        <f aca="false">IF($B1804="","",IFERROR(INDEX(Services!$C$2:$C$120,MATCH($B1804,Services!$D$2:$D$120,0)),""))</f>
        <v/>
      </c>
      <c r="F1804" s="19"/>
      <c r="G1804" s="9" t="str">
        <f aca="false">IF(OR($B1804="",NOT(ISNUMBER($E1804))),"",$E1804-IF($F1804="",0,$F1804))</f>
        <v/>
      </c>
      <c r="H1804" s="15" t="str">
        <f aca="false">IF($B1804="","",IFERROR(INDEX(Services!$A$2:$A$120,MATCH($B1804,Services!$D$2:$D$120,0)),""))</f>
        <v/>
      </c>
      <c r="I1804" s="19"/>
      <c r="J1804" s="15" t="str">
        <f aca="false">IF($B1804="","",IFERROR(INDEX(Services!$E$2:$E$120,MATCH($B1804,Services!$D$2:$D$120,0)),""))</f>
        <v/>
      </c>
    </row>
    <row r="1805" customFormat="false" ht="14.25" hidden="false" customHeight="false" outlineLevel="0" collapsed="false">
      <c r="A1805" s="18"/>
      <c r="B1805" s="6"/>
      <c r="C1805" s="6"/>
      <c r="D1805" s="6"/>
      <c r="E1805" s="16" t="str">
        <f aca="false">IF($B1805="","",IFERROR(INDEX(Services!$C$2:$C$120,MATCH($B1805,Services!$D$2:$D$120,0)),""))</f>
        <v/>
      </c>
      <c r="F1805" s="19"/>
      <c r="G1805" s="9" t="str">
        <f aca="false">IF(OR($B1805="",NOT(ISNUMBER($E1805))),"",$E1805-IF($F1805="",0,$F1805))</f>
        <v/>
      </c>
      <c r="H1805" s="15" t="str">
        <f aca="false">IF($B1805="","",IFERROR(INDEX(Services!$A$2:$A$120,MATCH($B1805,Services!$D$2:$D$120,0)),""))</f>
        <v/>
      </c>
      <c r="I1805" s="19"/>
      <c r="J1805" s="15" t="str">
        <f aca="false">IF($B1805="","",IFERROR(INDEX(Services!$E$2:$E$120,MATCH($B1805,Services!$D$2:$D$120,0)),""))</f>
        <v/>
      </c>
    </row>
    <row r="1806" customFormat="false" ht="14.25" hidden="false" customHeight="false" outlineLevel="0" collapsed="false">
      <c r="A1806" s="18"/>
      <c r="B1806" s="6"/>
      <c r="C1806" s="6"/>
      <c r="D1806" s="6"/>
      <c r="E1806" s="16" t="str">
        <f aca="false">IF($B1806="","",IFERROR(INDEX(Services!$C$2:$C$120,MATCH($B1806,Services!$D$2:$D$120,0)),""))</f>
        <v/>
      </c>
      <c r="F1806" s="19"/>
      <c r="G1806" s="9" t="str">
        <f aca="false">IF(OR($B1806="",NOT(ISNUMBER($E1806))),"",$E1806-IF($F1806="",0,$F1806))</f>
        <v/>
      </c>
      <c r="H1806" s="15" t="str">
        <f aca="false">IF($B1806="","",IFERROR(INDEX(Services!$A$2:$A$120,MATCH($B1806,Services!$D$2:$D$120,0)),""))</f>
        <v/>
      </c>
      <c r="I1806" s="19"/>
      <c r="J1806" s="15" t="str">
        <f aca="false">IF($B1806="","",IFERROR(INDEX(Services!$E$2:$E$120,MATCH($B1806,Services!$D$2:$D$120,0)),""))</f>
        <v/>
      </c>
    </row>
    <row r="1807" customFormat="false" ht="14.25" hidden="false" customHeight="false" outlineLevel="0" collapsed="false">
      <c r="A1807" s="18"/>
      <c r="B1807" s="6"/>
      <c r="C1807" s="6"/>
      <c r="D1807" s="6"/>
      <c r="E1807" s="16" t="str">
        <f aca="false">IF($B1807="","",IFERROR(INDEX(Services!$C$2:$C$120,MATCH($B1807,Services!$D$2:$D$120,0)),""))</f>
        <v/>
      </c>
      <c r="F1807" s="19"/>
      <c r="G1807" s="9" t="str">
        <f aca="false">IF(OR($B1807="",NOT(ISNUMBER($E1807))),"",$E1807-IF($F1807="",0,$F1807))</f>
        <v/>
      </c>
      <c r="H1807" s="15" t="str">
        <f aca="false">IF($B1807="","",IFERROR(INDEX(Services!$A$2:$A$120,MATCH($B1807,Services!$D$2:$D$120,0)),""))</f>
        <v/>
      </c>
      <c r="I1807" s="19"/>
      <c r="J1807" s="15" t="str">
        <f aca="false">IF($B1807="","",IFERROR(INDEX(Services!$E$2:$E$120,MATCH($B1807,Services!$D$2:$D$120,0)),""))</f>
        <v/>
      </c>
    </row>
    <row r="1808" customFormat="false" ht="14.25" hidden="false" customHeight="false" outlineLevel="0" collapsed="false">
      <c r="A1808" s="18"/>
      <c r="B1808" s="6"/>
      <c r="C1808" s="6"/>
      <c r="D1808" s="6"/>
      <c r="E1808" s="16" t="str">
        <f aca="false">IF($B1808="","",IFERROR(INDEX(Services!$C$2:$C$120,MATCH($B1808,Services!$D$2:$D$120,0)),""))</f>
        <v/>
      </c>
      <c r="F1808" s="19"/>
      <c r="G1808" s="9" t="str">
        <f aca="false">IF(OR($B1808="",NOT(ISNUMBER($E1808))),"",$E1808-IF($F1808="",0,$F1808))</f>
        <v/>
      </c>
      <c r="H1808" s="15" t="str">
        <f aca="false">IF($B1808="","",IFERROR(INDEX(Services!$A$2:$A$120,MATCH($B1808,Services!$D$2:$D$120,0)),""))</f>
        <v/>
      </c>
      <c r="I1808" s="19"/>
      <c r="J1808" s="15" t="str">
        <f aca="false">IF($B1808="","",IFERROR(INDEX(Services!$E$2:$E$120,MATCH($B1808,Services!$D$2:$D$120,0)),""))</f>
        <v/>
      </c>
    </row>
    <row r="1809" customFormat="false" ht="14.25" hidden="false" customHeight="false" outlineLevel="0" collapsed="false">
      <c r="A1809" s="18"/>
      <c r="B1809" s="6"/>
      <c r="C1809" s="6"/>
      <c r="D1809" s="6"/>
      <c r="E1809" s="16" t="str">
        <f aca="false">IF($B1809="","",IFERROR(INDEX(Services!$C$2:$C$120,MATCH($B1809,Services!$D$2:$D$120,0)),""))</f>
        <v/>
      </c>
      <c r="F1809" s="19"/>
      <c r="G1809" s="9" t="str">
        <f aca="false">IF(OR($B1809="",NOT(ISNUMBER($E1809))),"",$E1809-IF($F1809="",0,$F1809))</f>
        <v/>
      </c>
      <c r="H1809" s="15" t="str">
        <f aca="false">IF($B1809="","",IFERROR(INDEX(Services!$A$2:$A$120,MATCH($B1809,Services!$D$2:$D$120,0)),""))</f>
        <v/>
      </c>
      <c r="I1809" s="19"/>
      <c r="J1809" s="15" t="str">
        <f aca="false">IF($B1809="","",IFERROR(INDEX(Services!$E$2:$E$120,MATCH($B1809,Services!$D$2:$D$120,0)),""))</f>
        <v/>
      </c>
    </row>
    <row r="1810" customFormat="false" ht="14.25" hidden="false" customHeight="false" outlineLevel="0" collapsed="false">
      <c r="A1810" s="18"/>
      <c r="B1810" s="6"/>
      <c r="C1810" s="6"/>
      <c r="D1810" s="6"/>
      <c r="E1810" s="16" t="str">
        <f aca="false">IF($B1810="","",IFERROR(INDEX(Services!$C$2:$C$120,MATCH($B1810,Services!$D$2:$D$120,0)),""))</f>
        <v/>
      </c>
      <c r="F1810" s="19"/>
      <c r="G1810" s="9" t="str">
        <f aca="false">IF(OR($B1810="",NOT(ISNUMBER($E1810))),"",$E1810-IF($F1810="",0,$F1810))</f>
        <v/>
      </c>
      <c r="H1810" s="15" t="str">
        <f aca="false">IF($B1810="","",IFERROR(INDEX(Services!$A$2:$A$120,MATCH($B1810,Services!$D$2:$D$120,0)),""))</f>
        <v/>
      </c>
      <c r="I1810" s="19"/>
      <c r="J1810" s="15" t="str">
        <f aca="false">IF($B1810="","",IFERROR(INDEX(Services!$E$2:$E$120,MATCH($B1810,Services!$D$2:$D$120,0)),""))</f>
        <v/>
      </c>
    </row>
    <row r="1811" customFormat="false" ht="14.25" hidden="false" customHeight="false" outlineLevel="0" collapsed="false">
      <c r="A1811" s="18"/>
      <c r="B1811" s="6"/>
      <c r="C1811" s="6"/>
      <c r="D1811" s="6"/>
      <c r="E1811" s="16" t="str">
        <f aca="false">IF($B1811="","",IFERROR(INDEX(Services!$C$2:$C$120,MATCH($B1811,Services!$D$2:$D$120,0)),""))</f>
        <v/>
      </c>
      <c r="F1811" s="19"/>
      <c r="G1811" s="9" t="str">
        <f aca="false">IF(OR($B1811="",NOT(ISNUMBER($E1811))),"",$E1811-IF($F1811="",0,$F1811))</f>
        <v/>
      </c>
      <c r="H1811" s="15" t="str">
        <f aca="false">IF($B1811="","",IFERROR(INDEX(Services!$A$2:$A$120,MATCH($B1811,Services!$D$2:$D$120,0)),""))</f>
        <v/>
      </c>
      <c r="I1811" s="19"/>
      <c r="J1811" s="15" t="str">
        <f aca="false">IF($B1811="","",IFERROR(INDEX(Services!$E$2:$E$120,MATCH($B1811,Services!$D$2:$D$120,0)),""))</f>
        <v/>
      </c>
    </row>
    <row r="1812" customFormat="false" ht="14.25" hidden="false" customHeight="false" outlineLevel="0" collapsed="false">
      <c r="A1812" s="18"/>
      <c r="B1812" s="6"/>
      <c r="C1812" s="6"/>
      <c r="D1812" s="6"/>
      <c r="E1812" s="16" t="str">
        <f aca="false">IF($B1812="","",IFERROR(INDEX(Services!$C$2:$C$120,MATCH($B1812,Services!$D$2:$D$120,0)),""))</f>
        <v/>
      </c>
      <c r="F1812" s="19"/>
      <c r="G1812" s="9" t="str">
        <f aca="false">IF(OR($B1812="",NOT(ISNUMBER($E1812))),"",$E1812-IF($F1812="",0,$F1812))</f>
        <v/>
      </c>
      <c r="H1812" s="15" t="str">
        <f aca="false">IF($B1812="","",IFERROR(INDEX(Services!$A$2:$A$120,MATCH($B1812,Services!$D$2:$D$120,0)),""))</f>
        <v/>
      </c>
      <c r="I1812" s="19"/>
      <c r="J1812" s="15" t="str">
        <f aca="false">IF($B1812="","",IFERROR(INDEX(Services!$E$2:$E$120,MATCH($B1812,Services!$D$2:$D$120,0)),""))</f>
        <v/>
      </c>
    </row>
    <row r="1813" customFormat="false" ht="14.25" hidden="false" customHeight="false" outlineLevel="0" collapsed="false">
      <c r="A1813" s="18"/>
      <c r="B1813" s="6"/>
      <c r="C1813" s="6"/>
      <c r="D1813" s="6"/>
      <c r="E1813" s="16" t="str">
        <f aca="false">IF($B1813="","",IFERROR(INDEX(Services!$C$2:$C$120,MATCH($B1813,Services!$D$2:$D$120,0)),""))</f>
        <v/>
      </c>
      <c r="F1813" s="19"/>
      <c r="G1813" s="9" t="str">
        <f aca="false">IF(OR($B1813="",NOT(ISNUMBER($E1813))),"",$E1813-IF($F1813="",0,$F1813))</f>
        <v/>
      </c>
      <c r="H1813" s="15" t="str">
        <f aca="false">IF($B1813="","",IFERROR(INDEX(Services!$A$2:$A$120,MATCH($B1813,Services!$D$2:$D$120,0)),""))</f>
        <v/>
      </c>
      <c r="I1813" s="19"/>
      <c r="J1813" s="15" t="str">
        <f aca="false">IF($B1813="","",IFERROR(INDEX(Services!$E$2:$E$120,MATCH($B1813,Services!$D$2:$D$120,0)),""))</f>
        <v/>
      </c>
    </row>
    <row r="1814" customFormat="false" ht="14.25" hidden="false" customHeight="false" outlineLevel="0" collapsed="false">
      <c r="A1814" s="18"/>
      <c r="B1814" s="6"/>
      <c r="C1814" s="6"/>
      <c r="D1814" s="6"/>
      <c r="E1814" s="16" t="str">
        <f aca="false">IF($B1814="","",IFERROR(INDEX(Services!$C$2:$C$120,MATCH($B1814,Services!$D$2:$D$120,0)),""))</f>
        <v/>
      </c>
      <c r="F1814" s="19"/>
      <c r="G1814" s="9" t="str">
        <f aca="false">IF(OR($B1814="",NOT(ISNUMBER($E1814))),"",$E1814-IF($F1814="",0,$F1814))</f>
        <v/>
      </c>
      <c r="H1814" s="15" t="str">
        <f aca="false">IF($B1814="","",IFERROR(INDEX(Services!$A$2:$A$120,MATCH($B1814,Services!$D$2:$D$120,0)),""))</f>
        <v/>
      </c>
      <c r="I1814" s="19"/>
      <c r="J1814" s="15" t="str">
        <f aca="false">IF($B1814="","",IFERROR(INDEX(Services!$E$2:$E$120,MATCH($B1814,Services!$D$2:$D$120,0)),""))</f>
        <v/>
      </c>
    </row>
    <row r="1815" customFormat="false" ht="14.25" hidden="false" customHeight="false" outlineLevel="0" collapsed="false">
      <c r="A1815" s="18"/>
      <c r="B1815" s="6"/>
      <c r="C1815" s="6"/>
      <c r="D1815" s="6"/>
      <c r="E1815" s="16" t="str">
        <f aca="false">IF($B1815="","",IFERROR(INDEX(Services!$C$2:$C$120,MATCH($B1815,Services!$D$2:$D$120,0)),""))</f>
        <v/>
      </c>
      <c r="F1815" s="19"/>
      <c r="G1815" s="9" t="str">
        <f aca="false">IF(OR($B1815="",NOT(ISNUMBER($E1815))),"",$E1815-IF($F1815="",0,$F1815))</f>
        <v/>
      </c>
      <c r="H1815" s="15" t="str">
        <f aca="false">IF($B1815="","",IFERROR(INDEX(Services!$A$2:$A$120,MATCH($B1815,Services!$D$2:$D$120,0)),""))</f>
        <v/>
      </c>
      <c r="I1815" s="19"/>
      <c r="J1815" s="15" t="str">
        <f aca="false">IF($B1815="","",IFERROR(INDEX(Services!$E$2:$E$120,MATCH($B1815,Services!$D$2:$D$120,0)),""))</f>
        <v/>
      </c>
    </row>
    <row r="1816" customFormat="false" ht="14.25" hidden="false" customHeight="false" outlineLevel="0" collapsed="false">
      <c r="A1816" s="18"/>
      <c r="B1816" s="6"/>
      <c r="C1816" s="6"/>
      <c r="D1816" s="6"/>
      <c r="E1816" s="16" t="str">
        <f aca="false">IF($B1816="","",IFERROR(INDEX(Services!$C$2:$C$120,MATCH($B1816,Services!$D$2:$D$120,0)),""))</f>
        <v/>
      </c>
      <c r="F1816" s="19"/>
      <c r="G1816" s="9" t="str">
        <f aca="false">IF(OR($B1816="",NOT(ISNUMBER($E1816))),"",$E1816-IF($F1816="",0,$F1816))</f>
        <v/>
      </c>
      <c r="H1816" s="15" t="str">
        <f aca="false">IF($B1816="","",IFERROR(INDEX(Services!$A$2:$A$120,MATCH($B1816,Services!$D$2:$D$120,0)),""))</f>
        <v/>
      </c>
      <c r="I1816" s="19"/>
      <c r="J1816" s="15" t="str">
        <f aca="false">IF($B1816="","",IFERROR(INDEX(Services!$E$2:$E$120,MATCH($B1816,Services!$D$2:$D$120,0)),""))</f>
        <v/>
      </c>
    </row>
    <row r="1817" customFormat="false" ht="14.25" hidden="false" customHeight="false" outlineLevel="0" collapsed="false">
      <c r="A1817" s="18"/>
      <c r="B1817" s="6"/>
      <c r="C1817" s="6"/>
      <c r="D1817" s="6"/>
      <c r="E1817" s="16" t="str">
        <f aca="false">IF($B1817="","",IFERROR(INDEX(Services!$C$2:$C$120,MATCH($B1817,Services!$D$2:$D$120,0)),""))</f>
        <v/>
      </c>
      <c r="F1817" s="19"/>
      <c r="G1817" s="9" t="str">
        <f aca="false">IF(OR($B1817="",NOT(ISNUMBER($E1817))),"",$E1817-IF($F1817="",0,$F1817))</f>
        <v/>
      </c>
      <c r="H1817" s="15" t="str">
        <f aca="false">IF($B1817="","",IFERROR(INDEX(Services!$A$2:$A$120,MATCH($B1817,Services!$D$2:$D$120,0)),""))</f>
        <v/>
      </c>
      <c r="I1817" s="19"/>
      <c r="J1817" s="15" t="str">
        <f aca="false">IF($B1817="","",IFERROR(INDEX(Services!$E$2:$E$120,MATCH($B1817,Services!$D$2:$D$120,0)),""))</f>
        <v/>
      </c>
    </row>
    <row r="1818" customFormat="false" ht="14.25" hidden="false" customHeight="false" outlineLevel="0" collapsed="false">
      <c r="A1818" s="18"/>
      <c r="B1818" s="6"/>
      <c r="C1818" s="6"/>
      <c r="D1818" s="6"/>
      <c r="E1818" s="16" t="str">
        <f aca="false">IF($B1818="","",IFERROR(INDEX(Services!$C$2:$C$120,MATCH($B1818,Services!$D$2:$D$120,0)),""))</f>
        <v/>
      </c>
      <c r="F1818" s="19"/>
      <c r="G1818" s="9" t="str">
        <f aca="false">IF(OR($B1818="",NOT(ISNUMBER($E1818))),"",$E1818-IF($F1818="",0,$F1818))</f>
        <v/>
      </c>
      <c r="H1818" s="15" t="str">
        <f aca="false">IF($B1818="","",IFERROR(INDEX(Services!$A$2:$A$120,MATCH($B1818,Services!$D$2:$D$120,0)),""))</f>
        <v/>
      </c>
      <c r="I1818" s="19"/>
      <c r="J1818" s="15" t="str">
        <f aca="false">IF($B1818="","",IFERROR(INDEX(Services!$E$2:$E$120,MATCH($B1818,Services!$D$2:$D$120,0)),""))</f>
        <v/>
      </c>
    </row>
    <row r="1819" customFormat="false" ht="14.25" hidden="false" customHeight="false" outlineLevel="0" collapsed="false">
      <c r="A1819" s="18"/>
      <c r="B1819" s="6"/>
      <c r="C1819" s="6"/>
      <c r="D1819" s="6"/>
      <c r="E1819" s="16" t="str">
        <f aca="false">IF($B1819="","",IFERROR(INDEX(Services!$C$2:$C$120,MATCH($B1819,Services!$D$2:$D$120,0)),""))</f>
        <v/>
      </c>
      <c r="F1819" s="19"/>
      <c r="G1819" s="9" t="str">
        <f aca="false">IF(OR($B1819="",NOT(ISNUMBER($E1819))),"",$E1819-IF($F1819="",0,$F1819))</f>
        <v/>
      </c>
      <c r="H1819" s="15" t="str">
        <f aca="false">IF($B1819="","",IFERROR(INDEX(Services!$A$2:$A$120,MATCH($B1819,Services!$D$2:$D$120,0)),""))</f>
        <v/>
      </c>
      <c r="I1819" s="19"/>
      <c r="J1819" s="15" t="str">
        <f aca="false">IF($B1819="","",IFERROR(INDEX(Services!$E$2:$E$120,MATCH($B1819,Services!$D$2:$D$120,0)),""))</f>
        <v/>
      </c>
    </row>
    <row r="1820" customFormat="false" ht="14.25" hidden="false" customHeight="false" outlineLevel="0" collapsed="false">
      <c r="A1820" s="18"/>
      <c r="B1820" s="6"/>
      <c r="C1820" s="6"/>
      <c r="D1820" s="6"/>
      <c r="E1820" s="16" t="str">
        <f aca="false">IF($B1820="","",IFERROR(INDEX(Services!$C$2:$C$120,MATCH($B1820,Services!$D$2:$D$120,0)),""))</f>
        <v/>
      </c>
      <c r="F1820" s="19"/>
      <c r="G1820" s="9" t="str">
        <f aca="false">IF(OR($B1820="",NOT(ISNUMBER($E1820))),"",$E1820-IF($F1820="",0,$F1820))</f>
        <v/>
      </c>
      <c r="H1820" s="15" t="str">
        <f aca="false">IF($B1820="","",IFERROR(INDEX(Services!$A$2:$A$120,MATCH($B1820,Services!$D$2:$D$120,0)),""))</f>
        <v/>
      </c>
      <c r="I1820" s="19"/>
      <c r="J1820" s="15" t="str">
        <f aca="false">IF($B1820="","",IFERROR(INDEX(Services!$E$2:$E$120,MATCH($B1820,Services!$D$2:$D$120,0)),""))</f>
        <v/>
      </c>
    </row>
    <row r="1821" customFormat="false" ht="14.25" hidden="false" customHeight="false" outlineLevel="0" collapsed="false">
      <c r="A1821" s="18"/>
      <c r="B1821" s="6"/>
      <c r="C1821" s="6"/>
      <c r="D1821" s="6"/>
      <c r="E1821" s="16" t="str">
        <f aca="false">IF($B1821="","",IFERROR(INDEX(Services!$C$2:$C$120,MATCH($B1821,Services!$D$2:$D$120,0)),""))</f>
        <v/>
      </c>
      <c r="F1821" s="19"/>
      <c r="G1821" s="9" t="str">
        <f aca="false">IF(OR($B1821="",NOT(ISNUMBER($E1821))),"",$E1821-IF($F1821="",0,$F1821))</f>
        <v/>
      </c>
      <c r="H1821" s="15" t="str">
        <f aca="false">IF($B1821="","",IFERROR(INDEX(Services!$A$2:$A$120,MATCH($B1821,Services!$D$2:$D$120,0)),""))</f>
        <v/>
      </c>
      <c r="I1821" s="19"/>
      <c r="J1821" s="15" t="str">
        <f aca="false">IF($B1821="","",IFERROR(INDEX(Services!$E$2:$E$120,MATCH($B1821,Services!$D$2:$D$120,0)),""))</f>
        <v/>
      </c>
    </row>
    <row r="1822" customFormat="false" ht="14.25" hidden="false" customHeight="false" outlineLevel="0" collapsed="false">
      <c r="A1822" s="18"/>
      <c r="B1822" s="6"/>
      <c r="C1822" s="6"/>
      <c r="D1822" s="6"/>
      <c r="E1822" s="16" t="str">
        <f aca="false">IF($B1822="","",IFERROR(INDEX(Services!$C$2:$C$120,MATCH($B1822,Services!$D$2:$D$120,0)),""))</f>
        <v/>
      </c>
      <c r="F1822" s="19"/>
      <c r="G1822" s="9" t="str">
        <f aca="false">IF(OR($B1822="",NOT(ISNUMBER($E1822))),"",$E1822-IF($F1822="",0,$F1822))</f>
        <v/>
      </c>
      <c r="H1822" s="15" t="str">
        <f aca="false">IF($B1822="","",IFERROR(INDEX(Services!$A$2:$A$120,MATCH($B1822,Services!$D$2:$D$120,0)),""))</f>
        <v/>
      </c>
      <c r="I1822" s="19"/>
      <c r="J1822" s="15" t="str">
        <f aca="false">IF($B1822="","",IFERROR(INDEX(Services!$E$2:$E$120,MATCH($B1822,Services!$D$2:$D$120,0)),""))</f>
        <v/>
      </c>
    </row>
    <row r="1823" customFormat="false" ht="14.25" hidden="false" customHeight="false" outlineLevel="0" collapsed="false">
      <c r="A1823" s="18"/>
      <c r="B1823" s="6"/>
      <c r="C1823" s="6"/>
      <c r="D1823" s="6"/>
      <c r="E1823" s="16" t="str">
        <f aca="false">IF($B1823="","",IFERROR(INDEX(Services!$C$2:$C$120,MATCH($B1823,Services!$D$2:$D$120,0)),""))</f>
        <v/>
      </c>
      <c r="F1823" s="19"/>
      <c r="G1823" s="9" t="str">
        <f aca="false">IF(OR($B1823="",NOT(ISNUMBER($E1823))),"",$E1823-IF($F1823="",0,$F1823))</f>
        <v/>
      </c>
      <c r="H1823" s="15" t="str">
        <f aca="false">IF($B1823="","",IFERROR(INDEX(Services!$A$2:$A$120,MATCH($B1823,Services!$D$2:$D$120,0)),""))</f>
        <v/>
      </c>
      <c r="I1823" s="19"/>
      <c r="J1823" s="15" t="str">
        <f aca="false">IF($B1823="","",IFERROR(INDEX(Services!$E$2:$E$120,MATCH($B1823,Services!$D$2:$D$120,0)),""))</f>
        <v/>
      </c>
    </row>
    <row r="1824" customFormat="false" ht="14.25" hidden="false" customHeight="false" outlineLevel="0" collapsed="false">
      <c r="A1824" s="18"/>
      <c r="B1824" s="6"/>
      <c r="C1824" s="6"/>
      <c r="D1824" s="6"/>
      <c r="E1824" s="16" t="str">
        <f aca="false">IF($B1824="","",IFERROR(INDEX(Services!$C$2:$C$120,MATCH($B1824,Services!$D$2:$D$120,0)),""))</f>
        <v/>
      </c>
      <c r="F1824" s="19"/>
      <c r="G1824" s="9" t="str">
        <f aca="false">IF(OR($B1824="",NOT(ISNUMBER($E1824))),"",$E1824-IF($F1824="",0,$F1824))</f>
        <v/>
      </c>
      <c r="H1824" s="15" t="str">
        <f aca="false">IF($B1824="","",IFERROR(INDEX(Services!$A$2:$A$120,MATCH($B1824,Services!$D$2:$D$120,0)),""))</f>
        <v/>
      </c>
      <c r="I1824" s="19"/>
      <c r="J1824" s="15" t="str">
        <f aca="false">IF($B1824="","",IFERROR(INDEX(Services!$E$2:$E$120,MATCH($B1824,Services!$D$2:$D$120,0)),""))</f>
        <v/>
      </c>
    </row>
    <row r="1825" customFormat="false" ht="14.25" hidden="false" customHeight="false" outlineLevel="0" collapsed="false">
      <c r="A1825" s="18"/>
      <c r="B1825" s="6"/>
      <c r="C1825" s="6"/>
      <c r="D1825" s="6"/>
      <c r="E1825" s="16" t="str">
        <f aca="false">IF($B1825="","",IFERROR(INDEX(Services!$C$2:$C$120,MATCH($B1825,Services!$D$2:$D$120,0)),""))</f>
        <v/>
      </c>
      <c r="F1825" s="19"/>
      <c r="G1825" s="9" t="str">
        <f aca="false">IF(OR($B1825="",NOT(ISNUMBER($E1825))),"",$E1825-IF($F1825="",0,$F1825))</f>
        <v/>
      </c>
      <c r="H1825" s="15" t="str">
        <f aca="false">IF($B1825="","",IFERROR(INDEX(Services!$A$2:$A$120,MATCH($B1825,Services!$D$2:$D$120,0)),""))</f>
        <v/>
      </c>
      <c r="I1825" s="19"/>
      <c r="J1825" s="15" t="str">
        <f aca="false">IF($B1825="","",IFERROR(INDEX(Services!$E$2:$E$120,MATCH($B1825,Services!$D$2:$D$120,0)),""))</f>
        <v/>
      </c>
    </row>
    <row r="1826" customFormat="false" ht="14.25" hidden="false" customHeight="false" outlineLevel="0" collapsed="false">
      <c r="A1826" s="18"/>
      <c r="B1826" s="6"/>
      <c r="C1826" s="6"/>
      <c r="D1826" s="6"/>
      <c r="E1826" s="16" t="str">
        <f aca="false">IF($B1826="","",IFERROR(INDEX(Services!$C$2:$C$120,MATCH($B1826,Services!$D$2:$D$120,0)),""))</f>
        <v/>
      </c>
      <c r="F1826" s="19"/>
      <c r="G1826" s="9" t="str">
        <f aca="false">IF(OR($B1826="",NOT(ISNUMBER($E1826))),"",$E1826-IF($F1826="",0,$F1826))</f>
        <v/>
      </c>
      <c r="H1826" s="15" t="str">
        <f aca="false">IF($B1826="","",IFERROR(INDEX(Services!$A$2:$A$120,MATCH($B1826,Services!$D$2:$D$120,0)),""))</f>
        <v/>
      </c>
      <c r="I1826" s="19"/>
      <c r="J1826" s="15" t="str">
        <f aca="false">IF($B1826="","",IFERROR(INDEX(Services!$E$2:$E$120,MATCH($B1826,Services!$D$2:$D$120,0)),""))</f>
        <v/>
      </c>
    </row>
    <row r="1827" customFormat="false" ht="14.25" hidden="false" customHeight="false" outlineLevel="0" collapsed="false">
      <c r="A1827" s="18"/>
      <c r="B1827" s="6"/>
      <c r="C1827" s="6"/>
      <c r="D1827" s="6"/>
      <c r="E1827" s="16" t="str">
        <f aca="false">IF($B1827="","",IFERROR(INDEX(Services!$C$2:$C$120,MATCH($B1827,Services!$D$2:$D$120,0)),""))</f>
        <v/>
      </c>
      <c r="F1827" s="19"/>
      <c r="G1827" s="9" t="str">
        <f aca="false">IF(OR($B1827="",NOT(ISNUMBER($E1827))),"",$E1827-IF($F1827="",0,$F1827))</f>
        <v/>
      </c>
      <c r="H1827" s="15" t="str">
        <f aca="false">IF($B1827="","",IFERROR(INDEX(Services!$A$2:$A$120,MATCH($B1827,Services!$D$2:$D$120,0)),""))</f>
        <v/>
      </c>
      <c r="I1827" s="19"/>
      <c r="J1827" s="15" t="str">
        <f aca="false">IF($B1827="","",IFERROR(INDEX(Services!$E$2:$E$120,MATCH($B1827,Services!$D$2:$D$120,0)),""))</f>
        <v/>
      </c>
    </row>
    <row r="1828" customFormat="false" ht="14.25" hidden="false" customHeight="false" outlineLevel="0" collapsed="false">
      <c r="A1828" s="18"/>
      <c r="B1828" s="6"/>
      <c r="C1828" s="6"/>
      <c r="D1828" s="6"/>
      <c r="E1828" s="16" t="str">
        <f aca="false">IF($B1828="","",IFERROR(INDEX(Services!$C$2:$C$120,MATCH($B1828,Services!$D$2:$D$120,0)),""))</f>
        <v/>
      </c>
      <c r="F1828" s="19"/>
      <c r="G1828" s="9" t="str">
        <f aca="false">IF(OR($B1828="",NOT(ISNUMBER($E1828))),"",$E1828-IF($F1828="",0,$F1828))</f>
        <v/>
      </c>
      <c r="H1828" s="15" t="str">
        <f aca="false">IF($B1828="","",IFERROR(INDEX(Services!$A$2:$A$120,MATCH($B1828,Services!$D$2:$D$120,0)),""))</f>
        <v/>
      </c>
      <c r="I1828" s="19"/>
      <c r="J1828" s="15" t="str">
        <f aca="false">IF($B1828="","",IFERROR(INDEX(Services!$E$2:$E$120,MATCH($B1828,Services!$D$2:$D$120,0)),""))</f>
        <v/>
      </c>
    </row>
    <row r="1829" customFormat="false" ht="14.25" hidden="false" customHeight="false" outlineLevel="0" collapsed="false">
      <c r="A1829" s="18"/>
      <c r="B1829" s="6"/>
      <c r="C1829" s="6"/>
      <c r="D1829" s="6"/>
      <c r="E1829" s="16" t="str">
        <f aca="false">IF($B1829="","",IFERROR(INDEX(Services!$C$2:$C$120,MATCH($B1829,Services!$D$2:$D$120,0)),""))</f>
        <v/>
      </c>
      <c r="F1829" s="19"/>
      <c r="G1829" s="9" t="str">
        <f aca="false">IF(OR($B1829="",NOT(ISNUMBER($E1829))),"",$E1829-IF($F1829="",0,$F1829))</f>
        <v/>
      </c>
      <c r="H1829" s="15" t="str">
        <f aca="false">IF($B1829="","",IFERROR(INDEX(Services!$A$2:$A$120,MATCH($B1829,Services!$D$2:$D$120,0)),""))</f>
        <v/>
      </c>
      <c r="I1829" s="19"/>
      <c r="J1829" s="15" t="str">
        <f aca="false">IF($B1829="","",IFERROR(INDEX(Services!$E$2:$E$120,MATCH($B1829,Services!$D$2:$D$120,0)),""))</f>
        <v/>
      </c>
    </row>
    <row r="1830" customFormat="false" ht="14.25" hidden="false" customHeight="false" outlineLevel="0" collapsed="false">
      <c r="A1830" s="18"/>
      <c r="B1830" s="6"/>
      <c r="C1830" s="6"/>
      <c r="D1830" s="6"/>
      <c r="E1830" s="16" t="str">
        <f aca="false">IF($B1830="","",IFERROR(INDEX(Services!$C$2:$C$120,MATCH($B1830,Services!$D$2:$D$120,0)),""))</f>
        <v/>
      </c>
      <c r="F1830" s="19"/>
      <c r="G1830" s="9" t="str">
        <f aca="false">IF(OR($B1830="",NOT(ISNUMBER($E1830))),"",$E1830-IF($F1830="",0,$F1830))</f>
        <v/>
      </c>
      <c r="H1830" s="15" t="str">
        <f aca="false">IF($B1830="","",IFERROR(INDEX(Services!$A$2:$A$120,MATCH($B1830,Services!$D$2:$D$120,0)),""))</f>
        <v/>
      </c>
      <c r="I1830" s="19"/>
      <c r="J1830" s="15" t="str">
        <f aca="false">IF($B1830="","",IFERROR(INDEX(Services!$E$2:$E$120,MATCH($B1830,Services!$D$2:$D$120,0)),""))</f>
        <v/>
      </c>
    </row>
    <row r="1831" customFormat="false" ht="14.25" hidden="false" customHeight="false" outlineLevel="0" collapsed="false">
      <c r="A1831" s="18"/>
      <c r="B1831" s="6"/>
      <c r="C1831" s="6"/>
      <c r="D1831" s="6"/>
      <c r="E1831" s="16" t="str">
        <f aca="false">IF($B1831="","",IFERROR(INDEX(Services!$C$2:$C$120,MATCH($B1831,Services!$D$2:$D$120,0)),""))</f>
        <v/>
      </c>
      <c r="F1831" s="19"/>
      <c r="G1831" s="9" t="str">
        <f aca="false">IF(OR($B1831="",NOT(ISNUMBER($E1831))),"",$E1831-IF($F1831="",0,$F1831))</f>
        <v/>
      </c>
      <c r="H1831" s="15" t="str">
        <f aca="false">IF($B1831="","",IFERROR(INDEX(Services!$A$2:$A$120,MATCH($B1831,Services!$D$2:$D$120,0)),""))</f>
        <v/>
      </c>
      <c r="I1831" s="19"/>
      <c r="J1831" s="15" t="str">
        <f aca="false">IF($B1831="","",IFERROR(INDEX(Services!$E$2:$E$120,MATCH($B1831,Services!$D$2:$D$120,0)),""))</f>
        <v/>
      </c>
    </row>
    <row r="1832" customFormat="false" ht="14.25" hidden="false" customHeight="false" outlineLevel="0" collapsed="false">
      <c r="A1832" s="18"/>
      <c r="B1832" s="6"/>
      <c r="C1832" s="6"/>
      <c r="D1832" s="6"/>
      <c r="E1832" s="16" t="str">
        <f aca="false">IF($B1832="","",IFERROR(INDEX(Services!$C$2:$C$120,MATCH($B1832,Services!$D$2:$D$120,0)),""))</f>
        <v/>
      </c>
      <c r="F1832" s="19"/>
      <c r="G1832" s="9" t="str">
        <f aca="false">IF(OR($B1832="",NOT(ISNUMBER($E1832))),"",$E1832-IF($F1832="",0,$F1832))</f>
        <v/>
      </c>
      <c r="H1832" s="15" t="str">
        <f aca="false">IF($B1832="","",IFERROR(INDEX(Services!$A$2:$A$120,MATCH($B1832,Services!$D$2:$D$120,0)),""))</f>
        <v/>
      </c>
      <c r="I1832" s="19"/>
      <c r="J1832" s="15" t="str">
        <f aca="false">IF($B1832="","",IFERROR(INDEX(Services!$E$2:$E$120,MATCH($B1832,Services!$D$2:$D$120,0)),""))</f>
        <v/>
      </c>
    </row>
    <row r="1833" customFormat="false" ht="14.25" hidden="false" customHeight="false" outlineLevel="0" collapsed="false">
      <c r="A1833" s="18"/>
      <c r="B1833" s="6"/>
      <c r="C1833" s="6"/>
      <c r="D1833" s="6"/>
      <c r="E1833" s="16" t="str">
        <f aca="false">IF($B1833="","",IFERROR(INDEX(Services!$C$2:$C$120,MATCH($B1833,Services!$D$2:$D$120,0)),""))</f>
        <v/>
      </c>
      <c r="F1833" s="19"/>
      <c r="G1833" s="9" t="str">
        <f aca="false">IF(OR($B1833="",NOT(ISNUMBER($E1833))),"",$E1833-IF($F1833="",0,$F1833))</f>
        <v/>
      </c>
      <c r="H1833" s="15" t="str">
        <f aca="false">IF($B1833="","",IFERROR(INDEX(Services!$A$2:$A$120,MATCH($B1833,Services!$D$2:$D$120,0)),""))</f>
        <v/>
      </c>
      <c r="I1833" s="19"/>
      <c r="J1833" s="15" t="str">
        <f aca="false">IF($B1833="","",IFERROR(INDEX(Services!$E$2:$E$120,MATCH($B1833,Services!$D$2:$D$120,0)),""))</f>
        <v/>
      </c>
    </row>
    <row r="1834" customFormat="false" ht="14.25" hidden="false" customHeight="false" outlineLevel="0" collapsed="false">
      <c r="A1834" s="18"/>
      <c r="B1834" s="6"/>
      <c r="C1834" s="6"/>
      <c r="D1834" s="6"/>
      <c r="E1834" s="16" t="str">
        <f aca="false">IF($B1834="","",IFERROR(INDEX(Services!$C$2:$C$120,MATCH($B1834,Services!$D$2:$D$120,0)),""))</f>
        <v/>
      </c>
      <c r="F1834" s="19"/>
      <c r="G1834" s="9" t="str">
        <f aca="false">IF(OR($B1834="",NOT(ISNUMBER($E1834))),"",$E1834-IF($F1834="",0,$F1834))</f>
        <v/>
      </c>
      <c r="H1834" s="15" t="str">
        <f aca="false">IF($B1834="","",IFERROR(INDEX(Services!$A$2:$A$120,MATCH($B1834,Services!$D$2:$D$120,0)),""))</f>
        <v/>
      </c>
      <c r="I1834" s="19"/>
      <c r="J1834" s="15" t="str">
        <f aca="false">IF($B1834="","",IFERROR(INDEX(Services!$E$2:$E$120,MATCH($B1834,Services!$D$2:$D$120,0)),""))</f>
        <v/>
      </c>
    </row>
    <row r="1835" customFormat="false" ht="14.25" hidden="false" customHeight="false" outlineLevel="0" collapsed="false">
      <c r="A1835" s="18"/>
      <c r="B1835" s="6"/>
      <c r="C1835" s="6"/>
      <c r="D1835" s="6"/>
      <c r="E1835" s="16" t="str">
        <f aca="false">IF($B1835="","",IFERROR(INDEX(Services!$C$2:$C$120,MATCH($B1835,Services!$D$2:$D$120,0)),""))</f>
        <v/>
      </c>
      <c r="F1835" s="19"/>
      <c r="G1835" s="9" t="str">
        <f aca="false">IF(OR($B1835="",NOT(ISNUMBER($E1835))),"",$E1835-IF($F1835="",0,$F1835))</f>
        <v/>
      </c>
      <c r="H1835" s="15" t="str">
        <f aca="false">IF($B1835="","",IFERROR(INDEX(Services!$A$2:$A$120,MATCH($B1835,Services!$D$2:$D$120,0)),""))</f>
        <v/>
      </c>
      <c r="I1835" s="19"/>
      <c r="J1835" s="15" t="str">
        <f aca="false">IF($B1835="","",IFERROR(INDEX(Services!$E$2:$E$120,MATCH($B1835,Services!$D$2:$D$120,0)),""))</f>
        <v/>
      </c>
    </row>
    <row r="1836" customFormat="false" ht="14.25" hidden="false" customHeight="false" outlineLevel="0" collapsed="false">
      <c r="A1836" s="18"/>
      <c r="B1836" s="6"/>
      <c r="C1836" s="6"/>
      <c r="D1836" s="6"/>
      <c r="E1836" s="16" t="str">
        <f aca="false">IF($B1836="","",IFERROR(INDEX(Services!$C$2:$C$120,MATCH($B1836,Services!$D$2:$D$120,0)),""))</f>
        <v/>
      </c>
      <c r="F1836" s="19"/>
      <c r="G1836" s="9" t="str">
        <f aca="false">IF(OR($B1836="",NOT(ISNUMBER($E1836))),"",$E1836-IF($F1836="",0,$F1836))</f>
        <v/>
      </c>
      <c r="H1836" s="15" t="str">
        <f aca="false">IF($B1836="","",IFERROR(INDEX(Services!$A$2:$A$120,MATCH($B1836,Services!$D$2:$D$120,0)),""))</f>
        <v/>
      </c>
      <c r="I1836" s="19"/>
      <c r="J1836" s="15" t="str">
        <f aca="false">IF($B1836="","",IFERROR(INDEX(Services!$E$2:$E$120,MATCH($B1836,Services!$D$2:$D$120,0)),""))</f>
        <v/>
      </c>
    </row>
    <row r="1837" customFormat="false" ht="14.25" hidden="false" customHeight="false" outlineLevel="0" collapsed="false">
      <c r="A1837" s="18"/>
      <c r="B1837" s="6"/>
      <c r="C1837" s="6"/>
      <c r="D1837" s="6"/>
      <c r="E1837" s="16" t="str">
        <f aca="false">IF($B1837="","",IFERROR(INDEX(Services!$C$2:$C$120,MATCH($B1837,Services!$D$2:$D$120,0)),""))</f>
        <v/>
      </c>
      <c r="F1837" s="19"/>
      <c r="G1837" s="9" t="str">
        <f aca="false">IF(OR($B1837="",NOT(ISNUMBER($E1837))),"",$E1837-IF($F1837="",0,$F1837))</f>
        <v/>
      </c>
      <c r="H1837" s="15" t="str">
        <f aca="false">IF($B1837="","",IFERROR(INDEX(Services!$A$2:$A$120,MATCH($B1837,Services!$D$2:$D$120,0)),""))</f>
        <v/>
      </c>
      <c r="I1837" s="19"/>
      <c r="J1837" s="15" t="str">
        <f aca="false">IF($B1837="","",IFERROR(INDEX(Services!$E$2:$E$120,MATCH($B1837,Services!$D$2:$D$120,0)),""))</f>
        <v/>
      </c>
    </row>
    <row r="1838" customFormat="false" ht="14.25" hidden="false" customHeight="false" outlineLevel="0" collapsed="false">
      <c r="A1838" s="18"/>
      <c r="B1838" s="6"/>
      <c r="C1838" s="6"/>
      <c r="D1838" s="6"/>
      <c r="E1838" s="16" t="str">
        <f aca="false">IF($B1838="","",IFERROR(INDEX(Services!$C$2:$C$120,MATCH($B1838,Services!$D$2:$D$120,0)),""))</f>
        <v/>
      </c>
      <c r="F1838" s="19"/>
      <c r="G1838" s="9" t="str">
        <f aca="false">IF(OR($B1838="",NOT(ISNUMBER($E1838))),"",$E1838-IF($F1838="",0,$F1838))</f>
        <v/>
      </c>
      <c r="H1838" s="15" t="str">
        <f aca="false">IF($B1838="","",IFERROR(INDEX(Services!$A$2:$A$120,MATCH($B1838,Services!$D$2:$D$120,0)),""))</f>
        <v/>
      </c>
      <c r="I1838" s="19"/>
      <c r="J1838" s="15" t="str">
        <f aca="false">IF($B1838="","",IFERROR(INDEX(Services!$E$2:$E$120,MATCH($B1838,Services!$D$2:$D$120,0)),""))</f>
        <v/>
      </c>
    </row>
    <row r="1839" customFormat="false" ht="14.25" hidden="false" customHeight="false" outlineLevel="0" collapsed="false">
      <c r="A1839" s="18"/>
      <c r="B1839" s="6"/>
      <c r="C1839" s="6"/>
      <c r="D1839" s="6"/>
      <c r="E1839" s="16" t="str">
        <f aca="false">IF($B1839="","",IFERROR(INDEX(Services!$C$2:$C$120,MATCH($B1839,Services!$D$2:$D$120,0)),""))</f>
        <v/>
      </c>
      <c r="F1839" s="19"/>
      <c r="G1839" s="9" t="str">
        <f aca="false">IF(OR($B1839="",NOT(ISNUMBER($E1839))),"",$E1839-IF($F1839="",0,$F1839))</f>
        <v/>
      </c>
      <c r="H1839" s="15" t="str">
        <f aca="false">IF($B1839="","",IFERROR(INDEX(Services!$A$2:$A$120,MATCH($B1839,Services!$D$2:$D$120,0)),""))</f>
        <v/>
      </c>
      <c r="I1839" s="19"/>
      <c r="J1839" s="15" t="str">
        <f aca="false">IF($B1839="","",IFERROR(INDEX(Services!$E$2:$E$120,MATCH($B1839,Services!$D$2:$D$120,0)),""))</f>
        <v/>
      </c>
    </row>
    <row r="1840" customFormat="false" ht="14.25" hidden="false" customHeight="false" outlineLevel="0" collapsed="false">
      <c r="A1840" s="18"/>
      <c r="B1840" s="6"/>
      <c r="C1840" s="6"/>
      <c r="D1840" s="6"/>
      <c r="E1840" s="16" t="str">
        <f aca="false">IF($B1840="","",IFERROR(INDEX(Services!$C$2:$C$120,MATCH($B1840,Services!$D$2:$D$120,0)),""))</f>
        <v/>
      </c>
      <c r="F1840" s="19"/>
      <c r="G1840" s="9" t="str">
        <f aca="false">IF(OR($B1840="",NOT(ISNUMBER($E1840))),"",$E1840-IF($F1840="",0,$F1840))</f>
        <v/>
      </c>
      <c r="H1840" s="15" t="str">
        <f aca="false">IF($B1840="","",IFERROR(INDEX(Services!$A$2:$A$120,MATCH($B1840,Services!$D$2:$D$120,0)),""))</f>
        <v/>
      </c>
      <c r="I1840" s="19"/>
      <c r="J1840" s="15" t="str">
        <f aca="false">IF($B1840="","",IFERROR(INDEX(Services!$E$2:$E$120,MATCH($B1840,Services!$D$2:$D$120,0)),""))</f>
        <v/>
      </c>
    </row>
    <row r="1841" customFormat="false" ht="14.25" hidden="false" customHeight="false" outlineLevel="0" collapsed="false">
      <c r="A1841" s="18"/>
      <c r="B1841" s="6"/>
      <c r="C1841" s="6"/>
      <c r="D1841" s="6"/>
      <c r="E1841" s="16" t="str">
        <f aca="false">IF($B1841="","",IFERROR(INDEX(Services!$C$2:$C$120,MATCH($B1841,Services!$D$2:$D$120,0)),""))</f>
        <v/>
      </c>
      <c r="F1841" s="19"/>
      <c r="G1841" s="9" t="str">
        <f aca="false">IF(OR($B1841="",NOT(ISNUMBER($E1841))),"",$E1841-IF($F1841="",0,$F1841))</f>
        <v/>
      </c>
      <c r="H1841" s="15" t="str">
        <f aca="false">IF($B1841="","",IFERROR(INDEX(Services!$A$2:$A$120,MATCH($B1841,Services!$D$2:$D$120,0)),""))</f>
        <v/>
      </c>
      <c r="I1841" s="19"/>
      <c r="J1841" s="15" t="str">
        <f aca="false">IF($B1841="","",IFERROR(INDEX(Services!$E$2:$E$120,MATCH($B1841,Services!$D$2:$D$120,0)),""))</f>
        <v/>
      </c>
    </row>
    <row r="1842" customFormat="false" ht="14.25" hidden="false" customHeight="false" outlineLevel="0" collapsed="false">
      <c r="A1842" s="18"/>
      <c r="B1842" s="6"/>
      <c r="C1842" s="6"/>
      <c r="D1842" s="6"/>
      <c r="E1842" s="16" t="str">
        <f aca="false">IF($B1842="","",IFERROR(INDEX(Services!$C$2:$C$120,MATCH($B1842,Services!$D$2:$D$120,0)),""))</f>
        <v/>
      </c>
      <c r="F1842" s="19"/>
      <c r="G1842" s="9" t="str">
        <f aca="false">IF(OR($B1842="",NOT(ISNUMBER($E1842))),"",$E1842-IF($F1842="",0,$F1842))</f>
        <v/>
      </c>
      <c r="H1842" s="15" t="str">
        <f aca="false">IF($B1842="","",IFERROR(INDEX(Services!$A$2:$A$120,MATCH($B1842,Services!$D$2:$D$120,0)),""))</f>
        <v/>
      </c>
      <c r="I1842" s="19"/>
      <c r="J1842" s="15" t="str">
        <f aca="false">IF($B1842="","",IFERROR(INDEX(Services!$E$2:$E$120,MATCH($B1842,Services!$D$2:$D$120,0)),""))</f>
        <v/>
      </c>
    </row>
    <row r="1843" customFormat="false" ht="14.25" hidden="false" customHeight="false" outlineLevel="0" collapsed="false">
      <c r="A1843" s="18"/>
      <c r="B1843" s="6"/>
      <c r="C1843" s="6"/>
      <c r="D1843" s="6"/>
      <c r="E1843" s="16" t="str">
        <f aca="false">IF($B1843="","",IFERROR(INDEX(Services!$C$2:$C$120,MATCH($B1843,Services!$D$2:$D$120,0)),""))</f>
        <v/>
      </c>
      <c r="F1843" s="19"/>
      <c r="G1843" s="9" t="str">
        <f aca="false">IF(OR($B1843="",NOT(ISNUMBER($E1843))),"",$E1843-IF($F1843="",0,$F1843))</f>
        <v/>
      </c>
      <c r="H1843" s="15" t="str">
        <f aca="false">IF($B1843="","",IFERROR(INDEX(Services!$A$2:$A$120,MATCH($B1843,Services!$D$2:$D$120,0)),""))</f>
        <v/>
      </c>
      <c r="I1843" s="19"/>
      <c r="J1843" s="15" t="str">
        <f aca="false">IF($B1843="","",IFERROR(INDEX(Services!$E$2:$E$120,MATCH($B1843,Services!$D$2:$D$120,0)),""))</f>
        <v/>
      </c>
    </row>
    <row r="1844" customFormat="false" ht="14.25" hidden="false" customHeight="false" outlineLevel="0" collapsed="false">
      <c r="A1844" s="18"/>
      <c r="B1844" s="6"/>
      <c r="C1844" s="6"/>
      <c r="D1844" s="6"/>
      <c r="E1844" s="16" t="str">
        <f aca="false">IF($B1844="","",IFERROR(INDEX(Services!$C$2:$C$120,MATCH($B1844,Services!$D$2:$D$120,0)),""))</f>
        <v/>
      </c>
      <c r="F1844" s="19"/>
      <c r="G1844" s="9" t="str">
        <f aca="false">IF(OR($B1844="",NOT(ISNUMBER($E1844))),"",$E1844-IF($F1844="",0,$F1844))</f>
        <v/>
      </c>
      <c r="H1844" s="15" t="str">
        <f aca="false">IF($B1844="","",IFERROR(INDEX(Services!$A$2:$A$120,MATCH($B1844,Services!$D$2:$D$120,0)),""))</f>
        <v/>
      </c>
      <c r="I1844" s="19"/>
      <c r="J1844" s="15" t="str">
        <f aca="false">IF($B1844="","",IFERROR(INDEX(Services!$E$2:$E$120,MATCH($B1844,Services!$D$2:$D$120,0)),""))</f>
        <v/>
      </c>
    </row>
    <row r="1845" customFormat="false" ht="14.25" hidden="false" customHeight="false" outlineLevel="0" collapsed="false">
      <c r="A1845" s="18"/>
      <c r="B1845" s="6"/>
      <c r="C1845" s="6"/>
      <c r="D1845" s="6"/>
      <c r="E1845" s="16" t="str">
        <f aca="false">IF($B1845="","",IFERROR(INDEX(Services!$C$2:$C$120,MATCH($B1845,Services!$D$2:$D$120,0)),""))</f>
        <v/>
      </c>
      <c r="F1845" s="19"/>
      <c r="G1845" s="9" t="str">
        <f aca="false">IF(OR($B1845="",NOT(ISNUMBER($E1845))),"",$E1845-IF($F1845="",0,$F1845))</f>
        <v/>
      </c>
      <c r="H1845" s="15" t="str">
        <f aca="false">IF($B1845="","",IFERROR(INDEX(Services!$A$2:$A$120,MATCH($B1845,Services!$D$2:$D$120,0)),""))</f>
        <v/>
      </c>
      <c r="I1845" s="19"/>
      <c r="J1845" s="15" t="str">
        <f aca="false">IF($B1845="","",IFERROR(INDEX(Services!$E$2:$E$120,MATCH($B1845,Services!$D$2:$D$120,0)),""))</f>
        <v/>
      </c>
    </row>
    <row r="1846" customFormat="false" ht="14.25" hidden="false" customHeight="false" outlineLevel="0" collapsed="false">
      <c r="A1846" s="18"/>
      <c r="B1846" s="6"/>
      <c r="C1846" s="6"/>
      <c r="D1846" s="6"/>
      <c r="E1846" s="16" t="str">
        <f aca="false">IF($B1846="","",IFERROR(INDEX(Services!$C$2:$C$120,MATCH($B1846,Services!$D$2:$D$120,0)),""))</f>
        <v/>
      </c>
      <c r="F1846" s="19"/>
      <c r="G1846" s="9" t="str">
        <f aca="false">IF(OR($B1846="",NOT(ISNUMBER($E1846))),"",$E1846-IF($F1846="",0,$F1846))</f>
        <v/>
      </c>
      <c r="H1846" s="15" t="str">
        <f aca="false">IF($B1846="","",IFERROR(INDEX(Services!$A$2:$A$120,MATCH($B1846,Services!$D$2:$D$120,0)),""))</f>
        <v/>
      </c>
      <c r="I1846" s="19"/>
      <c r="J1846" s="15" t="str">
        <f aca="false">IF($B1846="","",IFERROR(INDEX(Services!$E$2:$E$120,MATCH($B1846,Services!$D$2:$D$120,0)),""))</f>
        <v/>
      </c>
    </row>
    <row r="1847" customFormat="false" ht="14.25" hidden="false" customHeight="false" outlineLevel="0" collapsed="false">
      <c r="A1847" s="18"/>
      <c r="B1847" s="6"/>
      <c r="C1847" s="6"/>
      <c r="D1847" s="6"/>
      <c r="E1847" s="16" t="str">
        <f aca="false">IF($B1847="","",IFERROR(INDEX(Services!$C$2:$C$120,MATCH($B1847,Services!$D$2:$D$120,0)),""))</f>
        <v/>
      </c>
      <c r="F1847" s="19"/>
      <c r="G1847" s="9" t="str">
        <f aca="false">IF(OR($B1847="",NOT(ISNUMBER($E1847))),"",$E1847-IF($F1847="",0,$F1847))</f>
        <v/>
      </c>
      <c r="H1847" s="15" t="str">
        <f aca="false">IF($B1847="","",IFERROR(INDEX(Services!$A$2:$A$120,MATCH($B1847,Services!$D$2:$D$120,0)),""))</f>
        <v/>
      </c>
      <c r="I1847" s="19"/>
      <c r="J1847" s="15" t="str">
        <f aca="false">IF($B1847="","",IFERROR(INDEX(Services!$E$2:$E$120,MATCH($B1847,Services!$D$2:$D$120,0)),""))</f>
        <v/>
      </c>
    </row>
    <row r="1848" customFormat="false" ht="14.25" hidden="false" customHeight="false" outlineLevel="0" collapsed="false">
      <c r="A1848" s="18"/>
      <c r="B1848" s="6"/>
      <c r="C1848" s="6"/>
      <c r="D1848" s="6"/>
      <c r="E1848" s="16" t="str">
        <f aca="false">IF($B1848="","",IFERROR(INDEX(Services!$C$2:$C$120,MATCH($B1848,Services!$D$2:$D$120,0)),""))</f>
        <v/>
      </c>
      <c r="F1848" s="19"/>
      <c r="G1848" s="9" t="str">
        <f aca="false">IF(OR($B1848="",NOT(ISNUMBER($E1848))),"",$E1848-IF($F1848="",0,$F1848))</f>
        <v/>
      </c>
      <c r="H1848" s="15" t="str">
        <f aca="false">IF($B1848="","",IFERROR(INDEX(Services!$A$2:$A$120,MATCH($B1848,Services!$D$2:$D$120,0)),""))</f>
        <v/>
      </c>
      <c r="I1848" s="19"/>
      <c r="J1848" s="15" t="str">
        <f aca="false">IF($B1848="","",IFERROR(INDEX(Services!$E$2:$E$120,MATCH($B1848,Services!$D$2:$D$120,0)),""))</f>
        <v/>
      </c>
    </row>
    <row r="1849" customFormat="false" ht="14.25" hidden="false" customHeight="false" outlineLevel="0" collapsed="false">
      <c r="A1849" s="18"/>
      <c r="B1849" s="6"/>
      <c r="C1849" s="6"/>
      <c r="D1849" s="6"/>
      <c r="E1849" s="16" t="str">
        <f aca="false">IF($B1849="","",IFERROR(INDEX(Services!$C$2:$C$120,MATCH($B1849,Services!$D$2:$D$120,0)),""))</f>
        <v/>
      </c>
      <c r="F1849" s="19"/>
      <c r="G1849" s="9" t="str">
        <f aca="false">IF(OR($B1849="",NOT(ISNUMBER($E1849))),"",$E1849-IF($F1849="",0,$F1849))</f>
        <v/>
      </c>
      <c r="H1849" s="15" t="str">
        <f aca="false">IF($B1849="","",IFERROR(INDEX(Services!$A$2:$A$120,MATCH($B1849,Services!$D$2:$D$120,0)),""))</f>
        <v/>
      </c>
      <c r="I1849" s="19"/>
      <c r="J1849" s="15" t="str">
        <f aca="false">IF($B1849="","",IFERROR(INDEX(Services!$E$2:$E$120,MATCH($B1849,Services!$D$2:$D$120,0)),""))</f>
        <v/>
      </c>
    </row>
    <row r="1850" customFormat="false" ht="14.25" hidden="false" customHeight="false" outlineLevel="0" collapsed="false">
      <c r="A1850" s="18"/>
      <c r="B1850" s="6"/>
      <c r="C1850" s="6"/>
      <c r="D1850" s="6"/>
      <c r="E1850" s="16" t="str">
        <f aca="false">IF($B1850="","",IFERROR(INDEX(Services!$C$2:$C$120,MATCH($B1850,Services!$D$2:$D$120,0)),""))</f>
        <v/>
      </c>
      <c r="F1850" s="19"/>
      <c r="G1850" s="9" t="str">
        <f aca="false">IF(OR($B1850="",NOT(ISNUMBER($E1850))),"",$E1850-IF($F1850="",0,$F1850))</f>
        <v/>
      </c>
      <c r="H1850" s="15" t="str">
        <f aca="false">IF($B1850="","",IFERROR(INDEX(Services!$A$2:$A$120,MATCH($B1850,Services!$D$2:$D$120,0)),""))</f>
        <v/>
      </c>
      <c r="I1850" s="19"/>
      <c r="J1850" s="15" t="str">
        <f aca="false">IF($B1850="","",IFERROR(INDEX(Services!$E$2:$E$120,MATCH($B1850,Services!$D$2:$D$120,0)),""))</f>
        <v/>
      </c>
    </row>
    <row r="1851" customFormat="false" ht="14.25" hidden="false" customHeight="false" outlineLevel="0" collapsed="false">
      <c r="A1851" s="18"/>
      <c r="B1851" s="6"/>
      <c r="C1851" s="6"/>
      <c r="D1851" s="6"/>
      <c r="E1851" s="16" t="str">
        <f aca="false">IF($B1851="","",IFERROR(INDEX(Services!$C$2:$C$120,MATCH($B1851,Services!$D$2:$D$120,0)),""))</f>
        <v/>
      </c>
      <c r="F1851" s="19"/>
      <c r="G1851" s="9" t="str">
        <f aca="false">IF(OR($B1851="",NOT(ISNUMBER($E1851))),"",$E1851-IF($F1851="",0,$F1851))</f>
        <v/>
      </c>
      <c r="H1851" s="15" t="str">
        <f aca="false">IF($B1851="","",IFERROR(INDEX(Services!$A$2:$A$120,MATCH($B1851,Services!$D$2:$D$120,0)),""))</f>
        <v/>
      </c>
      <c r="I1851" s="19"/>
      <c r="J1851" s="15" t="str">
        <f aca="false">IF($B1851="","",IFERROR(INDEX(Services!$E$2:$E$120,MATCH($B1851,Services!$D$2:$D$120,0)),""))</f>
        <v/>
      </c>
    </row>
    <row r="1852" customFormat="false" ht="14.25" hidden="false" customHeight="false" outlineLevel="0" collapsed="false">
      <c r="A1852" s="18"/>
      <c r="B1852" s="6"/>
      <c r="C1852" s="6"/>
      <c r="D1852" s="6"/>
      <c r="E1852" s="16" t="str">
        <f aca="false">IF($B1852="","",IFERROR(INDEX(Services!$C$2:$C$120,MATCH($B1852,Services!$D$2:$D$120,0)),""))</f>
        <v/>
      </c>
      <c r="F1852" s="19"/>
      <c r="G1852" s="9" t="str">
        <f aca="false">IF(OR($B1852="",NOT(ISNUMBER($E1852))),"",$E1852-IF($F1852="",0,$F1852))</f>
        <v/>
      </c>
      <c r="H1852" s="15" t="str">
        <f aca="false">IF($B1852="","",IFERROR(INDEX(Services!$A$2:$A$120,MATCH($B1852,Services!$D$2:$D$120,0)),""))</f>
        <v/>
      </c>
      <c r="I1852" s="19"/>
      <c r="J1852" s="15" t="str">
        <f aca="false">IF($B1852="","",IFERROR(INDEX(Services!$E$2:$E$120,MATCH($B1852,Services!$D$2:$D$120,0)),""))</f>
        <v/>
      </c>
    </row>
    <row r="1853" customFormat="false" ht="14.25" hidden="false" customHeight="false" outlineLevel="0" collapsed="false">
      <c r="A1853" s="18"/>
      <c r="B1853" s="6"/>
      <c r="C1853" s="6"/>
      <c r="D1853" s="6"/>
      <c r="E1853" s="16" t="str">
        <f aca="false">IF($B1853="","",IFERROR(INDEX(Services!$C$2:$C$120,MATCH($B1853,Services!$D$2:$D$120,0)),""))</f>
        <v/>
      </c>
      <c r="F1853" s="19"/>
      <c r="G1853" s="9" t="str">
        <f aca="false">IF(OR($B1853="",NOT(ISNUMBER($E1853))),"",$E1853-IF($F1853="",0,$F1853))</f>
        <v/>
      </c>
      <c r="H1853" s="15" t="str">
        <f aca="false">IF($B1853="","",IFERROR(INDEX(Services!$A$2:$A$120,MATCH($B1853,Services!$D$2:$D$120,0)),""))</f>
        <v/>
      </c>
      <c r="I1853" s="19"/>
      <c r="J1853" s="15" t="str">
        <f aca="false">IF($B1853="","",IFERROR(INDEX(Services!$E$2:$E$120,MATCH($B1853,Services!$D$2:$D$120,0)),""))</f>
        <v/>
      </c>
    </row>
    <row r="1854" customFormat="false" ht="14.25" hidden="false" customHeight="false" outlineLevel="0" collapsed="false">
      <c r="A1854" s="18"/>
      <c r="B1854" s="6"/>
      <c r="C1854" s="6"/>
      <c r="D1854" s="6"/>
      <c r="E1854" s="16" t="str">
        <f aca="false">IF($B1854="","",IFERROR(INDEX(Services!$C$2:$C$120,MATCH($B1854,Services!$D$2:$D$120,0)),""))</f>
        <v/>
      </c>
      <c r="F1854" s="19"/>
      <c r="G1854" s="9" t="str">
        <f aca="false">IF(OR($B1854="",NOT(ISNUMBER($E1854))),"",$E1854-IF($F1854="",0,$F1854))</f>
        <v/>
      </c>
      <c r="H1854" s="15" t="str">
        <f aca="false">IF($B1854="","",IFERROR(INDEX(Services!$A$2:$A$120,MATCH($B1854,Services!$D$2:$D$120,0)),""))</f>
        <v/>
      </c>
      <c r="I1854" s="19"/>
      <c r="J1854" s="15" t="str">
        <f aca="false">IF($B1854="","",IFERROR(INDEX(Services!$E$2:$E$120,MATCH($B1854,Services!$D$2:$D$120,0)),""))</f>
        <v/>
      </c>
    </row>
    <row r="1855" customFormat="false" ht="14.25" hidden="false" customHeight="false" outlineLevel="0" collapsed="false">
      <c r="A1855" s="18"/>
      <c r="B1855" s="6"/>
      <c r="C1855" s="6"/>
      <c r="D1855" s="6"/>
      <c r="E1855" s="16" t="str">
        <f aca="false">IF($B1855="","",IFERROR(INDEX(Services!$C$2:$C$120,MATCH($B1855,Services!$D$2:$D$120,0)),""))</f>
        <v/>
      </c>
      <c r="F1855" s="19"/>
      <c r="G1855" s="9" t="str">
        <f aca="false">IF(OR($B1855="",NOT(ISNUMBER($E1855))),"",$E1855-IF($F1855="",0,$F1855))</f>
        <v/>
      </c>
      <c r="H1855" s="15" t="str">
        <f aca="false">IF($B1855="","",IFERROR(INDEX(Services!$A$2:$A$120,MATCH($B1855,Services!$D$2:$D$120,0)),""))</f>
        <v/>
      </c>
      <c r="I1855" s="19"/>
      <c r="J1855" s="15" t="str">
        <f aca="false">IF($B1855="","",IFERROR(INDEX(Services!$E$2:$E$120,MATCH($B1855,Services!$D$2:$D$120,0)),""))</f>
        <v/>
      </c>
    </row>
    <row r="1856" customFormat="false" ht="14.25" hidden="false" customHeight="false" outlineLevel="0" collapsed="false">
      <c r="A1856" s="18"/>
      <c r="B1856" s="6"/>
      <c r="C1856" s="6"/>
      <c r="D1856" s="6"/>
      <c r="E1856" s="16" t="str">
        <f aca="false">IF($B1856="","",IFERROR(INDEX(Services!$C$2:$C$120,MATCH($B1856,Services!$D$2:$D$120,0)),""))</f>
        <v/>
      </c>
      <c r="F1856" s="19"/>
      <c r="G1856" s="9" t="str">
        <f aca="false">IF(OR($B1856="",NOT(ISNUMBER($E1856))),"",$E1856-IF($F1856="",0,$F1856))</f>
        <v/>
      </c>
      <c r="H1856" s="15" t="str">
        <f aca="false">IF($B1856="","",IFERROR(INDEX(Services!$A$2:$A$120,MATCH($B1856,Services!$D$2:$D$120,0)),""))</f>
        <v/>
      </c>
      <c r="I1856" s="19"/>
      <c r="J1856" s="15" t="str">
        <f aca="false">IF($B1856="","",IFERROR(INDEX(Services!$E$2:$E$120,MATCH($B1856,Services!$D$2:$D$120,0)),""))</f>
        <v/>
      </c>
    </row>
    <row r="1857" customFormat="false" ht="14.25" hidden="false" customHeight="false" outlineLevel="0" collapsed="false">
      <c r="A1857" s="18"/>
      <c r="B1857" s="6"/>
      <c r="C1857" s="6"/>
      <c r="D1857" s="6"/>
      <c r="E1857" s="16" t="str">
        <f aca="false">IF($B1857="","",IFERROR(INDEX(Services!$C$2:$C$120,MATCH($B1857,Services!$D$2:$D$120,0)),""))</f>
        <v/>
      </c>
      <c r="F1857" s="19"/>
      <c r="G1857" s="9" t="str">
        <f aca="false">IF(OR($B1857="",NOT(ISNUMBER($E1857))),"",$E1857-IF($F1857="",0,$F1857))</f>
        <v/>
      </c>
      <c r="H1857" s="15" t="str">
        <f aca="false">IF($B1857="","",IFERROR(INDEX(Services!$A$2:$A$120,MATCH($B1857,Services!$D$2:$D$120,0)),""))</f>
        <v/>
      </c>
      <c r="I1857" s="19"/>
      <c r="J1857" s="15" t="str">
        <f aca="false">IF($B1857="","",IFERROR(INDEX(Services!$E$2:$E$120,MATCH($B1857,Services!$D$2:$D$120,0)),""))</f>
        <v/>
      </c>
    </row>
    <row r="1858" customFormat="false" ht="14.25" hidden="false" customHeight="false" outlineLevel="0" collapsed="false">
      <c r="A1858" s="18"/>
      <c r="B1858" s="6"/>
      <c r="C1858" s="6"/>
      <c r="D1858" s="6"/>
      <c r="E1858" s="16" t="str">
        <f aca="false">IF($B1858="","",IFERROR(INDEX(Services!$C$2:$C$120,MATCH($B1858,Services!$D$2:$D$120,0)),""))</f>
        <v/>
      </c>
      <c r="F1858" s="19"/>
      <c r="G1858" s="9" t="str">
        <f aca="false">IF(OR($B1858="",NOT(ISNUMBER($E1858))),"",$E1858-IF($F1858="",0,$F1858))</f>
        <v/>
      </c>
      <c r="H1858" s="15" t="str">
        <f aca="false">IF($B1858="","",IFERROR(INDEX(Services!$A$2:$A$120,MATCH($B1858,Services!$D$2:$D$120,0)),""))</f>
        <v/>
      </c>
      <c r="I1858" s="19"/>
      <c r="J1858" s="15" t="str">
        <f aca="false">IF($B1858="","",IFERROR(INDEX(Services!$E$2:$E$120,MATCH($B1858,Services!$D$2:$D$120,0)),""))</f>
        <v/>
      </c>
    </row>
    <row r="1859" customFormat="false" ht="14.25" hidden="false" customHeight="false" outlineLevel="0" collapsed="false">
      <c r="A1859" s="18"/>
      <c r="B1859" s="6"/>
      <c r="C1859" s="6"/>
      <c r="D1859" s="6"/>
      <c r="E1859" s="16" t="str">
        <f aca="false">IF($B1859="","",IFERROR(INDEX(Services!$C$2:$C$120,MATCH($B1859,Services!$D$2:$D$120,0)),""))</f>
        <v/>
      </c>
      <c r="F1859" s="19"/>
      <c r="G1859" s="9" t="str">
        <f aca="false">IF(OR($B1859="",NOT(ISNUMBER($E1859))),"",$E1859-IF($F1859="",0,$F1859))</f>
        <v/>
      </c>
      <c r="H1859" s="15" t="str">
        <f aca="false">IF($B1859="","",IFERROR(INDEX(Services!$A$2:$A$120,MATCH($B1859,Services!$D$2:$D$120,0)),""))</f>
        <v/>
      </c>
      <c r="I1859" s="19"/>
      <c r="J1859" s="15" t="str">
        <f aca="false">IF($B1859="","",IFERROR(INDEX(Services!$E$2:$E$120,MATCH($B1859,Services!$D$2:$D$120,0)),""))</f>
        <v/>
      </c>
    </row>
    <row r="1860" customFormat="false" ht="14.25" hidden="false" customHeight="false" outlineLevel="0" collapsed="false">
      <c r="A1860" s="18"/>
      <c r="B1860" s="6"/>
      <c r="C1860" s="6"/>
      <c r="D1860" s="6"/>
      <c r="E1860" s="16" t="str">
        <f aca="false">IF($B1860="","",IFERROR(INDEX(Services!$C$2:$C$120,MATCH($B1860,Services!$D$2:$D$120,0)),""))</f>
        <v/>
      </c>
      <c r="F1860" s="19"/>
      <c r="G1860" s="9" t="str">
        <f aca="false">IF(OR($B1860="",NOT(ISNUMBER($E1860))),"",$E1860-IF($F1860="",0,$F1860))</f>
        <v/>
      </c>
      <c r="H1860" s="15" t="str">
        <f aca="false">IF($B1860="","",IFERROR(INDEX(Services!$A$2:$A$120,MATCH($B1860,Services!$D$2:$D$120,0)),""))</f>
        <v/>
      </c>
      <c r="I1860" s="19"/>
      <c r="J1860" s="15" t="str">
        <f aca="false">IF($B1860="","",IFERROR(INDEX(Services!$E$2:$E$120,MATCH($B1860,Services!$D$2:$D$120,0)),""))</f>
        <v/>
      </c>
    </row>
    <row r="1861" customFormat="false" ht="14.25" hidden="false" customHeight="false" outlineLevel="0" collapsed="false">
      <c r="A1861" s="18"/>
      <c r="B1861" s="6"/>
      <c r="C1861" s="6"/>
      <c r="D1861" s="6"/>
      <c r="E1861" s="16" t="str">
        <f aca="false">IF($B1861="","",IFERROR(INDEX(Services!$C$2:$C$120,MATCH($B1861,Services!$D$2:$D$120,0)),""))</f>
        <v/>
      </c>
      <c r="F1861" s="19"/>
      <c r="G1861" s="9" t="str">
        <f aca="false">IF(OR($B1861="",NOT(ISNUMBER($E1861))),"",$E1861-IF($F1861="",0,$F1861))</f>
        <v/>
      </c>
      <c r="H1861" s="15" t="str">
        <f aca="false">IF($B1861="","",IFERROR(INDEX(Services!$A$2:$A$120,MATCH($B1861,Services!$D$2:$D$120,0)),""))</f>
        <v/>
      </c>
      <c r="I1861" s="19"/>
      <c r="J1861" s="15" t="str">
        <f aca="false">IF($B1861="","",IFERROR(INDEX(Services!$E$2:$E$120,MATCH($B1861,Services!$D$2:$D$120,0)),""))</f>
        <v/>
      </c>
    </row>
    <row r="1862" customFormat="false" ht="14.25" hidden="false" customHeight="false" outlineLevel="0" collapsed="false">
      <c r="A1862" s="18"/>
      <c r="B1862" s="6"/>
      <c r="C1862" s="6"/>
      <c r="D1862" s="6"/>
      <c r="E1862" s="16" t="str">
        <f aca="false">IF($B1862="","",IFERROR(INDEX(Services!$C$2:$C$120,MATCH($B1862,Services!$D$2:$D$120,0)),""))</f>
        <v/>
      </c>
      <c r="F1862" s="19"/>
      <c r="G1862" s="9" t="str">
        <f aca="false">IF(OR($B1862="",NOT(ISNUMBER($E1862))),"",$E1862-IF($F1862="",0,$F1862))</f>
        <v/>
      </c>
      <c r="H1862" s="15" t="str">
        <f aca="false">IF($B1862="","",IFERROR(INDEX(Services!$A$2:$A$120,MATCH($B1862,Services!$D$2:$D$120,0)),""))</f>
        <v/>
      </c>
      <c r="I1862" s="19"/>
      <c r="J1862" s="15" t="str">
        <f aca="false">IF($B1862="","",IFERROR(INDEX(Services!$E$2:$E$120,MATCH($B1862,Services!$D$2:$D$120,0)),""))</f>
        <v/>
      </c>
    </row>
    <row r="1863" customFormat="false" ht="14.25" hidden="false" customHeight="false" outlineLevel="0" collapsed="false">
      <c r="A1863" s="18"/>
      <c r="B1863" s="6"/>
      <c r="C1863" s="6"/>
      <c r="D1863" s="6"/>
      <c r="E1863" s="16" t="str">
        <f aca="false">IF($B1863="","",IFERROR(INDEX(Services!$C$2:$C$120,MATCH($B1863,Services!$D$2:$D$120,0)),""))</f>
        <v/>
      </c>
      <c r="F1863" s="19"/>
      <c r="G1863" s="9" t="str">
        <f aca="false">IF(OR($B1863="",NOT(ISNUMBER($E1863))),"",$E1863-IF($F1863="",0,$F1863))</f>
        <v/>
      </c>
      <c r="H1863" s="15" t="str">
        <f aca="false">IF($B1863="","",IFERROR(INDEX(Services!$A$2:$A$120,MATCH($B1863,Services!$D$2:$D$120,0)),""))</f>
        <v/>
      </c>
      <c r="I1863" s="19"/>
      <c r="J1863" s="15" t="str">
        <f aca="false">IF($B1863="","",IFERROR(INDEX(Services!$E$2:$E$120,MATCH($B1863,Services!$D$2:$D$120,0)),""))</f>
        <v/>
      </c>
    </row>
    <row r="1864" customFormat="false" ht="14.25" hidden="false" customHeight="false" outlineLevel="0" collapsed="false">
      <c r="A1864" s="18"/>
      <c r="B1864" s="6"/>
      <c r="C1864" s="6"/>
      <c r="D1864" s="6"/>
      <c r="E1864" s="16" t="str">
        <f aca="false">IF($B1864="","",IFERROR(INDEX(Services!$C$2:$C$120,MATCH($B1864,Services!$D$2:$D$120,0)),""))</f>
        <v/>
      </c>
      <c r="F1864" s="19"/>
      <c r="G1864" s="9" t="str">
        <f aca="false">IF(OR($B1864="",NOT(ISNUMBER($E1864))),"",$E1864-IF($F1864="",0,$F1864))</f>
        <v/>
      </c>
      <c r="H1864" s="15" t="str">
        <f aca="false">IF($B1864="","",IFERROR(INDEX(Services!$A$2:$A$120,MATCH($B1864,Services!$D$2:$D$120,0)),""))</f>
        <v/>
      </c>
      <c r="I1864" s="19"/>
      <c r="J1864" s="15" t="str">
        <f aca="false">IF($B1864="","",IFERROR(INDEX(Services!$E$2:$E$120,MATCH($B1864,Services!$D$2:$D$120,0)),""))</f>
        <v/>
      </c>
    </row>
    <row r="1865" customFormat="false" ht="14.25" hidden="false" customHeight="false" outlineLevel="0" collapsed="false">
      <c r="A1865" s="18"/>
      <c r="B1865" s="6"/>
      <c r="C1865" s="6"/>
      <c r="D1865" s="6"/>
      <c r="E1865" s="16" t="str">
        <f aca="false">IF($B1865="","",IFERROR(INDEX(Services!$C$2:$C$120,MATCH($B1865,Services!$D$2:$D$120,0)),""))</f>
        <v/>
      </c>
      <c r="F1865" s="19"/>
      <c r="G1865" s="9" t="str">
        <f aca="false">IF(OR($B1865="",NOT(ISNUMBER($E1865))),"",$E1865-IF($F1865="",0,$F1865))</f>
        <v/>
      </c>
      <c r="H1865" s="15" t="str">
        <f aca="false">IF($B1865="","",IFERROR(INDEX(Services!$A$2:$A$120,MATCH($B1865,Services!$D$2:$D$120,0)),""))</f>
        <v/>
      </c>
      <c r="I1865" s="19"/>
      <c r="J1865" s="15" t="str">
        <f aca="false">IF($B1865="","",IFERROR(INDEX(Services!$E$2:$E$120,MATCH($B1865,Services!$D$2:$D$120,0)),""))</f>
        <v/>
      </c>
    </row>
    <row r="1866" customFormat="false" ht="14.25" hidden="false" customHeight="false" outlineLevel="0" collapsed="false">
      <c r="A1866" s="18"/>
      <c r="B1866" s="6"/>
      <c r="C1866" s="6"/>
      <c r="D1866" s="6"/>
      <c r="E1866" s="16" t="str">
        <f aca="false">IF($B1866="","",IFERROR(INDEX(Services!$C$2:$C$120,MATCH($B1866,Services!$D$2:$D$120,0)),""))</f>
        <v/>
      </c>
      <c r="F1866" s="19"/>
      <c r="G1866" s="9" t="str">
        <f aca="false">IF(OR($B1866="",NOT(ISNUMBER($E1866))),"",$E1866-IF($F1866="",0,$F1866))</f>
        <v/>
      </c>
      <c r="H1866" s="15" t="str">
        <f aca="false">IF($B1866="","",IFERROR(INDEX(Services!$A$2:$A$120,MATCH($B1866,Services!$D$2:$D$120,0)),""))</f>
        <v/>
      </c>
      <c r="I1866" s="19"/>
      <c r="J1866" s="15" t="str">
        <f aca="false">IF($B1866="","",IFERROR(INDEX(Services!$E$2:$E$120,MATCH($B1866,Services!$D$2:$D$120,0)),""))</f>
        <v/>
      </c>
    </row>
    <row r="1867" customFormat="false" ht="14.25" hidden="false" customHeight="false" outlineLevel="0" collapsed="false">
      <c r="A1867" s="18"/>
      <c r="B1867" s="6"/>
      <c r="C1867" s="6"/>
      <c r="D1867" s="6"/>
      <c r="E1867" s="16" t="str">
        <f aca="false">IF($B1867="","",IFERROR(INDEX(Services!$C$2:$C$120,MATCH($B1867,Services!$D$2:$D$120,0)),""))</f>
        <v/>
      </c>
      <c r="F1867" s="19"/>
      <c r="G1867" s="9" t="str">
        <f aca="false">IF(OR($B1867="",NOT(ISNUMBER($E1867))),"",$E1867-IF($F1867="",0,$F1867))</f>
        <v/>
      </c>
      <c r="H1867" s="15" t="str">
        <f aca="false">IF($B1867="","",IFERROR(INDEX(Services!$A$2:$A$120,MATCH($B1867,Services!$D$2:$D$120,0)),""))</f>
        <v/>
      </c>
      <c r="I1867" s="19"/>
      <c r="J1867" s="15" t="str">
        <f aca="false">IF($B1867="","",IFERROR(INDEX(Services!$E$2:$E$120,MATCH($B1867,Services!$D$2:$D$120,0)),""))</f>
        <v/>
      </c>
    </row>
    <row r="1868" customFormat="false" ht="14.25" hidden="false" customHeight="false" outlineLevel="0" collapsed="false">
      <c r="A1868" s="18"/>
      <c r="B1868" s="6"/>
      <c r="C1868" s="6"/>
      <c r="D1868" s="6"/>
      <c r="E1868" s="16" t="str">
        <f aca="false">IF($B1868="","",IFERROR(INDEX(Services!$C$2:$C$120,MATCH($B1868,Services!$D$2:$D$120,0)),""))</f>
        <v/>
      </c>
      <c r="F1868" s="19"/>
      <c r="G1868" s="9" t="str">
        <f aca="false">IF(OR($B1868="",NOT(ISNUMBER($E1868))),"",$E1868-IF($F1868="",0,$F1868))</f>
        <v/>
      </c>
      <c r="H1868" s="15" t="str">
        <f aca="false">IF($B1868="","",IFERROR(INDEX(Services!$A$2:$A$120,MATCH($B1868,Services!$D$2:$D$120,0)),""))</f>
        <v/>
      </c>
      <c r="I1868" s="19"/>
      <c r="J1868" s="15" t="str">
        <f aca="false">IF($B1868="","",IFERROR(INDEX(Services!$E$2:$E$120,MATCH($B1868,Services!$D$2:$D$120,0)),""))</f>
        <v/>
      </c>
    </row>
    <row r="1869" customFormat="false" ht="14.25" hidden="false" customHeight="false" outlineLevel="0" collapsed="false">
      <c r="A1869" s="18"/>
      <c r="B1869" s="6"/>
      <c r="C1869" s="6"/>
      <c r="D1869" s="6"/>
      <c r="E1869" s="16" t="str">
        <f aca="false">IF($B1869="","",IFERROR(INDEX(Services!$C$2:$C$120,MATCH($B1869,Services!$D$2:$D$120,0)),""))</f>
        <v/>
      </c>
      <c r="F1869" s="19"/>
      <c r="G1869" s="9" t="str">
        <f aca="false">IF(OR($B1869="",NOT(ISNUMBER($E1869))),"",$E1869-IF($F1869="",0,$F1869))</f>
        <v/>
      </c>
      <c r="H1869" s="15" t="str">
        <f aca="false">IF($B1869="","",IFERROR(INDEX(Services!$A$2:$A$120,MATCH($B1869,Services!$D$2:$D$120,0)),""))</f>
        <v/>
      </c>
      <c r="I1869" s="19"/>
      <c r="J1869" s="15" t="str">
        <f aca="false">IF($B1869="","",IFERROR(INDEX(Services!$E$2:$E$120,MATCH($B1869,Services!$D$2:$D$120,0)),""))</f>
        <v/>
      </c>
    </row>
    <row r="1870" customFormat="false" ht="14.25" hidden="false" customHeight="false" outlineLevel="0" collapsed="false">
      <c r="A1870" s="18"/>
      <c r="B1870" s="6"/>
      <c r="C1870" s="6"/>
      <c r="D1870" s="6"/>
      <c r="E1870" s="16" t="str">
        <f aca="false">IF($B1870="","",IFERROR(INDEX(Services!$C$2:$C$120,MATCH($B1870,Services!$D$2:$D$120,0)),""))</f>
        <v/>
      </c>
      <c r="F1870" s="19"/>
      <c r="G1870" s="9" t="str">
        <f aca="false">IF(OR($B1870="",NOT(ISNUMBER($E1870))),"",$E1870-IF($F1870="",0,$F1870))</f>
        <v/>
      </c>
      <c r="H1870" s="15" t="str">
        <f aca="false">IF($B1870="","",IFERROR(INDEX(Services!$A$2:$A$120,MATCH($B1870,Services!$D$2:$D$120,0)),""))</f>
        <v/>
      </c>
      <c r="I1870" s="19"/>
      <c r="J1870" s="15" t="str">
        <f aca="false">IF($B1870="","",IFERROR(INDEX(Services!$E$2:$E$120,MATCH($B1870,Services!$D$2:$D$120,0)),""))</f>
        <v/>
      </c>
    </row>
    <row r="1871" customFormat="false" ht="14.25" hidden="false" customHeight="false" outlineLevel="0" collapsed="false">
      <c r="A1871" s="18"/>
      <c r="B1871" s="6"/>
      <c r="C1871" s="6"/>
      <c r="D1871" s="6"/>
      <c r="E1871" s="16" t="str">
        <f aca="false">IF($B1871="","",IFERROR(INDEX(Services!$C$2:$C$120,MATCH($B1871,Services!$D$2:$D$120,0)),""))</f>
        <v/>
      </c>
      <c r="F1871" s="19"/>
      <c r="G1871" s="9" t="str">
        <f aca="false">IF(OR($B1871="",NOT(ISNUMBER($E1871))),"",$E1871-IF($F1871="",0,$F1871))</f>
        <v/>
      </c>
      <c r="H1871" s="15" t="str">
        <f aca="false">IF($B1871="","",IFERROR(INDEX(Services!$A$2:$A$120,MATCH($B1871,Services!$D$2:$D$120,0)),""))</f>
        <v/>
      </c>
      <c r="I1871" s="19"/>
      <c r="J1871" s="15" t="str">
        <f aca="false">IF($B1871="","",IFERROR(INDEX(Services!$E$2:$E$120,MATCH($B1871,Services!$D$2:$D$120,0)),""))</f>
        <v/>
      </c>
    </row>
    <row r="1872" customFormat="false" ht="14.25" hidden="false" customHeight="false" outlineLevel="0" collapsed="false">
      <c r="A1872" s="18"/>
      <c r="B1872" s="6"/>
      <c r="C1872" s="6"/>
      <c r="D1872" s="6"/>
      <c r="E1872" s="16" t="str">
        <f aca="false">IF($B1872="","",IFERROR(INDEX(Services!$C$2:$C$120,MATCH($B1872,Services!$D$2:$D$120,0)),""))</f>
        <v/>
      </c>
      <c r="F1872" s="19"/>
      <c r="G1872" s="9" t="str">
        <f aca="false">IF(OR($B1872="",NOT(ISNUMBER($E1872))),"",$E1872-IF($F1872="",0,$F1872))</f>
        <v/>
      </c>
      <c r="H1872" s="15" t="str">
        <f aca="false">IF($B1872="","",IFERROR(INDEX(Services!$A$2:$A$120,MATCH($B1872,Services!$D$2:$D$120,0)),""))</f>
        <v/>
      </c>
      <c r="I1872" s="19"/>
      <c r="J1872" s="15" t="str">
        <f aca="false">IF($B1872="","",IFERROR(INDEX(Services!$E$2:$E$120,MATCH($B1872,Services!$D$2:$D$120,0)),""))</f>
        <v/>
      </c>
    </row>
    <row r="1873" customFormat="false" ht="14.25" hidden="false" customHeight="false" outlineLevel="0" collapsed="false">
      <c r="A1873" s="18"/>
      <c r="B1873" s="6"/>
      <c r="C1873" s="6"/>
      <c r="D1873" s="6"/>
      <c r="E1873" s="16" t="str">
        <f aca="false">IF($B1873="","",IFERROR(INDEX(Services!$C$2:$C$120,MATCH($B1873,Services!$D$2:$D$120,0)),""))</f>
        <v/>
      </c>
      <c r="F1873" s="19"/>
      <c r="G1873" s="9" t="str">
        <f aca="false">IF(OR($B1873="",NOT(ISNUMBER($E1873))),"",$E1873-IF($F1873="",0,$F1873))</f>
        <v/>
      </c>
      <c r="H1873" s="15" t="str">
        <f aca="false">IF($B1873="","",IFERROR(INDEX(Services!$A$2:$A$120,MATCH($B1873,Services!$D$2:$D$120,0)),""))</f>
        <v/>
      </c>
      <c r="I1873" s="19"/>
      <c r="J1873" s="15" t="str">
        <f aca="false">IF($B1873="","",IFERROR(INDEX(Services!$E$2:$E$120,MATCH($B1873,Services!$D$2:$D$120,0)),""))</f>
        <v/>
      </c>
    </row>
    <row r="1874" customFormat="false" ht="14.25" hidden="false" customHeight="false" outlineLevel="0" collapsed="false">
      <c r="A1874" s="18"/>
      <c r="B1874" s="6"/>
      <c r="C1874" s="6"/>
      <c r="D1874" s="6"/>
      <c r="E1874" s="16" t="str">
        <f aca="false">IF($B1874="","",IFERROR(INDEX(Services!$C$2:$C$120,MATCH($B1874,Services!$D$2:$D$120,0)),""))</f>
        <v/>
      </c>
      <c r="F1874" s="19"/>
      <c r="G1874" s="9" t="str">
        <f aca="false">IF(OR($B1874="",NOT(ISNUMBER($E1874))),"",$E1874-IF($F1874="",0,$F1874))</f>
        <v/>
      </c>
      <c r="H1874" s="15" t="str">
        <f aca="false">IF($B1874="","",IFERROR(INDEX(Services!$A$2:$A$120,MATCH($B1874,Services!$D$2:$D$120,0)),""))</f>
        <v/>
      </c>
      <c r="I1874" s="19"/>
      <c r="J1874" s="15" t="str">
        <f aca="false">IF($B1874="","",IFERROR(INDEX(Services!$E$2:$E$120,MATCH($B1874,Services!$D$2:$D$120,0)),""))</f>
        <v/>
      </c>
    </row>
    <row r="1875" customFormat="false" ht="14.25" hidden="false" customHeight="false" outlineLevel="0" collapsed="false">
      <c r="A1875" s="18"/>
      <c r="B1875" s="6"/>
      <c r="C1875" s="6"/>
      <c r="D1875" s="6"/>
      <c r="E1875" s="16" t="str">
        <f aca="false">IF($B1875="","",IFERROR(INDEX(Services!$C$2:$C$120,MATCH($B1875,Services!$D$2:$D$120,0)),""))</f>
        <v/>
      </c>
      <c r="F1875" s="19"/>
      <c r="G1875" s="9" t="str">
        <f aca="false">IF(OR($B1875="",NOT(ISNUMBER($E1875))),"",$E1875-IF($F1875="",0,$F1875))</f>
        <v/>
      </c>
      <c r="H1875" s="15" t="str">
        <f aca="false">IF($B1875="","",IFERROR(INDEX(Services!$A$2:$A$120,MATCH($B1875,Services!$D$2:$D$120,0)),""))</f>
        <v/>
      </c>
      <c r="I1875" s="19"/>
      <c r="J1875" s="15" t="str">
        <f aca="false">IF($B1875="","",IFERROR(INDEX(Services!$E$2:$E$120,MATCH($B1875,Services!$D$2:$D$120,0)),""))</f>
        <v/>
      </c>
    </row>
    <row r="1876" customFormat="false" ht="14.25" hidden="false" customHeight="false" outlineLevel="0" collapsed="false">
      <c r="A1876" s="18"/>
      <c r="B1876" s="6"/>
      <c r="C1876" s="6"/>
      <c r="D1876" s="6"/>
      <c r="E1876" s="16" t="str">
        <f aca="false">IF($B1876="","",IFERROR(INDEX(Services!$C$2:$C$120,MATCH($B1876,Services!$D$2:$D$120,0)),""))</f>
        <v/>
      </c>
      <c r="F1876" s="19"/>
      <c r="G1876" s="9" t="str">
        <f aca="false">IF(OR($B1876="",NOT(ISNUMBER($E1876))),"",$E1876-IF($F1876="",0,$F1876))</f>
        <v/>
      </c>
      <c r="H1876" s="15" t="str">
        <f aca="false">IF($B1876="","",IFERROR(INDEX(Services!$A$2:$A$120,MATCH($B1876,Services!$D$2:$D$120,0)),""))</f>
        <v/>
      </c>
      <c r="I1876" s="19"/>
      <c r="J1876" s="15" t="str">
        <f aca="false">IF($B1876="","",IFERROR(INDEX(Services!$E$2:$E$120,MATCH($B1876,Services!$D$2:$D$120,0)),""))</f>
        <v/>
      </c>
    </row>
    <row r="1877" customFormat="false" ht="14.25" hidden="false" customHeight="false" outlineLevel="0" collapsed="false">
      <c r="A1877" s="18"/>
      <c r="B1877" s="6"/>
      <c r="C1877" s="6"/>
      <c r="D1877" s="6"/>
      <c r="E1877" s="16" t="str">
        <f aca="false">IF($B1877="","",IFERROR(INDEX(Services!$C$2:$C$120,MATCH($B1877,Services!$D$2:$D$120,0)),""))</f>
        <v/>
      </c>
      <c r="F1877" s="19"/>
      <c r="G1877" s="9" t="str">
        <f aca="false">IF(OR($B1877="",NOT(ISNUMBER($E1877))),"",$E1877-IF($F1877="",0,$F1877))</f>
        <v/>
      </c>
      <c r="H1877" s="15" t="str">
        <f aca="false">IF($B1877="","",IFERROR(INDEX(Services!$A$2:$A$120,MATCH($B1877,Services!$D$2:$D$120,0)),""))</f>
        <v/>
      </c>
      <c r="I1877" s="19"/>
      <c r="J1877" s="15" t="str">
        <f aca="false">IF($B1877="","",IFERROR(INDEX(Services!$E$2:$E$120,MATCH($B1877,Services!$D$2:$D$120,0)),""))</f>
        <v/>
      </c>
    </row>
    <row r="1878" customFormat="false" ht="14.25" hidden="false" customHeight="false" outlineLevel="0" collapsed="false">
      <c r="A1878" s="18"/>
      <c r="B1878" s="6"/>
      <c r="C1878" s="6"/>
      <c r="D1878" s="6"/>
      <c r="E1878" s="16" t="str">
        <f aca="false">IF($B1878="","",IFERROR(INDEX(Services!$C$2:$C$120,MATCH($B1878,Services!$D$2:$D$120,0)),""))</f>
        <v/>
      </c>
      <c r="F1878" s="19"/>
      <c r="G1878" s="9" t="str">
        <f aca="false">IF(OR($B1878="",NOT(ISNUMBER($E1878))),"",$E1878-IF($F1878="",0,$F1878))</f>
        <v/>
      </c>
      <c r="H1878" s="15" t="str">
        <f aca="false">IF($B1878="","",IFERROR(INDEX(Services!$A$2:$A$120,MATCH($B1878,Services!$D$2:$D$120,0)),""))</f>
        <v/>
      </c>
      <c r="I1878" s="19"/>
      <c r="J1878" s="15" t="str">
        <f aca="false">IF($B1878="","",IFERROR(INDEX(Services!$E$2:$E$120,MATCH($B1878,Services!$D$2:$D$120,0)),""))</f>
        <v/>
      </c>
    </row>
    <row r="1879" customFormat="false" ht="14.25" hidden="false" customHeight="false" outlineLevel="0" collapsed="false">
      <c r="A1879" s="18"/>
      <c r="B1879" s="6"/>
      <c r="C1879" s="6"/>
      <c r="D1879" s="6"/>
      <c r="E1879" s="16" t="str">
        <f aca="false">IF($B1879="","",IFERROR(INDEX(Services!$C$2:$C$120,MATCH($B1879,Services!$D$2:$D$120,0)),""))</f>
        <v/>
      </c>
      <c r="F1879" s="19"/>
      <c r="G1879" s="9" t="str">
        <f aca="false">IF(OR($B1879="",NOT(ISNUMBER($E1879))),"",$E1879-IF($F1879="",0,$F1879))</f>
        <v/>
      </c>
      <c r="H1879" s="15" t="str">
        <f aca="false">IF($B1879="","",IFERROR(INDEX(Services!$A$2:$A$120,MATCH($B1879,Services!$D$2:$D$120,0)),""))</f>
        <v/>
      </c>
      <c r="I1879" s="19"/>
      <c r="J1879" s="15" t="str">
        <f aca="false">IF($B1879="","",IFERROR(INDEX(Services!$E$2:$E$120,MATCH($B1879,Services!$D$2:$D$120,0)),""))</f>
        <v/>
      </c>
    </row>
    <row r="1880" customFormat="false" ht="14.25" hidden="false" customHeight="false" outlineLevel="0" collapsed="false">
      <c r="A1880" s="18"/>
      <c r="B1880" s="6"/>
      <c r="C1880" s="6"/>
      <c r="D1880" s="6"/>
      <c r="E1880" s="16" t="str">
        <f aca="false">IF($B1880="","",IFERROR(INDEX(Services!$C$2:$C$120,MATCH($B1880,Services!$D$2:$D$120,0)),""))</f>
        <v/>
      </c>
      <c r="F1880" s="19"/>
      <c r="G1880" s="9" t="str">
        <f aca="false">IF(OR($B1880="",NOT(ISNUMBER($E1880))),"",$E1880-IF($F1880="",0,$F1880))</f>
        <v/>
      </c>
      <c r="H1880" s="15" t="str">
        <f aca="false">IF($B1880="","",IFERROR(INDEX(Services!$A$2:$A$120,MATCH($B1880,Services!$D$2:$D$120,0)),""))</f>
        <v/>
      </c>
      <c r="I1880" s="19"/>
      <c r="J1880" s="15" t="str">
        <f aca="false">IF($B1880="","",IFERROR(INDEX(Services!$E$2:$E$120,MATCH($B1880,Services!$D$2:$D$120,0)),""))</f>
        <v/>
      </c>
    </row>
    <row r="1881" customFormat="false" ht="14.25" hidden="false" customHeight="false" outlineLevel="0" collapsed="false">
      <c r="A1881" s="18"/>
      <c r="B1881" s="6"/>
      <c r="C1881" s="6"/>
      <c r="D1881" s="6"/>
      <c r="E1881" s="16" t="str">
        <f aca="false">IF($B1881="","",IFERROR(INDEX(Services!$C$2:$C$120,MATCH($B1881,Services!$D$2:$D$120,0)),""))</f>
        <v/>
      </c>
      <c r="F1881" s="19"/>
      <c r="G1881" s="9" t="str">
        <f aca="false">IF(OR($B1881="",NOT(ISNUMBER($E1881))),"",$E1881-IF($F1881="",0,$F1881))</f>
        <v/>
      </c>
      <c r="H1881" s="15" t="str">
        <f aca="false">IF($B1881="","",IFERROR(INDEX(Services!$A$2:$A$120,MATCH($B1881,Services!$D$2:$D$120,0)),""))</f>
        <v/>
      </c>
      <c r="I1881" s="19"/>
      <c r="J1881" s="15" t="str">
        <f aca="false">IF($B1881="","",IFERROR(INDEX(Services!$E$2:$E$120,MATCH($B1881,Services!$D$2:$D$120,0)),""))</f>
        <v/>
      </c>
    </row>
    <row r="1882" customFormat="false" ht="14.25" hidden="false" customHeight="false" outlineLevel="0" collapsed="false">
      <c r="A1882" s="18"/>
      <c r="B1882" s="6"/>
      <c r="C1882" s="6"/>
      <c r="D1882" s="6"/>
      <c r="E1882" s="16" t="str">
        <f aca="false">IF($B1882="","",IFERROR(INDEX(Services!$C$2:$C$120,MATCH($B1882,Services!$D$2:$D$120,0)),""))</f>
        <v/>
      </c>
      <c r="F1882" s="19"/>
      <c r="G1882" s="9" t="str">
        <f aca="false">IF(OR($B1882="",NOT(ISNUMBER($E1882))),"",$E1882-IF($F1882="",0,$F1882))</f>
        <v/>
      </c>
      <c r="H1882" s="15" t="str">
        <f aca="false">IF($B1882="","",IFERROR(INDEX(Services!$A$2:$A$120,MATCH($B1882,Services!$D$2:$D$120,0)),""))</f>
        <v/>
      </c>
      <c r="I1882" s="19"/>
      <c r="J1882" s="15" t="str">
        <f aca="false">IF($B1882="","",IFERROR(INDEX(Services!$E$2:$E$120,MATCH($B1882,Services!$D$2:$D$120,0)),""))</f>
        <v/>
      </c>
    </row>
    <row r="1883" customFormat="false" ht="14.25" hidden="false" customHeight="false" outlineLevel="0" collapsed="false">
      <c r="A1883" s="18"/>
      <c r="B1883" s="6"/>
      <c r="C1883" s="6"/>
      <c r="D1883" s="6"/>
      <c r="E1883" s="16" t="str">
        <f aca="false">IF($B1883="","",IFERROR(INDEX(Services!$C$2:$C$120,MATCH($B1883,Services!$D$2:$D$120,0)),""))</f>
        <v/>
      </c>
      <c r="F1883" s="19"/>
      <c r="G1883" s="9" t="str">
        <f aca="false">IF(OR($B1883="",NOT(ISNUMBER($E1883))),"",$E1883-IF($F1883="",0,$F1883))</f>
        <v/>
      </c>
      <c r="H1883" s="15" t="str">
        <f aca="false">IF($B1883="","",IFERROR(INDEX(Services!$A$2:$A$120,MATCH($B1883,Services!$D$2:$D$120,0)),""))</f>
        <v/>
      </c>
      <c r="I1883" s="19"/>
      <c r="J1883" s="15" t="str">
        <f aca="false">IF($B1883="","",IFERROR(INDEX(Services!$E$2:$E$120,MATCH($B1883,Services!$D$2:$D$120,0)),""))</f>
        <v/>
      </c>
    </row>
    <row r="1884" customFormat="false" ht="14.25" hidden="false" customHeight="false" outlineLevel="0" collapsed="false">
      <c r="A1884" s="18"/>
      <c r="B1884" s="6"/>
      <c r="C1884" s="6"/>
      <c r="D1884" s="6"/>
      <c r="E1884" s="16" t="str">
        <f aca="false">IF($B1884="","",IFERROR(INDEX(Services!$C$2:$C$120,MATCH($B1884,Services!$D$2:$D$120,0)),""))</f>
        <v/>
      </c>
      <c r="F1884" s="19"/>
      <c r="G1884" s="9" t="str">
        <f aca="false">IF(OR($B1884="",NOT(ISNUMBER($E1884))),"",$E1884-IF($F1884="",0,$F1884))</f>
        <v/>
      </c>
      <c r="H1884" s="15" t="str">
        <f aca="false">IF($B1884="","",IFERROR(INDEX(Services!$A$2:$A$120,MATCH($B1884,Services!$D$2:$D$120,0)),""))</f>
        <v/>
      </c>
      <c r="I1884" s="19"/>
      <c r="J1884" s="15" t="str">
        <f aca="false">IF($B1884="","",IFERROR(INDEX(Services!$E$2:$E$120,MATCH($B1884,Services!$D$2:$D$120,0)),""))</f>
        <v/>
      </c>
    </row>
    <row r="1885" customFormat="false" ht="14.25" hidden="false" customHeight="false" outlineLevel="0" collapsed="false">
      <c r="A1885" s="18"/>
      <c r="B1885" s="6"/>
      <c r="C1885" s="6"/>
      <c r="D1885" s="6"/>
      <c r="E1885" s="16" t="str">
        <f aca="false">IF($B1885="","",IFERROR(INDEX(Services!$C$2:$C$120,MATCH($B1885,Services!$D$2:$D$120,0)),""))</f>
        <v/>
      </c>
      <c r="F1885" s="19"/>
      <c r="G1885" s="9" t="str">
        <f aca="false">IF(OR($B1885="",NOT(ISNUMBER($E1885))),"",$E1885-IF($F1885="",0,$F1885))</f>
        <v/>
      </c>
      <c r="H1885" s="15" t="str">
        <f aca="false">IF($B1885="","",IFERROR(INDEX(Services!$A$2:$A$120,MATCH($B1885,Services!$D$2:$D$120,0)),""))</f>
        <v/>
      </c>
      <c r="I1885" s="19"/>
      <c r="J1885" s="15" t="str">
        <f aca="false">IF($B1885="","",IFERROR(INDEX(Services!$E$2:$E$120,MATCH($B1885,Services!$D$2:$D$120,0)),""))</f>
        <v/>
      </c>
    </row>
    <row r="1886" customFormat="false" ht="14.25" hidden="false" customHeight="false" outlineLevel="0" collapsed="false">
      <c r="A1886" s="18"/>
      <c r="B1886" s="6"/>
      <c r="C1886" s="6"/>
      <c r="D1886" s="6"/>
      <c r="E1886" s="16" t="str">
        <f aca="false">IF($B1886="","",IFERROR(INDEX(Services!$C$2:$C$120,MATCH($B1886,Services!$D$2:$D$120,0)),""))</f>
        <v/>
      </c>
      <c r="F1886" s="19"/>
      <c r="G1886" s="9" t="str">
        <f aca="false">IF(OR($B1886="",NOT(ISNUMBER($E1886))),"",$E1886-IF($F1886="",0,$F1886))</f>
        <v/>
      </c>
      <c r="H1886" s="15" t="str">
        <f aca="false">IF($B1886="","",IFERROR(INDEX(Services!$A$2:$A$120,MATCH($B1886,Services!$D$2:$D$120,0)),""))</f>
        <v/>
      </c>
      <c r="I1886" s="19"/>
      <c r="J1886" s="15" t="str">
        <f aca="false">IF($B1886="","",IFERROR(INDEX(Services!$E$2:$E$120,MATCH($B1886,Services!$D$2:$D$120,0)),""))</f>
        <v/>
      </c>
    </row>
    <row r="1887" customFormat="false" ht="14.25" hidden="false" customHeight="false" outlineLevel="0" collapsed="false">
      <c r="A1887" s="18"/>
      <c r="B1887" s="6"/>
      <c r="C1887" s="6"/>
      <c r="D1887" s="6"/>
      <c r="E1887" s="16" t="str">
        <f aca="false">IF($B1887="","",IFERROR(INDEX(Services!$C$2:$C$120,MATCH($B1887,Services!$D$2:$D$120,0)),""))</f>
        <v/>
      </c>
      <c r="F1887" s="19"/>
      <c r="G1887" s="9" t="str">
        <f aca="false">IF(OR($B1887="",NOT(ISNUMBER($E1887))),"",$E1887-IF($F1887="",0,$F1887))</f>
        <v/>
      </c>
      <c r="H1887" s="15" t="str">
        <f aca="false">IF($B1887="","",IFERROR(INDEX(Services!$A$2:$A$120,MATCH($B1887,Services!$D$2:$D$120,0)),""))</f>
        <v/>
      </c>
      <c r="I1887" s="19"/>
      <c r="J1887" s="15" t="str">
        <f aca="false">IF($B1887="","",IFERROR(INDEX(Services!$E$2:$E$120,MATCH($B1887,Services!$D$2:$D$120,0)),""))</f>
        <v/>
      </c>
    </row>
    <row r="1888" customFormat="false" ht="14.25" hidden="false" customHeight="false" outlineLevel="0" collapsed="false">
      <c r="A1888" s="18"/>
      <c r="B1888" s="6"/>
      <c r="C1888" s="6"/>
      <c r="D1888" s="6"/>
      <c r="E1888" s="16" t="str">
        <f aca="false">IF($B1888="","",IFERROR(INDEX(Services!$C$2:$C$120,MATCH($B1888,Services!$D$2:$D$120,0)),""))</f>
        <v/>
      </c>
      <c r="F1888" s="19"/>
      <c r="G1888" s="9" t="str">
        <f aca="false">IF(OR($B1888="",NOT(ISNUMBER($E1888))),"",$E1888-IF($F1888="",0,$F1888))</f>
        <v/>
      </c>
      <c r="H1888" s="15" t="str">
        <f aca="false">IF($B1888="","",IFERROR(INDEX(Services!$A$2:$A$120,MATCH($B1888,Services!$D$2:$D$120,0)),""))</f>
        <v/>
      </c>
      <c r="I1888" s="19"/>
      <c r="J1888" s="15" t="str">
        <f aca="false">IF($B1888="","",IFERROR(INDEX(Services!$E$2:$E$120,MATCH($B1888,Services!$D$2:$D$120,0)),""))</f>
        <v/>
      </c>
    </row>
    <row r="1889" customFormat="false" ht="14.25" hidden="false" customHeight="false" outlineLevel="0" collapsed="false">
      <c r="A1889" s="18"/>
      <c r="B1889" s="6"/>
      <c r="C1889" s="6"/>
      <c r="D1889" s="6"/>
      <c r="E1889" s="16" t="str">
        <f aca="false">IF($B1889="","",IFERROR(INDEX(Services!$C$2:$C$120,MATCH($B1889,Services!$D$2:$D$120,0)),""))</f>
        <v/>
      </c>
      <c r="F1889" s="19"/>
      <c r="G1889" s="9" t="str">
        <f aca="false">IF(OR($B1889="",NOT(ISNUMBER($E1889))),"",$E1889-IF($F1889="",0,$F1889))</f>
        <v/>
      </c>
      <c r="H1889" s="15" t="str">
        <f aca="false">IF($B1889="","",IFERROR(INDEX(Services!$A$2:$A$120,MATCH($B1889,Services!$D$2:$D$120,0)),""))</f>
        <v/>
      </c>
      <c r="I1889" s="19"/>
      <c r="J1889" s="15" t="str">
        <f aca="false">IF($B1889="","",IFERROR(INDEX(Services!$E$2:$E$120,MATCH($B1889,Services!$D$2:$D$120,0)),""))</f>
        <v/>
      </c>
    </row>
    <row r="1890" customFormat="false" ht="14.25" hidden="false" customHeight="false" outlineLevel="0" collapsed="false">
      <c r="A1890" s="18"/>
      <c r="B1890" s="6"/>
      <c r="C1890" s="6"/>
      <c r="D1890" s="6"/>
      <c r="E1890" s="16" t="str">
        <f aca="false">IF($B1890="","",IFERROR(INDEX(Services!$C$2:$C$120,MATCH($B1890,Services!$D$2:$D$120,0)),""))</f>
        <v/>
      </c>
      <c r="F1890" s="19"/>
      <c r="G1890" s="9" t="str">
        <f aca="false">IF(OR($B1890="",NOT(ISNUMBER($E1890))),"",$E1890-IF($F1890="",0,$F1890))</f>
        <v/>
      </c>
      <c r="H1890" s="15" t="str">
        <f aca="false">IF($B1890="","",IFERROR(INDEX(Services!$A$2:$A$120,MATCH($B1890,Services!$D$2:$D$120,0)),""))</f>
        <v/>
      </c>
      <c r="I1890" s="19"/>
      <c r="J1890" s="15" t="str">
        <f aca="false">IF($B1890="","",IFERROR(INDEX(Services!$E$2:$E$120,MATCH($B1890,Services!$D$2:$D$120,0)),""))</f>
        <v/>
      </c>
    </row>
    <row r="1891" customFormat="false" ht="14.25" hidden="false" customHeight="false" outlineLevel="0" collapsed="false">
      <c r="A1891" s="18"/>
      <c r="B1891" s="6"/>
      <c r="C1891" s="6"/>
      <c r="D1891" s="6"/>
      <c r="E1891" s="16" t="str">
        <f aca="false">IF($B1891="","",IFERROR(INDEX(Services!$C$2:$C$120,MATCH($B1891,Services!$D$2:$D$120,0)),""))</f>
        <v/>
      </c>
      <c r="F1891" s="19"/>
      <c r="G1891" s="9" t="str">
        <f aca="false">IF(OR($B1891="",NOT(ISNUMBER($E1891))),"",$E1891-IF($F1891="",0,$F1891))</f>
        <v/>
      </c>
      <c r="H1891" s="15" t="str">
        <f aca="false">IF($B1891="","",IFERROR(INDEX(Services!$A$2:$A$120,MATCH($B1891,Services!$D$2:$D$120,0)),""))</f>
        <v/>
      </c>
      <c r="I1891" s="19"/>
      <c r="J1891" s="15" t="str">
        <f aca="false">IF($B1891="","",IFERROR(INDEX(Services!$E$2:$E$120,MATCH($B1891,Services!$D$2:$D$120,0)),""))</f>
        <v/>
      </c>
    </row>
    <row r="1892" customFormat="false" ht="14.25" hidden="false" customHeight="false" outlineLevel="0" collapsed="false">
      <c r="A1892" s="18"/>
      <c r="B1892" s="6"/>
      <c r="C1892" s="6"/>
      <c r="D1892" s="6"/>
      <c r="E1892" s="16" t="str">
        <f aca="false">IF($B1892="","",IFERROR(INDEX(Services!$C$2:$C$120,MATCH($B1892,Services!$D$2:$D$120,0)),""))</f>
        <v/>
      </c>
      <c r="F1892" s="19"/>
      <c r="G1892" s="9" t="str">
        <f aca="false">IF(OR($B1892="",NOT(ISNUMBER($E1892))),"",$E1892-IF($F1892="",0,$F1892))</f>
        <v/>
      </c>
      <c r="H1892" s="15" t="str">
        <f aca="false">IF($B1892="","",IFERROR(INDEX(Services!$A$2:$A$120,MATCH($B1892,Services!$D$2:$D$120,0)),""))</f>
        <v/>
      </c>
      <c r="I1892" s="19"/>
      <c r="J1892" s="15" t="str">
        <f aca="false">IF($B1892="","",IFERROR(INDEX(Services!$E$2:$E$120,MATCH($B1892,Services!$D$2:$D$120,0)),""))</f>
        <v/>
      </c>
    </row>
    <row r="1893" customFormat="false" ht="14.25" hidden="false" customHeight="false" outlineLevel="0" collapsed="false">
      <c r="A1893" s="18"/>
      <c r="B1893" s="6"/>
      <c r="C1893" s="6"/>
      <c r="D1893" s="6"/>
      <c r="E1893" s="16" t="str">
        <f aca="false">IF($B1893="","",IFERROR(INDEX(Services!$C$2:$C$120,MATCH($B1893,Services!$D$2:$D$120,0)),""))</f>
        <v/>
      </c>
      <c r="F1893" s="19"/>
      <c r="G1893" s="9" t="str">
        <f aca="false">IF(OR($B1893="",NOT(ISNUMBER($E1893))),"",$E1893-IF($F1893="",0,$F1893))</f>
        <v/>
      </c>
      <c r="H1893" s="15" t="str">
        <f aca="false">IF($B1893="","",IFERROR(INDEX(Services!$A$2:$A$120,MATCH($B1893,Services!$D$2:$D$120,0)),""))</f>
        <v/>
      </c>
      <c r="I1893" s="19"/>
      <c r="J1893" s="15" t="str">
        <f aca="false">IF($B1893="","",IFERROR(INDEX(Services!$E$2:$E$120,MATCH($B1893,Services!$D$2:$D$120,0)),""))</f>
        <v/>
      </c>
    </row>
    <row r="1894" customFormat="false" ht="14.25" hidden="false" customHeight="false" outlineLevel="0" collapsed="false">
      <c r="A1894" s="18"/>
      <c r="B1894" s="6"/>
      <c r="C1894" s="6"/>
      <c r="D1894" s="6"/>
      <c r="E1894" s="16" t="str">
        <f aca="false">IF($B1894="","",IFERROR(INDEX(Services!$C$2:$C$120,MATCH($B1894,Services!$D$2:$D$120,0)),""))</f>
        <v/>
      </c>
      <c r="F1894" s="19"/>
      <c r="G1894" s="9" t="str">
        <f aca="false">IF(OR($B1894="",NOT(ISNUMBER($E1894))),"",$E1894-IF($F1894="",0,$F1894))</f>
        <v/>
      </c>
      <c r="H1894" s="15" t="str">
        <f aca="false">IF($B1894="","",IFERROR(INDEX(Services!$A$2:$A$120,MATCH($B1894,Services!$D$2:$D$120,0)),""))</f>
        <v/>
      </c>
      <c r="I1894" s="19"/>
      <c r="J1894" s="15" t="str">
        <f aca="false">IF($B1894="","",IFERROR(INDEX(Services!$E$2:$E$120,MATCH($B1894,Services!$D$2:$D$120,0)),""))</f>
        <v/>
      </c>
    </row>
    <row r="1895" customFormat="false" ht="14.25" hidden="false" customHeight="false" outlineLevel="0" collapsed="false">
      <c r="A1895" s="18"/>
      <c r="B1895" s="6"/>
      <c r="C1895" s="6"/>
      <c r="D1895" s="6"/>
      <c r="E1895" s="16" t="str">
        <f aca="false">IF($B1895="","",IFERROR(INDEX(Services!$C$2:$C$120,MATCH($B1895,Services!$D$2:$D$120,0)),""))</f>
        <v/>
      </c>
      <c r="F1895" s="19"/>
      <c r="G1895" s="9" t="str">
        <f aca="false">IF(OR($B1895="",NOT(ISNUMBER($E1895))),"",$E1895-IF($F1895="",0,$F1895))</f>
        <v/>
      </c>
      <c r="H1895" s="15" t="str">
        <f aca="false">IF($B1895="","",IFERROR(INDEX(Services!$A$2:$A$120,MATCH($B1895,Services!$D$2:$D$120,0)),""))</f>
        <v/>
      </c>
      <c r="I1895" s="19"/>
      <c r="J1895" s="15" t="str">
        <f aca="false">IF($B1895="","",IFERROR(INDEX(Services!$E$2:$E$120,MATCH($B1895,Services!$D$2:$D$120,0)),""))</f>
        <v/>
      </c>
    </row>
    <row r="1896" customFormat="false" ht="14.25" hidden="false" customHeight="false" outlineLevel="0" collapsed="false">
      <c r="A1896" s="18"/>
      <c r="B1896" s="6"/>
      <c r="C1896" s="6"/>
      <c r="D1896" s="6"/>
      <c r="E1896" s="16" t="str">
        <f aca="false">IF($B1896="","",IFERROR(INDEX(Services!$C$2:$C$120,MATCH($B1896,Services!$D$2:$D$120,0)),""))</f>
        <v/>
      </c>
      <c r="F1896" s="19"/>
      <c r="G1896" s="9" t="str">
        <f aca="false">IF(OR($B1896="",NOT(ISNUMBER($E1896))),"",$E1896-IF($F1896="",0,$F1896))</f>
        <v/>
      </c>
      <c r="H1896" s="15" t="str">
        <f aca="false">IF($B1896="","",IFERROR(INDEX(Services!$A$2:$A$120,MATCH($B1896,Services!$D$2:$D$120,0)),""))</f>
        <v/>
      </c>
      <c r="I1896" s="19"/>
      <c r="J1896" s="15" t="str">
        <f aca="false">IF($B1896="","",IFERROR(INDEX(Services!$E$2:$E$120,MATCH($B1896,Services!$D$2:$D$120,0)),""))</f>
        <v/>
      </c>
    </row>
    <row r="1897" customFormat="false" ht="14.25" hidden="false" customHeight="false" outlineLevel="0" collapsed="false">
      <c r="A1897" s="18"/>
      <c r="B1897" s="6"/>
      <c r="C1897" s="6"/>
      <c r="D1897" s="6"/>
      <c r="E1897" s="16" t="str">
        <f aca="false">IF($B1897="","",IFERROR(INDEX(Services!$C$2:$C$120,MATCH($B1897,Services!$D$2:$D$120,0)),""))</f>
        <v/>
      </c>
      <c r="F1897" s="19"/>
      <c r="G1897" s="9" t="str">
        <f aca="false">IF(OR($B1897="",NOT(ISNUMBER($E1897))),"",$E1897-IF($F1897="",0,$F1897))</f>
        <v/>
      </c>
      <c r="H1897" s="15" t="str">
        <f aca="false">IF($B1897="","",IFERROR(INDEX(Services!$A$2:$A$120,MATCH($B1897,Services!$D$2:$D$120,0)),""))</f>
        <v/>
      </c>
      <c r="I1897" s="19"/>
      <c r="J1897" s="15" t="str">
        <f aca="false">IF($B1897="","",IFERROR(INDEX(Services!$E$2:$E$120,MATCH($B1897,Services!$D$2:$D$120,0)),""))</f>
        <v/>
      </c>
    </row>
    <row r="1898" customFormat="false" ht="14.25" hidden="false" customHeight="false" outlineLevel="0" collapsed="false">
      <c r="A1898" s="18"/>
      <c r="B1898" s="6"/>
      <c r="C1898" s="6"/>
      <c r="D1898" s="6"/>
      <c r="E1898" s="16" t="str">
        <f aca="false">IF($B1898="","",IFERROR(INDEX(Services!$C$2:$C$120,MATCH($B1898,Services!$D$2:$D$120,0)),""))</f>
        <v/>
      </c>
      <c r="F1898" s="19"/>
      <c r="G1898" s="9" t="str">
        <f aca="false">IF(OR($B1898="",NOT(ISNUMBER($E1898))),"",$E1898-IF($F1898="",0,$F1898))</f>
        <v/>
      </c>
      <c r="H1898" s="15" t="str">
        <f aca="false">IF($B1898="","",IFERROR(INDEX(Services!$A$2:$A$120,MATCH($B1898,Services!$D$2:$D$120,0)),""))</f>
        <v/>
      </c>
      <c r="I1898" s="19"/>
      <c r="J1898" s="15" t="str">
        <f aca="false">IF($B1898="","",IFERROR(INDEX(Services!$E$2:$E$120,MATCH($B1898,Services!$D$2:$D$120,0)),""))</f>
        <v/>
      </c>
    </row>
    <row r="1899" customFormat="false" ht="14.25" hidden="false" customHeight="false" outlineLevel="0" collapsed="false">
      <c r="A1899" s="18"/>
      <c r="B1899" s="6"/>
      <c r="C1899" s="6"/>
      <c r="D1899" s="6"/>
      <c r="E1899" s="16" t="str">
        <f aca="false">IF($B1899="","",IFERROR(INDEX(Services!$C$2:$C$120,MATCH($B1899,Services!$D$2:$D$120,0)),""))</f>
        <v/>
      </c>
      <c r="F1899" s="19"/>
      <c r="G1899" s="9" t="str">
        <f aca="false">IF(OR($B1899="",NOT(ISNUMBER($E1899))),"",$E1899-IF($F1899="",0,$F1899))</f>
        <v/>
      </c>
      <c r="H1899" s="15" t="str">
        <f aca="false">IF($B1899="","",IFERROR(INDEX(Services!$A$2:$A$120,MATCH($B1899,Services!$D$2:$D$120,0)),""))</f>
        <v/>
      </c>
      <c r="I1899" s="19"/>
      <c r="J1899" s="15" t="str">
        <f aca="false">IF($B1899="","",IFERROR(INDEX(Services!$E$2:$E$120,MATCH($B1899,Services!$D$2:$D$120,0)),""))</f>
        <v/>
      </c>
    </row>
    <row r="1900" customFormat="false" ht="14.25" hidden="false" customHeight="false" outlineLevel="0" collapsed="false">
      <c r="A1900" s="18"/>
      <c r="B1900" s="6"/>
      <c r="C1900" s="6"/>
      <c r="D1900" s="6"/>
      <c r="E1900" s="16" t="str">
        <f aca="false">IF($B1900="","",IFERROR(INDEX(Services!$C$2:$C$120,MATCH($B1900,Services!$D$2:$D$120,0)),""))</f>
        <v/>
      </c>
      <c r="F1900" s="19"/>
      <c r="G1900" s="9" t="str">
        <f aca="false">IF(OR($B1900="",NOT(ISNUMBER($E1900))),"",$E1900-IF($F1900="",0,$F1900))</f>
        <v/>
      </c>
      <c r="H1900" s="15" t="str">
        <f aca="false">IF($B1900="","",IFERROR(INDEX(Services!$A$2:$A$120,MATCH($B1900,Services!$D$2:$D$120,0)),""))</f>
        <v/>
      </c>
      <c r="I1900" s="19"/>
      <c r="J1900" s="15" t="str">
        <f aca="false">IF($B1900="","",IFERROR(INDEX(Services!$E$2:$E$120,MATCH($B1900,Services!$D$2:$D$120,0)),""))</f>
        <v/>
      </c>
    </row>
    <row r="1901" customFormat="false" ht="14.25" hidden="false" customHeight="false" outlineLevel="0" collapsed="false">
      <c r="A1901" s="18"/>
      <c r="B1901" s="6"/>
      <c r="C1901" s="6"/>
      <c r="D1901" s="6"/>
      <c r="E1901" s="16" t="str">
        <f aca="false">IF($B1901="","",IFERROR(INDEX(Services!$C$2:$C$120,MATCH($B1901,Services!$D$2:$D$120,0)),""))</f>
        <v/>
      </c>
      <c r="F1901" s="19"/>
      <c r="G1901" s="9" t="str">
        <f aca="false">IF(OR($B1901="",NOT(ISNUMBER($E1901))),"",$E1901-IF($F1901="",0,$F1901))</f>
        <v/>
      </c>
      <c r="H1901" s="15" t="str">
        <f aca="false">IF($B1901="","",IFERROR(INDEX(Services!$A$2:$A$120,MATCH($B1901,Services!$D$2:$D$120,0)),""))</f>
        <v/>
      </c>
      <c r="I1901" s="19"/>
      <c r="J1901" s="15" t="str">
        <f aca="false">IF($B1901="","",IFERROR(INDEX(Services!$E$2:$E$120,MATCH($B1901,Services!$D$2:$D$120,0)),""))</f>
        <v/>
      </c>
    </row>
    <row r="1902" customFormat="false" ht="14.25" hidden="false" customHeight="false" outlineLevel="0" collapsed="false">
      <c r="A1902" s="18"/>
      <c r="B1902" s="6"/>
      <c r="C1902" s="6"/>
      <c r="D1902" s="6"/>
      <c r="E1902" s="16" t="str">
        <f aca="false">IF($B1902="","",IFERROR(INDEX(Services!$C$2:$C$120,MATCH($B1902,Services!$D$2:$D$120,0)),""))</f>
        <v/>
      </c>
      <c r="F1902" s="19"/>
      <c r="G1902" s="9" t="str">
        <f aca="false">IF(OR($B1902="",NOT(ISNUMBER($E1902))),"",$E1902-IF($F1902="",0,$F1902))</f>
        <v/>
      </c>
      <c r="H1902" s="15" t="str">
        <f aca="false">IF($B1902="","",IFERROR(INDEX(Services!$A$2:$A$120,MATCH($B1902,Services!$D$2:$D$120,0)),""))</f>
        <v/>
      </c>
      <c r="I1902" s="19"/>
      <c r="J1902" s="15" t="str">
        <f aca="false">IF($B1902="","",IFERROR(INDEX(Services!$E$2:$E$120,MATCH($B1902,Services!$D$2:$D$120,0)),""))</f>
        <v/>
      </c>
    </row>
    <row r="1903" customFormat="false" ht="14.25" hidden="false" customHeight="false" outlineLevel="0" collapsed="false">
      <c r="A1903" s="18"/>
      <c r="B1903" s="6"/>
      <c r="C1903" s="6"/>
      <c r="D1903" s="6"/>
      <c r="E1903" s="16" t="str">
        <f aca="false">IF($B1903="","",IFERROR(INDEX(Services!$C$2:$C$120,MATCH($B1903,Services!$D$2:$D$120,0)),""))</f>
        <v/>
      </c>
      <c r="F1903" s="19"/>
      <c r="G1903" s="9" t="str">
        <f aca="false">IF(OR($B1903="",NOT(ISNUMBER($E1903))),"",$E1903-IF($F1903="",0,$F1903))</f>
        <v/>
      </c>
      <c r="H1903" s="15" t="str">
        <f aca="false">IF($B1903="","",IFERROR(INDEX(Services!$A$2:$A$120,MATCH($B1903,Services!$D$2:$D$120,0)),""))</f>
        <v/>
      </c>
      <c r="I1903" s="19"/>
      <c r="J1903" s="15" t="str">
        <f aca="false">IF($B1903="","",IFERROR(INDEX(Services!$E$2:$E$120,MATCH($B1903,Services!$D$2:$D$120,0)),""))</f>
        <v/>
      </c>
    </row>
    <row r="1904" customFormat="false" ht="14.25" hidden="false" customHeight="false" outlineLevel="0" collapsed="false">
      <c r="A1904" s="18"/>
      <c r="B1904" s="6"/>
      <c r="C1904" s="6"/>
      <c r="D1904" s="6"/>
      <c r="E1904" s="16" t="str">
        <f aca="false">IF($B1904="","",IFERROR(INDEX(Services!$C$2:$C$120,MATCH($B1904,Services!$D$2:$D$120,0)),""))</f>
        <v/>
      </c>
      <c r="F1904" s="19"/>
      <c r="G1904" s="9" t="str">
        <f aca="false">IF(OR($B1904="",NOT(ISNUMBER($E1904))),"",$E1904-IF($F1904="",0,$F1904))</f>
        <v/>
      </c>
      <c r="H1904" s="15" t="str">
        <f aca="false">IF($B1904="","",IFERROR(INDEX(Services!$A$2:$A$120,MATCH($B1904,Services!$D$2:$D$120,0)),""))</f>
        <v/>
      </c>
      <c r="I1904" s="19"/>
      <c r="J1904" s="15" t="str">
        <f aca="false">IF($B1904="","",IFERROR(INDEX(Services!$E$2:$E$120,MATCH($B1904,Services!$D$2:$D$120,0)),""))</f>
        <v/>
      </c>
    </row>
    <row r="1905" customFormat="false" ht="14.25" hidden="false" customHeight="false" outlineLevel="0" collapsed="false">
      <c r="A1905" s="18"/>
      <c r="B1905" s="6"/>
      <c r="C1905" s="6"/>
      <c r="D1905" s="6"/>
      <c r="E1905" s="16" t="str">
        <f aca="false">IF($B1905="","",IFERROR(INDEX(Services!$C$2:$C$120,MATCH($B1905,Services!$D$2:$D$120,0)),""))</f>
        <v/>
      </c>
      <c r="F1905" s="19"/>
      <c r="G1905" s="9" t="str">
        <f aca="false">IF(OR($B1905="",NOT(ISNUMBER($E1905))),"",$E1905-IF($F1905="",0,$F1905))</f>
        <v/>
      </c>
      <c r="H1905" s="15" t="str">
        <f aca="false">IF($B1905="","",IFERROR(INDEX(Services!$A$2:$A$120,MATCH($B1905,Services!$D$2:$D$120,0)),""))</f>
        <v/>
      </c>
      <c r="I1905" s="19"/>
      <c r="J1905" s="15" t="str">
        <f aca="false">IF($B1905="","",IFERROR(INDEX(Services!$E$2:$E$120,MATCH($B1905,Services!$D$2:$D$120,0)),""))</f>
        <v/>
      </c>
    </row>
    <row r="1906" customFormat="false" ht="14.25" hidden="false" customHeight="false" outlineLevel="0" collapsed="false">
      <c r="A1906" s="18"/>
      <c r="B1906" s="6"/>
      <c r="C1906" s="6"/>
      <c r="D1906" s="6"/>
      <c r="E1906" s="16" t="str">
        <f aca="false">IF($B1906="","",IFERROR(INDEX(Services!$C$2:$C$120,MATCH($B1906,Services!$D$2:$D$120,0)),""))</f>
        <v/>
      </c>
      <c r="F1906" s="19"/>
      <c r="G1906" s="9" t="str">
        <f aca="false">IF(OR($B1906="",NOT(ISNUMBER($E1906))),"",$E1906-IF($F1906="",0,$F1906))</f>
        <v/>
      </c>
      <c r="H1906" s="15" t="str">
        <f aca="false">IF($B1906="","",IFERROR(INDEX(Services!$A$2:$A$120,MATCH($B1906,Services!$D$2:$D$120,0)),""))</f>
        <v/>
      </c>
      <c r="I1906" s="19"/>
      <c r="J1906" s="15" t="str">
        <f aca="false">IF($B1906="","",IFERROR(INDEX(Services!$E$2:$E$120,MATCH($B1906,Services!$D$2:$D$120,0)),""))</f>
        <v/>
      </c>
    </row>
    <row r="1907" customFormat="false" ht="14.25" hidden="false" customHeight="false" outlineLevel="0" collapsed="false">
      <c r="A1907" s="18"/>
      <c r="B1907" s="6"/>
      <c r="C1907" s="6"/>
      <c r="D1907" s="6"/>
      <c r="E1907" s="16" t="str">
        <f aca="false">IF($B1907="","",IFERROR(INDEX(Services!$C$2:$C$120,MATCH($B1907,Services!$D$2:$D$120,0)),""))</f>
        <v/>
      </c>
      <c r="F1907" s="19"/>
      <c r="G1907" s="9" t="str">
        <f aca="false">IF(OR($B1907="",NOT(ISNUMBER($E1907))),"",$E1907-IF($F1907="",0,$F1907))</f>
        <v/>
      </c>
      <c r="H1907" s="15" t="str">
        <f aca="false">IF($B1907="","",IFERROR(INDEX(Services!$A$2:$A$120,MATCH($B1907,Services!$D$2:$D$120,0)),""))</f>
        <v/>
      </c>
      <c r="I1907" s="19"/>
      <c r="J1907" s="15" t="str">
        <f aca="false">IF($B1907="","",IFERROR(INDEX(Services!$E$2:$E$120,MATCH($B1907,Services!$D$2:$D$120,0)),""))</f>
        <v/>
      </c>
    </row>
    <row r="1908" customFormat="false" ht="14.25" hidden="false" customHeight="false" outlineLevel="0" collapsed="false">
      <c r="A1908" s="18"/>
      <c r="B1908" s="6"/>
      <c r="C1908" s="6"/>
      <c r="D1908" s="6"/>
      <c r="E1908" s="16" t="str">
        <f aca="false">IF($B1908="","",IFERROR(INDEX(Services!$C$2:$C$120,MATCH($B1908,Services!$D$2:$D$120,0)),""))</f>
        <v/>
      </c>
      <c r="F1908" s="19"/>
      <c r="G1908" s="9" t="str">
        <f aca="false">IF(OR($B1908="",NOT(ISNUMBER($E1908))),"",$E1908-IF($F1908="",0,$F1908))</f>
        <v/>
      </c>
      <c r="H1908" s="15" t="str">
        <f aca="false">IF($B1908="","",IFERROR(INDEX(Services!$A$2:$A$120,MATCH($B1908,Services!$D$2:$D$120,0)),""))</f>
        <v/>
      </c>
      <c r="I1908" s="19"/>
      <c r="J1908" s="15" t="str">
        <f aca="false">IF($B1908="","",IFERROR(INDEX(Services!$E$2:$E$120,MATCH($B1908,Services!$D$2:$D$120,0)),""))</f>
        <v/>
      </c>
    </row>
    <row r="1909" customFormat="false" ht="14.25" hidden="false" customHeight="false" outlineLevel="0" collapsed="false">
      <c r="A1909" s="18"/>
      <c r="B1909" s="6"/>
      <c r="C1909" s="6"/>
      <c r="D1909" s="6"/>
      <c r="E1909" s="16" t="str">
        <f aca="false">IF($B1909="","",IFERROR(INDEX(Services!$C$2:$C$120,MATCH($B1909,Services!$D$2:$D$120,0)),""))</f>
        <v/>
      </c>
      <c r="F1909" s="19"/>
      <c r="G1909" s="9" t="str">
        <f aca="false">IF(OR($B1909="",NOT(ISNUMBER($E1909))),"",$E1909-IF($F1909="",0,$F1909))</f>
        <v/>
      </c>
      <c r="H1909" s="15" t="str">
        <f aca="false">IF($B1909="","",IFERROR(INDEX(Services!$A$2:$A$120,MATCH($B1909,Services!$D$2:$D$120,0)),""))</f>
        <v/>
      </c>
      <c r="I1909" s="19"/>
      <c r="J1909" s="15" t="str">
        <f aca="false">IF($B1909="","",IFERROR(INDEX(Services!$E$2:$E$120,MATCH($B1909,Services!$D$2:$D$120,0)),""))</f>
        <v/>
      </c>
    </row>
    <row r="1910" customFormat="false" ht="14.25" hidden="false" customHeight="false" outlineLevel="0" collapsed="false">
      <c r="A1910" s="18"/>
      <c r="B1910" s="6"/>
      <c r="C1910" s="6"/>
      <c r="D1910" s="6"/>
      <c r="E1910" s="16" t="str">
        <f aca="false">IF($B1910="","",IFERROR(INDEX(Services!$C$2:$C$120,MATCH($B1910,Services!$D$2:$D$120,0)),""))</f>
        <v/>
      </c>
      <c r="F1910" s="19"/>
      <c r="G1910" s="9" t="str">
        <f aca="false">IF(OR($B1910="",NOT(ISNUMBER($E1910))),"",$E1910-IF($F1910="",0,$F1910))</f>
        <v/>
      </c>
      <c r="H1910" s="15" t="str">
        <f aca="false">IF($B1910="","",IFERROR(INDEX(Services!$A$2:$A$120,MATCH($B1910,Services!$D$2:$D$120,0)),""))</f>
        <v/>
      </c>
      <c r="I1910" s="19"/>
      <c r="J1910" s="15" t="str">
        <f aca="false">IF($B1910="","",IFERROR(INDEX(Services!$E$2:$E$120,MATCH($B1910,Services!$D$2:$D$120,0)),""))</f>
        <v/>
      </c>
    </row>
    <row r="1911" customFormat="false" ht="14.25" hidden="false" customHeight="false" outlineLevel="0" collapsed="false">
      <c r="A1911" s="18"/>
      <c r="B1911" s="6"/>
      <c r="C1911" s="6"/>
      <c r="D1911" s="6"/>
      <c r="E1911" s="16" t="str">
        <f aca="false">IF($B1911="","",IFERROR(INDEX(Services!$C$2:$C$120,MATCH($B1911,Services!$D$2:$D$120,0)),""))</f>
        <v/>
      </c>
      <c r="F1911" s="19"/>
      <c r="G1911" s="9" t="str">
        <f aca="false">IF(OR($B1911="",NOT(ISNUMBER($E1911))),"",$E1911-IF($F1911="",0,$F1911))</f>
        <v/>
      </c>
      <c r="H1911" s="15" t="str">
        <f aca="false">IF($B1911="","",IFERROR(INDEX(Services!$A$2:$A$120,MATCH($B1911,Services!$D$2:$D$120,0)),""))</f>
        <v/>
      </c>
      <c r="I1911" s="19"/>
      <c r="J1911" s="15" t="str">
        <f aca="false">IF($B1911="","",IFERROR(INDEX(Services!$E$2:$E$120,MATCH($B1911,Services!$D$2:$D$120,0)),""))</f>
        <v/>
      </c>
    </row>
    <row r="1912" customFormat="false" ht="14.25" hidden="false" customHeight="false" outlineLevel="0" collapsed="false">
      <c r="A1912" s="18"/>
      <c r="B1912" s="6"/>
      <c r="C1912" s="6"/>
      <c r="D1912" s="6"/>
      <c r="E1912" s="16" t="str">
        <f aca="false">IF($B1912="","",IFERROR(INDEX(Services!$C$2:$C$120,MATCH($B1912,Services!$D$2:$D$120,0)),""))</f>
        <v/>
      </c>
      <c r="F1912" s="19"/>
      <c r="G1912" s="9" t="str">
        <f aca="false">IF(OR($B1912="",NOT(ISNUMBER($E1912))),"",$E1912-IF($F1912="",0,$F1912))</f>
        <v/>
      </c>
      <c r="H1912" s="15" t="str">
        <f aca="false">IF($B1912="","",IFERROR(INDEX(Services!$A$2:$A$120,MATCH($B1912,Services!$D$2:$D$120,0)),""))</f>
        <v/>
      </c>
      <c r="I1912" s="19"/>
      <c r="J1912" s="15" t="str">
        <f aca="false">IF($B1912="","",IFERROR(INDEX(Services!$E$2:$E$120,MATCH($B1912,Services!$D$2:$D$120,0)),""))</f>
        <v/>
      </c>
    </row>
    <row r="1913" customFormat="false" ht="14.25" hidden="false" customHeight="false" outlineLevel="0" collapsed="false">
      <c r="A1913" s="18"/>
      <c r="B1913" s="6"/>
      <c r="C1913" s="6"/>
      <c r="D1913" s="6"/>
      <c r="E1913" s="16" t="str">
        <f aca="false">IF($B1913="","",IFERROR(INDEX(Services!$C$2:$C$120,MATCH($B1913,Services!$D$2:$D$120,0)),""))</f>
        <v/>
      </c>
      <c r="F1913" s="19"/>
      <c r="G1913" s="9" t="str">
        <f aca="false">IF(OR($B1913="",NOT(ISNUMBER($E1913))),"",$E1913-IF($F1913="",0,$F1913))</f>
        <v/>
      </c>
      <c r="H1913" s="15" t="str">
        <f aca="false">IF($B1913="","",IFERROR(INDEX(Services!$A$2:$A$120,MATCH($B1913,Services!$D$2:$D$120,0)),""))</f>
        <v/>
      </c>
      <c r="I1913" s="19"/>
      <c r="J1913" s="15" t="str">
        <f aca="false">IF($B1913="","",IFERROR(INDEX(Services!$E$2:$E$120,MATCH($B1913,Services!$D$2:$D$120,0)),""))</f>
        <v/>
      </c>
    </row>
    <row r="1914" customFormat="false" ht="14.25" hidden="false" customHeight="false" outlineLevel="0" collapsed="false">
      <c r="A1914" s="18"/>
      <c r="B1914" s="6"/>
      <c r="C1914" s="6"/>
      <c r="D1914" s="6"/>
      <c r="E1914" s="16" t="str">
        <f aca="false">IF($B1914="","",IFERROR(INDEX(Services!$C$2:$C$120,MATCH($B1914,Services!$D$2:$D$120,0)),""))</f>
        <v/>
      </c>
      <c r="F1914" s="19"/>
      <c r="G1914" s="9" t="str">
        <f aca="false">IF(OR($B1914="",NOT(ISNUMBER($E1914))),"",$E1914-IF($F1914="",0,$F1914))</f>
        <v/>
      </c>
      <c r="H1914" s="15" t="str">
        <f aca="false">IF($B1914="","",IFERROR(INDEX(Services!$A$2:$A$120,MATCH($B1914,Services!$D$2:$D$120,0)),""))</f>
        <v/>
      </c>
      <c r="I1914" s="19"/>
      <c r="J1914" s="15" t="str">
        <f aca="false">IF($B1914="","",IFERROR(INDEX(Services!$E$2:$E$120,MATCH($B1914,Services!$D$2:$D$120,0)),""))</f>
        <v/>
      </c>
    </row>
    <row r="1915" customFormat="false" ht="14.25" hidden="false" customHeight="false" outlineLevel="0" collapsed="false">
      <c r="A1915" s="18"/>
      <c r="B1915" s="6"/>
      <c r="C1915" s="6"/>
      <c r="D1915" s="6"/>
      <c r="E1915" s="16" t="str">
        <f aca="false">IF($B1915="","",IFERROR(INDEX(Services!$C$2:$C$120,MATCH($B1915,Services!$D$2:$D$120,0)),""))</f>
        <v/>
      </c>
      <c r="F1915" s="19"/>
      <c r="G1915" s="9" t="str">
        <f aca="false">IF(OR($B1915="",NOT(ISNUMBER($E1915))),"",$E1915-IF($F1915="",0,$F1915))</f>
        <v/>
      </c>
      <c r="H1915" s="15" t="str">
        <f aca="false">IF($B1915="","",IFERROR(INDEX(Services!$A$2:$A$120,MATCH($B1915,Services!$D$2:$D$120,0)),""))</f>
        <v/>
      </c>
      <c r="I1915" s="19"/>
      <c r="J1915" s="15" t="str">
        <f aca="false">IF($B1915="","",IFERROR(INDEX(Services!$E$2:$E$120,MATCH($B1915,Services!$D$2:$D$120,0)),""))</f>
        <v/>
      </c>
    </row>
    <row r="1916" customFormat="false" ht="14.25" hidden="false" customHeight="false" outlineLevel="0" collapsed="false">
      <c r="A1916" s="18"/>
      <c r="B1916" s="6"/>
      <c r="C1916" s="6"/>
      <c r="D1916" s="6"/>
      <c r="E1916" s="16" t="str">
        <f aca="false">IF($B1916="","",IFERROR(INDEX(Services!$C$2:$C$120,MATCH($B1916,Services!$D$2:$D$120,0)),""))</f>
        <v/>
      </c>
      <c r="F1916" s="19"/>
      <c r="G1916" s="9" t="str">
        <f aca="false">IF(OR($B1916="",NOT(ISNUMBER($E1916))),"",$E1916-IF($F1916="",0,$F1916))</f>
        <v/>
      </c>
      <c r="H1916" s="15" t="str">
        <f aca="false">IF($B1916="","",IFERROR(INDEX(Services!$A$2:$A$120,MATCH($B1916,Services!$D$2:$D$120,0)),""))</f>
        <v/>
      </c>
      <c r="I1916" s="19"/>
      <c r="J1916" s="15" t="str">
        <f aca="false">IF($B1916="","",IFERROR(INDEX(Services!$E$2:$E$120,MATCH($B1916,Services!$D$2:$D$120,0)),""))</f>
        <v/>
      </c>
    </row>
    <row r="1917" customFormat="false" ht="14.25" hidden="false" customHeight="false" outlineLevel="0" collapsed="false">
      <c r="A1917" s="18"/>
      <c r="B1917" s="6"/>
      <c r="C1917" s="6"/>
      <c r="D1917" s="6"/>
      <c r="E1917" s="16" t="str">
        <f aca="false">IF($B1917="","",IFERROR(INDEX(Services!$C$2:$C$120,MATCH($B1917,Services!$D$2:$D$120,0)),""))</f>
        <v/>
      </c>
      <c r="F1917" s="19"/>
      <c r="G1917" s="9" t="str">
        <f aca="false">IF(OR($B1917="",NOT(ISNUMBER($E1917))),"",$E1917-IF($F1917="",0,$F1917))</f>
        <v/>
      </c>
      <c r="H1917" s="15" t="str">
        <f aca="false">IF($B1917="","",IFERROR(INDEX(Services!$A$2:$A$120,MATCH($B1917,Services!$D$2:$D$120,0)),""))</f>
        <v/>
      </c>
      <c r="I1917" s="19"/>
      <c r="J1917" s="15" t="str">
        <f aca="false">IF($B1917="","",IFERROR(INDEX(Services!$E$2:$E$120,MATCH($B1917,Services!$D$2:$D$120,0)),""))</f>
        <v/>
      </c>
    </row>
    <row r="1918" customFormat="false" ht="14.25" hidden="false" customHeight="false" outlineLevel="0" collapsed="false">
      <c r="A1918" s="18"/>
      <c r="B1918" s="6"/>
      <c r="C1918" s="6"/>
      <c r="D1918" s="6"/>
      <c r="E1918" s="16" t="str">
        <f aca="false">IF($B1918="","",IFERROR(INDEX(Services!$C$2:$C$120,MATCH($B1918,Services!$D$2:$D$120,0)),""))</f>
        <v/>
      </c>
      <c r="F1918" s="19"/>
      <c r="G1918" s="9" t="str">
        <f aca="false">IF(OR($B1918="",NOT(ISNUMBER($E1918))),"",$E1918-IF($F1918="",0,$F1918))</f>
        <v/>
      </c>
      <c r="H1918" s="15" t="str">
        <f aca="false">IF($B1918="","",IFERROR(INDEX(Services!$A$2:$A$120,MATCH($B1918,Services!$D$2:$D$120,0)),""))</f>
        <v/>
      </c>
      <c r="I1918" s="19"/>
      <c r="J1918" s="15" t="str">
        <f aca="false">IF($B1918="","",IFERROR(INDEX(Services!$E$2:$E$120,MATCH($B1918,Services!$D$2:$D$120,0)),""))</f>
        <v/>
      </c>
    </row>
    <row r="1919" customFormat="false" ht="14.25" hidden="false" customHeight="false" outlineLevel="0" collapsed="false">
      <c r="A1919" s="18"/>
      <c r="B1919" s="6"/>
      <c r="C1919" s="6"/>
      <c r="D1919" s="6"/>
      <c r="E1919" s="16" t="str">
        <f aca="false">IF($B1919="","",IFERROR(INDEX(Services!$C$2:$C$120,MATCH($B1919,Services!$D$2:$D$120,0)),""))</f>
        <v/>
      </c>
      <c r="F1919" s="19"/>
      <c r="G1919" s="9" t="str">
        <f aca="false">IF(OR($B1919="",NOT(ISNUMBER($E1919))),"",$E1919-IF($F1919="",0,$F1919))</f>
        <v/>
      </c>
      <c r="H1919" s="15" t="str">
        <f aca="false">IF($B1919="","",IFERROR(INDEX(Services!$A$2:$A$120,MATCH($B1919,Services!$D$2:$D$120,0)),""))</f>
        <v/>
      </c>
      <c r="I1919" s="19"/>
      <c r="J1919" s="15" t="str">
        <f aca="false">IF($B1919="","",IFERROR(INDEX(Services!$E$2:$E$120,MATCH($B1919,Services!$D$2:$D$120,0)),""))</f>
        <v/>
      </c>
    </row>
    <row r="1920" customFormat="false" ht="14.25" hidden="false" customHeight="false" outlineLevel="0" collapsed="false">
      <c r="A1920" s="18"/>
      <c r="B1920" s="6"/>
      <c r="C1920" s="6"/>
      <c r="D1920" s="6"/>
      <c r="E1920" s="16" t="str">
        <f aca="false">IF($B1920="","",IFERROR(INDEX(Services!$C$2:$C$120,MATCH($B1920,Services!$D$2:$D$120,0)),""))</f>
        <v/>
      </c>
      <c r="F1920" s="19"/>
      <c r="G1920" s="9" t="str">
        <f aca="false">IF(OR($B1920="",NOT(ISNUMBER($E1920))),"",$E1920-IF($F1920="",0,$F1920))</f>
        <v/>
      </c>
      <c r="H1920" s="15" t="str">
        <f aca="false">IF($B1920="","",IFERROR(INDEX(Services!$A$2:$A$120,MATCH($B1920,Services!$D$2:$D$120,0)),""))</f>
        <v/>
      </c>
      <c r="I1920" s="19"/>
      <c r="J1920" s="15" t="str">
        <f aca="false">IF($B1920="","",IFERROR(INDEX(Services!$E$2:$E$120,MATCH($B1920,Services!$D$2:$D$120,0)),""))</f>
        <v/>
      </c>
    </row>
    <row r="1921" customFormat="false" ht="14.25" hidden="false" customHeight="false" outlineLevel="0" collapsed="false">
      <c r="A1921" s="18"/>
      <c r="B1921" s="6"/>
      <c r="C1921" s="6"/>
      <c r="D1921" s="6"/>
      <c r="E1921" s="16" t="str">
        <f aca="false">IF($B1921="","",IFERROR(INDEX(Services!$C$2:$C$120,MATCH($B1921,Services!$D$2:$D$120,0)),""))</f>
        <v/>
      </c>
      <c r="F1921" s="19"/>
      <c r="G1921" s="9" t="str">
        <f aca="false">IF(OR($B1921="",NOT(ISNUMBER($E1921))),"",$E1921-IF($F1921="",0,$F1921))</f>
        <v/>
      </c>
      <c r="H1921" s="15" t="str">
        <f aca="false">IF($B1921="","",IFERROR(INDEX(Services!$A$2:$A$120,MATCH($B1921,Services!$D$2:$D$120,0)),""))</f>
        <v/>
      </c>
      <c r="I1921" s="19"/>
      <c r="J1921" s="15" t="str">
        <f aca="false">IF($B1921="","",IFERROR(INDEX(Services!$E$2:$E$120,MATCH($B1921,Services!$D$2:$D$120,0)),""))</f>
        <v/>
      </c>
    </row>
    <row r="1922" customFormat="false" ht="14.25" hidden="false" customHeight="false" outlineLevel="0" collapsed="false">
      <c r="A1922" s="18"/>
      <c r="B1922" s="6"/>
      <c r="C1922" s="6"/>
      <c r="D1922" s="6"/>
      <c r="E1922" s="16" t="str">
        <f aca="false">IF($B1922="","",IFERROR(INDEX(Services!$C$2:$C$120,MATCH($B1922,Services!$D$2:$D$120,0)),""))</f>
        <v/>
      </c>
      <c r="F1922" s="19"/>
      <c r="G1922" s="9" t="str">
        <f aca="false">IF(OR($B1922="",NOT(ISNUMBER($E1922))),"",$E1922-IF($F1922="",0,$F1922))</f>
        <v/>
      </c>
      <c r="H1922" s="15" t="str">
        <f aca="false">IF($B1922="","",IFERROR(INDEX(Services!$A$2:$A$120,MATCH($B1922,Services!$D$2:$D$120,0)),""))</f>
        <v/>
      </c>
      <c r="I1922" s="19"/>
      <c r="J1922" s="15" t="str">
        <f aca="false">IF($B1922="","",IFERROR(INDEX(Services!$E$2:$E$120,MATCH($B1922,Services!$D$2:$D$120,0)),""))</f>
        <v/>
      </c>
    </row>
    <row r="1923" customFormat="false" ht="14.25" hidden="false" customHeight="false" outlineLevel="0" collapsed="false">
      <c r="A1923" s="18"/>
      <c r="B1923" s="6"/>
      <c r="C1923" s="6"/>
      <c r="D1923" s="6"/>
      <c r="E1923" s="16" t="str">
        <f aca="false">IF($B1923="","",IFERROR(INDEX(Services!$C$2:$C$120,MATCH($B1923,Services!$D$2:$D$120,0)),""))</f>
        <v/>
      </c>
      <c r="F1923" s="19"/>
      <c r="G1923" s="9" t="str">
        <f aca="false">IF(OR($B1923="",NOT(ISNUMBER($E1923))),"",$E1923-IF($F1923="",0,$F1923))</f>
        <v/>
      </c>
      <c r="H1923" s="15" t="str">
        <f aca="false">IF($B1923="","",IFERROR(INDEX(Services!$A$2:$A$120,MATCH($B1923,Services!$D$2:$D$120,0)),""))</f>
        <v/>
      </c>
      <c r="I1923" s="19"/>
      <c r="J1923" s="15" t="str">
        <f aca="false">IF($B1923="","",IFERROR(INDEX(Services!$E$2:$E$120,MATCH($B1923,Services!$D$2:$D$120,0)),""))</f>
        <v/>
      </c>
    </row>
    <row r="1924" customFormat="false" ht="14.25" hidden="false" customHeight="false" outlineLevel="0" collapsed="false">
      <c r="A1924" s="18"/>
      <c r="B1924" s="6"/>
      <c r="C1924" s="6"/>
      <c r="D1924" s="6"/>
      <c r="E1924" s="16" t="str">
        <f aca="false">IF($B1924="","",IFERROR(INDEX(Services!$C$2:$C$120,MATCH($B1924,Services!$D$2:$D$120,0)),""))</f>
        <v/>
      </c>
      <c r="F1924" s="19"/>
      <c r="G1924" s="9" t="str">
        <f aca="false">IF(OR($B1924="",NOT(ISNUMBER($E1924))),"",$E1924-IF($F1924="",0,$F1924))</f>
        <v/>
      </c>
      <c r="H1924" s="15" t="str">
        <f aca="false">IF($B1924="","",IFERROR(INDEX(Services!$A$2:$A$120,MATCH($B1924,Services!$D$2:$D$120,0)),""))</f>
        <v/>
      </c>
      <c r="I1924" s="19"/>
      <c r="J1924" s="15" t="str">
        <f aca="false">IF($B1924="","",IFERROR(INDEX(Services!$E$2:$E$120,MATCH($B1924,Services!$D$2:$D$120,0)),""))</f>
        <v/>
      </c>
    </row>
    <row r="1925" customFormat="false" ht="14.25" hidden="false" customHeight="false" outlineLevel="0" collapsed="false">
      <c r="A1925" s="18"/>
      <c r="B1925" s="6"/>
      <c r="C1925" s="6"/>
      <c r="D1925" s="6"/>
      <c r="E1925" s="16" t="str">
        <f aca="false">IF($B1925="","",IFERROR(INDEX(Services!$C$2:$C$120,MATCH($B1925,Services!$D$2:$D$120,0)),""))</f>
        <v/>
      </c>
      <c r="F1925" s="19"/>
      <c r="G1925" s="9" t="str">
        <f aca="false">IF(OR($B1925="",NOT(ISNUMBER($E1925))),"",$E1925-IF($F1925="",0,$F1925))</f>
        <v/>
      </c>
      <c r="H1925" s="15" t="str">
        <f aca="false">IF($B1925="","",IFERROR(INDEX(Services!$A$2:$A$120,MATCH($B1925,Services!$D$2:$D$120,0)),""))</f>
        <v/>
      </c>
      <c r="I1925" s="19"/>
      <c r="J1925" s="15" t="str">
        <f aca="false">IF($B1925="","",IFERROR(INDEX(Services!$E$2:$E$120,MATCH($B1925,Services!$D$2:$D$120,0)),""))</f>
        <v/>
      </c>
    </row>
    <row r="1926" customFormat="false" ht="14.25" hidden="false" customHeight="false" outlineLevel="0" collapsed="false">
      <c r="A1926" s="18"/>
      <c r="B1926" s="6"/>
      <c r="C1926" s="6"/>
      <c r="D1926" s="6"/>
      <c r="E1926" s="16" t="str">
        <f aca="false">IF($B1926="","",IFERROR(INDEX(Services!$C$2:$C$120,MATCH($B1926,Services!$D$2:$D$120,0)),""))</f>
        <v/>
      </c>
      <c r="F1926" s="19"/>
      <c r="G1926" s="9" t="str">
        <f aca="false">IF(OR($B1926="",NOT(ISNUMBER($E1926))),"",$E1926-IF($F1926="",0,$F1926))</f>
        <v/>
      </c>
      <c r="H1926" s="15" t="str">
        <f aca="false">IF($B1926="","",IFERROR(INDEX(Services!$A$2:$A$120,MATCH($B1926,Services!$D$2:$D$120,0)),""))</f>
        <v/>
      </c>
      <c r="I1926" s="19"/>
      <c r="J1926" s="15" t="str">
        <f aca="false">IF($B1926="","",IFERROR(INDEX(Services!$E$2:$E$120,MATCH($B1926,Services!$D$2:$D$120,0)),""))</f>
        <v/>
      </c>
    </row>
    <row r="1927" customFormat="false" ht="14.25" hidden="false" customHeight="false" outlineLevel="0" collapsed="false">
      <c r="A1927" s="18"/>
      <c r="B1927" s="6"/>
      <c r="C1927" s="6"/>
      <c r="D1927" s="6"/>
      <c r="E1927" s="16" t="str">
        <f aca="false">IF($B1927="","",IFERROR(INDEX(Services!$C$2:$C$120,MATCH($B1927,Services!$D$2:$D$120,0)),""))</f>
        <v/>
      </c>
      <c r="F1927" s="19"/>
      <c r="G1927" s="9" t="str">
        <f aca="false">IF(OR($B1927="",NOT(ISNUMBER($E1927))),"",$E1927-IF($F1927="",0,$F1927))</f>
        <v/>
      </c>
      <c r="H1927" s="15" t="str">
        <f aca="false">IF($B1927="","",IFERROR(INDEX(Services!$A$2:$A$120,MATCH($B1927,Services!$D$2:$D$120,0)),""))</f>
        <v/>
      </c>
      <c r="I1927" s="19"/>
      <c r="J1927" s="15" t="str">
        <f aca="false">IF($B1927="","",IFERROR(INDEX(Services!$E$2:$E$120,MATCH($B1927,Services!$D$2:$D$120,0)),""))</f>
        <v/>
      </c>
    </row>
    <row r="1928" customFormat="false" ht="14.25" hidden="false" customHeight="false" outlineLevel="0" collapsed="false">
      <c r="A1928" s="18"/>
      <c r="B1928" s="6"/>
      <c r="C1928" s="6"/>
      <c r="D1928" s="6"/>
      <c r="E1928" s="16" t="str">
        <f aca="false">IF($B1928="","",IFERROR(INDEX(Services!$C$2:$C$120,MATCH($B1928,Services!$D$2:$D$120,0)),""))</f>
        <v/>
      </c>
      <c r="F1928" s="19"/>
      <c r="G1928" s="9" t="str">
        <f aca="false">IF(OR($B1928="",NOT(ISNUMBER($E1928))),"",$E1928-IF($F1928="",0,$F1928))</f>
        <v/>
      </c>
      <c r="H1928" s="15" t="str">
        <f aca="false">IF($B1928="","",IFERROR(INDEX(Services!$A$2:$A$120,MATCH($B1928,Services!$D$2:$D$120,0)),""))</f>
        <v/>
      </c>
      <c r="I1928" s="19"/>
      <c r="J1928" s="15" t="str">
        <f aca="false">IF($B1928="","",IFERROR(INDEX(Services!$E$2:$E$120,MATCH($B1928,Services!$D$2:$D$120,0)),""))</f>
        <v/>
      </c>
    </row>
    <row r="1929" customFormat="false" ht="14.25" hidden="false" customHeight="false" outlineLevel="0" collapsed="false">
      <c r="A1929" s="18"/>
      <c r="B1929" s="6"/>
      <c r="C1929" s="6"/>
      <c r="D1929" s="6"/>
      <c r="E1929" s="16" t="str">
        <f aca="false">IF($B1929="","",IFERROR(INDEX(Services!$C$2:$C$120,MATCH($B1929,Services!$D$2:$D$120,0)),""))</f>
        <v/>
      </c>
      <c r="F1929" s="19"/>
      <c r="G1929" s="9" t="str">
        <f aca="false">IF(OR($B1929="",NOT(ISNUMBER($E1929))),"",$E1929-IF($F1929="",0,$F1929))</f>
        <v/>
      </c>
      <c r="H1929" s="15" t="str">
        <f aca="false">IF($B1929="","",IFERROR(INDEX(Services!$A$2:$A$120,MATCH($B1929,Services!$D$2:$D$120,0)),""))</f>
        <v/>
      </c>
      <c r="I1929" s="19"/>
      <c r="J1929" s="15" t="str">
        <f aca="false">IF($B1929="","",IFERROR(INDEX(Services!$E$2:$E$120,MATCH($B1929,Services!$D$2:$D$120,0)),""))</f>
        <v/>
      </c>
    </row>
    <row r="1930" customFormat="false" ht="14.25" hidden="false" customHeight="false" outlineLevel="0" collapsed="false">
      <c r="A1930" s="18"/>
      <c r="B1930" s="6"/>
      <c r="C1930" s="6"/>
      <c r="D1930" s="6"/>
      <c r="E1930" s="16" t="str">
        <f aca="false">IF($B1930="","",IFERROR(INDEX(Services!$C$2:$C$120,MATCH($B1930,Services!$D$2:$D$120,0)),""))</f>
        <v/>
      </c>
      <c r="F1930" s="19"/>
      <c r="G1930" s="9" t="str">
        <f aca="false">IF(OR($B1930="",NOT(ISNUMBER($E1930))),"",$E1930-IF($F1930="",0,$F1930))</f>
        <v/>
      </c>
      <c r="H1930" s="15" t="str">
        <f aca="false">IF($B1930="","",IFERROR(INDEX(Services!$A$2:$A$120,MATCH($B1930,Services!$D$2:$D$120,0)),""))</f>
        <v/>
      </c>
      <c r="I1930" s="19"/>
      <c r="J1930" s="15" t="str">
        <f aca="false">IF($B1930="","",IFERROR(INDEX(Services!$E$2:$E$120,MATCH($B1930,Services!$D$2:$D$120,0)),""))</f>
        <v/>
      </c>
    </row>
    <row r="1931" customFormat="false" ht="14.25" hidden="false" customHeight="false" outlineLevel="0" collapsed="false">
      <c r="A1931" s="18"/>
      <c r="B1931" s="6"/>
      <c r="C1931" s="6"/>
      <c r="D1931" s="6"/>
      <c r="E1931" s="16" t="str">
        <f aca="false">IF($B1931="","",IFERROR(INDEX(Services!$C$2:$C$120,MATCH($B1931,Services!$D$2:$D$120,0)),""))</f>
        <v/>
      </c>
      <c r="F1931" s="19"/>
      <c r="G1931" s="9" t="str">
        <f aca="false">IF(OR($B1931="",NOT(ISNUMBER($E1931))),"",$E1931-IF($F1931="",0,$F1931))</f>
        <v/>
      </c>
      <c r="H1931" s="15" t="str">
        <f aca="false">IF($B1931="","",IFERROR(INDEX(Services!$A$2:$A$120,MATCH($B1931,Services!$D$2:$D$120,0)),""))</f>
        <v/>
      </c>
      <c r="I1931" s="19"/>
      <c r="J1931" s="15" t="str">
        <f aca="false">IF($B1931="","",IFERROR(INDEX(Services!$E$2:$E$120,MATCH($B1931,Services!$D$2:$D$120,0)),""))</f>
        <v/>
      </c>
    </row>
    <row r="1932" customFormat="false" ht="14.25" hidden="false" customHeight="false" outlineLevel="0" collapsed="false">
      <c r="A1932" s="18"/>
      <c r="B1932" s="6"/>
      <c r="C1932" s="6"/>
      <c r="D1932" s="6"/>
      <c r="E1932" s="16" t="str">
        <f aca="false">IF($B1932="","",IFERROR(INDEX(Services!$C$2:$C$120,MATCH($B1932,Services!$D$2:$D$120,0)),""))</f>
        <v/>
      </c>
      <c r="F1932" s="19"/>
      <c r="G1932" s="9" t="str">
        <f aca="false">IF(OR($B1932="",NOT(ISNUMBER($E1932))),"",$E1932-IF($F1932="",0,$F1932))</f>
        <v/>
      </c>
      <c r="H1932" s="15" t="str">
        <f aca="false">IF($B1932="","",IFERROR(INDEX(Services!$A$2:$A$120,MATCH($B1932,Services!$D$2:$D$120,0)),""))</f>
        <v/>
      </c>
      <c r="I1932" s="19"/>
      <c r="J1932" s="15" t="str">
        <f aca="false">IF($B1932="","",IFERROR(INDEX(Services!$E$2:$E$120,MATCH($B1932,Services!$D$2:$D$120,0)),""))</f>
        <v/>
      </c>
    </row>
    <row r="1933" customFormat="false" ht="14.25" hidden="false" customHeight="false" outlineLevel="0" collapsed="false">
      <c r="A1933" s="18"/>
      <c r="B1933" s="6"/>
      <c r="C1933" s="6"/>
      <c r="D1933" s="6"/>
      <c r="E1933" s="16" t="str">
        <f aca="false">IF($B1933="","",IFERROR(INDEX(Services!$C$2:$C$120,MATCH($B1933,Services!$D$2:$D$120,0)),""))</f>
        <v/>
      </c>
      <c r="F1933" s="19"/>
      <c r="G1933" s="9" t="str">
        <f aca="false">IF(OR($B1933="",NOT(ISNUMBER($E1933))),"",$E1933-IF($F1933="",0,$F1933))</f>
        <v/>
      </c>
      <c r="H1933" s="15" t="str">
        <f aca="false">IF($B1933="","",IFERROR(INDEX(Services!$A$2:$A$120,MATCH($B1933,Services!$D$2:$D$120,0)),""))</f>
        <v/>
      </c>
      <c r="I1933" s="19"/>
      <c r="J1933" s="15" t="str">
        <f aca="false">IF($B1933="","",IFERROR(INDEX(Services!$E$2:$E$120,MATCH($B1933,Services!$D$2:$D$120,0)),""))</f>
        <v/>
      </c>
    </row>
    <row r="1934" customFormat="false" ht="14.25" hidden="false" customHeight="false" outlineLevel="0" collapsed="false">
      <c r="A1934" s="18"/>
      <c r="B1934" s="6"/>
      <c r="C1934" s="6"/>
      <c r="D1934" s="6"/>
      <c r="E1934" s="16" t="str">
        <f aca="false">IF($B1934="","",IFERROR(INDEX(Services!$C$2:$C$120,MATCH($B1934,Services!$D$2:$D$120,0)),""))</f>
        <v/>
      </c>
      <c r="F1934" s="19"/>
      <c r="G1934" s="9" t="str">
        <f aca="false">IF(OR($B1934="",NOT(ISNUMBER($E1934))),"",$E1934-IF($F1934="",0,$F1934))</f>
        <v/>
      </c>
      <c r="H1934" s="15" t="str">
        <f aca="false">IF($B1934="","",IFERROR(INDEX(Services!$A$2:$A$120,MATCH($B1934,Services!$D$2:$D$120,0)),""))</f>
        <v/>
      </c>
      <c r="I1934" s="19"/>
      <c r="J1934" s="15" t="str">
        <f aca="false">IF($B1934="","",IFERROR(INDEX(Services!$E$2:$E$120,MATCH($B1934,Services!$D$2:$D$120,0)),""))</f>
        <v/>
      </c>
    </row>
    <row r="1935" customFormat="false" ht="14.25" hidden="false" customHeight="false" outlineLevel="0" collapsed="false">
      <c r="A1935" s="18"/>
      <c r="B1935" s="6"/>
      <c r="C1935" s="6"/>
      <c r="D1935" s="6"/>
      <c r="E1935" s="16" t="str">
        <f aca="false">IF($B1935="","",IFERROR(INDEX(Services!$C$2:$C$120,MATCH($B1935,Services!$D$2:$D$120,0)),""))</f>
        <v/>
      </c>
      <c r="F1935" s="19"/>
      <c r="G1935" s="9" t="str">
        <f aca="false">IF(OR($B1935="",NOT(ISNUMBER($E1935))),"",$E1935-IF($F1935="",0,$F1935))</f>
        <v/>
      </c>
      <c r="H1935" s="15" t="str">
        <f aca="false">IF($B1935="","",IFERROR(INDEX(Services!$A$2:$A$120,MATCH($B1935,Services!$D$2:$D$120,0)),""))</f>
        <v/>
      </c>
      <c r="I1935" s="19"/>
      <c r="J1935" s="15" t="str">
        <f aca="false">IF($B1935="","",IFERROR(INDEX(Services!$E$2:$E$120,MATCH($B1935,Services!$D$2:$D$120,0)),""))</f>
        <v/>
      </c>
    </row>
    <row r="1936" customFormat="false" ht="14.25" hidden="false" customHeight="false" outlineLevel="0" collapsed="false">
      <c r="A1936" s="18"/>
      <c r="B1936" s="6"/>
      <c r="C1936" s="6"/>
      <c r="D1936" s="6"/>
      <c r="E1936" s="16" t="str">
        <f aca="false">IF($B1936="","",IFERROR(INDEX(Services!$C$2:$C$120,MATCH($B1936,Services!$D$2:$D$120,0)),""))</f>
        <v/>
      </c>
      <c r="F1936" s="19"/>
      <c r="G1936" s="9" t="str">
        <f aca="false">IF(OR($B1936="",NOT(ISNUMBER($E1936))),"",$E1936-IF($F1936="",0,$F1936))</f>
        <v/>
      </c>
      <c r="H1936" s="15" t="str">
        <f aca="false">IF($B1936="","",IFERROR(INDEX(Services!$A$2:$A$120,MATCH($B1936,Services!$D$2:$D$120,0)),""))</f>
        <v/>
      </c>
      <c r="I1936" s="19"/>
      <c r="J1936" s="15" t="str">
        <f aca="false">IF($B1936="","",IFERROR(INDEX(Services!$E$2:$E$120,MATCH($B1936,Services!$D$2:$D$120,0)),""))</f>
        <v/>
      </c>
    </row>
    <row r="1937" customFormat="false" ht="14.25" hidden="false" customHeight="false" outlineLevel="0" collapsed="false">
      <c r="A1937" s="18"/>
      <c r="B1937" s="6"/>
      <c r="C1937" s="6"/>
      <c r="D1937" s="6"/>
      <c r="E1937" s="16" t="str">
        <f aca="false">IF($B1937="","",IFERROR(INDEX(Services!$C$2:$C$120,MATCH($B1937,Services!$D$2:$D$120,0)),""))</f>
        <v/>
      </c>
      <c r="F1937" s="19"/>
      <c r="G1937" s="9" t="str">
        <f aca="false">IF(OR($B1937="",NOT(ISNUMBER($E1937))),"",$E1937-IF($F1937="",0,$F1937))</f>
        <v/>
      </c>
      <c r="H1937" s="15" t="str">
        <f aca="false">IF($B1937="","",IFERROR(INDEX(Services!$A$2:$A$120,MATCH($B1937,Services!$D$2:$D$120,0)),""))</f>
        <v/>
      </c>
      <c r="I1937" s="19"/>
      <c r="J1937" s="15" t="str">
        <f aca="false">IF($B1937="","",IFERROR(INDEX(Services!$E$2:$E$120,MATCH($B1937,Services!$D$2:$D$120,0)),""))</f>
        <v/>
      </c>
    </row>
    <row r="1938" customFormat="false" ht="14.25" hidden="false" customHeight="false" outlineLevel="0" collapsed="false">
      <c r="A1938" s="18"/>
      <c r="B1938" s="6"/>
      <c r="C1938" s="6"/>
      <c r="D1938" s="6"/>
      <c r="E1938" s="16" t="str">
        <f aca="false">IF($B1938="","",IFERROR(INDEX(Services!$C$2:$C$120,MATCH($B1938,Services!$D$2:$D$120,0)),""))</f>
        <v/>
      </c>
      <c r="F1938" s="19"/>
      <c r="G1938" s="9" t="str">
        <f aca="false">IF(OR($B1938="",NOT(ISNUMBER($E1938))),"",$E1938-IF($F1938="",0,$F1938))</f>
        <v/>
      </c>
      <c r="H1938" s="15" t="str">
        <f aca="false">IF($B1938="","",IFERROR(INDEX(Services!$A$2:$A$120,MATCH($B1938,Services!$D$2:$D$120,0)),""))</f>
        <v/>
      </c>
      <c r="I1938" s="19"/>
      <c r="J1938" s="15" t="str">
        <f aca="false">IF($B1938="","",IFERROR(INDEX(Services!$E$2:$E$120,MATCH($B1938,Services!$D$2:$D$120,0)),""))</f>
        <v/>
      </c>
    </row>
    <row r="1939" customFormat="false" ht="14.25" hidden="false" customHeight="false" outlineLevel="0" collapsed="false">
      <c r="A1939" s="18"/>
      <c r="B1939" s="6"/>
      <c r="C1939" s="6"/>
      <c r="D1939" s="6"/>
      <c r="E1939" s="16" t="str">
        <f aca="false">IF($B1939="","",IFERROR(INDEX(Services!$C$2:$C$120,MATCH($B1939,Services!$D$2:$D$120,0)),""))</f>
        <v/>
      </c>
      <c r="F1939" s="19"/>
      <c r="G1939" s="9" t="str">
        <f aca="false">IF(OR($B1939="",NOT(ISNUMBER($E1939))),"",$E1939-IF($F1939="",0,$F1939))</f>
        <v/>
      </c>
      <c r="H1939" s="15" t="str">
        <f aca="false">IF($B1939="","",IFERROR(INDEX(Services!$A$2:$A$120,MATCH($B1939,Services!$D$2:$D$120,0)),""))</f>
        <v/>
      </c>
      <c r="I1939" s="19"/>
      <c r="J1939" s="15" t="str">
        <f aca="false">IF($B1939="","",IFERROR(INDEX(Services!$E$2:$E$120,MATCH($B1939,Services!$D$2:$D$120,0)),""))</f>
        <v/>
      </c>
    </row>
    <row r="1940" customFormat="false" ht="14.25" hidden="false" customHeight="false" outlineLevel="0" collapsed="false">
      <c r="A1940" s="18"/>
      <c r="B1940" s="6"/>
      <c r="C1940" s="6"/>
      <c r="D1940" s="6"/>
      <c r="E1940" s="16" t="str">
        <f aca="false">IF($B1940="","",IFERROR(INDEX(Services!$C$2:$C$120,MATCH($B1940,Services!$D$2:$D$120,0)),""))</f>
        <v/>
      </c>
      <c r="F1940" s="19"/>
      <c r="G1940" s="9" t="str">
        <f aca="false">IF(OR($B1940="",NOT(ISNUMBER($E1940))),"",$E1940-IF($F1940="",0,$F1940))</f>
        <v/>
      </c>
      <c r="H1940" s="15" t="str">
        <f aca="false">IF($B1940="","",IFERROR(INDEX(Services!$A$2:$A$120,MATCH($B1940,Services!$D$2:$D$120,0)),""))</f>
        <v/>
      </c>
      <c r="I1940" s="19"/>
      <c r="J1940" s="15" t="str">
        <f aca="false">IF($B1940="","",IFERROR(INDEX(Services!$E$2:$E$120,MATCH($B1940,Services!$D$2:$D$120,0)),""))</f>
        <v/>
      </c>
    </row>
    <row r="1941" customFormat="false" ht="14.25" hidden="false" customHeight="false" outlineLevel="0" collapsed="false">
      <c r="A1941" s="18"/>
      <c r="B1941" s="6"/>
      <c r="C1941" s="6"/>
      <c r="D1941" s="6"/>
      <c r="E1941" s="16" t="str">
        <f aca="false">IF($B1941="","",IFERROR(INDEX(Services!$C$2:$C$120,MATCH($B1941,Services!$D$2:$D$120,0)),""))</f>
        <v/>
      </c>
      <c r="F1941" s="19"/>
      <c r="G1941" s="9" t="str">
        <f aca="false">IF(OR($B1941="",NOT(ISNUMBER($E1941))),"",$E1941-IF($F1941="",0,$F1941))</f>
        <v/>
      </c>
      <c r="H1941" s="15" t="str">
        <f aca="false">IF($B1941="","",IFERROR(INDEX(Services!$A$2:$A$120,MATCH($B1941,Services!$D$2:$D$120,0)),""))</f>
        <v/>
      </c>
      <c r="I1941" s="19"/>
      <c r="J1941" s="15" t="str">
        <f aca="false">IF($B1941="","",IFERROR(INDEX(Services!$E$2:$E$120,MATCH($B1941,Services!$D$2:$D$120,0)),""))</f>
        <v/>
      </c>
    </row>
    <row r="1942" customFormat="false" ht="14.25" hidden="false" customHeight="false" outlineLevel="0" collapsed="false">
      <c r="A1942" s="18"/>
      <c r="B1942" s="6"/>
      <c r="C1942" s="6"/>
      <c r="D1942" s="6"/>
      <c r="E1942" s="16" t="str">
        <f aca="false">IF($B1942="","",IFERROR(INDEX(Services!$C$2:$C$120,MATCH($B1942,Services!$D$2:$D$120,0)),""))</f>
        <v/>
      </c>
      <c r="F1942" s="19"/>
      <c r="G1942" s="9" t="str">
        <f aca="false">IF(OR($B1942="",NOT(ISNUMBER($E1942))),"",$E1942-IF($F1942="",0,$F1942))</f>
        <v/>
      </c>
      <c r="H1942" s="15" t="str">
        <f aca="false">IF($B1942="","",IFERROR(INDEX(Services!$A$2:$A$120,MATCH($B1942,Services!$D$2:$D$120,0)),""))</f>
        <v/>
      </c>
      <c r="I1942" s="19"/>
      <c r="J1942" s="15" t="str">
        <f aca="false">IF($B1942="","",IFERROR(INDEX(Services!$E$2:$E$120,MATCH($B1942,Services!$D$2:$D$120,0)),""))</f>
        <v/>
      </c>
    </row>
    <row r="1943" customFormat="false" ht="14.25" hidden="false" customHeight="false" outlineLevel="0" collapsed="false">
      <c r="A1943" s="18"/>
      <c r="B1943" s="6"/>
      <c r="C1943" s="6"/>
      <c r="D1943" s="6"/>
      <c r="E1943" s="16" t="str">
        <f aca="false">IF($B1943="","",IFERROR(INDEX(Services!$C$2:$C$120,MATCH($B1943,Services!$D$2:$D$120,0)),""))</f>
        <v/>
      </c>
      <c r="F1943" s="19"/>
      <c r="G1943" s="9" t="str">
        <f aca="false">IF(OR($B1943="",NOT(ISNUMBER($E1943))),"",$E1943-IF($F1943="",0,$F1943))</f>
        <v/>
      </c>
      <c r="H1943" s="15" t="str">
        <f aca="false">IF($B1943="","",IFERROR(INDEX(Services!$A$2:$A$120,MATCH($B1943,Services!$D$2:$D$120,0)),""))</f>
        <v/>
      </c>
      <c r="I1943" s="19"/>
      <c r="J1943" s="15" t="str">
        <f aca="false">IF($B1943="","",IFERROR(INDEX(Services!$E$2:$E$120,MATCH($B1943,Services!$D$2:$D$120,0)),""))</f>
        <v/>
      </c>
    </row>
    <row r="1944" customFormat="false" ht="14.25" hidden="false" customHeight="false" outlineLevel="0" collapsed="false">
      <c r="A1944" s="18"/>
      <c r="B1944" s="6"/>
      <c r="C1944" s="6"/>
      <c r="D1944" s="6"/>
      <c r="E1944" s="16" t="str">
        <f aca="false">IF($B1944="","",IFERROR(INDEX(Services!$C$2:$C$120,MATCH($B1944,Services!$D$2:$D$120,0)),""))</f>
        <v/>
      </c>
      <c r="F1944" s="19"/>
      <c r="G1944" s="9" t="str">
        <f aca="false">IF(OR($B1944="",NOT(ISNUMBER($E1944))),"",$E1944-IF($F1944="",0,$F1944))</f>
        <v/>
      </c>
      <c r="H1944" s="15" t="str">
        <f aca="false">IF($B1944="","",IFERROR(INDEX(Services!$A$2:$A$120,MATCH($B1944,Services!$D$2:$D$120,0)),""))</f>
        <v/>
      </c>
      <c r="I1944" s="19"/>
      <c r="J1944" s="15" t="str">
        <f aca="false">IF($B1944="","",IFERROR(INDEX(Services!$E$2:$E$120,MATCH($B1944,Services!$D$2:$D$120,0)),""))</f>
        <v/>
      </c>
    </row>
    <row r="1945" customFormat="false" ht="14.25" hidden="false" customHeight="false" outlineLevel="0" collapsed="false">
      <c r="A1945" s="18"/>
      <c r="B1945" s="6"/>
      <c r="C1945" s="6"/>
      <c r="D1945" s="6"/>
      <c r="E1945" s="16" t="str">
        <f aca="false">IF($B1945="","",IFERROR(INDEX(Services!$C$2:$C$120,MATCH($B1945,Services!$D$2:$D$120,0)),""))</f>
        <v/>
      </c>
      <c r="F1945" s="19"/>
      <c r="G1945" s="9" t="str">
        <f aca="false">IF(OR($B1945="",NOT(ISNUMBER($E1945))),"",$E1945-IF($F1945="",0,$F1945))</f>
        <v/>
      </c>
      <c r="H1945" s="15" t="str">
        <f aca="false">IF($B1945="","",IFERROR(INDEX(Services!$A$2:$A$120,MATCH($B1945,Services!$D$2:$D$120,0)),""))</f>
        <v/>
      </c>
      <c r="I1945" s="19"/>
      <c r="J1945" s="15" t="str">
        <f aca="false">IF($B1945="","",IFERROR(INDEX(Services!$E$2:$E$120,MATCH($B1945,Services!$D$2:$D$120,0)),""))</f>
        <v/>
      </c>
    </row>
    <row r="1946" customFormat="false" ht="14.25" hidden="false" customHeight="false" outlineLevel="0" collapsed="false">
      <c r="A1946" s="18"/>
      <c r="B1946" s="6"/>
      <c r="C1946" s="6"/>
      <c r="D1946" s="6"/>
      <c r="E1946" s="16" t="str">
        <f aca="false">IF($B1946="","",IFERROR(INDEX(Services!$C$2:$C$120,MATCH($B1946,Services!$D$2:$D$120,0)),""))</f>
        <v/>
      </c>
      <c r="F1946" s="19"/>
      <c r="G1946" s="9" t="str">
        <f aca="false">IF(OR($B1946="",NOT(ISNUMBER($E1946))),"",$E1946-IF($F1946="",0,$F1946))</f>
        <v/>
      </c>
      <c r="H1946" s="15" t="str">
        <f aca="false">IF($B1946="","",IFERROR(INDEX(Services!$A$2:$A$120,MATCH($B1946,Services!$D$2:$D$120,0)),""))</f>
        <v/>
      </c>
      <c r="I1946" s="19"/>
      <c r="J1946" s="15" t="str">
        <f aca="false">IF($B1946="","",IFERROR(INDEX(Services!$E$2:$E$120,MATCH($B1946,Services!$D$2:$D$120,0)),""))</f>
        <v/>
      </c>
    </row>
    <row r="1947" customFormat="false" ht="14.25" hidden="false" customHeight="false" outlineLevel="0" collapsed="false">
      <c r="A1947" s="18"/>
      <c r="B1947" s="6"/>
      <c r="C1947" s="6"/>
      <c r="D1947" s="6"/>
      <c r="E1947" s="16" t="str">
        <f aca="false">IF($B1947="","",IFERROR(INDEX(Services!$C$2:$C$120,MATCH($B1947,Services!$D$2:$D$120,0)),""))</f>
        <v/>
      </c>
      <c r="F1947" s="19"/>
      <c r="G1947" s="9" t="str">
        <f aca="false">IF(OR($B1947="",NOT(ISNUMBER($E1947))),"",$E1947-IF($F1947="",0,$F1947))</f>
        <v/>
      </c>
      <c r="H1947" s="15" t="str">
        <f aca="false">IF($B1947="","",IFERROR(INDEX(Services!$A$2:$A$120,MATCH($B1947,Services!$D$2:$D$120,0)),""))</f>
        <v/>
      </c>
      <c r="I1947" s="19"/>
      <c r="J1947" s="15" t="str">
        <f aca="false">IF($B1947="","",IFERROR(INDEX(Services!$E$2:$E$120,MATCH($B1947,Services!$D$2:$D$120,0)),""))</f>
        <v/>
      </c>
    </row>
    <row r="1948" customFormat="false" ht="14.25" hidden="false" customHeight="false" outlineLevel="0" collapsed="false">
      <c r="A1948" s="18"/>
      <c r="B1948" s="6"/>
      <c r="C1948" s="6"/>
      <c r="D1948" s="6"/>
      <c r="E1948" s="16" t="str">
        <f aca="false">IF($B1948="","",IFERROR(INDEX(Services!$C$2:$C$120,MATCH($B1948,Services!$D$2:$D$120,0)),""))</f>
        <v/>
      </c>
      <c r="F1948" s="19"/>
      <c r="G1948" s="9" t="str">
        <f aca="false">IF(OR($B1948="",NOT(ISNUMBER($E1948))),"",$E1948-IF($F1948="",0,$F1948))</f>
        <v/>
      </c>
      <c r="H1948" s="15" t="str">
        <f aca="false">IF($B1948="","",IFERROR(INDEX(Services!$A$2:$A$120,MATCH($B1948,Services!$D$2:$D$120,0)),""))</f>
        <v/>
      </c>
      <c r="I1948" s="19"/>
      <c r="J1948" s="15" t="str">
        <f aca="false">IF($B1948="","",IFERROR(INDEX(Services!$E$2:$E$120,MATCH($B1948,Services!$D$2:$D$120,0)),""))</f>
        <v/>
      </c>
    </row>
    <row r="1949" customFormat="false" ht="14.25" hidden="false" customHeight="false" outlineLevel="0" collapsed="false">
      <c r="A1949" s="18"/>
      <c r="B1949" s="6"/>
      <c r="C1949" s="6"/>
      <c r="D1949" s="6"/>
      <c r="E1949" s="16" t="str">
        <f aca="false">IF($B1949="","",IFERROR(INDEX(Services!$C$2:$C$120,MATCH($B1949,Services!$D$2:$D$120,0)),""))</f>
        <v/>
      </c>
      <c r="F1949" s="19"/>
      <c r="G1949" s="9" t="str">
        <f aca="false">IF(OR($B1949="",NOT(ISNUMBER($E1949))),"",$E1949-IF($F1949="",0,$F1949))</f>
        <v/>
      </c>
      <c r="H1949" s="15" t="str">
        <f aca="false">IF($B1949="","",IFERROR(INDEX(Services!$A$2:$A$120,MATCH($B1949,Services!$D$2:$D$120,0)),""))</f>
        <v/>
      </c>
      <c r="I1949" s="19"/>
      <c r="J1949" s="15" t="str">
        <f aca="false">IF($B1949="","",IFERROR(INDEX(Services!$E$2:$E$120,MATCH($B1949,Services!$D$2:$D$120,0)),""))</f>
        <v/>
      </c>
    </row>
    <row r="1950" customFormat="false" ht="14.25" hidden="false" customHeight="false" outlineLevel="0" collapsed="false">
      <c r="A1950" s="18"/>
      <c r="B1950" s="6"/>
      <c r="C1950" s="6"/>
      <c r="D1950" s="6"/>
      <c r="E1950" s="16" t="str">
        <f aca="false">IF($B1950="","",IFERROR(INDEX(Services!$C$2:$C$120,MATCH($B1950,Services!$D$2:$D$120,0)),""))</f>
        <v/>
      </c>
      <c r="F1950" s="19"/>
      <c r="G1950" s="9" t="str">
        <f aca="false">IF(OR($B1950="",NOT(ISNUMBER($E1950))),"",$E1950-IF($F1950="",0,$F1950))</f>
        <v/>
      </c>
      <c r="H1950" s="15" t="str">
        <f aca="false">IF($B1950="","",IFERROR(INDEX(Services!$A$2:$A$120,MATCH($B1950,Services!$D$2:$D$120,0)),""))</f>
        <v/>
      </c>
      <c r="I1950" s="19"/>
      <c r="J1950" s="15" t="str">
        <f aca="false">IF($B1950="","",IFERROR(INDEX(Services!$E$2:$E$120,MATCH($B1950,Services!$D$2:$D$120,0)),""))</f>
        <v/>
      </c>
    </row>
    <row r="1951" customFormat="false" ht="14.25" hidden="false" customHeight="false" outlineLevel="0" collapsed="false">
      <c r="A1951" s="18"/>
      <c r="B1951" s="6"/>
      <c r="C1951" s="6"/>
      <c r="D1951" s="6"/>
      <c r="E1951" s="16" t="str">
        <f aca="false">IF($B1951="","",IFERROR(INDEX(Services!$C$2:$C$120,MATCH($B1951,Services!$D$2:$D$120,0)),""))</f>
        <v/>
      </c>
      <c r="F1951" s="19"/>
      <c r="G1951" s="9" t="str">
        <f aca="false">IF(OR($B1951="",NOT(ISNUMBER($E1951))),"",$E1951-IF($F1951="",0,$F1951))</f>
        <v/>
      </c>
      <c r="H1951" s="15" t="str">
        <f aca="false">IF($B1951="","",IFERROR(INDEX(Services!$A$2:$A$120,MATCH($B1951,Services!$D$2:$D$120,0)),""))</f>
        <v/>
      </c>
      <c r="I1951" s="19"/>
      <c r="J1951" s="15" t="str">
        <f aca="false">IF($B1951="","",IFERROR(INDEX(Services!$E$2:$E$120,MATCH($B1951,Services!$D$2:$D$120,0)),""))</f>
        <v/>
      </c>
    </row>
    <row r="1952" customFormat="false" ht="14.25" hidden="false" customHeight="false" outlineLevel="0" collapsed="false">
      <c r="A1952" s="18"/>
      <c r="B1952" s="6"/>
      <c r="C1952" s="6"/>
      <c r="D1952" s="6"/>
      <c r="E1952" s="16" t="str">
        <f aca="false">IF($B1952="","",IFERROR(INDEX(Services!$C$2:$C$120,MATCH($B1952,Services!$D$2:$D$120,0)),""))</f>
        <v/>
      </c>
      <c r="F1952" s="19"/>
      <c r="G1952" s="9" t="str">
        <f aca="false">IF(OR($B1952="",NOT(ISNUMBER($E1952))),"",$E1952-IF($F1952="",0,$F1952))</f>
        <v/>
      </c>
      <c r="H1952" s="15" t="str">
        <f aca="false">IF($B1952="","",IFERROR(INDEX(Services!$A$2:$A$120,MATCH($B1952,Services!$D$2:$D$120,0)),""))</f>
        <v/>
      </c>
      <c r="I1952" s="19"/>
      <c r="J1952" s="15" t="str">
        <f aca="false">IF($B1952="","",IFERROR(INDEX(Services!$E$2:$E$120,MATCH($B1952,Services!$D$2:$D$120,0)),""))</f>
        <v/>
      </c>
    </row>
    <row r="1953" customFormat="false" ht="14.25" hidden="false" customHeight="false" outlineLevel="0" collapsed="false">
      <c r="A1953" s="18"/>
      <c r="B1953" s="6"/>
      <c r="C1953" s="6"/>
      <c r="D1953" s="6"/>
      <c r="E1953" s="16" t="str">
        <f aca="false">IF($B1953="","",IFERROR(INDEX(Services!$C$2:$C$120,MATCH($B1953,Services!$D$2:$D$120,0)),""))</f>
        <v/>
      </c>
      <c r="F1953" s="19"/>
      <c r="G1953" s="9" t="str">
        <f aca="false">IF(OR($B1953="",NOT(ISNUMBER($E1953))),"",$E1953-IF($F1953="",0,$F1953))</f>
        <v/>
      </c>
      <c r="H1953" s="15" t="str">
        <f aca="false">IF($B1953="","",IFERROR(INDEX(Services!$A$2:$A$120,MATCH($B1953,Services!$D$2:$D$120,0)),""))</f>
        <v/>
      </c>
      <c r="I1953" s="19"/>
      <c r="J1953" s="15" t="str">
        <f aca="false">IF($B1953="","",IFERROR(INDEX(Services!$E$2:$E$120,MATCH($B1953,Services!$D$2:$D$120,0)),""))</f>
        <v/>
      </c>
    </row>
    <row r="1954" customFormat="false" ht="14.25" hidden="false" customHeight="false" outlineLevel="0" collapsed="false">
      <c r="A1954" s="18"/>
      <c r="B1954" s="6"/>
      <c r="C1954" s="6"/>
      <c r="D1954" s="6"/>
      <c r="E1954" s="16" t="str">
        <f aca="false">IF($B1954="","",IFERROR(INDEX(Services!$C$2:$C$120,MATCH($B1954,Services!$D$2:$D$120,0)),""))</f>
        <v/>
      </c>
      <c r="F1954" s="19"/>
      <c r="G1954" s="9" t="str">
        <f aca="false">IF(OR($B1954="",NOT(ISNUMBER($E1954))),"",$E1954-IF($F1954="",0,$F1954))</f>
        <v/>
      </c>
      <c r="H1954" s="15" t="str">
        <f aca="false">IF($B1954="","",IFERROR(INDEX(Services!$A$2:$A$120,MATCH($B1954,Services!$D$2:$D$120,0)),""))</f>
        <v/>
      </c>
      <c r="I1954" s="19"/>
      <c r="J1954" s="15" t="str">
        <f aca="false">IF($B1954="","",IFERROR(INDEX(Services!$E$2:$E$120,MATCH($B1954,Services!$D$2:$D$120,0)),""))</f>
        <v/>
      </c>
    </row>
    <row r="1955" customFormat="false" ht="14.25" hidden="false" customHeight="false" outlineLevel="0" collapsed="false">
      <c r="A1955" s="18"/>
      <c r="B1955" s="6"/>
      <c r="C1955" s="6"/>
      <c r="D1955" s="6"/>
      <c r="E1955" s="16" t="str">
        <f aca="false">IF($B1955="","",IFERROR(INDEX(Services!$C$2:$C$120,MATCH($B1955,Services!$D$2:$D$120,0)),""))</f>
        <v/>
      </c>
      <c r="F1955" s="19"/>
      <c r="G1955" s="9" t="str">
        <f aca="false">IF(OR($B1955="",NOT(ISNUMBER($E1955))),"",$E1955-IF($F1955="",0,$F1955))</f>
        <v/>
      </c>
      <c r="H1955" s="15" t="str">
        <f aca="false">IF($B1955="","",IFERROR(INDEX(Services!$A$2:$A$120,MATCH($B1955,Services!$D$2:$D$120,0)),""))</f>
        <v/>
      </c>
      <c r="I1955" s="19"/>
      <c r="J1955" s="15" t="str">
        <f aca="false">IF($B1955="","",IFERROR(INDEX(Services!$E$2:$E$120,MATCH($B1955,Services!$D$2:$D$120,0)),""))</f>
        <v/>
      </c>
    </row>
    <row r="1956" customFormat="false" ht="14.25" hidden="false" customHeight="false" outlineLevel="0" collapsed="false">
      <c r="A1956" s="18"/>
      <c r="B1956" s="6"/>
      <c r="C1956" s="6"/>
      <c r="D1956" s="6"/>
      <c r="E1956" s="16" t="str">
        <f aca="false">IF($B1956="","",IFERROR(INDEX(Services!$C$2:$C$120,MATCH($B1956,Services!$D$2:$D$120,0)),""))</f>
        <v/>
      </c>
      <c r="F1956" s="19"/>
      <c r="G1956" s="9" t="str">
        <f aca="false">IF(OR($B1956="",NOT(ISNUMBER($E1956))),"",$E1956-IF($F1956="",0,$F1956))</f>
        <v/>
      </c>
      <c r="H1956" s="15" t="str">
        <f aca="false">IF($B1956="","",IFERROR(INDEX(Services!$A$2:$A$120,MATCH($B1956,Services!$D$2:$D$120,0)),""))</f>
        <v/>
      </c>
      <c r="I1956" s="19"/>
      <c r="J1956" s="15" t="str">
        <f aca="false">IF($B1956="","",IFERROR(INDEX(Services!$E$2:$E$120,MATCH($B1956,Services!$D$2:$D$120,0)),""))</f>
        <v/>
      </c>
    </row>
    <row r="1957" customFormat="false" ht="14.25" hidden="false" customHeight="false" outlineLevel="0" collapsed="false">
      <c r="A1957" s="18"/>
      <c r="B1957" s="6"/>
      <c r="C1957" s="6"/>
      <c r="D1957" s="6"/>
      <c r="E1957" s="16" t="str">
        <f aca="false">IF($B1957="","",IFERROR(INDEX(Services!$C$2:$C$120,MATCH($B1957,Services!$D$2:$D$120,0)),""))</f>
        <v/>
      </c>
      <c r="F1957" s="19"/>
      <c r="G1957" s="9" t="str">
        <f aca="false">IF(OR($B1957="",NOT(ISNUMBER($E1957))),"",$E1957-IF($F1957="",0,$F1957))</f>
        <v/>
      </c>
      <c r="H1957" s="15" t="str">
        <f aca="false">IF($B1957="","",IFERROR(INDEX(Services!$A$2:$A$120,MATCH($B1957,Services!$D$2:$D$120,0)),""))</f>
        <v/>
      </c>
      <c r="I1957" s="19"/>
      <c r="J1957" s="15" t="str">
        <f aca="false">IF($B1957="","",IFERROR(INDEX(Services!$E$2:$E$120,MATCH($B1957,Services!$D$2:$D$120,0)),""))</f>
        <v/>
      </c>
    </row>
    <row r="1958" customFormat="false" ht="14.25" hidden="false" customHeight="false" outlineLevel="0" collapsed="false">
      <c r="A1958" s="18"/>
      <c r="B1958" s="6"/>
      <c r="C1958" s="6"/>
      <c r="D1958" s="6"/>
      <c r="E1958" s="16" t="str">
        <f aca="false">IF($B1958="","",IFERROR(INDEX(Services!$C$2:$C$120,MATCH($B1958,Services!$D$2:$D$120,0)),""))</f>
        <v/>
      </c>
      <c r="F1958" s="19"/>
      <c r="G1958" s="9" t="str">
        <f aca="false">IF(OR($B1958="",NOT(ISNUMBER($E1958))),"",$E1958-IF($F1958="",0,$F1958))</f>
        <v/>
      </c>
      <c r="H1958" s="15" t="str">
        <f aca="false">IF($B1958="","",IFERROR(INDEX(Services!$A$2:$A$120,MATCH($B1958,Services!$D$2:$D$120,0)),""))</f>
        <v/>
      </c>
      <c r="I1958" s="19"/>
      <c r="J1958" s="15" t="str">
        <f aca="false">IF($B1958="","",IFERROR(INDEX(Services!$E$2:$E$120,MATCH($B1958,Services!$D$2:$D$120,0)),""))</f>
        <v/>
      </c>
    </row>
    <row r="1959" customFormat="false" ht="14.25" hidden="false" customHeight="false" outlineLevel="0" collapsed="false">
      <c r="A1959" s="18"/>
      <c r="B1959" s="6"/>
      <c r="C1959" s="6"/>
      <c r="D1959" s="6"/>
      <c r="E1959" s="16" t="str">
        <f aca="false">IF($B1959="","",IFERROR(INDEX(Services!$C$2:$C$120,MATCH($B1959,Services!$D$2:$D$120,0)),""))</f>
        <v/>
      </c>
      <c r="F1959" s="19"/>
      <c r="G1959" s="9" t="str">
        <f aca="false">IF(OR($B1959="",NOT(ISNUMBER($E1959))),"",$E1959-IF($F1959="",0,$F1959))</f>
        <v/>
      </c>
      <c r="H1959" s="15" t="str">
        <f aca="false">IF($B1959="","",IFERROR(INDEX(Services!$A$2:$A$120,MATCH($B1959,Services!$D$2:$D$120,0)),""))</f>
        <v/>
      </c>
      <c r="I1959" s="19"/>
      <c r="J1959" s="15" t="str">
        <f aca="false">IF($B1959="","",IFERROR(INDEX(Services!$E$2:$E$120,MATCH($B1959,Services!$D$2:$D$120,0)),""))</f>
        <v/>
      </c>
    </row>
    <row r="1960" customFormat="false" ht="14.25" hidden="false" customHeight="false" outlineLevel="0" collapsed="false">
      <c r="A1960" s="18"/>
      <c r="B1960" s="6"/>
      <c r="C1960" s="6"/>
      <c r="D1960" s="6"/>
      <c r="E1960" s="16" t="str">
        <f aca="false">IF($B1960="","",IFERROR(INDEX(Services!$C$2:$C$120,MATCH($B1960,Services!$D$2:$D$120,0)),""))</f>
        <v/>
      </c>
      <c r="F1960" s="19"/>
      <c r="G1960" s="9" t="str">
        <f aca="false">IF(OR($B1960="",NOT(ISNUMBER($E1960))),"",$E1960-IF($F1960="",0,$F1960))</f>
        <v/>
      </c>
      <c r="H1960" s="15" t="str">
        <f aca="false">IF($B1960="","",IFERROR(INDEX(Services!$A$2:$A$120,MATCH($B1960,Services!$D$2:$D$120,0)),""))</f>
        <v/>
      </c>
      <c r="I1960" s="19"/>
      <c r="J1960" s="15" t="str">
        <f aca="false">IF($B1960="","",IFERROR(INDEX(Services!$E$2:$E$120,MATCH($B1960,Services!$D$2:$D$120,0)),""))</f>
        <v/>
      </c>
    </row>
    <row r="1961" customFormat="false" ht="14.25" hidden="false" customHeight="false" outlineLevel="0" collapsed="false">
      <c r="A1961" s="18"/>
      <c r="B1961" s="6"/>
      <c r="C1961" s="6"/>
      <c r="D1961" s="6"/>
      <c r="E1961" s="16" t="str">
        <f aca="false">IF($B1961="","",IFERROR(INDEX(Services!$C$2:$C$120,MATCH($B1961,Services!$D$2:$D$120,0)),""))</f>
        <v/>
      </c>
      <c r="F1961" s="19"/>
      <c r="G1961" s="9" t="str">
        <f aca="false">IF(OR($B1961="",NOT(ISNUMBER($E1961))),"",$E1961-IF($F1961="",0,$F1961))</f>
        <v/>
      </c>
      <c r="H1961" s="15" t="str">
        <f aca="false">IF($B1961="","",IFERROR(INDEX(Services!$A$2:$A$120,MATCH($B1961,Services!$D$2:$D$120,0)),""))</f>
        <v/>
      </c>
      <c r="I1961" s="19"/>
      <c r="J1961" s="15" t="str">
        <f aca="false">IF($B1961="","",IFERROR(INDEX(Services!$E$2:$E$120,MATCH($B1961,Services!$D$2:$D$120,0)),""))</f>
        <v/>
      </c>
    </row>
    <row r="1962" customFormat="false" ht="14.25" hidden="false" customHeight="false" outlineLevel="0" collapsed="false">
      <c r="A1962" s="18"/>
      <c r="B1962" s="6"/>
      <c r="C1962" s="6"/>
      <c r="D1962" s="6"/>
      <c r="E1962" s="16" t="str">
        <f aca="false">IF($B1962="","",IFERROR(INDEX(Services!$C$2:$C$120,MATCH($B1962,Services!$D$2:$D$120,0)),""))</f>
        <v/>
      </c>
      <c r="F1962" s="19"/>
      <c r="G1962" s="9" t="str">
        <f aca="false">IF(OR($B1962="",NOT(ISNUMBER($E1962))),"",$E1962-IF($F1962="",0,$F1962))</f>
        <v/>
      </c>
      <c r="H1962" s="15" t="str">
        <f aca="false">IF($B1962="","",IFERROR(INDEX(Services!$A$2:$A$120,MATCH($B1962,Services!$D$2:$D$120,0)),""))</f>
        <v/>
      </c>
      <c r="I1962" s="19"/>
      <c r="J1962" s="15" t="str">
        <f aca="false">IF($B1962="","",IFERROR(INDEX(Services!$E$2:$E$120,MATCH($B1962,Services!$D$2:$D$120,0)),""))</f>
        <v/>
      </c>
    </row>
    <row r="1963" customFormat="false" ht="14.25" hidden="false" customHeight="false" outlineLevel="0" collapsed="false">
      <c r="A1963" s="18"/>
      <c r="B1963" s="6"/>
      <c r="C1963" s="6"/>
      <c r="D1963" s="6"/>
      <c r="E1963" s="16" t="str">
        <f aca="false">IF($B1963="","",IFERROR(INDEX(Services!$C$2:$C$120,MATCH($B1963,Services!$D$2:$D$120,0)),""))</f>
        <v/>
      </c>
      <c r="F1963" s="19"/>
      <c r="G1963" s="9" t="str">
        <f aca="false">IF(OR($B1963="",NOT(ISNUMBER($E1963))),"",$E1963-IF($F1963="",0,$F1963))</f>
        <v/>
      </c>
      <c r="H1963" s="15" t="str">
        <f aca="false">IF($B1963="","",IFERROR(INDEX(Services!$A$2:$A$120,MATCH($B1963,Services!$D$2:$D$120,0)),""))</f>
        <v/>
      </c>
      <c r="I1963" s="19"/>
      <c r="J1963" s="15" t="str">
        <f aca="false">IF($B1963="","",IFERROR(INDEX(Services!$E$2:$E$120,MATCH($B1963,Services!$D$2:$D$120,0)),""))</f>
        <v/>
      </c>
    </row>
    <row r="1964" customFormat="false" ht="14.25" hidden="false" customHeight="false" outlineLevel="0" collapsed="false">
      <c r="A1964" s="18"/>
      <c r="B1964" s="6"/>
      <c r="C1964" s="6"/>
      <c r="D1964" s="6"/>
      <c r="E1964" s="16" t="str">
        <f aca="false">IF($B1964="","",IFERROR(INDEX(Services!$C$2:$C$120,MATCH($B1964,Services!$D$2:$D$120,0)),""))</f>
        <v/>
      </c>
      <c r="F1964" s="19"/>
      <c r="G1964" s="9" t="str">
        <f aca="false">IF(OR($B1964="",NOT(ISNUMBER($E1964))),"",$E1964-IF($F1964="",0,$F1964))</f>
        <v/>
      </c>
      <c r="H1964" s="15" t="str">
        <f aca="false">IF($B1964="","",IFERROR(INDEX(Services!$A$2:$A$120,MATCH($B1964,Services!$D$2:$D$120,0)),""))</f>
        <v/>
      </c>
      <c r="I1964" s="19"/>
      <c r="J1964" s="15" t="str">
        <f aca="false">IF($B1964="","",IFERROR(INDEX(Services!$E$2:$E$120,MATCH($B1964,Services!$D$2:$D$120,0)),""))</f>
        <v/>
      </c>
    </row>
    <row r="1965" customFormat="false" ht="14.25" hidden="false" customHeight="false" outlineLevel="0" collapsed="false">
      <c r="A1965" s="18"/>
      <c r="B1965" s="6"/>
      <c r="C1965" s="6"/>
      <c r="D1965" s="6"/>
      <c r="E1965" s="16" t="str">
        <f aca="false">IF($B1965="","",IFERROR(INDEX(Services!$C$2:$C$120,MATCH($B1965,Services!$D$2:$D$120,0)),""))</f>
        <v/>
      </c>
      <c r="F1965" s="19"/>
      <c r="G1965" s="9" t="str">
        <f aca="false">IF(OR($B1965="",NOT(ISNUMBER($E1965))),"",$E1965-IF($F1965="",0,$F1965))</f>
        <v/>
      </c>
      <c r="H1965" s="15" t="str">
        <f aca="false">IF($B1965="","",IFERROR(INDEX(Services!$A$2:$A$120,MATCH($B1965,Services!$D$2:$D$120,0)),""))</f>
        <v/>
      </c>
      <c r="I1965" s="19"/>
      <c r="J1965" s="15" t="str">
        <f aca="false">IF($B1965="","",IFERROR(INDEX(Services!$E$2:$E$120,MATCH($B1965,Services!$D$2:$D$120,0)),""))</f>
        <v/>
      </c>
    </row>
    <row r="1966" customFormat="false" ht="14.25" hidden="false" customHeight="false" outlineLevel="0" collapsed="false">
      <c r="A1966" s="18"/>
      <c r="B1966" s="6"/>
      <c r="C1966" s="6"/>
      <c r="D1966" s="6"/>
      <c r="E1966" s="16" t="str">
        <f aca="false">IF($B1966="","",IFERROR(INDEX(Services!$C$2:$C$120,MATCH($B1966,Services!$D$2:$D$120,0)),""))</f>
        <v/>
      </c>
      <c r="F1966" s="19"/>
      <c r="G1966" s="9" t="str">
        <f aca="false">IF(OR($B1966="",NOT(ISNUMBER($E1966))),"",$E1966-IF($F1966="",0,$F1966))</f>
        <v/>
      </c>
      <c r="H1966" s="15" t="str">
        <f aca="false">IF($B1966="","",IFERROR(INDEX(Services!$A$2:$A$120,MATCH($B1966,Services!$D$2:$D$120,0)),""))</f>
        <v/>
      </c>
      <c r="I1966" s="19"/>
      <c r="J1966" s="15" t="str">
        <f aca="false">IF($B1966="","",IFERROR(INDEX(Services!$E$2:$E$120,MATCH($B1966,Services!$D$2:$D$120,0)),""))</f>
        <v/>
      </c>
    </row>
    <row r="1967" customFormat="false" ht="14.25" hidden="false" customHeight="false" outlineLevel="0" collapsed="false">
      <c r="A1967" s="18"/>
      <c r="B1967" s="6"/>
      <c r="C1967" s="6"/>
      <c r="D1967" s="6"/>
      <c r="E1967" s="16" t="str">
        <f aca="false">IF($B1967="","",IFERROR(INDEX(Services!$C$2:$C$120,MATCH($B1967,Services!$D$2:$D$120,0)),""))</f>
        <v/>
      </c>
      <c r="F1967" s="19"/>
      <c r="G1967" s="9" t="str">
        <f aca="false">IF(OR($B1967="",NOT(ISNUMBER($E1967))),"",$E1967-IF($F1967="",0,$F1967))</f>
        <v/>
      </c>
      <c r="H1967" s="15" t="str">
        <f aca="false">IF($B1967="","",IFERROR(INDEX(Services!$A$2:$A$120,MATCH($B1967,Services!$D$2:$D$120,0)),""))</f>
        <v/>
      </c>
      <c r="I1967" s="19"/>
      <c r="J1967" s="15" t="str">
        <f aca="false">IF($B1967="","",IFERROR(INDEX(Services!$E$2:$E$120,MATCH($B1967,Services!$D$2:$D$120,0)),""))</f>
        <v/>
      </c>
    </row>
    <row r="1968" customFormat="false" ht="14.25" hidden="false" customHeight="false" outlineLevel="0" collapsed="false">
      <c r="A1968" s="18"/>
      <c r="B1968" s="6"/>
      <c r="C1968" s="6"/>
      <c r="D1968" s="6"/>
      <c r="E1968" s="16" t="str">
        <f aca="false">IF($B1968="","",IFERROR(INDEX(Services!$C$2:$C$120,MATCH($B1968,Services!$D$2:$D$120,0)),""))</f>
        <v/>
      </c>
      <c r="F1968" s="19"/>
      <c r="G1968" s="9" t="str">
        <f aca="false">IF(OR($B1968="",NOT(ISNUMBER($E1968))),"",$E1968-IF($F1968="",0,$F1968))</f>
        <v/>
      </c>
      <c r="H1968" s="15" t="str">
        <f aca="false">IF($B1968="","",IFERROR(INDEX(Services!$A$2:$A$120,MATCH($B1968,Services!$D$2:$D$120,0)),""))</f>
        <v/>
      </c>
      <c r="I1968" s="19"/>
      <c r="J1968" s="15" t="str">
        <f aca="false">IF($B1968="","",IFERROR(INDEX(Services!$E$2:$E$120,MATCH($B1968,Services!$D$2:$D$120,0)),""))</f>
        <v/>
      </c>
    </row>
    <row r="1969" customFormat="false" ht="14.25" hidden="false" customHeight="false" outlineLevel="0" collapsed="false">
      <c r="A1969" s="18"/>
      <c r="B1969" s="6"/>
      <c r="C1969" s="6"/>
      <c r="D1969" s="6"/>
      <c r="E1969" s="16" t="str">
        <f aca="false">IF($B1969="","",IFERROR(INDEX(Services!$C$2:$C$120,MATCH($B1969,Services!$D$2:$D$120,0)),""))</f>
        <v/>
      </c>
      <c r="F1969" s="19"/>
      <c r="G1969" s="9" t="str">
        <f aca="false">IF(OR($B1969="",NOT(ISNUMBER($E1969))),"",$E1969-IF($F1969="",0,$F1969))</f>
        <v/>
      </c>
      <c r="H1969" s="15" t="str">
        <f aca="false">IF($B1969="","",IFERROR(INDEX(Services!$A$2:$A$120,MATCH($B1969,Services!$D$2:$D$120,0)),""))</f>
        <v/>
      </c>
      <c r="I1969" s="19"/>
      <c r="J1969" s="15" t="str">
        <f aca="false">IF($B1969="","",IFERROR(INDEX(Services!$E$2:$E$120,MATCH($B1969,Services!$D$2:$D$120,0)),""))</f>
        <v/>
      </c>
    </row>
    <row r="1970" customFormat="false" ht="14.25" hidden="false" customHeight="false" outlineLevel="0" collapsed="false">
      <c r="A1970" s="18"/>
      <c r="B1970" s="6"/>
      <c r="C1970" s="6"/>
      <c r="D1970" s="6"/>
      <c r="E1970" s="16" t="str">
        <f aca="false">IF($B1970="","",IFERROR(INDEX(Services!$C$2:$C$120,MATCH($B1970,Services!$D$2:$D$120,0)),""))</f>
        <v/>
      </c>
      <c r="F1970" s="19"/>
      <c r="G1970" s="9" t="str">
        <f aca="false">IF(OR($B1970="",NOT(ISNUMBER($E1970))),"",$E1970-IF($F1970="",0,$F1970))</f>
        <v/>
      </c>
      <c r="H1970" s="15" t="str">
        <f aca="false">IF($B1970="","",IFERROR(INDEX(Services!$A$2:$A$120,MATCH($B1970,Services!$D$2:$D$120,0)),""))</f>
        <v/>
      </c>
      <c r="I1970" s="19"/>
      <c r="J1970" s="15" t="str">
        <f aca="false">IF($B1970="","",IFERROR(INDEX(Services!$E$2:$E$120,MATCH($B1970,Services!$D$2:$D$120,0)),""))</f>
        <v/>
      </c>
    </row>
    <row r="1971" customFormat="false" ht="14.25" hidden="false" customHeight="false" outlineLevel="0" collapsed="false">
      <c r="A1971" s="18"/>
      <c r="B1971" s="6"/>
      <c r="C1971" s="6"/>
      <c r="D1971" s="6"/>
      <c r="E1971" s="16" t="str">
        <f aca="false">IF($B1971="","",IFERROR(INDEX(Services!$C$2:$C$120,MATCH($B1971,Services!$D$2:$D$120,0)),""))</f>
        <v/>
      </c>
      <c r="F1971" s="19"/>
      <c r="G1971" s="9" t="str">
        <f aca="false">IF(OR($B1971="",NOT(ISNUMBER($E1971))),"",$E1971-IF($F1971="",0,$F1971))</f>
        <v/>
      </c>
      <c r="H1971" s="15" t="str">
        <f aca="false">IF($B1971="","",IFERROR(INDEX(Services!$A$2:$A$120,MATCH($B1971,Services!$D$2:$D$120,0)),""))</f>
        <v/>
      </c>
      <c r="I1971" s="19"/>
      <c r="J1971" s="15" t="str">
        <f aca="false">IF($B1971="","",IFERROR(INDEX(Services!$E$2:$E$120,MATCH($B1971,Services!$D$2:$D$120,0)),""))</f>
        <v/>
      </c>
    </row>
    <row r="1972" customFormat="false" ht="14.25" hidden="false" customHeight="false" outlineLevel="0" collapsed="false">
      <c r="A1972" s="18"/>
      <c r="B1972" s="6"/>
      <c r="C1972" s="6"/>
      <c r="D1972" s="6"/>
      <c r="E1972" s="16" t="str">
        <f aca="false">IF($B1972="","",IFERROR(INDEX(Services!$C$2:$C$120,MATCH($B1972,Services!$D$2:$D$120,0)),""))</f>
        <v/>
      </c>
      <c r="F1972" s="19"/>
      <c r="G1972" s="9" t="str">
        <f aca="false">IF(OR($B1972="",NOT(ISNUMBER($E1972))),"",$E1972-IF($F1972="",0,$F1972))</f>
        <v/>
      </c>
      <c r="H1972" s="15" t="str">
        <f aca="false">IF($B1972="","",IFERROR(INDEX(Services!$A$2:$A$120,MATCH($B1972,Services!$D$2:$D$120,0)),""))</f>
        <v/>
      </c>
      <c r="I1972" s="19"/>
      <c r="J1972" s="15" t="str">
        <f aca="false">IF($B1972="","",IFERROR(INDEX(Services!$E$2:$E$120,MATCH($B1972,Services!$D$2:$D$120,0)),""))</f>
        <v/>
      </c>
    </row>
    <row r="1973" customFormat="false" ht="14.25" hidden="false" customHeight="false" outlineLevel="0" collapsed="false">
      <c r="A1973" s="18"/>
      <c r="B1973" s="6"/>
      <c r="C1973" s="6"/>
      <c r="D1973" s="6"/>
      <c r="E1973" s="16" t="str">
        <f aca="false">IF($B1973="","",IFERROR(INDEX(Services!$C$2:$C$120,MATCH($B1973,Services!$D$2:$D$120,0)),""))</f>
        <v/>
      </c>
      <c r="F1973" s="19"/>
      <c r="G1973" s="9" t="str">
        <f aca="false">IF(OR($B1973="",NOT(ISNUMBER($E1973))),"",$E1973-IF($F1973="",0,$F1973))</f>
        <v/>
      </c>
      <c r="H1973" s="15" t="str">
        <f aca="false">IF($B1973="","",IFERROR(INDEX(Services!$A$2:$A$120,MATCH($B1973,Services!$D$2:$D$120,0)),""))</f>
        <v/>
      </c>
      <c r="I1973" s="19"/>
      <c r="J1973" s="15" t="str">
        <f aca="false">IF($B1973="","",IFERROR(INDEX(Services!$E$2:$E$120,MATCH($B1973,Services!$D$2:$D$120,0)),""))</f>
        <v/>
      </c>
    </row>
    <row r="1974" customFormat="false" ht="14.25" hidden="false" customHeight="false" outlineLevel="0" collapsed="false">
      <c r="A1974" s="18"/>
      <c r="B1974" s="6"/>
      <c r="C1974" s="6"/>
      <c r="D1974" s="6"/>
      <c r="E1974" s="16" t="str">
        <f aca="false">IF($B1974="","",IFERROR(INDEX(Services!$C$2:$C$120,MATCH($B1974,Services!$D$2:$D$120,0)),""))</f>
        <v/>
      </c>
      <c r="F1974" s="19"/>
      <c r="G1974" s="9" t="str">
        <f aca="false">IF(OR($B1974="",NOT(ISNUMBER($E1974))),"",$E1974-IF($F1974="",0,$F1974))</f>
        <v/>
      </c>
      <c r="H1974" s="15" t="str">
        <f aca="false">IF($B1974="","",IFERROR(INDEX(Services!$A$2:$A$120,MATCH($B1974,Services!$D$2:$D$120,0)),""))</f>
        <v/>
      </c>
      <c r="I1974" s="19"/>
      <c r="J1974" s="15" t="str">
        <f aca="false">IF($B1974="","",IFERROR(INDEX(Services!$E$2:$E$120,MATCH($B1974,Services!$D$2:$D$120,0)),""))</f>
        <v/>
      </c>
    </row>
    <row r="1975" customFormat="false" ht="14.25" hidden="false" customHeight="false" outlineLevel="0" collapsed="false">
      <c r="A1975" s="18"/>
      <c r="B1975" s="6"/>
      <c r="C1975" s="6"/>
      <c r="D1975" s="6"/>
      <c r="E1975" s="16" t="str">
        <f aca="false">IF($B1975="","",IFERROR(INDEX(Services!$C$2:$C$120,MATCH($B1975,Services!$D$2:$D$120,0)),""))</f>
        <v/>
      </c>
      <c r="F1975" s="19"/>
      <c r="G1975" s="9" t="str">
        <f aca="false">IF(OR($B1975="",NOT(ISNUMBER($E1975))),"",$E1975-IF($F1975="",0,$F1975))</f>
        <v/>
      </c>
      <c r="H1975" s="15" t="str">
        <f aca="false">IF($B1975="","",IFERROR(INDEX(Services!$A$2:$A$120,MATCH($B1975,Services!$D$2:$D$120,0)),""))</f>
        <v/>
      </c>
      <c r="I1975" s="19"/>
      <c r="J1975" s="15" t="str">
        <f aca="false">IF($B1975="","",IFERROR(INDEX(Services!$E$2:$E$120,MATCH($B1975,Services!$D$2:$D$120,0)),""))</f>
        <v/>
      </c>
    </row>
    <row r="1976" customFormat="false" ht="14.25" hidden="false" customHeight="false" outlineLevel="0" collapsed="false">
      <c r="A1976" s="18"/>
      <c r="B1976" s="6"/>
      <c r="C1976" s="6"/>
      <c r="D1976" s="6"/>
      <c r="E1976" s="16" t="str">
        <f aca="false">IF($B1976="","",IFERROR(INDEX(Services!$C$2:$C$120,MATCH($B1976,Services!$D$2:$D$120,0)),""))</f>
        <v/>
      </c>
      <c r="F1976" s="19"/>
      <c r="G1976" s="9" t="str">
        <f aca="false">IF(OR($B1976="",NOT(ISNUMBER($E1976))),"",$E1976-IF($F1976="",0,$F1976))</f>
        <v/>
      </c>
      <c r="H1976" s="15" t="str">
        <f aca="false">IF($B1976="","",IFERROR(INDEX(Services!$A$2:$A$120,MATCH($B1976,Services!$D$2:$D$120,0)),""))</f>
        <v/>
      </c>
      <c r="I1976" s="19"/>
      <c r="J1976" s="15" t="str">
        <f aca="false">IF($B1976="","",IFERROR(INDEX(Services!$E$2:$E$120,MATCH($B1976,Services!$D$2:$D$120,0)),""))</f>
        <v/>
      </c>
    </row>
    <row r="1977" customFormat="false" ht="14.25" hidden="false" customHeight="false" outlineLevel="0" collapsed="false">
      <c r="A1977" s="18"/>
      <c r="B1977" s="6"/>
      <c r="C1977" s="6"/>
      <c r="D1977" s="6"/>
      <c r="E1977" s="16" t="str">
        <f aca="false">IF($B1977="","",IFERROR(INDEX(Services!$C$2:$C$120,MATCH($B1977,Services!$D$2:$D$120,0)),""))</f>
        <v/>
      </c>
      <c r="F1977" s="19"/>
      <c r="G1977" s="9" t="str">
        <f aca="false">IF(OR($B1977="",NOT(ISNUMBER($E1977))),"",$E1977-IF($F1977="",0,$F1977))</f>
        <v/>
      </c>
      <c r="H1977" s="15" t="str">
        <f aca="false">IF($B1977="","",IFERROR(INDEX(Services!$A$2:$A$120,MATCH($B1977,Services!$D$2:$D$120,0)),""))</f>
        <v/>
      </c>
      <c r="I1977" s="19"/>
      <c r="J1977" s="15" t="str">
        <f aca="false">IF($B1977="","",IFERROR(INDEX(Services!$E$2:$E$120,MATCH($B1977,Services!$D$2:$D$120,0)),""))</f>
        <v/>
      </c>
    </row>
    <row r="1978" customFormat="false" ht="14.25" hidden="false" customHeight="false" outlineLevel="0" collapsed="false">
      <c r="A1978" s="18"/>
      <c r="B1978" s="6"/>
      <c r="C1978" s="6"/>
      <c r="D1978" s="6"/>
      <c r="E1978" s="16" t="str">
        <f aca="false">IF($B1978="","",IFERROR(INDEX(Services!$C$2:$C$120,MATCH($B1978,Services!$D$2:$D$120,0)),""))</f>
        <v/>
      </c>
      <c r="F1978" s="19"/>
      <c r="G1978" s="9" t="str">
        <f aca="false">IF(OR($B1978="",NOT(ISNUMBER($E1978))),"",$E1978-IF($F1978="",0,$F1978))</f>
        <v/>
      </c>
      <c r="H1978" s="15" t="str">
        <f aca="false">IF($B1978="","",IFERROR(INDEX(Services!$A$2:$A$120,MATCH($B1978,Services!$D$2:$D$120,0)),""))</f>
        <v/>
      </c>
      <c r="I1978" s="19"/>
      <c r="J1978" s="15" t="str">
        <f aca="false">IF($B1978="","",IFERROR(INDEX(Services!$E$2:$E$120,MATCH($B1978,Services!$D$2:$D$120,0)),""))</f>
        <v/>
      </c>
    </row>
    <row r="1979" customFormat="false" ht="14.25" hidden="false" customHeight="false" outlineLevel="0" collapsed="false">
      <c r="A1979" s="18"/>
      <c r="B1979" s="6"/>
      <c r="C1979" s="6"/>
      <c r="D1979" s="6"/>
      <c r="E1979" s="16" t="str">
        <f aca="false">IF($B1979="","",IFERROR(INDEX(Services!$C$2:$C$120,MATCH($B1979,Services!$D$2:$D$120,0)),""))</f>
        <v/>
      </c>
      <c r="F1979" s="19"/>
      <c r="G1979" s="9" t="str">
        <f aca="false">IF(OR($B1979="",NOT(ISNUMBER($E1979))),"",$E1979-IF($F1979="",0,$F1979))</f>
        <v/>
      </c>
      <c r="H1979" s="15" t="str">
        <f aca="false">IF($B1979="","",IFERROR(INDEX(Services!$A$2:$A$120,MATCH($B1979,Services!$D$2:$D$120,0)),""))</f>
        <v/>
      </c>
      <c r="I1979" s="19"/>
      <c r="J1979" s="15" t="str">
        <f aca="false">IF($B1979="","",IFERROR(INDEX(Services!$E$2:$E$120,MATCH($B1979,Services!$D$2:$D$120,0)),""))</f>
        <v/>
      </c>
    </row>
    <row r="1980" customFormat="false" ht="14.25" hidden="false" customHeight="false" outlineLevel="0" collapsed="false">
      <c r="A1980" s="18"/>
      <c r="B1980" s="6"/>
      <c r="C1980" s="6"/>
      <c r="D1980" s="6"/>
      <c r="E1980" s="16" t="str">
        <f aca="false">IF($B1980="","",IFERROR(INDEX(Services!$C$2:$C$120,MATCH($B1980,Services!$D$2:$D$120,0)),""))</f>
        <v/>
      </c>
      <c r="F1980" s="19"/>
      <c r="G1980" s="9" t="str">
        <f aca="false">IF(OR($B1980="",NOT(ISNUMBER($E1980))),"",$E1980-IF($F1980="",0,$F1980))</f>
        <v/>
      </c>
      <c r="H1980" s="15" t="str">
        <f aca="false">IF($B1980="","",IFERROR(INDEX(Services!$A$2:$A$120,MATCH($B1980,Services!$D$2:$D$120,0)),""))</f>
        <v/>
      </c>
      <c r="I1980" s="19"/>
      <c r="J1980" s="15" t="str">
        <f aca="false">IF($B1980="","",IFERROR(INDEX(Services!$E$2:$E$120,MATCH($B1980,Services!$D$2:$D$120,0)),""))</f>
        <v/>
      </c>
    </row>
    <row r="1981" customFormat="false" ht="14.25" hidden="false" customHeight="false" outlineLevel="0" collapsed="false">
      <c r="A1981" s="18"/>
      <c r="B1981" s="6"/>
      <c r="C1981" s="6"/>
      <c r="D1981" s="6"/>
      <c r="E1981" s="16" t="str">
        <f aca="false">IF($B1981="","",IFERROR(INDEX(Services!$C$2:$C$120,MATCH($B1981,Services!$D$2:$D$120,0)),""))</f>
        <v/>
      </c>
      <c r="F1981" s="19"/>
      <c r="G1981" s="9" t="str">
        <f aca="false">IF(OR($B1981="",NOT(ISNUMBER($E1981))),"",$E1981-IF($F1981="",0,$F1981))</f>
        <v/>
      </c>
      <c r="H1981" s="15" t="str">
        <f aca="false">IF($B1981="","",IFERROR(INDEX(Services!$A$2:$A$120,MATCH($B1981,Services!$D$2:$D$120,0)),""))</f>
        <v/>
      </c>
      <c r="I1981" s="19"/>
      <c r="J1981" s="15" t="str">
        <f aca="false">IF($B1981="","",IFERROR(INDEX(Services!$E$2:$E$120,MATCH($B1981,Services!$D$2:$D$120,0)),""))</f>
        <v/>
      </c>
    </row>
    <row r="1982" customFormat="false" ht="14.25" hidden="false" customHeight="false" outlineLevel="0" collapsed="false">
      <c r="A1982" s="18"/>
      <c r="B1982" s="6"/>
      <c r="C1982" s="6"/>
      <c r="D1982" s="6"/>
      <c r="E1982" s="16" t="str">
        <f aca="false">IF($B1982="","",IFERROR(INDEX(Services!$C$2:$C$120,MATCH($B1982,Services!$D$2:$D$120,0)),""))</f>
        <v/>
      </c>
      <c r="F1982" s="19"/>
      <c r="G1982" s="9" t="str">
        <f aca="false">IF(OR($B1982="",NOT(ISNUMBER($E1982))),"",$E1982-IF($F1982="",0,$F1982))</f>
        <v/>
      </c>
      <c r="H1982" s="15" t="str">
        <f aca="false">IF($B1982="","",IFERROR(INDEX(Services!$A$2:$A$120,MATCH($B1982,Services!$D$2:$D$120,0)),""))</f>
        <v/>
      </c>
      <c r="I1982" s="19"/>
      <c r="J1982" s="15" t="str">
        <f aca="false">IF($B1982="","",IFERROR(INDEX(Services!$E$2:$E$120,MATCH($B1982,Services!$D$2:$D$120,0)),""))</f>
        <v/>
      </c>
    </row>
    <row r="1983" customFormat="false" ht="14.25" hidden="false" customHeight="false" outlineLevel="0" collapsed="false">
      <c r="A1983" s="18"/>
      <c r="B1983" s="6"/>
      <c r="C1983" s="6"/>
      <c r="D1983" s="6"/>
      <c r="E1983" s="16" t="str">
        <f aca="false">IF($B1983="","",IFERROR(INDEX(Services!$C$2:$C$120,MATCH($B1983,Services!$D$2:$D$120,0)),""))</f>
        <v/>
      </c>
      <c r="F1983" s="19"/>
      <c r="G1983" s="9" t="str">
        <f aca="false">IF(OR($B1983="",NOT(ISNUMBER($E1983))),"",$E1983-IF($F1983="",0,$F1983))</f>
        <v/>
      </c>
      <c r="H1983" s="15" t="str">
        <f aca="false">IF($B1983="","",IFERROR(INDEX(Services!$A$2:$A$120,MATCH($B1983,Services!$D$2:$D$120,0)),""))</f>
        <v/>
      </c>
      <c r="I1983" s="19"/>
      <c r="J1983" s="15" t="str">
        <f aca="false">IF($B1983="","",IFERROR(INDEX(Services!$E$2:$E$120,MATCH($B1983,Services!$D$2:$D$120,0)),""))</f>
        <v/>
      </c>
    </row>
    <row r="1984" customFormat="false" ht="14.25" hidden="false" customHeight="false" outlineLevel="0" collapsed="false">
      <c r="A1984" s="18"/>
      <c r="B1984" s="6"/>
      <c r="C1984" s="6"/>
      <c r="D1984" s="6"/>
      <c r="E1984" s="16" t="str">
        <f aca="false">IF($B1984="","",IFERROR(INDEX(Services!$C$2:$C$120,MATCH($B1984,Services!$D$2:$D$120,0)),""))</f>
        <v/>
      </c>
      <c r="F1984" s="19"/>
      <c r="G1984" s="9" t="str">
        <f aca="false">IF(OR($B1984="",NOT(ISNUMBER($E1984))),"",$E1984-IF($F1984="",0,$F1984))</f>
        <v/>
      </c>
      <c r="H1984" s="15" t="str">
        <f aca="false">IF($B1984="","",IFERROR(INDEX(Services!$A$2:$A$120,MATCH($B1984,Services!$D$2:$D$120,0)),""))</f>
        <v/>
      </c>
      <c r="I1984" s="19"/>
      <c r="J1984" s="15" t="str">
        <f aca="false">IF($B1984="","",IFERROR(INDEX(Services!$E$2:$E$120,MATCH($B1984,Services!$D$2:$D$120,0)),""))</f>
        <v/>
      </c>
    </row>
    <row r="1985" customFormat="false" ht="14.25" hidden="false" customHeight="false" outlineLevel="0" collapsed="false">
      <c r="A1985" s="18"/>
      <c r="B1985" s="6"/>
      <c r="C1985" s="6"/>
      <c r="D1985" s="6"/>
      <c r="E1985" s="16" t="str">
        <f aca="false">IF($B1985="","",IFERROR(INDEX(Services!$C$2:$C$120,MATCH($B1985,Services!$D$2:$D$120,0)),""))</f>
        <v/>
      </c>
      <c r="F1985" s="19"/>
      <c r="G1985" s="9" t="str">
        <f aca="false">IF(OR($B1985="",NOT(ISNUMBER($E1985))),"",$E1985-IF($F1985="",0,$F1985))</f>
        <v/>
      </c>
      <c r="H1985" s="15" t="str">
        <f aca="false">IF($B1985="","",IFERROR(INDEX(Services!$A$2:$A$120,MATCH($B1985,Services!$D$2:$D$120,0)),""))</f>
        <v/>
      </c>
      <c r="I1985" s="19"/>
      <c r="J1985" s="15" t="str">
        <f aca="false">IF($B1985="","",IFERROR(INDEX(Services!$E$2:$E$120,MATCH($B1985,Services!$D$2:$D$120,0)),""))</f>
        <v/>
      </c>
    </row>
    <row r="1986" customFormat="false" ht="14.25" hidden="false" customHeight="false" outlineLevel="0" collapsed="false">
      <c r="A1986" s="18"/>
      <c r="B1986" s="6"/>
      <c r="C1986" s="6"/>
      <c r="D1986" s="6"/>
      <c r="E1986" s="16" t="str">
        <f aca="false">IF($B1986="","",IFERROR(INDEX(Services!$C$2:$C$120,MATCH($B1986,Services!$D$2:$D$120,0)),""))</f>
        <v/>
      </c>
      <c r="F1986" s="19"/>
      <c r="G1986" s="9" t="str">
        <f aca="false">IF(OR($B1986="",NOT(ISNUMBER($E1986))),"",$E1986-IF($F1986="",0,$F1986))</f>
        <v/>
      </c>
      <c r="H1986" s="15" t="str">
        <f aca="false">IF($B1986="","",IFERROR(INDEX(Services!$A$2:$A$120,MATCH($B1986,Services!$D$2:$D$120,0)),""))</f>
        <v/>
      </c>
      <c r="I1986" s="19"/>
      <c r="J1986" s="15" t="str">
        <f aca="false">IF($B1986="","",IFERROR(INDEX(Services!$E$2:$E$120,MATCH($B1986,Services!$D$2:$D$120,0)),""))</f>
        <v/>
      </c>
    </row>
    <row r="1987" customFormat="false" ht="14.25" hidden="false" customHeight="false" outlineLevel="0" collapsed="false">
      <c r="A1987" s="18"/>
      <c r="B1987" s="6"/>
      <c r="C1987" s="6"/>
      <c r="D1987" s="6"/>
      <c r="E1987" s="16" t="str">
        <f aca="false">IF($B1987="","",IFERROR(INDEX(Services!$C$2:$C$120,MATCH($B1987,Services!$D$2:$D$120,0)),""))</f>
        <v/>
      </c>
      <c r="F1987" s="19"/>
      <c r="G1987" s="9" t="str">
        <f aca="false">IF(OR($B1987="",NOT(ISNUMBER($E1987))),"",$E1987-IF($F1987="",0,$F1987))</f>
        <v/>
      </c>
      <c r="H1987" s="15" t="str">
        <f aca="false">IF($B1987="","",IFERROR(INDEX(Services!$A$2:$A$120,MATCH($B1987,Services!$D$2:$D$120,0)),""))</f>
        <v/>
      </c>
      <c r="I1987" s="19"/>
      <c r="J1987" s="15" t="str">
        <f aca="false">IF($B1987="","",IFERROR(INDEX(Services!$E$2:$E$120,MATCH($B1987,Services!$D$2:$D$120,0)),""))</f>
        <v/>
      </c>
    </row>
    <row r="1988" customFormat="false" ht="14.25" hidden="false" customHeight="false" outlineLevel="0" collapsed="false">
      <c r="A1988" s="18"/>
      <c r="B1988" s="6"/>
      <c r="C1988" s="6"/>
      <c r="D1988" s="6"/>
      <c r="E1988" s="16" t="str">
        <f aca="false">IF($B1988="","",IFERROR(INDEX(Services!$C$2:$C$120,MATCH($B1988,Services!$D$2:$D$120,0)),""))</f>
        <v/>
      </c>
      <c r="F1988" s="19"/>
      <c r="G1988" s="9" t="str">
        <f aca="false">IF(OR($B1988="",NOT(ISNUMBER($E1988))),"",$E1988-IF($F1988="",0,$F1988))</f>
        <v/>
      </c>
      <c r="H1988" s="15" t="str">
        <f aca="false">IF($B1988="","",IFERROR(INDEX(Services!$A$2:$A$120,MATCH($B1988,Services!$D$2:$D$120,0)),""))</f>
        <v/>
      </c>
      <c r="I1988" s="19"/>
      <c r="J1988" s="15" t="str">
        <f aca="false">IF($B1988="","",IFERROR(INDEX(Services!$E$2:$E$120,MATCH($B1988,Services!$D$2:$D$120,0)),""))</f>
        <v/>
      </c>
    </row>
    <row r="1989" customFormat="false" ht="14.25" hidden="false" customHeight="false" outlineLevel="0" collapsed="false">
      <c r="A1989" s="18"/>
      <c r="B1989" s="6"/>
      <c r="C1989" s="6"/>
      <c r="D1989" s="6"/>
      <c r="E1989" s="16" t="str">
        <f aca="false">IF($B1989="","",IFERROR(INDEX(Services!$C$2:$C$120,MATCH($B1989,Services!$D$2:$D$120,0)),""))</f>
        <v/>
      </c>
      <c r="F1989" s="19"/>
      <c r="G1989" s="9" t="str">
        <f aca="false">IF(OR($B1989="",NOT(ISNUMBER($E1989))),"",$E1989-IF($F1989="",0,$F1989))</f>
        <v/>
      </c>
      <c r="H1989" s="15" t="str">
        <f aca="false">IF($B1989="","",IFERROR(INDEX(Services!$A$2:$A$120,MATCH($B1989,Services!$D$2:$D$120,0)),""))</f>
        <v/>
      </c>
      <c r="I1989" s="19"/>
      <c r="J1989" s="15" t="str">
        <f aca="false">IF($B1989="","",IFERROR(INDEX(Services!$E$2:$E$120,MATCH($B1989,Services!$D$2:$D$120,0)),""))</f>
        <v/>
      </c>
    </row>
    <row r="1990" customFormat="false" ht="14.25" hidden="false" customHeight="false" outlineLevel="0" collapsed="false">
      <c r="A1990" s="18"/>
      <c r="B1990" s="6"/>
      <c r="C1990" s="6"/>
      <c r="D1990" s="6"/>
      <c r="E1990" s="16" t="str">
        <f aca="false">IF($B1990="","",IFERROR(INDEX(Services!$C$2:$C$120,MATCH($B1990,Services!$D$2:$D$120,0)),""))</f>
        <v/>
      </c>
      <c r="F1990" s="19"/>
      <c r="G1990" s="9" t="str">
        <f aca="false">IF(OR($B1990="",NOT(ISNUMBER($E1990))),"",$E1990-IF($F1990="",0,$F1990))</f>
        <v/>
      </c>
      <c r="H1990" s="15" t="str">
        <f aca="false">IF($B1990="","",IFERROR(INDEX(Services!$A$2:$A$120,MATCH($B1990,Services!$D$2:$D$120,0)),""))</f>
        <v/>
      </c>
      <c r="I1990" s="19"/>
      <c r="J1990" s="15" t="str">
        <f aca="false">IF($B1990="","",IFERROR(INDEX(Services!$E$2:$E$120,MATCH($B1990,Services!$D$2:$D$120,0)),""))</f>
        <v/>
      </c>
    </row>
    <row r="1991" customFormat="false" ht="14.25" hidden="false" customHeight="false" outlineLevel="0" collapsed="false">
      <c r="A1991" s="18"/>
      <c r="B1991" s="6"/>
      <c r="C1991" s="6"/>
      <c r="D1991" s="6"/>
      <c r="E1991" s="16" t="str">
        <f aca="false">IF($B1991="","",IFERROR(INDEX(Services!$C$2:$C$120,MATCH($B1991,Services!$D$2:$D$120,0)),""))</f>
        <v/>
      </c>
      <c r="F1991" s="19"/>
      <c r="G1991" s="9" t="str">
        <f aca="false">IF(OR($B1991="",NOT(ISNUMBER($E1991))),"",$E1991-IF($F1991="",0,$F1991))</f>
        <v/>
      </c>
      <c r="H1991" s="15" t="str">
        <f aca="false">IF($B1991="","",IFERROR(INDEX(Services!$A$2:$A$120,MATCH($B1991,Services!$D$2:$D$120,0)),""))</f>
        <v/>
      </c>
      <c r="I1991" s="19"/>
      <c r="J1991" s="15" t="str">
        <f aca="false">IF($B1991="","",IFERROR(INDEX(Services!$E$2:$E$120,MATCH($B1991,Services!$D$2:$D$120,0)),""))</f>
        <v/>
      </c>
    </row>
    <row r="1992" customFormat="false" ht="14.25" hidden="false" customHeight="false" outlineLevel="0" collapsed="false">
      <c r="A1992" s="18"/>
      <c r="B1992" s="6"/>
      <c r="C1992" s="6"/>
      <c r="D1992" s="6"/>
      <c r="E1992" s="16" t="str">
        <f aca="false">IF($B1992="","",IFERROR(INDEX(Services!$C$2:$C$120,MATCH($B1992,Services!$D$2:$D$120,0)),""))</f>
        <v/>
      </c>
      <c r="F1992" s="19"/>
      <c r="G1992" s="9" t="str">
        <f aca="false">IF(OR($B1992="",NOT(ISNUMBER($E1992))),"",$E1992-IF($F1992="",0,$F1992))</f>
        <v/>
      </c>
      <c r="H1992" s="15" t="str">
        <f aca="false">IF($B1992="","",IFERROR(INDEX(Services!$A$2:$A$120,MATCH($B1992,Services!$D$2:$D$120,0)),""))</f>
        <v/>
      </c>
      <c r="I1992" s="19"/>
      <c r="J1992" s="15" t="str">
        <f aca="false">IF($B1992="","",IFERROR(INDEX(Services!$E$2:$E$120,MATCH($B1992,Services!$D$2:$D$120,0)),""))</f>
        <v/>
      </c>
    </row>
    <row r="1993" customFormat="false" ht="14.25" hidden="false" customHeight="false" outlineLevel="0" collapsed="false">
      <c r="A1993" s="18"/>
      <c r="B1993" s="6"/>
      <c r="C1993" s="6"/>
      <c r="D1993" s="6"/>
      <c r="E1993" s="16" t="str">
        <f aca="false">IF($B1993="","",IFERROR(INDEX(Services!$C$2:$C$120,MATCH($B1993,Services!$D$2:$D$120,0)),""))</f>
        <v/>
      </c>
      <c r="F1993" s="19"/>
      <c r="G1993" s="9" t="str">
        <f aca="false">IF(OR($B1993="",NOT(ISNUMBER($E1993))),"",$E1993-IF($F1993="",0,$F1993))</f>
        <v/>
      </c>
      <c r="H1993" s="15" t="str">
        <f aca="false">IF($B1993="","",IFERROR(INDEX(Services!$A$2:$A$120,MATCH($B1993,Services!$D$2:$D$120,0)),""))</f>
        <v/>
      </c>
      <c r="I1993" s="19"/>
      <c r="J1993" s="15" t="str">
        <f aca="false">IF($B1993="","",IFERROR(INDEX(Services!$E$2:$E$120,MATCH($B1993,Services!$D$2:$D$120,0)),""))</f>
        <v/>
      </c>
    </row>
    <row r="1994" customFormat="false" ht="14.25" hidden="false" customHeight="false" outlineLevel="0" collapsed="false">
      <c r="A1994" s="18"/>
      <c r="B1994" s="6"/>
      <c r="C1994" s="6"/>
      <c r="D1994" s="6"/>
      <c r="E1994" s="16" t="str">
        <f aca="false">IF($B1994="","",IFERROR(INDEX(Services!$C$2:$C$120,MATCH($B1994,Services!$D$2:$D$120,0)),""))</f>
        <v/>
      </c>
      <c r="F1994" s="19"/>
      <c r="G1994" s="9" t="str">
        <f aca="false">IF(OR($B1994="",NOT(ISNUMBER($E1994))),"",$E1994-IF($F1994="",0,$F1994))</f>
        <v/>
      </c>
      <c r="H1994" s="15" t="str">
        <f aca="false">IF($B1994="","",IFERROR(INDEX(Services!$A$2:$A$120,MATCH($B1994,Services!$D$2:$D$120,0)),""))</f>
        <v/>
      </c>
      <c r="I1994" s="19"/>
      <c r="J1994" s="15" t="str">
        <f aca="false">IF($B1994="","",IFERROR(INDEX(Services!$E$2:$E$120,MATCH($B1994,Services!$D$2:$D$120,0)),""))</f>
        <v/>
      </c>
    </row>
    <row r="1995" customFormat="false" ht="14.25" hidden="false" customHeight="false" outlineLevel="0" collapsed="false">
      <c r="A1995" s="18"/>
      <c r="B1995" s="6"/>
      <c r="C1995" s="6"/>
      <c r="D1995" s="6"/>
      <c r="E1995" s="16" t="str">
        <f aca="false">IF($B1995="","",IFERROR(INDEX(Services!$C$2:$C$120,MATCH($B1995,Services!$D$2:$D$120,0)),""))</f>
        <v/>
      </c>
      <c r="F1995" s="19"/>
      <c r="G1995" s="9" t="str">
        <f aca="false">IF(OR($B1995="",NOT(ISNUMBER($E1995))),"",$E1995-IF($F1995="",0,$F1995))</f>
        <v/>
      </c>
      <c r="H1995" s="15" t="str">
        <f aca="false">IF($B1995="","",IFERROR(INDEX(Services!$A$2:$A$120,MATCH($B1995,Services!$D$2:$D$120,0)),""))</f>
        <v/>
      </c>
      <c r="I1995" s="19"/>
      <c r="J1995" s="15" t="str">
        <f aca="false">IF($B1995="","",IFERROR(INDEX(Services!$E$2:$E$120,MATCH($B1995,Services!$D$2:$D$120,0)),""))</f>
        <v/>
      </c>
    </row>
    <row r="1996" customFormat="false" ht="14.25" hidden="false" customHeight="false" outlineLevel="0" collapsed="false">
      <c r="A1996" s="18"/>
      <c r="B1996" s="6"/>
      <c r="C1996" s="6"/>
      <c r="D1996" s="6"/>
      <c r="E1996" s="16" t="str">
        <f aca="false">IF($B1996="","",IFERROR(INDEX(Services!$C$2:$C$120,MATCH($B1996,Services!$D$2:$D$120,0)),""))</f>
        <v/>
      </c>
      <c r="F1996" s="19"/>
      <c r="G1996" s="9" t="str">
        <f aca="false">IF(OR($B1996="",NOT(ISNUMBER($E1996))),"",$E1996-IF($F1996="",0,$F1996))</f>
        <v/>
      </c>
      <c r="H1996" s="15" t="str">
        <f aca="false">IF($B1996="","",IFERROR(INDEX(Services!$A$2:$A$120,MATCH($B1996,Services!$D$2:$D$120,0)),""))</f>
        <v/>
      </c>
      <c r="I1996" s="19"/>
      <c r="J1996" s="15" t="str">
        <f aca="false">IF($B1996="","",IFERROR(INDEX(Services!$E$2:$E$120,MATCH($B1996,Services!$D$2:$D$120,0)),""))</f>
        <v/>
      </c>
    </row>
    <row r="1997" customFormat="false" ht="14.25" hidden="false" customHeight="false" outlineLevel="0" collapsed="false">
      <c r="A1997" s="18"/>
      <c r="B1997" s="6"/>
      <c r="C1997" s="6"/>
      <c r="D1997" s="6"/>
      <c r="E1997" s="16" t="str">
        <f aca="false">IF($B1997="","",IFERROR(INDEX(Services!$C$2:$C$120,MATCH($B1997,Services!$D$2:$D$120,0)),""))</f>
        <v/>
      </c>
      <c r="F1997" s="19"/>
      <c r="G1997" s="9" t="str">
        <f aca="false">IF(OR($B1997="",NOT(ISNUMBER($E1997))),"",$E1997-IF($F1997="",0,$F1997))</f>
        <v/>
      </c>
      <c r="H1997" s="15" t="str">
        <f aca="false">IF($B1997="","",IFERROR(INDEX(Services!$A$2:$A$120,MATCH($B1997,Services!$D$2:$D$120,0)),""))</f>
        <v/>
      </c>
      <c r="I1997" s="19"/>
      <c r="J1997" s="15" t="str">
        <f aca="false">IF($B1997="","",IFERROR(INDEX(Services!$E$2:$E$120,MATCH($B1997,Services!$D$2:$D$120,0)),""))</f>
        <v/>
      </c>
    </row>
    <row r="1998" customFormat="false" ht="14.25" hidden="false" customHeight="false" outlineLevel="0" collapsed="false">
      <c r="A1998" s="18"/>
      <c r="B1998" s="6"/>
      <c r="C1998" s="6"/>
      <c r="D1998" s="6"/>
      <c r="E1998" s="16" t="str">
        <f aca="false">IF($B1998="","",IFERROR(INDEX(Services!$C$2:$C$120,MATCH($B1998,Services!$D$2:$D$120,0)),""))</f>
        <v/>
      </c>
      <c r="F1998" s="19"/>
      <c r="G1998" s="9" t="str">
        <f aca="false">IF(OR($B1998="",NOT(ISNUMBER($E1998))),"",$E1998-IF($F1998="",0,$F1998))</f>
        <v/>
      </c>
      <c r="H1998" s="15" t="str">
        <f aca="false">IF($B1998="","",IFERROR(INDEX(Services!$A$2:$A$120,MATCH($B1998,Services!$D$2:$D$120,0)),""))</f>
        <v/>
      </c>
      <c r="I1998" s="19"/>
      <c r="J1998" s="15" t="str">
        <f aca="false">IF($B1998="","",IFERROR(INDEX(Services!$E$2:$E$120,MATCH($B1998,Services!$D$2:$D$120,0)),""))</f>
        <v/>
      </c>
    </row>
    <row r="1999" customFormat="false" ht="14.25" hidden="false" customHeight="false" outlineLevel="0" collapsed="false">
      <c r="A1999" s="18"/>
      <c r="B1999" s="6"/>
      <c r="C1999" s="6"/>
      <c r="D1999" s="6"/>
      <c r="E1999" s="16" t="str">
        <f aca="false">IF($B1999="","",IFERROR(INDEX(Services!$C$2:$C$120,MATCH($B1999,Services!$D$2:$D$120,0)),""))</f>
        <v/>
      </c>
      <c r="F1999" s="19"/>
      <c r="G1999" s="9" t="str">
        <f aca="false">IF(OR($B1999="",NOT(ISNUMBER($E1999))),"",$E1999-IF($F1999="",0,$F1999))</f>
        <v/>
      </c>
      <c r="H1999" s="15" t="str">
        <f aca="false">IF($B1999="","",IFERROR(INDEX(Services!$A$2:$A$120,MATCH($B1999,Services!$D$2:$D$120,0)),""))</f>
        <v/>
      </c>
      <c r="I1999" s="19"/>
      <c r="J1999" s="15" t="str">
        <f aca="false">IF($B1999="","",IFERROR(INDEX(Services!$E$2:$E$120,MATCH($B1999,Services!$D$2:$D$120,0)),""))</f>
        <v/>
      </c>
    </row>
    <row r="2000" customFormat="false" ht="14.25" hidden="false" customHeight="false" outlineLevel="0" collapsed="false">
      <c r="A2000" s="18"/>
      <c r="B2000" s="6"/>
      <c r="C2000" s="6"/>
      <c r="D2000" s="6"/>
      <c r="E2000" s="16" t="str">
        <f aca="false">IF($B2000="","",IFERROR(INDEX(Services!$C$2:$C$120,MATCH($B2000,Services!$D$2:$D$120,0)),""))</f>
        <v/>
      </c>
      <c r="F2000" s="19"/>
      <c r="G2000" s="9" t="str">
        <f aca="false">IF(OR($B2000="",NOT(ISNUMBER($E2000))),"",$E2000-IF($F2000="",0,$F2000))</f>
        <v/>
      </c>
      <c r="H2000" s="15" t="str">
        <f aca="false">IF($B2000="","",IFERROR(INDEX(Services!$A$2:$A$120,MATCH($B2000,Services!$D$2:$D$120,0)),""))</f>
        <v/>
      </c>
      <c r="I2000" s="19"/>
      <c r="J2000" s="15" t="str">
        <f aca="false">IF($B2000="","",IFERROR(INDEX(Services!$E$2:$E$120,MATCH($B2000,Services!$D$2:$D$120,0)),""))</f>
        <v/>
      </c>
    </row>
    <row r="2001" customFormat="false" ht="14.25" hidden="false" customHeight="false" outlineLevel="0" collapsed="false">
      <c r="A2001" s="18"/>
      <c r="B2001" s="6"/>
      <c r="C2001" s="6"/>
      <c r="D2001" s="6"/>
      <c r="E2001" s="16" t="str">
        <f aca="false">IF($B2001="","",IFERROR(INDEX(Services!$C$2:$C$120,MATCH($B2001,Services!$D$2:$D$120,0)),""))</f>
        <v/>
      </c>
      <c r="F2001" s="19"/>
      <c r="G2001" s="9" t="str">
        <f aca="false">IF(OR($B2001="",NOT(ISNUMBER($E2001))),"",$E2001-IF($F2001="",0,$F2001))</f>
        <v/>
      </c>
      <c r="H2001" s="15" t="str">
        <f aca="false">IF($B2001="","",IFERROR(INDEX(Services!$A$2:$A$120,MATCH($B2001,Services!$D$2:$D$120,0)),""))</f>
        <v/>
      </c>
      <c r="I2001" s="19"/>
      <c r="J2001" s="15" t="str">
        <f aca="false">IF($B2001="","",IFERROR(INDEX(Services!$E$2:$E$120,MATCH($B2001,Services!$D$2:$D$120,0)),""))</f>
        <v/>
      </c>
    </row>
  </sheetData>
  <dataValidations count="4">
    <dataValidation allowBlank="true" errorStyle="stop" operator="between" showDropDown="false" showErrorMessage="true" showInputMessage="false" sqref="B2:B2001" type="list">
      <formula1>ServiceKeys</formula1>
      <formula2>0</formula2>
    </dataValidation>
    <dataValidation allowBlank="true" errorStyle="stop" operator="between" showDropDown="false" showErrorMessage="true" showInputMessage="false" sqref="C2:C2001" type="list">
      <formula1>EmpNames</formula1>
      <formula2>0</formula2>
    </dataValidation>
    <dataValidation allowBlank="true" errorStyle="stop" operator="between" prompt="New customer? Add them on the Customer Database sheet first." promptTitle="Pick from list" showDropDown="false" showErrorMessage="true" showInputMessage="true" sqref="D2:D2001" type="list">
      <formula1>CustNames</formula1>
      <formula2>0</formula2>
    </dataValidation>
    <dataValidation allowBlank="true" errorStyle="stop" operator="between" showDropDown="false" showErrorMessage="true" showInputMessage="false" sqref="I2:I2001" type="list">
      <formula1>"Cash,UPI,Card"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5"/>
    <col collapsed="false" customWidth="true" hidden="false" outlineLevel="0" max="3" min="3" style="0" width="9"/>
    <col collapsed="false" customWidth="true" hidden="false" outlineLevel="0" max="5" min="4" style="0" width="13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0" min="9" style="0" width="12"/>
    <col collapsed="false" customWidth="true" hidden="false" outlineLevel="0" max="11" min="11" style="0" width="9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false" outlineLevel="0" max="16" min="16" style="0" width="14"/>
    <col collapsed="false" customWidth="true" hidden="false" outlineLevel="0" max="17" min="17" style="0" width="12"/>
    <col collapsed="false" customWidth="true" hidden="false" outlineLevel="0" max="18" min="18" style="0" width="13"/>
  </cols>
  <sheetData>
    <row r="1" customFormat="false" ht="14.25" hidden="false" customHeight="false" outlineLevel="0" collapsed="false">
      <c r="A1" s="17" t="s">
        <v>64</v>
      </c>
      <c r="B1" s="17" t="s">
        <v>65</v>
      </c>
      <c r="C1" s="17" t="s">
        <v>66</v>
      </c>
      <c r="D1" s="17" t="s">
        <v>67</v>
      </c>
      <c r="E1" s="17" t="s">
        <v>68</v>
      </c>
      <c r="F1" s="17" t="s">
        <v>69</v>
      </c>
      <c r="G1" s="17" t="s">
        <v>70</v>
      </c>
      <c r="H1" s="17" t="s">
        <v>71</v>
      </c>
      <c r="I1" s="17" t="s">
        <v>72</v>
      </c>
      <c r="J1" s="17" t="s">
        <v>73</v>
      </c>
      <c r="K1" s="17" t="s">
        <v>74</v>
      </c>
      <c r="L1" s="17" t="s">
        <v>75</v>
      </c>
      <c r="M1" s="17" t="s">
        <v>76</v>
      </c>
      <c r="N1" s="17" t="s">
        <v>77</v>
      </c>
      <c r="O1" s="17" t="s">
        <v>78</v>
      </c>
      <c r="P1" s="17" t="s">
        <v>79</v>
      </c>
      <c r="Q1" s="17" t="s">
        <v>80</v>
      </c>
      <c r="R1" s="17" t="s">
        <v>81</v>
      </c>
    </row>
    <row r="2" customFormat="false" ht="14.25" hidden="false" customHeight="false" outlineLevel="0" collapsed="false">
      <c r="A2" s="19"/>
      <c r="B2" s="19"/>
      <c r="C2" s="15" t="str">
        <f aca="false">IF($A2="","",COUNTIF('Daily tracking'!$D$2:$D$2001,$A2))</f>
        <v/>
      </c>
      <c r="D2" s="16" t="str">
        <f aca="false">IF($A2="","",SUMIF('Daily tracking'!$D$2:$D$2001,$A2,'Daily tracking'!$G$2:$G$2001))</f>
        <v/>
      </c>
      <c r="E2" s="18" t="str">
        <f aca="false">IF($A2="","",IF($C2=0,"",_xlfn.MAXIFS('Daily tracking'!$A$2:$A$2001,'Daily tracking'!$D$2:$D$2001,$A2)))</f>
        <v/>
      </c>
      <c r="F2" s="6" t="str">
        <f aca="true">IF(OR($A2="",$E2=""),"",TODAY()-$E2)</f>
        <v/>
      </c>
      <c r="G2" s="3" t="str">
        <f aca="false">IF($A2="","",IF($C2=0,"No visits",IF($F2&gt;90,"Lapsed",IF($F2&gt;35,"At risk",IF($C2&gt;=4,"Loyal","Active")))))</f>
        <v/>
      </c>
      <c r="H2" s="9" t="str">
        <f aca="false">IF(OR($A2="",$C2=0),"",$D2/$C2)</f>
        <v/>
      </c>
      <c r="I2" s="20"/>
      <c r="J2" s="20"/>
      <c r="K2" s="19"/>
      <c r="L2" s="19"/>
      <c r="M2" s="19"/>
      <c r="N2" s="15" t="str">
        <f aca="false">IF($A2="","",IF($C2=0,0,(IF($F2&lt;=15,5,IF($F2&lt;=30,4,IF($F2&lt;=45,3,IF($F2&lt;=90,2,1))))+IF($C2&gt;=10,5,IF($C2&gt;=6,4,IF($C2&gt;=4,3,IF($C2&gt;=2,2,1))))+IF($D2&gt;=20000,5,IF($D2&gt;=10000,4,IF($D2&gt;=5000,3,IF($D2&gt;=2000,2,1)))))))</f>
        <v/>
      </c>
      <c r="O2" s="3" t="str">
        <f aca="false">IF($A2="","",IF($C2=0,"No visits",IF($N2&gt;=13,"VIP",IF($N2&gt;=10,"High value",IF($N2&gt;=7,"Regular",IF($N2&gt;=4,"Occasional","Low"))))))</f>
        <v/>
      </c>
      <c r="P2" s="6" t="str">
        <f aca="true">IF(OR($A2="",$I2=""),"",IF(MONTH($I2)=MONTH(TODAY()),"Yes",""))</f>
        <v/>
      </c>
      <c r="Q2" s="21" t="str">
        <f aca="false">IF($A2="","",IF($C2=0,"",_xlfn.MINIFS('Daily tracking'!$A$2:$A$2001,'Daily tracking'!$D$2:$D$2001,$A2)))</f>
        <v/>
      </c>
      <c r="R2" s="6" t="str">
        <f aca="false">IF(OR($A2="",$C2&lt;2),"",($E2-$Q2)/($C2-1))</f>
        <v/>
      </c>
    </row>
    <row r="3" customFormat="false" ht="14.25" hidden="false" customHeight="false" outlineLevel="0" collapsed="false">
      <c r="A3" s="19"/>
      <c r="B3" s="19"/>
      <c r="C3" s="15" t="str">
        <f aca="false">IF($A3="","",COUNTIF('Daily tracking'!$D$2:$D$2001,$A3))</f>
        <v/>
      </c>
      <c r="D3" s="16" t="str">
        <f aca="false">IF($A3="","",SUMIF('Daily tracking'!$D$2:$D$2001,$A3,'Daily tracking'!$G$2:$G$2001))</f>
        <v/>
      </c>
      <c r="E3" s="18" t="str">
        <f aca="false">IF($A3="","",IF($C3=0,"",_xlfn.MAXIFS('Daily tracking'!$A$2:$A$2001,'Daily tracking'!$D$2:$D$2001,$A3)))</f>
        <v/>
      </c>
      <c r="F3" s="6" t="str">
        <f aca="true">IF(OR($A3="",$E3=""),"",TODAY()-$E3)</f>
        <v/>
      </c>
      <c r="G3" s="3" t="str">
        <f aca="false">IF($A3="","",IF($C3=0,"No visits",IF($F3&gt;90,"Lapsed",IF($F3&gt;35,"At risk",IF($C3&gt;=4,"Loyal","Active")))))</f>
        <v/>
      </c>
      <c r="H3" s="9" t="str">
        <f aca="false">IF(OR($A3="",$C3=0),"",$D3/$C3)</f>
        <v/>
      </c>
      <c r="I3" s="20"/>
      <c r="J3" s="20"/>
      <c r="K3" s="19"/>
      <c r="L3" s="19"/>
      <c r="M3" s="19"/>
      <c r="N3" s="15" t="str">
        <f aca="false">IF($A3="","",IF($C3=0,0,(IF($F3&lt;=15,5,IF($F3&lt;=30,4,IF($F3&lt;=45,3,IF($F3&lt;=90,2,1))))+IF($C3&gt;=10,5,IF($C3&gt;=6,4,IF($C3&gt;=4,3,IF($C3&gt;=2,2,1))))+IF($D3&gt;=20000,5,IF($D3&gt;=10000,4,IF($D3&gt;=5000,3,IF($D3&gt;=2000,2,1)))))))</f>
        <v/>
      </c>
      <c r="O3" s="3" t="str">
        <f aca="false">IF($A3="","",IF($C3=0,"No visits",IF($N3&gt;=13,"VIP",IF($N3&gt;=10,"High value",IF($N3&gt;=7,"Regular",IF($N3&gt;=4,"Occasional","Low"))))))</f>
        <v/>
      </c>
      <c r="P3" s="6" t="str">
        <f aca="true">IF(OR($A3="",$I3=""),"",IF(MONTH($I3)=MONTH(TODAY()),"Yes",""))</f>
        <v/>
      </c>
      <c r="Q3" s="21" t="str">
        <f aca="false">IF($A3="","",IF($C3=0,"",_xlfn.MINIFS('Daily tracking'!$A$2:$A$2001,'Daily tracking'!$D$2:$D$2001,$A3)))</f>
        <v/>
      </c>
      <c r="R3" s="6" t="str">
        <f aca="false">IF(OR($A3="",$C3&lt;2),"",($E3-$Q3)/($C3-1))</f>
        <v/>
      </c>
    </row>
    <row r="4" customFormat="false" ht="14.25" hidden="false" customHeight="false" outlineLevel="0" collapsed="false">
      <c r="A4" s="19"/>
      <c r="B4" s="19"/>
      <c r="C4" s="15" t="str">
        <f aca="false">IF($A4="","",COUNTIF('Daily tracking'!$D$2:$D$2001,$A4))</f>
        <v/>
      </c>
      <c r="D4" s="16" t="str">
        <f aca="false">IF($A4="","",SUMIF('Daily tracking'!$D$2:$D$2001,$A4,'Daily tracking'!$G$2:$G$2001))</f>
        <v/>
      </c>
      <c r="E4" s="18" t="str">
        <f aca="false">IF($A4="","",IF($C4=0,"",_xlfn.MAXIFS('Daily tracking'!$A$2:$A$2001,'Daily tracking'!$D$2:$D$2001,$A4)))</f>
        <v/>
      </c>
      <c r="F4" s="6" t="str">
        <f aca="true">IF(OR($A4="",$E4=""),"",TODAY()-$E4)</f>
        <v/>
      </c>
      <c r="G4" s="3" t="str">
        <f aca="false">IF($A4="","",IF($C4=0,"No visits",IF($F4&gt;90,"Lapsed",IF($F4&gt;35,"At risk",IF($C4&gt;=4,"Loyal","Active")))))</f>
        <v/>
      </c>
      <c r="H4" s="9" t="str">
        <f aca="false">IF(OR($A4="",$C4=0),"",$D4/$C4)</f>
        <v/>
      </c>
      <c r="I4" s="20"/>
      <c r="J4" s="20"/>
      <c r="K4" s="19"/>
      <c r="L4" s="19"/>
      <c r="M4" s="19"/>
      <c r="N4" s="15" t="str">
        <f aca="false">IF($A4="","",IF($C4=0,0,(IF($F4&lt;=15,5,IF($F4&lt;=30,4,IF($F4&lt;=45,3,IF($F4&lt;=90,2,1))))+IF($C4&gt;=10,5,IF($C4&gt;=6,4,IF($C4&gt;=4,3,IF($C4&gt;=2,2,1))))+IF($D4&gt;=20000,5,IF($D4&gt;=10000,4,IF($D4&gt;=5000,3,IF($D4&gt;=2000,2,1)))))))</f>
        <v/>
      </c>
      <c r="O4" s="3" t="str">
        <f aca="false">IF($A4="","",IF($C4=0,"No visits",IF($N4&gt;=13,"VIP",IF($N4&gt;=10,"High value",IF($N4&gt;=7,"Regular",IF($N4&gt;=4,"Occasional","Low"))))))</f>
        <v/>
      </c>
      <c r="P4" s="6" t="str">
        <f aca="true">IF(OR($A4="",$I4=""),"",IF(MONTH($I4)=MONTH(TODAY()),"Yes",""))</f>
        <v/>
      </c>
      <c r="Q4" s="21" t="str">
        <f aca="false">IF($A4="","",IF($C4=0,"",_xlfn.MINIFS('Daily tracking'!$A$2:$A$2001,'Daily tracking'!$D$2:$D$2001,$A4)))</f>
        <v/>
      </c>
      <c r="R4" s="6" t="str">
        <f aca="false">IF(OR($A4="",$C4&lt;2),"",($E4-$Q4)/($C4-1))</f>
        <v/>
      </c>
    </row>
    <row r="5" customFormat="false" ht="14.25" hidden="false" customHeight="false" outlineLevel="0" collapsed="false">
      <c r="A5" s="19"/>
      <c r="B5" s="19"/>
      <c r="C5" s="15" t="str">
        <f aca="false">IF($A5="","",COUNTIF('Daily tracking'!$D$2:$D$2001,$A5))</f>
        <v/>
      </c>
      <c r="D5" s="16" t="str">
        <f aca="false">IF($A5="","",SUMIF('Daily tracking'!$D$2:$D$2001,$A5,'Daily tracking'!$G$2:$G$2001))</f>
        <v/>
      </c>
      <c r="E5" s="18" t="str">
        <f aca="false">IF($A5="","",IF($C5=0,"",_xlfn.MAXIFS('Daily tracking'!$A$2:$A$2001,'Daily tracking'!$D$2:$D$2001,$A5)))</f>
        <v/>
      </c>
      <c r="F5" s="6" t="str">
        <f aca="true">IF(OR($A5="",$E5=""),"",TODAY()-$E5)</f>
        <v/>
      </c>
      <c r="G5" s="3" t="str">
        <f aca="false">IF($A5="","",IF($C5=0,"No visits",IF($F5&gt;90,"Lapsed",IF($F5&gt;35,"At risk",IF($C5&gt;=4,"Loyal","Active")))))</f>
        <v/>
      </c>
      <c r="H5" s="9" t="str">
        <f aca="false">IF(OR($A5="",$C5=0),"",$D5/$C5)</f>
        <v/>
      </c>
      <c r="I5" s="20"/>
      <c r="J5" s="20"/>
      <c r="K5" s="19"/>
      <c r="L5" s="19"/>
      <c r="M5" s="19"/>
      <c r="N5" s="15" t="str">
        <f aca="false">IF($A5="","",IF($C5=0,0,(IF($F5&lt;=15,5,IF($F5&lt;=30,4,IF($F5&lt;=45,3,IF($F5&lt;=90,2,1))))+IF($C5&gt;=10,5,IF($C5&gt;=6,4,IF($C5&gt;=4,3,IF($C5&gt;=2,2,1))))+IF($D5&gt;=20000,5,IF($D5&gt;=10000,4,IF($D5&gt;=5000,3,IF($D5&gt;=2000,2,1)))))))</f>
        <v/>
      </c>
      <c r="O5" s="3" t="str">
        <f aca="false">IF($A5="","",IF($C5=0,"No visits",IF($N5&gt;=13,"VIP",IF($N5&gt;=10,"High value",IF($N5&gt;=7,"Regular",IF($N5&gt;=4,"Occasional","Low"))))))</f>
        <v/>
      </c>
      <c r="P5" s="6" t="str">
        <f aca="true">IF(OR($A5="",$I5=""),"",IF(MONTH($I5)=MONTH(TODAY()),"Yes",""))</f>
        <v/>
      </c>
      <c r="Q5" s="21" t="str">
        <f aca="false">IF($A5="","",IF($C5=0,"",_xlfn.MINIFS('Daily tracking'!$A$2:$A$2001,'Daily tracking'!$D$2:$D$2001,$A5)))</f>
        <v/>
      </c>
      <c r="R5" s="6" t="str">
        <f aca="false">IF(OR($A5="",$C5&lt;2),"",($E5-$Q5)/($C5-1))</f>
        <v/>
      </c>
    </row>
    <row r="6" customFormat="false" ht="14.25" hidden="false" customHeight="false" outlineLevel="0" collapsed="false">
      <c r="A6" s="19"/>
      <c r="B6" s="19"/>
      <c r="C6" s="15" t="str">
        <f aca="false">IF($A6="","",COUNTIF('Daily tracking'!$D$2:$D$2001,$A6))</f>
        <v/>
      </c>
      <c r="D6" s="16" t="str">
        <f aca="false">IF($A6="","",SUMIF('Daily tracking'!$D$2:$D$2001,$A6,'Daily tracking'!$G$2:$G$2001))</f>
        <v/>
      </c>
      <c r="E6" s="18" t="str">
        <f aca="false">IF($A6="","",IF($C6=0,"",_xlfn.MAXIFS('Daily tracking'!$A$2:$A$2001,'Daily tracking'!$D$2:$D$2001,$A6)))</f>
        <v/>
      </c>
      <c r="F6" s="6" t="str">
        <f aca="true">IF(OR($A6="",$E6=""),"",TODAY()-$E6)</f>
        <v/>
      </c>
      <c r="G6" s="3" t="str">
        <f aca="false">IF($A6="","",IF($C6=0,"No visits",IF($F6&gt;90,"Lapsed",IF($F6&gt;35,"At risk",IF($C6&gt;=4,"Loyal","Active")))))</f>
        <v/>
      </c>
      <c r="H6" s="9" t="str">
        <f aca="false">IF(OR($A6="",$C6=0),"",$D6/$C6)</f>
        <v/>
      </c>
      <c r="I6" s="20"/>
      <c r="J6" s="20"/>
      <c r="K6" s="19"/>
      <c r="L6" s="19"/>
      <c r="M6" s="19"/>
      <c r="N6" s="15" t="str">
        <f aca="false">IF($A6="","",IF($C6=0,0,(IF($F6&lt;=15,5,IF($F6&lt;=30,4,IF($F6&lt;=45,3,IF($F6&lt;=90,2,1))))+IF($C6&gt;=10,5,IF($C6&gt;=6,4,IF($C6&gt;=4,3,IF($C6&gt;=2,2,1))))+IF($D6&gt;=20000,5,IF($D6&gt;=10000,4,IF($D6&gt;=5000,3,IF($D6&gt;=2000,2,1)))))))</f>
        <v/>
      </c>
      <c r="O6" s="3" t="str">
        <f aca="false">IF($A6="","",IF($C6=0,"No visits",IF($N6&gt;=13,"VIP",IF($N6&gt;=10,"High value",IF($N6&gt;=7,"Regular",IF($N6&gt;=4,"Occasional","Low"))))))</f>
        <v/>
      </c>
      <c r="P6" s="6" t="str">
        <f aca="true">IF(OR($A6="",$I6=""),"",IF(MONTH($I6)=MONTH(TODAY()),"Yes",""))</f>
        <v/>
      </c>
      <c r="Q6" s="21" t="str">
        <f aca="false">IF($A6="","",IF($C6=0,"",_xlfn.MINIFS('Daily tracking'!$A$2:$A$2001,'Daily tracking'!$D$2:$D$2001,$A6)))</f>
        <v/>
      </c>
      <c r="R6" s="6" t="str">
        <f aca="false">IF(OR($A6="",$C6&lt;2),"",($E6-$Q6)/($C6-1))</f>
        <v/>
      </c>
    </row>
    <row r="7" customFormat="false" ht="14.25" hidden="false" customHeight="false" outlineLevel="0" collapsed="false">
      <c r="A7" s="19"/>
      <c r="B7" s="19"/>
      <c r="C7" s="15" t="str">
        <f aca="false">IF($A7="","",COUNTIF('Daily tracking'!$D$2:$D$2001,$A7))</f>
        <v/>
      </c>
      <c r="D7" s="16" t="str">
        <f aca="false">IF($A7="","",SUMIF('Daily tracking'!$D$2:$D$2001,$A7,'Daily tracking'!$G$2:$G$2001))</f>
        <v/>
      </c>
      <c r="E7" s="18" t="str">
        <f aca="false">IF($A7="","",IF($C7=0,"",_xlfn.MAXIFS('Daily tracking'!$A$2:$A$2001,'Daily tracking'!$D$2:$D$2001,$A7)))</f>
        <v/>
      </c>
      <c r="F7" s="6" t="str">
        <f aca="true">IF(OR($A7="",$E7=""),"",TODAY()-$E7)</f>
        <v/>
      </c>
      <c r="G7" s="3" t="str">
        <f aca="false">IF($A7="","",IF($C7=0,"No visits",IF($F7&gt;90,"Lapsed",IF($F7&gt;35,"At risk",IF($C7&gt;=4,"Loyal","Active")))))</f>
        <v/>
      </c>
      <c r="H7" s="9" t="str">
        <f aca="false">IF(OR($A7="",$C7=0),"",$D7/$C7)</f>
        <v/>
      </c>
      <c r="I7" s="20"/>
      <c r="J7" s="20"/>
      <c r="K7" s="19"/>
      <c r="L7" s="19"/>
      <c r="M7" s="19"/>
      <c r="N7" s="15" t="str">
        <f aca="false">IF($A7="","",IF($C7=0,0,(IF($F7&lt;=15,5,IF($F7&lt;=30,4,IF($F7&lt;=45,3,IF($F7&lt;=90,2,1))))+IF($C7&gt;=10,5,IF($C7&gt;=6,4,IF($C7&gt;=4,3,IF($C7&gt;=2,2,1))))+IF($D7&gt;=20000,5,IF($D7&gt;=10000,4,IF($D7&gt;=5000,3,IF($D7&gt;=2000,2,1)))))))</f>
        <v/>
      </c>
      <c r="O7" s="3" t="str">
        <f aca="false">IF($A7="","",IF($C7=0,"No visits",IF($N7&gt;=13,"VIP",IF($N7&gt;=10,"High value",IF($N7&gt;=7,"Regular",IF($N7&gt;=4,"Occasional","Low"))))))</f>
        <v/>
      </c>
      <c r="P7" s="6" t="str">
        <f aca="true">IF(OR($A7="",$I7=""),"",IF(MONTH($I7)=MONTH(TODAY()),"Yes",""))</f>
        <v/>
      </c>
      <c r="Q7" s="21" t="str">
        <f aca="false">IF($A7="","",IF($C7=0,"",_xlfn.MINIFS('Daily tracking'!$A$2:$A$2001,'Daily tracking'!$D$2:$D$2001,$A7)))</f>
        <v/>
      </c>
      <c r="R7" s="6" t="str">
        <f aca="false">IF(OR($A7="",$C7&lt;2),"",($E7-$Q7)/($C7-1))</f>
        <v/>
      </c>
    </row>
    <row r="8" customFormat="false" ht="14.25" hidden="false" customHeight="false" outlineLevel="0" collapsed="false">
      <c r="A8" s="19"/>
      <c r="B8" s="19"/>
      <c r="C8" s="15" t="str">
        <f aca="false">IF($A8="","",COUNTIF('Daily tracking'!$D$2:$D$2001,$A8))</f>
        <v/>
      </c>
      <c r="D8" s="16" t="str">
        <f aca="false">IF($A8="","",SUMIF('Daily tracking'!$D$2:$D$2001,$A8,'Daily tracking'!$G$2:$G$2001))</f>
        <v/>
      </c>
      <c r="E8" s="18" t="str">
        <f aca="false">IF($A8="","",IF($C8=0,"",_xlfn.MAXIFS('Daily tracking'!$A$2:$A$2001,'Daily tracking'!$D$2:$D$2001,$A8)))</f>
        <v/>
      </c>
      <c r="F8" s="6" t="str">
        <f aca="true">IF(OR($A8="",$E8=""),"",TODAY()-$E8)</f>
        <v/>
      </c>
      <c r="G8" s="3" t="str">
        <f aca="false">IF($A8="","",IF($C8=0,"No visits",IF($F8&gt;90,"Lapsed",IF($F8&gt;35,"At risk",IF($C8&gt;=4,"Loyal","Active")))))</f>
        <v/>
      </c>
      <c r="H8" s="9" t="str">
        <f aca="false">IF(OR($A8="",$C8=0),"",$D8/$C8)</f>
        <v/>
      </c>
      <c r="I8" s="20"/>
      <c r="J8" s="20"/>
      <c r="K8" s="19"/>
      <c r="L8" s="19"/>
      <c r="M8" s="19"/>
      <c r="N8" s="15" t="str">
        <f aca="false">IF($A8="","",IF($C8=0,0,(IF($F8&lt;=15,5,IF($F8&lt;=30,4,IF($F8&lt;=45,3,IF($F8&lt;=90,2,1))))+IF($C8&gt;=10,5,IF($C8&gt;=6,4,IF($C8&gt;=4,3,IF($C8&gt;=2,2,1))))+IF($D8&gt;=20000,5,IF($D8&gt;=10000,4,IF($D8&gt;=5000,3,IF($D8&gt;=2000,2,1)))))))</f>
        <v/>
      </c>
      <c r="O8" s="3" t="str">
        <f aca="false">IF($A8="","",IF($C8=0,"No visits",IF($N8&gt;=13,"VIP",IF($N8&gt;=10,"High value",IF($N8&gt;=7,"Regular",IF($N8&gt;=4,"Occasional","Low"))))))</f>
        <v/>
      </c>
      <c r="P8" s="6" t="str">
        <f aca="true">IF(OR($A8="",$I8=""),"",IF(MONTH($I8)=MONTH(TODAY()),"Yes",""))</f>
        <v/>
      </c>
      <c r="Q8" s="21" t="str">
        <f aca="false">IF($A8="","",IF($C8=0,"",_xlfn.MINIFS('Daily tracking'!$A$2:$A$2001,'Daily tracking'!$D$2:$D$2001,$A8)))</f>
        <v/>
      </c>
      <c r="R8" s="6" t="str">
        <f aca="false">IF(OR($A8="",$C8&lt;2),"",($E8-$Q8)/($C8-1))</f>
        <v/>
      </c>
    </row>
    <row r="9" customFormat="false" ht="14.25" hidden="false" customHeight="false" outlineLevel="0" collapsed="false">
      <c r="A9" s="19"/>
      <c r="B9" s="19"/>
      <c r="C9" s="15" t="str">
        <f aca="false">IF($A9="","",COUNTIF('Daily tracking'!$D$2:$D$2001,$A9))</f>
        <v/>
      </c>
      <c r="D9" s="16" t="str">
        <f aca="false">IF($A9="","",SUMIF('Daily tracking'!$D$2:$D$2001,$A9,'Daily tracking'!$G$2:$G$2001))</f>
        <v/>
      </c>
      <c r="E9" s="18" t="str">
        <f aca="false">IF($A9="","",IF($C9=0,"",_xlfn.MAXIFS('Daily tracking'!$A$2:$A$2001,'Daily tracking'!$D$2:$D$2001,$A9)))</f>
        <v/>
      </c>
      <c r="F9" s="6" t="str">
        <f aca="true">IF(OR($A9="",$E9=""),"",TODAY()-$E9)</f>
        <v/>
      </c>
      <c r="G9" s="3" t="str">
        <f aca="false">IF($A9="","",IF($C9=0,"No visits",IF($F9&gt;90,"Lapsed",IF($F9&gt;35,"At risk",IF($C9&gt;=4,"Loyal","Active")))))</f>
        <v/>
      </c>
      <c r="H9" s="9" t="str">
        <f aca="false">IF(OR($A9="",$C9=0),"",$D9/$C9)</f>
        <v/>
      </c>
      <c r="I9" s="20"/>
      <c r="J9" s="20"/>
      <c r="K9" s="19"/>
      <c r="L9" s="19"/>
      <c r="M9" s="19"/>
      <c r="N9" s="15" t="str">
        <f aca="false">IF($A9="","",IF($C9=0,0,(IF($F9&lt;=15,5,IF($F9&lt;=30,4,IF($F9&lt;=45,3,IF($F9&lt;=90,2,1))))+IF($C9&gt;=10,5,IF($C9&gt;=6,4,IF($C9&gt;=4,3,IF($C9&gt;=2,2,1))))+IF($D9&gt;=20000,5,IF($D9&gt;=10000,4,IF($D9&gt;=5000,3,IF($D9&gt;=2000,2,1)))))))</f>
        <v/>
      </c>
      <c r="O9" s="3" t="str">
        <f aca="false">IF($A9="","",IF($C9=0,"No visits",IF($N9&gt;=13,"VIP",IF($N9&gt;=10,"High value",IF($N9&gt;=7,"Regular",IF($N9&gt;=4,"Occasional","Low"))))))</f>
        <v/>
      </c>
      <c r="P9" s="6" t="str">
        <f aca="true">IF(OR($A9="",$I9=""),"",IF(MONTH($I9)=MONTH(TODAY()),"Yes",""))</f>
        <v/>
      </c>
      <c r="Q9" s="21" t="str">
        <f aca="false">IF($A9="","",IF($C9=0,"",_xlfn.MINIFS('Daily tracking'!$A$2:$A$2001,'Daily tracking'!$D$2:$D$2001,$A9)))</f>
        <v/>
      </c>
      <c r="R9" s="6" t="str">
        <f aca="false">IF(OR($A9="",$C9&lt;2),"",($E9-$Q9)/($C9-1))</f>
        <v/>
      </c>
    </row>
    <row r="10" customFormat="false" ht="14.25" hidden="false" customHeight="false" outlineLevel="0" collapsed="false">
      <c r="A10" s="19"/>
      <c r="B10" s="19"/>
      <c r="C10" s="15" t="str">
        <f aca="false">IF($A10="","",COUNTIF('Daily tracking'!$D$2:$D$2001,$A10))</f>
        <v/>
      </c>
      <c r="D10" s="16" t="str">
        <f aca="false">IF($A10="","",SUMIF('Daily tracking'!$D$2:$D$2001,$A10,'Daily tracking'!$G$2:$G$2001))</f>
        <v/>
      </c>
      <c r="E10" s="18" t="str">
        <f aca="false">IF($A10="","",IF($C10=0,"",_xlfn.MAXIFS('Daily tracking'!$A$2:$A$2001,'Daily tracking'!$D$2:$D$2001,$A10)))</f>
        <v/>
      </c>
      <c r="F10" s="6" t="str">
        <f aca="true">IF(OR($A10="",$E10=""),"",TODAY()-$E10)</f>
        <v/>
      </c>
      <c r="G10" s="3" t="str">
        <f aca="false">IF($A10="","",IF($C10=0,"No visits",IF($F10&gt;90,"Lapsed",IF($F10&gt;35,"At risk",IF($C10&gt;=4,"Loyal","Active")))))</f>
        <v/>
      </c>
      <c r="H10" s="9" t="str">
        <f aca="false">IF(OR($A10="",$C10=0),"",$D10/$C10)</f>
        <v/>
      </c>
      <c r="I10" s="20"/>
      <c r="J10" s="20"/>
      <c r="K10" s="19"/>
      <c r="L10" s="19"/>
      <c r="M10" s="19"/>
      <c r="N10" s="15" t="str">
        <f aca="false">IF($A10="","",IF($C10=0,0,(IF($F10&lt;=15,5,IF($F10&lt;=30,4,IF($F10&lt;=45,3,IF($F10&lt;=90,2,1))))+IF($C10&gt;=10,5,IF($C10&gt;=6,4,IF($C10&gt;=4,3,IF($C10&gt;=2,2,1))))+IF($D10&gt;=20000,5,IF($D10&gt;=10000,4,IF($D10&gt;=5000,3,IF($D10&gt;=2000,2,1)))))))</f>
        <v/>
      </c>
      <c r="O10" s="3" t="str">
        <f aca="false">IF($A10="","",IF($C10=0,"No visits",IF($N10&gt;=13,"VIP",IF($N10&gt;=10,"High value",IF($N10&gt;=7,"Regular",IF($N10&gt;=4,"Occasional","Low"))))))</f>
        <v/>
      </c>
      <c r="P10" s="6" t="str">
        <f aca="true">IF(OR($A10="",$I10=""),"",IF(MONTH($I10)=MONTH(TODAY()),"Yes",""))</f>
        <v/>
      </c>
      <c r="Q10" s="21" t="str">
        <f aca="false">IF($A10="","",IF($C10=0,"",_xlfn.MINIFS('Daily tracking'!$A$2:$A$2001,'Daily tracking'!$D$2:$D$2001,$A10)))</f>
        <v/>
      </c>
      <c r="R10" s="6" t="str">
        <f aca="false">IF(OR($A10="",$C10&lt;2),"",($E10-$Q10)/($C10-1))</f>
        <v/>
      </c>
    </row>
    <row r="11" customFormat="false" ht="14.25" hidden="false" customHeight="false" outlineLevel="0" collapsed="false">
      <c r="A11" s="19"/>
      <c r="B11" s="19"/>
      <c r="C11" s="15" t="str">
        <f aca="false">IF($A11="","",COUNTIF('Daily tracking'!$D$2:$D$2001,$A11))</f>
        <v/>
      </c>
      <c r="D11" s="16" t="str">
        <f aca="false">IF($A11="","",SUMIF('Daily tracking'!$D$2:$D$2001,$A11,'Daily tracking'!$G$2:$G$2001))</f>
        <v/>
      </c>
      <c r="E11" s="18" t="str">
        <f aca="false">IF($A11="","",IF($C11=0,"",_xlfn.MAXIFS('Daily tracking'!$A$2:$A$2001,'Daily tracking'!$D$2:$D$2001,$A11)))</f>
        <v/>
      </c>
      <c r="F11" s="6" t="str">
        <f aca="true">IF(OR($A11="",$E11=""),"",TODAY()-$E11)</f>
        <v/>
      </c>
      <c r="G11" s="3" t="str">
        <f aca="false">IF($A11="","",IF($C11=0,"No visits",IF($F11&gt;90,"Lapsed",IF($F11&gt;35,"At risk",IF($C11&gt;=4,"Loyal","Active")))))</f>
        <v/>
      </c>
      <c r="H11" s="9" t="str">
        <f aca="false">IF(OR($A11="",$C11=0),"",$D11/$C11)</f>
        <v/>
      </c>
      <c r="I11" s="20"/>
      <c r="J11" s="20"/>
      <c r="K11" s="19"/>
      <c r="L11" s="19"/>
      <c r="M11" s="19"/>
      <c r="N11" s="15" t="str">
        <f aca="false">IF($A11="","",IF($C11=0,0,(IF($F11&lt;=15,5,IF($F11&lt;=30,4,IF($F11&lt;=45,3,IF($F11&lt;=90,2,1))))+IF($C11&gt;=10,5,IF($C11&gt;=6,4,IF($C11&gt;=4,3,IF($C11&gt;=2,2,1))))+IF($D11&gt;=20000,5,IF($D11&gt;=10000,4,IF($D11&gt;=5000,3,IF($D11&gt;=2000,2,1)))))))</f>
        <v/>
      </c>
      <c r="O11" s="3" t="str">
        <f aca="false">IF($A11="","",IF($C11=0,"No visits",IF($N11&gt;=13,"VIP",IF($N11&gt;=10,"High value",IF($N11&gt;=7,"Regular",IF($N11&gt;=4,"Occasional","Low"))))))</f>
        <v/>
      </c>
      <c r="P11" s="6" t="str">
        <f aca="true">IF(OR($A11="",$I11=""),"",IF(MONTH($I11)=MONTH(TODAY()),"Yes",""))</f>
        <v/>
      </c>
      <c r="Q11" s="21" t="str">
        <f aca="false">IF($A11="","",IF($C11=0,"",_xlfn.MINIFS('Daily tracking'!$A$2:$A$2001,'Daily tracking'!$D$2:$D$2001,$A11)))</f>
        <v/>
      </c>
      <c r="R11" s="6" t="str">
        <f aca="false">IF(OR($A11="",$C11&lt;2),"",($E11-$Q11)/($C11-1))</f>
        <v/>
      </c>
    </row>
    <row r="12" customFormat="false" ht="14.25" hidden="false" customHeight="false" outlineLevel="0" collapsed="false">
      <c r="A12" s="19"/>
      <c r="B12" s="19"/>
      <c r="C12" s="15" t="str">
        <f aca="false">IF($A12="","",COUNTIF('Daily tracking'!$D$2:$D$2001,$A12))</f>
        <v/>
      </c>
      <c r="D12" s="16" t="str">
        <f aca="false">IF($A12="","",SUMIF('Daily tracking'!$D$2:$D$2001,$A12,'Daily tracking'!$G$2:$G$2001))</f>
        <v/>
      </c>
      <c r="E12" s="18" t="str">
        <f aca="false">IF($A12="","",IF($C12=0,"",_xlfn.MAXIFS('Daily tracking'!$A$2:$A$2001,'Daily tracking'!$D$2:$D$2001,$A12)))</f>
        <v/>
      </c>
      <c r="F12" s="6" t="str">
        <f aca="true">IF(OR($A12="",$E12=""),"",TODAY()-$E12)</f>
        <v/>
      </c>
      <c r="G12" s="3" t="str">
        <f aca="false">IF($A12="","",IF($C12=0,"No visits",IF($F12&gt;90,"Lapsed",IF($F12&gt;35,"At risk",IF($C12&gt;=4,"Loyal","Active")))))</f>
        <v/>
      </c>
      <c r="H12" s="9" t="str">
        <f aca="false">IF(OR($A12="",$C12=0),"",$D12/$C12)</f>
        <v/>
      </c>
      <c r="I12" s="20"/>
      <c r="J12" s="20"/>
      <c r="K12" s="19"/>
      <c r="L12" s="19"/>
      <c r="M12" s="19"/>
      <c r="N12" s="15" t="str">
        <f aca="false">IF($A12="","",IF($C12=0,0,(IF($F12&lt;=15,5,IF($F12&lt;=30,4,IF($F12&lt;=45,3,IF($F12&lt;=90,2,1))))+IF($C12&gt;=10,5,IF($C12&gt;=6,4,IF($C12&gt;=4,3,IF($C12&gt;=2,2,1))))+IF($D12&gt;=20000,5,IF($D12&gt;=10000,4,IF($D12&gt;=5000,3,IF($D12&gt;=2000,2,1)))))))</f>
        <v/>
      </c>
      <c r="O12" s="3" t="str">
        <f aca="false">IF($A12="","",IF($C12=0,"No visits",IF($N12&gt;=13,"VIP",IF($N12&gt;=10,"High value",IF($N12&gt;=7,"Regular",IF($N12&gt;=4,"Occasional","Low"))))))</f>
        <v/>
      </c>
      <c r="P12" s="6" t="str">
        <f aca="true">IF(OR($A12="",$I12=""),"",IF(MONTH($I12)=MONTH(TODAY()),"Yes",""))</f>
        <v/>
      </c>
      <c r="Q12" s="21" t="str">
        <f aca="false">IF($A12="","",IF($C12=0,"",_xlfn.MINIFS('Daily tracking'!$A$2:$A$2001,'Daily tracking'!$D$2:$D$2001,$A12)))</f>
        <v/>
      </c>
      <c r="R12" s="6" t="str">
        <f aca="false">IF(OR($A12="",$C12&lt;2),"",($E12-$Q12)/($C12-1))</f>
        <v/>
      </c>
    </row>
    <row r="13" customFormat="false" ht="14.25" hidden="false" customHeight="false" outlineLevel="0" collapsed="false">
      <c r="A13" s="19"/>
      <c r="B13" s="19"/>
      <c r="C13" s="15" t="str">
        <f aca="false">IF($A13="","",COUNTIF('Daily tracking'!$D$2:$D$2001,$A13))</f>
        <v/>
      </c>
      <c r="D13" s="16" t="str">
        <f aca="false">IF($A13="","",SUMIF('Daily tracking'!$D$2:$D$2001,$A13,'Daily tracking'!$G$2:$G$2001))</f>
        <v/>
      </c>
      <c r="E13" s="18" t="str">
        <f aca="false">IF($A13="","",IF($C13=0,"",_xlfn.MAXIFS('Daily tracking'!$A$2:$A$2001,'Daily tracking'!$D$2:$D$2001,$A13)))</f>
        <v/>
      </c>
      <c r="F13" s="6" t="str">
        <f aca="true">IF(OR($A13="",$E13=""),"",TODAY()-$E13)</f>
        <v/>
      </c>
      <c r="G13" s="3" t="str">
        <f aca="false">IF($A13="","",IF($C13=0,"No visits",IF($F13&gt;90,"Lapsed",IF($F13&gt;35,"At risk",IF($C13&gt;=4,"Loyal","Active")))))</f>
        <v/>
      </c>
      <c r="H13" s="9" t="str">
        <f aca="false">IF(OR($A13="",$C13=0),"",$D13/$C13)</f>
        <v/>
      </c>
      <c r="I13" s="20"/>
      <c r="J13" s="20"/>
      <c r="K13" s="19"/>
      <c r="L13" s="19"/>
      <c r="M13" s="19"/>
      <c r="N13" s="15" t="str">
        <f aca="false">IF($A13="","",IF($C13=0,0,(IF($F13&lt;=15,5,IF($F13&lt;=30,4,IF($F13&lt;=45,3,IF($F13&lt;=90,2,1))))+IF($C13&gt;=10,5,IF($C13&gt;=6,4,IF($C13&gt;=4,3,IF($C13&gt;=2,2,1))))+IF($D13&gt;=20000,5,IF($D13&gt;=10000,4,IF($D13&gt;=5000,3,IF($D13&gt;=2000,2,1)))))))</f>
        <v/>
      </c>
      <c r="O13" s="3" t="str">
        <f aca="false">IF($A13="","",IF($C13=0,"No visits",IF($N13&gt;=13,"VIP",IF($N13&gt;=10,"High value",IF($N13&gt;=7,"Regular",IF($N13&gt;=4,"Occasional","Low"))))))</f>
        <v/>
      </c>
      <c r="P13" s="6" t="str">
        <f aca="true">IF(OR($A13="",$I13=""),"",IF(MONTH($I13)=MONTH(TODAY()),"Yes",""))</f>
        <v/>
      </c>
      <c r="Q13" s="21" t="str">
        <f aca="false">IF($A13="","",IF($C13=0,"",_xlfn.MINIFS('Daily tracking'!$A$2:$A$2001,'Daily tracking'!$D$2:$D$2001,$A13)))</f>
        <v/>
      </c>
      <c r="R13" s="6" t="str">
        <f aca="false">IF(OR($A13="",$C13&lt;2),"",($E13-$Q13)/($C13-1))</f>
        <v/>
      </c>
    </row>
    <row r="14" customFormat="false" ht="14.25" hidden="false" customHeight="false" outlineLevel="0" collapsed="false">
      <c r="A14" s="19"/>
      <c r="B14" s="19"/>
      <c r="C14" s="15" t="str">
        <f aca="false">IF($A14="","",COUNTIF('Daily tracking'!$D$2:$D$2001,$A14))</f>
        <v/>
      </c>
      <c r="D14" s="16" t="str">
        <f aca="false">IF($A14="","",SUMIF('Daily tracking'!$D$2:$D$2001,$A14,'Daily tracking'!$G$2:$G$2001))</f>
        <v/>
      </c>
      <c r="E14" s="18" t="str">
        <f aca="false">IF($A14="","",IF($C14=0,"",_xlfn.MAXIFS('Daily tracking'!$A$2:$A$2001,'Daily tracking'!$D$2:$D$2001,$A14)))</f>
        <v/>
      </c>
      <c r="F14" s="6" t="str">
        <f aca="true">IF(OR($A14="",$E14=""),"",TODAY()-$E14)</f>
        <v/>
      </c>
      <c r="G14" s="3" t="str">
        <f aca="false">IF($A14="","",IF($C14=0,"No visits",IF($F14&gt;90,"Lapsed",IF($F14&gt;35,"At risk",IF($C14&gt;=4,"Loyal","Active")))))</f>
        <v/>
      </c>
      <c r="H14" s="9" t="str">
        <f aca="false">IF(OR($A14="",$C14=0),"",$D14/$C14)</f>
        <v/>
      </c>
      <c r="I14" s="20"/>
      <c r="J14" s="20"/>
      <c r="K14" s="19"/>
      <c r="L14" s="19"/>
      <c r="M14" s="19"/>
      <c r="N14" s="15" t="str">
        <f aca="false">IF($A14="","",IF($C14=0,0,(IF($F14&lt;=15,5,IF($F14&lt;=30,4,IF($F14&lt;=45,3,IF($F14&lt;=90,2,1))))+IF($C14&gt;=10,5,IF($C14&gt;=6,4,IF($C14&gt;=4,3,IF($C14&gt;=2,2,1))))+IF($D14&gt;=20000,5,IF($D14&gt;=10000,4,IF($D14&gt;=5000,3,IF($D14&gt;=2000,2,1)))))))</f>
        <v/>
      </c>
      <c r="O14" s="3" t="str">
        <f aca="false">IF($A14="","",IF($C14=0,"No visits",IF($N14&gt;=13,"VIP",IF($N14&gt;=10,"High value",IF($N14&gt;=7,"Regular",IF($N14&gt;=4,"Occasional","Low"))))))</f>
        <v/>
      </c>
      <c r="P14" s="6" t="str">
        <f aca="true">IF(OR($A14="",$I14=""),"",IF(MONTH($I14)=MONTH(TODAY()),"Yes",""))</f>
        <v/>
      </c>
      <c r="Q14" s="21" t="str">
        <f aca="false">IF($A14="","",IF($C14=0,"",_xlfn.MINIFS('Daily tracking'!$A$2:$A$2001,'Daily tracking'!$D$2:$D$2001,$A14)))</f>
        <v/>
      </c>
      <c r="R14" s="6" t="str">
        <f aca="false">IF(OR($A14="",$C14&lt;2),"",($E14-$Q14)/($C14-1))</f>
        <v/>
      </c>
    </row>
    <row r="15" customFormat="false" ht="14.25" hidden="false" customHeight="false" outlineLevel="0" collapsed="false">
      <c r="A15" s="19"/>
      <c r="B15" s="19"/>
      <c r="C15" s="15" t="str">
        <f aca="false">IF($A15="","",COUNTIF('Daily tracking'!$D$2:$D$2001,$A15))</f>
        <v/>
      </c>
      <c r="D15" s="16" t="str">
        <f aca="false">IF($A15="","",SUMIF('Daily tracking'!$D$2:$D$2001,$A15,'Daily tracking'!$G$2:$G$2001))</f>
        <v/>
      </c>
      <c r="E15" s="18" t="str">
        <f aca="false">IF($A15="","",IF($C15=0,"",_xlfn.MAXIFS('Daily tracking'!$A$2:$A$2001,'Daily tracking'!$D$2:$D$2001,$A15)))</f>
        <v/>
      </c>
      <c r="F15" s="6" t="str">
        <f aca="true">IF(OR($A15="",$E15=""),"",TODAY()-$E15)</f>
        <v/>
      </c>
      <c r="G15" s="3" t="str">
        <f aca="false">IF($A15="","",IF($C15=0,"No visits",IF($F15&gt;90,"Lapsed",IF($F15&gt;35,"At risk",IF($C15&gt;=4,"Loyal","Active")))))</f>
        <v/>
      </c>
      <c r="H15" s="9" t="str">
        <f aca="false">IF(OR($A15="",$C15=0),"",$D15/$C15)</f>
        <v/>
      </c>
      <c r="I15" s="20"/>
      <c r="J15" s="20"/>
      <c r="K15" s="19"/>
      <c r="L15" s="19"/>
      <c r="M15" s="19"/>
      <c r="N15" s="15" t="str">
        <f aca="false">IF($A15="","",IF($C15=0,0,(IF($F15&lt;=15,5,IF($F15&lt;=30,4,IF($F15&lt;=45,3,IF($F15&lt;=90,2,1))))+IF($C15&gt;=10,5,IF($C15&gt;=6,4,IF($C15&gt;=4,3,IF($C15&gt;=2,2,1))))+IF($D15&gt;=20000,5,IF($D15&gt;=10000,4,IF($D15&gt;=5000,3,IF($D15&gt;=2000,2,1)))))))</f>
        <v/>
      </c>
      <c r="O15" s="3" t="str">
        <f aca="false">IF($A15="","",IF($C15=0,"No visits",IF($N15&gt;=13,"VIP",IF($N15&gt;=10,"High value",IF($N15&gt;=7,"Regular",IF($N15&gt;=4,"Occasional","Low"))))))</f>
        <v/>
      </c>
      <c r="P15" s="6" t="str">
        <f aca="true">IF(OR($A15="",$I15=""),"",IF(MONTH($I15)=MONTH(TODAY()),"Yes",""))</f>
        <v/>
      </c>
      <c r="Q15" s="21" t="str">
        <f aca="false">IF($A15="","",IF($C15=0,"",_xlfn.MINIFS('Daily tracking'!$A$2:$A$2001,'Daily tracking'!$D$2:$D$2001,$A15)))</f>
        <v/>
      </c>
      <c r="R15" s="6" t="str">
        <f aca="false">IF(OR($A15="",$C15&lt;2),"",($E15-$Q15)/($C15-1))</f>
        <v/>
      </c>
    </row>
    <row r="16" customFormat="false" ht="14.25" hidden="false" customHeight="false" outlineLevel="0" collapsed="false">
      <c r="A16" s="19"/>
      <c r="B16" s="19"/>
      <c r="C16" s="15" t="str">
        <f aca="false">IF($A16="","",COUNTIF('Daily tracking'!$D$2:$D$2001,$A16))</f>
        <v/>
      </c>
      <c r="D16" s="16" t="str">
        <f aca="false">IF($A16="","",SUMIF('Daily tracking'!$D$2:$D$2001,$A16,'Daily tracking'!$G$2:$G$2001))</f>
        <v/>
      </c>
      <c r="E16" s="18" t="str">
        <f aca="false">IF($A16="","",IF($C16=0,"",_xlfn.MAXIFS('Daily tracking'!$A$2:$A$2001,'Daily tracking'!$D$2:$D$2001,$A16)))</f>
        <v/>
      </c>
      <c r="F16" s="6" t="str">
        <f aca="true">IF(OR($A16="",$E16=""),"",TODAY()-$E16)</f>
        <v/>
      </c>
      <c r="G16" s="3" t="str">
        <f aca="false">IF($A16="","",IF($C16=0,"No visits",IF($F16&gt;90,"Lapsed",IF($F16&gt;35,"At risk",IF($C16&gt;=4,"Loyal","Active")))))</f>
        <v/>
      </c>
      <c r="H16" s="9" t="str">
        <f aca="false">IF(OR($A16="",$C16=0),"",$D16/$C16)</f>
        <v/>
      </c>
      <c r="I16" s="20"/>
      <c r="J16" s="20"/>
      <c r="K16" s="19"/>
      <c r="L16" s="19"/>
      <c r="M16" s="19"/>
      <c r="N16" s="15" t="str">
        <f aca="false">IF($A16="","",IF($C16=0,0,(IF($F16&lt;=15,5,IF($F16&lt;=30,4,IF($F16&lt;=45,3,IF($F16&lt;=90,2,1))))+IF($C16&gt;=10,5,IF($C16&gt;=6,4,IF($C16&gt;=4,3,IF($C16&gt;=2,2,1))))+IF($D16&gt;=20000,5,IF($D16&gt;=10000,4,IF($D16&gt;=5000,3,IF($D16&gt;=2000,2,1)))))))</f>
        <v/>
      </c>
      <c r="O16" s="3" t="str">
        <f aca="false">IF($A16="","",IF($C16=0,"No visits",IF($N16&gt;=13,"VIP",IF($N16&gt;=10,"High value",IF($N16&gt;=7,"Regular",IF($N16&gt;=4,"Occasional","Low"))))))</f>
        <v/>
      </c>
      <c r="P16" s="6" t="str">
        <f aca="true">IF(OR($A16="",$I16=""),"",IF(MONTH($I16)=MONTH(TODAY()),"Yes",""))</f>
        <v/>
      </c>
      <c r="Q16" s="21" t="str">
        <f aca="false">IF($A16="","",IF($C16=0,"",_xlfn.MINIFS('Daily tracking'!$A$2:$A$2001,'Daily tracking'!$D$2:$D$2001,$A16)))</f>
        <v/>
      </c>
      <c r="R16" s="6" t="str">
        <f aca="false">IF(OR($A16="",$C16&lt;2),"",($E16-$Q16)/($C16-1))</f>
        <v/>
      </c>
    </row>
    <row r="17" customFormat="false" ht="14.25" hidden="false" customHeight="false" outlineLevel="0" collapsed="false">
      <c r="A17" s="19"/>
      <c r="B17" s="19"/>
      <c r="C17" s="15" t="str">
        <f aca="false">IF($A17="","",COUNTIF('Daily tracking'!$D$2:$D$2001,$A17))</f>
        <v/>
      </c>
      <c r="D17" s="16" t="str">
        <f aca="false">IF($A17="","",SUMIF('Daily tracking'!$D$2:$D$2001,$A17,'Daily tracking'!$G$2:$G$2001))</f>
        <v/>
      </c>
      <c r="E17" s="18" t="str">
        <f aca="false">IF($A17="","",IF($C17=0,"",_xlfn.MAXIFS('Daily tracking'!$A$2:$A$2001,'Daily tracking'!$D$2:$D$2001,$A17)))</f>
        <v/>
      </c>
      <c r="F17" s="6" t="str">
        <f aca="true">IF(OR($A17="",$E17=""),"",TODAY()-$E17)</f>
        <v/>
      </c>
      <c r="G17" s="3" t="str">
        <f aca="false">IF($A17="","",IF($C17=0,"No visits",IF($F17&gt;90,"Lapsed",IF($F17&gt;35,"At risk",IF($C17&gt;=4,"Loyal","Active")))))</f>
        <v/>
      </c>
      <c r="H17" s="9" t="str">
        <f aca="false">IF(OR($A17="",$C17=0),"",$D17/$C17)</f>
        <v/>
      </c>
      <c r="I17" s="20"/>
      <c r="J17" s="20"/>
      <c r="K17" s="19"/>
      <c r="L17" s="19"/>
      <c r="M17" s="19"/>
      <c r="N17" s="15" t="str">
        <f aca="false">IF($A17="","",IF($C17=0,0,(IF($F17&lt;=15,5,IF($F17&lt;=30,4,IF($F17&lt;=45,3,IF($F17&lt;=90,2,1))))+IF($C17&gt;=10,5,IF($C17&gt;=6,4,IF($C17&gt;=4,3,IF($C17&gt;=2,2,1))))+IF($D17&gt;=20000,5,IF($D17&gt;=10000,4,IF($D17&gt;=5000,3,IF($D17&gt;=2000,2,1)))))))</f>
        <v/>
      </c>
      <c r="O17" s="3" t="str">
        <f aca="false">IF($A17="","",IF($C17=0,"No visits",IF($N17&gt;=13,"VIP",IF($N17&gt;=10,"High value",IF($N17&gt;=7,"Regular",IF($N17&gt;=4,"Occasional","Low"))))))</f>
        <v/>
      </c>
      <c r="P17" s="6" t="str">
        <f aca="true">IF(OR($A17="",$I17=""),"",IF(MONTH($I17)=MONTH(TODAY()),"Yes",""))</f>
        <v/>
      </c>
      <c r="Q17" s="21" t="str">
        <f aca="false">IF($A17="","",IF($C17=0,"",_xlfn.MINIFS('Daily tracking'!$A$2:$A$2001,'Daily tracking'!$D$2:$D$2001,$A17)))</f>
        <v/>
      </c>
      <c r="R17" s="6" t="str">
        <f aca="false">IF(OR($A17="",$C17&lt;2),"",($E17-$Q17)/($C17-1))</f>
        <v/>
      </c>
    </row>
    <row r="18" customFormat="false" ht="14.25" hidden="false" customHeight="false" outlineLevel="0" collapsed="false">
      <c r="A18" s="19"/>
      <c r="B18" s="19"/>
      <c r="C18" s="15" t="str">
        <f aca="false">IF($A18="","",COUNTIF('Daily tracking'!$D$2:$D$2001,$A18))</f>
        <v/>
      </c>
      <c r="D18" s="16" t="str">
        <f aca="false">IF($A18="","",SUMIF('Daily tracking'!$D$2:$D$2001,$A18,'Daily tracking'!$G$2:$G$2001))</f>
        <v/>
      </c>
      <c r="E18" s="18" t="str">
        <f aca="false">IF($A18="","",IF($C18=0,"",_xlfn.MAXIFS('Daily tracking'!$A$2:$A$2001,'Daily tracking'!$D$2:$D$2001,$A18)))</f>
        <v/>
      </c>
      <c r="F18" s="6" t="str">
        <f aca="true">IF(OR($A18="",$E18=""),"",TODAY()-$E18)</f>
        <v/>
      </c>
      <c r="G18" s="3" t="str">
        <f aca="false">IF($A18="","",IF($C18=0,"No visits",IF($F18&gt;90,"Lapsed",IF($F18&gt;35,"At risk",IF($C18&gt;=4,"Loyal","Active")))))</f>
        <v/>
      </c>
      <c r="H18" s="9" t="str">
        <f aca="false">IF(OR($A18="",$C18=0),"",$D18/$C18)</f>
        <v/>
      </c>
      <c r="I18" s="20"/>
      <c r="J18" s="20"/>
      <c r="K18" s="19"/>
      <c r="L18" s="19"/>
      <c r="M18" s="19"/>
      <c r="N18" s="15" t="str">
        <f aca="false">IF($A18="","",IF($C18=0,0,(IF($F18&lt;=15,5,IF($F18&lt;=30,4,IF($F18&lt;=45,3,IF($F18&lt;=90,2,1))))+IF($C18&gt;=10,5,IF($C18&gt;=6,4,IF($C18&gt;=4,3,IF($C18&gt;=2,2,1))))+IF($D18&gt;=20000,5,IF($D18&gt;=10000,4,IF($D18&gt;=5000,3,IF($D18&gt;=2000,2,1)))))))</f>
        <v/>
      </c>
      <c r="O18" s="3" t="str">
        <f aca="false">IF($A18="","",IF($C18=0,"No visits",IF($N18&gt;=13,"VIP",IF($N18&gt;=10,"High value",IF($N18&gt;=7,"Regular",IF($N18&gt;=4,"Occasional","Low"))))))</f>
        <v/>
      </c>
      <c r="P18" s="6" t="str">
        <f aca="true">IF(OR($A18="",$I18=""),"",IF(MONTH($I18)=MONTH(TODAY()),"Yes",""))</f>
        <v/>
      </c>
      <c r="Q18" s="21" t="str">
        <f aca="false">IF($A18="","",IF($C18=0,"",_xlfn.MINIFS('Daily tracking'!$A$2:$A$2001,'Daily tracking'!$D$2:$D$2001,$A18)))</f>
        <v/>
      </c>
      <c r="R18" s="6" t="str">
        <f aca="false">IF(OR($A18="",$C18&lt;2),"",($E18-$Q18)/($C18-1))</f>
        <v/>
      </c>
    </row>
    <row r="19" customFormat="false" ht="14.25" hidden="false" customHeight="false" outlineLevel="0" collapsed="false">
      <c r="A19" s="19"/>
      <c r="B19" s="19"/>
      <c r="C19" s="15" t="str">
        <f aca="false">IF($A19="","",COUNTIF('Daily tracking'!$D$2:$D$2001,$A19))</f>
        <v/>
      </c>
      <c r="D19" s="16" t="str">
        <f aca="false">IF($A19="","",SUMIF('Daily tracking'!$D$2:$D$2001,$A19,'Daily tracking'!$G$2:$G$2001))</f>
        <v/>
      </c>
      <c r="E19" s="18" t="str">
        <f aca="false">IF($A19="","",IF($C19=0,"",_xlfn.MAXIFS('Daily tracking'!$A$2:$A$2001,'Daily tracking'!$D$2:$D$2001,$A19)))</f>
        <v/>
      </c>
      <c r="F19" s="6" t="str">
        <f aca="true">IF(OR($A19="",$E19=""),"",TODAY()-$E19)</f>
        <v/>
      </c>
      <c r="G19" s="3" t="str">
        <f aca="false">IF($A19="","",IF($C19=0,"No visits",IF($F19&gt;90,"Lapsed",IF($F19&gt;35,"At risk",IF($C19&gt;=4,"Loyal","Active")))))</f>
        <v/>
      </c>
      <c r="H19" s="9" t="str">
        <f aca="false">IF(OR($A19="",$C19=0),"",$D19/$C19)</f>
        <v/>
      </c>
      <c r="I19" s="20"/>
      <c r="J19" s="20"/>
      <c r="K19" s="19"/>
      <c r="L19" s="19"/>
      <c r="M19" s="19"/>
      <c r="N19" s="15" t="str">
        <f aca="false">IF($A19="","",IF($C19=0,0,(IF($F19&lt;=15,5,IF($F19&lt;=30,4,IF($F19&lt;=45,3,IF($F19&lt;=90,2,1))))+IF($C19&gt;=10,5,IF($C19&gt;=6,4,IF($C19&gt;=4,3,IF($C19&gt;=2,2,1))))+IF($D19&gt;=20000,5,IF($D19&gt;=10000,4,IF($D19&gt;=5000,3,IF($D19&gt;=2000,2,1)))))))</f>
        <v/>
      </c>
      <c r="O19" s="3" t="str">
        <f aca="false">IF($A19="","",IF($C19=0,"No visits",IF($N19&gt;=13,"VIP",IF($N19&gt;=10,"High value",IF($N19&gt;=7,"Regular",IF($N19&gt;=4,"Occasional","Low"))))))</f>
        <v/>
      </c>
      <c r="P19" s="6" t="str">
        <f aca="true">IF(OR($A19="",$I19=""),"",IF(MONTH($I19)=MONTH(TODAY()),"Yes",""))</f>
        <v/>
      </c>
      <c r="Q19" s="21" t="str">
        <f aca="false">IF($A19="","",IF($C19=0,"",_xlfn.MINIFS('Daily tracking'!$A$2:$A$2001,'Daily tracking'!$D$2:$D$2001,$A19)))</f>
        <v/>
      </c>
      <c r="R19" s="6" t="str">
        <f aca="false">IF(OR($A19="",$C19&lt;2),"",($E19-$Q19)/($C19-1))</f>
        <v/>
      </c>
    </row>
    <row r="20" customFormat="false" ht="14.25" hidden="false" customHeight="false" outlineLevel="0" collapsed="false">
      <c r="A20" s="19"/>
      <c r="B20" s="19"/>
      <c r="C20" s="15" t="str">
        <f aca="false">IF($A20="","",COUNTIF('Daily tracking'!$D$2:$D$2001,$A20))</f>
        <v/>
      </c>
      <c r="D20" s="16" t="str">
        <f aca="false">IF($A20="","",SUMIF('Daily tracking'!$D$2:$D$2001,$A20,'Daily tracking'!$G$2:$G$2001))</f>
        <v/>
      </c>
      <c r="E20" s="18" t="str">
        <f aca="false">IF($A20="","",IF($C20=0,"",_xlfn.MAXIFS('Daily tracking'!$A$2:$A$2001,'Daily tracking'!$D$2:$D$2001,$A20)))</f>
        <v/>
      </c>
      <c r="F20" s="6" t="str">
        <f aca="true">IF(OR($A20="",$E20=""),"",TODAY()-$E20)</f>
        <v/>
      </c>
      <c r="G20" s="3" t="str">
        <f aca="false">IF($A20="","",IF($C20=0,"No visits",IF($F20&gt;90,"Lapsed",IF($F20&gt;35,"At risk",IF($C20&gt;=4,"Loyal","Active")))))</f>
        <v/>
      </c>
      <c r="H20" s="9" t="str">
        <f aca="false">IF(OR($A20="",$C20=0),"",$D20/$C20)</f>
        <v/>
      </c>
      <c r="I20" s="20"/>
      <c r="J20" s="20"/>
      <c r="K20" s="19"/>
      <c r="L20" s="19"/>
      <c r="M20" s="19"/>
      <c r="N20" s="15" t="str">
        <f aca="false">IF($A20="","",IF($C20=0,0,(IF($F20&lt;=15,5,IF($F20&lt;=30,4,IF($F20&lt;=45,3,IF($F20&lt;=90,2,1))))+IF($C20&gt;=10,5,IF($C20&gt;=6,4,IF($C20&gt;=4,3,IF($C20&gt;=2,2,1))))+IF($D20&gt;=20000,5,IF($D20&gt;=10000,4,IF($D20&gt;=5000,3,IF($D20&gt;=2000,2,1)))))))</f>
        <v/>
      </c>
      <c r="O20" s="3" t="str">
        <f aca="false">IF($A20="","",IF($C20=0,"No visits",IF($N20&gt;=13,"VIP",IF($N20&gt;=10,"High value",IF($N20&gt;=7,"Regular",IF($N20&gt;=4,"Occasional","Low"))))))</f>
        <v/>
      </c>
      <c r="P20" s="6" t="str">
        <f aca="true">IF(OR($A20="",$I20=""),"",IF(MONTH($I20)=MONTH(TODAY()),"Yes",""))</f>
        <v/>
      </c>
      <c r="Q20" s="21" t="str">
        <f aca="false">IF($A20="","",IF($C20=0,"",_xlfn.MINIFS('Daily tracking'!$A$2:$A$2001,'Daily tracking'!$D$2:$D$2001,$A20)))</f>
        <v/>
      </c>
      <c r="R20" s="6" t="str">
        <f aca="false">IF(OR($A20="",$C20&lt;2),"",($E20-$Q20)/($C20-1))</f>
        <v/>
      </c>
    </row>
    <row r="21" customFormat="false" ht="14.25" hidden="false" customHeight="false" outlineLevel="0" collapsed="false">
      <c r="A21" s="19"/>
      <c r="B21" s="19"/>
      <c r="C21" s="15" t="str">
        <f aca="false">IF($A21="","",COUNTIF('Daily tracking'!$D$2:$D$2001,$A21))</f>
        <v/>
      </c>
      <c r="D21" s="16" t="str">
        <f aca="false">IF($A21="","",SUMIF('Daily tracking'!$D$2:$D$2001,$A21,'Daily tracking'!$G$2:$G$2001))</f>
        <v/>
      </c>
      <c r="E21" s="18" t="str">
        <f aca="false">IF($A21="","",IF($C21=0,"",_xlfn.MAXIFS('Daily tracking'!$A$2:$A$2001,'Daily tracking'!$D$2:$D$2001,$A21)))</f>
        <v/>
      </c>
      <c r="F21" s="6" t="str">
        <f aca="true">IF(OR($A21="",$E21=""),"",TODAY()-$E21)</f>
        <v/>
      </c>
      <c r="G21" s="3" t="str">
        <f aca="false">IF($A21="","",IF($C21=0,"No visits",IF($F21&gt;90,"Lapsed",IF($F21&gt;35,"At risk",IF($C21&gt;=4,"Loyal","Active")))))</f>
        <v/>
      </c>
      <c r="H21" s="9" t="str">
        <f aca="false">IF(OR($A21="",$C21=0),"",$D21/$C21)</f>
        <v/>
      </c>
      <c r="I21" s="20"/>
      <c r="J21" s="20"/>
      <c r="K21" s="19"/>
      <c r="L21" s="19"/>
      <c r="M21" s="19"/>
      <c r="N21" s="15" t="str">
        <f aca="false">IF($A21="","",IF($C21=0,0,(IF($F21&lt;=15,5,IF($F21&lt;=30,4,IF($F21&lt;=45,3,IF($F21&lt;=90,2,1))))+IF($C21&gt;=10,5,IF($C21&gt;=6,4,IF($C21&gt;=4,3,IF($C21&gt;=2,2,1))))+IF($D21&gt;=20000,5,IF($D21&gt;=10000,4,IF($D21&gt;=5000,3,IF($D21&gt;=2000,2,1)))))))</f>
        <v/>
      </c>
      <c r="O21" s="3" t="str">
        <f aca="false">IF($A21="","",IF($C21=0,"No visits",IF($N21&gt;=13,"VIP",IF($N21&gt;=10,"High value",IF($N21&gt;=7,"Regular",IF($N21&gt;=4,"Occasional","Low"))))))</f>
        <v/>
      </c>
      <c r="P21" s="6" t="str">
        <f aca="true">IF(OR($A21="",$I21=""),"",IF(MONTH($I21)=MONTH(TODAY()),"Yes",""))</f>
        <v/>
      </c>
      <c r="Q21" s="21" t="str">
        <f aca="false">IF($A21="","",IF($C21=0,"",_xlfn.MINIFS('Daily tracking'!$A$2:$A$2001,'Daily tracking'!$D$2:$D$2001,$A21)))</f>
        <v/>
      </c>
      <c r="R21" s="6" t="str">
        <f aca="false">IF(OR($A21="",$C21&lt;2),"",($E21-$Q21)/($C21-1))</f>
        <v/>
      </c>
    </row>
    <row r="22" customFormat="false" ht="14.25" hidden="false" customHeight="false" outlineLevel="0" collapsed="false">
      <c r="A22" s="19"/>
      <c r="B22" s="19"/>
      <c r="C22" s="15" t="str">
        <f aca="false">IF($A22="","",COUNTIF('Daily tracking'!$D$2:$D$2001,$A22))</f>
        <v/>
      </c>
      <c r="D22" s="16" t="str">
        <f aca="false">IF($A22="","",SUMIF('Daily tracking'!$D$2:$D$2001,$A22,'Daily tracking'!$G$2:$G$2001))</f>
        <v/>
      </c>
      <c r="E22" s="18" t="str">
        <f aca="false">IF($A22="","",IF($C22=0,"",_xlfn.MAXIFS('Daily tracking'!$A$2:$A$2001,'Daily tracking'!$D$2:$D$2001,$A22)))</f>
        <v/>
      </c>
      <c r="F22" s="6" t="str">
        <f aca="true">IF(OR($A22="",$E22=""),"",TODAY()-$E22)</f>
        <v/>
      </c>
      <c r="G22" s="3" t="str">
        <f aca="false">IF($A22="","",IF($C22=0,"No visits",IF($F22&gt;90,"Lapsed",IF($F22&gt;35,"At risk",IF($C22&gt;=4,"Loyal","Active")))))</f>
        <v/>
      </c>
      <c r="H22" s="9" t="str">
        <f aca="false">IF(OR($A22="",$C22=0),"",$D22/$C22)</f>
        <v/>
      </c>
      <c r="I22" s="20"/>
      <c r="J22" s="20"/>
      <c r="K22" s="19"/>
      <c r="L22" s="19"/>
      <c r="M22" s="19"/>
      <c r="N22" s="15" t="str">
        <f aca="false">IF($A22="","",IF($C22=0,0,(IF($F22&lt;=15,5,IF($F22&lt;=30,4,IF($F22&lt;=45,3,IF($F22&lt;=90,2,1))))+IF($C22&gt;=10,5,IF($C22&gt;=6,4,IF($C22&gt;=4,3,IF($C22&gt;=2,2,1))))+IF($D22&gt;=20000,5,IF($D22&gt;=10000,4,IF($D22&gt;=5000,3,IF($D22&gt;=2000,2,1)))))))</f>
        <v/>
      </c>
      <c r="O22" s="3" t="str">
        <f aca="false">IF($A22="","",IF($C22=0,"No visits",IF($N22&gt;=13,"VIP",IF($N22&gt;=10,"High value",IF($N22&gt;=7,"Regular",IF($N22&gt;=4,"Occasional","Low"))))))</f>
        <v/>
      </c>
      <c r="P22" s="6" t="str">
        <f aca="true">IF(OR($A22="",$I22=""),"",IF(MONTH($I22)=MONTH(TODAY()),"Yes",""))</f>
        <v/>
      </c>
      <c r="Q22" s="21" t="str">
        <f aca="false">IF($A22="","",IF($C22=0,"",_xlfn.MINIFS('Daily tracking'!$A$2:$A$2001,'Daily tracking'!$D$2:$D$2001,$A22)))</f>
        <v/>
      </c>
      <c r="R22" s="6" t="str">
        <f aca="false">IF(OR($A22="",$C22&lt;2),"",($E22-$Q22)/($C22-1))</f>
        <v/>
      </c>
    </row>
    <row r="23" customFormat="false" ht="14.25" hidden="false" customHeight="false" outlineLevel="0" collapsed="false">
      <c r="A23" s="19"/>
      <c r="B23" s="19"/>
      <c r="C23" s="15" t="str">
        <f aca="false">IF($A23="","",COUNTIF('Daily tracking'!$D$2:$D$2001,$A23))</f>
        <v/>
      </c>
      <c r="D23" s="16" t="str">
        <f aca="false">IF($A23="","",SUMIF('Daily tracking'!$D$2:$D$2001,$A23,'Daily tracking'!$G$2:$G$2001))</f>
        <v/>
      </c>
      <c r="E23" s="18" t="str">
        <f aca="false">IF($A23="","",IF($C23=0,"",_xlfn.MAXIFS('Daily tracking'!$A$2:$A$2001,'Daily tracking'!$D$2:$D$2001,$A23)))</f>
        <v/>
      </c>
      <c r="F23" s="6" t="str">
        <f aca="true">IF(OR($A23="",$E23=""),"",TODAY()-$E23)</f>
        <v/>
      </c>
      <c r="G23" s="3" t="str">
        <f aca="false">IF($A23="","",IF($C23=0,"No visits",IF($F23&gt;90,"Lapsed",IF($F23&gt;35,"At risk",IF($C23&gt;=4,"Loyal","Active")))))</f>
        <v/>
      </c>
      <c r="H23" s="9" t="str">
        <f aca="false">IF(OR($A23="",$C23=0),"",$D23/$C23)</f>
        <v/>
      </c>
      <c r="I23" s="20"/>
      <c r="J23" s="20"/>
      <c r="K23" s="19"/>
      <c r="L23" s="19"/>
      <c r="M23" s="19"/>
      <c r="N23" s="15" t="str">
        <f aca="false">IF($A23="","",IF($C23=0,0,(IF($F23&lt;=15,5,IF($F23&lt;=30,4,IF($F23&lt;=45,3,IF($F23&lt;=90,2,1))))+IF($C23&gt;=10,5,IF($C23&gt;=6,4,IF($C23&gt;=4,3,IF($C23&gt;=2,2,1))))+IF($D23&gt;=20000,5,IF($D23&gt;=10000,4,IF($D23&gt;=5000,3,IF($D23&gt;=2000,2,1)))))))</f>
        <v/>
      </c>
      <c r="O23" s="3" t="str">
        <f aca="false">IF($A23="","",IF($C23=0,"No visits",IF($N23&gt;=13,"VIP",IF($N23&gt;=10,"High value",IF($N23&gt;=7,"Regular",IF($N23&gt;=4,"Occasional","Low"))))))</f>
        <v/>
      </c>
      <c r="P23" s="6" t="str">
        <f aca="true">IF(OR($A23="",$I23=""),"",IF(MONTH($I23)=MONTH(TODAY()),"Yes",""))</f>
        <v/>
      </c>
      <c r="Q23" s="21" t="str">
        <f aca="false">IF($A23="","",IF($C23=0,"",_xlfn.MINIFS('Daily tracking'!$A$2:$A$2001,'Daily tracking'!$D$2:$D$2001,$A23)))</f>
        <v/>
      </c>
      <c r="R23" s="6" t="str">
        <f aca="false">IF(OR($A23="",$C23&lt;2),"",($E23-$Q23)/($C23-1))</f>
        <v/>
      </c>
    </row>
    <row r="24" customFormat="false" ht="14.25" hidden="false" customHeight="false" outlineLevel="0" collapsed="false">
      <c r="A24" s="19"/>
      <c r="B24" s="19"/>
      <c r="C24" s="15" t="str">
        <f aca="false">IF($A24="","",COUNTIF('Daily tracking'!$D$2:$D$2001,$A24))</f>
        <v/>
      </c>
      <c r="D24" s="16" t="str">
        <f aca="false">IF($A24="","",SUMIF('Daily tracking'!$D$2:$D$2001,$A24,'Daily tracking'!$G$2:$G$2001))</f>
        <v/>
      </c>
      <c r="E24" s="18" t="str">
        <f aca="false">IF($A24="","",IF($C24=0,"",_xlfn.MAXIFS('Daily tracking'!$A$2:$A$2001,'Daily tracking'!$D$2:$D$2001,$A24)))</f>
        <v/>
      </c>
      <c r="F24" s="6" t="str">
        <f aca="true">IF(OR($A24="",$E24=""),"",TODAY()-$E24)</f>
        <v/>
      </c>
      <c r="G24" s="3" t="str">
        <f aca="false">IF($A24="","",IF($C24=0,"No visits",IF($F24&gt;90,"Lapsed",IF($F24&gt;35,"At risk",IF($C24&gt;=4,"Loyal","Active")))))</f>
        <v/>
      </c>
      <c r="H24" s="9" t="str">
        <f aca="false">IF(OR($A24="",$C24=0),"",$D24/$C24)</f>
        <v/>
      </c>
      <c r="I24" s="20"/>
      <c r="J24" s="20"/>
      <c r="K24" s="19"/>
      <c r="L24" s="19"/>
      <c r="M24" s="19"/>
      <c r="N24" s="15" t="str">
        <f aca="false">IF($A24="","",IF($C24=0,0,(IF($F24&lt;=15,5,IF($F24&lt;=30,4,IF($F24&lt;=45,3,IF($F24&lt;=90,2,1))))+IF($C24&gt;=10,5,IF($C24&gt;=6,4,IF($C24&gt;=4,3,IF($C24&gt;=2,2,1))))+IF($D24&gt;=20000,5,IF($D24&gt;=10000,4,IF($D24&gt;=5000,3,IF($D24&gt;=2000,2,1)))))))</f>
        <v/>
      </c>
      <c r="O24" s="3" t="str">
        <f aca="false">IF($A24="","",IF($C24=0,"No visits",IF($N24&gt;=13,"VIP",IF($N24&gt;=10,"High value",IF($N24&gt;=7,"Regular",IF($N24&gt;=4,"Occasional","Low"))))))</f>
        <v/>
      </c>
      <c r="P24" s="6" t="str">
        <f aca="true">IF(OR($A24="",$I24=""),"",IF(MONTH($I24)=MONTH(TODAY()),"Yes",""))</f>
        <v/>
      </c>
      <c r="Q24" s="21" t="str">
        <f aca="false">IF($A24="","",IF($C24=0,"",_xlfn.MINIFS('Daily tracking'!$A$2:$A$2001,'Daily tracking'!$D$2:$D$2001,$A24)))</f>
        <v/>
      </c>
      <c r="R24" s="6" t="str">
        <f aca="false">IF(OR($A24="",$C24&lt;2),"",($E24-$Q24)/($C24-1))</f>
        <v/>
      </c>
    </row>
    <row r="25" customFormat="false" ht="14.25" hidden="false" customHeight="false" outlineLevel="0" collapsed="false">
      <c r="A25" s="19"/>
      <c r="B25" s="19"/>
      <c r="C25" s="15" t="str">
        <f aca="false">IF($A25="","",COUNTIF('Daily tracking'!$D$2:$D$2001,$A25))</f>
        <v/>
      </c>
      <c r="D25" s="16" t="str">
        <f aca="false">IF($A25="","",SUMIF('Daily tracking'!$D$2:$D$2001,$A25,'Daily tracking'!$G$2:$G$2001))</f>
        <v/>
      </c>
      <c r="E25" s="18" t="str">
        <f aca="false">IF($A25="","",IF($C25=0,"",_xlfn.MAXIFS('Daily tracking'!$A$2:$A$2001,'Daily tracking'!$D$2:$D$2001,$A25)))</f>
        <v/>
      </c>
      <c r="F25" s="6" t="str">
        <f aca="true">IF(OR($A25="",$E25=""),"",TODAY()-$E25)</f>
        <v/>
      </c>
      <c r="G25" s="3" t="str">
        <f aca="false">IF($A25="","",IF($C25=0,"No visits",IF($F25&gt;90,"Lapsed",IF($F25&gt;35,"At risk",IF($C25&gt;=4,"Loyal","Active")))))</f>
        <v/>
      </c>
      <c r="H25" s="9" t="str">
        <f aca="false">IF(OR($A25="",$C25=0),"",$D25/$C25)</f>
        <v/>
      </c>
      <c r="I25" s="20"/>
      <c r="J25" s="20"/>
      <c r="K25" s="19"/>
      <c r="L25" s="19"/>
      <c r="M25" s="19"/>
      <c r="N25" s="15" t="str">
        <f aca="false">IF($A25="","",IF($C25=0,0,(IF($F25&lt;=15,5,IF($F25&lt;=30,4,IF($F25&lt;=45,3,IF($F25&lt;=90,2,1))))+IF($C25&gt;=10,5,IF($C25&gt;=6,4,IF($C25&gt;=4,3,IF($C25&gt;=2,2,1))))+IF($D25&gt;=20000,5,IF($D25&gt;=10000,4,IF($D25&gt;=5000,3,IF($D25&gt;=2000,2,1)))))))</f>
        <v/>
      </c>
      <c r="O25" s="3" t="str">
        <f aca="false">IF($A25="","",IF($C25=0,"No visits",IF($N25&gt;=13,"VIP",IF($N25&gt;=10,"High value",IF($N25&gt;=7,"Regular",IF($N25&gt;=4,"Occasional","Low"))))))</f>
        <v/>
      </c>
      <c r="P25" s="6" t="str">
        <f aca="true">IF(OR($A25="",$I25=""),"",IF(MONTH($I25)=MONTH(TODAY()),"Yes",""))</f>
        <v/>
      </c>
      <c r="Q25" s="21" t="str">
        <f aca="false">IF($A25="","",IF($C25=0,"",_xlfn.MINIFS('Daily tracking'!$A$2:$A$2001,'Daily tracking'!$D$2:$D$2001,$A25)))</f>
        <v/>
      </c>
      <c r="R25" s="6" t="str">
        <f aca="false">IF(OR($A25="",$C25&lt;2),"",($E25-$Q25)/($C25-1))</f>
        <v/>
      </c>
    </row>
    <row r="26" customFormat="false" ht="14.25" hidden="false" customHeight="false" outlineLevel="0" collapsed="false">
      <c r="A26" s="19"/>
      <c r="B26" s="19"/>
      <c r="C26" s="15" t="str">
        <f aca="false">IF($A26="","",COUNTIF('Daily tracking'!$D$2:$D$2001,$A26))</f>
        <v/>
      </c>
      <c r="D26" s="16" t="str">
        <f aca="false">IF($A26="","",SUMIF('Daily tracking'!$D$2:$D$2001,$A26,'Daily tracking'!$G$2:$G$2001))</f>
        <v/>
      </c>
      <c r="E26" s="18" t="str">
        <f aca="false">IF($A26="","",IF($C26=0,"",_xlfn.MAXIFS('Daily tracking'!$A$2:$A$2001,'Daily tracking'!$D$2:$D$2001,$A26)))</f>
        <v/>
      </c>
      <c r="F26" s="6" t="str">
        <f aca="true">IF(OR($A26="",$E26=""),"",TODAY()-$E26)</f>
        <v/>
      </c>
      <c r="G26" s="3" t="str">
        <f aca="false">IF($A26="","",IF($C26=0,"No visits",IF($F26&gt;90,"Lapsed",IF($F26&gt;35,"At risk",IF($C26&gt;=4,"Loyal","Active")))))</f>
        <v/>
      </c>
      <c r="H26" s="9" t="str">
        <f aca="false">IF(OR($A26="",$C26=0),"",$D26/$C26)</f>
        <v/>
      </c>
      <c r="I26" s="20"/>
      <c r="J26" s="20"/>
      <c r="K26" s="19"/>
      <c r="L26" s="19"/>
      <c r="M26" s="19"/>
      <c r="N26" s="15" t="str">
        <f aca="false">IF($A26="","",IF($C26=0,0,(IF($F26&lt;=15,5,IF($F26&lt;=30,4,IF($F26&lt;=45,3,IF($F26&lt;=90,2,1))))+IF($C26&gt;=10,5,IF($C26&gt;=6,4,IF($C26&gt;=4,3,IF($C26&gt;=2,2,1))))+IF($D26&gt;=20000,5,IF($D26&gt;=10000,4,IF($D26&gt;=5000,3,IF($D26&gt;=2000,2,1)))))))</f>
        <v/>
      </c>
      <c r="O26" s="3" t="str">
        <f aca="false">IF($A26="","",IF($C26=0,"No visits",IF($N26&gt;=13,"VIP",IF($N26&gt;=10,"High value",IF($N26&gt;=7,"Regular",IF($N26&gt;=4,"Occasional","Low"))))))</f>
        <v/>
      </c>
      <c r="P26" s="6" t="str">
        <f aca="true">IF(OR($A26="",$I26=""),"",IF(MONTH($I26)=MONTH(TODAY()),"Yes",""))</f>
        <v/>
      </c>
      <c r="Q26" s="21" t="str">
        <f aca="false">IF($A26="","",IF($C26=0,"",_xlfn.MINIFS('Daily tracking'!$A$2:$A$2001,'Daily tracking'!$D$2:$D$2001,$A26)))</f>
        <v/>
      </c>
      <c r="R26" s="6" t="str">
        <f aca="false">IF(OR($A26="",$C26&lt;2),"",($E26-$Q26)/($C26-1))</f>
        <v/>
      </c>
    </row>
    <row r="27" customFormat="false" ht="14.25" hidden="false" customHeight="false" outlineLevel="0" collapsed="false">
      <c r="A27" s="19"/>
      <c r="B27" s="19"/>
      <c r="C27" s="15" t="str">
        <f aca="false">IF($A27="","",COUNTIF('Daily tracking'!$D$2:$D$2001,$A27))</f>
        <v/>
      </c>
      <c r="D27" s="16" t="str">
        <f aca="false">IF($A27="","",SUMIF('Daily tracking'!$D$2:$D$2001,$A27,'Daily tracking'!$G$2:$G$2001))</f>
        <v/>
      </c>
      <c r="E27" s="18" t="str">
        <f aca="false">IF($A27="","",IF($C27=0,"",_xlfn.MAXIFS('Daily tracking'!$A$2:$A$2001,'Daily tracking'!$D$2:$D$2001,$A27)))</f>
        <v/>
      </c>
      <c r="F27" s="6" t="str">
        <f aca="true">IF(OR($A27="",$E27=""),"",TODAY()-$E27)</f>
        <v/>
      </c>
      <c r="G27" s="3" t="str">
        <f aca="false">IF($A27="","",IF($C27=0,"No visits",IF($F27&gt;90,"Lapsed",IF($F27&gt;35,"At risk",IF($C27&gt;=4,"Loyal","Active")))))</f>
        <v/>
      </c>
      <c r="H27" s="9" t="str">
        <f aca="false">IF(OR($A27="",$C27=0),"",$D27/$C27)</f>
        <v/>
      </c>
      <c r="I27" s="20"/>
      <c r="J27" s="20"/>
      <c r="K27" s="19"/>
      <c r="L27" s="19"/>
      <c r="M27" s="19"/>
      <c r="N27" s="15" t="str">
        <f aca="false">IF($A27="","",IF($C27=0,0,(IF($F27&lt;=15,5,IF($F27&lt;=30,4,IF($F27&lt;=45,3,IF($F27&lt;=90,2,1))))+IF($C27&gt;=10,5,IF($C27&gt;=6,4,IF($C27&gt;=4,3,IF($C27&gt;=2,2,1))))+IF($D27&gt;=20000,5,IF($D27&gt;=10000,4,IF($D27&gt;=5000,3,IF($D27&gt;=2000,2,1)))))))</f>
        <v/>
      </c>
      <c r="O27" s="3" t="str">
        <f aca="false">IF($A27="","",IF($C27=0,"No visits",IF($N27&gt;=13,"VIP",IF($N27&gt;=10,"High value",IF($N27&gt;=7,"Regular",IF($N27&gt;=4,"Occasional","Low"))))))</f>
        <v/>
      </c>
      <c r="P27" s="6" t="str">
        <f aca="true">IF(OR($A27="",$I27=""),"",IF(MONTH($I27)=MONTH(TODAY()),"Yes",""))</f>
        <v/>
      </c>
      <c r="Q27" s="21" t="str">
        <f aca="false">IF($A27="","",IF($C27=0,"",_xlfn.MINIFS('Daily tracking'!$A$2:$A$2001,'Daily tracking'!$D$2:$D$2001,$A27)))</f>
        <v/>
      </c>
      <c r="R27" s="6" t="str">
        <f aca="false">IF(OR($A27="",$C27&lt;2),"",($E27-$Q27)/($C27-1))</f>
        <v/>
      </c>
    </row>
    <row r="28" customFormat="false" ht="14.25" hidden="false" customHeight="false" outlineLevel="0" collapsed="false">
      <c r="A28" s="19"/>
      <c r="B28" s="19"/>
      <c r="C28" s="15" t="str">
        <f aca="false">IF($A28="","",COUNTIF('Daily tracking'!$D$2:$D$2001,$A28))</f>
        <v/>
      </c>
      <c r="D28" s="16" t="str">
        <f aca="false">IF($A28="","",SUMIF('Daily tracking'!$D$2:$D$2001,$A28,'Daily tracking'!$G$2:$G$2001))</f>
        <v/>
      </c>
      <c r="E28" s="18" t="str">
        <f aca="false">IF($A28="","",IF($C28=0,"",_xlfn.MAXIFS('Daily tracking'!$A$2:$A$2001,'Daily tracking'!$D$2:$D$2001,$A28)))</f>
        <v/>
      </c>
      <c r="F28" s="6" t="str">
        <f aca="true">IF(OR($A28="",$E28=""),"",TODAY()-$E28)</f>
        <v/>
      </c>
      <c r="G28" s="3" t="str">
        <f aca="false">IF($A28="","",IF($C28=0,"No visits",IF($F28&gt;90,"Lapsed",IF($F28&gt;35,"At risk",IF($C28&gt;=4,"Loyal","Active")))))</f>
        <v/>
      </c>
      <c r="H28" s="9" t="str">
        <f aca="false">IF(OR($A28="",$C28=0),"",$D28/$C28)</f>
        <v/>
      </c>
      <c r="I28" s="20"/>
      <c r="J28" s="20"/>
      <c r="K28" s="19"/>
      <c r="L28" s="19"/>
      <c r="M28" s="19"/>
      <c r="N28" s="15" t="str">
        <f aca="false">IF($A28="","",IF($C28=0,0,(IF($F28&lt;=15,5,IF($F28&lt;=30,4,IF($F28&lt;=45,3,IF($F28&lt;=90,2,1))))+IF($C28&gt;=10,5,IF($C28&gt;=6,4,IF($C28&gt;=4,3,IF($C28&gt;=2,2,1))))+IF($D28&gt;=20000,5,IF($D28&gt;=10000,4,IF($D28&gt;=5000,3,IF($D28&gt;=2000,2,1)))))))</f>
        <v/>
      </c>
      <c r="O28" s="3" t="str">
        <f aca="false">IF($A28="","",IF($C28=0,"No visits",IF($N28&gt;=13,"VIP",IF($N28&gt;=10,"High value",IF($N28&gt;=7,"Regular",IF($N28&gt;=4,"Occasional","Low"))))))</f>
        <v/>
      </c>
      <c r="P28" s="6" t="str">
        <f aca="true">IF(OR($A28="",$I28=""),"",IF(MONTH($I28)=MONTH(TODAY()),"Yes",""))</f>
        <v/>
      </c>
      <c r="Q28" s="21" t="str">
        <f aca="false">IF($A28="","",IF($C28=0,"",_xlfn.MINIFS('Daily tracking'!$A$2:$A$2001,'Daily tracking'!$D$2:$D$2001,$A28)))</f>
        <v/>
      </c>
      <c r="R28" s="6" t="str">
        <f aca="false">IF(OR($A28="",$C28&lt;2),"",($E28-$Q28)/($C28-1))</f>
        <v/>
      </c>
    </row>
    <row r="29" customFormat="false" ht="14.25" hidden="false" customHeight="false" outlineLevel="0" collapsed="false">
      <c r="A29" s="19"/>
      <c r="B29" s="19"/>
      <c r="C29" s="15" t="str">
        <f aca="false">IF($A29="","",COUNTIF('Daily tracking'!$D$2:$D$2001,$A29))</f>
        <v/>
      </c>
      <c r="D29" s="16" t="str">
        <f aca="false">IF($A29="","",SUMIF('Daily tracking'!$D$2:$D$2001,$A29,'Daily tracking'!$G$2:$G$2001))</f>
        <v/>
      </c>
      <c r="E29" s="18" t="str">
        <f aca="false">IF($A29="","",IF($C29=0,"",_xlfn.MAXIFS('Daily tracking'!$A$2:$A$2001,'Daily tracking'!$D$2:$D$2001,$A29)))</f>
        <v/>
      </c>
      <c r="F29" s="6" t="str">
        <f aca="true">IF(OR($A29="",$E29=""),"",TODAY()-$E29)</f>
        <v/>
      </c>
      <c r="G29" s="3" t="str">
        <f aca="false">IF($A29="","",IF($C29=0,"No visits",IF($F29&gt;90,"Lapsed",IF($F29&gt;35,"At risk",IF($C29&gt;=4,"Loyal","Active")))))</f>
        <v/>
      </c>
      <c r="H29" s="9" t="str">
        <f aca="false">IF(OR($A29="",$C29=0),"",$D29/$C29)</f>
        <v/>
      </c>
      <c r="I29" s="20"/>
      <c r="J29" s="20"/>
      <c r="K29" s="19"/>
      <c r="L29" s="19"/>
      <c r="M29" s="19"/>
      <c r="N29" s="15" t="str">
        <f aca="false">IF($A29="","",IF($C29=0,0,(IF($F29&lt;=15,5,IF($F29&lt;=30,4,IF($F29&lt;=45,3,IF($F29&lt;=90,2,1))))+IF($C29&gt;=10,5,IF($C29&gt;=6,4,IF($C29&gt;=4,3,IF($C29&gt;=2,2,1))))+IF($D29&gt;=20000,5,IF($D29&gt;=10000,4,IF($D29&gt;=5000,3,IF($D29&gt;=2000,2,1)))))))</f>
        <v/>
      </c>
      <c r="O29" s="3" t="str">
        <f aca="false">IF($A29="","",IF($C29=0,"No visits",IF($N29&gt;=13,"VIP",IF($N29&gt;=10,"High value",IF($N29&gt;=7,"Regular",IF($N29&gt;=4,"Occasional","Low"))))))</f>
        <v/>
      </c>
      <c r="P29" s="6" t="str">
        <f aca="true">IF(OR($A29="",$I29=""),"",IF(MONTH($I29)=MONTH(TODAY()),"Yes",""))</f>
        <v/>
      </c>
      <c r="Q29" s="21" t="str">
        <f aca="false">IF($A29="","",IF($C29=0,"",_xlfn.MINIFS('Daily tracking'!$A$2:$A$2001,'Daily tracking'!$D$2:$D$2001,$A29)))</f>
        <v/>
      </c>
      <c r="R29" s="6" t="str">
        <f aca="false">IF(OR($A29="",$C29&lt;2),"",($E29-$Q29)/($C29-1))</f>
        <v/>
      </c>
    </row>
    <row r="30" customFormat="false" ht="14.25" hidden="false" customHeight="false" outlineLevel="0" collapsed="false">
      <c r="A30" s="19"/>
      <c r="B30" s="19"/>
      <c r="C30" s="15" t="str">
        <f aca="false">IF($A30="","",COUNTIF('Daily tracking'!$D$2:$D$2001,$A30))</f>
        <v/>
      </c>
      <c r="D30" s="16" t="str">
        <f aca="false">IF($A30="","",SUMIF('Daily tracking'!$D$2:$D$2001,$A30,'Daily tracking'!$G$2:$G$2001))</f>
        <v/>
      </c>
      <c r="E30" s="18" t="str">
        <f aca="false">IF($A30="","",IF($C30=0,"",_xlfn.MAXIFS('Daily tracking'!$A$2:$A$2001,'Daily tracking'!$D$2:$D$2001,$A30)))</f>
        <v/>
      </c>
      <c r="F30" s="6" t="str">
        <f aca="true">IF(OR($A30="",$E30=""),"",TODAY()-$E30)</f>
        <v/>
      </c>
      <c r="G30" s="3" t="str">
        <f aca="false">IF($A30="","",IF($C30=0,"No visits",IF($F30&gt;90,"Lapsed",IF($F30&gt;35,"At risk",IF($C30&gt;=4,"Loyal","Active")))))</f>
        <v/>
      </c>
      <c r="H30" s="9" t="str">
        <f aca="false">IF(OR($A30="",$C30=0),"",$D30/$C30)</f>
        <v/>
      </c>
      <c r="I30" s="20"/>
      <c r="J30" s="20"/>
      <c r="K30" s="19"/>
      <c r="L30" s="19"/>
      <c r="M30" s="19"/>
      <c r="N30" s="15" t="str">
        <f aca="false">IF($A30="","",IF($C30=0,0,(IF($F30&lt;=15,5,IF($F30&lt;=30,4,IF($F30&lt;=45,3,IF($F30&lt;=90,2,1))))+IF($C30&gt;=10,5,IF($C30&gt;=6,4,IF($C30&gt;=4,3,IF($C30&gt;=2,2,1))))+IF($D30&gt;=20000,5,IF($D30&gt;=10000,4,IF($D30&gt;=5000,3,IF($D30&gt;=2000,2,1)))))))</f>
        <v/>
      </c>
      <c r="O30" s="3" t="str">
        <f aca="false">IF($A30="","",IF($C30=0,"No visits",IF($N30&gt;=13,"VIP",IF($N30&gt;=10,"High value",IF($N30&gt;=7,"Regular",IF($N30&gt;=4,"Occasional","Low"))))))</f>
        <v/>
      </c>
      <c r="P30" s="6" t="str">
        <f aca="true">IF(OR($A30="",$I30=""),"",IF(MONTH($I30)=MONTH(TODAY()),"Yes",""))</f>
        <v/>
      </c>
      <c r="Q30" s="21" t="str">
        <f aca="false">IF($A30="","",IF($C30=0,"",_xlfn.MINIFS('Daily tracking'!$A$2:$A$2001,'Daily tracking'!$D$2:$D$2001,$A30)))</f>
        <v/>
      </c>
      <c r="R30" s="6" t="str">
        <f aca="false">IF(OR($A30="",$C30&lt;2),"",($E30-$Q30)/($C30-1))</f>
        <v/>
      </c>
    </row>
    <row r="31" customFormat="false" ht="14.25" hidden="false" customHeight="false" outlineLevel="0" collapsed="false">
      <c r="A31" s="19"/>
      <c r="B31" s="19"/>
      <c r="C31" s="15" t="str">
        <f aca="false">IF($A31="","",COUNTIF('Daily tracking'!$D$2:$D$2001,$A31))</f>
        <v/>
      </c>
      <c r="D31" s="16" t="str">
        <f aca="false">IF($A31="","",SUMIF('Daily tracking'!$D$2:$D$2001,$A31,'Daily tracking'!$G$2:$G$2001))</f>
        <v/>
      </c>
      <c r="E31" s="18" t="str">
        <f aca="false">IF($A31="","",IF($C31=0,"",_xlfn.MAXIFS('Daily tracking'!$A$2:$A$2001,'Daily tracking'!$D$2:$D$2001,$A31)))</f>
        <v/>
      </c>
      <c r="F31" s="6" t="str">
        <f aca="true">IF(OR($A31="",$E31=""),"",TODAY()-$E31)</f>
        <v/>
      </c>
      <c r="G31" s="3" t="str">
        <f aca="false">IF($A31="","",IF($C31=0,"No visits",IF($F31&gt;90,"Lapsed",IF($F31&gt;35,"At risk",IF($C31&gt;=4,"Loyal","Active")))))</f>
        <v/>
      </c>
      <c r="H31" s="9" t="str">
        <f aca="false">IF(OR($A31="",$C31=0),"",$D31/$C31)</f>
        <v/>
      </c>
      <c r="I31" s="20"/>
      <c r="J31" s="20"/>
      <c r="K31" s="19"/>
      <c r="L31" s="19"/>
      <c r="M31" s="19"/>
      <c r="N31" s="15" t="str">
        <f aca="false">IF($A31="","",IF($C31=0,0,(IF($F31&lt;=15,5,IF($F31&lt;=30,4,IF($F31&lt;=45,3,IF($F31&lt;=90,2,1))))+IF($C31&gt;=10,5,IF($C31&gt;=6,4,IF($C31&gt;=4,3,IF($C31&gt;=2,2,1))))+IF($D31&gt;=20000,5,IF($D31&gt;=10000,4,IF($D31&gt;=5000,3,IF($D31&gt;=2000,2,1)))))))</f>
        <v/>
      </c>
      <c r="O31" s="3" t="str">
        <f aca="false">IF($A31="","",IF($C31=0,"No visits",IF($N31&gt;=13,"VIP",IF($N31&gt;=10,"High value",IF($N31&gt;=7,"Regular",IF($N31&gt;=4,"Occasional","Low"))))))</f>
        <v/>
      </c>
      <c r="P31" s="6" t="str">
        <f aca="true">IF(OR($A31="",$I31=""),"",IF(MONTH($I31)=MONTH(TODAY()),"Yes",""))</f>
        <v/>
      </c>
      <c r="Q31" s="21" t="str">
        <f aca="false">IF($A31="","",IF($C31=0,"",_xlfn.MINIFS('Daily tracking'!$A$2:$A$2001,'Daily tracking'!$D$2:$D$2001,$A31)))</f>
        <v/>
      </c>
      <c r="R31" s="6" t="str">
        <f aca="false">IF(OR($A31="",$C31&lt;2),"",($E31-$Q31)/($C31-1))</f>
        <v/>
      </c>
    </row>
    <row r="32" customFormat="false" ht="14.25" hidden="false" customHeight="false" outlineLevel="0" collapsed="false">
      <c r="A32" s="19"/>
      <c r="B32" s="19"/>
      <c r="C32" s="15" t="str">
        <f aca="false">IF($A32="","",COUNTIF('Daily tracking'!$D$2:$D$2001,$A32))</f>
        <v/>
      </c>
      <c r="D32" s="16" t="str">
        <f aca="false">IF($A32="","",SUMIF('Daily tracking'!$D$2:$D$2001,$A32,'Daily tracking'!$G$2:$G$2001))</f>
        <v/>
      </c>
      <c r="E32" s="18" t="str">
        <f aca="false">IF($A32="","",IF($C32=0,"",_xlfn.MAXIFS('Daily tracking'!$A$2:$A$2001,'Daily tracking'!$D$2:$D$2001,$A32)))</f>
        <v/>
      </c>
      <c r="F32" s="6" t="str">
        <f aca="true">IF(OR($A32="",$E32=""),"",TODAY()-$E32)</f>
        <v/>
      </c>
      <c r="G32" s="3" t="str">
        <f aca="false">IF($A32="","",IF($C32=0,"No visits",IF($F32&gt;90,"Lapsed",IF($F32&gt;35,"At risk",IF($C32&gt;=4,"Loyal","Active")))))</f>
        <v/>
      </c>
      <c r="H32" s="9" t="str">
        <f aca="false">IF(OR($A32="",$C32=0),"",$D32/$C32)</f>
        <v/>
      </c>
      <c r="I32" s="20"/>
      <c r="J32" s="20"/>
      <c r="K32" s="19"/>
      <c r="L32" s="19"/>
      <c r="M32" s="19"/>
      <c r="N32" s="15" t="str">
        <f aca="false">IF($A32="","",IF($C32=0,0,(IF($F32&lt;=15,5,IF($F32&lt;=30,4,IF($F32&lt;=45,3,IF($F32&lt;=90,2,1))))+IF($C32&gt;=10,5,IF($C32&gt;=6,4,IF($C32&gt;=4,3,IF($C32&gt;=2,2,1))))+IF($D32&gt;=20000,5,IF($D32&gt;=10000,4,IF($D32&gt;=5000,3,IF($D32&gt;=2000,2,1)))))))</f>
        <v/>
      </c>
      <c r="O32" s="3" t="str">
        <f aca="false">IF($A32="","",IF($C32=0,"No visits",IF($N32&gt;=13,"VIP",IF($N32&gt;=10,"High value",IF($N32&gt;=7,"Regular",IF($N32&gt;=4,"Occasional","Low"))))))</f>
        <v/>
      </c>
      <c r="P32" s="6" t="str">
        <f aca="true">IF(OR($A32="",$I32=""),"",IF(MONTH($I32)=MONTH(TODAY()),"Yes",""))</f>
        <v/>
      </c>
      <c r="Q32" s="21" t="str">
        <f aca="false">IF($A32="","",IF($C32=0,"",_xlfn.MINIFS('Daily tracking'!$A$2:$A$2001,'Daily tracking'!$D$2:$D$2001,$A32)))</f>
        <v/>
      </c>
      <c r="R32" s="6" t="str">
        <f aca="false">IF(OR($A32="",$C32&lt;2),"",($E32-$Q32)/($C32-1))</f>
        <v/>
      </c>
    </row>
    <row r="33" customFormat="false" ht="14.25" hidden="false" customHeight="false" outlineLevel="0" collapsed="false">
      <c r="A33" s="19"/>
      <c r="B33" s="19"/>
      <c r="C33" s="15" t="str">
        <f aca="false">IF($A33="","",COUNTIF('Daily tracking'!$D$2:$D$2001,$A33))</f>
        <v/>
      </c>
      <c r="D33" s="16" t="str">
        <f aca="false">IF($A33="","",SUMIF('Daily tracking'!$D$2:$D$2001,$A33,'Daily tracking'!$G$2:$G$2001))</f>
        <v/>
      </c>
      <c r="E33" s="18" t="str">
        <f aca="false">IF($A33="","",IF($C33=0,"",_xlfn.MAXIFS('Daily tracking'!$A$2:$A$2001,'Daily tracking'!$D$2:$D$2001,$A33)))</f>
        <v/>
      </c>
      <c r="F33" s="6" t="str">
        <f aca="true">IF(OR($A33="",$E33=""),"",TODAY()-$E33)</f>
        <v/>
      </c>
      <c r="G33" s="3" t="str">
        <f aca="false">IF($A33="","",IF($C33=0,"No visits",IF($F33&gt;90,"Lapsed",IF($F33&gt;35,"At risk",IF($C33&gt;=4,"Loyal","Active")))))</f>
        <v/>
      </c>
      <c r="H33" s="9" t="str">
        <f aca="false">IF(OR($A33="",$C33=0),"",$D33/$C33)</f>
        <v/>
      </c>
      <c r="I33" s="20"/>
      <c r="J33" s="20"/>
      <c r="K33" s="19"/>
      <c r="L33" s="19"/>
      <c r="M33" s="19"/>
      <c r="N33" s="15" t="str">
        <f aca="false">IF($A33="","",IF($C33=0,0,(IF($F33&lt;=15,5,IF($F33&lt;=30,4,IF($F33&lt;=45,3,IF($F33&lt;=90,2,1))))+IF($C33&gt;=10,5,IF($C33&gt;=6,4,IF($C33&gt;=4,3,IF($C33&gt;=2,2,1))))+IF($D33&gt;=20000,5,IF($D33&gt;=10000,4,IF($D33&gt;=5000,3,IF($D33&gt;=2000,2,1)))))))</f>
        <v/>
      </c>
      <c r="O33" s="3" t="str">
        <f aca="false">IF($A33="","",IF($C33=0,"No visits",IF($N33&gt;=13,"VIP",IF($N33&gt;=10,"High value",IF($N33&gt;=7,"Regular",IF($N33&gt;=4,"Occasional","Low"))))))</f>
        <v/>
      </c>
      <c r="P33" s="6" t="str">
        <f aca="true">IF(OR($A33="",$I33=""),"",IF(MONTH($I33)=MONTH(TODAY()),"Yes",""))</f>
        <v/>
      </c>
      <c r="Q33" s="21" t="str">
        <f aca="false">IF($A33="","",IF($C33=0,"",_xlfn.MINIFS('Daily tracking'!$A$2:$A$2001,'Daily tracking'!$D$2:$D$2001,$A33)))</f>
        <v/>
      </c>
      <c r="R33" s="6" t="str">
        <f aca="false">IF(OR($A33="",$C33&lt;2),"",($E33-$Q33)/($C33-1))</f>
        <v/>
      </c>
    </row>
    <row r="34" customFormat="false" ht="14.25" hidden="false" customHeight="false" outlineLevel="0" collapsed="false">
      <c r="A34" s="19"/>
      <c r="B34" s="19"/>
      <c r="C34" s="15" t="str">
        <f aca="false">IF($A34="","",COUNTIF('Daily tracking'!$D$2:$D$2001,$A34))</f>
        <v/>
      </c>
      <c r="D34" s="16" t="str">
        <f aca="false">IF($A34="","",SUMIF('Daily tracking'!$D$2:$D$2001,$A34,'Daily tracking'!$G$2:$G$2001))</f>
        <v/>
      </c>
      <c r="E34" s="18" t="str">
        <f aca="false">IF($A34="","",IF($C34=0,"",_xlfn.MAXIFS('Daily tracking'!$A$2:$A$2001,'Daily tracking'!$D$2:$D$2001,$A34)))</f>
        <v/>
      </c>
      <c r="F34" s="6" t="str">
        <f aca="true">IF(OR($A34="",$E34=""),"",TODAY()-$E34)</f>
        <v/>
      </c>
      <c r="G34" s="3" t="str">
        <f aca="false">IF($A34="","",IF($C34=0,"No visits",IF($F34&gt;90,"Lapsed",IF($F34&gt;35,"At risk",IF($C34&gt;=4,"Loyal","Active")))))</f>
        <v/>
      </c>
      <c r="H34" s="9" t="str">
        <f aca="false">IF(OR($A34="",$C34=0),"",$D34/$C34)</f>
        <v/>
      </c>
      <c r="I34" s="20"/>
      <c r="J34" s="20"/>
      <c r="K34" s="19"/>
      <c r="L34" s="19"/>
      <c r="M34" s="19"/>
      <c r="N34" s="15" t="str">
        <f aca="false">IF($A34="","",IF($C34=0,0,(IF($F34&lt;=15,5,IF($F34&lt;=30,4,IF($F34&lt;=45,3,IF($F34&lt;=90,2,1))))+IF($C34&gt;=10,5,IF($C34&gt;=6,4,IF($C34&gt;=4,3,IF($C34&gt;=2,2,1))))+IF($D34&gt;=20000,5,IF($D34&gt;=10000,4,IF($D34&gt;=5000,3,IF($D34&gt;=2000,2,1)))))))</f>
        <v/>
      </c>
      <c r="O34" s="3" t="str">
        <f aca="false">IF($A34="","",IF($C34=0,"No visits",IF($N34&gt;=13,"VIP",IF($N34&gt;=10,"High value",IF($N34&gt;=7,"Regular",IF($N34&gt;=4,"Occasional","Low"))))))</f>
        <v/>
      </c>
      <c r="P34" s="6" t="str">
        <f aca="true">IF(OR($A34="",$I34=""),"",IF(MONTH($I34)=MONTH(TODAY()),"Yes",""))</f>
        <v/>
      </c>
      <c r="Q34" s="21" t="str">
        <f aca="false">IF($A34="","",IF($C34=0,"",_xlfn.MINIFS('Daily tracking'!$A$2:$A$2001,'Daily tracking'!$D$2:$D$2001,$A34)))</f>
        <v/>
      </c>
      <c r="R34" s="6" t="str">
        <f aca="false">IF(OR($A34="",$C34&lt;2),"",($E34-$Q34)/($C34-1))</f>
        <v/>
      </c>
    </row>
    <row r="35" customFormat="false" ht="14.25" hidden="false" customHeight="false" outlineLevel="0" collapsed="false">
      <c r="A35" s="19"/>
      <c r="B35" s="19"/>
      <c r="C35" s="15" t="str">
        <f aca="false">IF($A35="","",COUNTIF('Daily tracking'!$D$2:$D$2001,$A35))</f>
        <v/>
      </c>
      <c r="D35" s="16" t="str">
        <f aca="false">IF($A35="","",SUMIF('Daily tracking'!$D$2:$D$2001,$A35,'Daily tracking'!$G$2:$G$2001))</f>
        <v/>
      </c>
      <c r="E35" s="18" t="str">
        <f aca="false">IF($A35="","",IF($C35=0,"",_xlfn.MAXIFS('Daily tracking'!$A$2:$A$2001,'Daily tracking'!$D$2:$D$2001,$A35)))</f>
        <v/>
      </c>
      <c r="F35" s="6" t="str">
        <f aca="true">IF(OR($A35="",$E35=""),"",TODAY()-$E35)</f>
        <v/>
      </c>
      <c r="G35" s="3" t="str">
        <f aca="false">IF($A35="","",IF($C35=0,"No visits",IF($F35&gt;90,"Lapsed",IF($F35&gt;35,"At risk",IF($C35&gt;=4,"Loyal","Active")))))</f>
        <v/>
      </c>
      <c r="H35" s="9" t="str">
        <f aca="false">IF(OR($A35="",$C35=0),"",$D35/$C35)</f>
        <v/>
      </c>
      <c r="I35" s="20"/>
      <c r="J35" s="20"/>
      <c r="K35" s="19"/>
      <c r="L35" s="19"/>
      <c r="M35" s="19"/>
      <c r="N35" s="15" t="str">
        <f aca="false">IF($A35="","",IF($C35=0,0,(IF($F35&lt;=15,5,IF($F35&lt;=30,4,IF($F35&lt;=45,3,IF($F35&lt;=90,2,1))))+IF($C35&gt;=10,5,IF($C35&gt;=6,4,IF($C35&gt;=4,3,IF($C35&gt;=2,2,1))))+IF($D35&gt;=20000,5,IF($D35&gt;=10000,4,IF($D35&gt;=5000,3,IF($D35&gt;=2000,2,1)))))))</f>
        <v/>
      </c>
      <c r="O35" s="3" t="str">
        <f aca="false">IF($A35="","",IF($C35=0,"No visits",IF($N35&gt;=13,"VIP",IF($N35&gt;=10,"High value",IF($N35&gt;=7,"Regular",IF($N35&gt;=4,"Occasional","Low"))))))</f>
        <v/>
      </c>
      <c r="P35" s="6" t="str">
        <f aca="true">IF(OR($A35="",$I35=""),"",IF(MONTH($I35)=MONTH(TODAY()),"Yes",""))</f>
        <v/>
      </c>
      <c r="Q35" s="21" t="str">
        <f aca="false">IF($A35="","",IF($C35=0,"",_xlfn.MINIFS('Daily tracking'!$A$2:$A$2001,'Daily tracking'!$D$2:$D$2001,$A35)))</f>
        <v/>
      </c>
      <c r="R35" s="6" t="str">
        <f aca="false">IF(OR($A35="",$C35&lt;2),"",($E35-$Q35)/($C35-1))</f>
        <v/>
      </c>
    </row>
    <row r="36" customFormat="false" ht="14.25" hidden="false" customHeight="false" outlineLevel="0" collapsed="false">
      <c r="A36" s="19"/>
      <c r="B36" s="19"/>
      <c r="C36" s="15" t="str">
        <f aca="false">IF($A36="","",COUNTIF('Daily tracking'!$D$2:$D$2001,$A36))</f>
        <v/>
      </c>
      <c r="D36" s="16" t="str">
        <f aca="false">IF($A36="","",SUMIF('Daily tracking'!$D$2:$D$2001,$A36,'Daily tracking'!$G$2:$G$2001))</f>
        <v/>
      </c>
      <c r="E36" s="18" t="str">
        <f aca="false">IF($A36="","",IF($C36=0,"",_xlfn.MAXIFS('Daily tracking'!$A$2:$A$2001,'Daily tracking'!$D$2:$D$2001,$A36)))</f>
        <v/>
      </c>
      <c r="F36" s="6" t="str">
        <f aca="true">IF(OR($A36="",$E36=""),"",TODAY()-$E36)</f>
        <v/>
      </c>
      <c r="G36" s="3" t="str">
        <f aca="false">IF($A36="","",IF($C36=0,"No visits",IF($F36&gt;90,"Lapsed",IF($F36&gt;35,"At risk",IF($C36&gt;=4,"Loyal","Active")))))</f>
        <v/>
      </c>
      <c r="H36" s="9" t="str">
        <f aca="false">IF(OR($A36="",$C36=0),"",$D36/$C36)</f>
        <v/>
      </c>
      <c r="I36" s="20"/>
      <c r="J36" s="20"/>
      <c r="K36" s="19"/>
      <c r="L36" s="19"/>
      <c r="M36" s="19"/>
      <c r="N36" s="15" t="str">
        <f aca="false">IF($A36="","",IF($C36=0,0,(IF($F36&lt;=15,5,IF($F36&lt;=30,4,IF($F36&lt;=45,3,IF($F36&lt;=90,2,1))))+IF($C36&gt;=10,5,IF($C36&gt;=6,4,IF($C36&gt;=4,3,IF($C36&gt;=2,2,1))))+IF($D36&gt;=20000,5,IF($D36&gt;=10000,4,IF($D36&gt;=5000,3,IF($D36&gt;=2000,2,1)))))))</f>
        <v/>
      </c>
      <c r="O36" s="3" t="str">
        <f aca="false">IF($A36="","",IF($C36=0,"No visits",IF($N36&gt;=13,"VIP",IF($N36&gt;=10,"High value",IF($N36&gt;=7,"Regular",IF($N36&gt;=4,"Occasional","Low"))))))</f>
        <v/>
      </c>
      <c r="P36" s="6" t="str">
        <f aca="true">IF(OR($A36="",$I36=""),"",IF(MONTH($I36)=MONTH(TODAY()),"Yes",""))</f>
        <v/>
      </c>
      <c r="Q36" s="21" t="str">
        <f aca="false">IF($A36="","",IF($C36=0,"",_xlfn.MINIFS('Daily tracking'!$A$2:$A$2001,'Daily tracking'!$D$2:$D$2001,$A36)))</f>
        <v/>
      </c>
      <c r="R36" s="6" t="str">
        <f aca="false">IF(OR($A36="",$C36&lt;2),"",($E36-$Q36)/($C36-1))</f>
        <v/>
      </c>
    </row>
    <row r="37" customFormat="false" ht="14.25" hidden="false" customHeight="false" outlineLevel="0" collapsed="false">
      <c r="A37" s="19"/>
      <c r="B37" s="19"/>
      <c r="C37" s="15" t="str">
        <f aca="false">IF($A37="","",COUNTIF('Daily tracking'!$D$2:$D$2001,$A37))</f>
        <v/>
      </c>
      <c r="D37" s="16" t="str">
        <f aca="false">IF($A37="","",SUMIF('Daily tracking'!$D$2:$D$2001,$A37,'Daily tracking'!$G$2:$G$2001))</f>
        <v/>
      </c>
      <c r="E37" s="18" t="str">
        <f aca="false">IF($A37="","",IF($C37=0,"",_xlfn.MAXIFS('Daily tracking'!$A$2:$A$2001,'Daily tracking'!$D$2:$D$2001,$A37)))</f>
        <v/>
      </c>
      <c r="F37" s="6" t="str">
        <f aca="true">IF(OR($A37="",$E37=""),"",TODAY()-$E37)</f>
        <v/>
      </c>
      <c r="G37" s="3" t="str">
        <f aca="false">IF($A37="","",IF($C37=0,"No visits",IF($F37&gt;90,"Lapsed",IF($F37&gt;35,"At risk",IF($C37&gt;=4,"Loyal","Active")))))</f>
        <v/>
      </c>
      <c r="H37" s="9" t="str">
        <f aca="false">IF(OR($A37="",$C37=0),"",$D37/$C37)</f>
        <v/>
      </c>
      <c r="I37" s="20"/>
      <c r="J37" s="20"/>
      <c r="K37" s="19"/>
      <c r="L37" s="19"/>
      <c r="M37" s="19"/>
      <c r="N37" s="15" t="str">
        <f aca="false">IF($A37="","",IF($C37=0,0,(IF($F37&lt;=15,5,IF($F37&lt;=30,4,IF($F37&lt;=45,3,IF($F37&lt;=90,2,1))))+IF($C37&gt;=10,5,IF($C37&gt;=6,4,IF($C37&gt;=4,3,IF($C37&gt;=2,2,1))))+IF($D37&gt;=20000,5,IF($D37&gt;=10000,4,IF($D37&gt;=5000,3,IF($D37&gt;=2000,2,1)))))))</f>
        <v/>
      </c>
      <c r="O37" s="3" t="str">
        <f aca="false">IF($A37="","",IF($C37=0,"No visits",IF($N37&gt;=13,"VIP",IF($N37&gt;=10,"High value",IF($N37&gt;=7,"Regular",IF($N37&gt;=4,"Occasional","Low"))))))</f>
        <v/>
      </c>
      <c r="P37" s="6" t="str">
        <f aca="true">IF(OR($A37="",$I37=""),"",IF(MONTH($I37)=MONTH(TODAY()),"Yes",""))</f>
        <v/>
      </c>
      <c r="Q37" s="21" t="str">
        <f aca="false">IF($A37="","",IF($C37=0,"",_xlfn.MINIFS('Daily tracking'!$A$2:$A$2001,'Daily tracking'!$D$2:$D$2001,$A37)))</f>
        <v/>
      </c>
      <c r="R37" s="6" t="str">
        <f aca="false">IF(OR($A37="",$C37&lt;2),"",($E37-$Q37)/($C37-1))</f>
        <v/>
      </c>
    </row>
    <row r="38" customFormat="false" ht="14.25" hidden="false" customHeight="false" outlineLevel="0" collapsed="false">
      <c r="A38" s="19"/>
      <c r="B38" s="19"/>
      <c r="C38" s="15" t="str">
        <f aca="false">IF($A38="","",COUNTIF('Daily tracking'!$D$2:$D$2001,$A38))</f>
        <v/>
      </c>
      <c r="D38" s="16" t="str">
        <f aca="false">IF($A38="","",SUMIF('Daily tracking'!$D$2:$D$2001,$A38,'Daily tracking'!$G$2:$G$2001))</f>
        <v/>
      </c>
      <c r="E38" s="18" t="str">
        <f aca="false">IF($A38="","",IF($C38=0,"",_xlfn.MAXIFS('Daily tracking'!$A$2:$A$2001,'Daily tracking'!$D$2:$D$2001,$A38)))</f>
        <v/>
      </c>
      <c r="F38" s="6" t="str">
        <f aca="true">IF(OR($A38="",$E38=""),"",TODAY()-$E38)</f>
        <v/>
      </c>
      <c r="G38" s="3" t="str">
        <f aca="false">IF($A38="","",IF($C38=0,"No visits",IF($F38&gt;90,"Lapsed",IF($F38&gt;35,"At risk",IF($C38&gt;=4,"Loyal","Active")))))</f>
        <v/>
      </c>
      <c r="H38" s="9" t="str">
        <f aca="false">IF(OR($A38="",$C38=0),"",$D38/$C38)</f>
        <v/>
      </c>
      <c r="I38" s="20"/>
      <c r="J38" s="20"/>
      <c r="K38" s="19"/>
      <c r="L38" s="19"/>
      <c r="M38" s="19"/>
      <c r="N38" s="15" t="str">
        <f aca="false">IF($A38="","",IF($C38=0,0,(IF($F38&lt;=15,5,IF($F38&lt;=30,4,IF($F38&lt;=45,3,IF($F38&lt;=90,2,1))))+IF($C38&gt;=10,5,IF($C38&gt;=6,4,IF($C38&gt;=4,3,IF($C38&gt;=2,2,1))))+IF($D38&gt;=20000,5,IF($D38&gt;=10000,4,IF($D38&gt;=5000,3,IF($D38&gt;=2000,2,1)))))))</f>
        <v/>
      </c>
      <c r="O38" s="3" t="str">
        <f aca="false">IF($A38="","",IF($C38=0,"No visits",IF($N38&gt;=13,"VIP",IF($N38&gt;=10,"High value",IF($N38&gt;=7,"Regular",IF($N38&gt;=4,"Occasional","Low"))))))</f>
        <v/>
      </c>
      <c r="P38" s="6" t="str">
        <f aca="true">IF(OR($A38="",$I38=""),"",IF(MONTH($I38)=MONTH(TODAY()),"Yes",""))</f>
        <v/>
      </c>
      <c r="Q38" s="21" t="str">
        <f aca="false">IF($A38="","",IF($C38=0,"",_xlfn.MINIFS('Daily tracking'!$A$2:$A$2001,'Daily tracking'!$D$2:$D$2001,$A38)))</f>
        <v/>
      </c>
      <c r="R38" s="6" t="str">
        <f aca="false">IF(OR($A38="",$C38&lt;2),"",($E38-$Q38)/($C38-1))</f>
        <v/>
      </c>
    </row>
    <row r="39" customFormat="false" ht="14.25" hidden="false" customHeight="false" outlineLevel="0" collapsed="false">
      <c r="A39" s="19"/>
      <c r="B39" s="19"/>
      <c r="C39" s="15" t="str">
        <f aca="false">IF($A39="","",COUNTIF('Daily tracking'!$D$2:$D$2001,$A39))</f>
        <v/>
      </c>
      <c r="D39" s="16" t="str">
        <f aca="false">IF($A39="","",SUMIF('Daily tracking'!$D$2:$D$2001,$A39,'Daily tracking'!$G$2:$G$2001))</f>
        <v/>
      </c>
      <c r="E39" s="18" t="str">
        <f aca="false">IF($A39="","",IF($C39=0,"",_xlfn.MAXIFS('Daily tracking'!$A$2:$A$2001,'Daily tracking'!$D$2:$D$2001,$A39)))</f>
        <v/>
      </c>
      <c r="F39" s="6" t="str">
        <f aca="true">IF(OR($A39="",$E39=""),"",TODAY()-$E39)</f>
        <v/>
      </c>
      <c r="G39" s="3" t="str">
        <f aca="false">IF($A39="","",IF($C39=0,"No visits",IF($F39&gt;90,"Lapsed",IF($F39&gt;35,"At risk",IF($C39&gt;=4,"Loyal","Active")))))</f>
        <v/>
      </c>
      <c r="H39" s="9" t="str">
        <f aca="false">IF(OR($A39="",$C39=0),"",$D39/$C39)</f>
        <v/>
      </c>
      <c r="I39" s="20"/>
      <c r="J39" s="20"/>
      <c r="K39" s="19"/>
      <c r="L39" s="19"/>
      <c r="M39" s="19"/>
      <c r="N39" s="15" t="str">
        <f aca="false">IF($A39="","",IF($C39=0,0,(IF($F39&lt;=15,5,IF($F39&lt;=30,4,IF($F39&lt;=45,3,IF($F39&lt;=90,2,1))))+IF($C39&gt;=10,5,IF($C39&gt;=6,4,IF($C39&gt;=4,3,IF($C39&gt;=2,2,1))))+IF($D39&gt;=20000,5,IF($D39&gt;=10000,4,IF($D39&gt;=5000,3,IF($D39&gt;=2000,2,1)))))))</f>
        <v/>
      </c>
      <c r="O39" s="3" t="str">
        <f aca="false">IF($A39="","",IF($C39=0,"No visits",IF($N39&gt;=13,"VIP",IF($N39&gt;=10,"High value",IF($N39&gt;=7,"Regular",IF($N39&gt;=4,"Occasional","Low"))))))</f>
        <v/>
      </c>
      <c r="P39" s="6" t="str">
        <f aca="true">IF(OR($A39="",$I39=""),"",IF(MONTH($I39)=MONTH(TODAY()),"Yes",""))</f>
        <v/>
      </c>
      <c r="Q39" s="21" t="str">
        <f aca="false">IF($A39="","",IF($C39=0,"",_xlfn.MINIFS('Daily tracking'!$A$2:$A$2001,'Daily tracking'!$D$2:$D$2001,$A39)))</f>
        <v/>
      </c>
      <c r="R39" s="6" t="str">
        <f aca="false">IF(OR($A39="",$C39&lt;2),"",($E39-$Q39)/($C39-1))</f>
        <v/>
      </c>
    </row>
    <row r="40" customFormat="false" ht="14.25" hidden="false" customHeight="false" outlineLevel="0" collapsed="false">
      <c r="A40" s="19"/>
      <c r="B40" s="19"/>
      <c r="C40" s="15" t="str">
        <f aca="false">IF($A40="","",COUNTIF('Daily tracking'!$D$2:$D$2001,$A40))</f>
        <v/>
      </c>
      <c r="D40" s="16" t="str">
        <f aca="false">IF($A40="","",SUMIF('Daily tracking'!$D$2:$D$2001,$A40,'Daily tracking'!$G$2:$G$2001))</f>
        <v/>
      </c>
      <c r="E40" s="18" t="str">
        <f aca="false">IF($A40="","",IF($C40=0,"",_xlfn.MAXIFS('Daily tracking'!$A$2:$A$2001,'Daily tracking'!$D$2:$D$2001,$A40)))</f>
        <v/>
      </c>
      <c r="F40" s="6" t="str">
        <f aca="true">IF(OR($A40="",$E40=""),"",TODAY()-$E40)</f>
        <v/>
      </c>
      <c r="G40" s="3" t="str">
        <f aca="false">IF($A40="","",IF($C40=0,"No visits",IF($F40&gt;90,"Lapsed",IF($F40&gt;35,"At risk",IF($C40&gt;=4,"Loyal","Active")))))</f>
        <v/>
      </c>
      <c r="H40" s="9" t="str">
        <f aca="false">IF(OR($A40="",$C40=0),"",$D40/$C40)</f>
        <v/>
      </c>
      <c r="I40" s="20"/>
      <c r="J40" s="20"/>
      <c r="K40" s="19"/>
      <c r="L40" s="19"/>
      <c r="M40" s="19"/>
      <c r="N40" s="15" t="str">
        <f aca="false">IF($A40="","",IF($C40=0,0,(IF($F40&lt;=15,5,IF($F40&lt;=30,4,IF($F40&lt;=45,3,IF($F40&lt;=90,2,1))))+IF($C40&gt;=10,5,IF($C40&gt;=6,4,IF($C40&gt;=4,3,IF($C40&gt;=2,2,1))))+IF($D40&gt;=20000,5,IF($D40&gt;=10000,4,IF($D40&gt;=5000,3,IF($D40&gt;=2000,2,1)))))))</f>
        <v/>
      </c>
      <c r="O40" s="3" t="str">
        <f aca="false">IF($A40="","",IF($C40=0,"No visits",IF($N40&gt;=13,"VIP",IF($N40&gt;=10,"High value",IF($N40&gt;=7,"Regular",IF($N40&gt;=4,"Occasional","Low"))))))</f>
        <v/>
      </c>
      <c r="P40" s="6" t="str">
        <f aca="true">IF(OR($A40="",$I40=""),"",IF(MONTH($I40)=MONTH(TODAY()),"Yes",""))</f>
        <v/>
      </c>
      <c r="Q40" s="21" t="str">
        <f aca="false">IF($A40="","",IF($C40=0,"",_xlfn.MINIFS('Daily tracking'!$A$2:$A$2001,'Daily tracking'!$D$2:$D$2001,$A40)))</f>
        <v/>
      </c>
      <c r="R40" s="6" t="str">
        <f aca="false">IF(OR($A40="",$C40&lt;2),"",($E40-$Q40)/($C40-1))</f>
        <v/>
      </c>
    </row>
    <row r="41" customFormat="false" ht="14.25" hidden="false" customHeight="false" outlineLevel="0" collapsed="false">
      <c r="A41" s="19"/>
      <c r="B41" s="19"/>
      <c r="C41" s="15" t="str">
        <f aca="false">IF($A41="","",COUNTIF('Daily tracking'!$D$2:$D$2001,$A41))</f>
        <v/>
      </c>
      <c r="D41" s="16" t="str">
        <f aca="false">IF($A41="","",SUMIF('Daily tracking'!$D$2:$D$2001,$A41,'Daily tracking'!$G$2:$G$2001))</f>
        <v/>
      </c>
      <c r="E41" s="18" t="str">
        <f aca="false">IF($A41="","",IF($C41=0,"",_xlfn.MAXIFS('Daily tracking'!$A$2:$A$2001,'Daily tracking'!$D$2:$D$2001,$A41)))</f>
        <v/>
      </c>
      <c r="F41" s="6" t="str">
        <f aca="true">IF(OR($A41="",$E41=""),"",TODAY()-$E41)</f>
        <v/>
      </c>
      <c r="G41" s="3" t="str">
        <f aca="false">IF($A41="","",IF($C41=0,"No visits",IF($F41&gt;90,"Lapsed",IF($F41&gt;35,"At risk",IF($C41&gt;=4,"Loyal","Active")))))</f>
        <v/>
      </c>
      <c r="H41" s="9" t="str">
        <f aca="false">IF(OR($A41="",$C41=0),"",$D41/$C41)</f>
        <v/>
      </c>
      <c r="I41" s="20"/>
      <c r="J41" s="20"/>
      <c r="K41" s="19"/>
      <c r="L41" s="19"/>
      <c r="M41" s="19"/>
      <c r="N41" s="15" t="str">
        <f aca="false">IF($A41="","",IF($C41=0,0,(IF($F41&lt;=15,5,IF($F41&lt;=30,4,IF($F41&lt;=45,3,IF($F41&lt;=90,2,1))))+IF($C41&gt;=10,5,IF($C41&gt;=6,4,IF($C41&gt;=4,3,IF($C41&gt;=2,2,1))))+IF($D41&gt;=20000,5,IF($D41&gt;=10000,4,IF($D41&gt;=5000,3,IF($D41&gt;=2000,2,1)))))))</f>
        <v/>
      </c>
      <c r="O41" s="3" t="str">
        <f aca="false">IF($A41="","",IF($C41=0,"No visits",IF($N41&gt;=13,"VIP",IF($N41&gt;=10,"High value",IF($N41&gt;=7,"Regular",IF($N41&gt;=4,"Occasional","Low"))))))</f>
        <v/>
      </c>
      <c r="P41" s="6" t="str">
        <f aca="true">IF(OR($A41="",$I41=""),"",IF(MONTH($I41)=MONTH(TODAY()),"Yes",""))</f>
        <v/>
      </c>
      <c r="Q41" s="21" t="str">
        <f aca="false">IF($A41="","",IF($C41=0,"",_xlfn.MINIFS('Daily tracking'!$A$2:$A$2001,'Daily tracking'!$D$2:$D$2001,$A41)))</f>
        <v/>
      </c>
      <c r="R41" s="6" t="str">
        <f aca="false">IF(OR($A41="",$C41&lt;2),"",($E41-$Q41)/($C41-1))</f>
        <v/>
      </c>
    </row>
    <row r="42" customFormat="false" ht="14.25" hidden="false" customHeight="false" outlineLevel="0" collapsed="false">
      <c r="A42" s="19"/>
      <c r="B42" s="19"/>
      <c r="C42" s="15" t="str">
        <f aca="false">IF($A42="","",COUNTIF('Daily tracking'!$D$2:$D$2001,$A42))</f>
        <v/>
      </c>
      <c r="D42" s="16" t="str">
        <f aca="false">IF($A42="","",SUMIF('Daily tracking'!$D$2:$D$2001,$A42,'Daily tracking'!$G$2:$G$2001))</f>
        <v/>
      </c>
      <c r="E42" s="18" t="str">
        <f aca="false">IF($A42="","",IF($C42=0,"",_xlfn.MAXIFS('Daily tracking'!$A$2:$A$2001,'Daily tracking'!$D$2:$D$2001,$A42)))</f>
        <v/>
      </c>
      <c r="F42" s="6" t="str">
        <f aca="true">IF(OR($A42="",$E42=""),"",TODAY()-$E42)</f>
        <v/>
      </c>
      <c r="G42" s="3" t="str">
        <f aca="false">IF($A42="","",IF($C42=0,"No visits",IF($F42&gt;90,"Lapsed",IF($F42&gt;35,"At risk",IF($C42&gt;=4,"Loyal","Active")))))</f>
        <v/>
      </c>
      <c r="H42" s="9" t="str">
        <f aca="false">IF(OR($A42="",$C42=0),"",$D42/$C42)</f>
        <v/>
      </c>
      <c r="I42" s="20"/>
      <c r="J42" s="20"/>
      <c r="K42" s="19"/>
      <c r="L42" s="19"/>
      <c r="M42" s="19"/>
      <c r="N42" s="15" t="str">
        <f aca="false">IF($A42="","",IF($C42=0,0,(IF($F42&lt;=15,5,IF($F42&lt;=30,4,IF($F42&lt;=45,3,IF($F42&lt;=90,2,1))))+IF($C42&gt;=10,5,IF($C42&gt;=6,4,IF($C42&gt;=4,3,IF($C42&gt;=2,2,1))))+IF($D42&gt;=20000,5,IF($D42&gt;=10000,4,IF($D42&gt;=5000,3,IF($D42&gt;=2000,2,1)))))))</f>
        <v/>
      </c>
      <c r="O42" s="3" t="str">
        <f aca="false">IF($A42="","",IF($C42=0,"No visits",IF($N42&gt;=13,"VIP",IF($N42&gt;=10,"High value",IF($N42&gt;=7,"Regular",IF($N42&gt;=4,"Occasional","Low"))))))</f>
        <v/>
      </c>
      <c r="P42" s="6" t="str">
        <f aca="true">IF(OR($A42="",$I42=""),"",IF(MONTH($I42)=MONTH(TODAY()),"Yes",""))</f>
        <v/>
      </c>
      <c r="Q42" s="21" t="str">
        <f aca="false">IF($A42="","",IF($C42=0,"",_xlfn.MINIFS('Daily tracking'!$A$2:$A$2001,'Daily tracking'!$D$2:$D$2001,$A42)))</f>
        <v/>
      </c>
      <c r="R42" s="6" t="str">
        <f aca="false">IF(OR($A42="",$C42&lt;2),"",($E42-$Q42)/($C42-1))</f>
        <v/>
      </c>
    </row>
    <row r="43" customFormat="false" ht="14.25" hidden="false" customHeight="false" outlineLevel="0" collapsed="false">
      <c r="A43" s="19"/>
      <c r="B43" s="19"/>
      <c r="C43" s="15" t="str">
        <f aca="false">IF($A43="","",COUNTIF('Daily tracking'!$D$2:$D$2001,$A43))</f>
        <v/>
      </c>
      <c r="D43" s="16" t="str">
        <f aca="false">IF($A43="","",SUMIF('Daily tracking'!$D$2:$D$2001,$A43,'Daily tracking'!$G$2:$G$2001))</f>
        <v/>
      </c>
      <c r="E43" s="18" t="str">
        <f aca="false">IF($A43="","",IF($C43=0,"",_xlfn.MAXIFS('Daily tracking'!$A$2:$A$2001,'Daily tracking'!$D$2:$D$2001,$A43)))</f>
        <v/>
      </c>
      <c r="F43" s="6" t="str">
        <f aca="true">IF(OR($A43="",$E43=""),"",TODAY()-$E43)</f>
        <v/>
      </c>
      <c r="G43" s="3" t="str">
        <f aca="false">IF($A43="","",IF($C43=0,"No visits",IF($F43&gt;90,"Lapsed",IF($F43&gt;35,"At risk",IF($C43&gt;=4,"Loyal","Active")))))</f>
        <v/>
      </c>
      <c r="H43" s="9" t="str">
        <f aca="false">IF(OR($A43="",$C43=0),"",$D43/$C43)</f>
        <v/>
      </c>
      <c r="I43" s="20"/>
      <c r="J43" s="20"/>
      <c r="K43" s="19"/>
      <c r="L43" s="19"/>
      <c r="M43" s="19"/>
      <c r="N43" s="15" t="str">
        <f aca="false">IF($A43="","",IF($C43=0,0,(IF($F43&lt;=15,5,IF($F43&lt;=30,4,IF($F43&lt;=45,3,IF($F43&lt;=90,2,1))))+IF($C43&gt;=10,5,IF($C43&gt;=6,4,IF($C43&gt;=4,3,IF($C43&gt;=2,2,1))))+IF($D43&gt;=20000,5,IF($D43&gt;=10000,4,IF($D43&gt;=5000,3,IF($D43&gt;=2000,2,1)))))))</f>
        <v/>
      </c>
      <c r="O43" s="3" t="str">
        <f aca="false">IF($A43="","",IF($C43=0,"No visits",IF($N43&gt;=13,"VIP",IF($N43&gt;=10,"High value",IF($N43&gt;=7,"Regular",IF($N43&gt;=4,"Occasional","Low"))))))</f>
        <v/>
      </c>
      <c r="P43" s="6" t="str">
        <f aca="true">IF(OR($A43="",$I43=""),"",IF(MONTH($I43)=MONTH(TODAY()),"Yes",""))</f>
        <v/>
      </c>
      <c r="Q43" s="21" t="str">
        <f aca="false">IF($A43="","",IF($C43=0,"",_xlfn.MINIFS('Daily tracking'!$A$2:$A$2001,'Daily tracking'!$D$2:$D$2001,$A43)))</f>
        <v/>
      </c>
      <c r="R43" s="6" t="str">
        <f aca="false">IF(OR($A43="",$C43&lt;2),"",($E43-$Q43)/($C43-1))</f>
        <v/>
      </c>
    </row>
    <row r="44" customFormat="false" ht="14.25" hidden="false" customHeight="false" outlineLevel="0" collapsed="false">
      <c r="A44" s="19"/>
      <c r="B44" s="19"/>
      <c r="C44" s="15" t="str">
        <f aca="false">IF($A44="","",COUNTIF('Daily tracking'!$D$2:$D$2001,$A44))</f>
        <v/>
      </c>
      <c r="D44" s="16" t="str">
        <f aca="false">IF($A44="","",SUMIF('Daily tracking'!$D$2:$D$2001,$A44,'Daily tracking'!$G$2:$G$2001))</f>
        <v/>
      </c>
      <c r="E44" s="18" t="str">
        <f aca="false">IF($A44="","",IF($C44=0,"",_xlfn.MAXIFS('Daily tracking'!$A$2:$A$2001,'Daily tracking'!$D$2:$D$2001,$A44)))</f>
        <v/>
      </c>
      <c r="F44" s="6" t="str">
        <f aca="true">IF(OR($A44="",$E44=""),"",TODAY()-$E44)</f>
        <v/>
      </c>
      <c r="G44" s="3" t="str">
        <f aca="false">IF($A44="","",IF($C44=0,"No visits",IF($F44&gt;90,"Lapsed",IF($F44&gt;35,"At risk",IF($C44&gt;=4,"Loyal","Active")))))</f>
        <v/>
      </c>
      <c r="H44" s="9" t="str">
        <f aca="false">IF(OR($A44="",$C44=0),"",$D44/$C44)</f>
        <v/>
      </c>
      <c r="I44" s="20"/>
      <c r="J44" s="20"/>
      <c r="K44" s="19"/>
      <c r="L44" s="19"/>
      <c r="M44" s="19"/>
      <c r="N44" s="15" t="str">
        <f aca="false">IF($A44="","",IF($C44=0,0,(IF($F44&lt;=15,5,IF($F44&lt;=30,4,IF($F44&lt;=45,3,IF($F44&lt;=90,2,1))))+IF($C44&gt;=10,5,IF($C44&gt;=6,4,IF($C44&gt;=4,3,IF($C44&gt;=2,2,1))))+IF($D44&gt;=20000,5,IF($D44&gt;=10000,4,IF($D44&gt;=5000,3,IF($D44&gt;=2000,2,1)))))))</f>
        <v/>
      </c>
      <c r="O44" s="3" t="str">
        <f aca="false">IF($A44="","",IF($C44=0,"No visits",IF($N44&gt;=13,"VIP",IF($N44&gt;=10,"High value",IF($N44&gt;=7,"Regular",IF($N44&gt;=4,"Occasional","Low"))))))</f>
        <v/>
      </c>
      <c r="P44" s="6" t="str">
        <f aca="true">IF(OR($A44="",$I44=""),"",IF(MONTH($I44)=MONTH(TODAY()),"Yes",""))</f>
        <v/>
      </c>
      <c r="Q44" s="21" t="str">
        <f aca="false">IF($A44="","",IF($C44=0,"",_xlfn.MINIFS('Daily tracking'!$A$2:$A$2001,'Daily tracking'!$D$2:$D$2001,$A44)))</f>
        <v/>
      </c>
      <c r="R44" s="6" t="str">
        <f aca="false">IF(OR($A44="",$C44&lt;2),"",($E44-$Q44)/($C44-1))</f>
        <v/>
      </c>
    </row>
    <row r="45" customFormat="false" ht="14.25" hidden="false" customHeight="false" outlineLevel="0" collapsed="false">
      <c r="A45" s="19"/>
      <c r="B45" s="19"/>
      <c r="C45" s="15" t="str">
        <f aca="false">IF($A45="","",COUNTIF('Daily tracking'!$D$2:$D$2001,$A45))</f>
        <v/>
      </c>
      <c r="D45" s="16" t="str">
        <f aca="false">IF($A45="","",SUMIF('Daily tracking'!$D$2:$D$2001,$A45,'Daily tracking'!$G$2:$G$2001))</f>
        <v/>
      </c>
      <c r="E45" s="18" t="str">
        <f aca="false">IF($A45="","",IF($C45=0,"",_xlfn.MAXIFS('Daily tracking'!$A$2:$A$2001,'Daily tracking'!$D$2:$D$2001,$A45)))</f>
        <v/>
      </c>
      <c r="F45" s="6" t="str">
        <f aca="true">IF(OR($A45="",$E45=""),"",TODAY()-$E45)</f>
        <v/>
      </c>
      <c r="G45" s="3" t="str">
        <f aca="false">IF($A45="","",IF($C45=0,"No visits",IF($F45&gt;90,"Lapsed",IF($F45&gt;35,"At risk",IF($C45&gt;=4,"Loyal","Active")))))</f>
        <v/>
      </c>
      <c r="H45" s="9" t="str">
        <f aca="false">IF(OR($A45="",$C45=0),"",$D45/$C45)</f>
        <v/>
      </c>
      <c r="I45" s="20"/>
      <c r="J45" s="20"/>
      <c r="K45" s="19"/>
      <c r="L45" s="19"/>
      <c r="M45" s="19"/>
      <c r="N45" s="15" t="str">
        <f aca="false">IF($A45="","",IF($C45=0,0,(IF($F45&lt;=15,5,IF($F45&lt;=30,4,IF($F45&lt;=45,3,IF($F45&lt;=90,2,1))))+IF($C45&gt;=10,5,IF($C45&gt;=6,4,IF($C45&gt;=4,3,IF($C45&gt;=2,2,1))))+IF($D45&gt;=20000,5,IF($D45&gt;=10000,4,IF($D45&gt;=5000,3,IF($D45&gt;=2000,2,1)))))))</f>
        <v/>
      </c>
      <c r="O45" s="3" t="str">
        <f aca="false">IF($A45="","",IF($C45=0,"No visits",IF($N45&gt;=13,"VIP",IF($N45&gt;=10,"High value",IF($N45&gt;=7,"Regular",IF($N45&gt;=4,"Occasional","Low"))))))</f>
        <v/>
      </c>
      <c r="P45" s="6" t="str">
        <f aca="true">IF(OR($A45="",$I45=""),"",IF(MONTH($I45)=MONTH(TODAY()),"Yes",""))</f>
        <v/>
      </c>
      <c r="Q45" s="21" t="str">
        <f aca="false">IF($A45="","",IF($C45=0,"",_xlfn.MINIFS('Daily tracking'!$A$2:$A$2001,'Daily tracking'!$D$2:$D$2001,$A45)))</f>
        <v/>
      </c>
      <c r="R45" s="6" t="str">
        <f aca="false">IF(OR($A45="",$C45&lt;2),"",($E45-$Q45)/($C45-1))</f>
        <v/>
      </c>
    </row>
    <row r="46" customFormat="false" ht="14.25" hidden="false" customHeight="false" outlineLevel="0" collapsed="false">
      <c r="A46" s="19"/>
      <c r="B46" s="19"/>
      <c r="C46" s="15" t="str">
        <f aca="false">IF($A46="","",COUNTIF('Daily tracking'!$D$2:$D$2001,$A46))</f>
        <v/>
      </c>
      <c r="D46" s="16" t="str">
        <f aca="false">IF($A46="","",SUMIF('Daily tracking'!$D$2:$D$2001,$A46,'Daily tracking'!$G$2:$G$2001))</f>
        <v/>
      </c>
      <c r="E46" s="18" t="str">
        <f aca="false">IF($A46="","",IF($C46=0,"",_xlfn.MAXIFS('Daily tracking'!$A$2:$A$2001,'Daily tracking'!$D$2:$D$2001,$A46)))</f>
        <v/>
      </c>
      <c r="F46" s="6" t="str">
        <f aca="true">IF(OR($A46="",$E46=""),"",TODAY()-$E46)</f>
        <v/>
      </c>
      <c r="G46" s="3" t="str">
        <f aca="false">IF($A46="","",IF($C46=0,"No visits",IF($F46&gt;90,"Lapsed",IF($F46&gt;35,"At risk",IF($C46&gt;=4,"Loyal","Active")))))</f>
        <v/>
      </c>
      <c r="H46" s="9" t="str">
        <f aca="false">IF(OR($A46="",$C46=0),"",$D46/$C46)</f>
        <v/>
      </c>
      <c r="I46" s="20"/>
      <c r="J46" s="20"/>
      <c r="K46" s="19"/>
      <c r="L46" s="19"/>
      <c r="M46" s="19"/>
      <c r="N46" s="15" t="str">
        <f aca="false">IF($A46="","",IF($C46=0,0,(IF($F46&lt;=15,5,IF($F46&lt;=30,4,IF($F46&lt;=45,3,IF($F46&lt;=90,2,1))))+IF($C46&gt;=10,5,IF($C46&gt;=6,4,IF($C46&gt;=4,3,IF($C46&gt;=2,2,1))))+IF($D46&gt;=20000,5,IF($D46&gt;=10000,4,IF($D46&gt;=5000,3,IF($D46&gt;=2000,2,1)))))))</f>
        <v/>
      </c>
      <c r="O46" s="3" t="str">
        <f aca="false">IF($A46="","",IF($C46=0,"No visits",IF($N46&gt;=13,"VIP",IF($N46&gt;=10,"High value",IF($N46&gt;=7,"Regular",IF($N46&gt;=4,"Occasional","Low"))))))</f>
        <v/>
      </c>
      <c r="P46" s="6" t="str">
        <f aca="true">IF(OR($A46="",$I46=""),"",IF(MONTH($I46)=MONTH(TODAY()),"Yes",""))</f>
        <v/>
      </c>
      <c r="Q46" s="21" t="str">
        <f aca="false">IF($A46="","",IF($C46=0,"",_xlfn.MINIFS('Daily tracking'!$A$2:$A$2001,'Daily tracking'!$D$2:$D$2001,$A46)))</f>
        <v/>
      </c>
      <c r="R46" s="6" t="str">
        <f aca="false">IF(OR($A46="",$C46&lt;2),"",($E46-$Q46)/($C46-1))</f>
        <v/>
      </c>
    </row>
    <row r="47" customFormat="false" ht="14.25" hidden="false" customHeight="false" outlineLevel="0" collapsed="false">
      <c r="A47" s="19"/>
      <c r="B47" s="19"/>
      <c r="C47" s="15" t="str">
        <f aca="false">IF($A47="","",COUNTIF('Daily tracking'!$D$2:$D$2001,$A47))</f>
        <v/>
      </c>
      <c r="D47" s="16" t="str">
        <f aca="false">IF($A47="","",SUMIF('Daily tracking'!$D$2:$D$2001,$A47,'Daily tracking'!$G$2:$G$2001))</f>
        <v/>
      </c>
      <c r="E47" s="18" t="str">
        <f aca="false">IF($A47="","",IF($C47=0,"",_xlfn.MAXIFS('Daily tracking'!$A$2:$A$2001,'Daily tracking'!$D$2:$D$2001,$A47)))</f>
        <v/>
      </c>
      <c r="F47" s="6" t="str">
        <f aca="true">IF(OR($A47="",$E47=""),"",TODAY()-$E47)</f>
        <v/>
      </c>
      <c r="G47" s="3" t="str">
        <f aca="false">IF($A47="","",IF($C47=0,"No visits",IF($F47&gt;90,"Lapsed",IF($F47&gt;35,"At risk",IF($C47&gt;=4,"Loyal","Active")))))</f>
        <v/>
      </c>
      <c r="H47" s="9" t="str">
        <f aca="false">IF(OR($A47="",$C47=0),"",$D47/$C47)</f>
        <v/>
      </c>
      <c r="I47" s="20"/>
      <c r="J47" s="20"/>
      <c r="K47" s="19"/>
      <c r="L47" s="19"/>
      <c r="M47" s="19"/>
      <c r="N47" s="15" t="str">
        <f aca="false">IF($A47="","",IF($C47=0,0,(IF($F47&lt;=15,5,IF($F47&lt;=30,4,IF($F47&lt;=45,3,IF($F47&lt;=90,2,1))))+IF($C47&gt;=10,5,IF($C47&gt;=6,4,IF($C47&gt;=4,3,IF($C47&gt;=2,2,1))))+IF($D47&gt;=20000,5,IF($D47&gt;=10000,4,IF($D47&gt;=5000,3,IF($D47&gt;=2000,2,1)))))))</f>
        <v/>
      </c>
      <c r="O47" s="3" t="str">
        <f aca="false">IF($A47="","",IF($C47=0,"No visits",IF($N47&gt;=13,"VIP",IF($N47&gt;=10,"High value",IF($N47&gt;=7,"Regular",IF($N47&gt;=4,"Occasional","Low"))))))</f>
        <v/>
      </c>
      <c r="P47" s="6" t="str">
        <f aca="true">IF(OR($A47="",$I47=""),"",IF(MONTH($I47)=MONTH(TODAY()),"Yes",""))</f>
        <v/>
      </c>
      <c r="Q47" s="21" t="str">
        <f aca="false">IF($A47="","",IF($C47=0,"",_xlfn.MINIFS('Daily tracking'!$A$2:$A$2001,'Daily tracking'!$D$2:$D$2001,$A47)))</f>
        <v/>
      </c>
      <c r="R47" s="6" t="str">
        <f aca="false">IF(OR($A47="",$C47&lt;2),"",($E47-$Q47)/($C47-1))</f>
        <v/>
      </c>
    </row>
    <row r="48" customFormat="false" ht="14.25" hidden="false" customHeight="false" outlineLevel="0" collapsed="false">
      <c r="A48" s="19"/>
      <c r="B48" s="19"/>
      <c r="C48" s="15" t="str">
        <f aca="false">IF($A48="","",COUNTIF('Daily tracking'!$D$2:$D$2001,$A48))</f>
        <v/>
      </c>
      <c r="D48" s="16" t="str">
        <f aca="false">IF($A48="","",SUMIF('Daily tracking'!$D$2:$D$2001,$A48,'Daily tracking'!$G$2:$G$2001))</f>
        <v/>
      </c>
      <c r="E48" s="18" t="str">
        <f aca="false">IF($A48="","",IF($C48=0,"",_xlfn.MAXIFS('Daily tracking'!$A$2:$A$2001,'Daily tracking'!$D$2:$D$2001,$A48)))</f>
        <v/>
      </c>
      <c r="F48" s="6" t="str">
        <f aca="true">IF(OR($A48="",$E48=""),"",TODAY()-$E48)</f>
        <v/>
      </c>
      <c r="G48" s="3" t="str">
        <f aca="false">IF($A48="","",IF($C48=0,"No visits",IF($F48&gt;90,"Lapsed",IF($F48&gt;35,"At risk",IF($C48&gt;=4,"Loyal","Active")))))</f>
        <v/>
      </c>
      <c r="H48" s="9" t="str">
        <f aca="false">IF(OR($A48="",$C48=0),"",$D48/$C48)</f>
        <v/>
      </c>
      <c r="I48" s="20"/>
      <c r="J48" s="20"/>
      <c r="K48" s="19"/>
      <c r="L48" s="19"/>
      <c r="M48" s="19"/>
      <c r="N48" s="15" t="str">
        <f aca="false">IF($A48="","",IF($C48=0,0,(IF($F48&lt;=15,5,IF($F48&lt;=30,4,IF($F48&lt;=45,3,IF($F48&lt;=90,2,1))))+IF($C48&gt;=10,5,IF($C48&gt;=6,4,IF($C48&gt;=4,3,IF($C48&gt;=2,2,1))))+IF($D48&gt;=20000,5,IF($D48&gt;=10000,4,IF($D48&gt;=5000,3,IF($D48&gt;=2000,2,1)))))))</f>
        <v/>
      </c>
      <c r="O48" s="3" t="str">
        <f aca="false">IF($A48="","",IF($C48=0,"No visits",IF($N48&gt;=13,"VIP",IF($N48&gt;=10,"High value",IF($N48&gt;=7,"Regular",IF($N48&gt;=4,"Occasional","Low"))))))</f>
        <v/>
      </c>
      <c r="P48" s="6" t="str">
        <f aca="true">IF(OR($A48="",$I48=""),"",IF(MONTH($I48)=MONTH(TODAY()),"Yes",""))</f>
        <v/>
      </c>
      <c r="Q48" s="21" t="str">
        <f aca="false">IF($A48="","",IF($C48=0,"",_xlfn.MINIFS('Daily tracking'!$A$2:$A$2001,'Daily tracking'!$D$2:$D$2001,$A48)))</f>
        <v/>
      </c>
      <c r="R48" s="6" t="str">
        <f aca="false">IF(OR($A48="",$C48&lt;2),"",($E48-$Q48)/($C48-1))</f>
        <v/>
      </c>
    </row>
    <row r="49" customFormat="false" ht="14.25" hidden="false" customHeight="false" outlineLevel="0" collapsed="false">
      <c r="A49" s="19"/>
      <c r="B49" s="19"/>
      <c r="C49" s="15" t="str">
        <f aca="false">IF($A49="","",COUNTIF('Daily tracking'!$D$2:$D$2001,$A49))</f>
        <v/>
      </c>
      <c r="D49" s="16" t="str">
        <f aca="false">IF($A49="","",SUMIF('Daily tracking'!$D$2:$D$2001,$A49,'Daily tracking'!$G$2:$G$2001))</f>
        <v/>
      </c>
      <c r="E49" s="18" t="str">
        <f aca="false">IF($A49="","",IF($C49=0,"",_xlfn.MAXIFS('Daily tracking'!$A$2:$A$2001,'Daily tracking'!$D$2:$D$2001,$A49)))</f>
        <v/>
      </c>
      <c r="F49" s="6" t="str">
        <f aca="true">IF(OR($A49="",$E49=""),"",TODAY()-$E49)</f>
        <v/>
      </c>
      <c r="G49" s="3" t="str">
        <f aca="false">IF($A49="","",IF($C49=0,"No visits",IF($F49&gt;90,"Lapsed",IF($F49&gt;35,"At risk",IF($C49&gt;=4,"Loyal","Active")))))</f>
        <v/>
      </c>
      <c r="H49" s="9" t="str">
        <f aca="false">IF(OR($A49="",$C49=0),"",$D49/$C49)</f>
        <v/>
      </c>
      <c r="I49" s="20"/>
      <c r="J49" s="20"/>
      <c r="K49" s="19"/>
      <c r="L49" s="19"/>
      <c r="M49" s="19"/>
      <c r="N49" s="15" t="str">
        <f aca="false">IF($A49="","",IF($C49=0,0,(IF($F49&lt;=15,5,IF($F49&lt;=30,4,IF($F49&lt;=45,3,IF($F49&lt;=90,2,1))))+IF($C49&gt;=10,5,IF($C49&gt;=6,4,IF($C49&gt;=4,3,IF($C49&gt;=2,2,1))))+IF($D49&gt;=20000,5,IF($D49&gt;=10000,4,IF($D49&gt;=5000,3,IF($D49&gt;=2000,2,1)))))))</f>
        <v/>
      </c>
      <c r="O49" s="3" t="str">
        <f aca="false">IF($A49="","",IF($C49=0,"No visits",IF($N49&gt;=13,"VIP",IF($N49&gt;=10,"High value",IF($N49&gt;=7,"Regular",IF($N49&gt;=4,"Occasional","Low"))))))</f>
        <v/>
      </c>
      <c r="P49" s="6" t="str">
        <f aca="true">IF(OR($A49="",$I49=""),"",IF(MONTH($I49)=MONTH(TODAY()),"Yes",""))</f>
        <v/>
      </c>
      <c r="Q49" s="21" t="str">
        <f aca="false">IF($A49="","",IF($C49=0,"",_xlfn.MINIFS('Daily tracking'!$A$2:$A$2001,'Daily tracking'!$D$2:$D$2001,$A49)))</f>
        <v/>
      </c>
      <c r="R49" s="6" t="str">
        <f aca="false">IF(OR($A49="",$C49&lt;2),"",($E49-$Q49)/($C49-1))</f>
        <v/>
      </c>
    </row>
    <row r="50" customFormat="false" ht="14.25" hidden="false" customHeight="false" outlineLevel="0" collapsed="false">
      <c r="A50" s="19"/>
      <c r="B50" s="19"/>
      <c r="C50" s="15" t="str">
        <f aca="false">IF($A50="","",COUNTIF('Daily tracking'!$D$2:$D$2001,$A50))</f>
        <v/>
      </c>
      <c r="D50" s="16" t="str">
        <f aca="false">IF($A50="","",SUMIF('Daily tracking'!$D$2:$D$2001,$A50,'Daily tracking'!$G$2:$G$2001))</f>
        <v/>
      </c>
      <c r="E50" s="18" t="str">
        <f aca="false">IF($A50="","",IF($C50=0,"",_xlfn.MAXIFS('Daily tracking'!$A$2:$A$2001,'Daily tracking'!$D$2:$D$2001,$A50)))</f>
        <v/>
      </c>
      <c r="F50" s="6" t="str">
        <f aca="true">IF(OR($A50="",$E50=""),"",TODAY()-$E50)</f>
        <v/>
      </c>
      <c r="G50" s="3" t="str">
        <f aca="false">IF($A50="","",IF($C50=0,"No visits",IF($F50&gt;90,"Lapsed",IF($F50&gt;35,"At risk",IF($C50&gt;=4,"Loyal","Active")))))</f>
        <v/>
      </c>
      <c r="H50" s="9" t="str">
        <f aca="false">IF(OR($A50="",$C50=0),"",$D50/$C50)</f>
        <v/>
      </c>
      <c r="I50" s="20"/>
      <c r="J50" s="20"/>
      <c r="K50" s="19"/>
      <c r="L50" s="19"/>
      <c r="M50" s="19"/>
      <c r="N50" s="15" t="str">
        <f aca="false">IF($A50="","",IF($C50=0,0,(IF($F50&lt;=15,5,IF($F50&lt;=30,4,IF($F50&lt;=45,3,IF($F50&lt;=90,2,1))))+IF($C50&gt;=10,5,IF($C50&gt;=6,4,IF($C50&gt;=4,3,IF($C50&gt;=2,2,1))))+IF($D50&gt;=20000,5,IF($D50&gt;=10000,4,IF($D50&gt;=5000,3,IF($D50&gt;=2000,2,1)))))))</f>
        <v/>
      </c>
      <c r="O50" s="3" t="str">
        <f aca="false">IF($A50="","",IF($C50=0,"No visits",IF($N50&gt;=13,"VIP",IF($N50&gt;=10,"High value",IF($N50&gt;=7,"Regular",IF($N50&gt;=4,"Occasional","Low"))))))</f>
        <v/>
      </c>
      <c r="P50" s="6" t="str">
        <f aca="true">IF(OR($A50="",$I50=""),"",IF(MONTH($I50)=MONTH(TODAY()),"Yes",""))</f>
        <v/>
      </c>
      <c r="Q50" s="21" t="str">
        <f aca="false">IF($A50="","",IF($C50=0,"",_xlfn.MINIFS('Daily tracking'!$A$2:$A$2001,'Daily tracking'!$D$2:$D$2001,$A50)))</f>
        <v/>
      </c>
      <c r="R50" s="6" t="str">
        <f aca="false">IF(OR($A50="",$C50&lt;2),"",($E50-$Q50)/($C50-1))</f>
        <v/>
      </c>
    </row>
    <row r="51" customFormat="false" ht="14.25" hidden="false" customHeight="false" outlineLevel="0" collapsed="false">
      <c r="A51" s="19"/>
      <c r="B51" s="19"/>
      <c r="C51" s="15" t="str">
        <f aca="false">IF($A51="","",COUNTIF('Daily tracking'!$D$2:$D$2001,$A51))</f>
        <v/>
      </c>
      <c r="D51" s="16" t="str">
        <f aca="false">IF($A51="","",SUMIF('Daily tracking'!$D$2:$D$2001,$A51,'Daily tracking'!$G$2:$G$2001))</f>
        <v/>
      </c>
      <c r="E51" s="18" t="str">
        <f aca="false">IF($A51="","",IF($C51=0,"",_xlfn.MAXIFS('Daily tracking'!$A$2:$A$2001,'Daily tracking'!$D$2:$D$2001,$A51)))</f>
        <v/>
      </c>
      <c r="F51" s="6" t="str">
        <f aca="true">IF(OR($A51="",$E51=""),"",TODAY()-$E51)</f>
        <v/>
      </c>
      <c r="G51" s="3" t="str">
        <f aca="false">IF($A51="","",IF($C51=0,"No visits",IF($F51&gt;90,"Lapsed",IF($F51&gt;35,"At risk",IF($C51&gt;=4,"Loyal","Active")))))</f>
        <v/>
      </c>
      <c r="H51" s="9" t="str">
        <f aca="false">IF(OR($A51="",$C51=0),"",$D51/$C51)</f>
        <v/>
      </c>
      <c r="I51" s="20"/>
      <c r="J51" s="20"/>
      <c r="K51" s="19"/>
      <c r="L51" s="19"/>
      <c r="M51" s="19"/>
      <c r="N51" s="15" t="str">
        <f aca="false">IF($A51="","",IF($C51=0,0,(IF($F51&lt;=15,5,IF($F51&lt;=30,4,IF($F51&lt;=45,3,IF($F51&lt;=90,2,1))))+IF($C51&gt;=10,5,IF($C51&gt;=6,4,IF($C51&gt;=4,3,IF($C51&gt;=2,2,1))))+IF($D51&gt;=20000,5,IF($D51&gt;=10000,4,IF($D51&gt;=5000,3,IF($D51&gt;=2000,2,1)))))))</f>
        <v/>
      </c>
      <c r="O51" s="3" t="str">
        <f aca="false">IF($A51="","",IF($C51=0,"No visits",IF($N51&gt;=13,"VIP",IF($N51&gt;=10,"High value",IF($N51&gt;=7,"Regular",IF($N51&gt;=4,"Occasional","Low"))))))</f>
        <v/>
      </c>
      <c r="P51" s="6" t="str">
        <f aca="true">IF(OR($A51="",$I51=""),"",IF(MONTH($I51)=MONTH(TODAY()),"Yes",""))</f>
        <v/>
      </c>
      <c r="Q51" s="21" t="str">
        <f aca="false">IF($A51="","",IF($C51=0,"",_xlfn.MINIFS('Daily tracking'!$A$2:$A$2001,'Daily tracking'!$D$2:$D$2001,$A51)))</f>
        <v/>
      </c>
      <c r="R51" s="6" t="str">
        <f aca="false">IF(OR($A51="",$C51&lt;2),"",($E51-$Q51)/($C51-1))</f>
        <v/>
      </c>
    </row>
    <row r="52" customFormat="false" ht="14.25" hidden="false" customHeight="false" outlineLevel="0" collapsed="false">
      <c r="A52" s="19"/>
      <c r="B52" s="19"/>
      <c r="C52" s="15" t="str">
        <f aca="false">IF($A52="","",COUNTIF('Daily tracking'!$D$2:$D$2001,$A52))</f>
        <v/>
      </c>
      <c r="D52" s="16" t="str">
        <f aca="false">IF($A52="","",SUMIF('Daily tracking'!$D$2:$D$2001,$A52,'Daily tracking'!$G$2:$G$2001))</f>
        <v/>
      </c>
      <c r="E52" s="18" t="str">
        <f aca="false">IF($A52="","",IF($C52=0,"",_xlfn.MAXIFS('Daily tracking'!$A$2:$A$2001,'Daily tracking'!$D$2:$D$2001,$A52)))</f>
        <v/>
      </c>
      <c r="F52" s="6" t="str">
        <f aca="true">IF(OR($A52="",$E52=""),"",TODAY()-$E52)</f>
        <v/>
      </c>
      <c r="G52" s="3" t="str">
        <f aca="false">IF($A52="","",IF($C52=0,"No visits",IF($F52&gt;90,"Lapsed",IF($F52&gt;35,"At risk",IF($C52&gt;=4,"Loyal","Active")))))</f>
        <v/>
      </c>
      <c r="H52" s="9" t="str">
        <f aca="false">IF(OR($A52="",$C52=0),"",$D52/$C52)</f>
        <v/>
      </c>
      <c r="I52" s="20"/>
      <c r="J52" s="20"/>
      <c r="K52" s="19"/>
      <c r="L52" s="19"/>
      <c r="M52" s="19"/>
      <c r="N52" s="15" t="str">
        <f aca="false">IF($A52="","",IF($C52=0,0,(IF($F52&lt;=15,5,IF($F52&lt;=30,4,IF($F52&lt;=45,3,IF($F52&lt;=90,2,1))))+IF($C52&gt;=10,5,IF($C52&gt;=6,4,IF($C52&gt;=4,3,IF($C52&gt;=2,2,1))))+IF($D52&gt;=20000,5,IF($D52&gt;=10000,4,IF($D52&gt;=5000,3,IF($D52&gt;=2000,2,1)))))))</f>
        <v/>
      </c>
      <c r="O52" s="3" t="str">
        <f aca="false">IF($A52="","",IF($C52=0,"No visits",IF($N52&gt;=13,"VIP",IF($N52&gt;=10,"High value",IF($N52&gt;=7,"Regular",IF($N52&gt;=4,"Occasional","Low"))))))</f>
        <v/>
      </c>
      <c r="P52" s="6" t="str">
        <f aca="true">IF(OR($A52="",$I52=""),"",IF(MONTH($I52)=MONTH(TODAY()),"Yes",""))</f>
        <v/>
      </c>
      <c r="Q52" s="21" t="str">
        <f aca="false">IF($A52="","",IF($C52=0,"",_xlfn.MINIFS('Daily tracking'!$A$2:$A$2001,'Daily tracking'!$D$2:$D$2001,$A52)))</f>
        <v/>
      </c>
      <c r="R52" s="6" t="str">
        <f aca="false">IF(OR($A52="",$C52&lt;2),"",($E52-$Q52)/($C52-1))</f>
        <v/>
      </c>
    </row>
    <row r="53" customFormat="false" ht="14.25" hidden="false" customHeight="false" outlineLevel="0" collapsed="false">
      <c r="A53" s="19"/>
      <c r="B53" s="19"/>
      <c r="C53" s="15" t="str">
        <f aca="false">IF($A53="","",COUNTIF('Daily tracking'!$D$2:$D$2001,$A53))</f>
        <v/>
      </c>
      <c r="D53" s="16" t="str">
        <f aca="false">IF($A53="","",SUMIF('Daily tracking'!$D$2:$D$2001,$A53,'Daily tracking'!$G$2:$G$2001))</f>
        <v/>
      </c>
      <c r="E53" s="18" t="str">
        <f aca="false">IF($A53="","",IF($C53=0,"",_xlfn.MAXIFS('Daily tracking'!$A$2:$A$2001,'Daily tracking'!$D$2:$D$2001,$A53)))</f>
        <v/>
      </c>
      <c r="F53" s="6" t="str">
        <f aca="true">IF(OR($A53="",$E53=""),"",TODAY()-$E53)</f>
        <v/>
      </c>
      <c r="G53" s="3" t="str">
        <f aca="false">IF($A53="","",IF($C53=0,"No visits",IF($F53&gt;90,"Lapsed",IF($F53&gt;35,"At risk",IF($C53&gt;=4,"Loyal","Active")))))</f>
        <v/>
      </c>
      <c r="H53" s="9" t="str">
        <f aca="false">IF(OR($A53="",$C53=0),"",$D53/$C53)</f>
        <v/>
      </c>
      <c r="I53" s="20"/>
      <c r="J53" s="20"/>
      <c r="K53" s="19"/>
      <c r="L53" s="19"/>
      <c r="M53" s="19"/>
      <c r="N53" s="15" t="str">
        <f aca="false">IF($A53="","",IF($C53=0,0,(IF($F53&lt;=15,5,IF($F53&lt;=30,4,IF($F53&lt;=45,3,IF($F53&lt;=90,2,1))))+IF($C53&gt;=10,5,IF($C53&gt;=6,4,IF($C53&gt;=4,3,IF($C53&gt;=2,2,1))))+IF($D53&gt;=20000,5,IF($D53&gt;=10000,4,IF($D53&gt;=5000,3,IF($D53&gt;=2000,2,1)))))))</f>
        <v/>
      </c>
      <c r="O53" s="3" t="str">
        <f aca="false">IF($A53="","",IF($C53=0,"No visits",IF($N53&gt;=13,"VIP",IF($N53&gt;=10,"High value",IF($N53&gt;=7,"Regular",IF($N53&gt;=4,"Occasional","Low"))))))</f>
        <v/>
      </c>
      <c r="P53" s="6" t="str">
        <f aca="true">IF(OR($A53="",$I53=""),"",IF(MONTH($I53)=MONTH(TODAY()),"Yes",""))</f>
        <v/>
      </c>
      <c r="Q53" s="21" t="str">
        <f aca="false">IF($A53="","",IF($C53=0,"",_xlfn.MINIFS('Daily tracking'!$A$2:$A$2001,'Daily tracking'!$D$2:$D$2001,$A53)))</f>
        <v/>
      </c>
      <c r="R53" s="6" t="str">
        <f aca="false">IF(OR($A53="",$C53&lt;2),"",($E53-$Q53)/($C53-1))</f>
        <v/>
      </c>
    </row>
    <row r="54" customFormat="false" ht="14.25" hidden="false" customHeight="false" outlineLevel="0" collapsed="false">
      <c r="A54" s="19"/>
      <c r="B54" s="19"/>
      <c r="C54" s="15" t="str">
        <f aca="false">IF($A54="","",COUNTIF('Daily tracking'!$D$2:$D$2001,$A54))</f>
        <v/>
      </c>
      <c r="D54" s="16" t="str">
        <f aca="false">IF($A54="","",SUMIF('Daily tracking'!$D$2:$D$2001,$A54,'Daily tracking'!$G$2:$G$2001))</f>
        <v/>
      </c>
      <c r="E54" s="18" t="str">
        <f aca="false">IF($A54="","",IF($C54=0,"",_xlfn.MAXIFS('Daily tracking'!$A$2:$A$2001,'Daily tracking'!$D$2:$D$2001,$A54)))</f>
        <v/>
      </c>
      <c r="F54" s="6" t="str">
        <f aca="true">IF(OR($A54="",$E54=""),"",TODAY()-$E54)</f>
        <v/>
      </c>
      <c r="G54" s="3" t="str">
        <f aca="false">IF($A54="","",IF($C54=0,"No visits",IF($F54&gt;90,"Lapsed",IF($F54&gt;35,"At risk",IF($C54&gt;=4,"Loyal","Active")))))</f>
        <v/>
      </c>
      <c r="H54" s="9" t="str">
        <f aca="false">IF(OR($A54="",$C54=0),"",$D54/$C54)</f>
        <v/>
      </c>
      <c r="I54" s="20"/>
      <c r="J54" s="20"/>
      <c r="K54" s="19"/>
      <c r="L54" s="19"/>
      <c r="M54" s="19"/>
      <c r="N54" s="15" t="str">
        <f aca="false">IF($A54="","",IF($C54=0,0,(IF($F54&lt;=15,5,IF($F54&lt;=30,4,IF($F54&lt;=45,3,IF($F54&lt;=90,2,1))))+IF($C54&gt;=10,5,IF($C54&gt;=6,4,IF($C54&gt;=4,3,IF($C54&gt;=2,2,1))))+IF($D54&gt;=20000,5,IF($D54&gt;=10000,4,IF($D54&gt;=5000,3,IF($D54&gt;=2000,2,1)))))))</f>
        <v/>
      </c>
      <c r="O54" s="3" t="str">
        <f aca="false">IF($A54="","",IF($C54=0,"No visits",IF($N54&gt;=13,"VIP",IF($N54&gt;=10,"High value",IF($N54&gt;=7,"Regular",IF($N54&gt;=4,"Occasional","Low"))))))</f>
        <v/>
      </c>
      <c r="P54" s="6" t="str">
        <f aca="true">IF(OR($A54="",$I54=""),"",IF(MONTH($I54)=MONTH(TODAY()),"Yes",""))</f>
        <v/>
      </c>
      <c r="Q54" s="21" t="str">
        <f aca="false">IF($A54="","",IF($C54=0,"",_xlfn.MINIFS('Daily tracking'!$A$2:$A$2001,'Daily tracking'!$D$2:$D$2001,$A54)))</f>
        <v/>
      </c>
      <c r="R54" s="6" t="str">
        <f aca="false">IF(OR($A54="",$C54&lt;2),"",($E54-$Q54)/($C54-1))</f>
        <v/>
      </c>
    </row>
    <row r="55" customFormat="false" ht="14.25" hidden="false" customHeight="false" outlineLevel="0" collapsed="false">
      <c r="A55" s="19"/>
      <c r="B55" s="19"/>
      <c r="C55" s="15" t="str">
        <f aca="false">IF($A55="","",COUNTIF('Daily tracking'!$D$2:$D$2001,$A55))</f>
        <v/>
      </c>
      <c r="D55" s="16" t="str">
        <f aca="false">IF($A55="","",SUMIF('Daily tracking'!$D$2:$D$2001,$A55,'Daily tracking'!$G$2:$G$2001))</f>
        <v/>
      </c>
      <c r="E55" s="18" t="str">
        <f aca="false">IF($A55="","",IF($C55=0,"",_xlfn.MAXIFS('Daily tracking'!$A$2:$A$2001,'Daily tracking'!$D$2:$D$2001,$A55)))</f>
        <v/>
      </c>
      <c r="F55" s="6" t="str">
        <f aca="true">IF(OR($A55="",$E55=""),"",TODAY()-$E55)</f>
        <v/>
      </c>
      <c r="G55" s="3" t="str">
        <f aca="false">IF($A55="","",IF($C55=0,"No visits",IF($F55&gt;90,"Lapsed",IF($F55&gt;35,"At risk",IF($C55&gt;=4,"Loyal","Active")))))</f>
        <v/>
      </c>
      <c r="H55" s="9" t="str">
        <f aca="false">IF(OR($A55="",$C55=0),"",$D55/$C55)</f>
        <v/>
      </c>
      <c r="I55" s="20"/>
      <c r="J55" s="20"/>
      <c r="K55" s="19"/>
      <c r="L55" s="19"/>
      <c r="M55" s="19"/>
      <c r="N55" s="15" t="str">
        <f aca="false">IF($A55="","",IF($C55=0,0,(IF($F55&lt;=15,5,IF($F55&lt;=30,4,IF($F55&lt;=45,3,IF($F55&lt;=90,2,1))))+IF($C55&gt;=10,5,IF($C55&gt;=6,4,IF($C55&gt;=4,3,IF($C55&gt;=2,2,1))))+IF($D55&gt;=20000,5,IF($D55&gt;=10000,4,IF($D55&gt;=5000,3,IF($D55&gt;=2000,2,1)))))))</f>
        <v/>
      </c>
      <c r="O55" s="3" t="str">
        <f aca="false">IF($A55="","",IF($C55=0,"No visits",IF($N55&gt;=13,"VIP",IF($N55&gt;=10,"High value",IF($N55&gt;=7,"Regular",IF($N55&gt;=4,"Occasional","Low"))))))</f>
        <v/>
      </c>
      <c r="P55" s="6" t="str">
        <f aca="true">IF(OR($A55="",$I55=""),"",IF(MONTH($I55)=MONTH(TODAY()),"Yes",""))</f>
        <v/>
      </c>
      <c r="Q55" s="21" t="str">
        <f aca="false">IF($A55="","",IF($C55=0,"",_xlfn.MINIFS('Daily tracking'!$A$2:$A$2001,'Daily tracking'!$D$2:$D$2001,$A55)))</f>
        <v/>
      </c>
      <c r="R55" s="6" t="str">
        <f aca="false">IF(OR($A55="",$C55&lt;2),"",($E55-$Q55)/($C55-1))</f>
        <v/>
      </c>
    </row>
    <row r="56" customFormat="false" ht="14.25" hidden="false" customHeight="false" outlineLevel="0" collapsed="false">
      <c r="A56" s="19"/>
      <c r="B56" s="19"/>
      <c r="C56" s="15" t="str">
        <f aca="false">IF($A56="","",COUNTIF('Daily tracking'!$D$2:$D$2001,$A56))</f>
        <v/>
      </c>
      <c r="D56" s="16" t="str">
        <f aca="false">IF($A56="","",SUMIF('Daily tracking'!$D$2:$D$2001,$A56,'Daily tracking'!$G$2:$G$2001))</f>
        <v/>
      </c>
      <c r="E56" s="18" t="str">
        <f aca="false">IF($A56="","",IF($C56=0,"",_xlfn.MAXIFS('Daily tracking'!$A$2:$A$2001,'Daily tracking'!$D$2:$D$2001,$A56)))</f>
        <v/>
      </c>
      <c r="F56" s="6" t="str">
        <f aca="true">IF(OR($A56="",$E56=""),"",TODAY()-$E56)</f>
        <v/>
      </c>
      <c r="G56" s="3" t="str">
        <f aca="false">IF($A56="","",IF($C56=0,"No visits",IF($F56&gt;90,"Lapsed",IF($F56&gt;35,"At risk",IF($C56&gt;=4,"Loyal","Active")))))</f>
        <v/>
      </c>
      <c r="H56" s="9" t="str">
        <f aca="false">IF(OR($A56="",$C56=0),"",$D56/$C56)</f>
        <v/>
      </c>
      <c r="I56" s="20"/>
      <c r="J56" s="20"/>
      <c r="K56" s="19"/>
      <c r="L56" s="19"/>
      <c r="M56" s="19"/>
      <c r="N56" s="15" t="str">
        <f aca="false">IF($A56="","",IF($C56=0,0,(IF($F56&lt;=15,5,IF($F56&lt;=30,4,IF($F56&lt;=45,3,IF($F56&lt;=90,2,1))))+IF($C56&gt;=10,5,IF($C56&gt;=6,4,IF($C56&gt;=4,3,IF($C56&gt;=2,2,1))))+IF($D56&gt;=20000,5,IF($D56&gt;=10000,4,IF($D56&gt;=5000,3,IF($D56&gt;=2000,2,1)))))))</f>
        <v/>
      </c>
      <c r="O56" s="3" t="str">
        <f aca="false">IF($A56="","",IF($C56=0,"No visits",IF($N56&gt;=13,"VIP",IF($N56&gt;=10,"High value",IF($N56&gt;=7,"Regular",IF($N56&gt;=4,"Occasional","Low"))))))</f>
        <v/>
      </c>
      <c r="P56" s="6" t="str">
        <f aca="true">IF(OR($A56="",$I56=""),"",IF(MONTH($I56)=MONTH(TODAY()),"Yes",""))</f>
        <v/>
      </c>
      <c r="Q56" s="21" t="str">
        <f aca="false">IF($A56="","",IF($C56=0,"",_xlfn.MINIFS('Daily tracking'!$A$2:$A$2001,'Daily tracking'!$D$2:$D$2001,$A56)))</f>
        <v/>
      </c>
      <c r="R56" s="6" t="str">
        <f aca="false">IF(OR($A56="",$C56&lt;2),"",($E56-$Q56)/($C56-1))</f>
        <v/>
      </c>
    </row>
    <row r="57" customFormat="false" ht="14.25" hidden="false" customHeight="false" outlineLevel="0" collapsed="false">
      <c r="A57" s="19"/>
      <c r="B57" s="19"/>
      <c r="C57" s="15" t="str">
        <f aca="false">IF($A57="","",COUNTIF('Daily tracking'!$D$2:$D$2001,$A57))</f>
        <v/>
      </c>
      <c r="D57" s="16" t="str">
        <f aca="false">IF($A57="","",SUMIF('Daily tracking'!$D$2:$D$2001,$A57,'Daily tracking'!$G$2:$G$2001))</f>
        <v/>
      </c>
      <c r="E57" s="18" t="str">
        <f aca="false">IF($A57="","",IF($C57=0,"",_xlfn.MAXIFS('Daily tracking'!$A$2:$A$2001,'Daily tracking'!$D$2:$D$2001,$A57)))</f>
        <v/>
      </c>
      <c r="F57" s="6" t="str">
        <f aca="true">IF(OR($A57="",$E57=""),"",TODAY()-$E57)</f>
        <v/>
      </c>
      <c r="G57" s="3" t="str">
        <f aca="false">IF($A57="","",IF($C57=0,"No visits",IF($F57&gt;90,"Lapsed",IF($F57&gt;35,"At risk",IF($C57&gt;=4,"Loyal","Active")))))</f>
        <v/>
      </c>
      <c r="H57" s="9" t="str">
        <f aca="false">IF(OR($A57="",$C57=0),"",$D57/$C57)</f>
        <v/>
      </c>
      <c r="I57" s="20"/>
      <c r="J57" s="20"/>
      <c r="K57" s="19"/>
      <c r="L57" s="19"/>
      <c r="M57" s="19"/>
      <c r="N57" s="15" t="str">
        <f aca="false">IF($A57="","",IF($C57=0,0,(IF($F57&lt;=15,5,IF($F57&lt;=30,4,IF($F57&lt;=45,3,IF($F57&lt;=90,2,1))))+IF($C57&gt;=10,5,IF($C57&gt;=6,4,IF($C57&gt;=4,3,IF($C57&gt;=2,2,1))))+IF($D57&gt;=20000,5,IF($D57&gt;=10000,4,IF($D57&gt;=5000,3,IF($D57&gt;=2000,2,1)))))))</f>
        <v/>
      </c>
      <c r="O57" s="3" t="str">
        <f aca="false">IF($A57="","",IF($C57=0,"No visits",IF($N57&gt;=13,"VIP",IF($N57&gt;=10,"High value",IF($N57&gt;=7,"Regular",IF($N57&gt;=4,"Occasional","Low"))))))</f>
        <v/>
      </c>
      <c r="P57" s="6" t="str">
        <f aca="true">IF(OR($A57="",$I57=""),"",IF(MONTH($I57)=MONTH(TODAY()),"Yes",""))</f>
        <v/>
      </c>
      <c r="Q57" s="21" t="str">
        <f aca="false">IF($A57="","",IF($C57=0,"",_xlfn.MINIFS('Daily tracking'!$A$2:$A$2001,'Daily tracking'!$D$2:$D$2001,$A57)))</f>
        <v/>
      </c>
      <c r="R57" s="6" t="str">
        <f aca="false">IF(OR($A57="",$C57&lt;2),"",($E57-$Q57)/($C57-1))</f>
        <v/>
      </c>
    </row>
    <row r="58" customFormat="false" ht="14.25" hidden="false" customHeight="false" outlineLevel="0" collapsed="false">
      <c r="A58" s="19"/>
      <c r="B58" s="19"/>
      <c r="C58" s="15" t="str">
        <f aca="false">IF($A58="","",COUNTIF('Daily tracking'!$D$2:$D$2001,$A58))</f>
        <v/>
      </c>
      <c r="D58" s="16" t="str">
        <f aca="false">IF($A58="","",SUMIF('Daily tracking'!$D$2:$D$2001,$A58,'Daily tracking'!$G$2:$G$2001))</f>
        <v/>
      </c>
      <c r="E58" s="18" t="str">
        <f aca="false">IF($A58="","",IF($C58=0,"",_xlfn.MAXIFS('Daily tracking'!$A$2:$A$2001,'Daily tracking'!$D$2:$D$2001,$A58)))</f>
        <v/>
      </c>
      <c r="F58" s="6" t="str">
        <f aca="true">IF(OR($A58="",$E58=""),"",TODAY()-$E58)</f>
        <v/>
      </c>
      <c r="G58" s="3" t="str">
        <f aca="false">IF($A58="","",IF($C58=0,"No visits",IF($F58&gt;90,"Lapsed",IF($F58&gt;35,"At risk",IF($C58&gt;=4,"Loyal","Active")))))</f>
        <v/>
      </c>
      <c r="H58" s="9" t="str">
        <f aca="false">IF(OR($A58="",$C58=0),"",$D58/$C58)</f>
        <v/>
      </c>
      <c r="I58" s="20"/>
      <c r="J58" s="20"/>
      <c r="K58" s="19"/>
      <c r="L58" s="19"/>
      <c r="M58" s="19"/>
      <c r="N58" s="15" t="str">
        <f aca="false">IF($A58="","",IF($C58=0,0,(IF($F58&lt;=15,5,IF($F58&lt;=30,4,IF($F58&lt;=45,3,IF($F58&lt;=90,2,1))))+IF($C58&gt;=10,5,IF($C58&gt;=6,4,IF($C58&gt;=4,3,IF($C58&gt;=2,2,1))))+IF($D58&gt;=20000,5,IF($D58&gt;=10000,4,IF($D58&gt;=5000,3,IF($D58&gt;=2000,2,1)))))))</f>
        <v/>
      </c>
      <c r="O58" s="3" t="str">
        <f aca="false">IF($A58="","",IF($C58=0,"No visits",IF($N58&gt;=13,"VIP",IF($N58&gt;=10,"High value",IF($N58&gt;=7,"Regular",IF($N58&gt;=4,"Occasional","Low"))))))</f>
        <v/>
      </c>
      <c r="P58" s="6" t="str">
        <f aca="true">IF(OR($A58="",$I58=""),"",IF(MONTH($I58)=MONTH(TODAY()),"Yes",""))</f>
        <v/>
      </c>
      <c r="Q58" s="21" t="str">
        <f aca="false">IF($A58="","",IF($C58=0,"",_xlfn.MINIFS('Daily tracking'!$A$2:$A$2001,'Daily tracking'!$D$2:$D$2001,$A58)))</f>
        <v/>
      </c>
      <c r="R58" s="6" t="str">
        <f aca="false">IF(OR($A58="",$C58&lt;2),"",($E58-$Q58)/($C58-1))</f>
        <v/>
      </c>
    </row>
    <row r="59" customFormat="false" ht="14.25" hidden="false" customHeight="false" outlineLevel="0" collapsed="false">
      <c r="A59" s="19"/>
      <c r="B59" s="19"/>
      <c r="C59" s="15" t="str">
        <f aca="false">IF($A59="","",COUNTIF('Daily tracking'!$D$2:$D$2001,$A59))</f>
        <v/>
      </c>
      <c r="D59" s="16" t="str">
        <f aca="false">IF($A59="","",SUMIF('Daily tracking'!$D$2:$D$2001,$A59,'Daily tracking'!$G$2:$G$2001))</f>
        <v/>
      </c>
      <c r="E59" s="18" t="str">
        <f aca="false">IF($A59="","",IF($C59=0,"",_xlfn.MAXIFS('Daily tracking'!$A$2:$A$2001,'Daily tracking'!$D$2:$D$2001,$A59)))</f>
        <v/>
      </c>
      <c r="F59" s="6" t="str">
        <f aca="true">IF(OR($A59="",$E59=""),"",TODAY()-$E59)</f>
        <v/>
      </c>
      <c r="G59" s="3" t="str">
        <f aca="false">IF($A59="","",IF($C59=0,"No visits",IF($F59&gt;90,"Lapsed",IF($F59&gt;35,"At risk",IF($C59&gt;=4,"Loyal","Active")))))</f>
        <v/>
      </c>
      <c r="H59" s="9" t="str">
        <f aca="false">IF(OR($A59="",$C59=0),"",$D59/$C59)</f>
        <v/>
      </c>
      <c r="I59" s="20"/>
      <c r="J59" s="20"/>
      <c r="K59" s="19"/>
      <c r="L59" s="19"/>
      <c r="M59" s="19"/>
      <c r="N59" s="15" t="str">
        <f aca="false">IF($A59="","",IF($C59=0,0,(IF($F59&lt;=15,5,IF($F59&lt;=30,4,IF($F59&lt;=45,3,IF($F59&lt;=90,2,1))))+IF($C59&gt;=10,5,IF($C59&gt;=6,4,IF($C59&gt;=4,3,IF($C59&gt;=2,2,1))))+IF($D59&gt;=20000,5,IF($D59&gt;=10000,4,IF($D59&gt;=5000,3,IF($D59&gt;=2000,2,1)))))))</f>
        <v/>
      </c>
      <c r="O59" s="3" t="str">
        <f aca="false">IF($A59="","",IF($C59=0,"No visits",IF($N59&gt;=13,"VIP",IF($N59&gt;=10,"High value",IF($N59&gt;=7,"Regular",IF($N59&gt;=4,"Occasional","Low"))))))</f>
        <v/>
      </c>
      <c r="P59" s="6" t="str">
        <f aca="true">IF(OR($A59="",$I59=""),"",IF(MONTH($I59)=MONTH(TODAY()),"Yes",""))</f>
        <v/>
      </c>
      <c r="Q59" s="21" t="str">
        <f aca="false">IF($A59="","",IF($C59=0,"",_xlfn.MINIFS('Daily tracking'!$A$2:$A$2001,'Daily tracking'!$D$2:$D$2001,$A59)))</f>
        <v/>
      </c>
      <c r="R59" s="6" t="str">
        <f aca="false">IF(OR($A59="",$C59&lt;2),"",($E59-$Q59)/($C59-1))</f>
        <v/>
      </c>
    </row>
    <row r="60" customFormat="false" ht="14.25" hidden="false" customHeight="false" outlineLevel="0" collapsed="false">
      <c r="A60" s="19"/>
      <c r="B60" s="19"/>
      <c r="C60" s="15" t="str">
        <f aca="false">IF($A60="","",COUNTIF('Daily tracking'!$D$2:$D$2001,$A60))</f>
        <v/>
      </c>
      <c r="D60" s="16" t="str">
        <f aca="false">IF($A60="","",SUMIF('Daily tracking'!$D$2:$D$2001,$A60,'Daily tracking'!$G$2:$G$2001))</f>
        <v/>
      </c>
      <c r="E60" s="18" t="str">
        <f aca="false">IF($A60="","",IF($C60=0,"",_xlfn.MAXIFS('Daily tracking'!$A$2:$A$2001,'Daily tracking'!$D$2:$D$2001,$A60)))</f>
        <v/>
      </c>
      <c r="F60" s="6" t="str">
        <f aca="true">IF(OR($A60="",$E60=""),"",TODAY()-$E60)</f>
        <v/>
      </c>
      <c r="G60" s="3" t="str">
        <f aca="false">IF($A60="","",IF($C60=0,"No visits",IF($F60&gt;90,"Lapsed",IF($F60&gt;35,"At risk",IF($C60&gt;=4,"Loyal","Active")))))</f>
        <v/>
      </c>
      <c r="H60" s="9" t="str">
        <f aca="false">IF(OR($A60="",$C60=0),"",$D60/$C60)</f>
        <v/>
      </c>
      <c r="I60" s="20"/>
      <c r="J60" s="20"/>
      <c r="K60" s="19"/>
      <c r="L60" s="19"/>
      <c r="M60" s="19"/>
      <c r="N60" s="15" t="str">
        <f aca="false">IF($A60="","",IF($C60=0,0,(IF($F60&lt;=15,5,IF($F60&lt;=30,4,IF($F60&lt;=45,3,IF($F60&lt;=90,2,1))))+IF($C60&gt;=10,5,IF($C60&gt;=6,4,IF($C60&gt;=4,3,IF($C60&gt;=2,2,1))))+IF($D60&gt;=20000,5,IF($D60&gt;=10000,4,IF($D60&gt;=5000,3,IF($D60&gt;=2000,2,1)))))))</f>
        <v/>
      </c>
      <c r="O60" s="3" t="str">
        <f aca="false">IF($A60="","",IF($C60=0,"No visits",IF($N60&gt;=13,"VIP",IF($N60&gt;=10,"High value",IF($N60&gt;=7,"Regular",IF($N60&gt;=4,"Occasional","Low"))))))</f>
        <v/>
      </c>
      <c r="P60" s="6" t="str">
        <f aca="true">IF(OR($A60="",$I60=""),"",IF(MONTH($I60)=MONTH(TODAY()),"Yes",""))</f>
        <v/>
      </c>
      <c r="Q60" s="21" t="str">
        <f aca="false">IF($A60="","",IF($C60=0,"",_xlfn.MINIFS('Daily tracking'!$A$2:$A$2001,'Daily tracking'!$D$2:$D$2001,$A60)))</f>
        <v/>
      </c>
      <c r="R60" s="6" t="str">
        <f aca="false">IF(OR($A60="",$C60&lt;2),"",($E60-$Q60)/($C60-1))</f>
        <v/>
      </c>
    </row>
    <row r="61" customFormat="false" ht="14.25" hidden="false" customHeight="false" outlineLevel="0" collapsed="false">
      <c r="A61" s="19"/>
      <c r="B61" s="19"/>
      <c r="C61" s="15" t="str">
        <f aca="false">IF($A61="","",COUNTIF('Daily tracking'!$D$2:$D$2001,$A61))</f>
        <v/>
      </c>
      <c r="D61" s="16" t="str">
        <f aca="false">IF($A61="","",SUMIF('Daily tracking'!$D$2:$D$2001,$A61,'Daily tracking'!$G$2:$G$2001))</f>
        <v/>
      </c>
      <c r="E61" s="18" t="str">
        <f aca="false">IF($A61="","",IF($C61=0,"",_xlfn.MAXIFS('Daily tracking'!$A$2:$A$2001,'Daily tracking'!$D$2:$D$2001,$A61)))</f>
        <v/>
      </c>
      <c r="F61" s="6" t="str">
        <f aca="true">IF(OR($A61="",$E61=""),"",TODAY()-$E61)</f>
        <v/>
      </c>
      <c r="G61" s="3" t="str">
        <f aca="false">IF($A61="","",IF($C61=0,"No visits",IF($F61&gt;90,"Lapsed",IF($F61&gt;35,"At risk",IF($C61&gt;=4,"Loyal","Active")))))</f>
        <v/>
      </c>
      <c r="H61" s="9" t="str">
        <f aca="false">IF(OR($A61="",$C61=0),"",$D61/$C61)</f>
        <v/>
      </c>
      <c r="I61" s="20"/>
      <c r="J61" s="20"/>
      <c r="K61" s="19"/>
      <c r="L61" s="19"/>
      <c r="M61" s="19"/>
      <c r="N61" s="15" t="str">
        <f aca="false">IF($A61="","",IF($C61=0,0,(IF($F61&lt;=15,5,IF($F61&lt;=30,4,IF($F61&lt;=45,3,IF($F61&lt;=90,2,1))))+IF($C61&gt;=10,5,IF($C61&gt;=6,4,IF($C61&gt;=4,3,IF($C61&gt;=2,2,1))))+IF($D61&gt;=20000,5,IF($D61&gt;=10000,4,IF($D61&gt;=5000,3,IF($D61&gt;=2000,2,1)))))))</f>
        <v/>
      </c>
      <c r="O61" s="3" t="str">
        <f aca="false">IF($A61="","",IF($C61=0,"No visits",IF($N61&gt;=13,"VIP",IF($N61&gt;=10,"High value",IF($N61&gt;=7,"Regular",IF($N61&gt;=4,"Occasional","Low"))))))</f>
        <v/>
      </c>
      <c r="P61" s="6" t="str">
        <f aca="true">IF(OR($A61="",$I61=""),"",IF(MONTH($I61)=MONTH(TODAY()),"Yes",""))</f>
        <v/>
      </c>
      <c r="Q61" s="21" t="str">
        <f aca="false">IF($A61="","",IF($C61=0,"",_xlfn.MINIFS('Daily tracking'!$A$2:$A$2001,'Daily tracking'!$D$2:$D$2001,$A61)))</f>
        <v/>
      </c>
      <c r="R61" s="6" t="str">
        <f aca="false">IF(OR($A61="",$C61&lt;2),"",($E61-$Q61)/($C61-1))</f>
        <v/>
      </c>
    </row>
    <row r="62" customFormat="false" ht="14.25" hidden="false" customHeight="false" outlineLevel="0" collapsed="false">
      <c r="A62" s="19"/>
      <c r="B62" s="19"/>
      <c r="C62" s="15" t="str">
        <f aca="false">IF($A62="","",COUNTIF('Daily tracking'!$D$2:$D$2001,$A62))</f>
        <v/>
      </c>
      <c r="D62" s="16" t="str">
        <f aca="false">IF($A62="","",SUMIF('Daily tracking'!$D$2:$D$2001,$A62,'Daily tracking'!$G$2:$G$2001))</f>
        <v/>
      </c>
      <c r="E62" s="18" t="str">
        <f aca="false">IF($A62="","",IF($C62=0,"",_xlfn.MAXIFS('Daily tracking'!$A$2:$A$2001,'Daily tracking'!$D$2:$D$2001,$A62)))</f>
        <v/>
      </c>
      <c r="F62" s="6" t="str">
        <f aca="true">IF(OR($A62="",$E62=""),"",TODAY()-$E62)</f>
        <v/>
      </c>
      <c r="G62" s="3" t="str">
        <f aca="false">IF($A62="","",IF($C62=0,"No visits",IF($F62&gt;90,"Lapsed",IF($F62&gt;35,"At risk",IF($C62&gt;=4,"Loyal","Active")))))</f>
        <v/>
      </c>
      <c r="H62" s="9" t="str">
        <f aca="false">IF(OR($A62="",$C62=0),"",$D62/$C62)</f>
        <v/>
      </c>
      <c r="I62" s="20"/>
      <c r="J62" s="20"/>
      <c r="K62" s="19"/>
      <c r="L62" s="19"/>
      <c r="M62" s="19"/>
      <c r="N62" s="15" t="str">
        <f aca="false">IF($A62="","",IF($C62=0,0,(IF($F62&lt;=15,5,IF($F62&lt;=30,4,IF($F62&lt;=45,3,IF($F62&lt;=90,2,1))))+IF($C62&gt;=10,5,IF($C62&gt;=6,4,IF($C62&gt;=4,3,IF($C62&gt;=2,2,1))))+IF($D62&gt;=20000,5,IF($D62&gt;=10000,4,IF($D62&gt;=5000,3,IF($D62&gt;=2000,2,1)))))))</f>
        <v/>
      </c>
      <c r="O62" s="3" t="str">
        <f aca="false">IF($A62="","",IF($C62=0,"No visits",IF($N62&gt;=13,"VIP",IF($N62&gt;=10,"High value",IF($N62&gt;=7,"Regular",IF($N62&gt;=4,"Occasional","Low"))))))</f>
        <v/>
      </c>
      <c r="P62" s="6" t="str">
        <f aca="true">IF(OR($A62="",$I62=""),"",IF(MONTH($I62)=MONTH(TODAY()),"Yes",""))</f>
        <v/>
      </c>
      <c r="Q62" s="21" t="str">
        <f aca="false">IF($A62="","",IF($C62=0,"",_xlfn.MINIFS('Daily tracking'!$A$2:$A$2001,'Daily tracking'!$D$2:$D$2001,$A62)))</f>
        <v/>
      </c>
      <c r="R62" s="6" t="str">
        <f aca="false">IF(OR($A62="",$C62&lt;2),"",($E62-$Q62)/($C62-1))</f>
        <v/>
      </c>
    </row>
    <row r="63" customFormat="false" ht="14.25" hidden="false" customHeight="false" outlineLevel="0" collapsed="false">
      <c r="A63" s="19"/>
      <c r="B63" s="19"/>
      <c r="C63" s="15" t="str">
        <f aca="false">IF($A63="","",COUNTIF('Daily tracking'!$D$2:$D$2001,$A63))</f>
        <v/>
      </c>
      <c r="D63" s="16" t="str">
        <f aca="false">IF($A63="","",SUMIF('Daily tracking'!$D$2:$D$2001,$A63,'Daily tracking'!$G$2:$G$2001))</f>
        <v/>
      </c>
      <c r="E63" s="18" t="str">
        <f aca="false">IF($A63="","",IF($C63=0,"",_xlfn.MAXIFS('Daily tracking'!$A$2:$A$2001,'Daily tracking'!$D$2:$D$2001,$A63)))</f>
        <v/>
      </c>
      <c r="F63" s="6" t="str">
        <f aca="true">IF(OR($A63="",$E63=""),"",TODAY()-$E63)</f>
        <v/>
      </c>
      <c r="G63" s="3" t="str">
        <f aca="false">IF($A63="","",IF($C63=0,"No visits",IF($F63&gt;90,"Lapsed",IF($F63&gt;35,"At risk",IF($C63&gt;=4,"Loyal","Active")))))</f>
        <v/>
      </c>
      <c r="H63" s="9" t="str">
        <f aca="false">IF(OR($A63="",$C63=0),"",$D63/$C63)</f>
        <v/>
      </c>
      <c r="I63" s="20"/>
      <c r="J63" s="20"/>
      <c r="K63" s="19"/>
      <c r="L63" s="19"/>
      <c r="M63" s="19"/>
      <c r="N63" s="15" t="str">
        <f aca="false">IF($A63="","",IF($C63=0,0,(IF($F63&lt;=15,5,IF($F63&lt;=30,4,IF($F63&lt;=45,3,IF($F63&lt;=90,2,1))))+IF($C63&gt;=10,5,IF($C63&gt;=6,4,IF($C63&gt;=4,3,IF($C63&gt;=2,2,1))))+IF($D63&gt;=20000,5,IF($D63&gt;=10000,4,IF($D63&gt;=5000,3,IF($D63&gt;=2000,2,1)))))))</f>
        <v/>
      </c>
      <c r="O63" s="3" t="str">
        <f aca="false">IF($A63="","",IF($C63=0,"No visits",IF($N63&gt;=13,"VIP",IF($N63&gt;=10,"High value",IF($N63&gt;=7,"Regular",IF($N63&gt;=4,"Occasional","Low"))))))</f>
        <v/>
      </c>
      <c r="P63" s="6" t="str">
        <f aca="true">IF(OR($A63="",$I63=""),"",IF(MONTH($I63)=MONTH(TODAY()),"Yes",""))</f>
        <v/>
      </c>
      <c r="Q63" s="21" t="str">
        <f aca="false">IF($A63="","",IF($C63=0,"",_xlfn.MINIFS('Daily tracking'!$A$2:$A$2001,'Daily tracking'!$D$2:$D$2001,$A63)))</f>
        <v/>
      </c>
      <c r="R63" s="6" t="str">
        <f aca="false">IF(OR($A63="",$C63&lt;2),"",($E63-$Q63)/($C63-1))</f>
        <v/>
      </c>
    </row>
    <row r="64" customFormat="false" ht="14.25" hidden="false" customHeight="false" outlineLevel="0" collapsed="false">
      <c r="A64" s="19"/>
      <c r="B64" s="19"/>
      <c r="C64" s="15" t="str">
        <f aca="false">IF($A64="","",COUNTIF('Daily tracking'!$D$2:$D$2001,$A64))</f>
        <v/>
      </c>
      <c r="D64" s="16" t="str">
        <f aca="false">IF($A64="","",SUMIF('Daily tracking'!$D$2:$D$2001,$A64,'Daily tracking'!$G$2:$G$2001))</f>
        <v/>
      </c>
      <c r="E64" s="18" t="str">
        <f aca="false">IF($A64="","",IF($C64=0,"",_xlfn.MAXIFS('Daily tracking'!$A$2:$A$2001,'Daily tracking'!$D$2:$D$2001,$A64)))</f>
        <v/>
      </c>
      <c r="F64" s="6" t="str">
        <f aca="true">IF(OR($A64="",$E64=""),"",TODAY()-$E64)</f>
        <v/>
      </c>
      <c r="G64" s="3" t="str">
        <f aca="false">IF($A64="","",IF($C64=0,"No visits",IF($F64&gt;90,"Lapsed",IF($F64&gt;35,"At risk",IF($C64&gt;=4,"Loyal","Active")))))</f>
        <v/>
      </c>
      <c r="H64" s="9" t="str">
        <f aca="false">IF(OR($A64="",$C64=0),"",$D64/$C64)</f>
        <v/>
      </c>
      <c r="I64" s="20"/>
      <c r="J64" s="20"/>
      <c r="K64" s="19"/>
      <c r="L64" s="19"/>
      <c r="M64" s="19"/>
      <c r="N64" s="15" t="str">
        <f aca="false">IF($A64="","",IF($C64=0,0,(IF($F64&lt;=15,5,IF($F64&lt;=30,4,IF($F64&lt;=45,3,IF($F64&lt;=90,2,1))))+IF($C64&gt;=10,5,IF($C64&gt;=6,4,IF($C64&gt;=4,3,IF($C64&gt;=2,2,1))))+IF($D64&gt;=20000,5,IF($D64&gt;=10000,4,IF($D64&gt;=5000,3,IF($D64&gt;=2000,2,1)))))))</f>
        <v/>
      </c>
      <c r="O64" s="3" t="str">
        <f aca="false">IF($A64="","",IF($C64=0,"No visits",IF($N64&gt;=13,"VIP",IF($N64&gt;=10,"High value",IF($N64&gt;=7,"Regular",IF($N64&gt;=4,"Occasional","Low"))))))</f>
        <v/>
      </c>
      <c r="P64" s="6" t="str">
        <f aca="true">IF(OR($A64="",$I64=""),"",IF(MONTH($I64)=MONTH(TODAY()),"Yes",""))</f>
        <v/>
      </c>
      <c r="Q64" s="21" t="str">
        <f aca="false">IF($A64="","",IF($C64=0,"",_xlfn.MINIFS('Daily tracking'!$A$2:$A$2001,'Daily tracking'!$D$2:$D$2001,$A64)))</f>
        <v/>
      </c>
      <c r="R64" s="6" t="str">
        <f aca="false">IF(OR($A64="",$C64&lt;2),"",($E64-$Q64)/($C64-1))</f>
        <v/>
      </c>
    </row>
    <row r="65" customFormat="false" ht="14.25" hidden="false" customHeight="false" outlineLevel="0" collapsed="false">
      <c r="A65" s="19"/>
      <c r="B65" s="19"/>
      <c r="C65" s="15" t="str">
        <f aca="false">IF($A65="","",COUNTIF('Daily tracking'!$D$2:$D$2001,$A65))</f>
        <v/>
      </c>
      <c r="D65" s="16" t="str">
        <f aca="false">IF($A65="","",SUMIF('Daily tracking'!$D$2:$D$2001,$A65,'Daily tracking'!$G$2:$G$2001))</f>
        <v/>
      </c>
      <c r="E65" s="18" t="str">
        <f aca="false">IF($A65="","",IF($C65=0,"",_xlfn.MAXIFS('Daily tracking'!$A$2:$A$2001,'Daily tracking'!$D$2:$D$2001,$A65)))</f>
        <v/>
      </c>
      <c r="F65" s="6" t="str">
        <f aca="true">IF(OR($A65="",$E65=""),"",TODAY()-$E65)</f>
        <v/>
      </c>
      <c r="G65" s="3" t="str">
        <f aca="false">IF($A65="","",IF($C65=0,"No visits",IF($F65&gt;90,"Lapsed",IF($F65&gt;35,"At risk",IF($C65&gt;=4,"Loyal","Active")))))</f>
        <v/>
      </c>
      <c r="H65" s="9" t="str">
        <f aca="false">IF(OR($A65="",$C65=0),"",$D65/$C65)</f>
        <v/>
      </c>
      <c r="I65" s="20"/>
      <c r="J65" s="20"/>
      <c r="K65" s="19"/>
      <c r="L65" s="19"/>
      <c r="M65" s="19"/>
      <c r="N65" s="15" t="str">
        <f aca="false">IF($A65="","",IF($C65=0,0,(IF($F65&lt;=15,5,IF($F65&lt;=30,4,IF($F65&lt;=45,3,IF($F65&lt;=90,2,1))))+IF($C65&gt;=10,5,IF($C65&gt;=6,4,IF($C65&gt;=4,3,IF($C65&gt;=2,2,1))))+IF($D65&gt;=20000,5,IF($D65&gt;=10000,4,IF($D65&gt;=5000,3,IF($D65&gt;=2000,2,1)))))))</f>
        <v/>
      </c>
      <c r="O65" s="3" t="str">
        <f aca="false">IF($A65="","",IF($C65=0,"No visits",IF($N65&gt;=13,"VIP",IF($N65&gt;=10,"High value",IF($N65&gt;=7,"Regular",IF($N65&gt;=4,"Occasional","Low"))))))</f>
        <v/>
      </c>
      <c r="P65" s="6" t="str">
        <f aca="true">IF(OR($A65="",$I65=""),"",IF(MONTH($I65)=MONTH(TODAY()),"Yes",""))</f>
        <v/>
      </c>
      <c r="Q65" s="21" t="str">
        <f aca="false">IF($A65="","",IF($C65=0,"",_xlfn.MINIFS('Daily tracking'!$A$2:$A$2001,'Daily tracking'!$D$2:$D$2001,$A65)))</f>
        <v/>
      </c>
      <c r="R65" s="6" t="str">
        <f aca="false">IF(OR($A65="",$C65&lt;2),"",($E65-$Q65)/($C65-1))</f>
        <v/>
      </c>
    </row>
    <row r="66" customFormat="false" ht="14.25" hidden="false" customHeight="false" outlineLevel="0" collapsed="false">
      <c r="A66" s="19"/>
      <c r="B66" s="19"/>
      <c r="C66" s="15" t="str">
        <f aca="false">IF($A66="","",COUNTIF('Daily tracking'!$D$2:$D$2001,$A66))</f>
        <v/>
      </c>
      <c r="D66" s="16" t="str">
        <f aca="false">IF($A66="","",SUMIF('Daily tracking'!$D$2:$D$2001,$A66,'Daily tracking'!$G$2:$G$2001))</f>
        <v/>
      </c>
      <c r="E66" s="18" t="str">
        <f aca="false">IF($A66="","",IF($C66=0,"",_xlfn.MAXIFS('Daily tracking'!$A$2:$A$2001,'Daily tracking'!$D$2:$D$2001,$A66)))</f>
        <v/>
      </c>
      <c r="F66" s="6" t="str">
        <f aca="true">IF(OR($A66="",$E66=""),"",TODAY()-$E66)</f>
        <v/>
      </c>
      <c r="G66" s="3" t="str">
        <f aca="false">IF($A66="","",IF($C66=0,"No visits",IF($F66&gt;90,"Lapsed",IF($F66&gt;35,"At risk",IF($C66&gt;=4,"Loyal","Active")))))</f>
        <v/>
      </c>
      <c r="H66" s="9" t="str">
        <f aca="false">IF(OR($A66="",$C66=0),"",$D66/$C66)</f>
        <v/>
      </c>
      <c r="I66" s="20"/>
      <c r="J66" s="20"/>
      <c r="K66" s="19"/>
      <c r="L66" s="19"/>
      <c r="M66" s="19"/>
      <c r="N66" s="15" t="str">
        <f aca="false">IF($A66="","",IF($C66=0,0,(IF($F66&lt;=15,5,IF($F66&lt;=30,4,IF($F66&lt;=45,3,IF($F66&lt;=90,2,1))))+IF($C66&gt;=10,5,IF($C66&gt;=6,4,IF($C66&gt;=4,3,IF($C66&gt;=2,2,1))))+IF($D66&gt;=20000,5,IF($D66&gt;=10000,4,IF($D66&gt;=5000,3,IF($D66&gt;=2000,2,1)))))))</f>
        <v/>
      </c>
      <c r="O66" s="3" t="str">
        <f aca="false">IF($A66="","",IF($C66=0,"No visits",IF($N66&gt;=13,"VIP",IF($N66&gt;=10,"High value",IF($N66&gt;=7,"Regular",IF($N66&gt;=4,"Occasional","Low"))))))</f>
        <v/>
      </c>
      <c r="P66" s="6" t="str">
        <f aca="true">IF(OR($A66="",$I66=""),"",IF(MONTH($I66)=MONTH(TODAY()),"Yes",""))</f>
        <v/>
      </c>
      <c r="Q66" s="21" t="str">
        <f aca="false">IF($A66="","",IF($C66=0,"",_xlfn.MINIFS('Daily tracking'!$A$2:$A$2001,'Daily tracking'!$D$2:$D$2001,$A66)))</f>
        <v/>
      </c>
      <c r="R66" s="6" t="str">
        <f aca="false">IF(OR($A66="",$C66&lt;2),"",($E66-$Q66)/($C66-1))</f>
        <v/>
      </c>
    </row>
    <row r="67" customFormat="false" ht="14.25" hidden="false" customHeight="false" outlineLevel="0" collapsed="false">
      <c r="A67" s="19"/>
      <c r="B67" s="19"/>
      <c r="C67" s="15" t="str">
        <f aca="false">IF($A67="","",COUNTIF('Daily tracking'!$D$2:$D$2001,$A67))</f>
        <v/>
      </c>
      <c r="D67" s="16" t="str">
        <f aca="false">IF($A67="","",SUMIF('Daily tracking'!$D$2:$D$2001,$A67,'Daily tracking'!$G$2:$G$2001))</f>
        <v/>
      </c>
      <c r="E67" s="18" t="str">
        <f aca="false">IF($A67="","",IF($C67=0,"",_xlfn.MAXIFS('Daily tracking'!$A$2:$A$2001,'Daily tracking'!$D$2:$D$2001,$A67)))</f>
        <v/>
      </c>
      <c r="F67" s="6" t="str">
        <f aca="true">IF(OR($A67="",$E67=""),"",TODAY()-$E67)</f>
        <v/>
      </c>
      <c r="G67" s="3" t="str">
        <f aca="false">IF($A67="","",IF($C67=0,"No visits",IF($F67&gt;90,"Lapsed",IF($F67&gt;35,"At risk",IF($C67&gt;=4,"Loyal","Active")))))</f>
        <v/>
      </c>
      <c r="H67" s="9" t="str">
        <f aca="false">IF(OR($A67="",$C67=0),"",$D67/$C67)</f>
        <v/>
      </c>
      <c r="I67" s="20"/>
      <c r="J67" s="20"/>
      <c r="K67" s="19"/>
      <c r="L67" s="19"/>
      <c r="M67" s="19"/>
      <c r="N67" s="15" t="str">
        <f aca="false">IF($A67="","",IF($C67=0,0,(IF($F67&lt;=15,5,IF($F67&lt;=30,4,IF($F67&lt;=45,3,IF($F67&lt;=90,2,1))))+IF($C67&gt;=10,5,IF($C67&gt;=6,4,IF($C67&gt;=4,3,IF($C67&gt;=2,2,1))))+IF($D67&gt;=20000,5,IF($D67&gt;=10000,4,IF($D67&gt;=5000,3,IF($D67&gt;=2000,2,1)))))))</f>
        <v/>
      </c>
      <c r="O67" s="3" t="str">
        <f aca="false">IF($A67="","",IF($C67=0,"No visits",IF($N67&gt;=13,"VIP",IF($N67&gt;=10,"High value",IF($N67&gt;=7,"Regular",IF($N67&gt;=4,"Occasional","Low"))))))</f>
        <v/>
      </c>
      <c r="P67" s="6" t="str">
        <f aca="true">IF(OR($A67="",$I67=""),"",IF(MONTH($I67)=MONTH(TODAY()),"Yes",""))</f>
        <v/>
      </c>
      <c r="Q67" s="21" t="str">
        <f aca="false">IF($A67="","",IF($C67=0,"",_xlfn.MINIFS('Daily tracking'!$A$2:$A$2001,'Daily tracking'!$D$2:$D$2001,$A67)))</f>
        <v/>
      </c>
      <c r="R67" s="6" t="str">
        <f aca="false">IF(OR($A67="",$C67&lt;2),"",($E67-$Q67)/($C67-1))</f>
        <v/>
      </c>
    </row>
    <row r="68" customFormat="false" ht="14.25" hidden="false" customHeight="false" outlineLevel="0" collapsed="false">
      <c r="A68" s="19"/>
      <c r="B68" s="19"/>
      <c r="C68" s="15" t="str">
        <f aca="false">IF($A68="","",COUNTIF('Daily tracking'!$D$2:$D$2001,$A68))</f>
        <v/>
      </c>
      <c r="D68" s="16" t="str">
        <f aca="false">IF($A68="","",SUMIF('Daily tracking'!$D$2:$D$2001,$A68,'Daily tracking'!$G$2:$G$2001))</f>
        <v/>
      </c>
      <c r="E68" s="18" t="str">
        <f aca="false">IF($A68="","",IF($C68=0,"",_xlfn.MAXIFS('Daily tracking'!$A$2:$A$2001,'Daily tracking'!$D$2:$D$2001,$A68)))</f>
        <v/>
      </c>
      <c r="F68" s="6" t="str">
        <f aca="true">IF(OR($A68="",$E68=""),"",TODAY()-$E68)</f>
        <v/>
      </c>
      <c r="G68" s="3" t="str">
        <f aca="false">IF($A68="","",IF($C68=0,"No visits",IF($F68&gt;90,"Lapsed",IF($F68&gt;35,"At risk",IF($C68&gt;=4,"Loyal","Active")))))</f>
        <v/>
      </c>
      <c r="H68" s="9" t="str">
        <f aca="false">IF(OR($A68="",$C68=0),"",$D68/$C68)</f>
        <v/>
      </c>
      <c r="I68" s="20"/>
      <c r="J68" s="20"/>
      <c r="K68" s="19"/>
      <c r="L68" s="19"/>
      <c r="M68" s="19"/>
      <c r="N68" s="15" t="str">
        <f aca="false">IF($A68="","",IF($C68=0,0,(IF($F68&lt;=15,5,IF($F68&lt;=30,4,IF($F68&lt;=45,3,IF($F68&lt;=90,2,1))))+IF($C68&gt;=10,5,IF($C68&gt;=6,4,IF($C68&gt;=4,3,IF($C68&gt;=2,2,1))))+IF($D68&gt;=20000,5,IF($D68&gt;=10000,4,IF($D68&gt;=5000,3,IF($D68&gt;=2000,2,1)))))))</f>
        <v/>
      </c>
      <c r="O68" s="3" t="str">
        <f aca="false">IF($A68="","",IF($C68=0,"No visits",IF($N68&gt;=13,"VIP",IF($N68&gt;=10,"High value",IF($N68&gt;=7,"Regular",IF($N68&gt;=4,"Occasional","Low"))))))</f>
        <v/>
      </c>
      <c r="P68" s="6" t="str">
        <f aca="true">IF(OR($A68="",$I68=""),"",IF(MONTH($I68)=MONTH(TODAY()),"Yes",""))</f>
        <v/>
      </c>
      <c r="Q68" s="21" t="str">
        <f aca="false">IF($A68="","",IF($C68=0,"",_xlfn.MINIFS('Daily tracking'!$A$2:$A$2001,'Daily tracking'!$D$2:$D$2001,$A68)))</f>
        <v/>
      </c>
      <c r="R68" s="6" t="str">
        <f aca="false">IF(OR($A68="",$C68&lt;2),"",($E68-$Q68)/($C68-1))</f>
        <v/>
      </c>
    </row>
    <row r="69" customFormat="false" ht="14.25" hidden="false" customHeight="false" outlineLevel="0" collapsed="false">
      <c r="A69" s="19"/>
      <c r="B69" s="19"/>
      <c r="C69" s="15" t="str">
        <f aca="false">IF($A69="","",COUNTIF('Daily tracking'!$D$2:$D$2001,$A69))</f>
        <v/>
      </c>
      <c r="D69" s="16" t="str">
        <f aca="false">IF($A69="","",SUMIF('Daily tracking'!$D$2:$D$2001,$A69,'Daily tracking'!$G$2:$G$2001))</f>
        <v/>
      </c>
      <c r="E69" s="18" t="str">
        <f aca="false">IF($A69="","",IF($C69=0,"",_xlfn.MAXIFS('Daily tracking'!$A$2:$A$2001,'Daily tracking'!$D$2:$D$2001,$A69)))</f>
        <v/>
      </c>
      <c r="F69" s="6" t="str">
        <f aca="true">IF(OR($A69="",$E69=""),"",TODAY()-$E69)</f>
        <v/>
      </c>
      <c r="G69" s="3" t="str">
        <f aca="false">IF($A69="","",IF($C69=0,"No visits",IF($F69&gt;90,"Lapsed",IF($F69&gt;35,"At risk",IF($C69&gt;=4,"Loyal","Active")))))</f>
        <v/>
      </c>
      <c r="H69" s="9" t="str">
        <f aca="false">IF(OR($A69="",$C69=0),"",$D69/$C69)</f>
        <v/>
      </c>
      <c r="I69" s="20"/>
      <c r="J69" s="20"/>
      <c r="K69" s="19"/>
      <c r="L69" s="19"/>
      <c r="M69" s="19"/>
      <c r="N69" s="15" t="str">
        <f aca="false">IF($A69="","",IF($C69=0,0,(IF($F69&lt;=15,5,IF($F69&lt;=30,4,IF($F69&lt;=45,3,IF($F69&lt;=90,2,1))))+IF($C69&gt;=10,5,IF($C69&gt;=6,4,IF($C69&gt;=4,3,IF($C69&gt;=2,2,1))))+IF($D69&gt;=20000,5,IF($D69&gt;=10000,4,IF($D69&gt;=5000,3,IF($D69&gt;=2000,2,1)))))))</f>
        <v/>
      </c>
      <c r="O69" s="3" t="str">
        <f aca="false">IF($A69="","",IF($C69=0,"No visits",IF($N69&gt;=13,"VIP",IF($N69&gt;=10,"High value",IF($N69&gt;=7,"Regular",IF($N69&gt;=4,"Occasional","Low"))))))</f>
        <v/>
      </c>
      <c r="P69" s="6" t="str">
        <f aca="true">IF(OR($A69="",$I69=""),"",IF(MONTH($I69)=MONTH(TODAY()),"Yes",""))</f>
        <v/>
      </c>
      <c r="Q69" s="21" t="str">
        <f aca="false">IF($A69="","",IF($C69=0,"",_xlfn.MINIFS('Daily tracking'!$A$2:$A$2001,'Daily tracking'!$D$2:$D$2001,$A69)))</f>
        <v/>
      </c>
      <c r="R69" s="6" t="str">
        <f aca="false">IF(OR($A69="",$C69&lt;2),"",($E69-$Q69)/($C69-1))</f>
        <v/>
      </c>
    </row>
    <row r="70" customFormat="false" ht="14.25" hidden="false" customHeight="false" outlineLevel="0" collapsed="false">
      <c r="A70" s="19"/>
      <c r="B70" s="19"/>
      <c r="C70" s="15" t="str">
        <f aca="false">IF($A70="","",COUNTIF('Daily tracking'!$D$2:$D$2001,$A70))</f>
        <v/>
      </c>
      <c r="D70" s="16" t="str">
        <f aca="false">IF($A70="","",SUMIF('Daily tracking'!$D$2:$D$2001,$A70,'Daily tracking'!$G$2:$G$2001))</f>
        <v/>
      </c>
      <c r="E70" s="18" t="str">
        <f aca="false">IF($A70="","",IF($C70=0,"",_xlfn.MAXIFS('Daily tracking'!$A$2:$A$2001,'Daily tracking'!$D$2:$D$2001,$A70)))</f>
        <v/>
      </c>
      <c r="F70" s="6" t="str">
        <f aca="true">IF(OR($A70="",$E70=""),"",TODAY()-$E70)</f>
        <v/>
      </c>
      <c r="G70" s="3" t="str">
        <f aca="false">IF($A70="","",IF($C70=0,"No visits",IF($F70&gt;90,"Lapsed",IF($F70&gt;35,"At risk",IF($C70&gt;=4,"Loyal","Active")))))</f>
        <v/>
      </c>
      <c r="H70" s="9" t="str">
        <f aca="false">IF(OR($A70="",$C70=0),"",$D70/$C70)</f>
        <v/>
      </c>
      <c r="I70" s="20"/>
      <c r="J70" s="20"/>
      <c r="K70" s="19"/>
      <c r="L70" s="19"/>
      <c r="M70" s="19"/>
      <c r="N70" s="15" t="str">
        <f aca="false">IF($A70="","",IF($C70=0,0,(IF($F70&lt;=15,5,IF($F70&lt;=30,4,IF($F70&lt;=45,3,IF($F70&lt;=90,2,1))))+IF($C70&gt;=10,5,IF($C70&gt;=6,4,IF($C70&gt;=4,3,IF($C70&gt;=2,2,1))))+IF($D70&gt;=20000,5,IF($D70&gt;=10000,4,IF($D70&gt;=5000,3,IF($D70&gt;=2000,2,1)))))))</f>
        <v/>
      </c>
      <c r="O70" s="3" t="str">
        <f aca="false">IF($A70="","",IF($C70=0,"No visits",IF($N70&gt;=13,"VIP",IF($N70&gt;=10,"High value",IF($N70&gt;=7,"Regular",IF($N70&gt;=4,"Occasional","Low"))))))</f>
        <v/>
      </c>
      <c r="P70" s="6" t="str">
        <f aca="true">IF(OR($A70="",$I70=""),"",IF(MONTH($I70)=MONTH(TODAY()),"Yes",""))</f>
        <v/>
      </c>
      <c r="Q70" s="21" t="str">
        <f aca="false">IF($A70="","",IF($C70=0,"",_xlfn.MINIFS('Daily tracking'!$A$2:$A$2001,'Daily tracking'!$D$2:$D$2001,$A70)))</f>
        <v/>
      </c>
      <c r="R70" s="6" t="str">
        <f aca="false">IF(OR($A70="",$C70&lt;2),"",($E70-$Q70)/($C70-1))</f>
        <v/>
      </c>
    </row>
    <row r="71" customFormat="false" ht="14.25" hidden="false" customHeight="false" outlineLevel="0" collapsed="false">
      <c r="A71" s="19"/>
      <c r="B71" s="19"/>
      <c r="C71" s="15" t="str">
        <f aca="false">IF($A71="","",COUNTIF('Daily tracking'!$D$2:$D$2001,$A71))</f>
        <v/>
      </c>
      <c r="D71" s="16" t="str">
        <f aca="false">IF($A71="","",SUMIF('Daily tracking'!$D$2:$D$2001,$A71,'Daily tracking'!$G$2:$G$2001))</f>
        <v/>
      </c>
      <c r="E71" s="18" t="str">
        <f aca="false">IF($A71="","",IF($C71=0,"",_xlfn.MAXIFS('Daily tracking'!$A$2:$A$2001,'Daily tracking'!$D$2:$D$2001,$A71)))</f>
        <v/>
      </c>
      <c r="F71" s="6" t="str">
        <f aca="true">IF(OR($A71="",$E71=""),"",TODAY()-$E71)</f>
        <v/>
      </c>
      <c r="G71" s="3" t="str">
        <f aca="false">IF($A71="","",IF($C71=0,"No visits",IF($F71&gt;90,"Lapsed",IF($F71&gt;35,"At risk",IF($C71&gt;=4,"Loyal","Active")))))</f>
        <v/>
      </c>
      <c r="H71" s="9" t="str">
        <f aca="false">IF(OR($A71="",$C71=0),"",$D71/$C71)</f>
        <v/>
      </c>
      <c r="I71" s="20"/>
      <c r="J71" s="20"/>
      <c r="K71" s="19"/>
      <c r="L71" s="19"/>
      <c r="M71" s="19"/>
      <c r="N71" s="15" t="str">
        <f aca="false">IF($A71="","",IF($C71=0,0,(IF($F71&lt;=15,5,IF($F71&lt;=30,4,IF($F71&lt;=45,3,IF($F71&lt;=90,2,1))))+IF($C71&gt;=10,5,IF($C71&gt;=6,4,IF($C71&gt;=4,3,IF($C71&gt;=2,2,1))))+IF($D71&gt;=20000,5,IF($D71&gt;=10000,4,IF($D71&gt;=5000,3,IF($D71&gt;=2000,2,1)))))))</f>
        <v/>
      </c>
      <c r="O71" s="3" t="str">
        <f aca="false">IF($A71="","",IF($C71=0,"No visits",IF($N71&gt;=13,"VIP",IF($N71&gt;=10,"High value",IF($N71&gt;=7,"Regular",IF($N71&gt;=4,"Occasional","Low"))))))</f>
        <v/>
      </c>
      <c r="P71" s="6" t="str">
        <f aca="true">IF(OR($A71="",$I71=""),"",IF(MONTH($I71)=MONTH(TODAY()),"Yes",""))</f>
        <v/>
      </c>
      <c r="Q71" s="21" t="str">
        <f aca="false">IF($A71="","",IF($C71=0,"",_xlfn.MINIFS('Daily tracking'!$A$2:$A$2001,'Daily tracking'!$D$2:$D$2001,$A71)))</f>
        <v/>
      </c>
      <c r="R71" s="6" t="str">
        <f aca="false">IF(OR($A71="",$C71&lt;2),"",($E71-$Q71)/($C71-1))</f>
        <v/>
      </c>
    </row>
    <row r="72" customFormat="false" ht="14.25" hidden="false" customHeight="false" outlineLevel="0" collapsed="false">
      <c r="A72" s="19"/>
      <c r="B72" s="19"/>
      <c r="C72" s="15" t="str">
        <f aca="false">IF($A72="","",COUNTIF('Daily tracking'!$D$2:$D$2001,$A72))</f>
        <v/>
      </c>
      <c r="D72" s="16" t="str">
        <f aca="false">IF($A72="","",SUMIF('Daily tracking'!$D$2:$D$2001,$A72,'Daily tracking'!$G$2:$G$2001))</f>
        <v/>
      </c>
      <c r="E72" s="18" t="str">
        <f aca="false">IF($A72="","",IF($C72=0,"",_xlfn.MAXIFS('Daily tracking'!$A$2:$A$2001,'Daily tracking'!$D$2:$D$2001,$A72)))</f>
        <v/>
      </c>
      <c r="F72" s="6" t="str">
        <f aca="true">IF(OR($A72="",$E72=""),"",TODAY()-$E72)</f>
        <v/>
      </c>
      <c r="G72" s="3" t="str">
        <f aca="false">IF($A72="","",IF($C72=0,"No visits",IF($F72&gt;90,"Lapsed",IF($F72&gt;35,"At risk",IF($C72&gt;=4,"Loyal","Active")))))</f>
        <v/>
      </c>
      <c r="H72" s="9" t="str">
        <f aca="false">IF(OR($A72="",$C72=0),"",$D72/$C72)</f>
        <v/>
      </c>
      <c r="I72" s="20"/>
      <c r="J72" s="20"/>
      <c r="K72" s="19"/>
      <c r="L72" s="19"/>
      <c r="M72" s="19"/>
      <c r="N72" s="15" t="str">
        <f aca="false">IF($A72="","",IF($C72=0,0,(IF($F72&lt;=15,5,IF($F72&lt;=30,4,IF($F72&lt;=45,3,IF($F72&lt;=90,2,1))))+IF($C72&gt;=10,5,IF($C72&gt;=6,4,IF($C72&gt;=4,3,IF($C72&gt;=2,2,1))))+IF($D72&gt;=20000,5,IF($D72&gt;=10000,4,IF($D72&gt;=5000,3,IF($D72&gt;=2000,2,1)))))))</f>
        <v/>
      </c>
      <c r="O72" s="3" t="str">
        <f aca="false">IF($A72="","",IF($C72=0,"No visits",IF($N72&gt;=13,"VIP",IF($N72&gt;=10,"High value",IF($N72&gt;=7,"Regular",IF($N72&gt;=4,"Occasional","Low"))))))</f>
        <v/>
      </c>
      <c r="P72" s="6" t="str">
        <f aca="true">IF(OR($A72="",$I72=""),"",IF(MONTH($I72)=MONTH(TODAY()),"Yes",""))</f>
        <v/>
      </c>
      <c r="Q72" s="21" t="str">
        <f aca="false">IF($A72="","",IF($C72=0,"",_xlfn.MINIFS('Daily tracking'!$A$2:$A$2001,'Daily tracking'!$D$2:$D$2001,$A72)))</f>
        <v/>
      </c>
      <c r="R72" s="6" t="str">
        <f aca="false">IF(OR($A72="",$C72&lt;2),"",($E72-$Q72)/($C72-1))</f>
        <v/>
      </c>
    </row>
    <row r="73" customFormat="false" ht="14.25" hidden="false" customHeight="false" outlineLevel="0" collapsed="false">
      <c r="A73" s="19"/>
      <c r="B73" s="19"/>
      <c r="C73" s="15" t="str">
        <f aca="false">IF($A73="","",COUNTIF('Daily tracking'!$D$2:$D$2001,$A73))</f>
        <v/>
      </c>
      <c r="D73" s="16" t="str">
        <f aca="false">IF($A73="","",SUMIF('Daily tracking'!$D$2:$D$2001,$A73,'Daily tracking'!$G$2:$G$2001))</f>
        <v/>
      </c>
      <c r="E73" s="18" t="str">
        <f aca="false">IF($A73="","",IF($C73=0,"",_xlfn.MAXIFS('Daily tracking'!$A$2:$A$2001,'Daily tracking'!$D$2:$D$2001,$A73)))</f>
        <v/>
      </c>
      <c r="F73" s="6" t="str">
        <f aca="true">IF(OR($A73="",$E73=""),"",TODAY()-$E73)</f>
        <v/>
      </c>
      <c r="G73" s="3" t="str">
        <f aca="false">IF($A73="","",IF($C73=0,"No visits",IF($F73&gt;90,"Lapsed",IF($F73&gt;35,"At risk",IF($C73&gt;=4,"Loyal","Active")))))</f>
        <v/>
      </c>
      <c r="H73" s="9" t="str">
        <f aca="false">IF(OR($A73="",$C73=0),"",$D73/$C73)</f>
        <v/>
      </c>
      <c r="I73" s="20"/>
      <c r="J73" s="20"/>
      <c r="K73" s="19"/>
      <c r="L73" s="19"/>
      <c r="M73" s="19"/>
      <c r="N73" s="15" t="str">
        <f aca="false">IF($A73="","",IF($C73=0,0,(IF($F73&lt;=15,5,IF($F73&lt;=30,4,IF($F73&lt;=45,3,IF($F73&lt;=90,2,1))))+IF($C73&gt;=10,5,IF($C73&gt;=6,4,IF($C73&gt;=4,3,IF($C73&gt;=2,2,1))))+IF($D73&gt;=20000,5,IF($D73&gt;=10000,4,IF($D73&gt;=5000,3,IF($D73&gt;=2000,2,1)))))))</f>
        <v/>
      </c>
      <c r="O73" s="3" t="str">
        <f aca="false">IF($A73="","",IF($C73=0,"No visits",IF($N73&gt;=13,"VIP",IF($N73&gt;=10,"High value",IF($N73&gt;=7,"Regular",IF($N73&gt;=4,"Occasional","Low"))))))</f>
        <v/>
      </c>
      <c r="P73" s="6" t="str">
        <f aca="true">IF(OR($A73="",$I73=""),"",IF(MONTH($I73)=MONTH(TODAY()),"Yes",""))</f>
        <v/>
      </c>
      <c r="Q73" s="21" t="str">
        <f aca="false">IF($A73="","",IF($C73=0,"",_xlfn.MINIFS('Daily tracking'!$A$2:$A$2001,'Daily tracking'!$D$2:$D$2001,$A73)))</f>
        <v/>
      </c>
      <c r="R73" s="6" t="str">
        <f aca="false">IF(OR($A73="",$C73&lt;2),"",($E73-$Q73)/($C73-1))</f>
        <v/>
      </c>
    </row>
    <row r="74" customFormat="false" ht="14.25" hidden="false" customHeight="false" outlineLevel="0" collapsed="false">
      <c r="A74" s="19"/>
      <c r="B74" s="19"/>
      <c r="C74" s="15" t="str">
        <f aca="false">IF($A74="","",COUNTIF('Daily tracking'!$D$2:$D$2001,$A74))</f>
        <v/>
      </c>
      <c r="D74" s="16" t="str">
        <f aca="false">IF($A74="","",SUMIF('Daily tracking'!$D$2:$D$2001,$A74,'Daily tracking'!$G$2:$G$2001))</f>
        <v/>
      </c>
      <c r="E74" s="18" t="str">
        <f aca="false">IF($A74="","",IF($C74=0,"",_xlfn.MAXIFS('Daily tracking'!$A$2:$A$2001,'Daily tracking'!$D$2:$D$2001,$A74)))</f>
        <v/>
      </c>
      <c r="F74" s="6" t="str">
        <f aca="true">IF(OR($A74="",$E74=""),"",TODAY()-$E74)</f>
        <v/>
      </c>
      <c r="G74" s="3" t="str">
        <f aca="false">IF($A74="","",IF($C74=0,"No visits",IF($F74&gt;90,"Lapsed",IF($F74&gt;35,"At risk",IF($C74&gt;=4,"Loyal","Active")))))</f>
        <v/>
      </c>
      <c r="H74" s="9" t="str">
        <f aca="false">IF(OR($A74="",$C74=0),"",$D74/$C74)</f>
        <v/>
      </c>
      <c r="I74" s="20"/>
      <c r="J74" s="20"/>
      <c r="K74" s="19"/>
      <c r="L74" s="19"/>
      <c r="M74" s="19"/>
      <c r="N74" s="15" t="str">
        <f aca="false">IF($A74="","",IF($C74=0,0,(IF($F74&lt;=15,5,IF($F74&lt;=30,4,IF($F74&lt;=45,3,IF($F74&lt;=90,2,1))))+IF($C74&gt;=10,5,IF($C74&gt;=6,4,IF($C74&gt;=4,3,IF($C74&gt;=2,2,1))))+IF($D74&gt;=20000,5,IF($D74&gt;=10000,4,IF($D74&gt;=5000,3,IF($D74&gt;=2000,2,1)))))))</f>
        <v/>
      </c>
      <c r="O74" s="3" t="str">
        <f aca="false">IF($A74="","",IF($C74=0,"No visits",IF($N74&gt;=13,"VIP",IF($N74&gt;=10,"High value",IF($N74&gt;=7,"Regular",IF($N74&gt;=4,"Occasional","Low"))))))</f>
        <v/>
      </c>
      <c r="P74" s="6" t="str">
        <f aca="true">IF(OR($A74="",$I74=""),"",IF(MONTH($I74)=MONTH(TODAY()),"Yes",""))</f>
        <v/>
      </c>
      <c r="Q74" s="21" t="str">
        <f aca="false">IF($A74="","",IF($C74=0,"",_xlfn.MINIFS('Daily tracking'!$A$2:$A$2001,'Daily tracking'!$D$2:$D$2001,$A74)))</f>
        <v/>
      </c>
      <c r="R74" s="6" t="str">
        <f aca="false">IF(OR($A74="",$C74&lt;2),"",($E74-$Q74)/($C74-1))</f>
        <v/>
      </c>
    </row>
    <row r="75" customFormat="false" ht="14.25" hidden="false" customHeight="false" outlineLevel="0" collapsed="false">
      <c r="A75" s="19"/>
      <c r="B75" s="19"/>
      <c r="C75" s="15" t="str">
        <f aca="false">IF($A75="","",COUNTIF('Daily tracking'!$D$2:$D$2001,$A75))</f>
        <v/>
      </c>
      <c r="D75" s="16" t="str">
        <f aca="false">IF($A75="","",SUMIF('Daily tracking'!$D$2:$D$2001,$A75,'Daily tracking'!$G$2:$G$2001))</f>
        <v/>
      </c>
      <c r="E75" s="18" t="str">
        <f aca="false">IF($A75="","",IF($C75=0,"",_xlfn.MAXIFS('Daily tracking'!$A$2:$A$2001,'Daily tracking'!$D$2:$D$2001,$A75)))</f>
        <v/>
      </c>
      <c r="F75" s="6" t="str">
        <f aca="true">IF(OR($A75="",$E75=""),"",TODAY()-$E75)</f>
        <v/>
      </c>
      <c r="G75" s="3" t="str">
        <f aca="false">IF($A75="","",IF($C75=0,"No visits",IF($F75&gt;90,"Lapsed",IF($F75&gt;35,"At risk",IF($C75&gt;=4,"Loyal","Active")))))</f>
        <v/>
      </c>
      <c r="H75" s="9" t="str">
        <f aca="false">IF(OR($A75="",$C75=0),"",$D75/$C75)</f>
        <v/>
      </c>
      <c r="I75" s="20"/>
      <c r="J75" s="20"/>
      <c r="K75" s="19"/>
      <c r="L75" s="19"/>
      <c r="M75" s="19"/>
      <c r="N75" s="15" t="str">
        <f aca="false">IF($A75="","",IF($C75=0,0,(IF($F75&lt;=15,5,IF($F75&lt;=30,4,IF($F75&lt;=45,3,IF($F75&lt;=90,2,1))))+IF($C75&gt;=10,5,IF($C75&gt;=6,4,IF($C75&gt;=4,3,IF($C75&gt;=2,2,1))))+IF($D75&gt;=20000,5,IF($D75&gt;=10000,4,IF($D75&gt;=5000,3,IF($D75&gt;=2000,2,1)))))))</f>
        <v/>
      </c>
      <c r="O75" s="3" t="str">
        <f aca="false">IF($A75="","",IF($C75=0,"No visits",IF($N75&gt;=13,"VIP",IF($N75&gt;=10,"High value",IF($N75&gt;=7,"Regular",IF($N75&gt;=4,"Occasional","Low"))))))</f>
        <v/>
      </c>
      <c r="P75" s="6" t="str">
        <f aca="true">IF(OR($A75="",$I75=""),"",IF(MONTH($I75)=MONTH(TODAY()),"Yes",""))</f>
        <v/>
      </c>
      <c r="Q75" s="21" t="str">
        <f aca="false">IF($A75="","",IF($C75=0,"",_xlfn.MINIFS('Daily tracking'!$A$2:$A$2001,'Daily tracking'!$D$2:$D$2001,$A75)))</f>
        <v/>
      </c>
      <c r="R75" s="6" t="str">
        <f aca="false">IF(OR($A75="",$C75&lt;2),"",($E75-$Q75)/($C75-1))</f>
        <v/>
      </c>
    </row>
    <row r="76" customFormat="false" ht="14.25" hidden="false" customHeight="false" outlineLevel="0" collapsed="false">
      <c r="A76" s="19"/>
      <c r="B76" s="19"/>
      <c r="C76" s="15" t="str">
        <f aca="false">IF($A76="","",COUNTIF('Daily tracking'!$D$2:$D$2001,$A76))</f>
        <v/>
      </c>
      <c r="D76" s="16" t="str">
        <f aca="false">IF($A76="","",SUMIF('Daily tracking'!$D$2:$D$2001,$A76,'Daily tracking'!$G$2:$G$2001))</f>
        <v/>
      </c>
      <c r="E76" s="18" t="str">
        <f aca="false">IF($A76="","",IF($C76=0,"",_xlfn.MAXIFS('Daily tracking'!$A$2:$A$2001,'Daily tracking'!$D$2:$D$2001,$A76)))</f>
        <v/>
      </c>
      <c r="F76" s="6" t="str">
        <f aca="true">IF(OR($A76="",$E76=""),"",TODAY()-$E76)</f>
        <v/>
      </c>
      <c r="G76" s="3" t="str">
        <f aca="false">IF($A76="","",IF($C76=0,"No visits",IF($F76&gt;90,"Lapsed",IF($F76&gt;35,"At risk",IF($C76&gt;=4,"Loyal","Active")))))</f>
        <v/>
      </c>
      <c r="H76" s="9" t="str">
        <f aca="false">IF(OR($A76="",$C76=0),"",$D76/$C76)</f>
        <v/>
      </c>
      <c r="I76" s="20"/>
      <c r="J76" s="20"/>
      <c r="K76" s="19"/>
      <c r="L76" s="19"/>
      <c r="M76" s="19"/>
      <c r="N76" s="15" t="str">
        <f aca="false">IF($A76="","",IF($C76=0,0,(IF($F76&lt;=15,5,IF($F76&lt;=30,4,IF($F76&lt;=45,3,IF($F76&lt;=90,2,1))))+IF($C76&gt;=10,5,IF($C76&gt;=6,4,IF($C76&gt;=4,3,IF($C76&gt;=2,2,1))))+IF($D76&gt;=20000,5,IF($D76&gt;=10000,4,IF($D76&gt;=5000,3,IF($D76&gt;=2000,2,1)))))))</f>
        <v/>
      </c>
      <c r="O76" s="3" t="str">
        <f aca="false">IF($A76="","",IF($C76=0,"No visits",IF($N76&gt;=13,"VIP",IF($N76&gt;=10,"High value",IF($N76&gt;=7,"Regular",IF($N76&gt;=4,"Occasional","Low"))))))</f>
        <v/>
      </c>
      <c r="P76" s="6" t="str">
        <f aca="true">IF(OR($A76="",$I76=""),"",IF(MONTH($I76)=MONTH(TODAY()),"Yes",""))</f>
        <v/>
      </c>
      <c r="Q76" s="21" t="str">
        <f aca="false">IF($A76="","",IF($C76=0,"",_xlfn.MINIFS('Daily tracking'!$A$2:$A$2001,'Daily tracking'!$D$2:$D$2001,$A76)))</f>
        <v/>
      </c>
      <c r="R76" s="6" t="str">
        <f aca="false">IF(OR($A76="",$C76&lt;2),"",($E76-$Q76)/($C76-1))</f>
        <v/>
      </c>
    </row>
    <row r="77" customFormat="false" ht="14.25" hidden="false" customHeight="false" outlineLevel="0" collapsed="false">
      <c r="A77" s="19"/>
      <c r="B77" s="19"/>
      <c r="C77" s="15" t="str">
        <f aca="false">IF($A77="","",COUNTIF('Daily tracking'!$D$2:$D$2001,$A77))</f>
        <v/>
      </c>
      <c r="D77" s="16" t="str">
        <f aca="false">IF($A77="","",SUMIF('Daily tracking'!$D$2:$D$2001,$A77,'Daily tracking'!$G$2:$G$2001))</f>
        <v/>
      </c>
      <c r="E77" s="18" t="str">
        <f aca="false">IF($A77="","",IF($C77=0,"",_xlfn.MAXIFS('Daily tracking'!$A$2:$A$2001,'Daily tracking'!$D$2:$D$2001,$A77)))</f>
        <v/>
      </c>
      <c r="F77" s="6" t="str">
        <f aca="true">IF(OR($A77="",$E77=""),"",TODAY()-$E77)</f>
        <v/>
      </c>
      <c r="G77" s="3" t="str">
        <f aca="false">IF($A77="","",IF($C77=0,"No visits",IF($F77&gt;90,"Lapsed",IF($F77&gt;35,"At risk",IF($C77&gt;=4,"Loyal","Active")))))</f>
        <v/>
      </c>
      <c r="H77" s="9" t="str">
        <f aca="false">IF(OR($A77="",$C77=0),"",$D77/$C77)</f>
        <v/>
      </c>
      <c r="I77" s="20"/>
      <c r="J77" s="20"/>
      <c r="K77" s="19"/>
      <c r="L77" s="19"/>
      <c r="M77" s="19"/>
      <c r="N77" s="15" t="str">
        <f aca="false">IF($A77="","",IF($C77=0,0,(IF($F77&lt;=15,5,IF($F77&lt;=30,4,IF($F77&lt;=45,3,IF($F77&lt;=90,2,1))))+IF($C77&gt;=10,5,IF($C77&gt;=6,4,IF($C77&gt;=4,3,IF($C77&gt;=2,2,1))))+IF($D77&gt;=20000,5,IF($D77&gt;=10000,4,IF($D77&gt;=5000,3,IF($D77&gt;=2000,2,1)))))))</f>
        <v/>
      </c>
      <c r="O77" s="3" t="str">
        <f aca="false">IF($A77="","",IF($C77=0,"No visits",IF($N77&gt;=13,"VIP",IF($N77&gt;=10,"High value",IF($N77&gt;=7,"Regular",IF($N77&gt;=4,"Occasional","Low"))))))</f>
        <v/>
      </c>
      <c r="P77" s="6" t="str">
        <f aca="true">IF(OR($A77="",$I77=""),"",IF(MONTH($I77)=MONTH(TODAY()),"Yes",""))</f>
        <v/>
      </c>
      <c r="Q77" s="21" t="str">
        <f aca="false">IF($A77="","",IF($C77=0,"",_xlfn.MINIFS('Daily tracking'!$A$2:$A$2001,'Daily tracking'!$D$2:$D$2001,$A77)))</f>
        <v/>
      </c>
      <c r="R77" s="6" t="str">
        <f aca="false">IF(OR($A77="",$C77&lt;2),"",($E77-$Q77)/($C77-1))</f>
        <v/>
      </c>
    </row>
    <row r="78" customFormat="false" ht="14.25" hidden="false" customHeight="false" outlineLevel="0" collapsed="false">
      <c r="A78" s="19"/>
      <c r="B78" s="19"/>
      <c r="C78" s="15" t="str">
        <f aca="false">IF($A78="","",COUNTIF('Daily tracking'!$D$2:$D$2001,$A78))</f>
        <v/>
      </c>
      <c r="D78" s="16" t="str">
        <f aca="false">IF($A78="","",SUMIF('Daily tracking'!$D$2:$D$2001,$A78,'Daily tracking'!$G$2:$G$2001))</f>
        <v/>
      </c>
      <c r="E78" s="18" t="str">
        <f aca="false">IF($A78="","",IF($C78=0,"",_xlfn.MAXIFS('Daily tracking'!$A$2:$A$2001,'Daily tracking'!$D$2:$D$2001,$A78)))</f>
        <v/>
      </c>
      <c r="F78" s="6" t="str">
        <f aca="true">IF(OR($A78="",$E78=""),"",TODAY()-$E78)</f>
        <v/>
      </c>
      <c r="G78" s="3" t="str">
        <f aca="false">IF($A78="","",IF($C78=0,"No visits",IF($F78&gt;90,"Lapsed",IF($F78&gt;35,"At risk",IF($C78&gt;=4,"Loyal","Active")))))</f>
        <v/>
      </c>
      <c r="H78" s="9" t="str">
        <f aca="false">IF(OR($A78="",$C78=0),"",$D78/$C78)</f>
        <v/>
      </c>
      <c r="I78" s="20"/>
      <c r="J78" s="20"/>
      <c r="K78" s="19"/>
      <c r="L78" s="19"/>
      <c r="M78" s="19"/>
      <c r="N78" s="15" t="str">
        <f aca="false">IF($A78="","",IF($C78=0,0,(IF($F78&lt;=15,5,IF($F78&lt;=30,4,IF($F78&lt;=45,3,IF($F78&lt;=90,2,1))))+IF($C78&gt;=10,5,IF($C78&gt;=6,4,IF($C78&gt;=4,3,IF($C78&gt;=2,2,1))))+IF($D78&gt;=20000,5,IF($D78&gt;=10000,4,IF($D78&gt;=5000,3,IF($D78&gt;=2000,2,1)))))))</f>
        <v/>
      </c>
      <c r="O78" s="3" t="str">
        <f aca="false">IF($A78="","",IF($C78=0,"No visits",IF($N78&gt;=13,"VIP",IF($N78&gt;=10,"High value",IF($N78&gt;=7,"Regular",IF($N78&gt;=4,"Occasional","Low"))))))</f>
        <v/>
      </c>
      <c r="P78" s="6" t="str">
        <f aca="true">IF(OR($A78="",$I78=""),"",IF(MONTH($I78)=MONTH(TODAY()),"Yes",""))</f>
        <v/>
      </c>
      <c r="Q78" s="21" t="str">
        <f aca="false">IF($A78="","",IF($C78=0,"",_xlfn.MINIFS('Daily tracking'!$A$2:$A$2001,'Daily tracking'!$D$2:$D$2001,$A78)))</f>
        <v/>
      </c>
      <c r="R78" s="6" t="str">
        <f aca="false">IF(OR($A78="",$C78&lt;2),"",($E78-$Q78)/($C78-1))</f>
        <v/>
      </c>
    </row>
    <row r="79" customFormat="false" ht="14.25" hidden="false" customHeight="false" outlineLevel="0" collapsed="false">
      <c r="A79" s="19"/>
      <c r="B79" s="19"/>
      <c r="C79" s="15" t="str">
        <f aca="false">IF($A79="","",COUNTIF('Daily tracking'!$D$2:$D$2001,$A79))</f>
        <v/>
      </c>
      <c r="D79" s="16" t="str">
        <f aca="false">IF($A79="","",SUMIF('Daily tracking'!$D$2:$D$2001,$A79,'Daily tracking'!$G$2:$G$2001))</f>
        <v/>
      </c>
      <c r="E79" s="18" t="str">
        <f aca="false">IF($A79="","",IF($C79=0,"",_xlfn.MAXIFS('Daily tracking'!$A$2:$A$2001,'Daily tracking'!$D$2:$D$2001,$A79)))</f>
        <v/>
      </c>
      <c r="F79" s="6" t="str">
        <f aca="true">IF(OR($A79="",$E79=""),"",TODAY()-$E79)</f>
        <v/>
      </c>
      <c r="G79" s="3" t="str">
        <f aca="false">IF($A79="","",IF($C79=0,"No visits",IF($F79&gt;90,"Lapsed",IF($F79&gt;35,"At risk",IF($C79&gt;=4,"Loyal","Active")))))</f>
        <v/>
      </c>
      <c r="H79" s="9" t="str">
        <f aca="false">IF(OR($A79="",$C79=0),"",$D79/$C79)</f>
        <v/>
      </c>
      <c r="I79" s="20"/>
      <c r="J79" s="20"/>
      <c r="K79" s="19"/>
      <c r="L79" s="19"/>
      <c r="M79" s="19"/>
      <c r="N79" s="15" t="str">
        <f aca="false">IF($A79="","",IF($C79=0,0,(IF($F79&lt;=15,5,IF($F79&lt;=30,4,IF($F79&lt;=45,3,IF($F79&lt;=90,2,1))))+IF($C79&gt;=10,5,IF($C79&gt;=6,4,IF($C79&gt;=4,3,IF($C79&gt;=2,2,1))))+IF($D79&gt;=20000,5,IF($D79&gt;=10000,4,IF($D79&gt;=5000,3,IF($D79&gt;=2000,2,1)))))))</f>
        <v/>
      </c>
      <c r="O79" s="3" t="str">
        <f aca="false">IF($A79="","",IF($C79=0,"No visits",IF($N79&gt;=13,"VIP",IF($N79&gt;=10,"High value",IF($N79&gt;=7,"Regular",IF($N79&gt;=4,"Occasional","Low"))))))</f>
        <v/>
      </c>
      <c r="P79" s="6" t="str">
        <f aca="true">IF(OR($A79="",$I79=""),"",IF(MONTH($I79)=MONTH(TODAY()),"Yes",""))</f>
        <v/>
      </c>
      <c r="Q79" s="21" t="str">
        <f aca="false">IF($A79="","",IF($C79=0,"",_xlfn.MINIFS('Daily tracking'!$A$2:$A$2001,'Daily tracking'!$D$2:$D$2001,$A79)))</f>
        <v/>
      </c>
      <c r="R79" s="6" t="str">
        <f aca="false">IF(OR($A79="",$C79&lt;2),"",($E79-$Q79)/($C79-1))</f>
        <v/>
      </c>
    </row>
    <row r="80" customFormat="false" ht="14.25" hidden="false" customHeight="false" outlineLevel="0" collapsed="false">
      <c r="A80" s="19"/>
      <c r="B80" s="19"/>
      <c r="C80" s="15" t="str">
        <f aca="false">IF($A80="","",COUNTIF('Daily tracking'!$D$2:$D$2001,$A80))</f>
        <v/>
      </c>
      <c r="D80" s="16" t="str">
        <f aca="false">IF($A80="","",SUMIF('Daily tracking'!$D$2:$D$2001,$A80,'Daily tracking'!$G$2:$G$2001))</f>
        <v/>
      </c>
      <c r="E80" s="18" t="str">
        <f aca="false">IF($A80="","",IF($C80=0,"",_xlfn.MAXIFS('Daily tracking'!$A$2:$A$2001,'Daily tracking'!$D$2:$D$2001,$A80)))</f>
        <v/>
      </c>
      <c r="F80" s="6" t="str">
        <f aca="true">IF(OR($A80="",$E80=""),"",TODAY()-$E80)</f>
        <v/>
      </c>
      <c r="G80" s="3" t="str">
        <f aca="false">IF($A80="","",IF($C80=0,"No visits",IF($F80&gt;90,"Lapsed",IF($F80&gt;35,"At risk",IF($C80&gt;=4,"Loyal","Active")))))</f>
        <v/>
      </c>
      <c r="H80" s="9" t="str">
        <f aca="false">IF(OR($A80="",$C80=0),"",$D80/$C80)</f>
        <v/>
      </c>
      <c r="I80" s="20"/>
      <c r="J80" s="20"/>
      <c r="K80" s="19"/>
      <c r="L80" s="19"/>
      <c r="M80" s="19"/>
      <c r="N80" s="15" t="str">
        <f aca="false">IF($A80="","",IF($C80=0,0,(IF($F80&lt;=15,5,IF($F80&lt;=30,4,IF($F80&lt;=45,3,IF($F80&lt;=90,2,1))))+IF($C80&gt;=10,5,IF($C80&gt;=6,4,IF($C80&gt;=4,3,IF($C80&gt;=2,2,1))))+IF($D80&gt;=20000,5,IF($D80&gt;=10000,4,IF($D80&gt;=5000,3,IF($D80&gt;=2000,2,1)))))))</f>
        <v/>
      </c>
      <c r="O80" s="3" t="str">
        <f aca="false">IF($A80="","",IF($C80=0,"No visits",IF($N80&gt;=13,"VIP",IF($N80&gt;=10,"High value",IF($N80&gt;=7,"Regular",IF($N80&gt;=4,"Occasional","Low"))))))</f>
        <v/>
      </c>
      <c r="P80" s="6" t="str">
        <f aca="true">IF(OR($A80="",$I80=""),"",IF(MONTH($I80)=MONTH(TODAY()),"Yes",""))</f>
        <v/>
      </c>
      <c r="Q80" s="21" t="str">
        <f aca="false">IF($A80="","",IF($C80=0,"",_xlfn.MINIFS('Daily tracking'!$A$2:$A$2001,'Daily tracking'!$D$2:$D$2001,$A80)))</f>
        <v/>
      </c>
      <c r="R80" s="6" t="str">
        <f aca="false">IF(OR($A80="",$C80&lt;2),"",($E80-$Q80)/($C80-1))</f>
        <v/>
      </c>
    </row>
    <row r="81" customFormat="false" ht="14.25" hidden="false" customHeight="false" outlineLevel="0" collapsed="false">
      <c r="A81" s="19"/>
      <c r="B81" s="19"/>
      <c r="C81" s="15" t="str">
        <f aca="false">IF($A81="","",COUNTIF('Daily tracking'!$D$2:$D$2001,$A81))</f>
        <v/>
      </c>
      <c r="D81" s="16" t="str">
        <f aca="false">IF($A81="","",SUMIF('Daily tracking'!$D$2:$D$2001,$A81,'Daily tracking'!$G$2:$G$2001))</f>
        <v/>
      </c>
      <c r="E81" s="18" t="str">
        <f aca="false">IF($A81="","",IF($C81=0,"",_xlfn.MAXIFS('Daily tracking'!$A$2:$A$2001,'Daily tracking'!$D$2:$D$2001,$A81)))</f>
        <v/>
      </c>
      <c r="F81" s="6" t="str">
        <f aca="true">IF(OR($A81="",$E81=""),"",TODAY()-$E81)</f>
        <v/>
      </c>
      <c r="G81" s="3" t="str">
        <f aca="false">IF($A81="","",IF($C81=0,"No visits",IF($F81&gt;90,"Lapsed",IF($F81&gt;35,"At risk",IF($C81&gt;=4,"Loyal","Active")))))</f>
        <v/>
      </c>
      <c r="H81" s="9" t="str">
        <f aca="false">IF(OR($A81="",$C81=0),"",$D81/$C81)</f>
        <v/>
      </c>
      <c r="I81" s="20"/>
      <c r="J81" s="20"/>
      <c r="K81" s="19"/>
      <c r="L81" s="19"/>
      <c r="M81" s="19"/>
      <c r="N81" s="15" t="str">
        <f aca="false">IF($A81="","",IF($C81=0,0,(IF($F81&lt;=15,5,IF($F81&lt;=30,4,IF($F81&lt;=45,3,IF($F81&lt;=90,2,1))))+IF($C81&gt;=10,5,IF($C81&gt;=6,4,IF($C81&gt;=4,3,IF($C81&gt;=2,2,1))))+IF($D81&gt;=20000,5,IF($D81&gt;=10000,4,IF($D81&gt;=5000,3,IF($D81&gt;=2000,2,1)))))))</f>
        <v/>
      </c>
      <c r="O81" s="3" t="str">
        <f aca="false">IF($A81="","",IF($C81=0,"No visits",IF($N81&gt;=13,"VIP",IF($N81&gt;=10,"High value",IF($N81&gt;=7,"Regular",IF($N81&gt;=4,"Occasional","Low"))))))</f>
        <v/>
      </c>
      <c r="P81" s="6" t="str">
        <f aca="true">IF(OR($A81="",$I81=""),"",IF(MONTH($I81)=MONTH(TODAY()),"Yes",""))</f>
        <v/>
      </c>
      <c r="Q81" s="21" t="str">
        <f aca="false">IF($A81="","",IF($C81=0,"",_xlfn.MINIFS('Daily tracking'!$A$2:$A$2001,'Daily tracking'!$D$2:$D$2001,$A81)))</f>
        <v/>
      </c>
      <c r="R81" s="6" t="str">
        <f aca="false">IF(OR($A81="",$C81&lt;2),"",($E81-$Q81)/($C81-1))</f>
        <v/>
      </c>
    </row>
    <row r="82" customFormat="false" ht="14.25" hidden="false" customHeight="false" outlineLevel="0" collapsed="false">
      <c r="A82" s="19"/>
      <c r="B82" s="19"/>
      <c r="C82" s="15" t="str">
        <f aca="false">IF($A82="","",COUNTIF('Daily tracking'!$D$2:$D$2001,$A82))</f>
        <v/>
      </c>
      <c r="D82" s="16" t="str">
        <f aca="false">IF($A82="","",SUMIF('Daily tracking'!$D$2:$D$2001,$A82,'Daily tracking'!$G$2:$G$2001))</f>
        <v/>
      </c>
      <c r="E82" s="18" t="str">
        <f aca="false">IF($A82="","",IF($C82=0,"",_xlfn.MAXIFS('Daily tracking'!$A$2:$A$2001,'Daily tracking'!$D$2:$D$2001,$A82)))</f>
        <v/>
      </c>
      <c r="F82" s="6" t="str">
        <f aca="true">IF(OR($A82="",$E82=""),"",TODAY()-$E82)</f>
        <v/>
      </c>
      <c r="G82" s="3" t="str">
        <f aca="false">IF($A82="","",IF($C82=0,"No visits",IF($F82&gt;90,"Lapsed",IF($F82&gt;35,"At risk",IF($C82&gt;=4,"Loyal","Active")))))</f>
        <v/>
      </c>
      <c r="H82" s="9" t="str">
        <f aca="false">IF(OR($A82="",$C82=0),"",$D82/$C82)</f>
        <v/>
      </c>
      <c r="I82" s="20"/>
      <c r="J82" s="20"/>
      <c r="K82" s="19"/>
      <c r="L82" s="19"/>
      <c r="M82" s="19"/>
      <c r="N82" s="15" t="str">
        <f aca="false">IF($A82="","",IF($C82=0,0,(IF($F82&lt;=15,5,IF($F82&lt;=30,4,IF($F82&lt;=45,3,IF($F82&lt;=90,2,1))))+IF($C82&gt;=10,5,IF($C82&gt;=6,4,IF($C82&gt;=4,3,IF($C82&gt;=2,2,1))))+IF($D82&gt;=20000,5,IF($D82&gt;=10000,4,IF($D82&gt;=5000,3,IF($D82&gt;=2000,2,1)))))))</f>
        <v/>
      </c>
      <c r="O82" s="3" t="str">
        <f aca="false">IF($A82="","",IF($C82=0,"No visits",IF($N82&gt;=13,"VIP",IF($N82&gt;=10,"High value",IF($N82&gt;=7,"Regular",IF($N82&gt;=4,"Occasional","Low"))))))</f>
        <v/>
      </c>
      <c r="P82" s="6" t="str">
        <f aca="true">IF(OR($A82="",$I82=""),"",IF(MONTH($I82)=MONTH(TODAY()),"Yes",""))</f>
        <v/>
      </c>
      <c r="Q82" s="21" t="str">
        <f aca="false">IF($A82="","",IF($C82=0,"",_xlfn.MINIFS('Daily tracking'!$A$2:$A$2001,'Daily tracking'!$D$2:$D$2001,$A82)))</f>
        <v/>
      </c>
      <c r="R82" s="6" t="str">
        <f aca="false">IF(OR($A82="",$C82&lt;2),"",($E82-$Q82)/($C82-1))</f>
        <v/>
      </c>
    </row>
    <row r="83" customFormat="false" ht="14.25" hidden="false" customHeight="false" outlineLevel="0" collapsed="false">
      <c r="A83" s="19"/>
      <c r="B83" s="19"/>
      <c r="C83" s="15" t="str">
        <f aca="false">IF($A83="","",COUNTIF('Daily tracking'!$D$2:$D$2001,$A83))</f>
        <v/>
      </c>
      <c r="D83" s="16" t="str">
        <f aca="false">IF($A83="","",SUMIF('Daily tracking'!$D$2:$D$2001,$A83,'Daily tracking'!$G$2:$G$2001))</f>
        <v/>
      </c>
      <c r="E83" s="18" t="str">
        <f aca="false">IF($A83="","",IF($C83=0,"",_xlfn.MAXIFS('Daily tracking'!$A$2:$A$2001,'Daily tracking'!$D$2:$D$2001,$A83)))</f>
        <v/>
      </c>
      <c r="F83" s="6" t="str">
        <f aca="true">IF(OR($A83="",$E83=""),"",TODAY()-$E83)</f>
        <v/>
      </c>
      <c r="G83" s="3" t="str">
        <f aca="false">IF($A83="","",IF($C83=0,"No visits",IF($F83&gt;90,"Lapsed",IF($F83&gt;35,"At risk",IF($C83&gt;=4,"Loyal","Active")))))</f>
        <v/>
      </c>
      <c r="H83" s="9" t="str">
        <f aca="false">IF(OR($A83="",$C83=0),"",$D83/$C83)</f>
        <v/>
      </c>
      <c r="I83" s="20"/>
      <c r="J83" s="20"/>
      <c r="K83" s="19"/>
      <c r="L83" s="19"/>
      <c r="M83" s="19"/>
      <c r="N83" s="15" t="str">
        <f aca="false">IF($A83="","",IF($C83=0,0,(IF($F83&lt;=15,5,IF($F83&lt;=30,4,IF($F83&lt;=45,3,IF($F83&lt;=90,2,1))))+IF($C83&gt;=10,5,IF($C83&gt;=6,4,IF($C83&gt;=4,3,IF($C83&gt;=2,2,1))))+IF($D83&gt;=20000,5,IF($D83&gt;=10000,4,IF($D83&gt;=5000,3,IF($D83&gt;=2000,2,1)))))))</f>
        <v/>
      </c>
      <c r="O83" s="3" t="str">
        <f aca="false">IF($A83="","",IF($C83=0,"No visits",IF($N83&gt;=13,"VIP",IF($N83&gt;=10,"High value",IF($N83&gt;=7,"Regular",IF($N83&gt;=4,"Occasional","Low"))))))</f>
        <v/>
      </c>
      <c r="P83" s="6" t="str">
        <f aca="true">IF(OR($A83="",$I83=""),"",IF(MONTH($I83)=MONTH(TODAY()),"Yes",""))</f>
        <v/>
      </c>
      <c r="Q83" s="21" t="str">
        <f aca="false">IF($A83="","",IF($C83=0,"",_xlfn.MINIFS('Daily tracking'!$A$2:$A$2001,'Daily tracking'!$D$2:$D$2001,$A83)))</f>
        <v/>
      </c>
      <c r="R83" s="6" t="str">
        <f aca="false">IF(OR($A83="",$C83&lt;2),"",($E83-$Q83)/($C83-1))</f>
        <v/>
      </c>
    </row>
    <row r="84" customFormat="false" ht="14.25" hidden="false" customHeight="false" outlineLevel="0" collapsed="false">
      <c r="A84" s="19"/>
      <c r="B84" s="19"/>
      <c r="C84" s="15" t="str">
        <f aca="false">IF($A84="","",COUNTIF('Daily tracking'!$D$2:$D$2001,$A84))</f>
        <v/>
      </c>
      <c r="D84" s="16" t="str">
        <f aca="false">IF($A84="","",SUMIF('Daily tracking'!$D$2:$D$2001,$A84,'Daily tracking'!$G$2:$G$2001))</f>
        <v/>
      </c>
      <c r="E84" s="18" t="str">
        <f aca="false">IF($A84="","",IF($C84=0,"",_xlfn.MAXIFS('Daily tracking'!$A$2:$A$2001,'Daily tracking'!$D$2:$D$2001,$A84)))</f>
        <v/>
      </c>
      <c r="F84" s="6" t="str">
        <f aca="true">IF(OR($A84="",$E84=""),"",TODAY()-$E84)</f>
        <v/>
      </c>
      <c r="G84" s="3" t="str">
        <f aca="false">IF($A84="","",IF($C84=0,"No visits",IF($F84&gt;90,"Lapsed",IF($F84&gt;35,"At risk",IF($C84&gt;=4,"Loyal","Active")))))</f>
        <v/>
      </c>
      <c r="H84" s="9" t="str">
        <f aca="false">IF(OR($A84="",$C84=0),"",$D84/$C84)</f>
        <v/>
      </c>
      <c r="I84" s="20"/>
      <c r="J84" s="20"/>
      <c r="K84" s="19"/>
      <c r="L84" s="19"/>
      <c r="M84" s="19"/>
      <c r="N84" s="15" t="str">
        <f aca="false">IF($A84="","",IF($C84=0,0,(IF($F84&lt;=15,5,IF($F84&lt;=30,4,IF($F84&lt;=45,3,IF($F84&lt;=90,2,1))))+IF($C84&gt;=10,5,IF($C84&gt;=6,4,IF($C84&gt;=4,3,IF($C84&gt;=2,2,1))))+IF($D84&gt;=20000,5,IF($D84&gt;=10000,4,IF($D84&gt;=5000,3,IF($D84&gt;=2000,2,1)))))))</f>
        <v/>
      </c>
      <c r="O84" s="3" t="str">
        <f aca="false">IF($A84="","",IF($C84=0,"No visits",IF($N84&gt;=13,"VIP",IF($N84&gt;=10,"High value",IF($N84&gt;=7,"Regular",IF($N84&gt;=4,"Occasional","Low"))))))</f>
        <v/>
      </c>
      <c r="P84" s="6" t="str">
        <f aca="true">IF(OR($A84="",$I84=""),"",IF(MONTH($I84)=MONTH(TODAY()),"Yes",""))</f>
        <v/>
      </c>
      <c r="Q84" s="21" t="str">
        <f aca="false">IF($A84="","",IF($C84=0,"",_xlfn.MINIFS('Daily tracking'!$A$2:$A$2001,'Daily tracking'!$D$2:$D$2001,$A84)))</f>
        <v/>
      </c>
      <c r="R84" s="6" t="str">
        <f aca="false">IF(OR($A84="",$C84&lt;2),"",($E84-$Q84)/($C84-1))</f>
        <v/>
      </c>
    </row>
    <row r="85" customFormat="false" ht="14.25" hidden="false" customHeight="false" outlineLevel="0" collapsed="false">
      <c r="A85" s="19"/>
      <c r="B85" s="19"/>
      <c r="C85" s="15" t="str">
        <f aca="false">IF($A85="","",COUNTIF('Daily tracking'!$D$2:$D$2001,$A85))</f>
        <v/>
      </c>
      <c r="D85" s="16" t="str">
        <f aca="false">IF($A85="","",SUMIF('Daily tracking'!$D$2:$D$2001,$A85,'Daily tracking'!$G$2:$G$2001))</f>
        <v/>
      </c>
      <c r="E85" s="18" t="str">
        <f aca="false">IF($A85="","",IF($C85=0,"",_xlfn.MAXIFS('Daily tracking'!$A$2:$A$2001,'Daily tracking'!$D$2:$D$2001,$A85)))</f>
        <v/>
      </c>
      <c r="F85" s="6" t="str">
        <f aca="true">IF(OR($A85="",$E85=""),"",TODAY()-$E85)</f>
        <v/>
      </c>
      <c r="G85" s="3" t="str">
        <f aca="false">IF($A85="","",IF($C85=0,"No visits",IF($F85&gt;90,"Lapsed",IF($F85&gt;35,"At risk",IF($C85&gt;=4,"Loyal","Active")))))</f>
        <v/>
      </c>
      <c r="H85" s="9" t="str">
        <f aca="false">IF(OR($A85="",$C85=0),"",$D85/$C85)</f>
        <v/>
      </c>
      <c r="I85" s="20"/>
      <c r="J85" s="20"/>
      <c r="K85" s="19"/>
      <c r="L85" s="19"/>
      <c r="M85" s="19"/>
      <c r="N85" s="15" t="str">
        <f aca="false">IF($A85="","",IF($C85=0,0,(IF($F85&lt;=15,5,IF($F85&lt;=30,4,IF($F85&lt;=45,3,IF($F85&lt;=90,2,1))))+IF($C85&gt;=10,5,IF($C85&gt;=6,4,IF($C85&gt;=4,3,IF($C85&gt;=2,2,1))))+IF($D85&gt;=20000,5,IF($D85&gt;=10000,4,IF($D85&gt;=5000,3,IF($D85&gt;=2000,2,1)))))))</f>
        <v/>
      </c>
      <c r="O85" s="3" t="str">
        <f aca="false">IF($A85="","",IF($C85=0,"No visits",IF($N85&gt;=13,"VIP",IF($N85&gt;=10,"High value",IF($N85&gt;=7,"Regular",IF($N85&gt;=4,"Occasional","Low"))))))</f>
        <v/>
      </c>
      <c r="P85" s="6" t="str">
        <f aca="true">IF(OR($A85="",$I85=""),"",IF(MONTH($I85)=MONTH(TODAY()),"Yes",""))</f>
        <v/>
      </c>
      <c r="Q85" s="21" t="str">
        <f aca="false">IF($A85="","",IF($C85=0,"",_xlfn.MINIFS('Daily tracking'!$A$2:$A$2001,'Daily tracking'!$D$2:$D$2001,$A85)))</f>
        <v/>
      </c>
      <c r="R85" s="6" t="str">
        <f aca="false">IF(OR($A85="",$C85&lt;2),"",($E85-$Q85)/($C85-1))</f>
        <v/>
      </c>
    </row>
    <row r="86" customFormat="false" ht="14.25" hidden="false" customHeight="false" outlineLevel="0" collapsed="false">
      <c r="A86" s="19"/>
      <c r="B86" s="19"/>
      <c r="C86" s="15" t="str">
        <f aca="false">IF($A86="","",COUNTIF('Daily tracking'!$D$2:$D$2001,$A86))</f>
        <v/>
      </c>
      <c r="D86" s="16" t="str">
        <f aca="false">IF($A86="","",SUMIF('Daily tracking'!$D$2:$D$2001,$A86,'Daily tracking'!$G$2:$G$2001))</f>
        <v/>
      </c>
      <c r="E86" s="18" t="str">
        <f aca="false">IF($A86="","",IF($C86=0,"",_xlfn.MAXIFS('Daily tracking'!$A$2:$A$2001,'Daily tracking'!$D$2:$D$2001,$A86)))</f>
        <v/>
      </c>
      <c r="F86" s="6" t="str">
        <f aca="true">IF(OR($A86="",$E86=""),"",TODAY()-$E86)</f>
        <v/>
      </c>
      <c r="G86" s="3" t="str">
        <f aca="false">IF($A86="","",IF($C86=0,"No visits",IF($F86&gt;90,"Lapsed",IF($F86&gt;35,"At risk",IF($C86&gt;=4,"Loyal","Active")))))</f>
        <v/>
      </c>
      <c r="H86" s="9" t="str">
        <f aca="false">IF(OR($A86="",$C86=0),"",$D86/$C86)</f>
        <v/>
      </c>
      <c r="I86" s="20"/>
      <c r="J86" s="20"/>
      <c r="K86" s="19"/>
      <c r="L86" s="19"/>
      <c r="M86" s="19"/>
      <c r="N86" s="15" t="str">
        <f aca="false">IF($A86="","",IF($C86=0,0,(IF($F86&lt;=15,5,IF($F86&lt;=30,4,IF($F86&lt;=45,3,IF($F86&lt;=90,2,1))))+IF($C86&gt;=10,5,IF($C86&gt;=6,4,IF($C86&gt;=4,3,IF($C86&gt;=2,2,1))))+IF($D86&gt;=20000,5,IF($D86&gt;=10000,4,IF($D86&gt;=5000,3,IF($D86&gt;=2000,2,1)))))))</f>
        <v/>
      </c>
      <c r="O86" s="3" t="str">
        <f aca="false">IF($A86="","",IF($C86=0,"No visits",IF($N86&gt;=13,"VIP",IF($N86&gt;=10,"High value",IF($N86&gt;=7,"Regular",IF($N86&gt;=4,"Occasional","Low"))))))</f>
        <v/>
      </c>
      <c r="P86" s="6" t="str">
        <f aca="true">IF(OR($A86="",$I86=""),"",IF(MONTH($I86)=MONTH(TODAY()),"Yes",""))</f>
        <v/>
      </c>
      <c r="Q86" s="21" t="str">
        <f aca="false">IF($A86="","",IF($C86=0,"",_xlfn.MINIFS('Daily tracking'!$A$2:$A$2001,'Daily tracking'!$D$2:$D$2001,$A86)))</f>
        <v/>
      </c>
      <c r="R86" s="6" t="str">
        <f aca="false">IF(OR($A86="",$C86&lt;2),"",($E86-$Q86)/($C86-1))</f>
        <v/>
      </c>
    </row>
    <row r="87" customFormat="false" ht="14.25" hidden="false" customHeight="false" outlineLevel="0" collapsed="false">
      <c r="A87" s="19"/>
      <c r="B87" s="19"/>
      <c r="C87" s="15" t="str">
        <f aca="false">IF($A87="","",COUNTIF('Daily tracking'!$D$2:$D$2001,$A87))</f>
        <v/>
      </c>
      <c r="D87" s="16" t="str">
        <f aca="false">IF($A87="","",SUMIF('Daily tracking'!$D$2:$D$2001,$A87,'Daily tracking'!$G$2:$G$2001))</f>
        <v/>
      </c>
      <c r="E87" s="18" t="str">
        <f aca="false">IF($A87="","",IF($C87=0,"",_xlfn.MAXIFS('Daily tracking'!$A$2:$A$2001,'Daily tracking'!$D$2:$D$2001,$A87)))</f>
        <v/>
      </c>
      <c r="F87" s="6" t="str">
        <f aca="true">IF(OR($A87="",$E87=""),"",TODAY()-$E87)</f>
        <v/>
      </c>
      <c r="G87" s="3" t="str">
        <f aca="false">IF($A87="","",IF($C87=0,"No visits",IF($F87&gt;90,"Lapsed",IF($F87&gt;35,"At risk",IF($C87&gt;=4,"Loyal","Active")))))</f>
        <v/>
      </c>
      <c r="H87" s="9" t="str">
        <f aca="false">IF(OR($A87="",$C87=0),"",$D87/$C87)</f>
        <v/>
      </c>
      <c r="I87" s="20"/>
      <c r="J87" s="20"/>
      <c r="K87" s="19"/>
      <c r="L87" s="19"/>
      <c r="M87" s="19"/>
      <c r="N87" s="15" t="str">
        <f aca="false">IF($A87="","",IF($C87=0,0,(IF($F87&lt;=15,5,IF($F87&lt;=30,4,IF($F87&lt;=45,3,IF($F87&lt;=90,2,1))))+IF($C87&gt;=10,5,IF($C87&gt;=6,4,IF($C87&gt;=4,3,IF($C87&gt;=2,2,1))))+IF($D87&gt;=20000,5,IF($D87&gt;=10000,4,IF($D87&gt;=5000,3,IF($D87&gt;=2000,2,1)))))))</f>
        <v/>
      </c>
      <c r="O87" s="3" t="str">
        <f aca="false">IF($A87="","",IF($C87=0,"No visits",IF($N87&gt;=13,"VIP",IF($N87&gt;=10,"High value",IF($N87&gt;=7,"Regular",IF($N87&gt;=4,"Occasional","Low"))))))</f>
        <v/>
      </c>
      <c r="P87" s="6" t="str">
        <f aca="true">IF(OR($A87="",$I87=""),"",IF(MONTH($I87)=MONTH(TODAY()),"Yes",""))</f>
        <v/>
      </c>
      <c r="Q87" s="21" t="str">
        <f aca="false">IF($A87="","",IF($C87=0,"",_xlfn.MINIFS('Daily tracking'!$A$2:$A$2001,'Daily tracking'!$D$2:$D$2001,$A87)))</f>
        <v/>
      </c>
      <c r="R87" s="6" t="str">
        <f aca="false">IF(OR($A87="",$C87&lt;2),"",($E87-$Q87)/($C87-1))</f>
        <v/>
      </c>
    </row>
    <row r="88" customFormat="false" ht="14.25" hidden="false" customHeight="false" outlineLevel="0" collapsed="false">
      <c r="A88" s="19"/>
      <c r="B88" s="19"/>
      <c r="C88" s="15" t="str">
        <f aca="false">IF($A88="","",COUNTIF('Daily tracking'!$D$2:$D$2001,$A88))</f>
        <v/>
      </c>
      <c r="D88" s="16" t="str">
        <f aca="false">IF($A88="","",SUMIF('Daily tracking'!$D$2:$D$2001,$A88,'Daily tracking'!$G$2:$G$2001))</f>
        <v/>
      </c>
      <c r="E88" s="18" t="str">
        <f aca="false">IF($A88="","",IF($C88=0,"",_xlfn.MAXIFS('Daily tracking'!$A$2:$A$2001,'Daily tracking'!$D$2:$D$2001,$A88)))</f>
        <v/>
      </c>
      <c r="F88" s="6" t="str">
        <f aca="true">IF(OR($A88="",$E88=""),"",TODAY()-$E88)</f>
        <v/>
      </c>
      <c r="G88" s="3" t="str">
        <f aca="false">IF($A88="","",IF($C88=0,"No visits",IF($F88&gt;90,"Lapsed",IF($F88&gt;35,"At risk",IF($C88&gt;=4,"Loyal","Active")))))</f>
        <v/>
      </c>
      <c r="H88" s="9" t="str">
        <f aca="false">IF(OR($A88="",$C88=0),"",$D88/$C88)</f>
        <v/>
      </c>
      <c r="I88" s="20"/>
      <c r="J88" s="20"/>
      <c r="K88" s="19"/>
      <c r="L88" s="19"/>
      <c r="M88" s="19"/>
      <c r="N88" s="15" t="str">
        <f aca="false">IF($A88="","",IF($C88=0,0,(IF($F88&lt;=15,5,IF($F88&lt;=30,4,IF($F88&lt;=45,3,IF($F88&lt;=90,2,1))))+IF($C88&gt;=10,5,IF($C88&gt;=6,4,IF($C88&gt;=4,3,IF($C88&gt;=2,2,1))))+IF($D88&gt;=20000,5,IF($D88&gt;=10000,4,IF($D88&gt;=5000,3,IF($D88&gt;=2000,2,1)))))))</f>
        <v/>
      </c>
      <c r="O88" s="3" t="str">
        <f aca="false">IF($A88="","",IF($C88=0,"No visits",IF($N88&gt;=13,"VIP",IF($N88&gt;=10,"High value",IF($N88&gt;=7,"Regular",IF($N88&gt;=4,"Occasional","Low"))))))</f>
        <v/>
      </c>
      <c r="P88" s="6" t="str">
        <f aca="true">IF(OR($A88="",$I88=""),"",IF(MONTH($I88)=MONTH(TODAY()),"Yes",""))</f>
        <v/>
      </c>
      <c r="Q88" s="21" t="str">
        <f aca="false">IF($A88="","",IF($C88=0,"",_xlfn.MINIFS('Daily tracking'!$A$2:$A$2001,'Daily tracking'!$D$2:$D$2001,$A88)))</f>
        <v/>
      </c>
      <c r="R88" s="6" t="str">
        <f aca="false">IF(OR($A88="",$C88&lt;2),"",($E88-$Q88)/($C88-1))</f>
        <v/>
      </c>
    </row>
    <row r="89" customFormat="false" ht="14.25" hidden="false" customHeight="false" outlineLevel="0" collapsed="false">
      <c r="A89" s="19"/>
      <c r="B89" s="19"/>
      <c r="C89" s="15" t="str">
        <f aca="false">IF($A89="","",COUNTIF('Daily tracking'!$D$2:$D$2001,$A89))</f>
        <v/>
      </c>
      <c r="D89" s="16" t="str">
        <f aca="false">IF($A89="","",SUMIF('Daily tracking'!$D$2:$D$2001,$A89,'Daily tracking'!$G$2:$G$2001))</f>
        <v/>
      </c>
      <c r="E89" s="18" t="str">
        <f aca="false">IF($A89="","",IF($C89=0,"",_xlfn.MAXIFS('Daily tracking'!$A$2:$A$2001,'Daily tracking'!$D$2:$D$2001,$A89)))</f>
        <v/>
      </c>
      <c r="F89" s="6" t="str">
        <f aca="true">IF(OR($A89="",$E89=""),"",TODAY()-$E89)</f>
        <v/>
      </c>
      <c r="G89" s="3" t="str">
        <f aca="false">IF($A89="","",IF($C89=0,"No visits",IF($F89&gt;90,"Lapsed",IF($F89&gt;35,"At risk",IF($C89&gt;=4,"Loyal","Active")))))</f>
        <v/>
      </c>
      <c r="H89" s="9" t="str">
        <f aca="false">IF(OR($A89="",$C89=0),"",$D89/$C89)</f>
        <v/>
      </c>
      <c r="I89" s="20"/>
      <c r="J89" s="20"/>
      <c r="K89" s="19"/>
      <c r="L89" s="19"/>
      <c r="M89" s="19"/>
      <c r="N89" s="15" t="str">
        <f aca="false">IF($A89="","",IF($C89=0,0,(IF($F89&lt;=15,5,IF($F89&lt;=30,4,IF($F89&lt;=45,3,IF($F89&lt;=90,2,1))))+IF($C89&gt;=10,5,IF($C89&gt;=6,4,IF($C89&gt;=4,3,IF($C89&gt;=2,2,1))))+IF($D89&gt;=20000,5,IF($D89&gt;=10000,4,IF($D89&gt;=5000,3,IF($D89&gt;=2000,2,1)))))))</f>
        <v/>
      </c>
      <c r="O89" s="3" t="str">
        <f aca="false">IF($A89="","",IF($C89=0,"No visits",IF($N89&gt;=13,"VIP",IF($N89&gt;=10,"High value",IF($N89&gt;=7,"Regular",IF($N89&gt;=4,"Occasional","Low"))))))</f>
        <v/>
      </c>
      <c r="P89" s="6" t="str">
        <f aca="true">IF(OR($A89="",$I89=""),"",IF(MONTH($I89)=MONTH(TODAY()),"Yes",""))</f>
        <v/>
      </c>
      <c r="Q89" s="21" t="str">
        <f aca="false">IF($A89="","",IF($C89=0,"",_xlfn.MINIFS('Daily tracking'!$A$2:$A$2001,'Daily tracking'!$D$2:$D$2001,$A89)))</f>
        <v/>
      </c>
      <c r="R89" s="6" t="str">
        <f aca="false">IF(OR($A89="",$C89&lt;2),"",($E89-$Q89)/($C89-1))</f>
        <v/>
      </c>
    </row>
    <row r="90" customFormat="false" ht="14.25" hidden="false" customHeight="false" outlineLevel="0" collapsed="false">
      <c r="A90" s="19"/>
      <c r="B90" s="19"/>
      <c r="C90" s="15" t="str">
        <f aca="false">IF($A90="","",COUNTIF('Daily tracking'!$D$2:$D$2001,$A90))</f>
        <v/>
      </c>
      <c r="D90" s="16" t="str">
        <f aca="false">IF($A90="","",SUMIF('Daily tracking'!$D$2:$D$2001,$A90,'Daily tracking'!$G$2:$G$2001))</f>
        <v/>
      </c>
      <c r="E90" s="18" t="str">
        <f aca="false">IF($A90="","",IF($C90=0,"",_xlfn.MAXIFS('Daily tracking'!$A$2:$A$2001,'Daily tracking'!$D$2:$D$2001,$A90)))</f>
        <v/>
      </c>
      <c r="F90" s="6" t="str">
        <f aca="true">IF(OR($A90="",$E90=""),"",TODAY()-$E90)</f>
        <v/>
      </c>
      <c r="G90" s="3" t="str">
        <f aca="false">IF($A90="","",IF($C90=0,"No visits",IF($F90&gt;90,"Lapsed",IF($F90&gt;35,"At risk",IF($C90&gt;=4,"Loyal","Active")))))</f>
        <v/>
      </c>
      <c r="H90" s="9" t="str">
        <f aca="false">IF(OR($A90="",$C90=0),"",$D90/$C90)</f>
        <v/>
      </c>
      <c r="I90" s="20"/>
      <c r="J90" s="20"/>
      <c r="K90" s="19"/>
      <c r="L90" s="19"/>
      <c r="M90" s="19"/>
      <c r="N90" s="15" t="str">
        <f aca="false">IF($A90="","",IF($C90=0,0,(IF($F90&lt;=15,5,IF($F90&lt;=30,4,IF($F90&lt;=45,3,IF($F90&lt;=90,2,1))))+IF($C90&gt;=10,5,IF($C90&gt;=6,4,IF($C90&gt;=4,3,IF($C90&gt;=2,2,1))))+IF($D90&gt;=20000,5,IF($D90&gt;=10000,4,IF($D90&gt;=5000,3,IF($D90&gt;=2000,2,1)))))))</f>
        <v/>
      </c>
      <c r="O90" s="3" t="str">
        <f aca="false">IF($A90="","",IF($C90=0,"No visits",IF($N90&gt;=13,"VIP",IF($N90&gt;=10,"High value",IF($N90&gt;=7,"Regular",IF($N90&gt;=4,"Occasional","Low"))))))</f>
        <v/>
      </c>
      <c r="P90" s="6" t="str">
        <f aca="true">IF(OR($A90="",$I90=""),"",IF(MONTH($I90)=MONTH(TODAY()),"Yes",""))</f>
        <v/>
      </c>
      <c r="Q90" s="21" t="str">
        <f aca="false">IF($A90="","",IF($C90=0,"",_xlfn.MINIFS('Daily tracking'!$A$2:$A$2001,'Daily tracking'!$D$2:$D$2001,$A90)))</f>
        <v/>
      </c>
      <c r="R90" s="6" t="str">
        <f aca="false">IF(OR($A90="",$C90&lt;2),"",($E90-$Q90)/($C90-1))</f>
        <v/>
      </c>
    </row>
    <row r="91" customFormat="false" ht="14.25" hidden="false" customHeight="false" outlineLevel="0" collapsed="false">
      <c r="A91" s="19"/>
      <c r="B91" s="19"/>
      <c r="C91" s="15" t="str">
        <f aca="false">IF($A91="","",COUNTIF('Daily tracking'!$D$2:$D$2001,$A91))</f>
        <v/>
      </c>
      <c r="D91" s="16" t="str">
        <f aca="false">IF($A91="","",SUMIF('Daily tracking'!$D$2:$D$2001,$A91,'Daily tracking'!$G$2:$G$2001))</f>
        <v/>
      </c>
      <c r="E91" s="18" t="str">
        <f aca="false">IF($A91="","",IF($C91=0,"",_xlfn.MAXIFS('Daily tracking'!$A$2:$A$2001,'Daily tracking'!$D$2:$D$2001,$A91)))</f>
        <v/>
      </c>
      <c r="F91" s="6" t="str">
        <f aca="true">IF(OR($A91="",$E91=""),"",TODAY()-$E91)</f>
        <v/>
      </c>
      <c r="G91" s="3" t="str">
        <f aca="false">IF($A91="","",IF($C91=0,"No visits",IF($F91&gt;90,"Lapsed",IF($F91&gt;35,"At risk",IF($C91&gt;=4,"Loyal","Active")))))</f>
        <v/>
      </c>
      <c r="H91" s="9" t="str">
        <f aca="false">IF(OR($A91="",$C91=0),"",$D91/$C91)</f>
        <v/>
      </c>
      <c r="I91" s="20"/>
      <c r="J91" s="20"/>
      <c r="K91" s="19"/>
      <c r="L91" s="19"/>
      <c r="M91" s="19"/>
      <c r="N91" s="15" t="str">
        <f aca="false">IF($A91="","",IF($C91=0,0,(IF($F91&lt;=15,5,IF($F91&lt;=30,4,IF($F91&lt;=45,3,IF($F91&lt;=90,2,1))))+IF($C91&gt;=10,5,IF($C91&gt;=6,4,IF($C91&gt;=4,3,IF($C91&gt;=2,2,1))))+IF($D91&gt;=20000,5,IF($D91&gt;=10000,4,IF($D91&gt;=5000,3,IF($D91&gt;=2000,2,1)))))))</f>
        <v/>
      </c>
      <c r="O91" s="3" t="str">
        <f aca="false">IF($A91="","",IF($C91=0,"No visits",IF($N91&gt;=13,"VIP",IF($N91&gt;=10,"High value",IF($N91&gt;=7,"Regular",IF($N91&gt;=4,"Occasional","Low"))))))</f>
        <v/>
      </c>
      <c r="P91" s="6" t="str">
        <f aca="true">IF(OR($A91="",$I91=""),"",IF(MONTH($I91)=MONTH(TODAY()),"Yes",""))</f>
        <v/>
      </c>
      <c r="Q91" s="21" t="str">
        <f aca="false">IF($A91="","",IF($C91=0,"",_xlfn.MINIFS('Daily tracking'!$A$2:$A$2001,'Daily tracking'!$D$2:$D$2001,$A91)))</f>
        <v/>
      </c>
      <c r="R91" s="6" t="str">
        <f aca="false">IF(OR($A91="",$C91&lt;2),"",($E91-$Q91)/($C91-1))</f>
        <v/>
      </c>
    </row>
    <row r="92" customFormat="false" ht="14.25" hidden="false" customHeight="false" outlineLevel="0" collapsed="false">
      <c r="A92" s="19"/>
      <c r="B92" s="19"/>
      <c r="C92" s="15" t="str">
        <f aca="false">IF($A92="","",COUNTIF('Daily tracking'!$D$2:$D$2001,$A92))</f>
        <v/>
      </c>
      <c r="D92" s="16" t="str">
        <f aca="false">IF($A92="","",SUMIF('Daily tracking'!$D$2:$D$2001,$A92,'Daily tracking'!$G$2:$G$2001))</f>
        <v/>
      </c>
      <c r="E92" s="18" t="str">
        <f aca="false">IF($A92="","",IF($C92=0,"",_xlfn.MAXIFS('Daily tracking'!$A$2:$A$2001,'Daily tracking'!$D$2:$D$2001,$A92)))</f>
        <v/>
      </c>
      <c r="F92" s="6" t="str">
        <f aca="true">IF(OR($A92="",$E92=""),"",TODAY()-$E92)</f>
        <v/>
      </c>
      <c r="G92" s="3" t="str">
        <f aca="false">IF($A92="","",IF($C92=0,"No visits",IF($F92&gt;90,"Lapsed",IF($F92&gt;35,"At risk",IF($C92&gt;=4,"Loyal","Active")))))</f>
        <v/>
      </c>
      <c r="H92" s="9" t="str">
        <f aca="false">IF(OR($A92="",$C92=0),"",$D92/$C92)</f>
        <v/>
      </c>
      <c r="I92" s="20"/>
      <c r="J92" s="20"/>
      <c r="K92" s="19"/>
      <c r="L92" s="19"/>
      <c r="M92" s="19"/>
      <c r="N92" s="15" t="str">
        <f aca="false">IF($A92="","",IF($C92=0,0,(IF($F92&lt;=15,5,IF($F92&lt;=30,4,IF($F92&lt;=45,3,IF($F92&lt;=90,2,1))))+IF($C92&gt;=10,5,IF($C92&gt;=6,4,IF($C92&gt;=4,3,IF($C92&gt;=2,2,1))))+IF($D92&gt;=20000,5,IF($D92&gt;=10000,4,IF($D92&gt;=5000,3,IF($D92&gt;=2000,2,1)))))))</f>
        <v/>
      </c>
      <c r="O92" s="3" t="str">
        <f aca="false">IF($A92="","",IF($C92=0,"No visits",IF($N92&gt;=13,"VIP",IF($N92&gt;=10,"High value",IF($N92&gt;=7,"Regular",IF($N92&gt;=4,"Occasional","Low"))))))</f>
        <v/>
      </c>
      <c r="P92" s="6" t="str">
        <f aca="true">IF(OR($A92="",$I92=""),"",IF(MONTH($I92)=MONTH(TODAY()),"Yes",""))</f>
        <v/>
      </c>
      <c r="Q92" s="21" t="str">
        <f aca="false">IF($A92="","",IF($C92=0,"",_xlfn.MINIFS('Daily tracking'!$A$2:$A$2001,'Daily tracking'!$D$2:$D$2001,$A92)))</f>
        <v/>
      </c>
      <c r="R92" s="6" t="str">
        <f aca="false">IF(OR($A92="",$C92&lt;2),"",($E92-$Q92)/($C92-1))</f>
        <v/>
      </c>
    </row>
    <row r="93" customFormat="false" ht="14.25" hidden="false" customHeight="false" outlineLevel="0" collapsed="false">
      <c r="A93" s="19"/>
      <c r="B93" s="19"/>
      <c r="C93" s="15" t="str">
        <f aca="false">IF($A93="","",COUNTIF('Daily tracking'!$D$2:$D$2001,$A93))</f>
        <v/>
      </c>
      <c r="D93" s="16" t="str">
        <f aca="false">IF($A93="","",SUMIF('Daily tracking'!$D$2:$D$2001,$A93,'Daily tracking'!$G$2:$G$2001))</f>
        <v/>
      </c>
      <c r="E93" s="18" t="str">
        <f aca="false">IF($A93="","",IF($C93=0,"",_xlfn.MAXIFS('Daily tracking'!$A$2:$A$2001,'Daily tracking'!$D$2:$D$2001,$A93)))</f>
        <v/>
      </c>
      <c r="F93" s="6" t="str">
        <f aca="true">IF(OR($A93="",$E93=""),"",TODAY()-$E93)</f>
        <v/>
      </c>
      <c r="G93" s="3" t="str">
        <f aca="false">IF($A93="","",IF($C93=0,"No visits",IF($F93&gt;90,"Lapsed",IF($F93&gt;35,"At risk",IF($C93&gt;=4,"Loyal","Active")))))</f>
        <v/>
      </c>
      <c r="H93" s="9" t="str">
        <f aca="false">IF(OR($A93="",$C93=0),"",$D93/$C93)</f>
        <v/>
      </c>
      <c r="I93" s="20"/>
      <c r="J93" s="20"/>
      <c r="K93" s="19"/>
      <c r="L93" s="19"/>
      <c r="M93" s="19"/>
      <c r="N93" s="15" t="str">
        <f aca="false">IF($A93="","",IF($C93=0,0,(IF($F93&lt;=15,5,IF($F93&lt;=30,4,IF($F93&lt;=45,3,IF($F93&lt;=90,2,1))))+IF($C93&gt;=10,5,IF($C93&gt;=6,4,IF($C93&gt;=4,3,IF($C93&gt;=2,2,1))))+IF($D93&gt;=20000,5,IF($D93&gt;=10000,4,IF($D93&gt;=5000,3,IF($D93&gt;=2000,2,1)))))))</f>
        <v/>
      </c>
      <c r="O93" s="3" t="str">
        <f aca="false">IF($A93="","",IF($C93=0,"No visits",IF($N93&gt;=13,"VIP",IF($N93&gt;=10,"High value",IF($N93&gt;=7,"Regular",IF($N93&gt;=4,"Occasional","Low"))))))</f>
        <v/>
      </c>
      <c r="P93" s="6" t="str">
        <f aca="true">IF(OR($A93="",$I93=""),"",IF(MONTH($I93)=MONTH(TODAY()),"Yes",""))</f>
        <v/>
      </c>
      <c r="Q93" s="21" t="str">
        <f aca="false">IF($A93="","",IF($C93=0,"",_xlfn.MINIFS('Daily tracking'!$A$2:$A$2001,'Daily tracking'!$D$2:$D$2001,$A93)))</f>
        <v/>
      </c>
      <c r="R93" s="6" t="str">
        <f aca="false">IF(OR($A93="",$C93&lt;2),"",($E93-$Q93)/($C93-1))</f>
        <v/>
      </c>
    </row>
    <row r="94" customFormat="false" ht="14.25" hidden="false" customHeight="false" outlineLevel="0" collapsed="false">
      <c r="A94" s="19"/>
      <c r="B94" s="19"/>
      <c r="C94" s="15" t="str">
        <f aca="false">IF($A94="","",COUNTIF('Daily tracking'!$D$2:$D$2001,$A94))</f>
        <v/>
      </c>
      <c r="D94" s="16" t="str">
        <f aca="false">IF($A94="","",SUMIF('Daily tracking'!$D$2:$D$2001,$A94,'Daily tracking'!$G$2:$G$2001))</f>
        <v/>
      </c>
      <c r="E94" s="18" t="str">
        <f aca="false">IF($A94="","",IF($C94=0,"",_xlfn.MAXIFS('Daily tracking'!$A$2:$A$2001,'Daily tracking'!$D$2:$D$2001,$A94)))</f>
        <v/>
      </c>
      <c r="F94" s="6" t="str">
        <f aca="true">IF(OR($A94="",$E94=""),"",TODAY()-$E94)</f>
        <v/>
      </c>
      <c r="G94" s="3" t="str">
        <f aca="false">IF($A94="","",IF($C94=0,"No visits",IF($F94&gt;90,"Lapsed",IF($F94&gt;35,"At risk",IF($C94&gt;=4,"Loyal","Active")))))</f>
        <v/>
      </c>
      <c r="H94" s="9" t="str">
        <f aca="false">IF(OR($A94="",$C94=0),"",$D94/$C94)</f>
        <v/>
      </c>
      <c r="I94" s="20"/>
      <c r="J94" s="20"/>
      <c r="K94" s="19"/>
      <c r="L94" s="19"/>
      <c r="M94" s="19"/>
      <c r="N94" s="15" t="str">
        <f aca="false">IF($A94="","",IF($C94=0,0,(IF($F94&lt;=15,5,IF($F94&lt;=30,4,IF($F94&lt;=45,3,IF($F94&lt;=90,2,1))))+IF($C94&gt;=10,5,IF($C94&gt;=6,4,IF($C94&gt;=4,3,IF($C94&gt;=2,2,1))))+IF($D94&gt;=20000,5,IF($D94&gt;=10000,4,IF($D94&gt;=5000,3,IF($D94&gt;=2000,2,1)))))))</f>
        <v/>
      </c>
      <c r="O94" s="3" t="str">
        <f aca="false">IF($A94="","",IF($C94=0,"No visits",IF($N94&gt;=13,"VIP",IF($N94&gt;=10,"High value",IF($N94&gt;=7,"Regular",IF($N94&gt;=4,"Occasional","Low"))))))</f>
        <v/>
      </c>
      <c r="P94" s="6" t="str">
        <f aca="true">IF(OR($A94="",$I94=""),"",IF(MONTH($I94)=MONTH(TODAY()),"Yes",""))</f>
        <v/>
      </c>
      <c r="Q94" s="21" t="str">
        <f aca="false">IF($A94="","",IF($C94=0,"",_xlfn.MINIFS('Daily tracking'!$A$2:$A$2001,'Daily tracking'!$D$2:$D$2001,$A94)))</f>
        <v/>
      </c>
      <c r="R94" s="6" t="str">
        <f aca="false">IF(OR($A94="",$C94&lt;2),"",($E94-$Q94)/($C94-1))</f>
        <v/>
      </c>
    </row>
    <row r="95" customFormat="false" ht="14.25" hidden="false" customHeight="false" outlineLevel="0" collapsed="false">
      <c r="A95" s="19"/>
      <c r="B95" s="19"/>
      <c r="C95" s="15" t="str">
        <f aca="false">IF($A95="","",COUNTIF('Daily tracking'!$D$2:$D$2001,$A95))</f>
        <v/>
      </c>
      <c r="D95" s="16" t="str">
        <f aca="false">IF($A95="","",SUMIF('Daily tracking'!$D$2:$D$2001,$A95,'Daily tracking'!$G$2:$G$2001))</f>
        <v/>
      </c>
      <c r="E95" s="18" t="str">
        <f aca="false">IF($A95="","",IF($C95=0,"",_xlfn.MAXIFS('Daily tracking'!$A$2:$A$2001,'Daily tracking'!$D$2:$D$2001,$A95)))</f>
        <v/>
      </c>
      <c r="F95" s="6" t="str">
        <f aca="true">IF(OR($A95="",$E95=""),"",TODAY()-$E95)</f>
        <v/>
      </c>
      <c r="G95" s="3" t="str">
        <f aca="false">IF($A95="","",IF($C95=0,"No visits",IF($F95&gt;90,"Lapsed",IF($F95&gt;35,"At risk",IF($C95&gt;=4,"Loyal","Active")))))</f>
        <v/>
      </c>
      <c r="H95" s="9" t="str">
        <f aca="false">IF(OR($A95="",$C95=0),"",$D95/$C95)</f>
        <v/>
      </c>
      <c r="I95" s="20"/>
      <c r="J95" s="20"/>
      <c r="K95" s="19"/>
      <c r="L95" s="19"/>
      <c r="M95" s="19"/>
      <c r="N95" s="15" t="str">
        <f aca="false">IF($A95="","",IF($C95=0,0,(IF($F95&lt;=15,5,IF($F95&lt;=30,4,IF($F95&lt;=45,3,IF($F95&lt;=90,2,1))))+IF($C95&gt;=10,5,IF($C95&gt;=6,4,IF($C95&gt;=4,3,IF($C95&gt;=2,2,1))))+IF($D95&gt;=20000,5,IF($D95&gt;=10000,4,IF($D95&gt;=5000,3,IF($D95&gt;=2000,2,1)))))))</f>
        <v/>
      </c>
      <c r="O95" s="3" t="str">
        <f aca="false">IF($A95="","",IF($C95=0,"No visits",IF($N95&gt;=13,"VIP",IF($N95&gt;=10,"High value",IF($N95&gt;=7,"Regular",IF($N95&gt;=4,"Occasional","Low"))))))</f>
        <v/>
      </c>
      <c r="P95" s="6" t="str">
        <f aca="true">IF(OR($A95="",$I95=""),"",IF(MONTH($I95)=MONTH(TODAY()),"Yes",""))</f>
        <v/>
      </c>
      <c r="Q95" s="21" t="str">
        <f aca="false">IF($A95="","",IF($C95=0,"",_xlfn.MINIFS('Daily tracking'!$A$2:$A$2001,'Daily tracking'!$D$2:$D$2001,$A95)))</f>
        <v/>
      </c>
      <c r="R95" s="6" t="str">
        <f aca="false">IF(OR($A95="",$C95&lt;2),"",($E95-$Q95)/($C95-1))</f>
        <v/>
      </c>
    </row>
    <row r="96" customFormat="false" ht="14.25" hidden="false" customHeight="false" outlineLevel="0" collapsed="false">
      <c r="A96" s="19"/>
      <c r="B96" s="19"/>
      <c r="C96" s="15" t="str">
        <f aca="false">IF($A96="","",COUNTIF('Daily tracking'!$D$2:$D$2001,$A96))</f>
        <v/>
      </c>
      <c r="D96" s="16" t="str">
        <f aca="false">IF($A96="","",SUMIF('Daily tracking'!$D$2:$D$2001,$A96,'Daily tracking'!$G$2:$G$2001))</f>
        <v/>
      </c>
      <c r="E96" s="18" t="str">
        <f aca="false">IF($A96="","",IF($C96=0,"",_xlfn.MAXIFS('Daily tracking'!$A$2:$A$2001,'Daily tracking'!$D$2:$D$2001,$A96)))</f>
        <v/>
      </c>
      <c r="F96" s="6" t="str">
        <f aca="true">IF(OR($A96="",$E96=""),"",TODAY()-$E96)</f>
        <v/>
      </c>
      <c r="G96" s="3" t="str">
        <f aca="false">IF($A96="","",IF($C96=0,"No visits",IF($F96&gt;90,"Lapsed",IF($F96&gt;35,"At risk",IF($C96&gt;=4,"Loyal","Active")))))</f>
        <v/>
      </c>
      <c r="H96" s="9" t="str">
        <f aca="false">IF(OR($A96="",$C96=0),"",$D96/$C96)</f>
        <v/>
      </c>
      <c r="I96" s="20"/>
      <c r="J96" s="20"/>
      <c r="K96" s="19"/>
      <c r="L96" s="19"/>
      <c r="M96" s="19"/>
      <c r="N96" s="15" t="str">
        <f aca="false">IF($A96="","",IF($C96=0,0,(IF($F96&lt;=15,5,IF($F96&lt;=30,4,IF($F96&lt;=45,3,IF($F96&lt;=90,2,1))))+IF($C96&gt;=10,5,IF($C96&gt;=6,4,IF($C96&gt;=4,3,IF($C96&gt;=2,2,1))))+IF($D96&gt;=20000,5,IF($D96&gt;=10000,4,IF($D96&gt;=5000,3,IF($D96&gt;=2000,2,1)))))))</f>
        <v/>
      </c>
      <c r="O96" s="3" t="str">
        <f aca="false">IF($A96="","",IF($C96=0,"No visits",IF($N96&gt;=13,"VIP",IF($N96&gt;=10,"High value",IF($N96&gt;=7,"Regular",IF($N96&gt;=4,"Occasional","Low"))))))</f>
        <v/>
      </c>
      <c r="P96" s="6" t="str">
        <f aca="true">IF(OR($A96="",$I96=""),"",IF(MONTH($I96)=MONTH(TODAY()),"Yes",""))</f>
        <v/>
      </c>
      <c r="Q96" s="21" t="str">
        <f aca="false">IF($A96="","",IF($C96=0,"",_xlfn.MINIFS('Daily tracking'!$A$2:$A$2001,'Daily tracking'!$D$2:$D$2001,$A96)))</f>
        <v/>
      </c>
      <c r="R96" s="6" t="str">
        <f aca="false">IF(OR($A96="",$C96&lt;2),"",($E96-$Q96)/($C96-1))</f>
        <v/>
      </c>
    </row>
    <row r="97" customFormat="false" ht="14.25" hidden="false" customHeight="false" outlineLevel="0" collapsed="false">
      <c r="A97" s="19"/>
      <c r="B97" s="19"/>
      <c r="C97" s="15" t="str">
        <f aca="false">IF($A97="","",COUNTIF('Daily tracking'!$D$2:$D$2001,$A97))</f>
        <v/>
      </c>
      <c r="D97" s="16" t="str">
        <f aca="false">IF($A97="","",SUMIF('Daily tracking'!$D$2:$D$2001,$A97,'Daily tracking'!$G$2:$G$2001))</f>
        <v/>
      </c>
      <c r="E97" s="18" t="str">
        <f aca="false">IF($A97="","",IF($C97=0,"",_xlfn.MAXIFS('Daily tracking'!$A$2:$A$2001,'Daily tracking'!$D$2:$D$2001,$A97)))</f>
        <v/>
      </c>
      <c r="F97" s="6" t="str">
        <f aca="true">IF(OR($A97="",$E97=""),"",TODAY()-$E97)</f>
        <v/>
      </c>
      <c r="G97" s="3" t="str">
        <f aca="false">IF($A97="","",IF($C97=0,"No visits",IF($F97&gt;90,"Lapsed",IF($F97&gt;35,"At risk",IF($C97&gt;=4,"Loyal","Active")))))</f>
        <v/>
      </c>
      <c r="H97" s="9" t="str">
        <f aca="false">IF(OR($A97="",$C97=0),"",$D97/$C97)</f>
        <v/>
      </c>
      <c r="I97" s="20"/>
      <c r="J97" s="20"/>
      <c r="K97" s="19"/>
      <c r="L97" s="19"/>
      <c r="M97" s="19"/>
      <c r="N97" s="15" t="str">
        <f aca="false">IF($A97="","",IF($C97=0,0,(IF($F97&lt;=15,5,IF($F97&lt;=30,4,IF($F97&lt;=45,3,IF($F97&lt;=90,2,1))))+IF($C97&gt;=10,5,IF($C97&gt;=6,4,IF($C97&gt;=4,3,IF($C97&gt;=2,2,1))))+IF($D97&gt;=20000,5,IF($D97&gt;=10000,4,IF($D97&gt;=5000,3,IF($D97&gt;=2000,2,1)))))))</f>
        <v/>
      </c>
      <c r="O97" s="3" t="str">
        <f aca="false">IF($A97="","",IF($C97=0,"No visits",IF($N97&gt;=13,"VIP",IF($N97&gt;=10,"High value",IF($N97&gt;=7,"Regular",IF($N97&gt;=4,"Occasional","Low"))))))</f>
        <v/>
      </c>
      <c r="P97" s="6" t="str">
        <f aca="true">IF(OR($A97="",$I97=""),"",IF(MONTH($I97)=MONTH(TODAY()),"Yes",""))</f>
        <v/>
      </c>
      <c r="Q97" s="21" t="str">
        <f aca="false">IF($A97="","",IF($C97=0,"",_xlfn.MINIFS('Daily tracking'!$A$2:$A$2001,'Daily tracking'!$D$2:$D$2001,$A97)))</f>
        <v/>
      </c>
      <c r="R97" s="6" t="str">
        <f aca="false">IF(OR($A97="",$C97&lt;2),"",($E97-$Q97)/($C97-1))</f>
        <v/>
      </c>
    </row>
    <row r="98" customFormat="false" ht="14.25" hidden="false" customHeight="false" outlineLevel="0" collapsed="false">
      <c r="A98" s="19"/>
      <c r="B98" s="19"/>
      <c r="C98" s="15" t="str">
        <f aca="false">IF($A98="","",COUNTIF('Daily tracking'!$D$2:$D$2001,$A98))</f>
        <v/>
      </c>
      <c r="D98" s="16" t="str">
        <f aca="false">IF($A98="","",SUMIF('Daily tracking'!$D$2:$D$2001,$A98,'Daily tracking'!$G$2:$G$2001))</f>
        <v/>
      </c>
      <c r="E98" s="18" t="str">
        <f aca="false">IF($A98="","",IF($C98=0,"",_xlfn.MAXIFS('Daily tracking'!$A$2:$A$2001,'Daily tracking'!$D$2:$D$2001,$A98)))</f>
        <v/>
      </c>
      <c r="F98" s="6" t="str">
        <f aca="true">IF(OR($A98="",$E98=""),"",TODAY()-$E98)</f>
        <v/>
      </c>
      <c r="G98" s="3" t="str">
        <f aca="false">IF($A98="","",IF($C98=0,"No visits",IF($F98&gt;90,"Lapsed",IF($F98&gt;35,"At risk",IF($C98&gt;=4,"Loyal","Active")))))</f>
        <v/>
      </c>
      <c r="H98" s="9" t="str">
        <f aca="false">IF(OR($A98="",$C98=0),"",$D98/$C98)</f>
        <v/>
      </c>
      <c r="I98" s="20"/>
      <c r="J98" s="20"/>
      <c r="K98" s="19"/>
      <c r="L98" s="19"/>
      <c r="M98" s="19"/>
      <c r="N98" s="15" t="str">
        <f aca="false">IF($A98="","",IF($C98=0,0,(IF($F98&lt;=15,5,IF($F98&lt;=30,4,IF($F98&lt;=45,3,IF($F98&lt;=90,2,1))))+IF($C98&gt;=10,5,IF($C98&gt;=6,4,IF($C98&gt;=4,3,IF($C98&gt;=2,2,1))))+IF($D98&gt;=20000,5,IF($D98&gt;=10000,4,IF($D98&gt;=5000,3,IF($D98&gt;=2000,2,1)))))))</f>
        <v/>
      </c>
      <c r="O98" s="3" t="str">
        <f aca="false">IF($A98="","",IF($C98=0,"No visits",IF($N98&gt;=13,"VIP",IF($N98&gt;=10,"High value",IF($N98&gt;=7,"Regular",IF($N98&gt;=4,"Occasional","Low"))))))</f>
        <v/>
      </c>
      <c r="P98" s="6" t="str">
        <f aca="true">IF(OR($A98="",$I98=""),"",IF(MONTH($I98)=MONTH(TODAY()),"Yes",""))</f>
        <v/>
      </c>
      <c r="Q98" s="21" t="str">
        <f aca="false">IF($A98="","",IF($C98=0,"",_xlfn.MINIFS('Daily tracking'!$A$2:$A$2001,'Daily tracking'!$D$2:$D$2001,$A98)))</f>
        <v/>
      </c>
      <c r="R98" s="6" t="str">
        <f aca="false">IF(OR($A98="",$C98&lt;2),"",($E98-$Q98)/($C98-1))</f>
        <v/>
      </c>
    </row>
    <row r="99" customFormat="false" ht="14.25" hidden="false" customHeight="false" outlineLevel="0" collapsed="false">
      <c r="A99" s="19"/>
      <c r="B99" s="19"/>
      <c r="C99" s="15" t="str">
        <f aca="false">IF($A99="","",COUNTIF('Daily tracking'!$D$2:$D$2001,$A99))</f>
        <v/>
      </c>
      <c r="D99" s="16" t="str">
        <f aca="false">IF($A99="","",SUMIF('Daily tracking'!$D$2:$D$2001,$A99,'Daily tracking'!$G$2:$G$2001))</f>
        <v/>
      </c>
      <c r="E99" s="18" t="str">
        <f aca="false">IF($A99="","",IF($C99=0,"",_xlfn.MAXIFS('Daily tracking'!$A$2:$A$2001,'Daily tracking'!$D$2:$D$2001,$A99)))</f>
        <v/>
      </c>
      <c r="F99" s="6" t="str">
        <f aca="true">IF(OR($A99="",$E99=""),"",TODAY()-$E99)</f>
        <v/>
      </c>
      <c r="G99" s="3" t="str">
        <f aca="false">IF($A99="","",IF($C99=0,"No visits",IF($F99&gt;90,"Lapsed",IF($F99&gt;35,"At risk",IF($C99&gt;=4,"Loyal","Active")))))</f>
        <v/>
      </c>
      <c r="H99" s="9" t="str">
        <f aca="false">IF(OR($A99="",$C99=0),"",$D99/$C99)</f>
        <v/>
      </c>
      <c r="I99" s="20"/>
      <c r="J99" s="20"/>
      <c r="K99" s="19"/>
      <c r="L99" s="19"/>
      <c r="M99" s="19"/>
      <c r="N99" s="15" t="str">
        <f aca="false">IF($A99="","",IF($C99=0,0,(IF($F99&lt;=15,5,IF($F99&lt;=30,4,IF($F99&lt;=45,3,IF($F99&lt;=90,2,1))))+IF($C99&gt;=10,5,IF($C99&gt;=6,4,IF($C99&gt;=4,3,IF($C99&gt;=2,2,1))))+IF($D99&gt;=20000,5,IF($D99&gt;=10000,4,IF($D99&gt;=5000,3,IF($D99&gt;=2000,2,1)))))))</f>
        <v/>
      </c>
      <c r="O99" s="3" t="str">
        <f aca="false">IF($A99="","",IF($C99=0,"No visits",IF($N99&gt;=13,"VIP",IF($N99&gt;=10,"High value",IF($N99&gt;=7,"Regular",IF($N99&gt;=4,"Occasional","Low"))))))</f>
        <v/>
      </c>
      <c r="P99" s="6" t="str">
        <f aca="true">IF(OR($A99="",$I99=""),"",IF(MONTH($I99)=MONTH(TODAY()),"Yes",""))</f>
        <v/>
      </c>
      <c r="Q99" s="21" t="str">
        <f aca="false">IF($A99="","",IF($C99=0,"",_xlfn.MINIFS('Daily tracking'!$A$2:$A$2001,'Daily tracking'!$D$2:$D$2001,$A99)))</f>
        <v/>
      </c>
      <c r="R99" s="6" t="str">
        <f aca="false">IF(OR($A99="",$C99&lt;2),"",($E99-$Q99)/($C99-1))</f>
        <v/>
      </c>
    </row>
    <row r="100" customFormat="false" ht="14.25" hidden="false" customHeight="false" outlineLevel="0" collapsed="false">
      <c r="A100" s="19"/>
      <c r="B100" s="19"/>
      <c r="C100" s="15" t="str">
        <f aca="false">IF($A100="","",COUNTIF('Daily tracking'!$D$2:$D$2001,$A100))</f>
        <v/>
      </c>
      <c r="D100" s="16" t="str">
        <f aca="false">IF($A100="","",SUMIF('Daily tracking'!$D$2:$D$2001,$A100,'Daily tracking'!$G$2:$G$2001))</f>
        <v/>
      </c>
      <c r="E100" s="18" t="str">
        <f aca="false">IF($A100="","",IF($C100=0,"",_xlfn.MAXIFS('Daily tracking'!$A$2:$A$2001,'Daily tracking'!$D$2:$D$2001,$A100)))</f>
        <v/>
      </c>
      <c r="F100" s="6" t="str">
        <f aca="true">IF(OR($A100="",$E100=""),"",TODAY()-$E100)</f>
        <v/>
      </c>
      <c r="G100" s="3" t="str">
        <f aca="false">IF($A100="","",IF($C100=0,"No visits",IF($F100&gt;90,"Lapsed",IF($F100&gt;35,"At risk",IF($C100&gt;=4,"Loyal","Active")))))</f>
        <v/>
      </c>
      <c r="H100" s="9" t="str">
        <f aca="false">IF(OR($A100="",$C100=0),"",$D100/$C100)</f>
        <v/>
      </c>
      <c r="I100" s="20"/>
      <c r="J100" s="20"/>
      <c r="K100" s="19"/>
      <c r="L100" s="19"/>
      <c r="M100" s="19"/>
      <c r="N100" s="15" t="str">
        <f aca="false">IF($A100="","",IF($C100=0,0,(IF($F100&lt;=15,5,IF($F100&lt;=30,4,IF($F100&lt;=45,3,IF($F100&lt;=90,2,1))))+IF($C100&gt;=10,5,IF($C100&gt;=6,4,IF($C100&gt;=4,3,IF($C100&gt;=2,2,1))))+IF($D100&gt;=20000,5,IF($D100&gt;=10000,4,IF($D100&gt;=5000,3,IF($D100&gt;=2000,2,1)))))))</f>
        <v/>
      </c>
      <c r="O100" s="3" t="str">
        <f aca="false">IF($A100="","",IF($C100=0,"No visits",IF($N100&gt;=13,"VIP",IF($N100&gt;=10,"High value",IF($N100&gt;=7,"Regular",IF($N100&gt;=4,"Occasional","Low"))))))</f>
        <v/>
      </c>
      <c r="P100" s="6" t="str">
        <f aca="true">IF(OR($A100="",$I100=""),"",IF(MONTH($I100)=MONTH(TODAY()),"Yes",""))</f>
        <v/>
      </c>
      <c r="Q100" s="21" t="str">
        <f aca="false">IF($A100="","",IF($C100=0,"",_xlfn.MINIFS('Daily tracking'!$A$2:$A$2001,'Daily tracking'!$D$2:$D$2001,$A100)))</f>
        <v/>
      </c>
      <c r="R100" s="6" t="str">
        <f aca="false">IF(OR($A100="",$C100&lt;2),"",($E100-$Q100)/($C100-1))</f>
        <v/>
      </c>
    </row>
    <row r="101" customFormat="false" ht="14.25" hidden="false" customHeight="false" outlineLevel="0" collapsed="false">
      <c r="A101" s="19"/>
      <c r="B101" s="19"/>
      <c r="C101" s="15" t="str">
        <f aca="false">IF($A101="","",COUNTIF('Daily tracking'!$D$2:$D$2001,$A101))</f>
        <v/>
      </c>
      <c r="D101" s="16" t="str">
        <f aca="false">IF($A101="","",SUMIF('Daily tracking'!$D$2:$D$2001,$A101,'Daily tracking'!$G$2:$G$2001))</f>
        <v/>
      </c>
      <c r="E101" s="18" t="str">
        <f aca="false">IF($A101="","",IF($C101=0,"",_xlfn.MAXIFS('Daily tracking'!$A$2:$A$2001,'Daily tracking'!$D$2:$D$2001,$A101)))</f>
        <v/>
      </c>
      <c r="F101" s="6" t="str">
        <f aca="true">IF(OR($A101="",$E101=""),"",TODAY()-$E101)</f>
        <v/>
      </c>
      <c r="G101" s="3" t="str">
        <f aca="false">IF($A101="","",IF($C101=0,"No visits",IF($F101&gt;90,"Lapsed",IF($F101&gt;35,"At risk",IF($C101&gt;=4,"Loyal","Active")))))</f>
        <v/>
      </c>
      <c r="H101" s="9" t="str">
        <f aca="false">IF(OR($A101="",$C101=0),"",$D101/$C101)</f>
        <v/>
      </c>
      <c r="I101" s="20"/>
      <c r="J101" s="20"/>
      <c r="K101" s="19"/>
      <c r="L101" s="19"/>
      <c r="M101" s="19"/>
      <c r="N101" s="15" t="str">
        <f aca="false">IF($A101="","",IF($C101=0,0,(IF($F101&lt;=15,5,IF($F101&lt;=30,4,IF($F101&lt;=45,3,IF($F101&lt;=90,2,1))))+IF($C101&gt;=10,5,IF($C101&gt;=6,4,IF($C101&gt;=4,3,IF($C101&gt;=2,2,1))))+IF($D101&gt;=20000,5,IF($D101&gt;=10000,4,IF($D101&gt;=5000,3,IF($D101&gt;=2000,2,1)))))))</f>
        <v/>
      </c>
      <c r="O101" s="3" t="str">
        <f aca="false">IF($A101="","",IF($C101=0,"No visits",IF($N101&gt;=13,"VIP",IF($N101&gt;=10,"High value",IF($N101&gt;=7,"Regular",IF($N101&gt;=4,"Occasional","Low"))))))</f>
        <v/>
      </c>
      <c r="P101" s="6" t="str">
        <f aca="true">IF(OR($A101="",$I101=""),"",IF(MONTH($I101)=MONTH(TODAY()),"Yes",""))</f>
        <v/>
      </c>
      <c r="Q101" s="21" t="str">
        <f aca="false">IF($A101="","",IF($C101=0,"",_xlfn.MINIFS('Daily tracking'!$A$2:$A$2001,'Daily tracking'!$D$2:$D$2001,$A101)))</f>
        <v/>
      </c>
      <c r="R101" s="6" t="str">
        <f aca="false">IF(OR($A101="",$C101&lt;2),"",($E101-$Q101)/($C101-1))</f>
        <v/>
      </c>
    </row>
    <row r="102" customFormat="false" ht="14.25" hidden="false" customHeight="false" outlineLevel="0" collapsed="false">
      <c r="A102" s="19"/>
      <c r="B102" s="19"/>
      <c r="C102" s="15" t="str">
        <f aca="false">IF($A102="","",COUNTIF('Daily tracking'!$D$2:$D$2001,$A102))</f>
        <v/>
      </c>
      <c r="D102" s="16" t="str">
        <f aca="false">IF($A102="","",SUMIF('Daily tracking'!$D$2:$D$2001,$A102,'Daily tracking'!$G$2:$G$2001))</f>
        <v/>
      </c>
      <c r="E102" s="18" t="str">
        <f aca="false">IF($A102="","",IF($C102=0,"",_xlfn.MAXIFS('Daily tracking'!$A$2:$A$2001,'Daily tracking'!$D$2:$D$2001,$A102)))</f>
        <v/>
      </c>
      <c r="F102" s="6" t="str">
        <f aca="true">IF(OR($A102="",$E102=""),"",TODAY()-$E102)</f>
        <v/>
      </c>
      <c r="G102" s="3" t="str">
        <f aca="false">IF($A102="","",IF($C102=0,"No visits",IF($F102&gt;90,"Lapsed",IF($F102&gt;35,"At risk",IF($C102&gt;=4,"Loyal","Active")))))</f>
        <v/>
      </c>
      <c r="H102" s="9" t="str">
        <f aca="false">IF(OR($A102="",$C102=0),"",$D102/$C102)</f>
        <v/>
      </c>
      <c r="I102" s="20"/>
      <c r="J102" s="20"/>
      <c r="K102" s="19"/>
      <c r="L102" s="19"/>
      <c r="M102" s="19"/>
      <c r="N102" s="15" t="str">
        <f aca="false">IF($A102="","",IF($C102=0,0,(IF($F102&lt;=15,5,IF($F102&lt;=30,4,IF($F102&lt;=45,3,IF($F102&lt;=90,2,1))))+IF($C102&gt;=10,5,IF($C102&gt;=6,4,IF($C102&gt;=4,3,IF($C102&gt;=2,2,1))))+IF($D102&gt;=20000,5,IF($D102&gt;=10000,4,IF($D102&gt;=5000,3,IF($D102&gt;=2000,2,1)))))))</f>
        <v/>
      </c>
      <c r="O102" s="3" t="str">
        <f aca="false">IF($A102="","",IF($C102=0,"No visits",IF($N102&gt;=13,"VIP",IF($N102&gt;=10,"High value",IF($N102&gt;=7,"Regular",IF($N102&gt;=4,"Occasional","Low"))))))</f>
        <v/>
      </c>
      <c r="P102" s="6" t="str">
        <f aca="true">IF(OR($A102="",$I102=""),"",IF(MONTH($I102)=MONTH(TODAY()),"Yes",""))</f>
        <v/>
      </c>
      <c r="Q102" s="21" t="str">
        <f aca="false">IF($A102="","",IF($C102=0,"",_xlfn.MINIFS('Daily tracking'!$A$2:$A$2001,'Daily tracking'!$D$2:$D$2001,$A102)))</f>
        <v/>
      </c>
      <c r="R102" s="6" t="str">
        <f aca="false">IF(OR($A102="",$C102&lt;2),"",($E102-$Q102)/($C102-1))</f>
        <v/>
      </c>
    </row>
    <row r="103" customFormat="false" ht="14.25" hidden="false" customHeight="false" outlineLevel="0" collapsed="false">
      <c r="A103" s="19"/>
      <c r="B103" s="19"/>
      <c r="C103" s="15" t="str">
        <f aca="false">IF($A103="","",COUNTIF('Daily tracking'!$D$2:$D$2001,$A103))</f>
        <v/>
      </c>
      <c r="D103" s="16" t="str">
        <f aca="false">IF($A103="","",SUMIF('Daily tracking'!$D$2:$D$2001,$A103,'Daily tracking'!$G$2:$G$2001))</f>
        <v/>
      </c>
      <c r="E103" s="18" t="str">
        <f aca="false">IF($A103="","",IF($C103=0,"",_xlfn.MAXIFS('Daily tracking'!$A$2:$A$2001,'Daily tracking'!$D$2:$D$2001,$A103)))</f>
        <v/>
      </c>
      <c r="F103" s="6" t="str">
        <f aca="true">IF(OR($A103="",$E103=""),"",TODAY()-$E103)</f>
        <v/>
      </c>
      <c r="G103" s="3" t="str">
        <f aca="false">IF($A103="","",IF($C103=0,"No visits",IF($F103&gt;90,"Lapsed",IF($F103&gt;35,"At risk",IF($C103&gt;=4,"Loyal","Active")))))</f>
        <v/>
      </c>
      <c r="H103" s="9" t="str">
        <f aca="false">IF(OR($A103="",$C103=0),"",$D103/$C103)</f>
        <v/>
      </c>
      <c r="I103" s="20"/>
      <c r="J103" s="20"/>
      <c r="K103" s="19"/>
      <c r="L103" s="19"/>
      <c r="M103" s="19"/>
      <c r="N103" s="15" t="str">
        <f aca="false">IF($A103="","",IF($C103=0,0,(IF($F103&lt;=15,5,IF($F103&lt;=30,4,IF($F103&lt;=45,3,IF($F103&lt;=90,2,1))))+IF($C103&gt;=10,5,IF($C103&gt;=6,4,IF($C103&gt;=4,3,IF($C103&gt;=2,2,1))))+IF($D103&gt;=20000,5,IF($D103&gt;=10000,4,IF($D103&gt;=5000,3,IF($D103&gt;=2000,2,1)))))))</f>
        <v/>
      </c>
      <c r="O103" s="3" t="str">
        <f aca="false">IF($A103="","",IF($C103=0,"No visits",IF($N103&gt;=13,"VIP",IF($N103&gt;=10,"High value",IF($N103&gt;=7,"Regular",IF($N103&gt;=4,"Occasional","Low"))))))</f>
        <v/>
      </c>
      <c r="P103" s="6" t="str">
        <f aca="true">IF(OR($A103="",$I103=""),"",IF(MONTH($I103)=MONTH(TODAY()),"Yes",""))</f>
        <v/>
      </c>
      <c r="Q103" s="21" t="str">
        <f aca="false">IF($A103="","",IF($C103=0,"",_xlfn.MINIFS('Daily tracking'!$A$2:$A$2001,'Daily tracking'!$D$2:$D$2001,$A103)))</f>
        <v/>
      </c>
      <c r="R103" s="6" t="str">
        <f aca="false">IF(OR($A103="",$C103&lt;2),"",($E103-$Q103)/($C103-1))</f>
        <v/>
      </c>
    </row>
    <row r="104" customFormat="false" ht="14.25" hidden="false" customHeight="false" outlineLevel="0" collapsed="false">
      <c r="A104" s="19"/>
      <c r="B104" s="19"/>
      <c r="C104" s="15" t="str">
        <f aca="false">IF($A104="","",COUNTIF('Daily tracking'!$D$2:$D$2001,$A104))</f>
        <v/>
      </c>
      <c r="D104" s="16" t="str">
        <f aca="false">IF($A104="","",SUMIF('Daily tracking'!$D$2:$D$2001,$A104,'Daily tracking'!$G$2:$G$2001))</f>
        <v/>
      </c>
      <c r="E104" s="18" t="str">
        <f aca="false">IF($A104="","",IF($C104=0,"",_xlfn.MAXIFS('Daily tracking'!$A$2:$A$2001,'Daily tracking'!$D$2:$D$2001,$A104)))</f>
        <v/>
      </c>
      <c r="F104" s="6" t="str">
        <f aca="true">IF(OR($A104="",$E104=""),"",TODAY()-$E104)</f>
        <v/>
      </c>
      <c r="G104" s="3" t="str">
        <f aca="false">IF($A104="","",IF($C104=0,"No visits",IF($F104&gt;90,"Lapsed",IF($F104&gt;35,"At risk",IF($C104&gt;=4,"Loyal","Active")))))</f>
        <v/>
      </c>
      <c r="H104" s="9" t="str">
        <f aca="false">IF(OR($A104="",$C104=0),"",$D104/$C104)</f>
        <v/>
      </c>
      <c r="I104" s="20"/>
      <c r="J104" s="20"/>
      <c r="K104" s="19"/>
      <c r="L104" s="19"/>
      <c r="M104" s="19"/>
      <c r="N104" s="15" t="str">
        <f aca="false">IF($A104="","",IF($C104=0,0,(IF($F104&lt;=15,5,IF($F104&lt;=30,4,IF($F104&lt;=45,3,IF($F104&lt;=90,2,1))))+IF($C104&gt;=10,5,IF($C104&gt;=6,4,IF($C104&gt;=4,3,IF($C104&gt;=2,2,1))))+IF($D104&gt;=20000,5,IF($D104&gt;=10000,4,IF($D104&gt;=5000,3,IF($D104&gt;=2000,2,1)))))))</f>
        <v/>
      </c>
      <c r="O104" s="3" t="str">
        <f aca="false">IF($A104="","",IF($C104=0,"No visits",IF($N104&gt;=13,"VIP",IF($N104&gt;=10,"High value",IF($N104&gt;=7,"Regular",IF($N104&gt;=4,"Occasional","Low"))))))</f>
        <v/>
      </c>
      <c r="P104" s="6" t="str">
        <f aca="true">IF(OR($A104="",$I104=""),"",IF(MONTH($I104)=MONTH(TODAY()),"Yes",""))</f>
        <v/>
      </c>
      <c r="Q104" s="21" t="str">
        <f aca="false">IF($A104="","",IF($C104=0,"",_xlfn.MINIFS('Daily tracking'!$A$2:$A$2001,'Daily tracking'!$D$2:$D$2001,$A104)))</f>
        <v/>
      </c>
      <c r="R104" s="6" t="str">
        <f aca="false">IF(OR($A104="",$C104&lt;2),"",($E104-$Q104)/($C104-1))</f>
        <v/>
      </c>
    </row>
    <row r="105" customFormat="false" ht="14.25" hidden="false" customHeight="false" outlineLevel="0" collapsed="false">
      <c r="A105" s="19"/>
      <c r="B105" s="19"/>
      <c r="C105" s="15" t="str">
        <f aca="false">IF($A105="","",COUNTIF('Daily tracking'!$D$2:$D$2001,$A105))</f>
        <v/>
      </c>
      <c r="D105" s="16" t="str">
        <f aca="false">IF($A105="","",SUMIF('Daily tracking'!$D$2:$D$2001,$A105,'Daily tracking'!$G$2:$G$2001))</f>
        <v/>
      </c>
      <c r="E105" s="18" t="str">
        <f aca="false">IF($A105="","",IF($C105=0,"",_xlfn.MAXIFS('Daily tracking'!$A$2:$A$2001,'Daily tracking'!$D$2:$D$2001,$A105)))</f>
        <v/>
      </c>
      <c r="F105" s="6" t="str">
        <f aca="true">IF(OR($A105="",$E105=""),"",TODAY()-$E105)</f>
        <v/>
      </c>
      <c r="G105" s="3" t="str">
        <f aca="false">IF($A105="","",IF($C105=0,"No visits",IF($F105&gt;90,"Lapsed",IF($F105&gt;35,"At risk",IF($C105&gt;=4,"Loyal","Active")))))</f>
        <v/>
      </c>
      <c r="H105" s="9" t="str">
        <f aca="false">IF(OR($A105="",$C105=0),"",$D105/$C105)</f>
        <v/>
      </c>
      <c r="I105" s="20"/>
      <c r="J105" s="20"/>
      <c r="K105" s="19"/>
      <c r="L105" s="19"/>
      <c r="M105" s="19"/>
      <c r="N105" s="15" t="str">
        <f aca="false">IF($A105="","",IF($C105=0,0,(IF($F105&lt;=15,5,IF($F105&lt;=30,4,IF($F105&lt;=45,3,IF($F105&lt;=90,2,1))))+IF($C105&gt;=10,5,IF($C105&gt;=6,4,IF($C105&gt;=4,3,IF($C105&gt;=2,2,1))))+IF($D105&gt;=20000,5,IF($D105&gt;=10000,4,IF($D105&gt;=5000,3,IF($D105&gt;=2000,2,1)))))))</f>
        <v/>
      </c>
      <c r="O105" s="3" t="str">
        <f aca="false">IF($A105="","",IF($C105=0,"No visits",IF($N105&gt;=13,"VIP",IF($N105&gt;=10,"High value",IF($N105&gt;=7,"Regular",IF($N105&gt;=4,"Occasional","Low"))))))</f>
        <v/>
      </c>
      <c r="P105" s="6" t="str">
        <f aca="true">IF(OR($A105="",$I105=""),"",IF(MONTH($I105)=MONTH(TODAY()),"Yes",""))</f>
        <v/>
      </c>
      <c r="Q105" s="21" t="str">
        <f aca="false">IF($A105="","",IF($C105=0,"",_xlfn.MINIFS('Daily tracking'!$A$2:$A$2001,'Daily tracking'!$D$2:$D$2001,$A105)))</f>
        <v/>
      </c>
      <c r="R105" s="6" t="str">
        <f aca="false">IF(OR($A105="",$C105&lt;2),"",($E105-$Q105)/($C105-1))</f>
        <v/>
      </c>
    </row>
    <row r="106" customFormat="false" ht="14.25" hidden="false" customHeight="false" outlineLevel="0" collapsed="false">
      <c r="A106" s="19"/>
      <c r="B106" s="19"/>
      <c r="C106" s="15" t="str">
        <f aca="false">IF($A106="","",COUNTIF('Daily tracking'!$D$2:$D$2001,$A106))</f>
        <v/>
      </c>
      <c r="D106" s="16" t="str">
        <f aca="false">IF($A106="","",SUMIF('Daily tracking'!$D$2:$D$2001,$A106,'Daily tracking'!$G$2:$G$2001))</f>
        <v/>
      </c>
      <c r="E106" s="18" t="str">
        <f aca="false">IF($A106="","",IF($C106=0,"",_xlfn.MAXIFS('Daily tracking'!$A$2:$A$2001,'Daily tracking'!$D$2:$D$2001,$A106)))</f>
        <v/>
      </c>
      <c r="F106" s="6" t="str">
        <f aca="true">IF(OR($A106="",$E106=""),"",TODAY()-$E106)</f>
        <v/>
      </c>
      <c r="G106" s="3" t="str">
        <f aca="false">IF($A106="","",IF($C106=0,"No visits",IF($F106&gt;90,"Lapsed",IF($F106&gt;35,"At risk",IF($C106&gt;=4,"Loyal","Active")))))</f>
        <v/>
      </c>
      <c r="H106" s="9" t="str">
        <f aca="false">IF(OR($A106="",$C106=0),"",$D106/$C106)</f>
        <v/>
      </c>
      <c r="I106" s="20"/>
      <c r="J106" s="20"/>
      <c r="K106" s="19"/>
      <c r="L106" s="19"/>
      <c r="M106" s="19"/>
      <c r="N106" s="15" t="str">
        <f aca="false">IF($A106="","",IF($C106=0,0,(IF($F106&lt;=15,5,IF($F106&lt;=30,4,IF($F106&lt;=45,3,IF($F106&lt;=90,2,1))))+IF($C106&gt;=10,5,IF($C106&gt;=6,4,IF($C106&gt;=4,3,IF($C106&gt;=2,2,1))))+IF($D106&gt;=20000,5,IF($D106&gt;=10000,4,IF($D106&gt;=5000,3,IF($D106&gt;=2000,2,1)))))))</f>
        <v/>
      </c>
      <c r="O106" s="3" t="str">
        <f aca="false">IF($A106="","",IF($C106=0,"No visits",IF($N106&gt;=13,"VIP",IF($N106&gt;=10,"High value",IF($N106&gt;=7,"Regular",IF($N106&gt;=4,"Occasional","Low"))))))</f>
        <v/>
      </c>
      <c r="P106" s="6" t="str">
        <f aca="true">IF(OR($A106="",$I106=""),"",IF(MONTH($I106)=MONTH(TODAY()),"Yes",""))</f>
        <v/>
      </c>
      <c r="Q106" s="21" t="str">
        <f aca="false">IF($A106="","",IF($C106=0,"",_xlfn.MINIFS('Daily tracking'!$A$2:$A$2001,'Daily tracking'!$D$2:$D$2001,$A106)))</f>
        <v/>
      </c>
      <c r="R106" s="6" t="str">
        <f aca="false">IF(OR($A106="",$C106&lt;2),"",($E106-$Q106)/($C106-1))</f>
        <v/>
      </c>
    </row>
    <row r="107" customFormat="false" ht="14.25" hidden="false" customHeight="false" outlineLevel="0" collapsed="false">
      <c r="A107" s="19"/>
      <c r="B107" s="19"/>
      <c r="C107" s="15" t="str">
        <f aca="false">IF($A107="","",COUNTIF('Daily tracking'!$D$2:$D$2001,$A107))</f>
        <v/>
      </c>
      <c r="D107" s="16" t="str">
        <f aca="false">IF($A107="","",SUMIF('Daily tracking'!$D$2:$D$2001,$A107,'Daily tracking'!$G$2:$G$2001))</f>
        <v/>
      </c>
      <c r="E107" s="18" t="str">
        <f aca="false">IF($A107="","",IF($C107=0,"",_xlfn.MAXIFS('Daily tracking'!$A$2:$A$2001,'Daily tracking'!$D$2:$D$2001,$A107)))</f>
        <v/>
      </c>
      <c r="F107" s="6" t="str">
        <f aca="true">IF(OR($A107="",$E107=""),"",TODAY()-$E107)</f>
        <v/>
      </c>
      <c r="G107" s="3" t="str">
        <f aca="false">IF($A107="","",IF($C107=0,"No visits",IF($F107&gt;90,"Lapsed",IF($F107&gt;35,"At risk",IF($C107&gt;=4,"Loyal","Active")))))</f>
        <v/>
      </c>
      <c r="H107" s="9" t="str">
        <f aca="false">IF(OR($A107="",$C107=0),"",$D107/$C107)</f>
        <v/>
      </c>
      <c r="I107" s="20"/>
      <c r="J107" s="20"/>
      <c r="K107" s="19"/>
      <c r="L107" s="19"/>
      <c r="M107" s="19"/>
      <c r="N107" s="15" t="str">
        <f aca="false">IF($A107="","",IF($C107=0,0,(IF($F107&lt;=15,5,IF($F107&lt;=30,4,IF($F107&lt;=45,3,IF($F107&lt;=90,2,1))))+IF($C107&gt;=10,5,IF($C107&gt;=6,4,IF($C107&gt;=4,3,IF($C107&gt;=2,2,1))))+IF($D107&gt;=20000,5,IF($D107&gt;=10000,4,IF($D107&gt;=5000,3,IF($D107&gt;=2000,2,1)))))))</f>
        <v/>
      </c>
      <c r="O107" s="3" t="str">
        <f aca="false">IF($A107="","",IF($C107=0,"No visits",IF($N107&gt;=13,"VIP",IF($N107&gt;=10,"High value",IF($N107&gt;=7,"Regular",IF($N107&gt;=4,"Occasional","Low"))))))</f>
        <v/>
      </c>
      <c r="P107" s="6" t="str">
        <f aca="true">IF(OR($A107="",$I107=""),"",IF(MONTH($I107)=MONTH(TODAY()),"Yes",""))</f>
        <v/>
      </c>
      <c r="Q107" s="21" t="str">
        <f aca="false">IF($A107="","",IF($C107=0,"",_xlfn.MINIFS('Daily tracking'!$A$2:$A$2001,'Daily tracking'!$D$2:$D$2001,$A107)))</f>
        <v/>
      </c>
      <c r="R107" s="6" t="str">
        <f aca="false">IF(OR($A107="",$C107&lt;2),"",($E107-$Q107)/($C107-1))</f>
        <v/>
      </c>
    </row>
    <row r="108" customFormat="false" ht="14.25" hidden="false" customHeight="false" outlineLevel="0" collapsed="false">
      <c r="A108" s="19"/>
      <c r="B108" s="19"/>
      <c r="C108" s="15" t="str">
        <f aca="false">IF($A108="","",COUNTIF('Daily tracking'!$D$2:$D$2001,$A108))</f>
        <v/>
      </c>
      <c r="D108" s="16" t="str">
        <f aca="false">IF($A108="","",SUMIF('Daily tracking'!$D$2:$D$2001,$A108,'Daily tracking'!$G$2:$G$2001))</f>
        <v/>
      </c>
      <c r="E108" s="18" t="str">
        <f aca="false">IF($A108="","",IF($C108=0,"",_xlfn.MAXIFS('Daily tracking'!$A$2:$A$2001,'Daily tracking'!$D$2:$D$2001,$A108)))</f>
        <v/>
      </c>
      <c r="F108" s="6" t="str">
        <f aca="true">IF(OR($A108="",$E108=""),"",TODAY()-$E108)</f>
        <v/>
      </c>
      <c r="G108" s="3" t="str">
        <f aca="false">IF($A108="","",IF($C108=0,"No visits",IF($F108&gt;90,"Lapsed",IF($F108&gt;35,"At risk",IF($C108&gt;=4,"Loyal","Active")))))</f>
        <v/>
      </c>
      <c r="H108" s="9" t="str">
        <f aca="false">IF(OR($A108="",$C108=0),"",$D108/$C108)</f>
        <v/>
      </c>
      <c r="I108" s="20"/>
      <c r="J108" s="20"/>
      <c r="K108" s="19"/>
      <c r="L108" s="19"/>
      <c r="M108" s="19"/>
      <c r="N108" s="15" t="str">
        <f aca="false">IF($A108="","",IF($C108=0,0,(IF($F108&lt;=15,5,IF($F108&lt;=30,4,IF($F108&lt;=45,3,IF($F108&lt;=90,2,1))))+IF($C108&gt;=10,5,IF($C108&gt;=6,4,IF($C108&gt;=4,3,IF($C108&gt;=2,2,1))))+IF($D108&gt;=20000,5,IF($D108&gt;=10000,4,IF($D108&gt;=5000,3,IF($D108&gt;=2000,2,1)))))))</f>
        <v/>
      </c>
      <c r="O108" s="3" t="str">
        <f aca="false">IF($A108="","",IF($C108=0,"No visits",IF($N108&gt;=13,"VIP",IF($N108&gt;=10,"High value",IF($N108&gt;=7,"Regular",IF($N108&gt;=4,"Occasional","Low"))))))</f>
        <v/>
      </c>
      <c r="P108" s="6" t="str">
        <f aca="true">IF(OR($A108="",$I108=""),"",IF(MONTH($I108)=MONTH(TODAY()),"Yes",""))</f>
        <v/>
      </c>
      <c r="Q108" s="21" t="str">
        <f aca="false">IF($A108="","",IF($C108=0,"",_xlfn.MINIFS('Daily tracking'!$A$2:$A$2001,'Daily tracking'!$D$2:$D$2001,$A108)))</f>
        <v/>
      </c>
      <c r="R108" s="6" t="str">
        <f aca="false">IF(OR($A108="",$C108&lt;2),"",($E108-$Q108)/($C108-1))</f>
        <v/>
      </c>
    </row>
    <row r="109" customFormat="false" ht="14.25" hidden="false" customHeight="false" outlineLevel="0" collapsed="false">
      <c r="A109" s="19"/>
      <c r="B109" s="19"/>
      <c r="C109" s="15" t="str">
        <f aca="false">IF($A109="","",COUNTIF('Daily tracking'!$D$2:$D$2001,$A109))</f>
        <v/>
      </c>
      <c r="D109" s="16" t="str">
        <f aca="false">IF($A109="","",SUMIF('Daily tracking'!$D$2:$D$2001,$A109,'Daily tracking'!$G$2:$G$2001))</f>
        <v/>
      </c>
      <c r="E109" s="18" t="str">
        <f aca="false">IF($A109="","",IF($C109=0,"",_xlfn.MAXIFS('Daily tracking'!$A$2:$A$2001,'Daily tracking'!$D$2:$D$2001,$A109)))</f>
        <v/>
      </c>
      <c r="F109" s="6" t="str">
        <f aca="true">IF(OR($A109="",$E109=""),"",TODAY()-$E109)</f>
        <v/>
      </c>
      <c r="G109" s="3" t="str">
        <f aca="false">IF($A109="","",IF($C109=0,"No visits",IF($F109&gt;90,"Lapsed",IF($F109&gt;35,"At risk",IF($C109&gt;=4,"Loyal","Active")))))</f>
        <v/>
      </c>
      <c r="H109" s="9" t="str">
        <f aca="false">IF(OR($A109="",$C109=0),"",$D109/$C109)</f>
        <v/>
      </c>
      <c r="I109" s="20"/>
      <c r="J109" s="20"/>
      <c r="K109" s="19"/>
      <c r="L109" s="19"/>
      <c r="M109" s="19"/>
      <c r="N109" s="15" t="str">
        <f aca="false">IF($A109="","",IF($C109=0,0,(IF($F109&lt;=15,5,IF($F109&lt;=30,4,IF($F109&lt;=45,3,IF($F109&lt;=90,2,1))))+IF($C109&gt;=10,5,IF($C109&gt;=6,4,IF($C109&gt;=4,3,IF($C109&gt;=2,2,1))))+IF($D109&gt;=20000,5,IF($D109&gt;=10000,4,IF($D109&gt;=5000,3,IF($D109&gt;=2000,2,1)))))))</f>
        <v/>
      </c>
      <c r="O109" s="3" t="str">
        <f aca="false">IF($A109="","",IF($C109=0,"No visits",IF($N109&gt;=13,"VIP",IF($N109&gt;=10,"High value",IF($N109&gt;=7,"Regular",IF($N109&gt;=4,"Occasional","Low"))))))</f>
        <v/>
      </c>
      <c r="P109" s="6" t="str">
        <f aca="true">IF(OR($A109="",$I109=""),"",IF(MONTH($I109)=MONTH(TODAY()),"Yes",""))</f>
        <v/>
      </c>
      <c r="Q109" s="21" t="str">
        <f aca="false">IF($A109="","",IF($C109=0,"",_xlfn.MINIFS('Daily tracking'!$A$2:$A$2001,'Daily tracking'!$D$2:$D$2001,$A109)))</f>
        <v/>
      </c>
      <c r="R109" s="6" t="str">
        <f aca="false">IF(OR($A109="",$C109&lt;2),"",($E109-$Q109)/($C109-1))</f>
        <v/>
      </c>
    </row>
    <row r="110" customFormat="false" ht="14.25" hidden="false" customHeight="false" outlineLevel="0" collapsed="false">
      <c r="A110" s="19"/>
      <c r="B110" s="19"/>
      <c r="C110" s="15" t="str">
        <f aca="false">IF($A110="","",COUNTIF('Daily tracking'!$D$2:$D$2001,$A110))</f>
        <v/>
      </c>
      <c r="D110" s="16" t="str">
        <f aca="false">IF($A110="","",SUMIF('Daily tracking'!$D$2:$D$2001,$A110,'Daily tracking'!$G$2:$G$2001))</f>
        <v/>
      </c>
      <c r="E110" s="18" t="str">
        <f aca="false">IF($A110="","",IF($C110=0,"",_xlfn.MAXIFS('Daily tracking'!$A$2:$A$2001,'Daily tracking'!$D$2:$D$2001,$A110)))</f>
        <v/>
      </c>
      <c r="F110" s="6" t="str">
        <f aca="true">IF(OR($A110="",$E110=""),"",TODAY()-$E110)</f>
        <v/>
      </c>
      <c r="G110" s="3" t="str">
        <f aca="false">IF($A110="","",IF($C110=0,"No visits",IF($F110&gt;90,"Lapsed",IF($F110&gt;35,"At risk",IF($C110&gt;=4,"Loyal","Active")))))</f>
        <v/>
      </c>
      <c r="H110" s="9" t="str">
        <f aca="false">IF(OR($A110="",$C110=0),"",$D110/$C110)</f>
        <v/>
      </c>
      <c r="I110" s="20"/>
      <c r="J110" s="20"/>
      <c r="K110" s="19"/>
      <c r="L110" s="19"/>
      <c r="M110" s="19"/>
      <c r="N110" s="15" t="str">
        <f aca="false">IF($A110="","",IF($C110=0,0,(IF($F110&lt;=15,5,IF($F110&lt;=30,4,IF($F110&lt;=45,3,IF($F110&lt;=90,2,1))))+IF($C110&gt;=10,5,IF($C110&gt;=6,4,IF($C110&gt;=4,3,IF($C110&gt;=2,2,1))))+IF($D110&gt;=20000,5,IF($D110&gt;=10000,4,IF($D110&gt;=5000,3,IF($D110&gt;=2000,2,1)))))))</f>
        <v/>
      </c>
      <c r="O110" s="3" t="str">
        <f aca="false">IF($A110="","",IF($C110=0,"No visits",IF($N110&gt;=13,"VIP",IF($N110&gt;=10,"High value",IF($N110&gt;=7,"Regular",IF($N110&gt;=4,"Occasional","Low"))))))</f>
        <v/>
      </c>
      <c r="P110" s="6" t="str">
        <f aca="true">IF(OR($A110="",$I110=""),"",IF(MONTH($I110)=MONTH(TODAY()),"Yes",""))</f>
        <v/>
      </c>
      <c r="Q110" s="21" t="str">
        <f aca="false">IF($A110="","",IF($C110=0,"",_xlfn.MINIFS('Daily tracking'!$A$2:$A$2001,'Daily tracking'!$D$2:$D$2001,$A110)))</f>
        <v/>
      </c>
      <c r="R110" s="6" t="str">
        <f aca="false">IF(OR($A110="",$C110&lt;2),"",($E110-$Q110)/($C110-1))</f>
        <v/>
      </c>
    </row>
    <row r="111" customFormat="false" ht="14.25" hidden="false" customHeight="false" outlineLevel="0" collapsed="false">
      <c r="A111" s="19"/>
      <c r="B111" s="19"/>
      <c r="C111" s="15" t="str">
        <f aca="false">IF($A111="","",COUNTIF('Daily tracking'!$D$2:$D$2001,$A111))</f>
        <v/>
      </c>
      <c r="D111" s="16" t="str">
        <f aca="false">IF($A111="","",SUMIF('Daily tracking'!$D$2:$D$2001,$A111,'Daily tracking'!$G$2:$G$2001))</f>
        <v/>
      </c>
      <c r="E111" s="18" t="str">
        <f aca="false">IF($A111="","",IF($C111=0,"",_xlfn.MAXIFS('Daily tracking'!$A$2:$A$2001,'Daily tracking'!$D$2:$D$2001,$A111)))</f>
        <v/>
      </c>
      <c r="F111" s="6" t="str">
        <f aca="true">IF(OR($A111="",$E111=""),"",TODAY()-$E111)</f>
        <v/>
      </c>
      <c r="G111" s="3" t="str">
        <f aca="false">IF($A111="","",IF($C111=0,"No visits",IF($F111&gt;90,"Lapsed",IF($F111&gt;35,"At risk",IF($C111&gt;=4,"Loyal","Active")))))</f>
        <v/>
      </c>
      <c r="H111" s="9" t="str">
        <f aca="false">IF(OR($A111="",$C111=0),"",$D111/$C111)</f>
        <v/>
      </c>
      <c r="I111" s="20"/>
      <c r="J111" s="20"/>
      <c r="K111" s="19"/>
      <c r="L111" s="19"/>
      <c r="M111" s="19"/>
      <c r="N111" s="15" t="str">
        <f aca="false">IF($A111="","",IF($C111=0,0,(IF($F111&lt;=15,5,IF($F111&lt;=30,4,IF($F111&lt;=45,3,IF($F111&lt;=90,2,1))))+IF($C111&gt;=10,5,IF($C111&gt;=6,4,IF($C111&gt;=4,3,IF($C111&gt;=2,2,1))))+IF($D111&gt;=20000,5,IF($D111&gt;=10000,4,IF($D111&gt;=5000,3,IF($D111&gt;=2000,2,1)))))))</f>
        <v/>
      </c>
      <c r="O111" s="3" t="str">
        <f aca="false">IF($A111="","",IF($C111=0,"No visits",IF($N111&gt;=13,"VIP",IF($N111&gt;=10,"High value",IF($N111&gt;=7,"Regular",IF($N111&gt;=4,"Occasional","Low"))))))</f>
        <v/>
      </c>
      <c r="P111" s="6" t="str">
        <f aca="true">IF(OR($A111="",$I111=""),"",IF(MONTH($I111)=MONTH(TODAY()),"Yes",""))</f>
        <v/>
      </c>
      <c r="Q111" s="21" t="str">
        <f aca="false">IF($A111="","",IF($C111=0,"",_xlfn.MINIFS('Daily tracking'!$A$2:$A$2001,'Daily tracking'!$D$2:$D$2001,$A111)))</f>
        <v/>
      </c>
      <c r="R111" s="6" t="str">
        <f aca="false">IF(OR($A111="",$C111&lt;2),"",($E111-$Q111)/($C111-1))</f>
        <v/>
      </c>
    </row>
    <row r="112" customFormat="false" ht="14.25" hidden="false" customHeight="false" outlineLevel="0" collapsed="false">
      <c r="A112" s="19"/>
      <c r="B112" s="19"/>
      <c r="C112" s="15" t="str">
        <f aca="false">IF($A112="","",COUNTIF('Daily tracking'!$D$2:$D$2001,$A112))</f>
        <v/>
      </c>
      <c r="D112" s="16" t="str">
        <f aca="false">IF($A112="","",SUMIF('Daily tracking'!$D$2:$D$2001,$A112,'Daily tracking'!$G$2:$G$2001))</f>
        <v/>
      </c>
      <c r="E112" s="18" t="str">
        <f aca="false">IF($A112="","",IF($C112=0,"",_xlfn.MAXIFS('Daily tracking'!$A$2:$A$2001,'Daily tracking'!$D$2:$D$2001,$A112)))</f>
        <v/>
      </c>
      <c r="F112" s="6" t="str">
        <f aca="true">IF(OR($A112="",$E112=""),"",TODAY()-$E112)</f>
        <v/>
      </c>
      <c r="G112" s="3" t="str">
        <f aca="false">IF($A112="","",IF($C112=0,"No visits",IF($F112&gt;90,"Lapsed",IF($F112&gt;35,"At risk",IF($C112&gt;=4,"Loyal","Active")))))</f>
        <v/>
      </c>
      <c r="H112" s="9" t="str">
        <f aca="false">IF(OR($A112="",$C112=0),"",$D112/$C112)</f>
        <v/>
      </c>
      <c r="I112" s="20"/>
      <c r="J112" s="20"/>
      <c r="K112" s="19"/>
      <c r="L112" s="19"/>
      <c r="M112" s="19"/>
      <c r="N112" s="15" t="str">
        <f aca="false">IF($A112="","",IF($C112=0,0,(IF($F112&lt;=15,5,IF($F112&lt;=30,4,IF($F112&lt;=45,3,IF($F112&lt;=90,2,1))))+IF($C112&gt;=10,5,IF($C112&gt;=6,4,IF($C112&gt;=4,3,IF($C112&gt;=2,2,1))))+IF($D112&gt;=20000,5,IF($D112&gt;=10000,4,IF($D112&gt;=5000,3,IF($D112&gt;=2000,2,1)))))))</f>
        <v/>
      </c>
      <c r="O112" s="3" t="str">
        <f aca="false">IF($A112="","",IF($C112=0,"No visits",IF($N112&gt;=13,"VIP",IF($N112&gt;=10,"High value",IF($N112&gt;=7,"Regular",IF($N112&gt;=4,"Occasional","Low"))))))</f>
        <v/>
      </c>
      <c r="P112" s="6" t="str">
        <f aca="true">IF(OR($A112="",$I112=""),"",IF(MONTH($I112)=MONTH(TODAY()),"Yes",""))</f>
        <v/>
      </c>
      <c r="Q112" s="21" t="str">
        <f aca="false">IF($A112="","",IF($C112=0,"",_xlfn.MINIFS('Daily tracking'!$A$2:$A$2001,'Daily tracking'!$D$2:$D$2001,$A112)))</f>
        <v/>
      </c>
      <c r="R112" s="6" t="str">
        <f aca="false">IF(OR($A112="",$C112&lt;2),"",($E112-$Q112)/($C112-1))</f>
        <v/>
      </c>
    </row>
    <row r="113" customFormat="false" ht="14.25" hidden="false" customHeight="false" outlineLevel="0" collapsed="false">
      <c r="A113" s="19"/>
      <c r="B113" s="19"/>
      <c r="C113" s="15" t="str">
        <f aca="false">IF($A113="","",COUNTIF('Daily tracking'!$D$2:$D$2001,$A113))</f>
        <v/>
      </c>
      <c r="D113" s="16" t="str">
        <f aca="false">IF($A113="","",SUMIF('Daily tracking'!$D$2:$D$2001,$A113,'Daily tracking'!$G$2:$G$2001))</f>
        <v/>
      </c>
      <c r="E113" s="18" t="str">
        <f aca="false">IF($A113="","",IF($C113=0,"",_xlfn.MAXIFS('Daily tracking'!$A$2:$A$2001,'Daily tracking'!$D$2:$D$2001,$A113)))</f>
        <v/>
      </c>
      <c r="F113" s="6" t="str">
        <f aca="true">IF(OR($A113="",$E113=""),"",TODAY()-$E113)</f>
        <v/>
      </c>
      <c r="G113" s="3" t="str">
        <f aca="false">IF($A113="","",IF($C113=0,"No visits",IF($F113&gt;90,"Lapsed",IF($F113&gt;35,"At risk",IF($C113&gt;=4,"Loyal","Active")))))</f>
        <v/>
      </c>
      <c r="H113" s="9" t="str">
        <f aca="false">IF(OR($A113="",$C113=0),"",$D113/$C113)</f>
        <v/>
      </c>
      <c r="I113" s="20"/>
      <c r="J113" s="20"/>
      <c r="K113" s="19"/>
      <c r="L113" s="19"/>
      <c r="M113" s="19"/>
      <c r="N113" s="15" t="str">
        <f aca="false">IF($A113="","",IF($C113=0,0,(IF($F113&lt;=15,5,IF($F113&lt;=30,4,IF($F113&lt;=45,3,IF($F113&lt;=90,2,1))))+IF($C113&gt;=10,5,IF($C113&gt;=6,4,IF($C113&gt;=4,3,IF($C113&gt;=2,2,1))))+IF($D113&gt;=20000,5,IF($D113&gt;=10000,4,IF($D113&gt;=5000,3,IF($D113&gt;=2000,2,1)))))))</f>
        <v/>
      </c>
      <c r="O113" s="3" t="str">
        <f aca="false">IF($A113="","",IF($C113=0,"No visits",IF($N113&gt;=13,"VIP",IF($N113&gt;=10,"High value",IF($N113&gt;=7,"Regular",IF($N113&gt;=4,"Occasional","Low"))))))</f>
        <v/>
      </c>
      <c r="P113" s="6" t="str">
        <f aca="true">IF(OR($A113="",$I113=""),"",IF(MONTH($I113)=MONTH(TODAY()),"Yes",""))</f>
        <v/>
      </c>
      <c r="Q113" s="21" t="str">
        <f aca="false">IF($A113="","",IF($C113=0,"",_xlfn.MINIFS('Daily tracking'!$A$2:$A$2001,'Daily tracking'!$D$2:$D$2001,$A113)))</f>
        <v/>
      </c>
      <c r="R113" s="6" t="str">
        <f aca="false">IF(OR($A113="",$C113&lt;2),"",($E113-$Q113)/($C113-1))</f>
        <v/>
      </c>
    </row>
    <row r="114" customFormat="false" ht="14.25" hidden="false" customHeight="false" outlineLevel="0" collapsed="false">
      <c r="A114" s="19"/>
      <c r="B114" s="19"/>
      <c r="C114" s="15" t="str">
        <f aca="false">IF($A114="","",COUNTIF('Daily tracking'!$D$2:$D$2001,$A114))</f>
        <v/>
      </c>
      <c r="D114" s="16" t="str">
        <f aca="false">IF($A114="","",SUMIF('Daily tracking'!$D$2:$D$2001,$A114,'Daily tracking'!$G$2:$G$2001))</f>
        <v/>
      </c>
      <c r="E114" s="18" t="str">
        <f aca="false">IF($A114="","",IF($C114=0,"",_xlfn.MAXIFS('Daily tracking'!$A$2:$A$2001,'Daily tracking'!$D$2:$D$2001,$A114)))</f>
        <v/>
      </c>
      <c r="F114" s="6" t="str">
        <f aca="true">IF(OR($A114="",$E114=""),"",TODAY()-$E114)</f>
        <v/>
      </c>
      <c r="G114" s="3" t="str">
        <f aca="false">IF($A114="","",IF($C114=0,"No visits",IF($F114&gt;90,"Lapsed",IF($F114&gt;35,"At risk",IF($C114&gt;=4,"Loyal","Active")))))</f>
        <v/>
      </c>
      <c r="H114" s="9" t="str">
        <f aca="false">IF(OR($A114="",$C114=0),"",$D114/$C114)</f>
        <v/>
      </c>
      <c r="I114" s="20"/>
      <c r="J114" s="20"/>
      <c r="K114" s="19"/>
      <c r="L114" s="19"/>
      <c r="M114" s="19"/>
      <c r="N114" s="15" t="str">
        <f aca="false">IF($A114="","",IF($C114=0,0,(IF($F114&lt;=15,5,IF($F114&lt;=30,4,IF($F114&lt;=45,3,IF($F114&lt;=90,2,1))))+IF($C114&gt;=10,5,IF($C114&gt;=6,4,IF($C114&gt;=4,3,IF($C114&gt;=2,2,1))))+IF($D114&gt;=20000,5,IF($D114&gt;=10000,4,IF($D114&gt;=5000,3,IF($D114&gt;=2000,2,1)))))))</f>
        <v/>
      </c>
      <c r="O114" s="3" t="str">
        <f aca="false">IF($A114="","",IF($C114=0,"No visits",IF($N114&gt;=13,"VIP",IF($N114&gt;=10,"High value",IF($N114&gt;=7,"Regular",IF($N114&gt;=4,"Occasional","Low"))))))</f>
        <v/>
      </c>
      <c r="P114" s="6" t="str">
        <f aca="true">IF(OR($A114="",$I114=""),"",IF(MONTH($I114)=MONTH(TODAY()),"Yes",""))</f>
        <v/>
      </c>
      <c r="Q114" s="21" t="str">
        <f aca="false">IF($A114="","",IF($C114=0,"",_xlfn.MINIFS('Daily tracking'!$A$2:$A$2001,'Daily tracking'!$D$2:$D$2001,$A114)))</f>
        <v/>
      </c>
      <c r="R114" s="6" t="str">
        <f aca="false">IF(OR($A114="",$C114&lt;2),"",($E114-$Q114)/($C114-1))</f>
        <v/>
      </c>
    </row>
    <row r="115" customFormat="false" ht="14.25" hidden="false" customHeight="false" outlineLevel="0" collapsed="false">
      <c r="A115" s="19"/>
      <c r="B115" s="19"/>
      <c r="C115" s="15" t="str">
        <f aca="false">IF($A115="","",COUNTIF('Daily tracking'!$D$2:$D$2001,$A115))</f>
        <v/>
      </c>
      <c r="D115" s="16" t="str">
        <f aca="false">IF($A115="","",SUMIF('Daily tracking'!$D$2:$D$2001,$A115,'Daily tracking'!$G$2:$G$2001))</f>
        <v/>
      </c>
      <c r="E115" s="18" t="str">
        <f aca="false">IF($A115="","",IF($C115=0,"",_xlfn.MAXIFS('Daily tracking'!$A$2:$A$2001,'Daily tracking'!$D$2:$D$2001,$A115)))</f>
        <v/>
      </c>
      <c r="F115" s="6" t="str">
        <f aca="true">IF(OR($A115="",$E115=""),"",TODAY()-$E115)</f>
        <v/>
      </c>
      <c r="G115" s="3" t="str">
        <f aca="false">IF($A115="","",IF($C115=0,"No visits",IF($F115&gt;90,"Lapsed",IF($F115&gt;35,"At risk",IF($C115&gt;=4,"Loyal","Active")))))</f>
        <v/>
      </c>
      <c r="H115" s="9" t="str">
        <f aca="false">IF(OR($A115="",$C115=0),"",$D115/$C115)</f>
        <v/>
      </c>
      <c r="I115" s="20"/>
      <c r="J115" s="20"/>
      <c r="K115" s="19"/>
      <c r="L115" s="19"/>
      <c r="M115" s="19"/>
      <c r="N115" s="15" t="str">
        <f aca="false">IF($A115="","",IF($C115=0,0,(IF($F115&lt;=15,5,IF($F115&lt;=30,4,IF($F115&lt;=45,3,IF($F115&lt;=90,2,1))))+IF($C115&gt;=10,5,IF($C115&gt;=6,4,IF($C115&gt;=4,3,IF($C115&gt;=2,2,1))))+IF($D115&gt;=20000,5,IF($D115&gt;=10000,4,IF($D115&gt;=5000,3,IF($D115&gt;=2000,2,1)))))))</f>
        <v/>
      </c>
      <c r="O115" s="3" t="str">
        <f aca="false">IF($A115="","",IF($C115=0,"No visits",IF($N115&gt;=13,"VIP",IF($N115&gt;=10,"High value",IF($N115&gt;=7,"Regular",IF($N115&gt;=4,"Occasional","Low"))))))</f>
        <v/>
      </c>
      <c r="P115" s="6" t="str">
        <f aca="true">IF(OR($A115="",$I115=""),"",IF(MONTH($I115)=MONTH(TODAY()),"Yes",""))</f>
        <v/>
      </c>
      <c r="Q115" s="21" t="str">
        <f aca="false">IF($A115="","",IF($C115=0,"",_xlfn.MINIFS('Daily tracking'!$A$2:$A$2001,'Daily tracking'!$D$2:$D$2001,$A115)))</f>
        <v/>
      </c>
      <c r="R115" s="6" t="str">
        <f aca="false">IF(OR($A115="",$C115&lt;2),"",($E115-$Q115)/($C115-1))</f>
        <v/>
      </c>
    </row>
    <row r="116" customFormat="false" ht="14.25" hidden="false" customHeight="false" outlineLevel="0" collapsed="false">
      <c r="A116" s="19"/>
      <c r="B116" s="19"/>
      <c r="C116" s="15" t="str">
        <f aca="false">IF($A116="","",COUNTIF('Daily tracking'!$D$2:$D$2001,$A116))</f>
        <v/>
      </c>
      <c r="D116" s="16" t="str">
        <f aca="false">IF($A116="","",SUMIF('Daily tracking'!$D$2:$D$2001,$A116,'Daily tracking'!$G$2:$G$2001))</f>
        <v/>
      </c>
      <c r="E116" s="18" t="str">
        <f aca="false">IF($A116="","",IF($C116=0,"",_xlfn.MAXIFS('Daily tracking'!$A$2:$A$2001,'Daily tracking'!$D$2:$D$2001,$A116)))</f>
        <v/>
      </c>
      <c r="F116" s="6" t="str">
        <f aca="true">IF(OR($A116="",$E116=""),"",TODAY()-$E116)</f>
        <v/>
      </c>
      <c r="G116" s="3" t="str">
        <f aca="false">IF($A116="","",IF($C116=0,"No visits",IF($F116&gt;90,"Lapsed",IF($F116&gt;35,"At risk",IF($C116&gt;=4,"Loyal","Active")))))</f>
        <v/>
      </c>
      <c r="H116" s="9" t="str">
        <f aca="false">IF(OR($A116="",$C116=0),"",$D116/$C116)</f>
        <v/>
      </c>
      <c r="I116" s="20"/>
      <c r="J116" s="20"/>
      <c r="K116" s="19"/>
      <c r="L116" s="19"/>
      <c r="M116" s="19"/>
      <c r="N116" s="15" t="str">
        <f aca="false">IF($A116="","",IF($C116=0,0,(IF($F116&lt;=15,5,IF($F116&lt;=30,4,IF($F116&lt;=45,3,IF($F116&lt;=90,2,1))))+IF($C116&gt;=10,5,IF($C116&gt;=6,4,IF($C116&gt;=4,3,IF($C116&gt;=2,2,1))))+IF($D116&gt;=20000,5,IF($D116&gt;=10000,4,IF($D116&gt;=5000,3,IF($D116&gt;=2000,2,1)))))))</f>
        <v/>
      </c>
      <c r="O116" s="3" t="str">
        <f aca="false">IF($A116="","",IF($C116=0,"No visits",IF($N116&gt;=13,"VIP",IF($N116&gt;=10,"High value",IF($N116&gt;=7,"Regular",IF($N116&gt;=4,"Occasional","Low"))))))</f>
        <v/>
      </c>
      <c r="P116" s="6" t="str">
        <f aca="true">IF(OR($A116="",$I116=""),"",IF(MONTH($I116)=MONTH(TODAY()),"Yes",""))</f>
        <v/>
      </c>
      <c r="Q116" s="21" t="str">
        <f aca="false">IF($A116="","",IF($C116=0,"",_xlfn.MINIFS('Daily tracking'!$A$2:$A$2001,'Daily tracking'!$D$2:$D$2001,$A116)))</f>
        <v/>
      </c>
      <c r="R116" s="6" t="str">
        <f aca="false">IF(OR($A116="",$C116&lt;2),"",($E116-$Q116)/($C116-1))</f>
        <v/>
      </c>
    </row>
    <row r="117" customFormat="false" ht="14.25" hidden="false" customHeight="false" outlineLevel="0" collapsed="false">
      <c r="A117" s="19"/>
      <c r="B117" s="19"/>
      <c r="C117" s="15" t="str">
        <f aca="false">IF($A117="","",COUNTIF('Daily tracking'!$D$2:$D$2001,$A117))</f>
        <v/>
      </c>
      <c r="D117" s="16" t="str">
        <f aca="false">IF($A117="","",SUMIF('Daily tracking'!$D$2:$D$2001,$A117,'Daily tracking'!$G$2:$G$2001))</f>
        <v/>
      </c>
      <c r="E117" s="18" t="str">
        <f aca="false">IF($A117="","",IF($C117=0,"",_xlfn.MAXIFS('Daily tracking'!$A$2:$A$2001,'Daily tracking'!$D$2:$D$2001,$A117)))</f>
        <v/>
      </c>
      <c r="F117" s="6" t="str">
        <f aca="true">IF(OR($A117="",$E117=""),"",TODAY()-$E117)</f>
        <v/>
      </c>
      <c r="G117" s="3" t="str">
        <f aca="false">IF($A117="","",IF($C117=0,"No visits",IF($F117&gt;90,"Lapsed",IF($F117&gt;35,"At risk",IF($C117&gt;=4,"Loyal","Active")))))</f>
        <v/>
      </c>
      <c r="H117" s="9" t="str">
        <f aca="false">IF(OR($A117="",$C117=0),"",$D117/$C117)</f>
        <v/>
      </c>
      <c r="I117" s="20"/>
      <c r="J117" s="20"/>
      <c r="K117" s="19"/>
      <c r="L117" s="19"/>
      <c r="M117" s="19"/>
      <c r="N117" s="15" t="str">
        <f aca="false">IF($A117="","",IF($C117=0,0,(IF($F117&lt;=15,5,IF($F117&lt;=30,4,IF($F117&lt;=45,3,IF($F117&lt;=90,2,1))))+IF($C117&gt;=10,5,IF($C117&gt;=6,4,IF($C117&gt;=4,3,IF($C117&gt;=2,2,1))))+IF($D117&gt;=20000,5,IF($D117&gt;=10000,4,IF($D117&gt;=5000,3,IF($D117&gt;=2000,2,1)))))))</f>
        <v/>
      </c>
      <c r="O117" s="3" t="str">
        <f aca="false">IF($A117="","",IF($C117=0,"No visits",IF($N117&gt;=13,"VIP",IF($N117&gt;=10,"High value",IF($N117&gt;=7,"Regular",IF($N117&gt;=4,"Occasional","Low"))))))</f>
        <v/>
      </c>
      <c r="P117" s="6" t="str">
        <f aca="true">IF(OR($A117="",$I117=""),"",IF(MONTH($I117)=MONTH(TODAY()),"Yes",""))</f>
        <v/>
      </c>
      <c r="Q117" s="21" t="str">
        <f aca="false">IF($A117="","",IF($C117=0,"",_xlfn.MINIFS('Daily tracking'!$A$2:$A$2001,'Daily tracking'!$D$2:$D$2001,$A117)))</f>
        <v/>
      </c>
      <c r="R117" s="6" t="str">
        <f aca="false">IF(OR($A117="",$C117&lt;2),"",($E117-$Q117)/($C117-1))</f>
        <v/>
      </c>
    </row>
    <row r="118" customFormat="false" ht="14.25" hidden="false" customHeight="false" outlineLevel="0" collapsed="false">
      <c r="A118" s="19"/>
      <c r="B118" s="19"/>
      <c r="C118" s="15" t="str">
        <f aca="false">IF($A118="","",COUNTIF('Daily tracking'!$D$2:$D$2001,$A118))</f>
        <v/>
      </c>
      <c r="D118" s="16" t="str">
        <f aca="false">IF($A118="","",SUMIF('Daily tracking'!$D$2:$D$2001,$A118,'Daily tracking'!$G$2:$G$2001))</f>
        <v/>
      </c>
      <c r="E118" s="18" t="str">
        <f aca="false">IF($A118="","",IF($C118=0,"",_xlfn.MAXIFS('Daily tracking'!$A$2:$A$2001,'Daily tracking'!$D$2:$D$2001,$A118)))</f>
        <v/>
      </c>
      <c r="F118" s="6" t="str">
        <f aca="true">IF(OR($A118="",$E118=""),"",TODAY()-$E118)</f>
        <v/>
      </c>
      <c r="G118" s="3" t="str">
        <f aca="false">IF($A118="","",IF($C118=0,"No visits",IF($F118&gt;90,"Lapsed",IF($F118&gt;35,"At risk",IF($C118&gt;=4,"Loyal","Active")))))</f>
        <v/>
      </c>
      <c r="H118" s="9" t="str">
        <f aca="false">IF(OR($A118="",$C118=0),"",$D118/$C118)</f>
        <v/>
      </c>
      <c r="I118" s="20"/>
      <c r="J118" s="20"/>
      <c r="K118" s="19"/>
      <c r="L118" s="19"/>
      <c r="M118" s="19"/>
      <c r="N118" s="15" t="str">
        <f aca="false">IF($A118="","",IF($C118=0,0,(IF($F118&lt;=15,5,IF($F118&lt;=30,4,IF($F118&lt;=45,3,IF($F118&lt;=90,2,1))))+IF($C118&gt;=10,5,IF($C118&gt;=6,4,IF($C118&gt;=4,3,IF($C118&gt;=2,2,1))))+IF($D118&gt;=20000,5,IF($D118&gt;=10000,4,IF($D118&gt;=5000,3,IF($D118&gt;=2000,2,1)))))))</f>
        <v/>
      </c>
      <c r="O118" s="3" t="str">
        <f aca="false">IF($A118="","",IF($C118=0,"No visits",IF($N118&gt;=13,"VIP",IF($N118&gt;=10,"High value",IF($N118&gt;=7,"Regular",IF($N118&gt;=4,"Occasional","Low"))))))</f>
        <v/>
      </c>
      <c r="P118" s="6" t="str">
        <f aca="true">IF(OR($A118="",$I118=""),"",IF(MONTH($I118)=MONTH(TODAY()),"Yes",""))</f>
        <v/>
      </c>
      <c r="Q118" s="21" t="str">
        <f aca="false">IF($A118="","",IF($C118=0,"",_xlfn.MINIFS('Daily tracking'!$A$2:$A$2001,'Daily tracking'!$D$2:$D$2001,$A118)))</f>
        <v/>
      </c>
      <c r="R118" s="6" t="str">
        <f aca="false">IF(OR($A118="",$C118&lt;2),"",($E118-$Q118)/($C118-1))</f>
        <v/>
      </c>
    </row>
    <row r="119" customFormat="false" ht="14.25" hidden="false" customHeight="false" outlineLevel="0" collapsed="false">
      <c r="A119" s="19"/>
      <c r="B119" s="19"/>
      <c r="C119" s="15" t="str">
        <f aca="false">IF($A119="","",COUNTIF('Daily tracking'!$D$2:$D$2001,$A119))</f>
        <v/>
      </c>
      <c r="D119" s="16" t="str">
        <f aca="false">IF($A119="","",SUMIF('Daily tracking'!$D$2:$D$2001,$A119,'Daily tracking'!$G$2:$G$2001))</f>
        <v/>
      </c>
      <c r="E119" s="18" t="str">
        <f aca="false">IF($A119="","",IF($C119=0,"",_xlfn.MAXIFS('Daily tracking'!$A$2:$A$2001,'Daily tracking'!$D$2:$D$2001,$A119)))</f>
        <v/>
      </c>
      <c r="F119" s="6" t="str">
        <f aca="true">IF(OR($A119="",$E119=""),"",TODAY()-$E119)</f>
        <v/>
      </c>
      <c r="G119" s="3" t="str">
        <f aca="false">IF($A119="","",IF($C119=0,"No visits",IF($F119&gt;90,"Lapsed",IF($F119&gt;35,"At risk",IF($C119&gt;=4,"Loyal","Active")))))</f>
        <v/>
      </c>
      <c r="H119" s="9" t="str">
        <f aca="false">IF(OR($A119="",$C119=0),"",$D119/$C119)</f>
        <v/>
      </c>
      <c r="I119" s="20"/>
      <c r="J119" s="20"/>
      <c r="K119" s="19"/>
      <c r="L119" s="19"/>
      <c r="M119" s="19"/>
      <c r="N119" s="15" t="str">
        <f aca="false">IF($A119="","",IF($C119=0,0,(IF($F119&lt;=15,5,IF($F119&lt;=30,4,IF($F119&lt;=45,3,IF($F119&lt;=90,2,1))))+IF($C119&gt;=10,5,IF($C119&gt;=6,4,IF($C119&gt;=4,3,IF($C119&gt;=2,2,1))))+IF($D119&gt;=20000,5,IF($D119&gt;=10000,4,IF($D119&gt;=5000,3,IF($D119&gt;=2000,2,1)))))))</f>
        <v/>
      </c>
      <c r="O119" s="3" t="str">
        <f aca="false">IF($A119="","",IF($C119=0,"No visits",IF($N119&gt;=13,"VIP",IF($N119&gt;=10,"High value",IF($N119&gt;=7,"Regular",IF($N119&gt;=4,"Occasional","Low"))))))</f>
        <v/>
      </c>
      <c r="P119" s="6" t="str">
        <f aca="true">IF(OR($A119="",$I119=""),"",IF(MONTH($I119)=MONTH(TODAY()),"Yes",""))</f>
        <v/>
      </c>
      <c r="Q119" s="21" t="str">
        <f aca="false">IF($A119="","",IF($C119=0,"",_xlfn.MINIFS('Daily tracking'!$A$2:$A$2001,'Daily tracking'!$D$2:$D$2001,$A119)))</f>
        <v/>
      </c>
      <c r="R119" s="6" t="str">
        <f aca="false">IF(OR($A119="",$C119&lt;2),"",($E119-$Q119)/($C119-1))</f>
        <v/>
      </c>
    </row>
    <row r="120" customFormat="false" ht="14.25" hidden="false" customHeight="false" outlineLevel="0" collapsed="false">
      <c r="A120" s="19"/>
      <c r="B120" s="19"/>
      <c r="C120" s="15" t="str">
        <f aca="false">IF($A120="","",COUNTIF('Daily tracking'!$D$2:$D$2001,$A120))</f>
        <v/>
      </c>
      <c r="D120" s="16" t="str">
        <f aca="false">IF($A120="","",SUMIF('Daily tracking'!$D$2:$D$2001,$A120,'Daily tracking'!$G$2:$G$2001))</f>
        <v/>
      </c>
      <c r="E120" s="18" t="str">
        <f aca="false">IF($A120="","",IF($C120=0,"",_xlfn.MAXIFS('Daily tracking'!$A$2:$A$2001,'Daily tracking'!$D$2:$D$2001,$A120)))</f>
        <v/>
      </c>
      <c r="F120" s="6" t="str">
        <f aca="true">IF(OR($A120="",$E120=""),"",TODAY()-$E120)</f>
        <v/>
      </c>
      <c r="G120" s="3" t="str">
        <f aca="false">IF($A120="","",IF($C120=0,"No visits",IF($F120&gt;90,"Lapsed",IF($F120&gt;35,"At risk",IF($C120&gt;=4,"Loyal","Active")))))</f>
        <v/>
      </c>
      <c r="H120" s="9" t="str">
        <f aca="false">IF(OR($A120="",$C120=0),"",$D120/$C120)</f>
        <v/>
      </c>
      <c r="I120" s="20"/>
      <c r="J120" s="20"/>
      <c r="K120" s="19"/>
      <c r="L120" s="19"/>
      <c r="M120" s="19"/>
      <c r="N120" s="15" t="str">
        <f aca="false">IF($A120="","",IF($C120=0,0,(IF($F120&lt;=15,5,IF($F120&lt;=30,4,IF($F120&lt;=45,3,IF($F120&lt;=90,2,1))))+IF($C120&gt;=10,5,IF($C120&gt;=6,4,IF($C120&gt;=4,3,IF($C120&gt;=2,2,1))))+IF($D120&gt;=20000,5,IF($D120&gt;=10000,4,IF($D120&gt;=5000,3,IF($D120&gt;=2000,2,1)))))))</f>
        <v/>
      </c>
      <c r="O120" s="3" t="str">
        <f aca="false">IF($A120="","",IF($C120=0,"No visits",IF($N120&gt;=13,"VIP",IF($N120&gt;=10,"High value",IF($N120&gt;=7,"Regular",IF($N120&gt;=4,"Occasional","Low"))))))</f>
        <v/>
      </c>
      <c r="P120" s="6" t="str">
        <f aca="true">IF(OR($A120="",$I120=""),"",IF(MONTH($I120)=MONTH(TODAY()),"Yes",""))</f>
        <v/>
      </c>
      <c r="Q120" s="21" t="str">
        <f aca="false">IF($A120="","",IF($C120=0,"",_xlfn.MINIFS('Daily tracking'!$A$2:$A$2001,'Daily tracking'!$D$2:$D$2001,$A120)))</f>
        <v/>
      </c>
      <c r="R120" s="6" t="str">
        <f aca="false">IF(OR($A120="",$C120&lt;2),"",($E120-$Q120)/($C120-1))</f>
        <v/>
      </c>
    </row>
    <row r="121" customFormat="false" ht="14.25" hidden="false" customHeight="false" outlineLevel="0" collapsed="false">
      <c r="A121" s="19"/>
      <c r="B121" s="19"/>
      <c r="C121" s="15" t="str">
        <f aca="false">IF($A121="","",COUNTIF('Daily tracking'!$D$2:$D$2001,$A121))</f>
        <v/>
      </c>
      <c r="D121" s="16" t="str">
        <f aca="false">IF($A121="","",SUMIF('Daily tracking'!$D$2:$D$2001,$A121,'Daily tracking'!$G$2:$G$2001))</f>
        <v/>
      </c>
      <c r="E121" s="18" t="str">
        <f aca="false">IF($A121="","",IF($C121=0,"",_xlfn.MAXIFS('Daily tracking'!$A$2:$A$2001,'Daily tracking'!$D$2:$D$2001,$A121)))</f>
        <v/>
      </c>
      <c r="F121" s="6" t="str">
        <f aca="true">IF(OR($A121="",$E121=""),"",TODAY()-$E121)</f>
        <v/>
      </c>
      <c r="G121" s="3" t="str">
        <f aca="false">IF($A121="","",IF($C121=0,"No visits",IF($F121&gt;90,"Lapsed",IF($F121&gt;35,"At risk",IF($C121&gt;=4,"Loyal","Active")))))</f>
        <v/>
      </c>
      <c r="H121" s="9" t="str">
        <f aca="false">IF(OR($A121="",$C121=0),"",$D121/$C121)</f>
        <v/>
      </c>
      <c r="I121" s="20"/>
      <c r="J121" s="20"/>
      <c r="K121" s="19"/>
      <c r="L121" s="19"/>
      <c r="M121" s="19"/>
      <c r="N121" s="15" t="str">
        <f aca="false">IF($A121="","",IF($C121=0,0,(IF($F121&lt;=15,5,IF($F121&lt;=30,4,IF($F121&lt;=45,3,IF($F121&lt;=90,2,1))))+IF($C121&gt;=10,5,IF($C121&gt;=6,4,IF($C121&gt;=4,3,IF($C121&gt;=2,2,1))))+IF($D121&gt;=20000,5,IF($D121&gt;=10000,4,IF($D121&gt;=5000,3,IF($D121&gt;=2000,2,1)))))))</f>
        <v/>
      </c>
      <c r="O121" s="3" t="str">
        <f aca="false">IF($A121="","",IF($C121=0,"No visits",IF($N121&gt;=13,"VIP",IF($N121&gt;=10,"High value",IF($N121&gt;=7,"Regular",IF($N121&gt;=4,"Occasional","Low"))))))</f>
        <v/>
      </c>
      <c r="P121" s="6" t="str">
        <f aca="true">IF(OR($A121="",$I121=""),"",IF(MONTH($I121)=MONTH(TODAY()),"Yes",""))</f>
        <v/>
      </c>
      <c r="Q121" s="21" t="str">
        <f aca="false">IF($A121="","",IF($C121=0,"",_xlfn.MINIFS('Daily tracking'!$A$2:$A$2001,'Daily tracking'!$D$2:$D$2001,$A121)))</f>
        <v/>
      </c>
      <c r="R121" s="6" t="str">
        <f aca="false">IF(OR($A121="",$C121&lt;2),"",($E121-$Q121)/($C121-1))</f>
        <v/>
      </c>
    </row>
    <row r="122" customFormat="false" ht="14.25" hidden="false" customHeight="false" outlineLevel="0" collapsed="false">
      <c r="A122" s="19"/>
      <c r="B122" s="19"/>
      <c r="C122" s="15" t="str">
        <f aca="false">IF($A122="","",COUNTIF('Daily tracking'!$D$2:$D$2001,$A122))</f>
        <v/>
      </c>
      <c r="D122" s="16" t="str">
        <f aca="false">IF($A122="","",SUMIF('Daily tracking'!$D$2:$D$2001,$A122,'Daily tracking'!$G$2:$G$2001))</f>
        <v/>
      </c>
      <c r="E122" s="18" t="str">
        <f aca="false">IF($A122="","",IF($C122=0,"",_xlfn.MAXIFS('Daily tracking'!$A$2:$A$2001,'Daily tracking'!$D$2:$D$2001,$A122)))</f>
        <v/>
      </c>
      <c r="F122" s="6" t="str">
        <f aca="true">IF(OR($A122="",$E122=""),"",TODAY()-$E122)</f>
        <v/>
      </c>
      <c r="G122" s="3" t="str">
        <f aca="false">IF($A122="","",IF($C122=0,"No visits",IF($F122&gt;90,"Lapsed",IF($F122&gt;35,"At risk",IF($C122&gt;=4,"Loyal","Active")))))</f>
        <v/>
      </c>
      <c r="H122" s="9" t="str">
        <f aca="false">IF(OR($A122="",$C122=0),"",$D122/$C122)</f>
        <v/>
      </c>
      <c r="I122" s="20"/>
      <c r="J122" s="20"/>
      <c r="K122" s="19"/>
      <c r="L122" s="19"/>
      <c r="M122" s="19"/>
      <c r="N122" s="15" t="str">
        <f aca="false">IF($A122="","",IF($C122=0,0,(IF($F122&lt;=15,5,IF($F122&lt;=30,4,IF($F122&lt;=45,3,IF($F122&lt;=90,2,1))))+IF($C122&gt;=10,5,IF($C122&gt;=6,4,IF($C122&gt;=4,3,IF($C122&gt;=2,2,1))))+IF($D122&gt;=20000,5,IF($D122&gt;=10000,4,IF($D122&gt;=5000,3,IF($D122&gt;=2000,2,1)))))))</f>
        <v/>
      </c>
      <c r="O122" s="3" t="str">
        <f aca="false">IF($A122="","",IF($C122=0,"No visits",IF($N122&gt;=13,"VIP",IF($N122&gt;=10,"High value",IF($N122&gt;=7,"Regular",IF($N122&gt;=4,"Occasional","Low"))))))</f>
        <v/>
      </c>
      <c r="P122" s="6" t="str">
        <f aca="true">IF(OR($A122="",$I122=""),"",IF(MONTH($I122)=MONTH(TODAY()),"Yes",""))</f>
        <v/>
      </c>
      <c r="Q122" s="21" t="str">
        <f aca="false">IF($A122="","",IF($C122=0,"",_xlfn.MINIFS('Daily tracking'!$A$2:$A$2001,'Daily tracking'!$D$2:$D$2001,$A122)))</f>
        <v/>
      </c>
      <c r="R122" s="6" t="str">
        <f aca="false">IF(OR($A122="",$C122&lt;2),"",($E122-$Q122)/($C122-1))</f>
        <v/>
      </c>
    </row>
    <row r="123" customFormat="false" ht="14.25" hidden="false" customHeight="false" outlineLevel="0" collapsed="false">
      <c r="A123" s="19"/>
      <c r="B123" s="19"/>
      <c r="C123" s="15" t="str">
        <f aca="false">IF($A123="","",COUNTIF('Daily tracking'!$D$2:$D$2001,$A123))</f>
        <v/>
      </c>
      <c r="D123" s="16" t="str">
        <f aca="false">IF($A123="","",SUMIF('Daily tracking'!$D$2:$D$2001,$A123,'Daily tracking'!$G$2:$G$2001))</f>
        <v/>
      </c>
      <c r="E123" s="18" t="str">
        <f aca="false">IF($A123="","",IF($C123=0,"",_xlfn.MAXIFS('Daily tracking'!$A$2:$A$2001,'Daily tracking'!$D$2:$D$2001,$A123)))</f>
        <v/>
      </c>
      <c r="F123" s="6" t="str">
        <f aca="true">IF(OR($A123="",$E123=""),"",TODAY()-$E123)</f>
        <v/>
      </c>
      <c r="G123" s="3" t="str">
        <f aca="false">IF($A123="","",IF($C123=0,"No visits",IF($F123&gt;90,"Lapsed",IF($F123&gt;35,"At risk",IF($C123&gt;=4,"Loyal","Active")))))</f>
        <v/>
      </c>
      <c r="H123" s="9" t="str">
        <f aca="false">IF(OR($A123="",$C123=0),"",$D123/$C123)</f>
        <v/>
      </c>
      <c r="I123" s="20"/>
      <c r="J123" s="20"/>
      <c r="K123" s="19"/>
      <c r="L123" s="19"/>
      <c r="M123" s="19"/>
      <c r="N123" s="15" t="str">
        <f aca="false">IF($A123="","",IF($C123=0,0,(IF($F123&lt;=15,5,IF($F123&lt;=30,4,IF($F123&lt;=45,3,IF($F123&lt;=90,2,1))))+IF($C123&gt;=10,5,IF($C123&gt;=6,4,IF($C123&gt;=4,3,IF($C123&gt;=2,2,1))))+IF($D123&gt;=20000,5,IF($D123&gt;=10000,4,IF($D123&gt;=5000,3,IF($D123&gt;=2000,2,1)))))))</f>
        <v/>
      </c>
      <c r="O123" s="3" t="str">
        <f aca="false">IF($A123="","",IF($C123=0,"No visits",IF($N123&gt;=13,"VIP",IF($N123&gt;=10,"High value",IF($N123&gt;=7,"Regular",IF($N123&gt;=4,"Occasional","Low"))))))</f>
        <v/>
      </c>
      <c r="P123" s="6" t="str">
        <f aca="true">IF(OR($A123="",$I123=""),"",IF(MONTH($I123)=MONTH(TODAY()),"Yes",""))</f>
        <v/>
      </c>
      <c r="Q123" s="21" t="str">
        <f aca="false">IF($A123="","",IF($C123=0,"",_xlfn.MINIFS('Daily tracking'!$A$2:$A$2001,'Daily tracking'!$D$2:$D$2001,$A123)))</f>
        <v/>
      </c>
      <c r="R123" s="6" t="str">
        <f aca="false">IF(OR($A123="",$C123&lt;2),"",($E123-$Q123)/($C123-1))</f>
        <v/>
      </c>
    </row>
    <row r="124" customFormat="false" ht="14.25" hidden="false" customHeight="false" outlineLevel="0" collapsed="false">
      <c r="A124" s="19"/>
      <c r="B124" s="19"/>
      <c r="C124" s="15" t="str">
        <f aca="false">IF($A124="","",COUNTIF('Daily tracking'!$D$2:$D$2001,$A124))</f>
        <v/>
      </c>
      <c r="D124" s="16" t="str">
        <f aca="false">IF($A124="","",SUMIF('Daily tracking'!$D$2:$D$2001,$A124,'Daily tracking'!$G$2:$G$2001))</f>
        <v/>
      </c>
      <c r="E124" s="18" t="str">
        <f aca="false">IF($A124="","",IF($C124=0,"",_xlfn.MAXIFS('Daily tracking'!$A$2:$A$2001,'Daily tracking'!$D$2:$D$2001,$A124)))</f>
        <v/>
      </c>
      <c r="F124" s="6" t="str">
        <f aca="true">IF(OR($A124="",$E124=""),"",TODAY()-$E124)</f>
        <v/>
      </c>
      <c r="G124" s="3" t="str">
        <f aca="false">IF($A124="","",IF($C124=0,"No visits",IF($F124&gt;90,"Lapsed",IF($F124&gt;35,"At risk",IF($C124&gt;=4,"Loyal","Active")))))</f>
        <v/>
      </c>
      <c r="H124" s="9" t="str">
        <f aca="false">IF(OR($A124="",$C124=0),"",$D124/$C124)</f>
        <v/>
      </c>
      <c r="I124" s="20"/>
      <c r="J124" s="20"/>
      <c r="K124" s="19"/>
      <c r="L124" s="19"/>
      <c r="M124" s="19"/>
      <c r="N124" s="15" t="str">
        <f aca="false">IF($A124="","",IF($C124=0,0,(IF($F124&lt;=15,5,IF($F124&lt;=30,4,IF($F124&lt;=45,3,IF($F124&lt;=90,2,1))))+IF($C124&gt;=10,5,IF($C124&gt;=6,4,IF($C124&gt;=4,3,IF($C124&gt;=2,2,1))))+IF($D124&gt;=20000,5,IF($D124&gt;=10000,4,IF($D124&gt;=5000,3,IF($D124&gt;=2000,2,1)))))))</f>
        <v/>
      </c>
      <c r="O124" s="3" t="str">
        <f aca="false">IF($A124="","",IF($C124=0,"No visits",IF($N124&gt;=13,"VIP",IF($N124&gt;=10,"High value",IF($N124&gt;=7,"Regular",IF($N124&gt;=4,"Occasional","Low"))))))</f>
        <v/>
      </c>
      <c r="P124" s="6" t="str">
        <f aca="true">IF(OR($A124="",$I124=""),"",IF(MONTH($I124)=MONTH(TODAY()),"Yes",""))</f>
        <v/>
      </c>
      <c r="Q124" s="21" t="str">
        <f aca="false">IF($A124="","",IF($C124=0,"",_xlfn.MINIFS('Daily tracking'!$A$2:$A$2001,'Daily tracking'!$D$2:$D$2001,$A124)))</f>
        <v/>
      </c>
      <c r="R124" s="6" t="str">
        <f aca="false">IF(OR($A124="",$C124&lt;2),"",($E124-$Q124)/($C124-1))</f>
        <v/>
      </c>
    </row>
    <row r="125" customFormat="false" ht="14.25" hidden="false" customHeight="false" outlineLevel="0" collapsed="false">
      <c r="A125" s="19"/>
      <c r="B125" s="19"/>
      <c r="C125" s="15" t="str">
        <f aca="false">IF($A125="","",COUNTIF('Daily tracking'!$D$2:$D$2001,$A125))</f>
        <v/>
      </c>
      <c r="D125" s="16" t="str">
        <f aca="false">IF($A125="","",SUMIF('Daily tracking'!$D$2:$D$2001,$A125,'Daily tracking'!$G$2:$G$2001))</f>
        <v/>
      </c>
      <c r="E125" s="18" t="str">
        <f aca="false">IF($A125="","",IF($C125=0,"",_xlfn.MAXIFS('Daily tracking'!$A$2:$A$2001,'Daily tracking'!$D$2:$D$2001,$A125)))</f>
        <v/>
      </c>
      <c r="F125" s="6" t="str">
        <f aca="true">IF(OR($A125="",$E125=""),"",TODAY()-$E125)</f>
        <v/>
      </c>
      <c r="G125" s="3" t="str">
        <f aca="false">IF($A125="","",IF($C125=0,"No visits",IF($F125&gt;90,"Lapsed",IF($F125&gt;35,"At risk",IF($C125&gt;=4,"Loyal","Active")))))</f>
        <v/>
      </c>
      <c r="H125" s="9" t="str">
        <f aca="false">IF(OR($A125="",$C125=0),"",$D125/$C125)</f>
        <v/>
      </c>
      <c r="I125" s="20"/>
      <c r="J125" s="20"/>
      <c r="K125" s="19"/>
      <c r="L125" s="19"/>
      <c r="M125" s="19"/>
      <c r="N125" s="15" t="str">
        <f aca="false">IF($A125="","",IF($C125=0,0,(IF($F125&lt;=15,5,IF($F125&lt;=30,4,IF($F125&lt;=45,3,IF($F125&lt;=90,2,1))))+IF($C125&gt;=10,5,IF($C125&gt;=6,4,IF($C125&gt;=4,3,IF($C125&gt;=2,2,1))))+IF($D125&gt;=20000,5,IF($D125&gt;=10000,4,IF($D125&gt;=5000,3,IF($D125&gt;=2000,2,1)))))))</f>
        <v/>
      </c>
      <c r="O125" s="3" t="str">
        <f aca="false">IF($A125="","",IF($C125=0,"No visits",IF($N125&gt;=13,"VIP",IF($N125&gt;=10,"High value",IF($N125&gt;=7,"Regular",IF($N125&gt;=4,"Occasional","Low"))))))</f>
        <v/>
      </c>
      <c r="P125" s="6" t="str">
        <f aca="true">IF(OR($A125="",$I125=""),"",IF(MONTH($I125)=MONTH(TODAY()),"Yes",""))</f>
        <v/>
      </c>
      <c r="Q125" s="21" t="str">
        <f aca="false">IF($A125="","",IF($C125=0,"",_xlfn.MINIFS('Daily tracking'!$A$2:$A$2001,'Daily tracking'!$D$2:$D$2001,$A125)))</f>
        <v/>
      </c>
      <c r="R125" s="6" t="str">
        <f aca="false">IF(OR($A125="",$C125&lt;2),"",($E125-$Q125)/($C125-1))</f>
        <v/>
      </c>
    </row>
    <row r="126" customFormat="false" ht="14.25" hidden="false" customHeight="false" outlineLevel="0" collapsed="false">
      <c r="A126" s="19"/>
      <c r="B126" s="19"/>
      <c r="C126" s="15" t="str">
        <f aca="false">IF($A126="","",COUNTIF('Daily tracking'!$D$2:$D$2001,$A126))</f>
        <v/>
      </c>
      <c r="D126" s="16" t="str">
        <f aca="false">IF($A126="","",SUMIF('Daily tracking'!$D$2:$D$2001,$A126,'Daily tracking'!$G$2:$G$2001))</f>
        <v/>
      </c>
      <c r="E126" s="18" t="str">
        <f aca="false">IF($A126="","",IF($C126=0,"",_xlfn.MAXIFS('Daily tracking'!$A$2:$A$2001,'Daily tracking'!$D$2:$D$2001,$A126)))</f>
        <v/>
      </c>
      <c r="F126" s="6" t="str">
        <f aca="true">IF(OR($A126="",$E126=""),"",TODAY()-$E126)</f>
        <v/>
      </c>
      <c r="G126" s="3" t="str">
        <f aca="false">IF($A126="","",IF($C126=0,"No visits",IF($F126&gt;90,"Lapsed",IF($F126&gt;35,"At risk",IF($C126&gt;=4,"Loyal","Active")))))</f>
        <v/>
      </c>
      <c r="H126" s="9" t="str">
        <f aca="false">IF(OR($A126="",$C126=0),"",$D126/$C126)</f>
        <v/>
      </c>
      <c r="I126" s="20"/>
      <c r="J126" s="20"/>
      <c r="K126" s="19"/>
      <c r="L126" s="19"/>
      <c r="M126" s="19"/>
      <c r="N126" s="15" t="str">
        <f aca="false">IF($A126="","",IF($C126=0,0,(IF($F126&lt;=15,5,IF($F126&lt;=30,4,IF($F126&lt;=45,3,IF($F126&lt;=90,2,1))))+IF($C126&gt;=10,5,IF($C126&gt;=6,4,IF($C126&gt;=4,3,IF($C126&gt;=2,2,1))))+IF($D126&gt;=20000,5,IF($D126&gt;=10000,4,IF($D126&gt;=5000,3,IF($D126&gt;=2000,2,1)))))))</f>
        <v/>
      </c>
      <c r="O126" s="3" t="str">
        <f aca="false">IF($A126="","",IF($C126=0,"No visits",IF($N126&gt;=13,"VIP",IF($N126&gt;=10,"High value",IF($N126&gt;=7,"Regular",IF($N126&gt;=4,"Occasional","Low"))))))</f>
        <v/>
      </c>
      <c r="P126" s="6" t="str">
        <f aca="true">IF(OR($A126="",$I126=""),"",IF(MONTH($I126)=MONTH(TODAY()),"Yes",""))</f>
        <v/>
      </c>
      <c r="Q126" s="21" t="str">
        <f aca="false">IF($A126="","",IF($C126=0,"",_xlfn.MINIFS('Daily tracking'!$A$2:$A$2001,'Daily tracking'!$D$2:$D$2001,$A126)))</f>
        <v/>
      </c>
      <c r="R126" s="6" t="str">
        <f aca="false">IF(OR($A126="",$C126&lt;2),"",($E126-$Q126)/($C126-1))</f>
        <v/>
      </c>
    </row>
    <row r="127" customFormat="false" ht="14.25" hidden="false" customHeight="false" outlineLevel="0" collapsed="false">
      <c r="A127" s="19"/>
      <c r="B127" s="19"/>
      <c r="C127" s="15" t="str">
        <f aca="false">IF($A127="","",COUNTIF('Daily tracking'!$D$2:$D$2001,$A127))</f>
        <v/>
      </c>
      <c r="D127" s="16" t="str">
        <f aca="false">IF($A127="","",SUMIF('Daily tracking'!$D$2:$D$2001,$A127,'Daily tracking'!$G$2:$G$2001))</f>
        <v/>
      </c>
      <c r="E127" s="18" t="str">
        <f aca="false">IF($A127="","",IF($C127=0,"",_xlfn.MAXIFS('Daily tracking'!$A$2:$A$2001,'Daily tracking'!$D$2:$D$2001,$A127)))</f>
        <v/>
      </c>
      <c r="F127" s="6" t="str">
        <f aca="true">IF(OR($A127="",$E127=""),"",TODAY()-$E127)</f>
        <v/>
      </c>
      <c r="G127" s="3" t="str">
        <f aca="false">IF($A127="","",IF($C127=0,"No visits",IF($F127&gt;90,"Lapsed",IF($F127&gt;35,"At risk",IF($C127&gt;=4,"Loyal","Active")))))</f>
        <v/>
      </c>
      <c r="H127" s="9" t="str">
        <f aca="false">IF(OR($A127="",$C127=0),"",$D127/$C127)</f>
        <v/>
      </c>
      <c r="I127" s="20"/>
      <c r="J127" s="20"/>
      <c r="K127" s="19"/>
      <c r="L127" s="19"/>
      <c r="M127" s="19"/>
      <c r="N127" s="15" t="str">
        <f aca="false">IF($A127="","",IF($C127=0,0,(IF($F127&lt;=15,5,IF($F127&lt;=30,4,IF($F127&lt;=45,3,IF($F127&lt;=90,2,1))))+IF($C127&gt;=10,5,IF($C127&gt;=6,4,IF($C127&gt;=4,3,IF($C127&gt;=2,2,1))))+IF($D127&gt;=20000,5,IF($D127&gt;=10000,4,IF($D127&gt;=5000,3,IF($D127&gt;=2000,2,1)))))))</f>
        <v/>
      </c>
      <c r="O127" s="3" t="str">
        <f aca="false">IF($A127="","",IF($C127=0,"No visits",IF($N127&gt;=13,"VIP",IF($N127&gt;=10,"High value",IF($N127&gt;=7,"Regular",IF($N127&gt;=4,"Occasional","Low"))))))</f>
        <v/>
      </c>
      <c r="P127" s="6" t="str">
        <f aca="true">IF(OR($A127="",$I127=""),"",IF(MONTH($I127)=MONTH(TODAY()),"Yes",""))</f>
        <v/>
      </c>
      <c r="Q127" s="21" t="str">
        <f aca="false">IF($A127="","",IF($C127=0,"",_xlfn.MINIFS('Daily tracking'!$A$2:$A$2001,'Daily tracking'!$D$2:$D$2001,$A127)))</f>
        <v/>
      </c>
      <c r="R127" s="6" t="str">
        <f aca="false">IF(OR($A127="",$C127&lt;2),"",($E127-$Q127)/($C127-1))</f>
        <v/>
      </c>
    </row>
    <row r="128" customFormat="false" ht="14.25" hidden="false" customHeight="false" outlineLevel="0" collapsed="false">
      <c r="A128" s="19"/>
      <c r="B128" s="19"/>
      <c r="C128" s="15" t="str">
        <f aca="false">IF($A128="","",COUNTIF('Daily tracking'!$D$2:$D$2001,$A128))</f>
        <v/>
      </c>
      <c r="D128" s="16" t="str">
        <f aca="false">IF($A128="","",SUMIF('Daily tracking'!$D$2:$D$2001,$A128,'Daily tracking'!$G$2:$G$2001))</f>
        <v/>
      </c>
      <c r="E128" s="18" t="str">
        <f aca="false">IF($A128="","",IF($C128=0,"",_xlfn.MAXIFS('Daily tracking'!$A$2:$A$2001,'Daily tracking'!$D$2:$D$2001,$A128)))</f>
        <v/>
      </c>
      <c r="F128" s="6" t="str">
        <f aca="true">IF(OR($A128="",$E128=""),"",TODAY()-$E128)</f>
        <v/>
      </c>
      <c r="G128" s="3" t="str">
        <f aca="false">IF($A128="","",IF($C128=0,"No visits",IF($F128&gt;90,"Lapsed",IF($F128&gt;35,"At risk",IF($C128&gt;=4,"Loyal","Active")))))</f>
        <v/>
      </c>
      <c r="H128" s="9" t="str">
        <f aca="false">IF(OR($A128="",$C128=0),"",$D128/$C128)</f>
        <v/>
      </c>
      <c r="I128" s="20"/>
      <c r="J128" s="20"/>
      <c r="K128" s="19"/>
      <c r="L128" s="19"/>
      <c r="M128" s="19"/>
      <c r="N128" s="15" t="str">
        <f aca="false">IF($A128="","",IF($C128=0,0,(IF($F128&lt;=15,5,IF($F128&lt;=30,4,IF($F128&lt;=45,3,IF($F128&lt;=90,2,1))))+IF($C128&gt;=10,5,IF($C128&gt;=6,4,IF($C128&gt;=4,3,IF($C128&gt;=2,2,1))))+IF($D128&gt;=20000,5,IF($D128&gt;=10000,4,IF($D128&gt;=5000,3,IF($D128&gt;=2000,2,1)))))))</f>
        <v/>
      </c>
      <c r="O128" s="3" t="str">
        <f aca="false">IF($A128="","",IF($C128=0,"No visits",IF($N128&gt;=13,"VIP",IF($N128&gt;=10,"High value",IF($N128&gt;=7,"Regular",IF($N128&gt;=4,"Occasional","Low"))))))</f>
        <v/>
      </c>
      <c r="P128" s="6" t="str">
        <f aca="true">IF(OR($A128="",$I128=""),"",IF(MONTH($I128)=MONTH(TODAY()),"Yes",""))</f>
        <v/>
      </c>
      <c r="Q128" s="21" t="str">
        <f aca="false">IF($A128="","",IF($C128=0,"",_xlfn.MINIFS('Daily tracking'!$A$2:$A$2001,'Daily tracking'!$D$2:$D$2001,$A128)))</f>
        <v/>
      </c>
      <c r="R128" s="6" t="str">
        <f aca="false">IF(OR($A128="",$C128&lt;2),"",($E128-$Q128)/($C128-1))</f>
        <v/>
      </c>
    </row>
    <row r="129" customFormat="false" ht="14.25" hidden="false" customHeight="false" outlineLevel="0" collapsed="false">
      <c r="A129" s="19"/>
      <c r="B129" s="19"/>
      <c r="C129" s="15" t="str">
        <f aca="false">IF($A129="","",COUNTIF('Daily tracking'!$D$2:$D$2001,$A129))</f>
        <v/>
      </c>
      <c r="D129" s="16" t="str">
        <f aca="false">IF($A129="","",SUMIF('Daily tracking'!$D$2:$D$2001,$A129,'Daily tracking'!$G$2:$G$2001))</f>
        <v/>
      </c>
      <c r="E129" s="18" t="str">
        <f aca="false">IF($A129="","",IF($C129=0,"",_xlfn.MAXIFS('Daily tracking'!$A$2:$A$2001,'Daily tracking'!$D$2:$D$2001,$A129)))</f>
        <v/>
      </c>
      <c r="F129" s="6" t="str">
        <f aca="true">IF(OR($A129="",$E129=""),"",TODAY()-$E129)</f>
        <v/>
      </c>
      <c r="G129" s="3" t="str">
        <f aca="false">IF($A129="","",IF($C129=0,"No visits",IF($F129&gt;90,"Lapsed",IF($F129&gt;35,"At risk",IF($C129&gt;=4,"Loyal","Active")))))</f>
        <v/>
      </c>
      <c r="H129" s="9" t="str">
        <f aca="false">IF(OR($A129="",$C129=0),"",$D129/$C129)</f>
        <v/>
      </c>
      <c r="I129" s="20"/>
      <c r="J129" s="20"/>
      <c r="K129" s="19"/>
      <c r="L129" s="19"/>
      <c r="M129" s="19"/>
      <c r="N129" s="15" t="str">
        <f aca="false">IF($A129="","",IF($C129=0,0,(IF($F129&lt;=15,5,IF($F129&lt;=30,4,IF($F129&lt;=45,3,IF($F129&lt;=90,2,1))))+IF($C129&gt;=10,5,IF($C129&gt;=6,4,IF($C129&gt;=4,3,IF($C129&gt;=2,2,1))))+IF($D129&gt;=20000,5,IF($D129&gt;=10000,4,IF($D129&gt;=5000,3,IF($D129&gt;=2000,2,1)))))))</f>
        <v/>
      </c>
      <c r="O129" s="3" t="str">
        <f aca="false">IF($A129="","",IF($C129=0,"No visits",IF($N129&gt;=13,"VIP",IF($N129&gt;=10,"High value",IF($N129&gt;=7,"Regular",IF($N129&gt;=4,"Occasional","Low"))))))</f>
        <v/>
      </c>
      <c r="P129" s="6" t="str">
        <f aca="true">IF(OR($A129="",$I129=""),"",IF(MONTH($I129)=MONTH(TODAY()),"Yes",""))</f>
        <v/>
      </c>
      <c r="Q129" s="21" t="str">
        <f aca="false">IF($A129="","",IF($C129=0,"",_xlfn.MINIFS('Daily tracking'!$A$2:$A$2001,'Daily tracking'!$D$2:$D$2001,$A129)))</f>
        <v/>
      </c>
      <c r="R129" s="6" t="str">
        <f aca="false">IF(OR($A129="",$C129&lt;2),"",($E129-$Q129)/($C129-1))</f>
        <v/>
      </c>
    </row>
    <row r="130" customFormat="false" ht="14.25" hidden="false" customHeight="false" outlineLevel="0" collapsed="false">
      <c r="A130" s="19"/>
      <c r="B130" s="19"/>
      <c r="C130" s="15" t="str">
        <f aca="false">IF($A130="","",COUNTIF('Daily tracking'!$D$2:$D$2001,$A130))</f>
        <v/>
      </c>
      <c r="D130" s="16" t="str">
        <f aca="false">IF($A130="","",SUMIF('Daily tracking'!$D$2:$D$2001,$A130,'Daily tracking'!$G$2:$G$2001))</f>
        <v/>
      </c>
      <c r="E130" s="18" t="str">
        <f aca="false">IF($A130="","",IF($C130=0,"",_xlfn.MAXIFS('Daily tracking'!$A$2:$A$2001,'Daily tracking'!$D$2:$D$2001,$A130)))</f>
        <v/>
      </c>
      <c r="F130" s="6" t="str">
        <f aca="true">IF(OR($A130="",$E130=""),"",TODAY()-$E130)</f>
        <v/>
      </c>
      <c r="G130" s="3" t="str">
        <f aca="false">IF($A130="","",IF($C130=0,"No visits",IF($F130&gt;90,"Lapsed",IF($F130&gt;35,"At risk",IF($C130&gt;=4,"Loyal","Active")))))</f>
        <v/>
      </c>
      <c r="H130" s="9" t="str">
        <f aca="false">IF(OR($A130="",$C130=0),"",$D130/$C130)</f>
        <v/>
      </c>
      <c r="I130" s="20"/>
      <c r="J130" s="20"/>
      <c r="K130" s="19"/>
      <c r="L130" s="19"/>
      <c r="M130" s="19"/>
      <c r="N130" s="15" t="str">
        <f aca="false">IF($A130="","",IF($C130=0,0,(IF($F130&lt;=15,5,IF($F130&lt;=30,4,IF($F130&lt;=45,3,IF($F130&lt;=90,2,1))))+IF($C130&gt;=10,5,IF($C130&gt;=6,4,IF($C130&gt;=4,3,IF($C130&gt;=2,2,1))))+IF($D130&gt;=20000,5,IF($D130&gt;=10000,4,IF($D130&gt;=5000,3,IF($D130&gt;=2000,2,1)))))))</f>
        <v/>
      </c>
      <c r="O130" s="3" t="str">
        <f aca="false">IF($A130="","",IF($C130=0,"No visits",IF($N130&gt;=13,"VIP",IF($N130&gt;=10,"High value",IF($N130&gt;=7,"Regular",IF($N130&gt;=4,"Occasional","Low"))))))</f>
        <v/>
      </c>
      <c r="P130" s="6" t="str">
        <f aca="true">IF(OR($A130="",$I130=""),"",IF(MONTH($I130)=MONTH(TODAY()),"Yes",""))</f>
        <v/>
      </c>
      <c r="Q130" s="21" t="str">
        <f aca="false">IF($A130="","",IF($C130=0,"",_xlfn.MINIFS('Daily tracking'!$A$2:$A$2001,'Daily tracking'!$D$2:$D$2001,$A130)))</f>
        <v/>
      </c>
      <c r="R130" s="6" t="str">
        <f aca="false">IF(OR($A130="",$C130&lt;2),"",($E130-$Q130)/($C130-1))</f>
        <v/>
      </c>
    </row>
    <row r="131" customFormat="false" ht="14.25" hidden="false" customHeight="false" outlineLevel="0" collapsed="false">
      <c r="A131" s="19"/>
      <c r="B131" s="19"/>
      <c r="C131" s="15" t="str">
        <f aca="false">IF($A131="","",COUNTIF('Daily tracking'!$D$2:$D$2001,$A131))</f>
        <v/>
      </c>
      <c r="D131" s="16" t="str">
        <f aca="false">IF($A131="","",SUMIF('Daily tracking'!$D$2:$D$2001,$A131,'Daily tracking'!$G$2:$G$2001))</f>
        <v/>
      </c>
      <c r="E131" s="18" t="str">
        <f aca="false">IF($A131="","",IF($C131=0,"",_xlfn.MAXIFS('Daily tracking'!$A$2:$A$2001,'Daily tracking'!$D$2:$D$2001,$A131)))</f>
        <v/>
      </c>
      <c r="F131" s="6" t="str">
        <f aca="true">IF(OR($A131="",$E131=""),"",TODAY()-$E131)</f>
        <v/>
      </c>
      <c r="G131" s="3" t="str">
        <f aca="false">IF($A131="","",IF($C131=0,"No visits",IF($F131&gt;90,"Lapsed",IF($F131&gt;35,"At risk",IF($C131&gt;=4,"Loyal","Active")))))</f>
        <v/>
      </c>
      <c r="H131" s="9" t="str">
        <f aca="false">IF(OR($A131="",$C131=0),"",$D131/$C131)</f>
        <v/>
      </c>
      <c r="I131" s="20"/>
      <c r="J131" s="20"/>
      <c r="K131" s="19"/>
      <c r="L131" s="19"/>
      <c r="M131" s="19"/>
      <c r="N131" s="15" t="str">
        <f aca="false">IF($A131="","",IF($C131=0,0,(IF($F131&lt;=15,5,IF($F131&lt;=30,4,IF($F131&lt;=45,3,IF($F131&lt;=90,2,1))))+IF($C131&gt;=10,5,IF($C131&gt;=6,4,IF($C131&gt;=4,3,IF($C131&gt;=2,2,1))))+IF($D131&gt;=20000,5,IF($D131&gt;=10000,4,IF($D131&gt;=5000,3,IF($D131&gt;=2000,2,1)))))))</f>
        <v/>
      </c>
      <c r="O131" s="3" t="str">
        <f aca="false">IF($A131="","",IF($C131=0,"No visits",IF($N131&gt;=13,"VIP",IF($N131&gt;=10,"High value",IF($N131&gt;=7,"Regular",IF($N131&gt;=4,"Occasional","Low"))))))</f>
        <v/>
      </c>
      <c r="P131" s="6" t="str">
        <f aca="true">IF(OR($A131="",$I131=""),"",IF(MONTH($I131)=MONTH(TODAY()),"Yes",""))</f>
        <v/>
      </c>
      <c r="Q131" s="21" t="str">
        <f aca="false">IF($A131="","",IF($C131=0,"",_xlfn.MINIFS('Daily tracking'!$A$2:$A$2001,'Daily tracking'!$D$2:$D$2001,$A131)))</f>
        <v/>
      </c>
      <c r="R131" s="6" t="str">
        <f aca="false">IF(OR($A131="",$C131&lt;2),"",($E131-$Q131)/($C131-1))</f>
        <v/>
      </c>
    </row>
    <row r="132" customFormat="false" ht="14.25" hidden="false" customHeight="false" outlineLevel="0" collapsed="false">
      <c r="A132" s="19"/>
      <c r="B132" s="19"/>
      <c r="C132" s="15" t="str">
        <f aca="false">IF($A132="","",COUNTIF('Daily tracking'!$D$2:$D$2001,$A132))</f>
        <v/>
      </c>
      <c r="D132" s="16" t="str">
        <f aca="false">IF($A132="","",SUMIF('Daily tracking'!$D$2:$D$2001,$A132,'Daily tracking'!$G$2:$G$2001))</f>
        <v/>
      </c>
      <c r="E132" s="18" t="str">
        <f aca="false">IF($A132="","",IF($C132=0,"",_xlfn.MAXIFS('Daily tracking'!$A$2:$A$2001,'Daily tracking'!$D$2:$D$2001,$A132)))</f>
        <v/>
      </c>
      <c r="F132" s="6" t="str">
        <f aca="true">IF(OR($A132="",$E132=""),"",TODAY()-$E132)</f>
        <v/>
      </c>
      <c r="G132" s="3" t="str">
        <f aca="false">IF($A132="","",IF($C132=0,"No visits",IF($F132&gt;90,"Lapsed",IF($F132&gt;35,"At risk",IF($C132&gt;=4,"Loyal","Active")))))</f>
        <v/>
      </c>
      <c r="H132" s="9" t="str">
        <f aca="false">IF(OR($A132="",$C132=0),"",$D132/$C132)</f>
        <v/>
      </c>
      <c r="I132" s="20"/>
      <c r="J132" s="20"/>
      <c r="K132" s="19"/>
      <c r="L132" s="19"/>
      <c r="M132" s="19"/>
      <c r="N132" s="15" t="str">
        <f aca="false">IF($A132="","",IF($C132=0,0,(IF($F132&lt;=15,5,IF($F132&lt;=30,4,IF($F132&lt;=45,3,IF($F132&lt;=90,2,1))))+IF($C132&gt;=10,5,IF($C132&gt;=6,4,IF($C132&gt;=4,3,IF($C132&gt;=2,2,1))))+IF($D132&gt;=20000,5,IF($D132&gt;=10000,4,IF($D132&gt;=5000,3,IF($D132&gt;=2000,2,1)))))))</f>
        <v/>
      </c>
      <c r="O132" s="3" t="str">
        <f aca="false">IF($A132="","",IF($C132=0,"No visits",IF($N132&gt;=13,"VIP",IF($N132&gt;=10,"High value",IF($N132&gt;=7,"Regular",IF($N132&gt;=4,"Occasional","Low"))))))</f>
        <v/>
      </c>
      <c r="P132" s="6" t="str">
        <f aca="true">IF(OR($A132="",$I132=""),"",IF(MONTH($I132)=MONTH(TODAY()),"Yes",""))</f>
        <v/>
      </c>
      <c r="Q132" s="21" t="str">
        <f aca="false">IF($A132="","",IF($C132=0,"",_xlfn.MINIFS('Daily tracking'!$A$2:$A$2001,'Daily tracking'!$D$2:$D$2001,$A132)))</f>
        <v/>
      </c>
      <c r="R132" s="6" t="str">
        <f aca="false">IF(OR($A132="",$C132&lt;2),"",($E132-$Q132)/($C132-1))</f>
        <v/>
      </c>
    </row>
    <row r="133" customFormat="false" ht="14.25" hidden="false" customHeight="false" outlineLevel="0" collapsed="false">
      <c r="A133" s="19"/>
      <c r="B133" s="19"/>
      <c r="C133" s="15" t="str">
        <f aca="false">IF($A133="","",COUNTIF('Daily tracking'!$D$2:$D$2001,$A133))</f>
        <v/>
      </c>
      <c r="D133" s="16" t="str">
        <f aca="false">IF($A133="","",SUMIF('Daily tracking'!$D$2:$D$2001,$A133,'Daily tracking'!$G$2:$G$2001))</f>
        <v/>
      </c>
      <c r="E133" s="18" t="str">
        <f aca="false">IF($A133="","",IF($C133=0,"",_xlfn.MAXIFS('Daily tracking'!$A$2:$A$2001,'Daily tracking'!$D$2:$D$2001,$A133)))</f>
        <v/>
      </c>
      <c r="F133" s="6" t="str">
        <f aca="true">IF(OR($A133="",$E133=""),"",TODAY()-$E133)</f>
        <v/>
      </c>
      <c r="G133" s="3" t="str">
        <f aca="false">IF($A133="","",IF($C133=0,"No visits",IF($F133&gt;90,"Lapsed",IF($F133&gt;35,"At risk",IF($C133&gt;=4,"Loyal","Active")))))</f>
        <v/>
      </c>
      <c r="H133" s="9" t="str">
        <f aca="false">IF(OR($A133="",$C133=0),"",$D133/$C133)</f>
        <v/>
      </c>
      <c r="I133" s="20"/>
      <c r="J133" s="20"/>
      <c r="K133" s="19"/>
      <c r="L133" s="19"/>
      <c r="M133" s="19"/>
      <c r="N133" s="15" t="str">
        <f aca="false">IF($A133="","",IF($C133=0,0,(IF($F133&lt;=15,5,IF($F133&lt;=30,4,IF($F133&lt;=45,3,IF($F133&lt;=90,2,1))))+IF($C133&gt;=10,5,IF($C133&gt;=6,4,IF($C133&gt;=4,3,IF($C133&gt;=2,2,1))))+IF($D133&gt;=20000,5,IF($D133&gt;=10000,4,IF($D133&gt;=5000,3,IF($D133&gt;=2000,2,1)))))))</f>
        <v/>
      </c>
      <c r="O133" s="3" t="str">
        <f aca="false">IF($A133="","",IF($C133=0,"No visits",IF($N133&gt;=13,"VIP",IF($N133&gt;=10,"High value",IF($N133&gt;=7,"Regular",IF($N133&gt;=4,"Occasional","Low"))))))</f>
        <v/>
      </c>
      <c r="P133" s="6" t="str">
        <f aca="true">IF(OR($A133="",$I133=""),"",IF(MONTH($I133)=MONTH(TODAY()),"Yes",""))</f>
        <v/>
      </c>
      <c r="Q133" s="21" t="str">
        <f aca="false">IF($A133="","",IF($C133=0,"",_xlfn.MINIFS('Daily tracking'!$A$2:$A$2001,'Daily tracking'!$D$2:$D$2001,$A133)))</f>
        <v/>
      </c>
      <c r="R133" s="6" t="str">
        <f aca="false">IF(OR($A133="",$C133&lt;2),"",($E133-$Q133)/($C133-1))</f>
        <v/>
      </c>
    </row>
    <row r="134" customFormat="false" ht="14.25" hidden="false" customHeight="false" outlineLevel="0" collapsed="false">
      <c r="A134" s="19"/>
      <c r="B134" s="19"/>
      <c r="C134" s="15" t="str">
        <f aca="false">IF($A134="","",COUNTIF('Daily tracking'!$D$2:$D$2001,$A134))</f>
        <v/>
      </c>
      <c r="D134" s="16" t="str">
        <f aca="false">IF($A134="","",SUMIF('Daily tracking'!$D$2:$D$2001,$A134,'Daily tracking'!$G$2:$G$2001))</f>
        <v/>
      </c>
      <c r="E134" s="18" t="str">
        <f aca="false">IF($A134="","",IF($C134=0,"",_xlfn.MAXIFS('Daily tracking'!$A$2:$A$2001,'Daily tracking'!$D$2:$D$2001,$A134)))</f>
        <v/>
      </c>
      <c r="F134" s="6" t="str">
        <f aca="true">IF(OR($A134="",$E134=""),"",TODAY()-$E134)</f>
        <v/>
      </c>
      <c r="G134" s="3" t="str">
        <f aca="false">IF($A134="","",IF($C134=0,"No visits",IF($F134&gt;90,"Lapsed",IF($F134&gt;35,"At risk",IF($C134&gt;=4,"Loyal","Active")))))</f>
        <v/>
      </c>
      <c r="H134" s="9" t="str">
        <f aca="false">IF(OR($A134="",$C134=0),"",$D134/$C134)</f>
        <v/>
      </c>
      <c r="I134" s="20"/>
      <c r="J134" s="20"/>
      <c r="K134" s="19"/>
      <c r="L134" s="19"/>
      <c r="M134" s="19"/>
      <c r="N134" s="15" t="str">
        <f aca="false">IF($A134="","",IF($C134=0,0,(IF($F134&lt;=15,5,IF($F134&lt;=30,4,IF($F134&lt;=45,3,IF($F134&lt;=90,2,1))))+IF($C134&gt;=10,5,IF($C134&gt;=6,4,IF($C134&gt;=4,3,IF($C134&gt;=2,2,1))))+IF($D134&gt;=20000,5,IF($D134&gt;=10000,4,IF($D134&gt;=5000,3,IF($D134&gt;=2000,2,1)))))))</f>
        <v/>
      </c>
      <c r="O134" s="3" t="str">
        <f aca="false">IF($A134="","",IF($C134=0,"No visits",IF($N134&gt;=13,"VIP",IF($N134&gt;=10,"High value",IF($N134&gt;=7,"Regular",IF($N134&gt;=4,"Occasional","Low"))))))</f>
        <v/>
      </c>
      <c r="P134" s="6" t="str">
        <f aca="true">IF(OR($A134="",$I134=""),"",IF(MONTH($I134)=MONTH(TODAY()),"Yes",""))</f>
        <v/>
      </c>
      <c r="Q134" s="21" t="str">
        <f aca="false">IF($A134="","",IF($C134=0,"",_xlfn.MINIFS('Daily tracking'!$A$2:$A$2001,'Daily tracking'!$D$2:$D$2001,$A134)))</f>
        <v/>
      </c>
      <c r="R134" s="6" t="str">
        <f aca="false">IF(OR($A134="",$C134&lt;2),"",($E134-$Q134)/($C134-1))</f>
        <v/>
      </c>
    </row>
    <row r="135" customFormat="false" ht="14.25" hidden="false" customHeight="false" outlineLevel="0" collapsed="false">
      <c r="A135" s="19"/>
      <c r="B135" s="19"/>
      <c r="C135" s="15" t="str">
        <f aca="false">IF($A135="","",COUNTIF('Daily tracking'!$D$2:$D$2001,$A135))</f>
        <v/>
      </c>
      <c r="D135" s="16" t="str">
        <f aca="false">IF($A135="","",SUMIF('Daily tracking'!$D$2:$D$2001,$A135,'Daily tracking'!$G$2:$G$2001))</f>
        <v/>
      </c>
      <c r="E135" s="18" t="str">
        <f aca="false">IF($A135="","",IF($C135=0,"",_xlfn.MAXIFS('Daily tracking'!$A$2:$A$2001,'Daily tracking'!$D$2:$D$2001,$A135)))</f>
        <v/>
      </c>
      <c r="F135" s="6" t="str">
        <f aca="true">IF(OR($A135="",$E135=""),"",TODAY()-$E135)</f>
        <v/>
      </c>
      <c r="G135" s="3" t="str">
        <f aca="false">IF($A135="","",IF($C135=0,"No visits",IF($F135&gt;90,"Lapsed",IF($F135&gt;35,"At risk",IF($C135&gt;=4,"Loyal","Active")))))</f>
        <v/>
      </c>
      <c r="H135" s="9" t="str">
        <f aca="false">IF(OR($A135="",$C135=0),"",$D135/$C135)</f>
        <v/>
      </c>
      <c r="I135" s="20"/>
      <c r="J135" s="20"/>
      <c r="K135" s="19"/>
      <c r="L135" s="19"/>
      <c r="M135" s="19"/>
      <c r="N135" s="15" t="str">
        <f aca="false">IF($A135="","",IF($C135=0,0,(IF($F135&lt;=15,5,IF($F135&lt;=30,4,IF($F135&lt;=45,3,IF($F135&lt;=90,2,1))))+IF($C135&gt;=10,5,IF($C135&gt;=6,4,IF($C135&gt;=4,3,IF($C135&gt;=2,2,1))))+IF($D135&gt;=20000,5,IF($D135&gt;=10000,4,IF($D135&gt;=5000,3,IF($D135&gt;=2000,2,1)))))))</f>
        <v/>
      </c>
      <c r="O135" s="3" t="str">
        <f aca="false">IF($A135="","",IF($C135=0,"No visits",IF($N135&gt;=13,"VIP",IF($N135&gt;=10,"High value",IF($N135&gt;=7,"Regular",IF($N135&gt;=4,"Occasional","Low"))))))</f>
        <v/>
      </c>
      <c r="P135" s="6" t="str">
        <f aca="true">IF(OR($A135="",$I135=""),"",IF(MONTH($I135)=MONTH(TODAY()),"Yes",""))</f>
        <v/>
      </c>
      <c r="Q135" s="21" t="str">
        <f aca="false">IF($A135="","",IF($C135=0,"",_xlfn.MINIFS('Daily tracking'!$A$2:$A$2001,'Daily tracking'!$D$2:$D$2001,$A135)))</f>
        <v/>
      </c>
      <c r="R135" s="6" t="str">
        <f aca="false">IF(OR($A135="",$C135&lt;2),"",($E135-$Q135)/($C135-1))</f>
        <v/>
      </c>
    </row>
    <row r="136" customFormat="false" ht="14.25" hidden="false" customHeight="false" outlineLevel="0" collapsed="false">
      <c r="A136" s="19"/>
      <c r="B136" s="19"/>
      <c r="C136" s="15" t="str">
        <f aca="false">IF($A136="","",COUNTIF('Daily tracking'!$D$2:$D$2001,$A136))</f>
        <v/>
      </c>
      <c r="D136" s="16" t="str">
        <f aca="false">IF($A136="","",SUMIF('Daily tracking'!$D$2:$D$2001,$A136,'Daily tracking'!$G$2:$G$2001))</f>
        <v/>
      </c>
      <c r="E136" s="18" t="str">
        <f aca="false">IF($A136="","",IF($C136=0,"",_xlfn.MAXIFS('Daily tracking'!$A$2:$A$2001,'Daily tracking'!$D$2:$D$2001,$A136)))</f>
        <v/>
      </c>
      <c r="F136" s="6" t="str">
        <f aca="true">IF(OR($A136="",$E136=""),"",TODAY()-$E136)</f>
        <v/>
      </c>
      <c r="G136" s="3" t="str">
        <f aca="false">IF($A136="","",IF($C136=0,"No visits",IF($F136&gt;90,"Lapsed",IF($F136&gt;35,"At risk",IF($C136&gt;=4,"Loyal","Active")))))</f>
        <v/>
      </c>
      <c r="H136" s="9" t="str">
        <f aca="false">IF(OR($A136="",$C136=0),"",$D136/$C136)</f>
        <v/>
      </c>
      <c r="I136" s="20"/>
      <c r="J136" s="20"/>
      <c r="K136" s="19"/>
      <c r="L136" s="19"/>
      <c r="M136" s="19"/>
      <c r="N136" s="15" t="str">
        <f aca="false">IF($A136="","",IF($C136=0,0,(IF($F136&lt;=15,5,IF($F136&lt;=30,4,IF($F136&lt;=45,3,IF($F136&lt;=90,2,1))))+IF($C136&gt;=10,5,IF($C136&gt;=6,4,IF($C136&gt;=4,3,IF($C136&gt;=2,2,1))))+IF($D136&gt;=20000,5,IF($D136&gt;=10000,4,IF($D136&gt;=5000,3,IF($D136&gt;=2000,2,1)))))))</f>
        <v/>
      </c>
      <c r="O136" s="3" t="str">
        <f aca="false">IF($A136="","",IF($C136=0,"No visits",IF($N136&gt;=13,"VIP",IF($N136&gt;=10,"High value",IF($N136&gt;=7,"Regular",IF($N136&gt;=4,"Occasional","Low"))))))</f>
        <v/>
      </c>
      <c r="P136" s="6" t="str">
        <f aca="true">IF(OR($A136="",$I136=""),"",IF(MONTH($I136)=MONTH(TODAY()),"Yes",""))</f>
        <v/>
      </c>
      <c r="Q136" s="21" t="str">
        <f aca="false">IF($A136="","",IF($C136=0,"",_xlfn.MINIFS('Daily tracking'!$A$2:$A$2001,'Daily tracking'!$D$2:$D$2001,$A136)))</f>
        <v/>
      </c>
      <c r="R136" s="6" t="str">
        <f aca="false">IF(OR($A136="",$C136&lt;2),"",($E136-$Q136)/($C136-1))</f>
        <v/>
      </c>
    </row>
    <row r="137" customFormat="false" ht="14.25" hidden="false" customHeight="false" outlineLevel="0" collapsed="false">
      <c r="A137" s="19"/>
      <c r="B137" s="19"/>
      <c r="C137" s="15" t="str">
        <f aca="false">IF($A137="","",COUNTIF('Daily tracking'!$D$2:$D$2001,$A137))</f>
        <v/>
      </c>
      <c r="D137" s="16" t="str">
        <f aca="false">IF($A137="","",SUMIF('Daily tracking'!$D$2:$D$2001,$A137,'Daily tracking'!$G$2:$G$2001))</f>
        <v/>
      </c>
      <c r="E137" s="18" t="str">
        <f aca="false">IF($A137="","",IF($C137=0,"",_xlfn.MAXIFS('Daily tracking'!$A$2:$A$2001,'Daily tracking'!$D$2:$D$2001,$A137)))</f>
        <v/>
      </c>
      <c r="F137" s="6" t="str">
        <f aca="true">IF(OR($A137="",$E137=""),"",TODAY()-$E137)</f>
        <v/>
      </c>
      <c r="G137" s="3" t="str">
        <f aca="false">IF($A137="","",IF($C137=0,"No visits",IF($F137&gt;90,"Lapsed",IF($F137&gt;35,"At risk",IF($C137&gt;=4,"Loyal","Active")))))</f>
        <v/>
      </c>
      <c r="H137" s="9" t="str">
        <f aca="false">IF(OR($A137="",$C137=0),"",$D137/$C137)</f>
        <v/>
      </c>
      <c r="I137" s="20"/>
      <c r="J137" s="20"/>
      <c r="K137" s="19"/>
      <c r="L137" s="19"/>
      <c r="M137" s="19"/>
      <c r="N137" s="15" t="str">
        <f aca="false">IF($A137="","",IF($C137=0,0,(IF($F137&lt;=15,5,IF($F137&lt;=30,4,IF($F137&lt;=45,3,IF($F137&lt;=90,2,1))))+IF($C137&gt;=10,5,IF($C137&gt;=6,4,IF($C137&gt;=4,3,IF($C137&gt;=2,2,1))))+IF($D137&gt;=20000,5,IF($D137&gt;=10000,4,IF($D137&gt;=5000,3,IF($D137&gt;=2000,2,1)))))))</f>
        <v/>
      </c>
      <c r="O137" s="3" t="str">
        <f aca="false">IF($A137="","",IF($C137=0,"No visits",IF($N137&gt;=13,"VIP",IF($N137&gt;=10,"High value",IF($N137&gt;=7,"Regular",IF($N137&gt;=4,"Occasional","Low"))))))</f>
        <v/>
      </c>
      <c r="P137" s="6" t="str">
        <f aca="true">IF(OR($A137="",$I137=""),"",IF(MONTH($I137)=MONTH(TODAY()),"Yes",""))</f>
        <v/>
      </c>
      <c r="Q137" s="21" t="str">
        <f aca="false">IF($A137="","",IF($C137=0,"",_xlfn.MINIFS('Daily tracking'!$A$2:$A$2001,'Daily tracking'!$D$2:$D$2001,$A137)))</f>
        <v/>
      </c>
      <c r="R137" s="6" t="str">
        <f aca="false">IF(OR($A137="",$C137&lt;2),"",($E137-$Q137)/($C137-1))</f>
        <v/>
      </c>
    </row>
    <row r="138" customFormat="false" ht="14.25" hidden="false" customHeight="false" outlineLevel="0" collapsed="false">
      <c r="A138" s="19"/>
      <c r="B138" s="19"/>
      <c r="C138" s="15" t="str">
        <f aca="false">IF($A138="","",COUNTIF('Daily tracking'!$D$2:$D$2001,$A138))</f>
        <v/>
      </c>
      <c r="D138" s="16" t="str">
        <f aca="false">IF($A138="","",SUMIF('Daily tracking'!$D$2:$D$2001,$A138,'Daily tracking'!$G$2:$G$2001))</f>
        <v/>
      </c>
      <c r="E138" s="18" t="str">
        <f aca="false">IF($A138="","",IF($C138=0,"",_xlfn.MAXIFS('Daily tracking'!$A$2:$A$2001,'Daily tracking'!$D$2:$D$2001,$A138)))</f>
        <v/>
      </c>
      <c r="F138" s="6" t="str">
        <f aca="true">IF(OR($A138="",$E138=""),"",TODAY()-$E138)</f>
        <v/>
      </c>
      <c r="G138" s="3" t="str">
        <f aca="false">IF($A138="","",IF($C138=0,"No visits",IF($F138&gt;90,"Lapsed",IF($F138&gt;35,"At risk",IF($C138&gt;=4,"Loyal","Active")))))</f>
        <v/>
      </c>
      <c r="H138" s="9" t="str">
        <f aca="false">IF(OR($A138="",$C138=0),"",$D138/$C138)</f>
        <v/>
      </c>
      <c r="I138" s="20"/>
      <c r="J138" s="20"/>
      <c r="K138" s="19"/>
      <c r="L138" s="19"/>
      <c r="M138" s="19"/>
      <c r="N138" s="15" t="str">
        <f aca="false">IF($A138="","",IF($C138=0,0,(IF($F138&lt;=15,5,IF($F138&lt;=30,4,IF($F138&lt;=45,3,IF($F138&lt;=90,2,1))))+IF($C138&gt;=10,5,IF($C138&gt;=6,4,IF($C138&gt;=4,3,IF($C138&gt;=2,2,1))))+IF($D138&gt;=20000,5,IF($D138&gt;=10000,4,IF($D138&gt;=5000,3,IF($D138&gt;=2000,2,1)))))))</f>
        <v/>
      </c>
      <c r="O138" s="3" t="str">
        <f aca="false">IF($A138="","",IF($C138=0,"No visits",IF($N138&gt;=13,"VIP",IF($N138&gt;=10,"High value",IF($N138&gt;=7,"Regular",IF($N138&gt;=4,"Occasional","Low"))))))</f>
        <v/>
      </c>
      <c r="P138" s="6" t="str">
        <f aca="true">IF(OR($A138="",$I138=""),"",IF(MONTH($I138)=MONTH(TODAY()),"Yes",""))</f>
        <v/>
      </c>
      <c r="Q138" s="21" t="str">
        <f aca="false">IF($A138="","",IF($C138=0,"",_xlfn.MINIFS('Daily tracking'!$A$2:$A$2001,'Daily tracking'!$D$2:$D$2001,$A138)))</f>
        <v/>
      </c>
      <c r="R138" s="6" t="str">
        <f aca="false">IF(OR($A138="",$C138&lt;2),"",($E138-$Q138)/($C138-1))</f>
        <v/>
      </c>
    </row>
    <row r="139" customFormat="false" ht="14.25" hidden="false" customHeight="false" outlineLevel="0" collapsed="false">
      <c r="A139" s="19"/>
      <c r="B139" s="19"/>
      <c r="C139" s="15" t="str">
        <f aca="false">IF($A139="","",COUNTIF('Daily tracking'!$D$2:$D$2001,$A139))</f>
        <v/>
      </c>
      <c r="D139" s="16" t="str">
        <f aca="false">IF($A139="","",SUMIF('Daily tracking'!$D$2:$D$2001,$A139,'Daily tracking'!$G$2:$G$2001))</f>
        <v/>
      </c>
      <c r="E139" s="18" t="str">
        <f aca="false">IF($A139="","",IF($C139=0,"",_xlfn.MAXIFS('Daily tracking'!$A$2:$A$2001,'Daily tracking'!$D$2:$D$2001,$A139)))</f>
        <v/>
      </c>
      <c r="F139" s="6" t="str">
        <f aca="true">IF(OR($A139="",$E139=""),"",TODAY()-$E139)</f>
        <v/>
      </c>
      <c r="G139" s="3" t="str">
        <f aca="false">IF($A139="","",IF($C139=0,"No visits",IF($F139&gt;90,"Lapsed",IF($F139&gt;35,"At risk",IF($C139&gt;=4,"Loyal","Active")))))</f>
        <v/>
      </c>
      <c r="H139" s="9" t="str">
        <f aca="false">IF(OR($A139="",$C139=0),"",$D139/$C139)</f>
        <v/>
      </c>
      <c r="I139" s="20"/>
      <c r="J139" s="20"/>
      <c r="K139" s="19"/>
      <c r="L139" s="19"/>
      <c r="M139" s="19"/>
      <c r="N139" s="15" t="str">
        <f aca="false">IF($A139="","",IF($C139=0,0,(IF($F139&lt;=15,5,IF($F139&lt;=30,4,IF($F139&lt;=45,3,IF($F139&lt;=90,2,1))))+IF($C139&gt;=10,5,IF($C139&gt;=6,4,IF($C139&gt;=4,3,IF($C139&gt;=2,2,1))))+IF($D139&gt;=20000,5,IF($D139&gt;=10000,4,IF($D139&gt;=5000,3,IF($D139&gt;=2000,2,1)))))))</f>
        <v/>
      </c>
      <c r="O139" s="3" t="str">
        <f aca="false">IF($A139="","",IF($C139=0,"No visits",IF($N139&gt;=13,"VIP",IF($N139&gt;=10,"High value",IF($N139&gt;=7,"Regular",IF($N139&gt;=4,"Occasional","Low"))))))</f>
        <v/>
      </c>
      <c r="P139" s="6" t="str">
        <f aca="true">IF(OR($A139="",$I139=""),"",IF(MONTH($I139)=MONTH(TODAY()),"Yes",""))</f>
        <v/>
      </c>
      <c r="Q139" s="21" t="str">
        <f aca="false">IF($A139="","",IF($C139=0,"",_xlfn.MINIFS('Daily tracking'!$A$2:$A$2001,'Daily tracking'!$D$2:$D$2001,$A139)))</f>
        <v/>
      </c>
      <c r="R139" s="6" t="str">
        <f aca="false">IF(OR($A139="",$C139&lt;2),"",($E139-$Q139)/($C139-1))</f>
        <v/>
      </c>
    </row>
    <row r="140" customFormat="false" ht="14.25" hidden="false" customHeight="false" outlineLevel="0" collapsed="false">
      <c r="A140" s="19"/>
      <c r="B140" s="19"/>
      <c r="C140" s="15" t="str">
        <f aca="false">IF($A140="","",COUNTIF('Daily tracking'!$D$2:$D$2001,$A140))</f>
        <v/>
      </c>
      <c r="D140" s="16" t="str">
        <f aca="false">IF($A140="","",SUMIF('Daily tracking'!$D$2:$D$2001,$A140,'Daily tracking'!$G$2:$G$2001))</f>
        <v/>
      </c>
      <c r="E140" s="18" t="str">
        <f aca="false">IF($A140="","",IF($C140=0,"",_xlfn.MAXIFS('Daily tracking'!$A$2:$A$2001,'Daily tracking'!$D$2:$D$2001,$A140)))</f>
        <v/>
      </c>
      <c r="F140" s="6" t="str">
        <f aca="true">IF(OR($A140="",$E140=""),"",TODAY()-$E140)</f>
        <v/>
      </c>
      <c r="G140" s="3" t="str">
        <f aca="false">IF($A140="","",IF($C140=0,"No visits",IF($F140&gt;90,"Lapsed",IF($F140&gt;35,"At risk",IF($C140&gt;=4,"Loyal","Active")))))</f>
        <v/>
      </c>
      <c r="H140" s="9" t="str">
        <f aca="false">IF(OR($A140="",$C140=0),"",$D140/$C140)</f>
        <v/>
      </c>
      <c r="I140" s="20"/>
      <c r="J140" s="20"/>
      <c r="K140" s="19"/>
      <c r="L140" s="19"/>
      <c r="M140" s="19"/>
      <c r="N140" s="15" t="str">
        <f aca="false">IF($A140="","",IF($C140=0,0,(IF($F140&lt;=15,5,IF($F140&lt;=30,4,IF($F140&lt;=45,3,IF($F140&lt;=90,2,1))))+IF($C140&gt;=10,5,IF($C140&gt;=6,4,IF($C140&gt;=4,3,IF($C140&gt;=2,2,1))))+IF($D140&gt;=20000,5,IF($D140&gt;=10000,4,IF($D140&gt;=5000,3,IF($D140&gt;=2000,2,1)))))))</f>
        <v/>
      </c>
      <c r="O140" s="3" t="str">
        <f aca="false">IF($A140="","",IF($C140=0,"No visits",IF($N140&gt;=13,"VIP",IF($N140&gt;=10,"High value",IF($N140&gt;=7,"Regular",IF($N140&gt;=4,"Occasional","Low"))))))</f>
        <v/>
      </c>
      <c r="P140" s="6" t="str">
        <f aca="true">IF(OR($A140="",$I140=""),"",IF(MONTH($I140)=MONTH(TODAY()),"Yes",""))</f>
        <v/>
      </c>
      <c r="Q140" s="21" t="str">
        <f aca="false">IF($A140="","",IF($C140=0,"",_xlfn.MINIFS('Daily tracking'!$A$2:$A$2001,'Daily tracking'!$D$2:$D$2001,$A140)))</f>
        <v/>
      </c>
      <c r="R140" s="6" t="str">
        <f aca="false">IF(OR($A140="",$C140&lt;2),"",($E140-$Q140)/($C140-1))</f>
        <v/>
      </c>
    </row>
    <row r="141" customFormat="false" ht="14.25" hidden="false" customHeight="false" outlineLevel="0" collapsed="false">
      <c r="A141" s="19"/>
      <c r="B141" s="19"/>
      <c r="C141" s="15" t="str">
        <f aca="false">IF($A141="","",COUNTIF('Daily tracking'!$D$2:$D$2001,$A141))</f>
        <v/>
      </c>
      <c r="D141" s="16" t="str">
        <f aca="false">IF($A141="","",SUMIF('Daily tracking'!$D$2:$D$2001,$A141,'Daily tracking'!$G$2:$G$2001))</f>
        <v/>
      </c>
      <c r="E141" s="18" t="str">
        <f aca="false">IF($A141="","",IF($C141=0,"",_xlfn.MAXIFS('Daily tracking'!$A$2:$A$2001,'Daily tracking'!$D$2:$D$2001,$A141)))</f>
        <v/>
      </c>
      <c r="F141" s="6" t="str">
        <f aca="true">IF(OR($A141="",$E141=""),"",TODAY()-$E141)</f>
        <v/>
      </c>
      <c r="G141" s="3" t="str">
        <f aca="false">IF($A141="","",IF($C141=0,"No visits",IF($F141&gt;90,"Lapsed",IF($F141&gt;35,"At risk",IF($C141&gt;=4,"Loyal","Active")))))</f>
        <v/>
      </c>
      <c r="H141" s="9" t="str">
        <f aca="false">IF(OR($A141="",$C141=0),"",$D141/$C141)</f>
        <v/>
      </c>
      <c r="I141" s="20"/>
      <c r="J141" s="20"/>
      <c r="K141" s="19"/>
      <c r="L141" s="19"/>
      <c r="M141" s="19"/>
      <c r="N141" s="15" t="str">
        <f aca="false">IF($A141="","",IF($C141=0,0,(IF($F141&lt;=15,5,IF($F141&lt;=30,4,IF($F141&lt;=45,3,IF($F141&lt;=90,2,1))))+IF($C141&gt;=10,5,IF($C141&gt;=6,4,IF($C141&gt;=4,3,IF($C141&gt;=2,2,1))))+IF($D141&gt;=20000,5,IF($D141&gt;=10000,4,IF($D141&gt;=5000,3,IF($D141&gt;=2000,2,1)))))))</f>
        <v/>
      </c>
      <c r="O141" s="3" t="str">
        <f aca="false">IF($A141="","",IF($C141=0,"No visits",IF($N141&gt;=13,"VIP",IF($N141&gt;=10,"High value",IF($N141&gt;=7,"Regular",IF($N141&gt;=4,"Occasional","Low"))))))</f>
        <v/>
      </c>
      <c r="P141" s="6" t="str">
        <f aca="true">IF(OR($A141="",$I141=""),"",IF(MONTH($I141)=MONTH(TODAY()),"Yes",""))</f>
        <v/>
      </c>
      <c r="Q141" s="21" t="str">
        <f aca="false">IF($A141="","",IF($C141=0,"",_xlfn.MINIFS('Daily tracking'!$A$2:$A$2001,'Daily tracking'!$D$2:$D$2001,$A141)))</f>
        <v/>
      </c>
      <c r="R141" s="6" t="str">
        <f aca="false">IF(OR($A141="",$C141&lt;2),"",($E141-$Q141)/($C141-1))</f>
        <v/>
      </c>
    </row>
    <row r="142" customFormat="false" ht="14.25" hidden="false" customHeight="false" outlineLevel="0" collapsed="false">
      <c r="A142" s="19"/>
      <c r="B142" s="19"/>
      <c r="C142" s="15" t="str">
        <f aca="false">IF($A142="","",COUNTIF('Daily tracking'!$D$2:$D$2001,$A142))</f>
        <v/>
      </c>
      <c r="D142" s="16" t="str">
        <f aca="false">IF($A142="","",SUMIF('Daily tracking'!$D$2:$D$2001,$A142,'Daily tracking'!$G$2:$G$2001))</f>
        <v/>
      </c>
      <c r="E142" s="18" t="str">
        <f aca="false">IF($A142="","",IF($C142=0,"",_xlfn.MAXIFS('Daily tracking'!$A$2:$A$2001,'Daily tracking'!$D$2:$D$2001,$A142)))</f>
        <v/>
      </c>
      <c r="F142" s="6" t="str">
        <f aca="true">IF(OR($A142="",$E142=""),"",TODAY()-$E142)</f>
        <v/>
      </c>
      <c r="G142" s="3" t="str">
        <f aca="false">IF($A142="","",IF($C142=0,"No visits",IF($F142&gt;90,"Lapsed",IF($F142&gt;35,"At risk",IF($C142&gt;=4,"Loyal","Active")))))</f>
        <v/>
      </c>
      <c r="H142" s="9" t="str">
        <f aca="false">IF(OR($A142="",$C142=0),"",$D142/$C142)</f>
        <v/>
      </c>
      <c r="I142" s="20"/>
      <c r="J142" s="20"/>
      <c r="K142" s="19"/>
      <c r="L142" s="19"/>
      <c r="M142" s="19"/>
      <c r="N142" s="15" t="str">
        <f aca="false">IF($A142="","",IF($C142=0,0,(IF($F142&lt;=15,5,IF($F142&lt;=30,4,IF($F142&lt;=45,3,IF($F142&lt;=90,2,1))))+IF($C142&gt;=10,5,IF($C142&gt;=6,4,IF($C142&gt;=4,3,IF($C142&gt;=2,2,1))))+IF($D142&gt;=20000,5,IF($D142&gt;=10000,4,IF($D142&gt;=5000,3,IF($D142&gt;=2000,2,1)))))))</f>
        <v/>
      </c>
      <c r="O142" s="3" t="str">
        <f aca="false">IF($A142="","",IF($C142=0,"No visits",IF($N142&gt;=13,"VIP",IF($N142&gt;=10,"High value",IF($N142&gt;=7,"Regular",IF($N142&gt;=4,"Occasional","Low"))))))</f>
        <v/>
      </c>
      <c r="P142" s="6" t="str">
        <f aca="true">IF(OR($A142="",$I142=""),"",IF(MONTH($I142)=MONTH(TODAY()),"Yes",""))</f>
        <v/>
      </c>
      <c r="Q142" s="21" t="str">
        <f aca="false">IF($A142="","",IF($C142=0,"",_xlfn.MINIFS('Daily tracking'!$A$2:$A$2001,'Daily tracking'!$D$2:$D$2001,$A142)))</f>
        <v/>
      </c>
      <c r="R142" s="6" t="str">
        <f aca="false">IF(OR($A142="",$C142&lt;2),"",($E142-$Q142)/($C142-1))</f>
        <v/>
      </c>
    </row>
    <row r="143" customFormat="false" ht="14.25" hidden="false" customHeight="false" outlineLevel="0" collapsed="false">
      <c r="A143" s="19"/>
      <c r="B143" s="19"/>
      <c r="C143" s="15" t="str">
        <f aca="false">IF($A143="","",COUNTIF('Daily tracking'!$D$2:$D$2001,$A143))</f>
        <v/>
      </c>
      <c r="D143" s="16" t="str">
        <f aca="false">IF($A143="","",SUMIF('Daily tracking'!$D$2:$D$2001,$A143,'Daily tracking'!$G$2:$G$2001))</f>
        <v/>
      </c>
      <c r="E143" s="18" t="str">
        <f aca="false">IF($A143="","",IF($C143=0,"",_xlfn.MAXIFS('Daily tracking'!$A$2:$A$2001,'Daily tracking'!$D$2:$D$2001,$A143)))</f>
        <v/>
      </c>
      <c r="F143" s="6" t="str">
        <f aca="true">IF(OR($A143="",$E143=""),"",TODAY()-$E143)</f>
        <v/>
      </c>
      <c r="G143" s="3" t="str">
        <f aca="false">IF($A143="","",IF($C143=0,"No visits",IF($F143&gt;90,"Lapsed",IF($F143&gt;35,"At risk",IF($C143&gt;=4,"Loyal","Active")))))</f>
        <v/>
      </c>
      <c r="H143" s="9" t="str">
        <f aca="false">IF(OR($A143="",$C143=0),"",$D143/$C143)</f>
        <v/>
      </c>
      <c r="I143" s="20"/>
      <c r="J143" s="20"/>
      <c r="K143" s="19"/>
      <c r="L143" s="19"/>
      <c r="M143" s="19"/>
      <c r="N143" s="15" t="str">
        <f aca="false">IF($A143="","",IF($C143=0,0,(IF($F143&lt;=15,5,IF($F143&lt;=30,4,IF($F143&lt;=45,3,IF($F143&lt;=90,2,1))))+IF($C143&gt;=10,5,IF($C143&gt;=6,4,IF($C143&gt;=4,3,IF($C143&gt;=2,2,1))))+IF($D143&gt;=20000,5,IF($D143&gt;=10000,4,IF($D143&gt;=5000,3,IF($D143&gt;=2000,2,1)))))))</f>
        <v/>
      </c>
      <c r="O143" s="3" t="str">
        <f aca="false">IF($A143="","",IF($C143=0,"No visits",IF($N143&gt;=13,"VIP",IF($N143&gt;=10,"High value",IF($N143&gt;=7,"Regular",IF($N143&gt;=4,"Occasional","Low"))))))</f>
        <v/>
      </c>
      <c r="P143" s="6" t="str">
        <f aca="true">IF(OR($A143="",$I143=""),"",IF(MONTH($I143)=MONTH(TODAY()),"Yes",""))</f>
        <v/>
      </c>
      <c r="Q143" s="21" t="str">
        <f aca="false">IF($A143="","",IF($C143=0,"",_xlfn.MINIFS('Daily tracking'!$A$2:$A$2001,'Daily tracking'!$D$2:$D$2001,$A143)))</f>
        <v/>
      </c>
      <c r="R143" s="6" t="str">
        <f aca="false">IF(OR($A143="",$C143&lt;2),"",($E143-$Q143)/($C143-1))</f>
        <v/>
      </c>
    </row>
    <row r="144" customFormat="false" ht="14.25" hidden="false" customHeight="false" outlineLevel="0" collapsed="false">
      <c r="A144" s="19"/>
      <c r="B144" s="19"/>
      <c r="C144" s="15" t="str">
        <f aca="false">IF($A144="","",COUNTIF('Daily tracking'!$D$2:$D$2001,$A144))</f>
        <v/>
      </c>
      <c r="D144" s="16" t="str">
        <f aca="false">IF($A144="","",SUMIF('Daily tracking'!$D$2:$D$2001,$A144,'Daily tracking'!$G$2:$G$2001))</f>
        <v/>
      </c>
      <c r="E144" s="18" t="str">
        <f aca="false">IF($A144="","",IF($C144=0,"",_xlfn.MAXIFS('Daily tracking'!$A$2:$A$2001,'Daily tracking'!$D$2:$D$2001,$A144)))</f>
        <v/>
      </c>
      <c r="F144" s="6" t="str">
        <f aca="true">IF(OR($A144="",$E144=""),"",TODAY()-$E144)</f>
        <v/>
      </c>
      <c r="G144" s="3" t="str">
        <f aca="false">IF($A144="","",IF($C144=0,"No visits",IF($F144&gt;90,"Lapsed",IF($F144&gt;35,"At risk",IF($C144&gt;=4,"Loyal","Active")))))</f>
        <v/>
      </c>
      <c r="H144" s="9" t="str">
        <f aca="false">IF(OR($A144="",$C144=0),"",$D144/$C144)</f>
        <v/>
      </c>
      <c r="I144" s="20"/>
      <c r="J144" s="20"/>
      <c r="K144" s="19"/>
      <c r="L144" s="19"/>
      <c r="M144" s="19"/>
      <c r="N144" s="15" t="str">
        <f aca="false">IF($A144="","",IF($C144=0,0,(IF($F144&lt;=15,5,IF($F144&lt;=30,4,IF($F144&lt;=45,3,IF($F144&lt;=90,2,1))))+IF($C144&gt;=10,5,IF($C144&gt;=6,4,IF($C144&gt;=4,3,IF($C144&gt;=2,2,1))))+IF($D144&gt;=20000,5,IF($D144&gt;=10000,4,IF($D144&gt;=5000,3,IF($D144&gt;=2000,2,1)))))))</f>
        <v/>
      </c>
      <c r="O144" s="3" t="str">
        <f aca="false">IF($A144="","",IF($C144=0,"No visits",IF($N144&gt;=13,"VIP",IF($N144&gt;=10,"High value",IF($N144&gt;=7,"Regular",IF($N144&gt;=4,"Occasional","Low"))))))</f>
        <v/>
      </c>
      <c r="P144" s="6" t="str">
        <f aca="true">IF(OR($A144="",$I144=""),"",IF(MONTH($I144)=MONTH(TODAY()),"Yes",""))</f>
        <v/>
      </c>
      <c r="Q144" s="21" t="str">
        <f aca="false">IF($A144="","",IF($C144=0,"",_xlfn.MINIFS('Daily tracking'!$A$2:$A$2001,'Daily tracking'!$D$2:$D$2001,$A144)))</f>
        <v/>
      </c>
      <c r="R144" s="6" t="str">
        <f aca="false">IF(OR($A144="",$C144&lt;2),"",($E144-$Q144)/($C144-1))</f>
        <v/>
      </c>
    </row>
    <row r="145" customFormat="false" ht="14.25" hidden="false" customHeight="false" outlineLevel="0" collapsed="false">
      <c r="A145" s="19"/>
      <c r="B145" s="19"/>
      <c r="C145" s="15" t="str">
        <f aca="false">IF($A145="","",COUNTIF('Daily tracking'!$D$2:$D$2001,$A145))</f>
        <v/>
      </c>
      <c r="D145" s="16" t="str">
        <f aca="false">IF($A145="","",SUMIF('Daily tracking'!$D$2:$D$2001,$A145,'Daily tracking'!$G$2:$G$2001))</f>
        <v/>
      </c>
      <c r="E145" s="18" t="str">
        <f aca="false">IF($A145="","",IF($C145=0,"",_xlfn.MAXIFS('Daily tracking'!$A$2:$A$2001,'Daily tracking'!$D$2:$D$2001,$A145)))</f>
        <v/>
      </c>
      <c r="F145" s="6" t="str">
        <f aca="true">IF(OR($A145="",$E145=""),"",TODAY()-$E145)</f>
        <v/>
      </c>
      <c r="G145" s="3" t="str">
        <f aca="false">IF($A145="","",IF($C145=0,"No visits",IF($F145&gt;90,"Lapsed",IF($F145&gt;35,"At risk",IF($C145&gt;=4,"Loyal","Active")))))</f>
        <v/>
      </c>
      <c r="H145" s="9" t="str">
        <f aca="false">IF(OR($A145="",$C145=0),"",$D145/$C145)</f>
        <v/>
      </c>
      <c r="I145" s="20"/>
      <c r="J145" s="20"/>
      <c r="K145" s="19"/>
      <c r="L145" s="19"/>
      <c r="M145" s="19"/>
      <c r="N145" s="15" t="str">
        <f aca="false">IF($A145="","",IF($C145=0,0,(IF($F145&lt;=15,5,IF($F145&lt;=30,4,IF($F145&lt;=45,3,IF($F145&lt;=90,2,1))))+IF($C145&gt;=10,5,IF($C145&gt;=6,4,IF($C145&gt;=4,3,IF($C145&gt;=2,2,1))))+IF($D145&gt;=20000,5,IF($D145&gt;=10000,4,IF($D145&gt;=5000,3,IF($D145&gt;=2000,2,1)))))))</f>
        <v/>
      </c>
      <c r="O145" s="3" t="str">
        <f aca="false">IF($A145="","",IF($C145=0,"No visits",IF($N145&gt;=13,"VIP",IF($N145&gt;=10,"High value",IF($N145&gt;=7,"Regular",IF($N145&gt;=4,"Occasional","Low"))))))</f>
        <v/>
      </c>
      <c r="P145" s="6" t="str">
        <f aca="true">IF(OR($A145="",$I145=""),"",IF(MONTH($I145)=MONTH(TODAY()),"Yes",""))</f>
        <v/>
      </c>
      <c r="Q145" s="21" t="str">
        <f aca="false">IF($A145="","",IF($C145=0,"",_xlfn.MINIFS('Daily tracking'!$A$2:$A$2001,'Daily tracking'!$D$2:$D$2001,$A145)))</f>
        <v/>
      </c>
      <c r="R145" s="6" t="str">
        <f aca="false">IF(OR($A145="",$C145&lt;2),"",($E145-$Q145)/($C145-1))</f>
        <v/>
      </c>
    </row>
    <row r="146" customFormat="false" ht="14.25" hidden="false" customHeight="false" outlineLevel="0" collapsed="false">
      <c r="A146" s="19"/>
      <c r="B146" s="19"/>
      <c r="C146" s="15" t="str">
        <f aca="false">IF($A146="","",COUNTIF('Daily tracking'!$D$2:$D$2001,$A146))</f>
        <v/>
      </c>
      <c r="D146" s="16" t="str">
        <f aca="false">IF($A146="","",SUMIF('Daily tracking'!$D$2:$D$2001,$A146,'Daily tracking'!$G$2:$G$2001))</f>
        <v/>
      </c>
      <c r="E146" s="18" t="str">
        <f aca="false">IF($A146="","",IF($C146=0,"",_xlfn.MAXIFS('Daily tracking'!$A$2:$A$2001,'Daily tracking'!$D$2:$D$2001,$A146)))</f>
        <v/>
      </c>
      <c r="F146" s="6" t="str">
        <f aca="true">IF(OR($A146="",$E146=""),"",TODAY()-$E146)</f>
        <v/>
      </c>
      <c r="G146" s="3" t="str">
        <f aca="false">IF($A146="","",IF($C146=0,"No visits",IF($F146&gt;90,"Lapsed",IF($F146&gt;35,"At risk",IF($C146&gt;=4,"Loyal","Active")))))</f>
        <v/>
      </c>
      <c r="H146" s="9" t="str">
        <f aca="false">IF(OR($A146="",$C146=0),"",$D146/$C146)</f>
        <v/>
      </c>
      <c r="I146" s="20"/>
      <c r="J146" s="20"/>
      <c r="K146" s="19"/>
      <c r="L146" s="19"/>
      <c r="M146" s="19"/>
      <c r="N146" s="15" t="str">
        <f aca="false">IF($A146="","",IF($C146=0,0,(IF($F146&lt;=15,5,IF($F146&lt;=30,4,IF($F146&lt;=45,3,IF($F146&lt;=90,2,1))))+IF($C146&gt;=10,5,IF($C146&gt;=6,4,IF($C146&gt;=4,3,IF($C146&gt;=2,2,1))))+IF($D146&gt;=20000,5,IF($D146&gt;=10000,4,IF($D146&gt;=5000,3,IF($D146&gt;=2000,2,1)))))))</f>
        <v/>
      </c>
      <c r="O146" s="3" t="str">
        <f aca="false">IF($A146="","",IF($C146=0,"No visits",IF($N146&gt;=13,"VIP",IF($N146&gt;=10,"High value",IF($N146&gt;=7,"Regular",IF($N146&gt;=4,"Occasional","Low"))))))</f>
        <v/>
      </c>
      <c r="P146" s="6" t="str">
        <f aca="true">IF(OR($A146="",$I146=""),"",IF(MONTH($I146)=MONTH(TODAY()),"Yes",""))</f>
        <v/>
      </c>
      <c r="Q146" s="21" t="str">
        <f aca="false">IF($A146="","",IF($C146=0,"",_xlfn.MINIFS('Daily tracking'!$A$2:$A$2001,'Daily tracking'!$D$2:$D$2001,$A146)))</f>
        <v/>
      </c>
      <c r="R146" s="6" t="str">
        <f aca="false">IF(OR($A146="",$C146&lt;2),"",($E146-$Q146)/($C146-1))</f>
        <v/>
      </c>
    </row>
    <row r="147" customFormat="false" ht="14.25" hidden="false" customHeight="false" outlineLevel="0" collapsed="false">
      <c r="A147" s="19"/>
      <c r="B147" s="19"/>
      <c r="C147" s="15" t="str">
        <f aca="false">IF($A147="","",COUNTIF('Daily tracking'!$D$2:$D$2001,$A147))</f>
        <v/>
      </c>
      <c r="D147" s="16" t="str">
        <f aca="false">IF($A147="","",SUMIF('Daily tracking'!$D$2:$D$2001,$A147,'Daily tracking'!$G$2:$G$2001))</f>
        <v/>
      </c>
      <c r="E147" s="18" t="str">
        <f aca="false">IF($A147="","",IF($C147=0,"",_xlfn.MAXIFS('Daily tracking'!$A$2:$A$2001,'Daily tracking'!$D$2:$D$2001,$A147)))</f>
        <v/>
      </c>
      <c r="F147" s="6" t="str">
        <f aca="true">IF(OR($A147="",$E147=""),"",TODAY()-$E147)</f>
        <v/>
      </c>
      <c r="G147" s="3" t="str">
        <f aca="false">IF($A147="","",IF($C147=0,"No visits",IF($F147&gt;90,"Lapsed",IF($F147&gt;35,"At risk",IF($C147&gt;=4,"Loyal","Active")))))</f>
        <v/>
      </c>
      <c r="H147" s="9" t="str">
        <f aca="false">IF(OR($A147="",$C147=0),"",$D147/$C147)</f>
        <v/>
      </c>
      <c r="I147" s="20"/>
      <c r="J147" s="20"/>
      <c r="K147" s="19"/>
      <c r="L147" s="19"/>
      <c r="M147" s="19"/>
      <c r="N147" s="15" t="str">
        <f aca="false">IF($A147="","",IF($C147=0,0,(IF($F147&lt;=15,5,IF($F147&lt;=30,4,IF($F147&lt;=45,3,IF($F147&lt;=90,2,1))))+IF($C147&gt;=10,5,IF($C147&gt;=6,4,IF($C147&gt;=4,3,IF($C147&gt;=2,2,1))))+IF($D147&gt;=20000,5,IF($D147&gt;=10000,4,IF($D147&gt;=5000,3,IF($D147&gt;=2000,2,1)))))))</f>
        <v/>
      </c>
      <c r="O147" s="3" t="str">
        <f aca="false">IF($A147="","",IF($C147=0,"No visits",IF($N147&gt;=13,"VIP",IF($N147&gt;=10,"High value",IF($N147&gt;=7,"Regular",IF($N147&gt;=4,"Occasional","Low"))))))</f>
        <v/>
      </c>
      <c r="P147" s="6" t="str">
        <f aca="true">IF(OR($A147="",$I147=""),"",IF(MONTH($I147)=MONTH(TODAY()),"Yes",""))</f>
        <v/>
      </c>
      <c r="Q147" s="21" t="str">
        <f aca="false">IF($A147="","",IF($C147=0,"",_xlfn.MINIFS('Daily tracking'!$A$2:$A$2001,'Daily tracking'!$D$2:$D$2001,$A147)))</f>
        <v/>
      </c>
      <c r="R147" s="6" t="str">
        <f aca="false">IF(OR($A147="",$C147&lt;2),"",($E147-$Q147)/($C147-1))</f>
        <v/>
      </c>
    </row>
    <row r="148" customFormat="false" ht="14.25" hidden="false" customHeight="false" outlineLevel="0" collapsed="false">
      <c r="A148" s="19"/>
      <c r="B148" s="19"/>
      <c r="C148" s="15" t="str">
        <f aca="false">IF($A148="","",COUNTIF('Daily tracking'!$D$2:$D$2001,$A148))</f>
        <v/>
      </c>
      <c r="D148" s="16" t="str">
        <f aca="false">IF($A148="","",SUMIF('Daily tracking'!$D$2:$D$2001,$A148,'Daily tracking'!$G$2:$G$2001))</f>
        <v/>
      </c>
      <c r="E148" s="18" t="str">
        <f aca="false">IF($A148="","",IF($C148=0,"",_xlfn.MAXIFS('Daily tracking'!$A$2:$A$2001,'Daily tracking'!$D$2:$D$2001,$A148)))</f>
        <v/>
      </c>
      <c r="F148" s="6" t="str">
        <f aca="true">IF(OR($A148="",$E148=""),"",TODAY()-$E148)</f>
        <v/>
      </c>
      <c r="G148" s="3" t="str">
        <f aca="false">IF($A148="","",IF($C148=0,"No visits",IF($F148&gt;90,"Lapsed",IF($F148&gt;35,"At risk",IF($C148&gt;=4,"Loyal","Active")))))</f>
        <v/>
      </c>
      <c r="H148" s="9" t="str">
        <f aca="false">IF(OR($A148="",$C148=0),"",$D148/$C148)</f>
        <v/>
      </c>
      <c r="I148" s="20"/>
      <c r="J148" s="20"/>
      <c r="K148" s="19"/>
      <c r="L148" s="19"/>
      <c r="M148" s="19"/>
      <c r="N148" s="15" t="str">
        <f aca="false">IF($A148="","",IF($C148=0,0,(IF($F148&lt;=15,5,IF($F148&lt;=30,4,IF($F148&lt;=45,3,IF($F148&lt;=90,2,1))))+IF($C148&gt;=10,5,IF($C148&gt;=6,4,IF($C148&gt;=4,3,IF($C148&gt;=2,2,1))))+IF($D148&gt;=20000,5,IF($D148&gt;=10000,4,IF($D148&gt;=5000,3,IF($D148&gt;=2000,2,1)))))))</f>
        <v/>
      </c>
      <c r="O148" s="3" t="str">
        <f aca="false">IF($A148="","",IF($C148=0,"No visits",IF($N148&gt;=13,"VIP",IF($N148&gt;=10,"High value",IF($N148&gt;=7,"Regular",IF($N148&gt;=4,"Occasional","Low"))))))</f>
        <v/>
      </c>
      <c r="P148" s="6" t="str">
        <f aca="true">IF(OR($A148="",$I148=""),"",IF(MONTH($I148)=MONTH(TODAY()),"Yes",""))</f>
        <v/>
      </c>
      <c r="Q148" s="21" t="str">
        <f aca="false">IF($A148="","",IF($C148=0,"",_xlfn.MINIFS('Daily tracking'!$A$2:$A$2001,'Daily tracking'!$D$2:$D$2001,$A148)))</f>
        <v/>
      </c>
      <c r="R148" s="6" t="str">
        <f aca="false">IF(OR($A148="",$C148&lt;2),"",($E148-$Q148)/($C148-1))</f>
        <v/>
      </c>
    </row>
    <row r="149" customFormat="false" ht="14.25" hidden="false" customHeight="false" outlineLevel="0" collapsed="false">
      <c r="A149" s="19"/>
      <c r="B149" s="19"/>
      <c r="C149" s="15" t="str">
        <f aca="false">IF($A149="","",COUNTIF('Daily tracking'!$D$2:$D$2001,$A149))</f>
        <v/>
      </c>
      <c r="D149" s="16" t="str">
        <f aca="false">IF($A149="","",SUMIF('Daily tracking'!$D$2:$D$2001,$A149,'Daily tracking'!$G$2:$G$2001))</f>
        <v/>
      </c>
      <c r="E149" s="18" t="str">
        <f aca="false">IF($A149="","",IF($C149=0,"",_xlfn.MAXIFS('Daily tracking'!$A$2:$A$2001,'Daily tracking'!$D$2:$D$2001,$A149)))</f>
        <v/>
      </c>
      <c r="F149" s="6" t="str">
        <f aca="true">IF(OR($A149="",$E149=""),"",TODAY()-$E149)</f>
        <v/>
      </c>
      <c r="G149" s="3" t="str">
        <f aca="false">IF($A149="","",IF($C149=0,"No visits",IF($F149&gt;90,"Lapsed",IF($F149&gt;35,"At risk",IF($C149&gt;=4,"Loyal","Active")))))</f>
        <v/>
      </c>
      <c r="H149" s="9" t="str">
        <f aca="false">IF(OR($A149="",$C149=0),"",$D149/$C149)</f>
        <v/>
      </c>
      <c r="I149" s="20"/>
      <c r="J149" s="20"/>
      <c r="K149" s="19"/>
      <c r="L149" s="19"/>
      <c r="M149" s="19"/>
      <c r="N149" s="15" t="str">
        <f aca="false">IF($A149="","",IF($C149=0,0,(IF($F149&lt;=15,5,IF($F149&lt;=30,4,IF($F149&lt;=45,3,IF($F149&lt;=90,2,1))))+IF($C149&gt;=10,5,IF($C149&gt;=6,4,IF($C149&gt;=4,3,IF($C149&gt;=2,2,1))))+IF($D149&gt;=20000,5,IF($D149&gt;=10000,4,IF($D149&gt;=5000,3,IF($D149&gt;=2000,2,1)))))))</f>
        <v/>
      </c>
      <c r="O149" s="3" t="str">
        <f aca="false">IF($A149="","",IF($C149=0,"No visits",IF($N149&gt;=13,"VIP",IF($N149&gt;=10,"High value",IF($N149&gt;=7,"Regular",IF($N149&gt;=4,"Occasional","Low"))))))</f>
        <v/>
      </c>
      <c r="P149" s="6" t="str">
        <f aca="true">IF(OR($A149="",$I149=""),"",IF(MONTH($I149)=MONTH(TODAY()),"Yes",""))</f>
        <v/>
      </c>
      <c r="Q149" s="21" t="str">
        <f aca="false">IF($A149="","",IF($C149=0,"",_xlfn.MINIFS('Daily tracking'!$A$2:$A$2001,'Daily tracking'!$D$2:$D$2001,$A149)))</f>
        <v/>
      </c>
      <c r="R149" s="6" t="str">
        <f aca="false">IF(OR($A149="",$C149&lt;2),"",($E149-$Q149)/($C149-1))</f>
        <v/>
      </c>
    </row>
    <row r="150" customFormat="false" ht="14.25" hidden="false" customHeight="false" outlineLevel="0" collapsed="false">
      <c r="A150" s="19"/>
      <c r="B150" s="19"/>
      <c r="C150" s="15" t="str">
        <f aca="false">IF($A150="","",COUNTIF('Daily tracking'!$D$2:$D$2001,$A150))</f>
        <v/>
      </c>
      <c r="D150" s="16" t="str">
        <f aca="false">IF($A150="","",SUMIF('Daily tracking'!$D$2:$D$2001,$A150,'Daily tracking'!$G$2:$G$2001))</f>
        <v/>
      </c>
      <c r="E150" s="18" t="str">
        <f aca="false">IF($A150="","",IF($C150=0,"",_xlfn.MAXIFS('Daily tracking'!$A$2:$A$2001,'Daily tracking'!$D$2:$D$2001,$A150)))</f>
        <v/>
      </c>
      <c r="F150" s="6" t="str">
        <f aca="true">IF(OR($A150="",$E150=""),"",TODAY()-$E150)</f>
        <v/>
      </c>
      <c r="G150" s="3" t="str">
        <f aca="false">IF($A150="","",IF($C150=0,"No visits",IF($F150&gt;90,"Lapsed",IF($F150&gt;35,"At risk",IF($C150&gt;=4,"Loyal","Active")))))</f>
        <v/>
      </c>
      <c r="H150" s="9" t="str">
        <f aca="false">IF(OR($A150="",$C150=0),"",$D150/$C150)</f>
        <v/>
      </c>
      <c r="I150" s="20"/>
      <c r="J150" s="20"/>
      <c r="K150" s="19"/>
      <c r="L150" s="19"/>
      <c r="M150" s="19"/>
      <c r="N150" s="15" t="str">
        <f aca="false">IF($A150="","",IF($C150=0,0,(IF($F150&lt;=15,5,IF($F150&lt;=30,4,IF($F150&lt;=45,3,IF($F150&lt;=90,2,1))))+IF($C150&gt;=10,5,IF($C150&gt;=6,4,IF($C150&gt;=4,3,IF($C150&gt;=2,2,1))))+IF($D150&gt;=20000,5,IF($D150&gt;=10000,4,IF($D150&gt;=5000,3,IF($D150&gt;=2000,2,1)))))))</f>
        <v/>
      </c>
      <c r="O150" s="3" t="str">
        <f aca="false">IF($A150="","",IF($C150=0,"No visits",IF($N150&gt;=13,"VIP",IF($N150&gt;=10,"High value",IF($N150&gt;=7,"Regular",IF($N150&gt;=4,"Occasional","Low"))))))</f>
        <v/>
      </c>
      <c r="P150" s="6" t="str">
        <f aca="true">IF(OR($A150="",$I150=""),"",IF(MONTH($I150)=MONTH(TODAY()),"Yes",""))</f>
        <v/>
      </c>
      <c r="Q150" s="21" t="str">
        <f aca="false">IF($A150="","",IF($C150=0,"",_xlfn.MINIFS('Daily tracking'!$A$2:$A$2001,'Daily tracking'!$D$2:$D$2001,$A150)))</f>
        <v/>
      </c>
      <c r="R150" s="6" t="str">
        <f aca="false">IF(OR($A150="",$C150&lt;2),"",($E150-$Q150)/($C150-1))</f>
        <v/>
      </c>
    </row>
    <row r="151" customFormat="false" ht="14.25" hidden="false" customHeight="false" outlineLevel="0" collapsed="false">
      <c r="A151" s="19"/>
      <c r="B151" s="19"/>
      <c r="C151" s="15" t="str">
        <f aca="false">IF($A151="","",COUNTIF('Daily tracking'!$D$2:$D$2001,$A151))</f>
        <v/>
      </c>
      <c r="D151" s="16" t="str">
        <f aca="false">IF($A151="","",SUMIF('Daily tracking'!$D$2:$D$2001,$A151,'Daily tracking'!$G$2:$G$2001))</f>
        <v/>
      </c>
      <c r="E151" s="18" t="str">
        <f aca="false">IF($A151="","",IF($C151=0,"",_xlfn.MAXIFS('Daily tracking'!$A$2:$A$2001,'Daily tracking'!$D$2:$D$2001,$A151)))</f>
        <v/>
      </c>
      <c r="F151" s="6" t="str">
        <f aca="true">IF(OR($A151="",$E151=""),"",TODAY()-$E151)</f>
        <v/>
      </c>
      <c r="G151" s="3" t="str">
        <f aca="false">IF($A151="","",IF($C151=0,"No visits",IF($F151&gt;90,"Lapsed",IF($F151&gt;35,"At risk",IF($C151&gt;=4,"Loyal","Active")))))</f>
        <v/>
      </c>
      <c r="H151" s="9" t="str">
        <f aca="false">IF(OR($A151="",$C151=0),"",$D151/$C151)</f>
        <v/>
      </c>
      <c r="I151" s="20"/>
      <c r="J151" s="20"/>
      <c r="K151" s="19"/>
      <c r="L151" s="19"/>
      <c r="M151" s="19"/>
      <c r="N151" s="15" t="str">
        <f aca="false">IF($A151="","",IF($C151=0,0,(IF($F151&lt;=15,5,IF($F151&lt;=30,4,IF($F151&lt;=45,3,IF($F151&lt;=90,2,1))))+IF($C151&gt;=10,5,IF($C151&gt;=6,4,IF($C151&gt;=4,3,IF($C151&gt;=2,2,1))))+IF($D151&gt;=20000,5,IF($D151&gt;=10000,4,IF($D151&gt;=5000,3,IF($D151&gt;=2000,2,1)))))))</f>
        <v/>
      </c>
      <c r="O151" s="3" t="str">
        <f aca="false">IF($A151="","",IF($C151=0,"No visits",IF($N151&gt;=13,"VIP",IF($N151&gt;=10,"High value",IF($N151&gt;=7,"Regular",IF($N151&gt;=4,"Occasional","Low"))))))</f>
        <v/>
      </c>
      <c r="P151" s="6" t="str">
        <f aca="true">IF(OR($A151="",$I151=""),"",IF(MONTH($I151)=MONTH(TODAY()),"Yes",""))</f>
        <v/>
      </c>
      <c r="Q151" s="21" t="str">
        <f aca="false">IF($A151="","",IF($C151=0,"",_xlfn.MINIFS('Daily tracking'!$A$2:$A$2001,'Daily tracking'!$D$2:$D$2001,$A151)))</f>
        <v/>
      </c>
      <c r="R151" s="6" t="str">
        <f aca="false">IF(OR($A151="",$C151&lt;2),"",($E151-$Q151)/($C151-1))</f>
        <v/>
      </c>
    </row>
    <row r="152" customFormat="false" ht="14.25" hidden="false" customHeight="false" outlineLevel="0" collapsed="false">
      <c r="A152" s="19"/>
      <c r="B152" s="19"/>
      <c r="C152" s="15" t="str">
        <f aca="false">IF($A152="","",COUNTIF('Daily tracking'!$D$2:$D$2001,$A152))</f>
        <v/>
      </c>
      <c r="D152" s="16" t="str">
        <f aca="false">IF($A152="","",SUMIF('Daily tracking'!$D$2:$D$2001,$A152,'Daily tracking'!$G$2:$G$2001))</f>
        <v/>
      </c>
      <c r="E152" s="18" t="str">
        <f aca="false">IF($A152="","",IF($C152=0,"",_xlfn.MAXIFS('Daily tracking'!$A$2:$A$2001,'Daily tracking'!$D$2:$D$2001,$A152)))</f>
        <v/>
      </c>
      <c r="F152" s="6" t="str">
        <f aca="true">IF(OR($A152="",$E152=""),"",TODAY()-$E152)</f>
        <v/>
      </c>
      <c r="G152" s="3" t="str">
        <f aca="false">IF($A152="","",IF($C152=0,"No visits",IF($F152&gt;90,"Lapsed",IF($F152&gt;35,"At risk",IF($C152&gt;=4,"Loyal","Active")))))</f>
        <v/>
      </c>
      <c r="H152" s="9" t="str">
        <f aca="false">IF(OR($A152="",$C152=0),"",$D152/$C152)</f>
        <v/>
      </c>
      <c r="I152" s="20"/>
      <c r="J152" s="20"/>
      <c r="K152" s="19"/>
      <c r="L152" s="19"/>
      <c r="M152" s="19"/>
      <c r="N152" s="15" t="str">
        <f aca="false">IF($A152="","",IF($C152=0,0,(IF($F152&lt;=15,5,IF($F152&lt;=30,4,IF($F152&lt;=45,3,IF($F152&lt;=90,2,1))))+IF($C152&gt;=10,5,IF($C152&gt;=6,4,IF($C152&gt;=4,3,IF($C152&gt;=2,2,1))))+IF($D152&gt;=20000,5,IF($D152&gt;=10000,4,IF($D152&gt;=5000,3,IF($D152&gt;=2000,2,1)))))))</f>
        <v/>
      </c>
      <c r="O152" s="3" t="str">
        <f aca="false">IF($A152="","",IF($C152=0,"No visits",IF($N152&gt;=13,"VIP",IF($N152&gt;=10,"High value",IF($N152&gt;=7,"Regular",IF($N152&gt;=4,"Occasional","Low"))))))</f>
        <v/>
      </c>
      <c r="P152" s="6" t="str">
        <f aca="true">IF(OR($A152="",$I152=""),"",IF(MONTH($I152)=MONTH(TODAY()),"Yes",""))</f>
        <v/>
      </c>
      <c r="Q152" s="21" t="str">
        <f aca="false">IF($A152="","",IF($C152=0,"",_xlfn.MINIFS('Daily tracking'!$A$2:$A$2001,'Daily tracking'!$D$2:$D$2001,$A152)))</f>
        <v/>
      </c>
      <c r="R152" s="6" t="str">
        <f aca="false">IF(OR($A152="",$C152&lt;2),"",($E152-$Q152)/($C152-1))</f>
        <v/>
      </c>
    </row>
    <row r="153" customFormat="false" ht="14.25" hidden="false" customHeight="false" outlineLevel="0" collapsed="false">
      <c r="A153" s="19"/>
      <c r="B153" s="19"/>
      <c r="C153" s="15" t="str">
        <f aca="false">IF($A153="","",COUNTIF('Daily tracking'!$D$2:$D$2001,$A153))</f>
        <v/>
      </c>
      <c r="D153" s="16" t="str">
        <f aca="false">IF($A153="","",SUMIF('Daily tracking'!$D$2:$D$2001,$A153,'Daily tracking'!$G$2:$G$2001))</f>
        <v/>
      </c>
      <c r="E153" s="18" t="str">
        <f aca="false">IF($A153="","",IF($C153=0,"",_xlfn.MAXIFS('Daily tracking'!$A$2:$A$2001,'Daily tracking'!$D$2:$D$2001,$A153)))</f>
        <v/>
      </c>
      <c r="F153" s="6" t="str">
        <f aca="true">IF(OR($A153="",$E153=""),"",TODAY()-$E153)</f>
        <v/>
      </c>
      <c r="G153" s="3" t="str">
        <f aca="false">IF($A153="","",IF($C153=0,"No visits",IF($F153&gt;90,"Lapsed",IF($F153&gt;35,"At risk",IF($C153&gt;=4,"Loyal","Active")))))</f>
        <v/>
      </c>
      <c r="H153" s="9" t="str">
        <f aca="false">IF(OR($A153="",$C153=0),"",$D153/$C153)</f>
        <v/>
      </c>
      <c r="I153" s="20"/>
      <c r="J153" s="20"/>
      <c r="K153" s="19"/>
      <c r="L153" s="19"/>
      <c r="M153" s="19"/>
      <c r="N153" s="15" t="str">
        <f aca="false">IF($A153="","",IF($C153=0,0,(IF($F153&lt;=15,5,IF($F153&lt;=30,4,IF($F153&lt;=45,3,IF($F153&lt;=90,2,1))))+IF($C153&gt;=10,5,IF($C153&gt;=6,4,IF($C153&gt;=4,3,IF($C153&gt;=2,2,1))))+IF($D153&gt;=20000,5,IF($D153&gt;=10000,4,IF($D153&gt;=5000,3,IF($D153&gt;=2000,2,1)))))))</f>
        <v/>
      </c>
      <c r="O153" s="3" t="str">
        <f aca="false">IF($A153="","",IF($C153=0,"No visits",IF($N153&gt;=13,"VIP",IF($N153&gt;=10,"High value",IF($N153&gt;=7,"Regular",IF($N153&gt;=4,"Occasional","Low"))))))</f>
        <v/>
      </c>
      <c r="P153" s="6" t="str">
        <f aca="true">IF(OR($A153="",$I153=""),"",IF(MONTH($I153)=MONTH(TODAY()),"Yes",""))</f>
        <v/>
      </c>
      <c r="Q153" s="21" t="str">
        <f aca="false">IF($A153="","",IF($C153=0,"",_xlfn.MINIFS('Daily tracking'!$A$2:$A$2001,'Daily tracking'!$D$2:$D$2001,$A153)))</f>
        <v/>
      </c>
      <c r="R153" s="6" t="str">
        <f aca="false">IF(OR($A153="",$C153&lt;2),"",($E153-$Q153)/($C153-1))</f>
        <v/>
      </c>
    </row>
    <row r="154" customFormat="false" ht="14.25" hidden="false" customHeight="false" outlineLevel="0" collapsed="false">
      <c r="A154" s="19"/>
      <c r="B154" s="19"/>
      <c r="C154" s="15" t="str">
        <f aca="false">IF($A154="","",COUNTIF('Daily tracking'!$D$2:$D$2001,$A154))</f>
        <v/>
      </c>
      <c r="D154" s="16" t="str">
        <f aca="false">IF($A154="","",SUMIF('Daily tracking'!$D$2:$D$2001,$A154,'Daily tracking'!$G$2:$G$2001))</f>
        <v/>
      </c>
      <c r="E154" s="18" t="str">
        <f aca="false">IF($A154="","",IF($C154=0,"",_xlfn.MAXIFS('Daily tracking'!$A$2:$A$2001,'Daily tracking'!$D$2:$D$2001,$A154)))</f>
        <v/>
      </c>
      <c r="F154" s="6" t="str">
        <f aca="true">IF(OR($A154="",$E154=""),"",TODAY()-$E154)</f>
        <v/>
      </c>
      <c r="G154" s="3" t="str">
        <f aca="false">IF($A154="","",IF($C154=0,"No visits",IF($F154&gt;90,"Lapsed",IF($F154&gt;35,"At risk",IF($C154&gt;=4,"Loyal","Active")))))</f>
        <v/>
      </c>
      <c r="H154" s="9" t="str">
        <f aca="false">IF(OR($A154="",$C154=0),"",$D154/$C154)</f>
        <v/>
      </c>
      <c r="I154" s="20"/>
      <c r="J154" s="20"/>
      <c r="K154" s="19"/>
      <c r="L154" s="19"/>
      <c r="M154" s="19"/>
      <c r="N154" s="15" t="str">
        <f aca="false">IF($A154="","",IF($C154=0,0,(IF($F154&lt;=15,5,IF($F154&lt;=30,4,IF($F154&lt;=45,3,IF($F154&lt;=90,2,1))))+IF($C154&gt;=10,5,IF($C154&gt;=6,4,IF($C154&gt;=4,3,IF($C154&gt;=2,2,1))))+IF($D154&gt;=20000,5,IF($D154&gt;=10000,4,IF($D154&gt;=5000,3,IF($D154&gt;=2000,2,1)))))))</f>
        <v/>
      </c>
      <c r="O154" s="3" t="str">
        <f aca="false">IF($A154="","",IF($C154=0,"No visits",IF($N154&gt;=13,"VIP",IF($N154&gt;=10,"High value",IF($N154&gt;=7,"Regular",IF($N154&gt;=4,"Occasional","Low"))))))</f>
        <v/>
      </c>
      <c r="P154" s="6" t="str">
        <f aca="true">IF(OR($A154="",$I154=""),"",IF(MONTH($I154)=MONTH(TODAY()),"Yes",""))</f>
        <v/>
      </c>
      <c r="Q154" s="21" t="str">
        <f aca="false">IF($A154="","",IF($C154=0,"",_xlfn.MINIFS('Daily tracking'!$A$2:$A$2001,'Daily tracking'!$D$2:$D$2001,$A154)))</f>
        <v/>
      </c>
      <c r="R154" s="6" t="str">
        <f aca="false">IF(OR($A154="",$C154&lt;2),"",($E154-$Q154)/($C154-1))</f>
        <v/>
      </c>
    </row>
    <row r="155" customFormat="false" ht="14.25" hidden="false" customHeight="false" outlineLevel="0" collapsed="false">
      <c r="A155" s="19"/>
      <c r="B155" s="19"/>
      <c r="C155" s="15" t="str">
        <f aca="false">IF($A155="","",COUNTIF('Daily tracking'!$D$2:$D$2001,$A155))</f>
        <v/>
      </c>
      <c r="D155" s="16" t="str">
        <f aca="false">IF($A155="","",SUMIF('Daily tracking'!$D$2:$D$2001,$A155,'Daily tracking'!$G$2:$G$2001))</f>
        <v/>
      </c>
      <c r="E155" s="18" t="str">
        <f aca="false">IF($A155="","",IF($C155=0,"",_xlfn.MAXIFS('Daily tracking'!$A$2:$A$2001,'Daily tracking'!$D$2:$D$2001,$A155)))</f>
        <v/>
      </c>
      <c r="F155" s="6" t="str">
        <f aca="true">IF(OR($A155="",$E155=""),"",TODAY()-$E155)</f>
        <v/>
      </c>
      <c r="G155" s="3" t="str">
        <f aca="false">IF($A155="","",IF($C155=0,"No visits",IF($F155&gt;90,"Lapsed",IF($F155&gt;35,"At risk",IF($C155&gt;=4,"Loyal","Active")))))</f>
        <v/>
      </c>
      <c r="H155" s="9" t="str">
        <f aca="false">IF(OR($A155="",$C155=0),"",$D155/$C155)</f>
        <v/>
      </c>
      <c r="I155" s="20"/>
      <c r="J155" s="20"/>
      <c r="K155" s="19"/>
      <c r="L155" s="19"/>
      <c r="M155" s="19"/>
      <c r="N155" s="15" t="str">
        <f aca="false">IF($A155="","",IF($C155=0,0,(IF($F155&lt;=15,5,IF($F155&lt;=30,4,IF($F155&lt;=45,3,IF($F155&lt;=90,2,1))))+IF($C155&gt;=10,5,IF($C155&gt;=6,4,IF($C155&gt;=4,3,IF($C155&gt;=2,2,1))))+IF($D155&gt;=20000,5,IF($D155&gt;=10000,4,IF($D155&gt;=5000,3,IF($D155&gt;=2000,2,1)))))))</f>
        <v/>
      </c>
      <c r="O155" s="3" t="str">
        <f aca="false">IF($A155="","",IF($C155=0,"No visits",IF($N155&gt;=13,"VIP",IF($N155&gt;=10,"High value",IF($N155&gt;=7,"Regular",IF($N155&gt;=4,"Occasional","Low"))))))</f>
        <v/>
      </c>
      <c r="P155" s="6" t="str">
        <f aca="true">IF(OR($A155="",$I155=""),"",IF(MONTH($I155)=MONTH(TODAY()),"Yes",""))</f>
        <v/>
      </c>
      <c r="Q155" s="21" t="str">
        <f aca="false">IF($A155="","",IF($C155=0,"",_xlfn.MINIFS('Daily tracking'!$A$2:$A$2001,'Daily tracking'!$D$2:$D$2001,$A155)))</f>
        <v/>
      </c>
      <c r="R155" s="6" t="str">
        <f aca="false">IF(OR($A155="",$C155&lt;2),"",($E155-$Q155)/($C155-1))</f>
        <v/>
      </c>
    </row>
    <row r="156" customFormat="false" ht="14.25" hidden="false" customHeight="false" outlineLevel="0" collapsed="false">
      <c r="A156" s="19"/>
      <c r="B156" s="19"/>
      <c r="C156" s="15" t="str">
        <f aca="false">IF($A156="","",COUNTIF('Daily tracking'!$D$2:$D$2001,$A156))</f>
        <v/>
      </c>
      <c r="D156" s="16" t="str">
        <f aca="false">IF($A156="","",SUMIF('Daily tracking'!$D$2:$D$2001,$A156,'Daily tracking'!$G$2:$G$2001))</f>
        <v/>
      </c>
      <c r="E156" s="18" t="str">
        <f aca="false">IF($A156="","",IF($C156=0,"",_xlfn.MAXIFS('Daily tracking'!$A$2:$A$2001,'Daily tracking'!$D$2:$D$2001,$A156)))</f>
        <v/>
      </c>
      <c r="F156" s="6" t="str">
        <f aca="true">IF(OR($A156="",$E156=""),"",TODAY()-$E156)</f>
        <v/>
      </c>
      <c r="G156" s="3" t="str">
        <f aca="false">IF($A156="","",IF($C156=0,"No visits",IF($F156&gt;90,"Lapsed",IF($F156&gt;35,"At risk",IF($C156&gt;=4,"Loyal","Active")))))</f>
        <v/>
      </c>
      <c r="H156" s="9" t="str">
        <f aca="false">IF(OR($A156="",$C156=0),"",$D156/$C156)</f>
        <v/>
      </c>
      <c r="I156" s="20"/>
      <c r="J156" s="20"/>
      <c r="K156" s="19"/>
      <c r="L156" s="19"/>
      <c r="M156" s="19"/>
      <c r="N156" s="15" t="str">
        <f aca="false">IF($A156="","",IF($C156=0,0,(IF($F156&lt;=15,5,IF($F156&lt;=30,4,IF($F156&lt;=45,3,IF($F156&lt;=90,2,1))))+IF($C156&gt;=10,5,IF($C156&gt;=6,4,IF($C156&gt;=4,3,IF($C156&gt;=2,2,1))))+IF($D156&gt;=20000,5,IF($D156&gt;=10000,4,IF($D156&gt;=5000,3,IF($D156&gt;=2000,2,1)))))))</f>
        <v/>
      </c>
      <c r="O156" s="3" t="str">
        <f aca="false">IF($A156="","",IF($C156=0,"No visits",IF($N156&gt;=13,"VIP",IF($N156&gt;=10,"High value",IF($N156&gt;=7,"Regular",IF($N156&gt;=4,"Occasional","Low"))))))</f>
        <v/>
      </c>
      <c r="P156" s="6" t="str">
        <f aca="true">IF(OR($A156="",$I156=""),"",IF(MONTH($I156)=MONTH(TODAY()),"Yes",""))</f>
        <v/>
      </c>
      <c r="Q156" s="21" t="str">
        <f aca="false">IF($A156="","",IF($C156=0,"",_xlfn.MINIFS('Daily tracking'!$A$2:$A$2001,'Daily tracking'!$D$2:$D$2001,$A156)))</f>
        <v/>
      </c>
      <c r="R156" s="6" t="str">
        <f aca="false">IF(OR($A156="",$C156&lt;2),"",($E156-$Q156)/($C156-1))</f>
        <v/>
      </c>
    </row>
    <row r="157" customFormat="false" ht="14.25" hidden="false" customHeight="false" outlineLevel="0" collapsed="false">
      <c r="A157" s="19"/>
      <c r="B157" s="19"/>
      <c r="C157" s="15" t="str">
        <f aca="false">IF($A157="","",COUNTIF('Daily tracking'!$D$2:$D$2001,$A157))</f>
        <v/>
      </c>
      <c r="D157" s="16" t="str">
        <f aca="false">IF($A157="","",SUMIF('Daily tracking'!$D$2:$D$2001,$A157,'Daily tracking'!$G$2:$G$2001))</f>
        <v/>
      </c>
      <c r="E157" s="18" t="str">
        <f aca="false">IF($A157="","",IF($C157=0,"",_xlfn.MAXIFS('Daily tracking'!$A$2:$A$2001,'Daily tracking'!$D$2:$D$2001,$A157)))</f>
        <v/>
      </c>
      <c r="F157" s="6" t="str">
        <f aca="true">IF(OR($A157="",$E157=""),"",TODAY()-$E157)</f>
        <v/>
      </c>
      <c r="G157" s="3" t="str">
        <f aca="false">IF($A157="","",IF($C157=0,"No visits",IF($F157&gt;90,"Lapsed",IF($F157&gt;35,"At risk",IF($C157&gt;=4,"Loyal","Active")))))</f>
        <v/>
      </c>
      <c r="H157" s="9" t="str">
        <f aca="false">IF(OR($A157="",$C157=0),"",$D157/$C157)</f>
        <v/>
      </c>
      <c r="I157" s="20"/>
      <c r="J157" s="20"/>
      <c r="K157" s="19"/>
      <c r="L157" s="19"/>
      <c r="M157" s="19"/>
      <c r="N157" s="15" t="str">
        <f aca="false">IF($A157="","",IF($C157=0,0,(IF($F157&lt;=15,5,IF($F157&lt;=30,4,IF($F157&lt;=45,3,IF($F157&lt;=90,2,1))))+IF($C157&gt;=10,5,IF($C157&gt;=6,4,IF($C157&gt;=4,3,IF($C157&gt;=2,2,1))))+IF($D157&gt;=20000,5,IF($D157&gt;=10000,4,IF($D157&gt;=5000,3,IF($D157&gt;=2000,2,1)))))))</f>
        <v/>
      </c>
      <c r="O157" s="3" t="str">
        <f aca="false">IF($A157="","",IF($C157=0,"No visits",IF($N157&gt;=13,"VIP",IF($N157&gt;=10,"High value",IF($N157&gt;=7,"Regular",IF($N157&gt;=4,"Occasional","Low"))))))</f>
        <v/>
      </c>
      <c r="P157" s="6" t="str">
        <f aca="true">IF(OR($A157="",$I157=""),"",IF(MONTH($I157)=MONTH(TODAY()),"Yes",""))</f>
        <v/>
      </c>
      <c r="Q157" s="21" t="str">
        <f aca="false">IF($A157="","",IF($C157=0,"",_xlfn.MINIFS('Daily tracking'!$A$2:$A$2001,'Daily tracking'!$D$2:$D$2001,$A157)))</f>
        <v/>
      </c>
      <c r="R157" s="6" t="str">
        <f aca="false">IF(OR($A157="",$C157&lt;2),"",($E157-$Q157)/($C157-1))</f>
        <v/>
      </c>
    </row>
    <row r="158" customFormat="false" ht="14.25" hidden="false" customHeight="false" outlineLevel="0" collapsed="false">
      <c r="A158" s="19"/>
      <c r="B158" s="19"/>
      <c r="C158" s="15" t="str">
        <f aca="false">IF($A158="","",COUNTIF('Daily tracking'!$D$2:$D$2001,$A158))</f>
        <v/>
      </c>
      <c r="D158" s="16" t="str">
        <f aca="false">IF($A158="","",SUMIF('Daily tracking'!$D$2:$D$2001,$A158,'Daily tracking'!$G$2:$G$2001))</f>
        <v/>
      </c>
      <c r="E158" s="18" t="str">
        <f aca="false">IF($A158="","",IF($C158=0,"",_xlfn.MAXIFS('Daily tracking'!$A$2:$A$2001,'Daily tracking'!$D$2:$D$2001,$A158)))</f>
        <v/>
      </c>
      <c r="F158" s="6" t="str">
        <f aca="true">IF(OR($A158="",$E158=""),"",TODAY()-$E158)</f>
        <v/>
      </c>
      <c r="G158" s="3" t="str">
        <f aca="false">IF($A158="","",IF($C158=0,"No visits",IF($F158&gt;90,"Lapsed",IF($F158&gt;35,"At risk",IF($C158&gt;=4,"Loyal","Active")))))</f>
        <v/>
      </c>
      <c r="H158" s="9" t="str">
        <f aca="false">IF(OR($A158="",$C158=0),"",$D158/$C158)</f>
        <v/>
      </c>
      <c r="I158" s="20"/>
      <c r="J158" s="20"/>
      <c r="K158" s="19"/>
      <c r="L158" s="19"/>
      <c r="M158" s="19"/>
      <c r="N158" s="15" t="str">
        <f aca="false">IF($A158="","",IF($C158=0,0,(IF($F158&lt;=15,5,IF($F158&lt;=30,4,IF($F158&lt;=45,3,IF($F158&lt;=90,2,1))))+IF($C158&gt;=10,5,IF($C158&gt;=6,4,IF($C158&gt;=4,3,IF($C158&gt;=2,2,1))))+IF($D158&gt;=20000,5,IF($D158&gt;=10000,4,IF($D158&gt;=5000,3,IF($D158&gt;=2000,2,1)))))))</f>
        <v/>
      </c>
      <c r="O158" s="3" t="str">
        <f aca="false">IF($A158="","",IF($C158=0,"No visits",IF($N158&gt;=13,"VIP",IF($N158&gt;=10,"High value",IF($N158&gt;=7,"Regular",IF($N158&gt;=4,"Occasional","Low"))))))</f>
        <v/>
      </c>
      <c r="P158" s="6" t="str">
        <f aca="true">IF(OR($A158="",$I158=""),"",IF(MONTH($I158)=MONTH(TODAY()),"Yes",""))</f>
        <v/>
      </c>
      <c r="Q158" s="21" t="str">
        <f aca="false">IF($A158="","",IF($C158=0,"",_xlfn.MINIFS('Daily tracking'!$A$2:$A$2001,'Daily tracking'!$D$2:$D$2001,$A158)))</f>
        <v/>
      </c>
      <c r="R158" s="6" t="str">
        <f aca="false">IF(OR($A158="",$C158&lt;2),"",($E158-$Q158)/($C158-1))</f>
        <v/>
      </c>
    </row>
    <row r="159" customFormat="false" ht="14.25" hidden="false" customHeight="false" outlineLevel="0" collapsed="false">
      <c r="A159" s="19"/>
      <c r="B159" s="19"/>
      <c r="C159" s="15" t="str">
        <f aca="false">IF($A159="","",COUNTIF('Daily tracking'!$D$2:$D$2001,$A159))</f>
        <v/>
      </c>
      <c r="D159" s="16" t="str">
        <f aca="false">IF($A159="","",SUMIF('Daily tracking'!$D$2:$D$2001,$A159,'Daily tracking'!$G$2:$G$2001))</f>
        <v/>
      </c>
      <c r="E159" s="18" t="str">
        <f aca="false">IF($A159="","",IF($C159=0,"",_xlfn.MAXIFS('Daily tracking'!$A$2:$A$2001,'Daily tracking'!$D$2:$D$2001,$A159)))</f>
        <v/>
      </c>
      <c r="F159" s="6" t="str">
        <f aca="true">IF(OR($A159="",$E159=""),"",TODAY()-$E159)</f>
        <v/>
      </c>
      <c r="G159" s="3" t="str">
        <f aca="false">IF($A159="","",IF($C159=0,"No visits",IF($F159&gt;90,"Lapsed",IF($F159&gt;35,"At risk",IF($C159&gt;=4,"Loyal","Active")))))</f>
        <v/>
      </c>
      <c r="H159" s="9" t="str">
        <f aca="false">IF(OR($A159="",$C159=0),"",$D159/$C159)</f>
        <v/>
      </c>
      <c r="I159" s="20"/>
      <c r="J159" s="20"/>
      <c r="K159" s="19"/>
      <c r="L159" s="19"/>
      <c r="M159" s="19"/>
      <c r="N159" s="15" t="str">
        <f aca="false">IF($A159="","",IF($C159=0,0,(IF($F159&lt;=15,5,IF($F159&lt;=30,4,IF($F159&lt;=45,3,IF($F159&lt;=90,2,1))))+IF($C159&gt;=10,5,IF($C159&gt;=6,4,IF($C159&gt;=4,3,IF($C159&gt;=2,2,1))))+IF($D159&gt;=20000,5,IF($D159&gt;=10000,4,IF($D159&gt;=5000,3,IF($D159&gt;=2000,2,1)))))))</f>
        <v/>
      </c>
      <c r="O159" s="3" t="str">
        <f aca="false">IF($A159="","",IF($C159=0,"No visits",IF($N159&gt;=13,"VIP",IF($N159&gt;=10,"High value",IF($N159&gt;=7,"Regular",IF($N159&gt;=4,"Occasional","Low"))))))</f>
        <v/>
      </c>
      <c r="P159" s="6" t="str">
        <f aca="true">IF(OR($A159="",$I159=""),"",IF(MONTH($I159)=MONTH(TODAY()),"Yes",""))</f>
        <v/>
      </c>
      <c r="Q159" s="21" t="str">
        <f aca="false">IF($A159="","",IF($C159=0,"",_xlfn.MINIFS('Daily tracking'!$A$2:$A$2001,'Daily tracking'!$D$2:$D$2001,$A159)))</f>
        <v/>
      </c>
      <c r="R159" s="6" t="str">
        <f aca="false">IF(OR($A159="",$C159&lt;2),"",($E159-$Q159)/($C159-1))</f>
        <v/>
      </c>
    </row>
    <row r="160" customFormat="false" ht="14.25" hidden="false" customHeight="false" outlineLevel="0" collapsed="false">
      <c r="A160" s="19"/>
      <c r="B160" s="19"/>
      <c r="C160" s="15" t="str">
        <f aca="false">IF($A160="","",COUNTIF('Daily tracking'!$D$2:$D$2001,$A160))</f>
        <v/>
      </c>
      <c r="D160" s="16" t="str">
        <f aca="false">IF($A160="","",SUMIF('Daily tracking'!$D$2:$D$2001,$A160,'Daily tracking'!$G$2:$G$2001))</f>
        <v/>
      </c>
      <c r="E160" s="18" t="str">
        <f aca="false">IF($A160="","",IF($C160=0,"",_xlfn.MAXIFS('Daily tracking'!$A$2:$A$2001,'Daily tracking'!$D$2:$D$2001,$A160)))</f>
        <v/>
      </c>
      <c r="F160" s="6" t="str">
        <f aca="true">IF(OR($A160="",$E160=""),"",TODAY()-$E160)</f>
        <v/>
      </c>
      <c r="G160" s="3" t="str">
        <f aca="false">IF($A160="","",IF($C160=0,"No visits",IF($F160&gt;90,"Lapsed",IF($F160&gt;35,"At risk",IF($C160&gt;=4,"Loyal","Active")))))</f>
        <v/>
      </c>
      <c r="H160" s="9" t="str">
        <f aca="false">IF(OR($A160="",$C160=0),"",$D160/$C160)</f>
        <v/>
      </c>
      <c r="I160" s="20"/>
      <c r="J160" s="20"/>
      <c r="K160" s="19"/>
      <c r="L160" s="19"/>
      <c r="M160" s="19"/>
      <c r="N160" s="15" t="str">
        <f aca="false">IF($A160="","",IF($C160=0,0,(IF($F160&lt;=15,5,IF($F160&lt;=30,4,IF($F160&lt;=45,3,IF($F160&lt;=90,2,1))))+IF($C160&gt;=10,5,IF($C160&gt;=6,4,IF($C160&gt;=4,3,IF($C160&gt;=2,2,1))))+IF($D160&gt;=20000,5,IF($D160&gt;=10000,4,IF($D160&gt;=5000,3,IF($D160&gt;=2000,2,1)))))))</f>
        <v/>
      </c>
      <c r="O160" s="3" t="str">
        <f aca="false">IF($A160="","",IF($C160=0,"No visits",IF($N160&gt;=13,"VIP",IF($N160&gt;=10,"High value",IF($N160&gt;=7,"Regular",IF($N160&gt;=4,"Occasional","Low"))))))</f>
        <v/>
      </c>
      <c r="P160" s="6" t="str">
        <f aca="true">IF(OR($A160="",$I160=""),"",IF(MONTH($I160)=MONTH(TODAY()),"Yes",""))</f>
        <v/>
      </c>
      <c r="Q160" s="21" t="str">
        <f aca="false">IF($A160="","",IF($C160=0,"",_xlfn.MINIFS('Daily tracking'!$A$2:$A$2001,'Daily tracking'!$D$2:$D$2001,$A160)))</f>
        <v/>
      </c>
      <c r="R160" s="6" t="str">
        <f aca="false">IF(OR($A160="",$C160&lt;2),"",($E160-$Q160)/($C160-1))</f>
        <v/>
      </c>
    </row>
    <row r="161" customFormat="false" ht="14.25" hidden="false" customHeight="false" outlineLevel="0" collapsed="false">
      <c r="A161" s="19"/>
      <c r="B161" s="19"/>
      <c r="C161" s="15" t="str">
        <f aca="false">IF($A161="","",COUNTIF('Daily tracking'!$D$2:$D$2001,$A161))</f>
        <v/>
      </c>
      <c r="D161" s="16" t="str">
        <f aca="false">IF($A161="","",SUMIF('Daily tracking'!$D$2:$D$2001,$A161,'Daily tracking'!$G$2:$G$2001))</f>
        <v/>
      </c>
      <c r="E161" s="18" t="str">
        <f aca="false">IF($A161="","",IF($C161=0,"",_xlfn.MAXIFS('Daily tracking'!$A$2:$A$2001,'Daily tracking'!$D$2:$D$2001,$A161)))</f>
        <v/>
      </c>
      <c r="F161" s="6" t="str">
        <f aca="true">IF(OR($A161="",$E161=""),"",TODAY()-$E161)</f>
        <v/>
      </c>
      <c r="G161" s="3" t="str">
        <f aca="false">IF($A161="","",IF($C161=0,"No visits",IF($F161&gt;90,"Lapsed",IF($F161&gt;35,"At risk",IF($C161&gt;=4,"Loyal","Active")))))</f>
        <v/>
      </c>
      <c r="H161" s="9" t="str">
        <f aca="false">IF(OR($A161="",$C161=0),"",$D161/$C161)</f>
        <v/>
      </c>
      <c r="I161" s="20"/>
      <c r="J161" s="20"/>
      <c r="K161" s="19"/>
      <c r="L161" s="19"/>
      <c r="M161" s="19"/>
      <c r="N161" s="15" t="str">
        <f aca="false">IF($A161="","",IF($C161=0,0,(IF($F161&lt;=15,5,IF($F161&lt;=30,4,IF($F161&lt;=45,3,IF($F161&lt;=90,2,1))))+IF($C161&gt;=10,5,IF($C161&gt;=6,4,IF($C161&gt;=4,3,IF($C161&gt;=2,2,1))))+IF($D161&gt;=20000,5,IF($D161&gt;=10000,4,IF($D161&gt;=5000,3,IF($D161&gt;=2000,2,1)))))))</f>
        <v/>
      </c>
      <c r="O161" s="3" t="str">
        <f aca="false">IF($A161="","",IF($C161=0,"No visits",IF($N161&gt;=13,"VIP",IF($N161&gt;=10,"High value",IF($N161&gt;=7,"Regular",IF($N161&gt;=4,"Occasional","Low"))))))</f>
        <v/>
      </c>
      <c r="P161" s="6" t="str">
        <f aca="true">IF(OR($A161="",$I161=""),"",IF(MONTH($I161)=MONTH(TODAY()),"Yes",""))</f>
        <v/>
      </c>
      <c r="Q161" s="21" t="str">
        <f aca="false">IF($A161="","",IF($C161=0,"",_xlfn.MINIFS('Daily tracking'!$A$2:$A$2001,'Daily tracking'!$D$2:$D$2001,$A161)))</f>
        <v/>
      </c>
      <c r="R161" s="6" t="str">
        <f aca="false">IF(OR($A161="",$C161&lt;2),"",($E161-$Q161)/($C161-1))</f>
        <v/>
      </c>
    </row>
    <row r="162" customFormat="false" ht="14.25" hidden="false" customHeight="false" outlineLevel="0" collapsed="false">
      <c r="A162" s="19"/>
      <c r="B162" s="19"/>
      <c r="C162" s="15" t="str">
        <f aca="false">IF($A162="","",COUNTIF('Daily tracking'!$D$2:$D$2001,$A162))</f>
        <v/>
      </c>
      <c r="D162" s="16" t="str">
        <f aca="false">IF($A162="","",SUMIF('Daily tracking'!$D$2:$D$2001,$A162,'Daily tracking'!$G$2:$G$2001))</f>
        <v/>
      </c>
      <c r="E162" s="18" t="str">
        <f aca="false">IF($A162="","",IF($C162=0,"",_xlfn.MAXIFS('Daily tracking'!$A$2:$A$2001,'Daily tracking'!$D$2:$D$2001,$A162)))</f>
        <v/>
      </c>
      <c r="F162" s="6" t="str">
        <f aca="true">IF(OR($A162="",$E162=""),"",TODAY()-$E162)</f>
        <v/>
      </c>
      <c r="G162" s="3" t="str">
        <f aca="false">IF($A162="","",IF($C162=0,"No visits",IF($F162&gt;90,"Lapsed",IF($F162&gt;35,"At risk",IF($C162&gt;=4,"Loyal","Active")))))</f>
        <v/>
      </c>
      <c r="H162" s="9" t="str">
        <f aca="false">IF(OR($A162="",$C162=0),"",$D162/$C162)</f>
        <v/>
      </c>
      <c r="I162" s="20"/>
      <c r="J162" s="20"/>
      <c r="K162" s="19"/>
      <c r="L162" s="19"/>
      <c r="M162" s="19"/>
      <c r="N162" s="15" t="str">
        <f aca="false">IF($A162="","",IF($C162=0,0,(IF($F162&lt;=15,5,IF($F162&lt;=30,4,IF($F162&lt;=45,3,IF($F162&lt;=90,2,1))))+IF($C162&gt;=10,5,IF($C162&gt;=6,4,IF($C162&gt;=4,3,IF($C162&gt;=2,2,1))))+IF($D162&gt;=20000,5,IF($D162&gt;=10000,4,IF($D162&gt;=5000,3,IF($D162&gt;=2000,2,1)))))))</f>
        <v/>
      </c>
      <c r="O162" s="3" t="str">
        <f aca="false">IF($A162="","",IF($C162=0,"No visits",IF($N162&gt;=13,"VIP",IF($N162&gt;=10,"High value",IF($N162&gt;=7,"Regular",IF($N162&gt;=4,"Occasional","Low"))))))</f>
        <v/>
      </c>
      <c r="P162" s="6" t="str">
        <f aca="true">IF(OR($A162="",$I162=""),"",IF(MONTH($I162)=MONTH(TODAY()),"Yes",""))</f>
        <v/>
      </c>
      <c r="Q162" s="21" t="str">
        <f aca="false">IF($A162="","",IF($C162=0,"",_xlfn.MINIFS('Daily tracking'!$A$2:$A$2001,'Daily tracking'!$D$2:$D$2001,$A162)))</f>
        <v/>
      </c>
      <c r="R162" s="6" t="str">
        <f aca="false">IF(OR($A162="",$C162&lt;2),"",($E162-$Q162)/($C162-1))</f>
        <v/>
      </c>
    </row>
    <row r="163" customFormat="false" ht="14.25" hidden="false" customHeight="false" outlineLevel="0" collapsed="false">
      <c r="A163" s="19"/>
      <c r="B163" s="19"/>
      <c r="C163" s="15" t="str">
        <f aca="false">IF($A163="","",COUNTIF('Daily tracking'!$D$2:$D$2001,$A163))</f>
        <v/>
      </c>
      <c r="D163" s="16" t="str">
        <f aca="false">IF($A163="","",SUMIF('Daily tracking'!$D$2:$D$2001,$A163,'Daily tracking'!$G$2:$G$2001))</f>
        <v/>
      </c>
      <c r="E163" s="18" t="str">
        <f aca="false">IF($A163="","",IF($C163=0,"",_xlfn.MAXIFS('Daily tracking'!$A$2:$A$2001,'Daily tracking'!$D$2:$D$2001,$A163)))</f>
        <v/>
      </c>
      <c r="F163" s="6" t="str">
        <f aca="true">IF(OR($A163="",$E163=""),"",TODAY()-$E163)</f>
        <v/>
      </c>
      <c r="G163" s="3" t="str">
        <f aca="false">IF($A163="","",IF($C163=0,"No visits",IF($F163&gt;90,"Lapsed",IF($F163&gt;35,"At risk",IF($C163&gt;=4,"Loyal","Active")))))</f>
        <v/>
      </c>
      <c r="H163" s="9" t="str">
        <f aca="false">IF(OR($A163="",$C163=0),"",$D163/$C163)</f>
        <v/>
      </c>
      <c r="I163" s="20"/>
      <c r="J163" s="20"/>
      <c r="K163" s="19"/>
      <c r="L163" s="19"/>
      <c r="M163" s="19"/>
      <c r="N163" s="15" t="str">
        <f aca="false">IF($A163="","",IF($C163=0,0,(IF($F163&lt;=15,5,IF($F163&lt;=30,4,IF($F163&lt;=45,3,IF($F163&lt;=90,2,1))))+IF($C163&gt;=10,5,IF($C163&gt;=6,4,IF($C163&gt;=4,3,IF($C163&gt;=2,2,1))))+IF($D163&gt;=20000,5,IF($D163&gt;=10000,4,IF($D163&gt;=5000,3,IF($D163&gt;=2000,2,1)))))))</f>
        <v/>
      </c>
      <c r="O163" s="3" t="str">
        <f aca="false">IF($A163="","",IF($C163=0,"No visits",IF($N163&gt;=13,"VIP",IF($N163&gt;=10,"High value",IF($N163&gt;=7,"Regular",IF($N163&gt;=4,"Occasional","Low"))))))</f>
        <v/>
      </c>
      <c r="P163" s="6" t="str">
        <f aca="true">IF(OR($A163="",$I163=""),"",IF(MONTH($I163)=MONTH(TODAY()),"Yes",""))</f>
        <v/>
      </c>
      <c r="Q163" s="21" t="str">
        <f aca="false">IF($A163="","",IF($C163=0,"",_xlfn.MINIFS('Daily tracking'!$A$2:$A$2001,'Daily tracking'!$D$2:$D$2001,$A163)))</f>
        <v/>
      </c>
      <c r="R163" s="6" t="str">
        <f aca="false">IF(OR($A163="",$C163&lt;2),"",($E163-$Q163)/($C163-1))</f>
        <v/>
      </c>
    </row>
    <row r="164" customFormat="false" ht="14.25" hidden="false" customHeight="false" outlineLevel="0" collapsed="false">
      <c r="A164" s="19"/>
      <c r="B164" s="19"/>
      <c r="C164" s="15" t="str">
        <f aca="false">IF($A164="","",COUNTIF('Daily tracking'!$D$2:$D$2001,$A164))</f>
        <v/>
      </c>
      <c r="D164" s="16" t="str">
        <f aca="false">IF($A164="","",SUMIF('Daily tracking'!$D$2:$D$2001,$A164,'Daily tracking'!$G$2:$G$2001))</f>
        <v/>
      </c>
      <c r="E164" s="18" t="str">
        <f aca="false">IF($A164="","",IF($C164=0,"",_xlfn.MAXIFS('Daily tracking'!$A$2:$A$2001,'Daily tracking'!$D$2:$D$2001,$A164)))</f>
        <v/>
      </c>
      <c r="F164" s="6" t="str">
        <f aca="true">IF(OR($A164="",$E164=""),"",TODAY()-$E164)</f>
        <v/>
      </c>
      <c r="G164" s="3" t="str">
        <f aca="false">IF($A164="","",IF($C164=0,"No visits",IF($F164&gt;90,"Lapsed",IF($F164&gt;35,"At risk",IF($C164&gt;=4,"Loyal","Active")))))</f>
        <v/>
      </c>
      <c r="H164" s="9" t="str">
        <f aca="false">IF(OR($A164="",$C164=0),"",$D164/$C164)</f>
        <v/>
      </c>
      <c r="I164" s="20"/>
      <c r="J164" s="20"/>
      <c r="K164" s="19"/>
      <c r="L164" s="19"/>
      <c r="M164" s="19"/>
      <c r="N164" s="15" t="str">
        <f aca="false">IF($A164="","",IF($C164=0,0,(IF($F164&lt;=15,5,IF($F164&lt;=30,4,IF($F164&lt;=45,3,IF($F164&lt;=90,2,1))))+IF($C164&gt;=10,5,IF($C164&gt;=6,4,IF($C164&gt;=4,3,IF($C164&gt;=2,2,1))))+IF($D164&gt;=20000,5,IF($D164&gt;=10000,4,IF($D164&gt;=5000,3,IF($D164&gt;=2000,2,1)))))))</f>
        <v/>
      </c>
      <c r="O164" s="3" t="str">
        <f aca="false">IF($A164="","",IF($C164=0,"No visits",IF($N164&gt;=13,"VIP",IF($N164&gt;=10,"High value",IF($N164&gt;=7,"Regular",IF($N164&gt;=4,"Occasional","Low"))))))</f>
        <v/>
      </c>
      <c r="P164" s="6" t="str">
        <f aca="true">IF(OR($A164="",$I164=""),"",IF(MONTH($I164)=MONTH(TODAY()),"Yes",""))</f>
        <v/>
      </c>
      <c r="Q164" s="21" t="str">
        <f aca="false">IF($A164="","",IF($C164=0,"",_xlfn.MINIFS('Daily tracking'!$A$2:$A$2001,'Daily tracking'!$D$2:$D$2001,$A164)))</f>
        <v/>
      </c>
      <c r="R164" s="6" t="str">
        <f aca="false">IF(OR($A164="",$C164&lt;2),"",($E164-$Q164)/($C164-1))</f>
        <v/>
      </c>
    </row>
    <row r="165" customFormat="false" ht="14.25" hidden="false" customHeight="false" outlineLevel="0" collapsed="false">
      <c r="A165" s="19"/>
      <c r="B165" s="19"/>
      <c r="C165" s="15" t="str">
        <f aca="false">IF($A165="","",COUNTIF('Daily tracking'!$D$2:$D$2001,$A165))</f>
        <v/>
      </c>
      <c r="D165" s="16" t="str">
        <f aca="false">IF($A165="","",SUMIF('Daily tracking'!$D$2:$D$2001,$A165,'Daily tracking'!$G$2:$G$2001))</f>
        <v/>
      </c>
      <c r="E165" s="18" t="str">
        <f aca="false">IF($A165="","",IF($C165=0,"",_xlfn.MAXIFS('Daily tracking'!$A$2:$A$2001,'Daily tracking'!$D$2:$D$2001,$A165)))</f>
        <v/>
      </c>
      <c r="F165" s="6" t="str">
        <f aca="true">IF(OR($A165="",$E165=""),"",TODAY()-$E165)</f>
        <v/>
      </c>
      <c r="G165" s="3" t="str">
        <f aca="false">IF($A165="","",IF($C165=0,"No visits",IF($F165&gt;90,"Lapsed",IF($F165&gt;35,"At risk",IF($C165&gt;=4,"Loyal","Active")))))</f>
        <v/>
      </c>
      <c r="H165" s="9" t="str">
        <f aca="false">IF(OR($A165="",$C165=0),"",$D165/$C165)</f>
        <v/>
      </c>
      <c r="I165" s="20"/>
      <c r="J165" s="20"/>
      <c r="K165" s="19"/>
      <c r="L165" s="19"/>
      <c r="M165" s="19"/>
      <c r="N165" s="15" t="str">
        <f aca="false">IF($A165="","",IF($C165=0,0,(IF($F165&lt;=15,5,IF($F165&lt;=30,4,IF($F165&lt;=45,3,IF($F165&lt;=90,2,1))))+IF($C165&gt;=10,5,IF($C165&gt;=6,4,IF($C165&gt;=4,3,IF($C165&gt;=2,2,1))))+IF($D165&gt;=20000,5,IF($D165&gt;=10000,4,IF($D165&gt;=5000,3,IF($D165&gt;=2000,2,1)))))))</f>
        <v/>
      </c>
      <c r="O165" s="3" t="str">
        <f aca="false">IF($A165="","",IF($C165=0,"No visits",IF($N165&gt;=13,"VIP",IF($N165&gt;=10,"High value",IF($N165&gt;=7,"Regular",IF($N165&gt;=4,"Occasional","Low"))))))</f>
        <v/>
      </c>
      <c r="P165" s="6" t="str">
        <f aca="true">IF(OR($A165="",$I165=""),"",IF(MONTH($I165)=MONTH(TODAY()),"Yes",""))</f>
        <v/>
      </c>
      <c r="Q165" s="21" t="str">
        <f aca="false">IF($A165="","",IF($C165=0,"",_xlfn.MINIFS('Daily tracking'!$A$2:$A$2001,'Daily tracking'!$D$2:$D$2001,$A165)))</f>
        <v/>
      </c>
      <c r="R165" s="6" t="str">
        <f aca="false">IF(OR($A165="",$C165&lt;2),"",($E165-$Q165)/($C165-1))</f>
        <v/>
      </c>
    </row>
    <row r="166" customFormat="false" ht="14.25" hidden="false" customHeight="false" outlineLevel="0" collapsed="false">
      <c r="A166" s="19"/>
      <c r="B166" s="19"/>
      <c r="C166" s="15" t="str">
        <f aca="false">IF($A166="","",COUNTIF('Daily tracking'!$D$2:$D$2001,$A166))</f>
        <v/>
      </c>
      <c r="D166" s="16" t="str">
        <f aca="false">IF($A166="","",SUMIF('Daily tracking'!$D$2:$D$2001,$A166,'Daily tracking'!$G$2:$G$2001))</f>
        <v/>
      </c>
      <c r="E166" s="18" t="str">
        <f aca="false">IF($A166="","",IF($C166=0,"",_xlfn.MAXIFS('Daily tracking'!$A$2:$A$2001,'Daily tracking'!$D$2:$D$2001,$A166)))</f>
        <v/>
      </c>
      <c r="F166" s="6" t="str">
        <f aca="true">IF(OR($A166="",$E166=""),"",TODAY()-$E166)</f>
        <v/>
      </c>
      <c r="G166" s="3" t="str">
        <f aca="false">IF($A166="","",IF($C166=0,"No visits",IF($F166&gt;90,"Lapsed",IF($F166&gt;35,"At risk",IF($C166&gt;=4,"Loyal","Active")))))</f>
        <v/>
      </c>
      <c r="H166" s="9" t="str">
        <f aca="false">IF(OR($A166="",$C166=0),"",$D166/$C166)</f>
        <v/>
      </c>
      <c r="I166" s="20"/>
      <c r="J166" s="20"/>
      <c r="K166" s="19"/>
      <c r="L166" s="19"/>
      <c r="M166" s="19"/>
      <c r="N166" s="15" t="str">
        <f aca="false">IF($A166="","",IF($C166=0,0,(IF($F166&lt;=15,5,IF($F166&lt;=30,4,IF($F166&lt;=45,3,IF($F166&lt;=90,2,1))))+IF($C166&gt;=10,5,IF($C166&gt;=6,4,IF($C166&gt;=4,3,IF($C166&gt;=2,2,1))))+IF($D166&gt;=20000,5,IF($D166&gt;=10000,4,IF($D166&gt;=5000,3,IF($D166&gt;=2000,2,1)))))))</f>
        <v/>
      </c>
      <c r="O166" s="3" t="str">
        <f aca="false">IF($A166="","",IF($C166=0,"No visits",IF($N166&gt;=13,"VIP",IF($N166&gt;=10,"High value",IF($N166&gt;=7,"Regular",IF($N166&gt;=4,"Occasional","Low"))))))</f>
        <v/>
      </c>
      <c r="P166" s="6" t="str">
        <f aca="true">IF(OR($A166="",$I166=""),"",IF(MONTH($I166)=MONTH(TODAY()),"Yes",""))</f>
        <v/>
      </c>
      <c r="Q166" s="21" t="str">
        <f aca="false">IF($A166="","",IF($C166=0,"",_xlfn.MINIFS('Daily tracking'!$A$2:$A$2001,'Daily tracking'!$D$2:$D$2001,$A166)))</f>
        <v/>
      </c>
      <c r="R166" s="6" t="str">
        <f aca="false">IF(OR($A166="",$C166&lt;2),"",($E166-$Q166)/($C166-1))</f>
        <v/>
      </c>
    </row>
    <row r="167" customFormat="false" ht="14.25" hidden="false" customHeight="false" outlineLevel="0" collapsed="false">
      <c r="A167" s="19"/>
      <c r="B167" s="19"/>
      <c r="C167" s="15" t="str">
        <f aca="false">IF($A167="","",COUNTIF('Daily tracking'!$D$2:$D$2001,$A167))</f>
        <v/>
      </c>
      <c r="D167" s="16" t="str">
        <f aca="false">IF($A167="","",SUMIF('Daily tracking'!$D$2:$D$2001,$A167,'Daily tracking'!$G$2:$G$2001))</f>
        <v/>
      </c>
      <c r="E167" s="18" t="str">
        <f aca="false">IF($A167="","",IF($C167=0,"",_xlfn.MAXIFS('Daily tracking'!$A$2:$A$2001,'Daily tracking'!$D$2:$D$2001,$A167)))</f>
        <v/>
      </c>
      <c r="F167" s="6" t="str">
        <f aca="true">IF(OR($A167="",$E167=""),"",TODAY()-$E167)</f>
        <v/>
      </c>
      <c r="G167" s="3" t="str">
        <f aca="false">IF($A167="","",IF($C167=0,"No visits",IF($F167&gt;90,"Lapsed",IF($F167&gt;35,"At risk",IF($C167&gt;=4,"Loyal","Active")))))</f>
        <v/>
      </c>
      <c r="H167" s="9" t="str">
        <f aca="false">IF(OR($A167="",$C167=0),"",$D167/$C167)</f>
        <v/>
      </c>
      <c r="I167" s="20"/>
      <c r="J167" s="20"/>
      <c r="K167" s="19"/>
      <c r="L167" s="19"/>
      <c r="M167" s="19"/>
      <c r="N167" s="15" t="str">
        <f aca="false">IF($A167="","",IF($C167=0,0,(IF($F167&lt;=15,5,IF($F167&lt;=30,4,IF($F167&lt;=45,3,IF($F167&lt;=90,2,1))))+IF($C167&gt;=10,5,IF($C167&gt;=6,4,IF($C167&gt;=4,3,IF($C167&gt;=2,2,1))))+IF($D167&gt;=20000,5,IF($D167&gt;=10000,4,IF($D167&gt;=5000,3,IF($D167&gt;=2000,2,1)))))))</f>
        <v/>
      </c>
      <c r="O167" s="3" t="str">
        <f aca="false">IF($A167="","",IF($C167=0,"No visits",IF($N167&gt;=13,"VIP",IF($N167&gt;=10,"High value",IF($N167&gt;=7,"Regular",IF($N167&gt;=4,"Occasional","Low"))))))</f>
        <v/>
      </c>
      <c r="P167" s="6" t="str">
        <f aca="true">IF(OR($A167="",$I167=""),"",IF(MONTH($I167)=MONTH(TODAY()),"Yes",""))</f>
        <v/>
      </c>
      <c r="Q167" s="21" t="str">
        <f aca="false">IF($A167="","",IF($C167=0,"",_xlfn.MINIFS('Daily tracking'!$A$2:$A$2001,'Daily tracking'!$D$2:$D$2001,$A167)))</f>
        <v/>
      </c>
      <c r="R167" s="6" t="str">
        <f aca="false">IF(OR($A167="",$C167&lt;2),"",($E167-$Q167)/($C167-1))</f>
        <v/>
      </c>
    </row>
    <row r="168" customFormat="false" ht="14.25" hidden="false" customHeight="false" outlineLevel="0" collapsed="false">
      <c r="A168" s="19"/>
      <c r="B168" s="19"/>
      <c r="C168" s="15" t="str">
        <f aca="false">IF($A168="","",COUNTIF('Daily tracking'!$D$2:$D$2001,$A168))</f>
        <v/>
      </c>
      <c r="D168" s="16" t="str">
        <f aca="false">IF($A168="","",SUMIF('Daily tracking'!$D$2:$D$2001,$A168,'Daily tracking'!$G$2:$G$2001))</f>
        <v/>
      </c>
      <c r="E168" s="18" t="str">
        <f aca="false">IF($A168="","",IF($C168=0,"",_xlfn.MAXIFS('Daily tracking'!$A$2:$A$2001,'Daily tracking'!$D$2:$D$2001,$A168)))</f>
        <v/>
      </c>
      <c r="F168" s="6" t="str">
        <f aca="true">IF(OR($A168="",$E168=""),"",TODAY()-$E168)</f>
        <v/>
      </c>
      <c r="G168" s="3" t="str">
        <f aca="false">IF($A168="","",IF($C168=0,"No visits",IF($F168&gt;90,"Lapsed",IF($F168&gt;35,"At risk",IF($C168&gt;=4,"Loyal","Active")))))</f>
        <v/>
      </c>
      <c r="H168" s="9" t="str">
        <f aca="false">IF(OR($A168="",$C168=0),"",$D168/$C168)</f>
        <v/>
      </c>
      <c r="I168" s="20"/>
      <c r="J168" s="20"/>
      <c r="K168" s="19"/>
      <c r="L168" s="19"/>
      <c r="M168" s="19"/>
      <c r="N168" s="15" t="str">
        <f aca="false">IF($A168="","",IF($C168=0,0,(IF($F168&lt;=15,5,IF($F168&lt;=30,4,IF($F168&lt;=45,3,IF($F168&lt;=90,2,1))))+IF($C168&gt;=10,5,IF($C168&gt;=6,4,IF($C168&gt;=4,3,IF($C168&gt;=2,2,1))))+IF($D168&gt;=20000,5,IF($D168&gt;=10000,4,IF($D168&gt;=5000,3,IF($D168&gt;=2000,2,1)))))))</f>
        <v/>
      </c>
      <c r="O168" s="3" t="str">
        <f aca="false">IF($A168="","",IF($C168=0,"No visits",IF($N168&gt;=13,"VIP",IF($N168&gt;=10,"High value",IF($N168&gt;=7,"Regular",IF($N168&gt;=4,"Occasional","Low"))))))</f>
        <v/>
      </c>
      <c r="P168" s="6" t="str">
        <f aca="true">IF(OR($A168="",$I168=""),"",IF(MONTH($I168)=MONTH(TODAY()),"Yes",""))</f>
        <v/>
      </c>
      <c r="Q168" s="21" t="str">
        <f aca="false">IF($A168="","",IF($C168=0,"",_xlfn.MINIFS('Daily tracking'!$A$2:$A$2001,'Daily tracking'!$D$2:$D$2001,$A168)))</f>
        <v/>
      </c>
      <c r="R168" s="6" t="str">
        <f aca="false">IF(OR($A168="",$C168&lt;2),"",($E168-$Q168)/($C168-1))</f>
        <v/>
      </c>
    </row>
    <row r="169" customFormat="false" ht="14.25" hidden="false" customHeight="false" outlineLevel="0" collapsed="false">
      <c r="A169" s="19"/>
      <c r="B169" s="19"/>
      <c r="C169" s="15" t="str">
        <f aca="false">IF($A169="","",COUNTIF('Daily tracking'!$D$2:$D$2001,$A169))</f>
        <v/>
      </c>
      <c r="D169" s="16" t="str">
        <f aca="false">IF($A169="","",SUMIF('Daily tracking'!$D$2:$D$2001,$A169,'Daily tracking'!$G$2:$G$2001))</f>
        <v/>
      </c>
      <c r="E169" s="18" t="str">
        <f aca="false">IF($A169="","",IF($C169=0,"",_xlfn.MAXIFS('Daily tracking'!$A$2:$A$2001,'Daily tracking'!$D$2:$D$2001,$A169)))</f>
        <v/>
      </c>
      <c r="F169" s="6" t="str">
        <f aca="true">IF(OR($A169="",$E169=""),"",TODAY()-$E169)</f>
        <v/>
      </c>
      <c r="G169" s="3" t="str">
        <f aca="false">IF($A169="","",IF($C169=0,"No visits",IF($F169&gt;90,"Lapsed",IF($F169&gt;35,"At risk",IF($C169&gt;=4,"Loyal","Active")))))</f>
        <v/>
      </c>
      <c r="H169" s="9" t="str">
        <f aca="false">IF(OR($A169="",$C169=0),"",$D169/$C169)</f>
        <v/>
      </c>
      <c r="I169" s="20"/>
      <c r="J169" s="20"/>
      <c r="K169" s="19"/>
      <c r="L169" s="19"/>
      <c r="M169" s="19"/>
      <c r="N169" s="15" t="str">
        <f aca="false">IF($A169="","",IF($C169=0,0,(IF($F169&lt;=15,5,IF($F169&lt;=30,4,IF($F169&lt;=45,3,IF($F169&lt;=90,2,1))))+IF($C169&gt;=10,5,IF($C169&gt;=6,4,IF($C169&gt;=4,3,IF($C169&gt;=2,2,1))))+IF($D169&gt;=20000,5,IF($D169&gt;=10000,4,IF($D169&gt;=5000,3,IF($D169&gt;=2000,2,1)))))))</f>
        <v/>
      </c>
      <c r="O169" s="3" t="str">
        <f aca="false">IF($A169="","",IF($C169=0,"No visits",IF($N169&gt;=13,"VIP",IF($N169&gt;=10,"High value",IF($N169&gt;=7,"Regular",IF($N169&gt;=4,"Occasional","Low"))))))</f>
        <v/>
      </c>
      <c r="P169" s="6" t="str">
        <f aca="true">IF(OR($A169="",$I169=""),"",IF(MONTH($I169)=MONTH(TODAY()),"Yes",""))</f>
        <v/>
      </c>
      <c r="Q169" s="21" t="str">
        <f aca="false">IF($A169="","",IF($C169=0,"",_xlfn.MINIFS('Daily tracking'!$A$2:$A$2001,'Daily tracking'!$D$2:$D$2001,$A169)))</f>
        <v/>
      </c>
      <c r="R169" s="6" t="str">
        <f aca="false">IF(OR($A169="",$C169&lt;2),"",($E169-$Q169)/($C169-1))</f>
        <v/>
      </c>
    </row>
    <row r="170" customFormat="false" ht="14.25" hidden="false" customHeight="false" outlineLevel="0" collapsed="false">
      <c r="A170" s="19"/>
      <c r="B170" s="19"/>
      <c r="C170" s="15" t="str">
        <f aca="false">IF($A170="","",COUNTIF('Daily tracking'!$D$2:$D$2001,$A170))</f>
        <v/>
      </c>
      <c r="D170" s="16" t="str">
        <f aca="false">IF($A170="","",SUMIF('Daily tracking'!$D$2:$D$2001,$A170,'Daily tracking'!$G$2:$G$2001))</f>
        <v/>
      </c>
      <c r="E170" s="18" t="str">
        <f aca="false">IF($A170="","",IF($C170=0,"",_xlfn.MAXIFS('Daily tracking'!$A$2:$A$2001,'Daily tracking'!$D$2:$D$2001,$A170)))</f>
        <v/>
      </c>
      <c r="F170" s="6" t="str">
        <f aca="true">IF(OR($A170="",$E170=""),"",TODAY()-$E170)</f>
        <v/>
      </c>
      <c r="G170" s="3" t="str">
        <f aca="false">IF($A170="","",IF($C170=0,"No visits",IF($F170&gt;90,"Lapsed",IF($F170&gt;35,"At risk",IF($C170&gt;=4,"Loyal","Active")))))</f>
        <v/>
      </c>
      <c r="H170" s="9" t="str">
        <f aca="false">IF(OR($A170="",$C170=0),"",$D170/$C170)</f>
        <v/>
      </c>
      <c r="I170" s="20"/>
      <c r="J170" s="20"/>
      <c r="K170" s="19"/>
      <c r="L170" s="19"/>
      <c r="M170" s="19"/>
      <c r="N170" s="15" t="str">
        <f aca="false">IF($A170="","",IF($C170=0,0,(IF($F170&lt;=15,5,IF($F170&lt;=30,4,IF($F170&lt;=45,3,IF($F170&lt;=90,2,1))))+IF($C170&gt;=10,5,IF($C170&gt;=6,4,IF($C170&gt;=4,3,IF($C170&gt;=2,2,1))))+IF($D170&gt;=20000,5,IF($D170&gt;=10000,4,IF($D170&gt;=5000,3,IF($D170&gt;=2000,2,1)))))))</f>
        <v/>
      </c>
      <c r="O170" s="3" t="str">
        <f aca="false">IF($A170="","",IF($C170=0,"No visits",IF($N170&gt;=13,"VIP",IF($N170&gt;=10,"High value",IF($N170&gt;=7,"Regular",IF($N170&gt;=4,"Occasional","Low"))))))</f>
        <v/>
      </c>
      <c r="P170" s="6" t="str">
        <f aca="true">IF(OR($A170="",$I170=""),"",IF(MONTH($I170)=MONTH(TODAY()),"Yes",""))</f>
        <v/>
      </c>
      <c r="Q170" s="21" t="str">
        <f aca="false">IF($A170="","",IF($C170=0,"",_xlfn.MINIFS('Daily tracking'!$A$2:$A$2001,'Daily tracking'!$D$2:$D$2001,$A170)))</f>
        <v/>
      </c>
      <c r="R170" s="6" t="str">
        <f aca="false">IF(OR($A170="",$C170&lt;2),"",($E170-$Q170)/($C170-1))</f>
        <v/>
      </c>
    </row>
    <row r="171" customFormat="false" ht="14.25" hidden="false" customHeight="false" outlineLevel="0" collapsed="false">
      <c r="A171" s="19"/>
      <c r="B171" s="19"/>
      <c r="C171" s="15" t="str">
        <f aca="false">IF($A171="","",COUNTIF('Daily tracking'!$D$2:$D$2001,$A171))</f>
        <v/>
      </c>
      <c r="D171" s="16" t="str">
        <f aca="false">IF($A171="","",SUMIF('Daily tracking'!$D$2:$D$2001,$A171,'Daily tracking'!$G$2:$G$2001))</f>
        <v/>
      </c>
      <c r="E171" s="18" t="str">
        <f aca="false">IF($A171="","",IF($C171=0,"",_xlfn.MAXIFS('Daily tracking'!$A$2:$A$2001,'Daily tracking'!$D$2:$D$2001,$A171)))</f>
        <v/>
      </c>
      <c r="F171" s="6" t="str">
        <f aca="true">IF(OR($A171="",$E171=""),"",TODAY()-$E171)</f>
        <v/>
      </c>
      <c r="G171" s="3" t="str">
        <f aca="false">IF($A171="","",IF($C171=0,"No visits",IF($F171&gt;90,"Lapsed",IF($F171&gt;35,"At risk",IF($C171&gt;=4,"Loyal","Active")))))</f>
        <v/>
      </c>
      <c r="H171" s="9" t="str">
        <f aca="false">IF(OR($A171="",$C171=0),"",$D171/$C171)</f>
        <v/>
      </c>
      <c r="I171" s="20"/>
      <c r="J171" s="20"/>
      <c r="K171" s="19"/>
      <c r="L171" s="19"/>
      <c r="M171" s="19"/>
      <c r="N171" s="15" t="str">
        <f aca="false">IF($A171="","",IF($C171=0,0,(IF($F171&lt;=15,5,IF($F171&lt;=30,4,IF($F171&lt;=45,3,IF($F171&lt;=90,2,1))))+IF($C171&gt;=10,5,IF($C171&gt;=6,4,IF($C171&gt;=4,3,IF($C171&gt;=2,2,1))))+IF($D171&gt;=20000,5,IF($D171&gt;=10000,4,IF($D171&gt;=5000,3,IF($D171&gt;=2000,2,1)))))))</f>
        <v/>
      </c>
      <c r="O171" s="3" t="str">
        <f aca="false">IF($A171="","",IF($C171=0,"No visits",IF($N171&gt;=13,"VIP",IF($N171&gt;=10,"High value",IF($N171&gt;=7,"Regular",IF($N171&gt;=4,"Occasional","Low"))))))</f>
        <v/>
      </c>
      <c r="P171" s="6" t="str">
        <f aca="true">IF(OR($A171="",$I171=""),"",IF(MONTH($I171)=MONTH(TODAY()),"Yes",""))</f>
        <v/>
      </c>
      <c r="Q171" s="21" t="str">
        <f aca="false">IF($A171="","",IF($C171=0,"",_xlfn.MINIFS('Daily tracking'!$A$2:$A$2001,'Daily tracking'!$D$2:$D$2001,$A171)))</f>
        <v/>
      </c>
      <c r="R171" s="6" t="str">
        <f aca="false">IF(OR($A171="",$C171&lt;2),"",($E171-$Q171)/($C171-1))</f>
        <v/>
      </c>
    </row>
    <row r="172" customFormat="false" ht="14.25" hidden="false" customHeight="false" outlineLevel="0" collapsed="false">
      <c r="A172" s="19"/>
      <c r="B172" s="19"/>
      <c r="C172" s="15" t="str">
        <f aca="false">IF($A172="","",COUNTIF('Daily tracking'!$D$2:$D$2001,$A172))</f>
        <v/>
      </c>
      <c r="D172" s="16" t="str">
        <f aca="false">IF($A172="","",SUMIF('Daily tracking'!$D$2:$D$2001,$A172,'Daily tracking'!$G$2:$G$2001))</f>
        <v/>
      </c>
      <c r="E172" s="18" t="str">
        <f aca="false">IF($A172="","",IF($C172=0,"",_xlfn.MAXIFS('Daily tracking'!$A$2:$A$2001,'Daily tracking'!$D$2:$D$2001,$A172)))</f>
        <v/>
      </c>
      <c r="F172" s="6" t="str">
        <f aca="true">IF(OR($A172="",$E172=""),"",TODAY()-$E172)</f>
        <v/>
      </c>
      <c r="G172" s="3" t="str">
        <f aca="false">IF($A172="","",IF($C172=0,"No visits",IF($F172&gt;90,"Lapsed",IF($F172&gt;35,"At risk",IF($C172&gt;=4,"Loyal","Active")))))</f>
        <v/>
      </c>
      <c r="H172" s="9" t="str">
        <f aca="false">IF(OR($A172="",$C172=0),"",$D172/$C172)</f>
        <v/>
      </c>
      <c r="I172" s="20"/>
      <c r="J172" s="20"/>
      <c r="K172" s="19"/>
      <c r="L172" s="19"/>
      <c r="M172" s="19"/>
      <c r="N172" s="15" t="str">
        <f aca="false">IF($A172="","",IF($C172=0,0,(IF($F172&lt;=15,5,IF($F172&lt;=30,4,IF($F172&lt;=45,3,IF($F172&lt;=90,2,1))))+IF($C172&gt;=10,5,IF($C172&gt;=6,4,IF($C172&gt;=4,3,IF($C172&gt;=2,2,1))))+IF($D172&gt;=20000,5,IF($D172&gt;=10000,4,IF($D172&gt;=5000,3,IF($D172&gt;=2000,2,1)))))))</f>
        <v/>
      </c>
      <c r="O172" s="3" t="str">
        <f aca="false">IF($A172="","",IF($C172=0,"No visits",IF($N172&gt;=13,"VIP",IF($N172&gt;=10,"High value",IF($N172&gt;=7,"Regular",IF($N172&gt;=4,"Occasional","Low"))))))</f>
        <v/>
      </c>
      <c r="P172" s="6" t="str">
        <f aca="true">IF(OR($A172="",$I172=""),"",IF(MONTH($I172)=MONTH(TODAY()),"Yes",""))</f>
        <v/>
      </c>
      <c r="Q172" s="21" t="str">
        <f aca="false">IF($A172="","",IF($C172=0,"",_xlfn.MINIFS('Daily tracking'!$A$2:$A$2001,'Daily tracking'!$D$2:$D$2001,$A172)))</f>
        <v/>
      </c>
      <c r="R172" s="6" t="str">
        <f aca="false">IF(OR($A172="",$C172&lt;2),"",($E172-$Q172)/($C172-1))</f>
        <v/>
      </c>
    </row>
    <row r="173" customFormat="false" ht="14.25" hidden="false" customHeight="false" outlineLevel="0" collapsed="false">
      <c r="A173" s="19"/>
      <c r="B173" s="19"/>
      <c r="C173" s="15" t="str">
        <f aca="false">IF($A173="","",COUNTIF('Daily tracking'!$D$2:$D$2001,$A173))</f>
        <v/>
      </c>
      <c r="D173" s="16" t="str">
        <f aca="false">IF($A173="","",SUMIF('Daily tracking'!$D$2:$D$2001,$A173,'Daily tracking'!$G$2:$G$2001))</f>
        <v/>
      </c>
      <c r="E173" s="18" t="str">
        <f aca="false">IF($A173="","",IF($C173=0,"",_xlfn.MAXIFS('Daily tracking'!$A$2:$A$2001,'Daily tracking'!$D$2:$D$2001,$A173)))</f>
        <v/>
      </c>
      <c r="F173" s="6" t="str">
        <f aca="true">IF(OR($A173="",$E173=""),"",TODAY()-$E173)</f>
        <v/>
      </c>
      <c r="G173" s="3" t="str">
        <f aca="false">IF($A173="","",IF($C173=0,"No visits",IF($F173&gt;90,"Lapsed",IF($F173&gt;35,"At risk",IF($C173&gt;=4,"Loyal","Active")))))</f>
        <v/>
      </c>
      <c r="H173" s="9" t="str">
        <f aca="false">IF(OR($A173="",$C173=0),"",$D173/$C173)</f>
        <v/>
      </c>
      <c r="I173" s="20"/>
      <c r="J173" s="20"/>
      <c r="K173" s="19"/>
      <c r="L173" s="19"/>
      <c r="M173" s="19"/>
      <c r="N173" s="15" t="str">
        <f aca="false">IF($A173="","",IF($C173=0,0,(IF($F173&lt;=15,5,IF($F173&lt;=30,4,IF($F173&lt;=45,3,IF($F173&lt;=90,2,1))))+IF($C173&gt;=10,5,IF($C173&gt;=6,4,IF($C173&gt;=4,3,IF($C173&gt;=2,2,1))))+IF($D173&gt;=20000,5,IF($D173&gt;=10000,4,IF($D173&gt;=5000,3,IF($D173&gt;=2000,2,1)))))))</f>
        <v/>
      </c>
      <c r="O173" s="3" t="str">
        <f aca="false">IF($A173="","",IF($C173=0,"No visits",IF($N173&gt;=13,"VIP",IF($N173&gt;=10,"High value",IF($N173&gt;=7,"Regular",IF($N173&gt;=4,"Occasional","Low"))))))</f>
        <v/>
      </c>
      <c r="P173" s="6" t="str">
        <f aca="true">IF(OR($A173="",$I173=""),"",IF(MONTH($I173)=MONTH(TODAY()),"Yes",""))</f>
        <v/>
      </c>
      <c r="Q173" s="21" t="str">
        <f aca="false">IF($A173="","",IF($C173=0,"",_xlfn.MINIFS('Daily tracking'!$A$2:$A$2001,'Daily tracking'!$D$2:$D$2001,$A173)))</f>
        <v/>
      </c>
      <c r="R173" s="6" t="str">
        <f aca="false">IF(OR($A173="",$C173&lt;2),"",($E173-$Q173)/($C173-1))</f>
        <v/>
      </c>
    </row>
    <row r="174" customFormat="false" ht="14.25" hidden="false" customHeight="false" outlineLevel="0" collapsed="false">
      <c r="A174" s="19"/>
      <c r="B174" s="19"/>
      <c r="C174" s="15" t="str">
        <f aca="false">IF($A174="","",COUNTIF('Daily tracking'!$D$2:$D$2001,$A174))</f>
        <v/>
      </c>
      <c r="D174" s="16" t="str">
        <f aca="false">IF($A174="","",SUMIF('Daily tracking'!$D$2:$D$2001,$A174,'Daily tracking'!$G$2:$G$2001))</f>
        <v/>
      </c>
      <c r="E174" s="18" t="str">
        <f aca="false">IF($A174="","",IF($C174=0,"",_xlfn.MAXIFS('Daily tracking'!$A$2:$A$2001,'Daily tracking'!$D$2:$D$2001,$A174)))</f>
        <v/>
      </c>
      <c r="F174" s="6" t="str">
        <f aca="true">IF(OR($A174="",$E174=""),"",TODAY()-$E174)</f>
        <v/>
      </c>
      <c r="G174" s="3" t="str">
        <f aca="false">IF($A174="","",IF($C174=0,"No visits",IF($F174&gt;90,"Lapsed",IF($F174&gt;35,"At risk",IF($C174&gt;=4,"Loyal","Active")))))</f>
        <v/>
      </c>
      <c r="H174" s="9" t="str">
        <f aca="false">IF(OR($A174="",$C174=0),"",$D174/$C174)</f>
        <v/>
      </c>
      <c r="I174" s="20"/>
      <c r="J174" s="20"/>
      <c r="K174" s="19"/>
      <c r="L174" s="19"/>
      <c r="M174" s="19"/>
      <c r="N174" s="15" t="str">
        <f aca="false">IF($A174="","",IF($C174=0,0,(IF($F174&lt;=15,5,IF($F174&lt;=30,4,IF($F174&lt;=45,3,IF($F174&lt;=90,2,1))))+IF($C174&gt;=10,5,IF($C174&gt;=6,4,IF($C174&gt;=4,3,IF($C174&gt;=2,2,1))))+IF($D174&gt;=20000,5,IF($D174&gt;=10000,4,IF($D174&gt;=5000,3,IF($D174&gt;=2000,2,1)))))))</f>
        <v/>
      </c>
      <c r="O174" s="3" t="str">
        <f aca="false">IF($A174="","",IF($C174=0,"No visits",IF($N174&gt;=13,"VIP",IF($N174&gt;=10,"High value",IF($N174&gt;=7,"Regular",IF($N174&gt;=4,"Occasional","Low"))))))</f>
        <v/>
      </c>
      <c r="P174" s="6" t="str">
        <f aca="true">IF(OR($A174="",$I174=""),"",IF(MONTH($I174)=MONTH(TODAY()),"Yes",""))</f>
        <v/>
      </c>
      <c r="Q174" s="21" t="str">
        <f aca="false">IF($A174="","",IF($C174=0,"",_xlfn.MINIFS('Daily tracking'!$A$2:$A$2001,'Daily tracking'!$D$2:$D$2001,$A174)))</f>
        <v/>
      </c>
      <c r="R174" s="6" t="str">
        <f aca="false">IF(OR($A174="",$C174&lt;2),"",($E174-$Q174)/($C174-1))</f>
        <v/>
      </c>
    </row>
    <row r="175" customFormat="false" ht="14.25" hidden="false" customHeight="false" outlineLevel="0" collapsed="false">
      <c r="A175" s="19"/>
      <c r="B175" s="19"/>
      <c r="C175" s="15" t="str">
        <f aca="false">IF($A175="","",COUNTIF('Daily tracking'!$D$2:$D$2001,$A175))</f>
        <v/>
      </c>
      <c r="D175" s="16" t="str">
        <f aca="false">IF($A175="","",SUMIF('Daily tracking'!$D$2:$D$2001,$A175,'Daily tracking'!$G$2:$G$2001))</f>
        <v/>
      </c>
      <c r="E175" s="18" t="str">
        <f aca="false">IF($A175="","",IF($C175=0,"",_xlfn.MAXIFS('Daily tracking'!$A$2:$A$2001,'Daily tracking'!$D$2:$D$2001,$A175)))</f>
        <v/>
      </c>
      <c r="F175" s="6" t="str">
        <f aca="true">IF(OR($A175="",$E175=""),"",TODAY()-$E175)</f>
        <v/>
      </c>
      <c r="G175" s="3" t="str">
        <f aca="false">IF($A175="","",IF($C175=0,"No visits",IF($F175&gt;90,"Lapsed",IF($F175&gt;35,"At risk",IF($C175&gt;=4,"Loyal","Active")))))</f>
        <v/>
      </c>
      <c r="H175" s="9" t="str">
        <f aca="false">IF(OR($A175="",$C175=0),"",$D175/$C175)</f>
        <v/>
      </c>
      <c r="I175" s="20"/>
      <c r="J175" s="20"/>
      <c r="K175" s="19"/>
      <c r="L175" s="19"/>
      <c r="M175" s="19"/>
      <c r="N175" s="15" t="str">
        <f aca="false">IF($A175="","",IF($C175=0,0,(IF($F175&lt;=15,5,IF($F175&lt;=30,4,IF($F175&lt;=45,3,IF($F175&lt;=90,2,1))))+IF($C175&gt;=10,5,IF($C175&gt;=6,4,IF($C175&gt;=4,3,IF($C175&gt;=2,2,1))))+IF($D175&gt;=20000,5,IF($D175&gt;=10000,4,IF($D175&gt;=5000,3,IF($D175&gt;=2000,2,1)))))))</f>
        <v/>
      </c>
      <c r="O175" s="3" t="str">
        <f aca="false">IF($A175="","",IF($C175=0,"No visits",IF($N175&gt;=13,"VIP",IF($N175&gt;=10,"High value",IF($N175&gt;=7,"Regular",IF($N175&gt;=4,"Occasional","Low"))))))</f>
        <v/>
      </c>
      <c r="P175" s="6" t="str">
        <f aca="true">IF(OR($A175="",$I175=""),"",IF(MONTH($I175)=MONTH(TODAY()),"Yes",""))</f>
        <v/>
      </c>
      <c r="Q175" s="21" t="str">
        <f aca="false">IF($A175="","",IF($C175=0,"",_xlfn.MINIFS('Daily tracking'!$A$2:$A$2001,'Daily tracking'!$D$2:$D$2001,$A175)))</f>
        <v/>
      </c>
      <c r="R175" s="6" t="str">
        <f aca="false">IF(OR($A175="",$C175&lt;2),"",($E175-$Q175)/($C175-1))</f>
        <v/>
      </c>
    </row>
    <row r="176" customFormat="false" ht="14.25" hidden="false" customHeight="false" outlineLevel="0" collapsed="false">
      <c r="A176" s="19"/>
      <c r="B176" s="19"/>
      <c r="C176" s="15" t="str">
        <f aca="false">IF($A176="","",COUNTIF('Daily tracking'!$D$2:$D$2001,$A176))</f>
        <v/>
      </c>
      <c r="D176" s="16" t="str">
        <f aca="false">IF($A176="","",SUMIF('Daily tracking'!$D$2:$D$2001,$A176,'Daily tracking'!$G$2:$G$2001))</f>
        <v/>
      </c>
      <c r="E176" s="18" t="str">
        <f aca="false">IF($A176="","",IF($C176=0,"",_xlfn.MAXIFS('Daily tracking'!$A$2:$A$2001,'Daily tracking'!$D$2:$D$2001,$A176)))</f>
        <v/>
      </c>
      <c r="F176" s="6" t="str">
        <f aca="true">IF(OR($A176="",$E176=""),"",TODAY()-$E176)</f>
        <v/>
      </c>
      <c r="G176" s="3" t="str">
        <f aca="false">IF($A176="","",IF($C176=0,"No visits",IF($F176&gt;90,"Lapsed",IF($F176&gt;35,"At risk",IF($C176&gt;=4,"Loyal","Active")))))</f>
        <v/>
      </c>
      <c r="H176" s="9" t="str">
        <f aca="false">IF(OR($A176="",$C176=0),"",$D176/$C176)</f>
        <v/>
      </c>
      <c r="I176" s="20"/>
      <c r="J176" s="20"/>
      <c r="K176" s="19"/>
      <c r="L176" s="19"/>
      <c r="M176" s="19"/>
      <c r="N176" s="15" t="str">
        <f aca="false">IF($A176="","",IF($C176=0,0,(IF($F176&lt;=15,5,IF($F176&lt;=30,4,IF($F176&lt;=45,3,IF($F176&lt;=90,2,1))))+IF($C176&gt;=10,5,IF($C176&gt;=6,4,IF($C176&gt;=4,3,IF($C176&gt;=2,2,1))))+IF($D176&gt;=20000,5,IF($D176&gt;=10000,4,IF($D176&gt;=5000,3,IF($D176&gt;=2000,2,1)))))))</f>
        <v/>
      </c>
      <c r="O176" s="3" t="str">
        <f aca="false">IF($A176="","",IF($C176=0,"No visits",IF($N176&gt;=13,"VIP",IF($N176&gt;=10,"High value",IF($N176&gt;=7,"Regular",IF($N176&gt;=4,"Occasional","Low"))))))</f>
        <v/>
      </c>
      <c r="P176" s="6" t="str">
        <f aca="true">IF(OR($A176="",$I176=""),"",IF(MONTH($I176)=MONTH(TODAY()),"Yes",""))</f>
        <v/>
      </c>
      <c r="Q176" s="21" t="str">
        <f aca="false">IF($A176="","",IF($C176=0,"",_xlfn.MINIFS('Daily tracking'!$A$2:$A$2001,'Daily tracking'!$D$2:$D$2001,$A176)))</f>
        <v/>
      </c>
      <c r="R176" s="6" t="str">
        <f aca="false">IF(OR($A176="",$C176&lt;2),"",($E176-$Q176)/($C176-1))</f>
        <v/>
      </c>
    </row>
    <row r="177" customFormat="false" ht="14.25" hidden="false" customHeight="false" outlineLevel="0" collapsed="false">
      <c r="A177" s="19"/>
      <c r="B177" s="19"/>
      <c r="C177" s="15" t="str">
        <f aca="false">IF($A177="","",COUNTIF('Daily tracking'!$D$2:$D$2001,$A177))</f>
        <v/>
      </c>
      <c r="D177" s="16" t="str">
        <f aca="false">IF($A177="","",SUMIF('Daily tracking'!$D$2:$D$2001,$A177,'Daily tracking'!$G$2:$G$2001))</f>
        <v/>
      </c>
      <c r="E177" s="18" t="str">
        <f aca="false">IF($A177="","",IF($C177=0,"",_xlfn.MAXIFS('Daily tracking'!$A$2:$A$2001,'Daily tracking'!$D$2:$D$2001,$A177)))</f>
        <v/>
      </c>
      <c r="F177" s="6" t="str">
        <f aca="true">IF(OR($A177="",$E177=""),"",TODAY()-$E177)</f>
        <v/>
      </c>
      <c r="G177" s="3" t="str">
        <f aca="false">IF($A177="","",IF($C177=0,"No visits",IF($F177&gt;90,"Lapsed",IF($F177&gt;35,"At risk",IF($C177&gt;=4,"Loyal","Active")))))</f>
        <v/>
      </c>
      <c r="H177" s="9" t="str">
        <f aca="false">IF(OR($A177="",$C177=0),"",$D177/$C177)</f>
        <v/>
      </c>
      <c r="I177" s="20"/>
      <c r="J177" s="20"/>
      <c r="K177" s="19"/>
      <c r="L177" s="19"/>
      <c r="M177" s="19"/>
      <c r="N177" s="15" t="str">
        <f aca="false">IF($A177="","",IF($C177=0,0,(IF($F177&lt;=15,5,IF($F177&lt;=30,4,IF($F177&lt;=45,3,IF($F177&lt;=90,2,1))))+IF($C177&gt;=10,5,IF($C177&gt;=6,4,IF($C177&gt;=4,3,IF($C177&gt;=2,2,1))))+IF($D177&gt;=20000,5,IF($D177&gt;=10000,4,IF($D177&gt;=5000,3,IF($D177&gt;=2000,2,1)))))))</f>
        <v/>
      </c>
      <c r="O177" s="3" t="str">
        <f aca="false">IF($A177="","",IF($C177=0,"No visits",IF($N177&gt;=13,"VIP",IF($N177&gt;=10,"High value",IF($N177&gt;=7,"Regular",IF($N177&gt;=4,"Occasional","Low"))))))</f>
        <v/>
      </c>
      <c r="P177" s="6" t="str">
        <f aca="true">IF(OR($A177="",$I177=""),"",IF(MONTH($I177)=MONTH(TODAY()),"Yes",""))</f>
        <v/>
      </c>
      <c r="Q177" s="21" t="str">
        <f aca="false">IF($A177="","",IF($C177=0,"",_xlfn.MINIFS('Daily tracking'!$A$2:$A$2001,'Daily tracking'!$D$2:$D$2001,$A177)))</f>
        <v/>
      </c>
      <c r="R177" s="6" t="str">
        <f aca="false">IF(OR($A177="",$C177&lt;2),"",($E177-$Q177)/($C177-1))</f>
        <v/>
      </c>
    </row>
    <row r="178" customFormat="false" ht="14.25" hidden="false" customHeight="false" outlineLevel="0" collapsed="false">
      <c r="A178" s="19"/>
      <c r="B178" s="19"/>
      <c r="C178" s="15" t="str">
        <f aca="false">IF($A178="","",COUNTIF('Daily tracking'!$D$2:$D$2001,$A178))</f>
        <v/>
      </c>
      <c r="D178" s="16" t="str">
        <f aca="false">IF($A178="","",SUMIF('Daily tracking'!$D$2:$D$2001,$A178,'Daily tracking'!$G$2:$G$2001))</f>
        <v/>
      </c>
      <c r="E178" s="18" t="str">
        <f aca="false">IF($A178="","",IF($C178=0,"",_xlfn.MAXIFS('Daily tracking'!$A$2:$A$2001,'Daily tracking'!$D$2:$D$2001,$A178)))</f>
        <v/>
      </c>
      <c r="F178" s="6" t="str">
        <f aca="true">IF(OR($A178="",$E178=""),"",TODAY()-$E178)</f>
        <v/>
      </c>
      <c r="G178" s="3" t="str">
        <f aca="false">IF($A178="","",IF($C178=0,"No visits",IF($F178&gt;90,"Lapsed",IF($F178&gt;35,"At risk",IF($C178&gt;=4,"Loyal","Active")))))</f>
        <v/>
      </c>
      <c r="H178" s="9" t="str">
        <f aca="false">IF(OR($A178="",$C178=0),"",$D178/$C178)</f>
        <v/>
      </c>
      <c r="I178" s="20"/>
      <c r="J178" s="20"/>
      <c r="K178" s="19"/>
      <c r="L178" s="19"/>
      <c r="M178" s="19"/>
      <c r="N178" s="15" t="str">
        <f aca="false">IF($A178="","",IF($C178=0,0,(IF($F178&lt;=15,5,IF($F178&lt;=30,4,IF($F178&lt;=45,3,IF($F178&lt;=90,2,1))))+IF($C178&gt;=10,5,IF($C178&gt;=6,4,IF($C178&gt;=4,3,IF($C178&gt;=2,2,1))))+IF($D178&gt;=20000,5,IF($D178&gt;=10000,4,IF($D178&gt;=5000,3,IF($D178&gt;=2000,2,1)))))))</f>
        <v/>
      </c>
      <c r="O178" s="3" t="str">
        <f aca="false">IF($A178="","",IF($C178=0,"No visits",IF($N178&gt;=13,"VIP",IF($N178&gt;=10,"High value",IF($N178&gt;=7,"Regular",IF($N178&gt;=4,"Occasional","Low"))))))</f>
        <v/>
      </c>
      <c r="P178" s="6" t="str">
        <f aca="true">IF(OR($A178="",$I178=""),"",IF(MONTH($I178)=MONTH(TODAY()),"Yes",""))</f>
        <v/>
      </c>
      <c r="Q178" s="21" t="str">
        <f aca="false">IF($A178="","",IF($C178=0,"",_xlfn.MINIFS('Daily tracking'!$A$2:$A$2001,'Daily tracking'!$D$2:$D$2001,$A178)))</f>
        <v/>
      </c>
      <c r="R178" s="6" t="str">
        <f aca="false">IF(OR($A178="",$C178&lt;2),"",($E178-$Q178)/($C178-1))</f>
        <v/>
      </c>
    </row>
    <row r="179" customFormat="false" ht="14.25" hidden="false" customHeight="false" outlineLevel="0" collapsed="false">
      <c r="A179" s="19"/>
      <c r="B179" s="19"/>
      <c r="C179" s="15" t="str">
        <f aca="false">IF($A179="","",COUNTIF('Daily tracking'!$D$2:$D$2001,$A179))</f>
        <v/>
      </c>
      <c r="D179" s="16" t="str">
        <f aca="false">IF($A179="","",SUMIF('Daily tracking'!$D$2:$D$2001,$A179,'Daily tracking'!$G$2:$G$2001))</f>
        <v/>
      </c>
      <c r="E179" s="18" t="str">
        <f aca="false">IF($A179="","",IF($C179=0,"",_xlfn.MAXIFS('Daily tracking'!$A$2:$A$2001,'Daily tracking'!$D$2:$D$2001,$A179)))</f>
        <v/>
      </c>
      <c r="F179" s="6" t="str">
        <f aca="true">IF(OR($A179="",$E179=""),"",TODAY()-$E179)</f>
        <v/>
      </c>
      <c r="G179" s="3" t="str">
        <f aca="false">IF($A179="","",IF($C179=0,"No visits",IF($F179&gt;90,"Lapsed",IF($F179&gt;35,"At risk",IF($C179&gt;=4,"Loyal","Active")))))</f>
        <v/>
      </c>
      <c r="H179" s="9" t="str">
        <f aca="false">IF(OR($A179="",$C179=0),"",$D179/$C179)</f>
        <v/>
      </c>
      <c r="I179" s="20"/>
      <c r="J179" s="20"/>
      <c r="K179" s="19"/>
      <c r="L179" s="19"/>
      <c r="M179" s="19"/>
      <c r="N179" s="15" t="str">
        <f aca="false">IF($A179="","",IF($C179=0,0,(IF($F179&lt;=15,5,IF($F179&lt;=30,4,IF($F179&lt;=45,3,IF($F179&lt;=90,2,1))))+IF($C179&gt;=10,5,IF($C179&gt;=6,4,IF($C179&gt;=4,3,IF($C179&gt;=2,2,1))))+IF($D179&gt;=20000,5,IF($D179&gt;=10000,4,IF($D179&gt;=5000,3,IF($D179&gt;=2000,2,1)))))))</f>
        <v/>
      </c>
      <c r="O179" s="3" t="str">
        <f aca="false">IF($A179="","",IF($C179=0,"No visits",IF($N179&gt;=13,"VIP",IF($N179&gt;=10,"High value",IF($N179&gt;=7,"Regular",IF($N179&gt;=4,"Occasional","Low"))))))</f>
        <v/>
      </c>
      <c r="P179" s="6" t="str">
        <f aca="true">IF(OR($A179="",$I179=""),"",IF(MONTH($I179)=MONTH(TODAY()),"Yes",""))</f>
        <v/>
      </c>
      <c r="Q179" s="21" t="str">
        <f aca="false">IF($A179="","",IF($C179=0,"",_xlfn.MINIFS('Daily tracking'!$A$2:$A$2001,'Daily tracking'!$D$2:$D$2001,$A179)))</f>
        <v/>
      </c>
      <c r="R179" s="6" t="str">
        <f aca="false">IF(OR($A179="",$C179&lt;2),"",($E179-$Q179)/($C179-1))</f>
        <v/>
      </c>
    </row>
    <row r="180" customFormat="false" ht="14.25" hidden="false" customHeight="false" outlineLevel="0" collapsed="false">
      <c r="A180" s="19"/>
      <c r="B180" s="19"/>
      <c r="C180" s="15" t="str">
        <f aca="false">IF($A180="","",COUNTIF('Daily tracking'!$D$2:$D$2001,$A180))</f>
        <v/>
      </c>
      <c r="D180" s="16" t="str">
        <f aca="false">IF($A180="","",SUMIF('Daily tracking'!$D$2:$D$2001,$A180,'Daily tracking'!$G$2:$G$2001))</f>
        <v/>
      </c>
      <c r="E180" s="18" t="str">
        <f aca="false">IF($A180="","",IF($C180=0,"",_xlfn.MAXIFS('Daily tracking'!$A$2:$A$2001,'Daily tracking'!$D$2:$D$2001,$A180)))</f>
        <v/>
      </c>
      <c r="F180" s="6" t="str">
        <f aca="true">IF(OR($A180="",$E180=""),"",TODAY()-$E180)</f>
        <v/>
      </c>
      <c r="G180" s="3" t="str">
        <f aca="false">IF($A180="","",IF($C180=0,"No visits",IF($F180&gt;90,"Lapsed",IF($F180&gt;35,"At risk",IF($C180&gt;=4,"Loyal","Active")))))</f>
        <v/>
      </c>
      <c r="H180" s="9" t="str">
        <f aca="false">IF(OR($A180="",$C180=0),"",$D180/$C180)</f>
        <v/>
      </c>
      <c r="I180" s="20"/>
      <c r="J180" s="20"/>
      <c r="K180" s="19"/>
      <c r="L180" s="19"/>
      <c r="M180" s="19"/>
      <c r="N180" s="15" t="str">
        <f aca="false">IF($A180="","",IF($C180=0,0,(IF($F180&lt;=15,5,IF($F180&lt;=30,4,IF($F180&lt;=45,3,IF($F180&lt;=90,2,1))))+IF($C180&gt;=10,5,IF($C180&gt;=6,4,IF($C180&gt;=4,3,IF($C180&gt;=2,2,1))))+IF($D180&gt;=20000,5,IF($D180&gt;=10000,4,IF($D180&gt;=5000,3,IF($D180&gt;=2000,2,1)))))))</f>
        <v/>
      </c>
      <c r="O180" s="3" t="str">
        <f aca="false">IF($A180="","",IF($C180=0,"No visits",IF($N180&gt;=13,"VIP",IF($N180&gt;=10,"High value",IF($N180&gt;=7,"Regular",IF($N180&gt;=4,"Occasional","Low"))))))</f>
        <v/>
      </c>
      <c r="P180" s="6" t="str">
        <f aca="true">IF(OR($A180="",$I180=""),"",IF(MONTH($I180)=MONTH(TODAY()),"Yes",""))</f>
        <v/>
      </c>
      <c r="Q180" s="21" t="str">
        <f aca="false">IF($A180="","",IF($C180=0,"",_xlfn.MINIFS('Daily tracking'!$A$2:$A$2001,'Daily tracking'!$D$2:$D$2001,$A180)))</f>
        <v/>
      </c>
      <c r="R180" s="6" t="str">
        <f aca="false">IF(OR($A180="",$C180&lt;2),"",($E180-$Q180)/($C180-1))</f>
        <v/>
      </c>
    </row>
    <row r="181" customFormat="false" ht="14.25" hidden="false" customHeight="false" outlineLevel="0" collapsed="false">
      <c r="A181" s="19"/>
      <c r="B181" s="19"/>
      <c r="C181" s="15" t="str">
        <f aca="false">IF($A181="","",COUNTIF('Daily tracking'!$D$2:$D$2001,$A181))</f>
        <v/>
      </c>
      <c r="D181" s="16" t="str">
        <f aca="false">IF($A181="","",SUMIF('Daily tracking'!$D$2:$D$2001,$A181,'Daily tracking'!$G$2:$G$2001))</f>
        <v/>
      </c>
      <c r="E181" s="18" t="str">
        <f aca="false">IF($A181="","",IF($C181=0,"",_xlfn.MAXIFS('Daily tracking'!$A$2:$A$2001,'Daily tracking'!$D$2:$D$2001,$A181)))</f>
        <v/>
      </c>
      <c r="F181" s="6" t="str">
        <f aca="true">IF(OR($A181="",$E181=""),"",TODAY()-$E181)</f>
        <v/>
      </c>
      <c r="G181" s="3" t="str">
        <f aca="false">IF($A181="","",IF($C181=0,"No visits",IF($F181&gt;90,"Lapsed",IF($F181&gt;35,"At risk",IF($C181&gt;=4,"Loyal","Active")))))</f>
        <v/>
      </c>
      <c r="H181" s="9" t="str">
        <f aca="false">IF(OR($A181="",$C181=0),"",$D181/$C181)</f>
        <v/>
      </c>
      <c r="I181" s="20"/>
      <c r="J181" s="20"/>
      <c r="K181" s="19"/>
      <c r="L181" s="19"/>
      <c r="M181" s="19"/>
      <c r="N181" s="15" t="str">
        <f aca="false">IF($A181="","",IF($C181=0,0,(IF($F181&lt;=15,5,IF($F181&lt;=30,4,IF($F181&lt;=45,3,IF($F181&lt;=90,2,1))))+IF($C181&gt;=10,5,IF($C181&gt;=6,4,IF($C181&gt;=4,3,IF($C181&gt;=2,2,1))))+IF($D181&gt;=20000,5,IF($D181&gt;=10000,4,IF($D181&gt;=5000,3,IF($D181&gt;=2000,2,1)))))))</f>
        <v/>
      </c>
      <c r="O181" s="3" t="str">
        <f aca="false">IF($A181="","",IF($C181=0,"No visits",IF($N181&gt;=13,"VIP",IF($N181&gt;=10,"High value",IF($N181&gt;=7,"Regular",IF($N181&gt;=4,"Occasional","Low"))))))</f>
        <v/>
      </c>
      <c r="P181" s="6" t="str">
        <f aca="true">IF(OR($A181="",$I181=""),"",IF(MONTH($I181)=MONTH(TODAY()),"Yes",""))</f>
        <v/>
      </c>
      <c r="Q181" s="21" t="str">
        <f aca="false">IF($A181="","",IF($C181=0,"",_xlfn.MINIFS('Daily tracking'!$A$2:$A$2001,'Daily tracking'!$D$2:$D$2001,$A181)))</f>
        <v/>
      </c>
      <c r="R181" s="6" t="str">
        <f aca="false">IF(OR($A181="",$C181&lt;2),"",($E181-$Q181)/($C181-1))</f>
        <v/>
      </c>
    </row>
    <row r="182" customFormat="false" ht="14.25" hidden="false" customHeight="false" outlineLevel="0" collapsed="false">
      <c r="A182" s="19"/>
      <c r="B182" s="19"/>
      <c r="C182" s="15" t="str">
        <f aca="false">IF($A182="","",COUNTIF('Daily tracking'!$D$2:$D$2001,$A182))</f>
        <v/>
      </c>
      <c r="D182" s="16" t="str">
        <f aca="false">IF($A182="","",SUMIF('Daily tracking'!$D$2:$D$2001,$A182,'Daily tracking'!$G$2:$G$2001))</f>
        <v/>
      </c>
      <c r="E182" s="18" t="str">
        <f aca="false">IF($A182="","",IF($C182=0,"",_xlfn.MAXIFS('Daily tracking'!$A$2:$A$2001,'Daily tracking'!$D$2:$D$2001,$A182)))</f>
        <v/>
      </c>
      <c r="F182" s="6" t="str">
        <f aca="true">IF(OR($A182="",$E182=""),"",TODAY()-$E182)</f>
        <v/>
      </c>
      <c r="G182" s="3" t="str">
        <f aca="false">IF($A182="","",IF($C182=0,"No visits",IF($F182&gt;90,"Lapsed",IF($F182&gt;35,"At risk",IF($C182&gt;=4,"Loyal","Active")))))</f>
        <v/>
      </c>
      <c r="H182" s="9" t="str">
        <f aca="false">IF(OR($A182="",$C182=0),"",$D182/$C182)</f>
        <v/>
      </c>
      <c r="I182" s="20"/>
      <c r="J182" s="20"/>
      <c r="K182" s="19"/>
      <c r="L182" s="19"/>
      <c r="M182" s="19"/>
      <c r="N182" s="15" t="str">
        <f aca="false">IF($A182="","",IF($C182=0,0,(IF($F182&lt;=15,5,IF($F182&lt;=30,4,IF($F182&lt;=45,3,IF($F182&lt;=90,2,1))))+IF($C182&gt;=10,5,IF($C182&gt;=6,4,IF($C182&gt;=4,3,IF($C182&gt;=2,2,1))))+IF($D182&gt;=20000,5,IF($D182&gt;=10000,4,IF($D182&gt;=5000,3,IF($D182&gt;=2000,2,1)))))))</f>
        <v/>
      </c>
      <c r="O182" s="3" t="str">
        <f aca="false">IF($A182="","",IF($C182=0,"No visits",IF($N182&gt;=13,"VIP",IF($N182&gt;=10,"High value",IF($N182&gt;=7,"Regular",IF($N182&gt;=4,"Occasional","Low"))))))</f>
        <v/>
      </c>
      <c r="P182" s="6" t="str">
        <f aca="true">IF(OR($A182="",$I182=""),"",IF(MONTH($I182)=MONTH(TODAY()),"Yes",""))</f>
        <v/>
      </c>
      <c r="Q182" s="21" t="str">
        <f aca="false">IF($A182="","",IF($C182=0,"",_xlfn.MINIFS('Daily tracking'!$A$2:$A$2001,'Daily tracking'!$D$2:$D$2001,$A182)))</f>
        <v/>
      </c>
      <c r="R182" s="6" t="str">
        <f aca="false">IF(OR($A182="",$C182&lt;2),"",($E182-$Q182)/($C182-1))</f>
        <v/>
      </c>
    </row>
    <row r="183" customFormat="false" ht="14.25" hidden="false" customHeight="false" outlineLevel="0" collapsed="false">
      <c r="A183" s="19"/>
      <c r="B183" s="19"/>
      <c r="C183" s="15" t="str">
        <f aca="false">IF($A183="","",COUNTIF('Daily tracking'!$D$2:$D$2001,$A183))</f>
        <v/>
      </c>
      <c r="D183" s="16" t="str">
        <f aca="false">IF($A183="","",SUMIF('Daily tracking'!$D$2:$D$2001,$A183,'Daily tracking'!$G$2:$G$2001))</f>
        <v/>
      </c>
      <c r="E183" s="18" t="str">
        <f aca="false">IF($A183="","",IF($C183=0,"",_xlfn.MAXIFS('Daily tracking'!$A$2:$A$2001,'Daily tracking'!$D$2:$D$2001,$A183)))</f>
        <v/>
      </c>
      <c r="F183" s="6" t="str">
        <f aca="true">IF(OR($A183="",$E183=""),"",TODAY()-$E183)</f>
        <v/>
      </c>
      <c r="G183" s="3" t="str">
        <f aca="false">IF($A183="","",IF($C183=0,"No visits",IF($F183&gt;90,"Lapsed",IF($F183&gt;35,"At risk",IF($C183&gt;=4,"Loyal","Active")))))</f>
        <v/>
      </c>
      <c r="H183" s="9" t="str">
        <f aca="false">IF(OR($A183="",$C183=0),"",$D183/$C183)</f>
        <v/>
      </c>
      <c r="I183" s="20"/>
      <c r="J183" s="20"/>
      <c r="K183" s="19"/>
      <c r="L183" s="19"/>
      <c r="M183" s="19"/>
      <c r="N183" s="15" t="str">
        <f aca="false">IF($A183="","",IF($C183=0,0,(IF($F183&lt;=15,5,IF($F183&lt;=30,4,IF($F183&lt;=45,3,IF($F183&lt;=90,2,1))))+IF($C183&gt;=10,5,IF($C183&gt;=6,4,IF($C183&gt;=4,3,IF($C183&gt;=2,2,1))))+IF($D183&gt;=20000,5,IF($D183&gt;=10000,4,IF($D183&gt;=5000,3,IF($D183&gt;=2000,2,1)))))))</f>
        <v/>
      </c>
      <c r="O183" s="3" t="str">
        <f aca="false">IF($A183="","",IF($C183=0,"No visits",IF($N183&gt;=13,"VIP",IF($N183&gt;=10,"High value",IF($N183&gt;=7,"Regular",IF($N183&gt;=4,"Occasional","Low"))))))</f>
        <v/>
      </c>
      <c r="P183" s="6" t="str">
        <f aca="true">IF(OR($A183="",$I183=""),"",IF(MONTH($I183)=MONTH(TODAY()),"Yes",""))</f>
        <v/>
      </c>
      <c r="Q183" s="21" t="str">
        <f aca="false">IF($A183="","",IF($C183=0,"",_xlfn.MINIFS('Daily tracking'!$A$2:$A$2001,'Daily tracking'!$D$2:$D$2001,$A183)))</f>
        <v/>
      </c>
      <c r="R183" s="6" t="str">
        <f aca="false">IF(OR($A183="",$C183&lt;2),"",($E183-$Q183)/($C183-1))</f>
        <v/>
      </c>
    </row>
    <row r="184" customFormat="false" ht="14.25" hidden="false" customHeight="false" outlineLevel="0" collapsed="false">
      <c r="A184" s="19"/>
      <c r="B184" s="19"/>
      <c r="C184" s="15" t="str">
        <f aca="false">IF($A184="","",COUNTIF('Daily tracking'!$D$2:$D$2001,$A184))</f>
        <v/>
      </c>
      <c r="D184" s="16" t="str">
        <f aca="false">IF($A184="","",SUMIF('Daily tracking'!$D$2:$D$2001,$A184,'Daily tracking'!$G$2:$G$2001))</f>
        <v/>
      </c>
      <c r="E184" s="18" t="str">
        <f aca="false">IF($A184="","",IF($C184=0,"",_xlfn.MAXIFS('Daily tracking'!$A$2:$A$2001,'Daily tracking'!$D$2:$D$2001,$A184)))</f>
        <v/>
      </c>
      <c r="F184" s="6" t="str">
        <f aca="true">IF(OR($A184="",$E184=""),"",TODAY()-$E184)</f>
        <v/>
      </c>
      <c r="G184" s="3" t="str">
        <f aca="false">IF($A184="","",IF($C184=0,"No visits",IF($F184&gt;90,"Lapsed",IF($F184&gt;35,"At risk",IF($C184&gt;=4,"Loyal","Active")))))</f>
        <v/>
      </c>
      <c r="H184" s="9" t="str">
        <f aca="false">IF(OR($A184="",$C184=0),"",$D184/$C184)</f>
        <v/>
      </c>
      <c r="I184" s="20"/>
      <c r="J184" s="20"/>
      <c r="K184" s="19"/>
      <c r="L184" s="19"/>
      <c r="M184" s="19"/>
      <c r="N184" s="15" t="str">
        <f aca="false">IF($A184="","",IF($C184=0,0,(IF($F184&lt;=15,5,IF($F184&lt;=30,4,IF($F184&lt;=45,3,IF($F184&lt;=90,2,1))))+IF($C184&gt;=10,5,IF($C184&gt;=6,4,IF($C184&gt;=4,3,IF($C184&gt;=2,2,1))))+IF($D184&gt;=20000,5,IF($D184&gt;=10000,4,IF($D184&gt;=5000,3,IF($D184&gt;=2000,2,1)))))))</f>
        <v/>
      </c>
      <c r="O184" s="3" t="str">
        <f aca="false">IF($A184="","",IF($C184=0,"No visits",IF($N184&gt;=13,"VIP",IF($N184&gt;=10,"High value",IF($N184&gt;=7,"Regular",IF($N184&gt;=4,"Occasional","Low"))))))</f>
        <v/>
      </c>
      <c r="P184" s="6" t="str">
        <f aca="true">IF(OR($A184="",$I184=""),"",IF(MONTH($I184)=MONTH(TODAY()),"Yes",""))</f>
        <v/>
      </c>
      <c r="Q184" s="21" t="str">
        <f aca="false">IF($A184="","",IF($C184=0,"",_xlfn.MINIFS('Daily tracking'!$A$2:$A$2001,'Daily tracking'!$D$2:$D$2001,$A184)))</f>
        <v/>
      </c>
      <c r="R184" s="6" t="str">
        <f aca="false">IF(OR($A184="",$C184&lt;2),"",($E184-$Q184)/($C184-1))</f>
        <v/>
      </c>
    </row>
    <row r="185" customFormat="false" ht="14.25" hidden="false" customHeight="false" outlineLevel="0" collapsed="false">
      <c r="A185" s="19"/>
      <c r="B185" s="19"/>
      <c r="C185" s="15" t="str">
        <f aca="false">IF($A185="","",COUNTIF('Daily tracking'!$D$2:$D$2001,$A185))</f>
        <v/>
      </c>
      <c r="D185" s="16" t="str">
        <f aca="false">IF($A185="","",SUMIF('Daily tracking'!$D$2:$D$2001,$A185,'Daily tracking'!$G$2:$G$2001))</f>
        <v/>
      </c>
      <c r="E185" s="18" t="str">
        <f aca="false">IF($A185="","",IF($C185=0,"",_xlfn.MAXIFS('Daily tracking'!$A$2:$A$2001,'Daily tracking'!$D$2:$D$2001,$A185)))</f>
        <v/>
      </c>
      <c r="F185" s="6" t="str">
        <f aca="true">IF(OR($A185="",$E185=""),"",TODAY()-$E185)</f>
        <v/>
      </c>
      <c r="G185" s="3" t="str">
        <f aca="false">IF($A185="","",IF($C185=0,"No visits",IF($F185&gt;90,"Lapsed",IF($F185&gt;35,"At risk",IF($C185&gt;=4,"Loyal","Active")))))</f>
        <v/>
      </c>
      <c r="H185" s="9" t="str">
        <f aca="false">IF(OR($A185="",$C185=0),"",$D185/$C185)</f>
        <v/>
      </c>
      <c r="I185" s="20"/>
      <c r="J185" s="20"/>
      <c r="K185" s="19"/>
      <c r="L185" s="19"/>
      <c r="M185" s="19"/>
      <c r="N185" s="15" t="str">
        <f aca="false">IF($A185="","",IF($C185=0,0,(IF($F185&lt;=15,5,IF($F185&lt;=30,4,IF($F185&lt;=45,3,IF($F185&lt;=90,2,1))))+IF($C185&gt;=10,5,IF($C185&gt;=6,4,IF($C185&gt;=4,3,IF($C185&gt;=2,2,1))))+IF($D185&gt;=20000,5,IF($D185&gt;=10000,4,IF($D185&gt;=5000,3,IF($D185&gt;=2000,2,1)))))))</f>
        <v/>
      </c>
      <c r="O185" s="3" t="str">
        <f aca="false">IF($A185="","",IF($C185=0,"No visits",IF($N185&gt;=13,"VIP",IF($N185&gt;=10,"High value",IF($N185&gt;=7,"Regular",IF($N185&gt;=4,"Occasional","Low"))))))</f>
        <v/>
      </c>
      <c r="P185" s="6" t="str">
        <f aca="true">IF(OR($A185="",$I185=""),"",IF(MONTH($I185)=MONTH(TODAY()),"Yes",""))</f>
        <v/>
      </c>
      <c r="Q185" s="21" t="str">
        <f aca="false">IF($A185="","",IF($C185=0,"",_xlfn.MINIFS('Daily tracking'!$A$2:$A$2001,'Daily tracking'!$D$2:$D$2001,$A185)))</f>
        <v/>
      </c>
      <c r="R185" s="6" t="str">
        <f aca="false">IF(OR($A185="",$C185&lt;2),"",($E185-$Q185)/($C185-1))</f>
        <v/>
      </c>
    </row>
    <row r="186" customFormat="false" ht="14.25" hidden="false" customHeight="false" outlineLevel="0" collapsed="false">
      <c r="A186" s="19"/>
      <c r="B186" s="19"/>
      <c r="C186" s="15" t="str">
        <f aca="false">IF($A186="","",COUNTIF('Daily tracking'!$D$2:$D$2001,$A186))</f>
        <v/>
      </c>
      <c r="D186" s="16" t="str">
        <f aca="false">IF($A186="","",SUMIF('Daily tracking'!$D$2:$D$2001,$A186,'Daily tracking'!$G$2:$G$2001))</f>
        <v/>
      </c>
      <c r="E186" s="18" t="str">
        <f aca="false">IF($A186="","",IF($C186=0,"",_xlfn.MAXIFS('Daily tracking'!$A$2:$A$2001,'Daily tracking'!$D$2:$D$2001,$A186)))</f>
        <v/>
      </c>
      <c r="F186" s="6" t="str">
        <f aca="true">IF(OR($A186="",$E186=""),"",TODAY()-$E186)</f>
        <v/>
      </c>
      <c r="G186" s="3" t="str">
        <f aca="false">IF($A186="","",IF($C186=0,"No visits",IF($F186&gt;90,"Lapsed",IF($F186&gt;35,"At risk",IF($C186&gt;=4,"Loyal","Active")))))</f>
        <v/>
      </c>
      <c r="H186" s="9" t="str">
        <f aca="false">IF(OR($A186="",$C186=0),"",$D186/$C186)</f>
        <v/>
      </c>
      <c r="I186" s="20"/>
      <c r="J186" s="20"/>
      <c r="K186" s="19"/>
      <c r="L186" s="19"/>
      <c r="M186" s="19"/>
      <c r="N186" s="15" t="str">
        <f aca="false">IF($A186="","",IF($C186=0,0,(IF($F186&lt;=15,5,IF($F186&lt;=30,4,IF($F186&lt;=45,3,IF($F186&lt;=90,2,1))))+IF($C186&gt;=10,5,IF($C186&gt;=6,4,IF($C186&gt;=4,3,IF($C186&gt;=2,2,1))))+IF($D186&gt;=20000,5,IF($D186&gt;=10000,4,IF($D186&gt;=5000,3,IF($D186&gt;=2000,2,1)))))))</f>
        <v/>
      </c>
      <c r="O186" s="3" t="str">
        <f aca="false">IF($A186="","",IF($C186=0,"No visits",IF($N186&gt;=13,"VIP",IF($N186&gt;=10,"High value",IF($N186&gt;=7,"Regular",IF($N186&gt;=4,"Occasional","Low"))))))</f>
        <v/>
      </c>
      <c r="P186" s="6" t="str">
        <f aca="true">IF(OR($A186="",$I186=""),"",IF(MONTH($I186)=MONTH(TODAY()),"Yes",""))</f>
        <v/>
      </c>
      <c r="Q186" s="21" t="str">
        <f aca="false">IF($A186="","",IF($C186=0,"",_xlfn.MINIFS('Daily tracking'!$A$2:$A$2001,'Daily tracking'!$D$2:$D$2001,$A186)))</f>
        <v/>
      </c>
      <c r="R186" s="6" t="str">
        <f aca="false">IF(OR($A186="",$C186&lt;2),"",($E186-$Q186)/($C186-1))</f>
        <v/>
      </c>
    </row>
    <row r="187" customFormat="false" ht="14.25" hidden="false" customHeight="false" outlineLevel="0" collapsed="false">
      <c r="A187" s="19"/>
      <c r="B187" s="19"/>
      <c r="C187" s="15" t="str">
        <f aca="false">IF($A187="","",COUNTIF('Daily tracking'!$D$2:$D$2001,$A187))</f>
        <v/>
      </c>
      <c r="D187" s="16" t="str">
        <f aca="false">IF($A187="","",SUMIF('Daily tracking'!$D$2:$D$2001,$A187,'Daily tracking'!$G$2:$G$2001))</f>
        <v/>
      </c>
      <c r="E187" s="18" t="str">
        <f aca="false">IF($A187="","",IF($C187=0,"",_xlfn.MAXIFS('Daily tracking'!$A$2:$A$2001,'Daily tracking'!$D$2:$D$2001,$A187)))</f>
        <v/>
      </c>
      <c r="F187" s="6" t="str">
        <f aca="true">IF(OR($A187="",$E187=""),"",TODAY()-$E187)</f>
        <v/>
      </c>
      <c r="G187" s="3" t="str">
        <f aca="false">IF($A187="","",IF($C187=0,"No visits",IF($F187&gt;90,"Lapsed",IF($F187&gt;35,"At risk",IF($C187&gt;=4,"Loyal","Active")))))</f>
        <v/>
      </c>
      <c r="H187" s="9" t="str">
        <f aca="false">IF(OR($A187="",$C187=0),"",$D187/$C187)</f>
        <v/>
      </c>
      <c r="I187" s="20"/>
      <c r="J187" s="20"/>
      <c r="K187" s="19"/>
      <c r="L187" s="19"/>
      <c r="M187" s="19"/>
      <c r="N187" s="15" t="str">
        <f aca="false">IF($A187="","",IF($C187=0,0,(IF($F187&lt;=15,5,IF($F187&lt;=30,4,IF($F187&lt;=45,3,IF($F187&lt;=90,2,1))))+IF($C187&gt;=10,5,IF($C187&gt;=6,4,IF($C187&gt;=4,3,IF($C187&gt;=2,2,1))))+IF($D187&gt;=20000,5,IF($D187&gt;=10000,4,IF($D187&gt;=5000,3,IF($D187&gt;=2000,2,1)))))))</f>
        <v/>
      </c>
      <c r="O187" s="3" t="str">
        <f aca="false">IF($A187="","",IF($C187=0,"No visits",IF($N187&gt;=13,"VIP",IF($N187&gt;=10,"High value",IF($N187&gt;=7,"Regular",IF($N187&gt;=4,"Occasional","Low"))))))</f>
        <v/>
      </c>
      <c r="P187" s="6" t="str">
        <f aca="true">IF(OR($A187="",$I187=""),"",IF(MONTH($I187)=MONTH(TODAY()),"Yes",""))</f>
        <v/>
      </c>
      <c r="Q187" s="21" t="str">
        <f aca="false">IF($A187="","",IF($C187=0,"",_xlfn.MINIFS('Daily tracking'!$A$2:$A$2001,'Daily tracking'!$D$2:$D$2001,$A187)))</f>
        <v/>
      </c>
      <c r="R187" s="6" t="str">
        <f aca="false">IF(OR($A187="",$C187&lt;2),"",($E187-$Q187)/($C187-1))</f>
        <v/>
      </c>
    </row>
    <row r="188" customFormat="false" ht="14.25" hidden="false" customHeight="false" outlineLevel="0" collapsed="false">
      <c r="A188" s="19"/>
      <c r="B188" s="19"/>
      <c r="C188" s="15" t="str">
        <f aca="false">IF($A188="","",COUNTIF('Daily tracking'!$D$2:$D$2001,$A188))</f>
        <v/>
      </c>
      <c r="D188" s="16" t="str">
        <f aca="false">IF($A188="","",SUMIF('Daily tracking'!$D$2:$D$2001,$A188,'Daily tracking'!$G$2:$G$2001))</f>
        <v/>
      </c>
      <c r="E188" s="18" t="str">
        <f aca="false">IF($A188="","",IF($C188=0,"",_xlfn.MAXIFS('Daily tracking'!$A$2:$A$2001,'Daily tracking'!$D$2:$D$2001,$A188)))</f>
        <v/>
      </c>
      <c r="F188" s="6" t="str">
        <f aca="true">IF(OR($A188="",$E188=""),"",TODAY()-$E188)</f>
        <v/>
      </c>
      <c r="G188" s="3" t="str">
        <f aca="false">IF($A188="","",IF($C188=0,"No visits",IF($F188&gt;90,"Lapsed",IF($F188&gt;35,"At risk",IF($C188&gt;=4,"Loyal","Active")))))</f>
        <v/>
      </c>
      <c r="H188" s="9" t="str">
        <f aca="false">IF(OR($A188="",$C188=0),"",$D188/$C188)</f>
        <v/>
      </c>
      <c r="I188" s="20"/>
      <c r="J188" s="20"/>
      <c r="K188" s="19"/>
      <c r="L188" s="19"/>
      <c r="M188" s="19"/>
      <c r="N188" s="15" t="str">
        <f aca="false">IF($A188="","",IF($C188=0,0,(IF($F188&lt;=15,5,IF($F188&lt;=30,4,IF($F188&lt;=45,3,IF($F188&lt;=90,2,1))))+IF($C188&gt;=10,5,IF($C188&gt;=6,4,IF($C188&gt;=4,3,IF($C188&gt;=2,2,1))))+IF($D188&gt;=20000,5,IF($D188&gt;=10000,4,IF($D188&gt;=5000,3,IF($D188&gt;=2000,2,1)))))))</f>
        <v/>
      </c>
      <c r="O188" s="3" t="str">
        <f aca="false">IF($A188="","",IF($C188=0,"No visits",IF($N188&gt;=13,"VIP",IF($N188&gt;=10,"High value",IF($N188&gt;=7,"Regular",IF($N188&gt;=4,"Occasional","Low"))))))</f>
        <v/>
      </c>
      <c r="P188" s="6" t="str">
        <f aca="true">IF(OR($A188="",$I188=""),"",IF(MONTH($I188)=MONTH(TODAY()),"Yes",""))</f>
        <v/>
      </c>
      <c r="Q188" s="21" t="str">
        <f aca="false">IF($A188="","",IF($C188=0,"",_xlfn.MINIFS('Daily tracking'!$A$2:$A$2001,'Daily tracking'!$D$2:$D$2001,$A188)))</f>
        <v/>
      </c>
      <c r="R188" s="6" t="str">
        <f aca="false">IF(OR($A188="",$C188&lt;2),"",($E188-$Q188)/($C188-1))</f>
        <v/>
      </c>
    </row>
    <row r="189" customFormat="false" ht="14.25" hidden="false" customHeight="false" outlineLevel="0" collapsed="false">
      <c r="A189" s="19"/>
      <c r="B189" s="19"/>
      <c r="C189" s="15" t="str">
        <f aca="false">IF($A189="","",COUNTIF('Daily tracking'!$D$2:$D$2001,$A189))</f>
        <v/>
      </c>
      <c r="D189" s="16" t="str">
        <f aca="false">IF($A189="","",SUMIF('Daily tracking'!$D$2:$D$2001,$A189,'Daily tracking'!$G$2:$G$2001))</f>
        <v/>
      </c>
      <c r="E189" s="18" t="str">
        <f aca="false">IF($A189="","",IF($C189=0,"",_xlfn.MAXIFS('Daily tracking'!$A$2:$A$2001,'Daily tracking'!$D$2:$D$2001,$A189)))</f>
        <v/>
      </c>
      <c r="F189" s="6" t="str">
        <f aca="true">IF(OR($A189="",$E189=""),"",TODAY()-$E189)</f>
        <v/>
      </c>
      <c r="G189" s="3" t="str">
        <f aca="false">IF($A189="","",IF($C189=0,"No visits",IF($F189&gt;90,"Lapsed",IF($F189&gt;35,"At risk",IF($C189&gt;=4,"Loyal","Active")))))</f>
        <v/>
      </c>
      <c r="H189" s="9" t="str">
        <f aca="false">IF(OR($A189="",$C189=0),"",$D189/$C189)</f>
        <v/>
      </c>
      <c r="I189" s="20"/>
      <c r="J189" s="20"/>
      <c r="K189" s="19"/>
      <c r="L189" s="19"/>
      <c r="M189" s="19"/>
      <c r="N189" s="15" t="str">
        <f aca="false">IF($A189="","",IF($C189=0,0,(IF($F189&lt;=15,5,IF($F189&lt;=30,4,IF($F189&lt;=45,3,IF($F189&lt;=90,2,1))))+IF($C189&gt;=10,5,IF($C189&gt;=6,4,IF($C189&gt;=4,3,IF($C189&gt;=2,2,1))))+IF($D189&gt;=20000,5,IF($D189&gt;=10000,4,IF($D189&gt;=5000,3,IF($D189&gt;=2000,2,1)))))))</f>
        <v/>
      </c>
      <c r="O189" s="3" t="str">
        <f aca="false">IF($A189="","",IF($C189=0,"No visits",IF($N189&gt;=13,"VIP",IF($N189&gt;=10,"High value",IF($N189&gt;=7,"Regular",IF($N189&gt;=4,"Occasional","Low"))))))</f>
        <v/>
      </c>
      <c r="P189" s="6" t="str">
        <f aca="true">IF(OR($A189="",$I189=""),"",IF(MONTH($I189)=MONTH(TODAY()),"Yes",""))</f>
        <v/>
      </c>
      <c r="Q189" s="21" t="str">
        <f aca="false">IF($A189="","",IF($C189=0,"",_xlfn.MINIFS('Daily tracking'!$A$2:$A$2001,'Daily tracking'!$D$2:$D$2001,$A189)))</f>
        <v/>
      </c>
      <c r="R189" s="6" t="str">
        <f aca="false">IF(OR($A189="",$C189&lt;2),"",($E189-$Q189)/($C189-1))</f>
        <v/>
      </c>
    </row>
    <row r="190" customFormat="false" ht="14.25" hidden="false" customHeight="false" outlineLevel="0" collapsed="false">
      <c r="A190" s="19"/>
      <c r="B190" s="19"/>
      <c r="C190" s="15" t="str">
        <f aca="false">IF($A190="","",COUNTIF('Daily tracking'!$D$2:$D$2001,$A190))</f>
        <v/>
      </c>
      <c r="D190" s="16" t="str">
        <f aca="false">IF($A190="","",SUMIF('Daily tracking'!$D$2:$D$2001,$A190,'Daily tracking'!$G$2:$G$2001))</f>
        <v/>
      </c>
      <c r="E190" s="18" t="str">
        <f aca="false">IF($A190="","",IF($C190=0,"",_xlfn.MAXIFS('Daily tracking'!$A$2:$A$2001,'Daily tracking'!$D$2:$D$2001,$A190)))</f>
        <v/>
      </c>
      <c r="F190" s="6" t="str">
        <f aca="true">IF(OR($A190="",$E190=""),"",TODAY()-$E190)</f>
        <v/>
      </c>
      <c r="G190" s="3" t="str">
        <f aca="false">IF($A190="","",IF($C190=0,"No visits",IF($F190&gt;90,"Lapsed",IF($F190&gt;35,"At risk",IF($C190&gt;=4,"Loyal","Active")))))</f>
        <v/>
      </c>
      <c r="H190" s="9" t="str">
        <f aca="false">IF(OR($A190="",$C190=0),"",$D190/$C190)</f>
        <v/>
      </c>
      <c r="I190" s="20"/>
      <c r="J190" s="20"/>
      <c r="K190" s="19"/>
      <c r="L190" s="19"/>
      <c r="M190" s="19"/>
      <c r="N190" s="15" t="str">
        <f aca="false">IF($A190="","",IF($C190=0,0,(IF($F190&lt;=15,5,IF($F190&lt;=30,4,IF($F190&lt;=45,3,IF($F190&lt;=90,2,1))))+IF($C190&gt;=10,5,IF($C190&gt;=6,4,IF($C190&gt;=4,3,IF($C190&gt;=2,2,1))))+IF($D190&gt;=20000,5,IF($D190&gt;=10000,4,IF($D190&gt;=5000,3,IF($D190&gt;=2000,2,1)))))))</f>
        <v/>
      </c>
      <c r="O190" s="3" t="str">
        <f aca="false">IF($A190="","",IF($C190=0,"No visits",IF($N190&gt;=13,"VIP",IF($N190&gt;=10,"High value",IF($N190&gt;=7,"Regular",IF($N190&gt;=4,"Occasional","Low"))))))</f>
        <v/>
      </c>
      <c r="P190" s="6" t="str">
        <f aca="true">IF(OR($A190="",$I190=""),"",IF(MONTH($I190)=MONTH(TODAY()),"Yes",""))</f>
        <v/>
      </c>
      <c r="Q190" s="21" t="str">
        <f aca="false">IF($A190="","",IF($C190=0,"",_xlfn.MINIFS('Daily tracking'!$A$2:$A$2001,'Daily tracking'!$D$2:$D$2001,$A190)))</f>
        <v/>
      </c>
      <c r="R190" s="6" t="str">
        <f aca="false">IF(OR($A190="",$C190&lt;2),"",($E190-$Q190)/($C190-1))</f>
        <v/>
      </c>
    </row>
    <row r="191" customFormat="false" ht="14.25" hidden="false" customHeight="false" outlineLevel="0" collapsed="false">
      <c r="A191" s="19"/>
      <c r="B191" s="19"/>
      <c r="C191" s="15" t="str">
        <f aca="false">IF($A191="","",COUNTIF('Daily tracking'!$D$2:$D$2001,$A191))</f>
        <v/>
      </c>
      <c r="D191" s="16" t="str">
        <f aca="false">IF($A191="","",SUMIF('Daily tracking'!$D$2:$D$2001,$A191,'Daily tracking'!$G$2:$G$2001))</f>
        <v/>
      </c>
      <c r="E191" s="18" t="str">
        <f aca="false">IF($A191="","",IF($C191=0,"",_xlfn.MAXIFS('Daily tracking'!$A$2:$A$2001,'Daily tracking'!$D$2:$D$2001,$A191)))</f>
        <v/>
      </c>
      <c r="F191" s="6" t="str">
        <f aca="true">IF(OR($A191="",$E191=""),"",TODAY()-$E191)</f>
        <v/>
      </c>
      <c r="G191" s="3" t="str">
        <f aca="false">IF($A191="","",IF($C191=0,"No visits",IF($F191&gt;90,"Lapsed",IF($F191&gt;35,"At risk",IF($C191&gt;=4,"Loyal","Active")))))</f>
        <v/>
      </c>
      <c r="H191" s="9" t="str">
        <f aca="false">IF(OR($A191="",$C191=0),"",$D191/$C191)</f>
        <v/>
      </c>
      <c r="I191" s="20"/>
      <c r="J191" s="20"/>
      <c r="K191" s="19"/>
      <c r="L191" s="19"/>
      <c r="M191" s="19"/>
      <c r="N191" s="15" t="str">
        <f aca="false">IF($A191="","",IF($C191=0,0,(IF($F191&lt;=15,5,IF($F191&lt;=30,4,IF($F191&lt;=45,3,IF($F191&lt;=90,2,1))))+IF($C191&gt;=10,5,IF($C191&gt;=6,4,IF($C191&gt;=4,3,IF($C191&gt;=2,2,1))))+IF($D191&gt;=20000,5,IF($D191&gt;=10000,4,IF($D191&gt;=5000,3,IF($D191&gt;=2000,2,1)))))))</f>
        <v/>
      </c>
      <c r="O191" s="3" t="str">
        <f aca="false">IF($A191="","",IF($C191=0,"No visits",IF($N191&gt;=13,"VIP",IF($N191&gt;=10,"High value",IF($N191&gt;=7,"Regular",IF($N191&gt;=4,"Occasional","Low"))))))</f>
        <v/>
      </c>
      <c r="P191" s="6" t="str">
        <f aca="true">IF(OR($A191="",$I191=""),"",IF(MONTH($I191)=MONTH(TODAY()),"Yes",""))</f>
        <v/>
      </c>
      <c r="Q191" s="21" t="str">
        <f aca="false">IF($A191="","",IF($C191=0,"",_xlfn.MINIFS('Daily tracking'!$A$2:$A$2001,'Daily tracking'!$D$2:$D$2001,$A191)))</f>
        <v/>
      </c>
      <c r="R191" s="6" t="str">
        <f aca="false">IF(OR($A191="",$C191&lt;2),"",($E191-$Q191)/($C191-1))</f>
        <v/>
      </c>
    </row>
    <row r="192" customFormat="false" ht="14.25" hidden="false" customHeight="false" outlineLevel="0" collapsed="false">
      <c r="A192" s="19"/>
      <c r="B192" s="19"/>
      <c r="C192" s="15" t="str">
        <f aca="false">IF($A192="","",COUNTIF('Daily tracking'!$D$2:$D$2001,$A192))</f>
        <v/>
      </c>
      <c r="D192" s="16" t="str">
        <f aca="false">IF($A192="","",SUMIF('Daily tracking'!$D$2:$D$2001,$A192,'Daily tracking'!$G$2:$G$2001))</f>
        <v/>
      </c>
      <c r="E192" s="18" t="str">
        <f aca="false">IF($A192="","",IF($C192=0,"",_xlfn.MAXIFS('Daily tracking'!$A$2:$A$2001,'Daily tracking'!$D$2:$D$2001,$A192)))</f>
        <v/>
      </c>
      <c r="F192" s="6" t="str">
        <f aca="true">IF(OR($A192="",$E192=""),"",TODAY()-$E192)</f>
        <v/>
      </c>
      <c r="G192" s="3" t="str">
        <f aca="false">IF($A192="","",IF($C192=0,"No visits",IF($F192&gt;90,"Lapsed",IF($F192&gt;35,"At risk",IF($C192&gt;=4,"Loyal","Active")))))</f>
        <v/>
      </c>
      <c r="H192" s="9" t="str">
        <f aca="false">IF(OR($A192="",$C192=0),"",$D192/$C192)</f>
        <v/>
      </c>
      <c r="I192" s="20"/>
      <c r="J192" s="20"/>
      <c r="K192" s="19"/>
      <c r="L192" s="19"/>
      <c r="M192" s="19"/>
      <c r="N192" s="15" t="str">
        <f aca="false">IF($A192="","",IF($C192=0,0,(IF($F192&lt;=15,5,IF($F192&lt;=30,4,IF($F192&lt;=45,3,IF($F192&lt;=90,2,1))))+IF($C192&gt;=10,5,IF($C192&gt;=6,4,IF($C192&gt;=4,3,IF($C192&gt;=2,2,1))))+IF($D192&gt;=20000,5,IF($D192&gt;=10000,4,IF($D192&gt;=5000,3,IF($D192&gt;=2000,2,1)))))))</f>
        <v/>
      </c>
      <c r="O192" s="3" t="str">
        <f aca="false">IF($A192="","",IF($C192=0,"No visits",IF($N192&gt;=13,"VIP",IF($N192&gt;=10,"High value",IF($N192&gt;=7,"Regular",IF($N192&gt;=4,"Occasional","Low"))))))</f>
        <v/>
      </c>
      <c r="P192" s="6" t="str">
        <f aca="true">IF(OR($A192="",$I192=""),"",IF(MONTH($I192)=MONTH(TODAY()),"Yes",""))</f>
        <v/>
      </c>
      <c r="Q192" s="21" t="str">
        <f aca="false">IF($A192="","",IF($C192=0,"",_xlfn.MINIFS('Daily tracking'!$A$2:$A$2001,'Daily tracking'!$D$2:$D$2001,$A192)))</f>
        <v/>
      </c>
      <c r="R192" s="6" t="str">
        <f aca="false">IF(OR($A192="",$C192&lt;2),"",($E192-$Q192)/($C192-1))</f>
        <v/>
      </c>
    </row>
    <row r="193" customFormat="false" ht="14.25" hidden="false" customHeight="false" outlineLevel="0" collapsed="false">
      <c r="A193" s="19"/>
      <c r="B193" s="19"/>
      <c r="C193" s="15" t="str">
        <f aca="false">IF($A193="","",COUNTIF('Daily tracking'!$D$2:$D$2001,$A193))</f>
        <v/>
      </c>
      <c r="D193" s="16" t="str">
        <f aca="false">IF($A193="","",SUMIF('Daily tracking'!$D$2:$D$2001,$A193,'Daily tracking'!$G$2:$G$2001))</f>
        <v/>
      </c>
      <c r="E193" s="18" t="str">
        <f aca="false">IF($A193="","",IF($C193=0,"",_xlfn.MAXIFS('Daily tracking'!$A$2:$A$2001,'Daily tracking'!$D$2:$D$2001,$A193)))</f>
        <v/>
      </c>
      <c r="F193" s="6" t="str">
        <f aca="true">IF(OR($A193="",$E193=""),"",TODAY()-$E193)</f>
        <v/>
      </c>
      <c r="G193" s="3" t="str">
        <f aca="false">IF($A193="","",IF($C193=0,"No visits",IF($F193&gt;90,"Lapsed",IF($F193&gt;35,"At risk",IF($C193&gt;=4,"Loyal","Active")))))</f>
        <v/>
      </c>
      <c r="H193" s="9" t="str">
        <f aca="false">IF(OR($A193="",$C193=0),"",$D193/$C193)</f>
        <v/>
      </c>
      <c r="I193" s="20"/>
      <c r="J193" s="20"/>
      <c r="K193" s="19"/>
      <c r="L193" s="19"/>
      <c r="M193" s="19"/>
      <c r="N193" s="15" t="str">
        <f aca="false">IF($A193="","",IF($C193=0,0,(IF($F193&lt;=15,5,IF($F193&lt;=30,4,IF($F193&lt;=45,3,IF($F193&lt;=90,2,1))))+IF($C193&gt;=10,5,IF($C193&gt;=6,4,IF($C193&gt;=4,3,IF($C193&gt;=2,2,1))))+IF($D193&gt;=20000,5,IF($D193&gt;=10000,4,IF($D193&gt;=5000,3,IF($D193&gt;=2000,2,1)))))))</f>
        <v/>
      </c>
      <c r="O193" s="3" t="str">
        <f aca="false">IF($A193="","",IF($C193=0,"No visits",IF($N193&gt;=13,"VIP",IF($N193&gt;=10,"High value",IF($N193&gt;=7,"Regular",IF($N193&gt;=4,"Occasional","Low"))))))</f>
        <v/>
      </c>
      <c r="P193" s="6" t="str">
        <f aca="true">IF(OR($A193="",$I193=""),"",IF(MONTH($I193)=MONTH(TODAY()),"Yes",""))</f>
        <v/>
      </c>
      <c r="Q193" s="21" t="str">
        <f aca="false">IF($A193="","",IF($C193=0,"",_xlfn.MINIFS('Daily tracking'!$A$2:$A$2001,'Daily tracking'!$D$2:$D$2001,$A193)))</f>
        <v/>
      </c>
      <c r="R193" s="6" t="str">
        <f aca="false">IF(OR($A193="",$C193&lt;2),"",($E193-$Q193)/($C193-1))</f>
        <v/>
      </c>
    </row>
    <row r="194" customFormat="false" ht="14.25" hidden="false" customHeight="false" outlineLevel="0" collapsed="false">
      <c r="A194" s="19"/>
      <c r="B194" s="19"/>
      <c r="C194" s="15" t="str">
        <f aca="false">IF($A194="","",COUNTIF('Daily tracking'!$D$2:$D$2001,$A194))</f>
        <v/>
      </c>
      <c r="D194" s="16" t="str">
        <f aca="false">IF($A194="","",SUMIF('Daily tracking'!$D$2:$D$2001,$A194,'Daily tracking'!$G$2:$G$2001))</f>
        <v/>
      </c>
      <c r="E194" s="18" t="str">
        <f aca="false">IF($A194="","",IF($C194=0,"",_xlfn.MAXIFS('Daily tracking'!$A$2:$A$2001,'Daily tracking'!$D$2:$D$2001,$A194)))</f>
        <v/>
      </c>
      <c r="F194" s="6" t="str">
        <f aca="true">IF(OR($A194="",$E194=""),"",TODAY()-$E194)</f>
        <v/>
      </c>
      <c r="G194" s="3" t="str">
        <f aca="false">IF($A194="","",IF($C194=0,"No visits",IF($F194&gt;90,"Lapsed",IF($F194&gt;35,"At risk",IF($C194&gt;=4,"Loyal","Active")))))</f>
        <v/>
      </c>
      <c r="H194" s="9" t="str">
        <f aca="false">IF(OR($A194="",$C194=0),"",$D194/$C194)</f>
        <v/>
      </c>
      <c r="I194" s="20"/>
      <c r="J194" s="20"/>
      <c r="K194" s="19"/>
      <c r="L194" s="19"/>
      <c r="M194" s="19"/>
      <c r="N194" s="15" t="str">
        <f aca="false">IF($A194="","",IF($C194=0,0,(IF($F194&lt;=15,5,IF($F194&lt;=30,4,IF($F194&lt;=45,3,IF($F194&lt;=90,2,1))))+IF($C194&gt;=10,5,IF($C194&gt;=6,4,IF($C194&gt;=4,3,IF($C194&gt;=2,2,1))))+IF($D194&gt;=20000,5,IF($D194&gt;=10000,4,IF($D194&gt;=5000,3,IF($D194&gt;=2000,2,1)))))))</f>
        <v/>
      </c>
      <c r="O194" s="3" t="str">
        <f aca="false">IF($A194="","",IF($C194=0,"No visits",IF($N194&gt;=13,"VIP",IF($N194&gt;=10,"High value",IF($N194&gt;=7,"Regular",IF($N194&gt;=4,"Occasional","Low"))))))</f>
        <v/>
      </c>
      <c r="P194" s="6" t="str">
        <f aca="true">IF(OR($A194="",$I194=""),"",IF(MONTH($I194)=MONTH(TODAY()),"Yes",""))</f>
        <v/>
      </c>
      <c r="Q194" s="21" t="str">
        <f aca="false">IF($A194="","",IF($C194=0,"",_xlfn.MINIFS('Daily tracking'!$A$2:$A$2001,'Daily tracking'!$D$2:$D$2001,$A194)))</f>
        <v/>
      </c>
      <c r="R194" s="6" t="str">
        <f aca="false">IF(OR($A194="",$C194&lt;2),"",($E194-$Q194)/($C194-1))</f>
        <v/>
      </c>
    </row>
    <row r="195" customFormat="false" ht="14.25" hidden="false" customHeight="false" outlineLevel="0" collapsed="false">
      <c r="A195" s="19"/>
      <c r="B195" s="19"/>
      <c r="C195" s="15" t="str">
        <f aca="false">IF($A195="","",COUNTIF('Daily tracking'!$D$2:$D$2001,$A195))</f>
        <v/>
      </c>
      <c r="D195" s="16" t="str">
        <f aca="false">IF($A195="","",SUMIF('Daily tracking'!$D$2:$D$2001,$A195,'Daily tracking'!$G$2:$G$2001))</f>
        <v/>
      </c>
      <c r="E195" s="18" t="str">
        <f aca="false">IF($A195="","",IF($C195=0,"",_xlfn.MAXIFS('Daily tracking'!$A$2:$A$2001,'Daily tracking'!$D$2:$D$2001,$A195)))</f>
        <v/>
      </c>
      <c r="F195" s="6" t="str">
        <f aca="true">IF(OR($A195="",$E195=""),"",TODAY()-$E195)</f>
        <v/>
      </c>
      <c r="G195" s="3" t="str">
        <f aca="false">IF($A195="","",IF($C195=0,"No visits",IF($F195&gt;90,"Lapsed",IF($F195&gt;35,"At risk",IF($C195&gt;=4,"Loyal","Active")))))</f>
        <v/>
      </c>
      <c r="H195" s="9" t="str">
        <f aca="false">IF(OR($A195="",$C195=0),"",$D195/$C195)</f>
        <v/>
      </c>
      <c r="I195" s="20"/>
      <c r="J195" s="20"/>
      <c r="K195" s="19"/>
      <c r="L195" s="19"/>
      <c r="M195" s="19"/>
      <c r="N195" s="15" t="str">
        <f aca="false">IF($A195="","",IF($C195=0,0,(IF($F195&lt;=15,5,IF($F195&lt;=30,4,IF($F195&lt;=45,3,IF($F195&lt;=90,2,1))))+IF($C195&gt;=10,5,IF($C195&gt;=6,4,IF($C195&gt;=4,3,IF($C195&gt;=2,2,1))))+IF($D195&gt;=20000,5,IF($D195&gt;=10000,4,IF($D195&gt;=5000,3,IF($D195&gt;=2000,2,1)))))))</f>
        <v/>
      </c>
      <c r="O195" s="3" t="str">
        <f aca="false">IF($A195="","",IF($C195=0,"No visits",IF($N195&gt;=13,"VIP",IF($N195&gt;=10,"High value",IF($N195&gt;=7,"Regular",IF($N195&gt;=4,"Occasional","Low"))))))</f>
        <v/>
      </c>
      <c r="P195" s="6" t="str">
        <f aca="true">IF(OR($A195="",$I195=""),"",IF(MONTH($I195)=MONTH(TODAY()),"Yes",""))</f>
        <v/>
      </c>
      <c r="Q195" s="21" t="str">
        <f aca="false">IF($A195="","",IF($C195=0,"",_xlfn.MINIFS('Daily tracking'!$A$2:$A$2001,'Daily tracking'!$D$2:$D$2001,$A195)))</f>
        <v/>
      </c>
      <c r="R195" s="6" t="str">
        <f aca="false">IF(OR($A195="",$C195&lt;2),"",($E195-$Q195)/($C195-1))</f>
        <v/>
      </c>
    </row>
    <row r="196" customFormat="false" ht="14.25" hidden="false" customHeight="false" outlineLevel="0" collapsed="false">
      <c r="A196" s="19"/>
      <c r="B196" s="19"/>
      <c r="C196" s="15" t="str">
        <f aca="false">IF($A196="","",COUNTIF('Daily tracking'!$D$2:$D$2001,$A196))</f>
        <v/>
      </c>
      <c r="D196" s="16" t="str">
        <f aca="false">IF($A196="","",SUMIF('Daily tracking'!$D$2:$D$2001,$A196,'Daily tracking'!$G$2:$G$2001))</f>
        <v/>
      </c>
      <c r="E196" s="18" t="str">
        <f aca="false">IF($A196="","",IF($C196=0,"",_xlfn.MAXIFS('Daily tracking'!$A$2:$A$2001,'Daily tracking'!$D$2:$D$2001,$A196)))</f>
        <v/>
      </c>
      <c r="F196" s="6" t="str">
        <f aca="true">IF(OR($A196="",$E196=""),"",TODAY()-$E196)</f>
        <v/>
      </c>
      <c r="G196" s="3" t="str">
        <f aca="false">IF($A196="","",IF($C196=0,"No visits",IF($F196&gt;90,"Lapsed",IF($F196&gt;35,"At risk",IF($C196&gt;=4,"Loyal","Active")))))</f>
        <v/>
      </c>
      <c r="H196" s="9" t="str">
        <f aca="false">IF(OR($A196="",$C196=0),"",$D196/$C196)</f>
        <v/>
      </c>
      <c r="I196" s="20"/>
      <c r="J196" s="20"/>
      <c r="K196" s="19"/>
      <c r="L196" s="19"/>
      <c r="M196" s="19"/>
      <c r="N196" s="15" t="str">
        <f aca="false">IF($A196="","",IF($C196=0,0,(IF($F196&lt;=15,5,IF($F196&lt;=30,4,IF($F196&lt;=45,3,IF($F196&lt;=90,2,1))))+IF($C196&gt;=10,5,IF($C196&gt;=6,4,IF($C196&gt;=4,3,IF($C196&gt;=2,2,1))))+IF($D196&gt;=20000,5,IF($D196&gt;=10000,4,IF($D196&gt;=5000,3,IF($D196&gt;=2000,2,1)))))))</f>
        <v/>
      </c>
      <c r="O196" s="3" t="str">
        <f aca="false">IF($A196="","",IF($C196=0,"No visits",IF($N196&gt;=13,"VIP",IF($N196&gt;=10,"High value",IF($N196&gt;=7,"Regular",IF($N196&gt;=4,"Occasional","Low"))))))</f>
        <v/>
      </c>
      <c r="P196" s="6" t="str">
        <f aca="true">IF(OR($A196="",$I196=""),"",IF(MONTH($I196)=MONTH(TODAY()),"Yes",""))</f>
        <v/>
      </c>
      <c r="Q196" s="21" t="str">
        <f aca="false">IF($A196="","",IF($C196=0,"",_xlfn.MINIFS('Daily tracking'!$A$2:$A$2001,'Daily tracking'!$D$2:$D$2001,$A196)))</f>
        <v/>
      </c>
      <c r="R196" s="6" t="str">
        <f aca="false">IF(OR($A196="",$C196&lt;2),"",($E196-$Q196)/($C196-1))</f>
        <v/>
      </c>
    </row>
    <row r="197" customFormat="false" ht="14.25" hidden="false" customHeight="false" outlineLevel="0" collapsed="false">
      <c r="A197" s="19"/>
      <c r="B197" s="19"/>
      <c r="C197" s="15" t="str">
        <f aca="false">IF($A197="","",COUNTIF('Daily tracking'!$D$2:$D$2001,$A197))</f>
        <v/>
      </c>
      <c r="D197" s="16" t="str">
        <f aca="false">IF($A197="","",SUMIF('Daily tracking'!$D$2:$D$2001,$A197,'Daily tracking'!$G$2:$G$2001))</f>
        <v/>
      </c>
      <c r="E197" s="18" t="str">
        <f aca="false">IF($A197="","",IF($C197=0,"",_xlfn.MAXIFS('Daily tracking'!$A$2:$A$2001,'Daily tracking'!$D$2:$D$2001,$A197)))</f>
        <v/>
      </c>
      <c r="F197" s="6" t="str">
        <f aca="true">IF(OR($A197="",$E197=""),"",TODAY()-$E197)</f>
        <v/>
      </c>
      <c r="G197" s="3" t="str">
        <f aca="false">IF($A197="","",IF($C197=0,"No visits",IF($F197&gt;90,"Lapsed",IF($F197&gt;35,"At risk",IF($C197&gt;=4,"Loyal","Active")))))</f>
        <v/>
      </c>
      <c r="H197" s="9" t="str">
        <f aca="false">IF(OR($A197="",$C197=0),"",$D197/$C197)</f>
        <v/>
      </c>
      <c r="I197" s="20"/>
      <c r="J197" s="20"/>
      <c r="K197" s="19"/>
      <c r="L197" s="19"/>
      <c r="M197" s="19"/>
      <c r="N197" s="15" t="str">
        <f aca="false">IF($A197="","",IF($C197=0,0,(IF($F197&lt;=15,5,IF($F197&lt;=30,4,IF($F197&lt;=45,3,IF($F197&lt;=90,2,1))))+IF($C197&gt;=10,5,IF($C197&gt;=6,4,IF($C197&gt;=4,3,IF($C197&gt;=2,2,1))))+IF($D197&gt;=20000,5,IF($D197&gt;=10000,4,IF($D197&gt;=5000,3,IF($D197&gt;=2000,2,1)))))))</f>
        <v/>
      </c>
      <c r="O197" s="3" t="str">
        <f aca="false">IF($A197="","",IF($C197=0,"No visits",IF($N197&gt;=13,"VIP",IF($N197&gt;=10,"High value",IF($N197&gt;=7,"Regular",IF($N197&gt;=4,"Occasional","Low"))))))</f>
        <v/>
      </c>
      <c r="P197" s="6" t="str">
        <f aca="true">IF(OR($A197="",$I197=""),"",IF(MONTH($I197)=MONTH(TODAY()),"Yes",""))</f>
        <v/>
      </c>
      <c r="Q197" s="21" t="str">
        <f aca="false">IF($A197="","",IF($C197=0,"",_xlfn.MINIFS('Daily tracking'!$A$2:$A$2001,'Daily tracking'!$D$2:$D$2001,$A197)))</f>
        <v/>
      </c>
      <c r="R197" s="6" t="str">
        <f aca="false">IF(OR($A197="",$C197&lt;2),"",($E197-$Q197)/($C197-1))</f>
        <v/>
      </c>
    </row>
    <row r="198" customFormat="false" ht="14.25" hidden="false" customHeight="false" outlineLevel="0" collapsed="false">
      <c r="A198" s="19"/>
      <c r="B198" s="19"/>
      <c r="C198" s="15" t="str">
        <f aca="false">IF($A198="","",COUNTIF('Daily tracking'!$D$2:$D$2001,$A198))</f>
        <v/>
      </c>
      <c r="D198" s="16" t="str">
        <f aca="false">IF($A198="","",SUMIF('Daily tracking'!$D$2:$D$2001,$A198,'Daily tracking'!$G$2:$G$2001))</f>
        <v/>
      </c>
      <c r="E198" s="18" t="str">
        <f aca="false">IF($A198="","",IF($C198=0,"",_xlfn.MAXIFS('Daily tracking'!$A$2:$A$2001,'Daily tracking'!$D$2:$D$2001,$A198)))</f>
        <v/>
      </c>
      <c r="F198" s="6" t="str">
        <f aca="true">IF(OR($A198="",$E198=""),"",TODAY()-$E198)</f>
        <v/>
      </c>
      <c r="G198" s="3" t="str">
        <f aca="false">IF($A198="","",IF($C198=0,"No visits",IF($F198&gt;90,"Lapsed",IF($F198&gt;35,"At risk",IF($C198&gt;=4,"Loyal","Active")))))</f>
        <v/>
      </c>
      <c r="H198" s="9" t="str">
        <f aca="false">IF(OR($A198="",$C198=0),"",$D198/$C198)</f>
        <v/>
      </c>
      <c r="I198" s="20"/>
      <c r="J198" s="20"/>
      <c r="K198" s="19"/>
      <c r="L198" s="19"/>
      <c r="M198" s="19"/>
      <c r="N198" s="15" t="str">
        <f aca="false">IF($A198="","",IF($C198=0,0,(IF($F198&lt;=15,5,IF($F198&lt;=30,4,IF($F198&lt;=45,3,IF($F198&lt;=90,2,1))))+IF($C198&gt;=10,5,IF($C198&gt;=6,4,IF($C198&gt;=4,3,IF($C198&gt;=2,2,1))))+IF($D198&gt;=20000,5,IF($D198&gt;=10000,4,IF($D198&gt;=5000,3,IF($D198&gt;=2000,2,1)))))))</f>
        <v/>
      </c>
      <c r="O198" s="3" t="str">
        <f aca="false">IF($A198="","",IF($C198=0,"No visits",IF($N198&gt;=13,"VIP",IF($N198&gt;=10,"High value",IF($N198&gt;=7,"Regular",IF($N198&gt;=4,"Occasional","Low"))))))</f>
        <v/>
      </c>
      <c r="P198" s="6" t="str">
        <f aca="true">IF(OR($A198="",$I198=""),"",IF(MONTH($I198)=MONTH(TODAY()),"Yes",""))</f>
        <v/>
      </c>
      <c r="Q198" s="21" t="str">
        <f aca="false">IF($A198="","",IF($C198=0,"",_xlfn.MINIFS('Daily tracking'!$A$2:$A$2001,'Daily tracking'!$D$2:$D$2001,$A198)))</f>
        <v/>
      </c>
      <c r="R198" s="6" t="str">
        <f aca="false">IF(OR($A198="",$C198&lt;2),"",($E198-$Q198)/($C198-1))</f>
        <v/>
      </c>
    </row>
    <row r="199" customFormat="false" ht="14.25" hidden="false" customHeight="false" outlineLevel="0" collapsed="false">
      <c r="A199" s="19"/>
      <c r="B199" s="19"/>
      <c r="C199" s="15" t="str">
        <f aca="false">IF($A199="","",COUNTIF('Daily tracking'!$D$2:$D$2001,$A199))</f>
        <v/>
      </c>
      <c r="D199" s="16" t="str">
        <f aca="false">IF($A199="","",SUMIF('Daily tracking'!$D$2:$D$2001,$A199,'Daily tracking'!$G$2:$G$2001))</f>
        <v/>
      </c>
      <c r="E199" s="18" t="str">
        <f aca="false">IF($A199="","",IF($C199=0,"",_xlfn.MAXIFS('Daily tracking'!$A$2:$A$2001,'Daily tracking'!$D$2:$D$2001,$A199)))</f>
        <v/>
      </c>
      <c r="F199" s="6" t="str">
        <f aca="true">IF(OR($A199="",$E199=""),"",TODAY()-$E199)</f>
        <v/>
      </c>
      <c r="G199" s="3" t="str">
        <f aca="false">IF($A199="","",IF($C199=0,"No visits",IF($F199&gt;90,"Lapsed",IF($F199&gt;35,"At risk",IF($C199&gt;=4,"Loyal","Active")))))</f>
        <v/>
      </c>
      <c r="H199" s="9" t="str">
        <f aca="false">IF(OR($A199="",$C199=0),"",$D199/$C199)</f>
        <v/>
      </c>
      <c r="I199" s="20"/>
      <c r="J199" s="20"/>
      <c r="K199" s="19"/>
      <c r="L199" s="19"/>
      <c r="M199" s="19"/>
      <c r="N199" s="15" t="str">
        <f aca="false">IF($A199="","",IF($C199=0,0,(IF($F199&lt;=15,5,IF($F199&lt;=30,4,IF($F199&lt;=45,3,IF($F199&lt;=90,2,1))))+IF($C199&gt;=10,5,IF($C199&gt;=6,4,IF($C199&gt;=4,3,IF($C199&gt;=2,2,1))))+IF($D199&gt;=20000,5,IF($D199&gt;=10000,4,IF($D199&gt;=5000,3,IF($D199&gt;=2000,2,1)))))))</f>
        <v/>
      </c>
      <c r="O199" s="3" t="str">
        <f aca="false">IF($A199="","",IF($C199=0,"No visits",IF($N199&gt;=13,"VIP",IF($N199&gt;=10,"High value",IF($N199&gt;=7,"Regular",IF($N199&gt;=4,"Occasional","Low"))))))</f>
        <v/>
      </c>
      <c r="P199" s="6" t="str">
        <f aca="true">IF(OR($A199="",$I199=""),"",IF(MONTH($I199)=MONTH(TODAY()),"Yes",""))</f>
        <v/>
      </c>
      <c r="Q199" s="21" t="str">
        <f aca="false">IF($A199="","",IF($C199=0,"",_xlfn.MINIFS('Daily tracking'!$A$2:$A$2001,'Daily tracking'!$D$2:$D$2001,$A199)))</f>
        <v/>
      </c>
      <c r="R199" s="6" t="str">
        <f aca="false">IF(OR($A199="",$C199&lt;2),"",($E199-$Q199)/($C199-1))</f>
        <v/>
      </c>
    </row>
    <row r="200" customFormat="false" ht="14.25" hidden="false" customHeight="false" outlineLevel="0" collapsed="false">
      <c r="A200" s="19"/>
      <c r="B200" s="19"/>
      <c r="C200" s="15" t="str">
        <f aca="false">IF($A200="","",COUNTIF('Daily tracking'!$D$2:$D$2001,$A200))</f>
        <v/>
      </c>
      <c r="D200" s="16" t="str">
        <f aca="false">IF($A200="","",SUMIF('Daily tracking'!$D$2:$D$2001,$A200,'Daily tracking'!$G$2:$G$2001))</f>
        <v/>
      </c>
      <c r="E200" s="18" t="str">
        <f aca="false">IF($A200="","",IF($C200=0,"",_xlfn.MAXIFS('Daily tracking'!$A$2:$A$2001,'Daily tracking'!$D$2:$D$2001,$A200)))</f>
        <v/>
      </c>
      <c r="F200" s="6" t="str">
        <f aca="true">IF(OR($A200="",$E200=""),"",TODAY()-$E200)</f>
        <v/>
      </c>
      <c r="G200" s="3" t="str">
        <f aca="false">IF($A200="","",IF($C200=0,"No visits",IF($F200&gt;90,"Lapsed",IF($F200&gt;35,"At risk",IF($C200&gt;=4,"Loyal","Active")))))</f>
        <v/>
      </c>
      <c r="H200" s="9" t="str">
        <f aca="false">IF(OR($A200="",$C200=0),"",$D200/$C200)</f>
        <v/>
      </c>
      <c r="I200" s="20"/>
      <c r="J200" s="20"/>
      <c r="K200" s="19"/>
      <c r="L200" s="19"/>
      <c r="M200" s="19"/>
      <c r="N200" s="15" t="str">
        <f aca="false">IF($A200="","",IF($C200=0,0,(IF($F200&lt;=15,5,IF($F200&lt;=30,4,IF($F200&lt;=45,3,IF($F200&lt;=90,2,1))))+IF($C200&gt;=10,5,IF($C200&gt;=6,4,IF($C200&gt;=4,3,IF($C200&gt;=2,2,1))))+IF($D200&gt;=20000,5,IF($D200&gt;=10000,4,IF($D200&gt;=5000,3,IF($D200&gt;=2000,2,1)))))))</f>
        <v/>
      </c>
      <c r="O200" s="3" t="str">
        <f aca="false">IF($A200="","",IF($C200=0,"No visits",IF($N200&gt;=13,"VIP",IF($N200&gt;=10,"High value",IF($N200&gt;=7,"Regular",IF($N200&gt;=4,"Occasional","Low"))))))</f>
        <v/>
      </c>
      <c r="P200" s="6" t="str">
        <f aca="true">IF(OR($A200="",$I200=""),"",IF(MONTH($I200)=MONTH(TODAY()),"Yes",""))</f>
        <v/>
      </c>
      <c r="Q200" s="21" t="str">
        <f aca="false">IF($A200="","",IF($C200=0,"",_xlfn.MINIFS('Daily tracking'!$A$2:$A$2001,'Daily tracking'!$D$2:$D$2001,$A200)))</f>
        <v/>
      </c>
      <c r="R200" s="6" t="str">
        <f aca="false">IF(OR($A200="",$C200&lt;2),"",($E200-$Q200)/($C200-1))</f>
        <v/>
      </c>
    </row>
    <row r="201" customFormat="false" ht="14.25" hidden="false" customHeight="false" outlineLevel="0" collapsed="false">
      <c r="A201" s="19"/>
      <c r="B201" s="19"/>
      <c r="C201" s="15" t="str">
        <f aca="false">IF($A201="","",COUNTIF('Daily tracking'!$D$2:$D$2001,$A201))</f>
        <v/>
      </c>
      <c r="D201" s="16" t="str">
        <f aca="false">IF($A201="","",SUMIF('Daily tracking'!$D$2:$D$2001,$A201,'Daily tracking'!$G$2:$G$2001))</f>
        <v/>
      </c>
      <c r="E201" s="18" t="str">
        <f aca="false">IF($A201="","",IF($C201=0,"",_xlfn.MAXIFS('Daily tracking'!$A$2:$A$2001,'Daily tracking'!$D$2:$D$2001,$A201)))</f>
        <v/>
      </c>
      <c r="F201" s="6" t="str">
        <f aca="true">IF(OR($A201="",$E201=""),"",TODAY()-$E201)</f>
        <v/>
      </c>
      <c r="G201" s="3" t="str">
        <f aca="false">IF($A201="","",IF($C201=0,"No visits",IF($F201&gt;90,"Lapsed",IF($F201&gt;35,"At risk",IF($C201&gt;=4,"Loyal","Active")))))</f>
        <v/>
      </c>
      <c r="H201" s="9" t="str">
        <f aca="false">IF(OR($A201="",$C201=0),"",$D201/$C201)</f>
        <v/>
      </c>
      <c r="I201" s="20"/>
      <c r="J201" s="20"/>
      <c r="K201" s="19"/>
      <c r="L201" s="19"/>
      <c r="M201" s="19"/>
      <c r="N201" s="15" t="str">
        <f aca="false">IF($A201="","",IF($C201=0,0,(IF($F201&lt;=15,5,IF($F201&lt;=30,4,IF($F201&lt;=45,3,IF($F201&lt;=90,2,1))))+IF($C201&gt;=10,5,IF($C201&gt;=6,4,IF($C201&gt;=4,3,IF($C201&gt;=2,2,1))))+IF($D201&gt;=20000,5,IF($D201&gt;=10000,4,IF($D201&gt;=5000,3,IF($D201&gt;=2000,2,1)))))))</f>
        <v/>
      </c>
      <c r="O201" s="3" t="str">
        <f aca="false">IF($A201="","",IF($C201=0,"No visits",IF($N201&gt;=13,"VIP",IF($N201&gt;=10,"High value",IF($N201&gt;=7,"Regular",IF($N201&gt;=4,"Occasional","Low"))))))</f>
        <v/>
      </c>
      <c r="P201" s="6" t="str">
        <f aca="true">IF(OR($A201="",$I201=""),"",IF(MONTH($I201)=MONTH(TODAY()),"Yes",""))</f>
        <v/>
      </c>
      <c r="Q201" s="21" t="str">
        <f aca="false">IF($A201="","",IF($C201=0,"",_xlfn.MINIFS('Daily tracking'!$A$2:$A$2001,'Daily tracking'!$D$2:$D$2001,$A201)))</f>
        <v/>
      </c>
      <c r="R201" s="6" t="str">
        <f aca="false">IF(OR($A201="",$C201&lt;2),"",($E201-$Q201)/($C201-1))</f>
        <v/>
      </c>
    </row>
    <row r="202" customFormat="false" ht="14.25" hidden="false" customHeight="false" outlineLevel="0" collapsed="false">
      <c r="A202" s="19"/>
      <c r="B202" s="19"/>
      <c r="C202" s="15" t="str">
        <f aca="false">IF($A202="","",COUNTIF('Daily tracking'!$D$2:$D$2001,$A202))</f>
        <v/>
      </c>
      <c r="D202" s="16" t="str">
        <f aca="false">IF($A202="","",SUMIF('Daily tracking'!$D$2:$D$2001,$A202,'Daily tracking'!$G$2:$G$2001))</f>
        <v/>
      </c>
      <c r="E202" s="18" t="str">
        <f aca="false">IF($A202="","",IF($C202=0,"",_xlfn.MAXIFS('Daily tracking'!$A$2:$A$2001,'Daily tracking'!$D$2:$D$2001,$A202)))</f>
        <v/>
      </c>
      <c r="F202" s="6" t="str">
        <f aca="true">IF(OR($A202="",$E202=""),"",TODAY()-$E202)</f>
        <v/>
      </c>
      <c r="G202" s="3" t="str">
        <f aca="false">IF($A202="","",IF($C202=0,"No visits",IF($F202&gt;90,"Lapsed",IF($F202&gt;35,"At risk",IF($C202&gt;=4,"Loyal","Active")))))</f>
        <v/>
      </c>
      <c r="H202" s="9" t="str">
        <f aca="false">IF(OR($A202="",$C202=0),"",$D202/$C202)</f>
        <v/>
      </c>
      <c r="I202" s="20"/>
      <c r="J202" s="20"/>
      <c r="K202" s="19"/>
      <c r="L202" s="19"/>
      <c r="M202" s="19"/>
      <c r="N202" s="15" t="str">
        <f aca="false">IF($A202="","",IF($C202=0,0,(IF($F202&lt;=15,5,IF($F202&lt;=30,4,IF($F202&lt;=45,3,IF($F202&lt;=90,2,1))))+IF($C202&gt;=10,5,IF($C202&gt;=6,4,IF($C202&gt;=4,3,IF($C202&gt;=2,2,1))))+IF($D202&gt;=20000,5,IF($D202&gt;=10000,4,IF($D202&gt;=5000,3,IF($D202&gt;=2000,2,1)))))))</f>
        <v/>
      </c>
      <c r="O202" s="3" t="str">
        <f aca="false">IF($A202="","",IF($C202=0,"No visits",IF($N202&gt;=13,"VIP",IF($N202&gt;=10,"High value",IF($N202&gt;=7,"Regular",IF($N202&gt;=4,"Occasional","Low"))))))</f>
        <v/>
      </c>
      <c r="P202" s="6" t="str">
        <f aca="true">IF(OR($A202="",$I202=""),"",IF(MONTH($I202)=MONTH(TODAY()),"Yes",""))</f>
        <v/>
      </c>
      <c r="Q202" s="21" t="str">
        <f aca="false">IF($A202="","",IF($C202=0,"",_xlfn.MINIFS('Daily tracking'!$A$2:$A$2001,'Daily tracking'!$D$2:$D$2001,$A202)))</f>
        <v/>
      </c>
      <c r="R202" s="6" t="str">
        <f aca="false">IF(OR($A202="",$C202&lt;2),"",($E202-$Q202)/($C202-1))</f>
        <v/>
      </c>
    </row>
    <row r="203" customFormat="false" ht="14.25" hidden="false" customHeight="false" outlineLevel="0" collapsed="false">
      <c r="A203" s="19"/>
      <c r="B203" s="19"/>
      <c r="C203" s="15" t="str">
        <f aca="false">IF($A203="","",COUNTIF('Daily tracking'!$D$2:$D$2001,$A203))</f>
        <v/>
      </c>
      <c r="D203" s="16" t="str">
        <f aca="false">IF($A203="","",SUMIF('Daily tracking'!$D$2:$D$2001,$A203,'Daily tracking'!$G$2:$G$2001))</f>
        <v/>
      </c>
      <c r="E203" s="18" t="str">
        <f aca="false">IF($A203="","",IF($C203=0,"",_xlfn.MAXIFS('Daily tracking'!$A$2:$A$2001,'Daily tracking'!$D$2:$D$2001,$A203)))</f>
        <v/>
      </c>
      <c r="F203" s="6" t="str">
        <f aca="true">IF(OR($A203="",$E203=""),"",TODAY()-$E203)</f>
        <v/>
      </c>
      <c r="G203" s="3" t="str">
        <f aca="false">IF($A203="","",IF($C203=0,"No visits",IF($F203&gt;90,"Lapsed",IF($F203&gt;35,"At risk",IF($C203&gt;=4,"Loyal","Active")))))</f>
        <v/>
      </c>
      <c r="H203" s="9" t="str">
        <f aca="false">IF(OR($A203="",$C203=0),"",$D203/$C203)</f>
        <v/>
      </c>
      <c r="I203" s="20"/>
      <c r="J203" s="20"/>
      <c r="K203" s="19"/>
      <c r="L203" s="19"/>
      <c r="M203" s="19"/>
      <c r="N203" s="15" t="str">
        <f aca="false">IF($A203="","",IF($C203=0,0,(IF($F203&lt;=15,5,IF($F203&lt;=30,4,IF($F203&lt;=45,3,IF($F203&lt;=90,2,1))))+IF($C203&gt;=10,5,IF($C203&gt;=6,4,IF($C203&gt;=4,3,IF($C203&gt;=2,2,1))))+IF($D203&gt;=20000,5,IF($D203&gt;=10000,4,IF($D203&gt;=5000,3,IF($D203&gt;=2000,2,1)))))))</f>
        <v/>
      </c>
      <c r="O203" s="3" t="str">
        <f aca="false">IF($A203="","",IF($C203=0,"No visits",IF($N203&gt;=13,"VIP",IF($N203&gt;=10,"High value",IF($N203&gt;=7,"Regular",IF($N203&gt;=4,"Occasional","Low"))))))</f>
        <v/>
      </c>
      <c r="P203" s="6" t="str">
        <f aca="true">IF(OR($A203="",$I203=""),"",IF(MONTH($I203)=MONTH(TODAY()),"Yes",""))</f>
        <v/>
      </c>
      <c r="Q203" s="21" t="str">
        <f aca="false">IF($A203="","",IF($C203=0,"",_xlfn.MINIFS('Daily tracking'!$A$2:$A$2001,'Daily tracking'!$D$2:$D$2001,$A203)))</f>
        <v/>
      </c>
      <c r="R203" s="6" t="str">
        <f aca="false">IF(OR($A203="",$C203&lt;2),"",($E203-$Q203)/($C203-1))</f>
        <v/>
      </c>
    </row>
    <row r="204" customFormat="false" ht="14.25" hidden="false" customHeight="false" outlineLevel="0" collapsed="false">
      <c r="A204" s="19"/>
      <c r="B204" s="19"/>
      <c r="C204" s="15" t="str">
        <f aca="false">IF($A204="","",COUNTIF('Daily tracking'!$D$2:$D$2001,$A204))</f>
        <v/>
      </c>
      <c r="D204" s="16" t="str">
        <f aca="false">IF($A204="","",SUMIF('Daily tracking'!$D$2:$D$2001,$A204,'Daily tracking'!$G$2:$G$2001))</f>
        <v/>
      </c>
      <c r="E204" s="18" t="str">
        <f aca="false">IF($A204="","",IF($C204=0,"",_xlfn.MAXIFS('Daily tracking'!$A$2:$A$2001,'Daily tracking'!$D$2:$D$2001,$A204)))</f>
        <v/>
      </c>
      <c r="F204" s="6" t="str">
        <f aca="true">IF(OR($A204="",$E204=""),"",TODAY()-$E204)</f>
        <v/>
      </c>
      <c r="G204" s="3" t="str">
        <f aca="false">IF($A204="","",IF($C204=0,"No visits",IF($F204&gt;90,"Lapsed",IF($F204&gt;35,"At risk",IF($C204&gt;=4,"Loyal","Active")))))</f>
        <v/>
      </c>
      <c r="H204" s="9" t="str">
        <f aca="false">IF(OR($A204="",$C204=0),"",$D204/$C204)</f>
        <v/>
      </c>
      <c r="I204" s="20"/>
      <c r="J204" s="20"/>
      <c r="K204" s="19"/>
      <c r="L204" s="19"/>
      <c r="M204" s="19"/>
      <c r="N204" s="15" t="str">
        <f aca="false">IF($A204="","",IF($C204=0,0,(IF($F204&lt;=15,5,IF($F204&lt;=30,4,IF($F204&lt;=45,3,IF($F204&lt;=90,2,1))))+IF($C204&gt;=10,5,IF($C204&gt;=6,4,IF($C204&gt;=4,3,IF($C204&gt;=2,2,1))))+IF($D204&gt;=20000,5,IF($D204&gt;=10000,4,IF($D204&gt;=5000,3,IF($D204&gt;=2000,2,1)))))))</f>
        <v/>
      </c>
      <c r="O204" s="3" t="str">
        <f aca="false">IF($A204="","",IF($C204=0,"No visits",IF($N204&gt;=13,"VIP",IF($N204&gt;=10,"High value",IF($N204&gt;=7,"Regular",IF($N204&gt;=4,"Occasional","Low"))))))</f>
        <v/>
      </c>
      <c r="P204" s="6" t="str">
        <f aca="true">IF(OR($A204="",$I204=""),"",IF(MONTH($I204)=MONTH(TODAY()),"Yes",""))</f>
        <v/>
      </c>
      <c r="Q204" s="21" t="str">
        <f aca="false">IF($A204="","",IF($C204=0,"",_xlfn.MINIFS('Daily tracking'!$A$2:$A$2001,'Daily tracking'!$D$2:$D$2001,$A204)))</f>
        <v/>
      </c>
      <c r="R204" s="6" t="str">
        <f aca="false">IF(OR($A204="",$C204&lt;2),"",($E204-$Q204)/($C204-1))</f>
        <v/>
      </c>
    </row>
    <row r="205" customFormat="false" ht="14.25" hidden="false" customHeight="false" outlineLevel="0" collapsed="false">
      <c r="A205" s="19"/>
      <c r="B205" s="19"/>
      <c r="C205" s="15" t="str">
        <f aca="false">IF($A205="","",COUNTIF('Daily tracking'!$D$2:$D$2001,$A205))</f>
        <v/>
      </c>
      <c r="D205" s="16" t="str">
        <f aca="false">IF($A205="","",SUMIF('Daily tracking'!$D$2:$D$2001,$A205,'Daily tracking'!$G$2:$G$2001))</f>
        <v/>
      </c>
      <c r="E205" s="18" t="str">
        <f aca="false">IF($A205="","",IF($C205=0,"",_xlfn.MAXIFS('Daily tracking'!$A$2:$A$2001,'Daily tracking'!$D$2:$D$2001,$A205)))</f>
        <v/>
      </c>
      <c r="F205" s="6" t="str">
        <f aca="true">IF(OR($A205="",$E205=""),"",TODAY()-$E205)</f>
        <v/>
      </c>
      <c r="G205" s="3" t="str">
        <f aca="false">IF($A205="","",IF($C205=0,"No visits",IF($F205&gt;90,"Lapsed",IF($F205&gt;35,"At risk",IF($C205&gt;=4,"Loyal","Active")))))</f>
        <v/>
      </c>
      <c r="H205" s="9" t="str">
        <f aca="false">IF(OR($A205="",$C205=0),"",$D205/$C205)</f>
        <v/>
      </c>
      <c r="I205" s="20"/>
      <c r="J205" s="20"/>
      <c r="K205" s="19"/>
      <c r="L205" s="19"/>
      <c r="M205" s="19"/>
      <c r="N205" s="15" t="str">
        <f aca="false">IF($A205="","",IF($C205=0,0,(IF($F205&lt;=15,5,IF($F205&lt;=30,4,IF($F205&lt;=45,3,IF($F205&lt;=90,2,1))))+IF($C205&gt;=10,5,IF($C205&gt;=6,4,IF($C205&gt;=4,3,IF($C205&gt;=2,2,1))))+IF($D205&gt;=20000,5,IF($D205&gt;=10000,4,IF($D205&gt;=5000,3,IF($D205&gt;=2000,2,1)))))))</f>
        <v/>
      </c>
      <c r="O205" s="3" t="str">
        <f aca="false">IF($A205="","",IF($C205=0,"No visits",IF($N205&gt;=13,"VIP",IF($N205&gt;=10,"High value",IF($N205&gt;=7,"Regular",IF($N205&gt;=4,"Occasional","Low"))))))</f>
        <v/>
      </c>
      <c r="P205" s="6" t="str">
        <f aca="true">IF(OR($A205="",$I205=""),"",IF(MONTH($I205)=MONTH(TODAY()),"Yes",""))</f>
        <v/>
      </c>
      <c r="Q205" s="21" t="str">
        <f aca="false">IF($A205="","",IF($C205=0,"",_xlfn.MINIFS('Daily tracking'!$A$2:$A$2001,'Daily tracking'!$D$2:$D$2001,$A205)))</f>
        <v/>
      </c>
      <c r="R205" s="6" t="str">
        <f aca="false">IF(OR($A205="",$C205&lt;2),"",($E205-$Q205)/($C205-1))</f>
        <v/>
      </c>
    </row>
    <row r="206" customFormat="false" ht="14.25" hidden="false" customHeight="false" outlineLevel="0" collapsed="false">
      <c r="A206" s="19"/>
      <c r="B206" s="19"/>
      <c r="C206" s="15" t="str">
        <f aca="false">IF($A206="","",COUNTIF('Daily tracking'!$D$2:$D$2001,$A206))</f>
        <v/>
      </c>
      <c r="D206" s="16" t="str">
        <f aca="false">IF($A206="","",SUMIF('Daily tracking'!$D$2:$D$2001,$A206,'Daily tracking'!$G$2:$G$2001))</f>
        <v/>
      </c>
      <c r="E206" s="18" t="str">
        <f aca="false">IF($A206="","",IF($C206=0,"",_xlfn.MAXIFS('Daily tracking'!$A$2:$A$2001,'Daily tracking'!$D$2:$D$2001,$A206)))</f>
        <v/>
      </c>
      <c r="F206" s="6" t="str">
        <f aca="true">IF(OR($A206="",$E206=""),"",TODAY()-$E206)</f>
        <v/>
      </c>
      <c r="G206" s="3" t="str">
        <f aca="false">IF($A206="","",IF($C206=0,"No visits",IF($F206&gt;90,"Lapsed",IF($F206&gt;35,"At risk",IF($C206&gt;=4,"Loyal","Active")))))</f>
        <v/>
      </c>
      <c r="H206" s="9" t="str">
        <f aca="false">IF(OR($A206="",$C206=0),"",$D206/$C206)</f>
        <v/>
      </c>
      <c r="I206" s="20"/>
      <c r="J206" s="20"/>
      <c r="K206" s="19"/>
      <c r="L206" s="19"/>
      <c r="M206" s="19"/>
      <c r="N206" s="15" t="str">
        <f aca="false">IF($A206="","",IF($C206=0,0,(IF($F206&lt;=15,5,IF($F206&lt;=30,4,IF($F206&lt;=45,3,IF($F206&lt;=90,2,1))))+IF($C206&gt;=10,5,IF($C206&gt;=6,4,IF($C206&gt;=4,3,IF($C206&gt;=2,2,1))))+IF($D206&gt;=20000,5,IF($D206&gt;=10000,4,IF($D206&gt;=5000,3,IF($D206&gt;=2000,2,1)))))))</f>
        <v/>
      </c>
      <c r="O206" s="3" t="str">
        <f aca="false">IF($A206="","",IF($C206=0,"No visits",IF($N206&gt;=13,"VIP",IF($N206&gt;=10,"High value",IF($N206&gt;=7,"Regular",IF($N206&gt;=4,"Occasional","Low"))))))</f>
        <v/>
      </c>
      <c r="P206" s="6" t="str">
        <f aca="true">IF(OR($A206="",$I206=""),"",IF(MONTH($I206)=MONTH(TODAY()),"Yes",""))</f>
        <v/>
      </c>
      <c r="Q206" s="21" t="str">
        <f aca="false">IF($A206="","",IF($C206=0,"",_xlfn.MINIFS('Daily tracking'!$A$2:$A$2001,'Daily tracking'!$D$2:$D$2001,$A206)))</f>
        <v/>
      </c>
      <c r="R206" s="6" t="str">
        <f aca="false">IF(OR($A206="",$C206&lt;2),"",($E206-$Q206)/($C206-1))</f>
        <v/>
      </c>
    </row>
    <row r="207" customFormat="false" ht="14.25" hidden="false" customHeight="false" outlineLevel="0" collapsed="false">
      <c r="A207" s="19"/>
      <c r="B207" s="19"/>
      <c r="C207" s="15" t="str">
        <f aca="false">IF($A207="","",COUNTIF('Daily tracking'!$D$2:$D$2001,$A207))</f>
        <v/>
      </c>
      <c r="D207" s="16" t="str">
        <f aca="false">IF($A207="","",SUMIF('Daily tracking'!$D$2:$D$2001,$A207,'Daily tracking'!$G$2:$G$2001))</f>
        <v/>
      </c>
      <c r="E207" s="18" t="str">
        <f aca="false">IF($A207="","",IF($C207=0,"",_xlfn.MAXIFS('Daily tracking'!$A$2:$A$2001,'Daily tracking'!$D$2:$D$2001,$A207)))</f>
        <v/>
      </c>
      <c r="F207" s="6" t="str">
        <f aca="true">IF(OR($A207="",$E207=""),"",TODAY()-$E207)</f>
        <v/>
      </c>
      <c r="G207" s="3" t="str">
        <f aca="false">IF($A207="","",IF($C207=0,"No visits",IF($F207&gt;90,"Lapsed",IF($F207&gt;35,"At risk",IF($C207&gt;=4,"Loyal","Active")))))</f>
        <v/>
      </c>
      <c r="H207" s="9" t="str">
        <f aca="false">IF(OR($A207="",$C207=0),"",$D207/$C207)</f>
        <v/>
      </c>
      <c r="I207" s="20"/>
      <c r="J207" s="20"/>
      <c r="K207" s="19"/>
      <c r="L207" s="19"/>
      <c r="M207" s="19"/>
      <c r="N207" s="15" t="str">
        <f aca="false">IF($A207="","",IF($C207=0,0,(IF($F207&lt;=15,5,IF($F207&lt;=30,4,IF($F207&lt;=45,3,IF($F207&lt;=90,2,1))))+IF($C207&gt;=10,5,IF($C207&gt;=6,4,IF($C207&gt;=4,3,IF($C207&gt;=2,2,1))))+IF($D207&gt;=20000,5,IF($D207&gt;=10000,4,IF($D207&gt;=5000,3,IF($D207&gt;=2000,2,1)))))))</f>
        <v/>
      </c>
      <c r="O207" s="3" t="str">
        <f aca="false">IF($A207="","",IF($C207=0,"No visits",IF($N207&gt;=13,"VIP",IF($N207&gt;=10,"High value",IF($N207&gt;=7,"Regular",IF($N207&gt;=4,"Occasional","Low"))))))</f>
        <v/>
      </c>
      <c r="P207" s="6" t="str">
        <f aca="true">IF(OR($A207="",$I207=""),"",IF(MONTH($I207)=MONTH(TODAY()),"Yes",""))</f>
        <v/>
      </c>
      <c r="Q207" s="21" t="str">
        <f aca="false">IF($A207="","",IF($C207=0,"",_xlfn.MINIFS('Daily tracking'!$A$2:$A$2001,'Daily tracking'!$D$2:$D$2001,$A207)))</f>
        <v/>
      </c>
      <c r="R207" s="6" t="str">
        <f aca="false">IF(OR($A207="",$C207&lt;2),"",($E207-$Q207)/($C207-1))</f>
        <v/>
      </c>
    </row>
    <row r="208" customFormat="false" ht="14.25" hidden="false" customHeight="false" outlineLevel="0" collapsed="false">
      <c r="A208" s="19"/>
      <c r="B208" s="19"/>
      <c r="C208" s="15" t="str">
        <f aca="false">IF($A208="","",COUNTIF('Daily tracking'!$D$2:$D$2001,$A208))</f>
        <v/>
      </c>
      <c r="D208" s="16" t="str">
        <f aca="false">IF($A208="","",SUMIF('Daily tracking'!$D$2:$D$2001,$A208,'Daily tracking'!$G$2:$G$2001))</f>
        <v/>
      </c>
      <c r="E208" s="18" t="str">
        <f aca="false">IF($A208="","",IF($C208=0,"",_xlfn.MAXIFS('Daily tracking'!$A$2:$A$2001,'Daily tracking'!$D$2:$D$2001,$A208)))</f>
        <v/>
      </c>
      <c r="F208" s="6" t="str">
        <f aca="true">IF(OR($A208="",$E208=""),"",TODAY()-$E208)</f>
        <v/>
      </c>
      <c r="G208" s="3" t="str">
        <f aca="false">IF($A208="","",IF($C208=0,"No visits",IF($F208&gt;90,"Lapsed",IF($F208&gt;35,"At risk",IF($C208&gt;=4,"Loyal","Active")))))</f>
        <v/>
      </c>
      <c r="H208" s="9" t="str">
        <f aca="false">IF(OR($A208="",$C208=0),"",$D208/$C208)</f>
        <v/>
      </c>
      <c r="I208" s="20"/>
      <c r="J208" s="20"/>
      <c r="K208" s="19"/>
      <c r="L208" s="19"/>
      <c r="M208" s="19"/>
      <c r="N208" s="15" t="str">
        <f aca="false">IF($A208="","",IF($C208=0,0,(IF($F208&lt;=15,5,IF($F208&lt;=30,4,IF($F208&lt;=45,3,IF($F208&lt;=90,2,1))))+IF($C208&gt;=10,5,IF($C208&gt;=6,4,IF($C208&gt;=4,3,IF($C208&gt;=2,2,1))))+IF($D208&gt;=20000,5,IF($D208&gt;=10000,4,IF($D208&gt;=5000,3,IF($D208&gt;=2000,2,1)))))))</f>
        <v/>
      </c>
      <c r="O208" s="3" t="str">
        <f aca="false">IF($A208="","",IF($C208=0,"No visits",IF($N208&gt;=13,"VIP",IF($N208&gt;=10,"High value",IF($N208&gt;=7,"Regular",IF($N208&gt;=4,"Occasional","Low"))))))</f>
        <v/>
      </c>
      <c r="P208" s="6" t="str">
        <f aca="true">IF(OR($A208="",$I208=""),"",IF(MONTH($I208)=MONTH(TODAY()),"Yes",""))</f>
        <v/>
      </c>
      <c r="Q208" s="21" t="str">
        <f aca="false">IF($A208="","",IF($C208=0,"",_xlfn.MINIFS('Daily tracking'!$A$2:$A$2001,'Daily tracking'!$D$2:$D$2001,$A208)))</f>
        <v/>
      </c>
      <c r="R208" s="6" t="str">
        <f aca="false">IF(OR($A208="",$C208&lt;2),"",($E208-$Q208)/($C208-1))</f>
        <v/>
      </c>
    </row>
    <row r="209" customFormat="false" ht="14.25" hidden="false" customHeight="false" outlineLevel="0" collapsed="false">
      <c r="A209" s="19"/>
      <c r="B209" s="19"/>
      <c r="C209" s="15" t="str">
        <f aca="false">IF($A209="","",COUNTIF('Daily tracking'!$D$2:$D$2001,$A209))</f>
        <v/>
      </c>
      <c r="D209" s="16" t="str">
        <f aca="false">IF($A209="","",SUMIF('Daily tracking'!$D$2:$D$2001,$A209,'Daily tracking'!$G$2:$G$2001))</f>
        <v/>
      </c>
      <c r="E209" s="18" t="str">
        <f aca="false">IF($A209="","",IF($C209=0,"",_xlfn.MAXIFS('Daily tracking'!$A$2:$A$2001,'Daily tracking'!$D$2:$D$2001,$A209)))</f>
        <v/>
      </c>
      <c r="F209" s="6" t="str">
        <f aca="true">IF(OR($A209="",$E209=""),"",TODAY()-$E209)</f>
        <v/>
      </c>
      <c r="G209" s="3" t="str">
        <f aca="false">IF($A209="","",IF($C209=0,"No visits",IF($F209&gt;90,"Lapsed",IF($F209&gt;35,"At risk",IF($C209&gt;=4,"Loyal","Active")))))</f>
        <v/>
      </c>
      <c r="H209" s="9" t="str">
        <f aca="false">IF(OR($A209="",$C209=0),"",$D209/$C209)</f>
        <v/>
      </c>
      <c r="I209" s="20"/>
      <c r="J209" s="20"/>
      <c r="K209" s="19"/>
      <c r="L209" s="19"/>
      <c r="M209" s="19"/>
      <c r="N209" s="15" t="str">
        <f aca="false">IF($A209="","",IF($C209=0,0,(IF($F209&lt;=15,5,IF($F209&lt;=30,4,IF($F209&lt;=45,3,IF($F209&lt;=90,2,1))))+IF($C209&gt;=10,5,IF($C209&gt;=6,4,IF($C209&gt;=4,3,IF($C209&gt;=2,2,1))))+IF($D209&gt;=20000,5,IF($D209&gt;=10000,4,IF($D209&gt;=5000,3,IF($D209&gt;=2000,2,1)))))))</f>
        <v/>
      </c>
      <c r="O209" s="3" t="str">
        <f aca="false">IF($A209="","",IF($C209=0,"No visits",IF($N209&gt;=13,"VIP",IF($N209&gt;=10,"High value",IF($N209&gt;=7,"Regular",IF($N209&gt;=4,"Occasional","Low"))))))</f>
        <v/>
      </c>
      <c r="P209" s="6" t="str">
        <f aca="true">IF(OR($A209="",$I209=""),"",IF(MONTH($I209)=MONTH(TODAY()),"Yes",""))</f>
        <v/>
      </c>
      <c r="Q209" s="21" t="str">
        <f aca="false">IF($A209="","",IF($C209=0,"",_xlfn.MINIFS('Daily tracking'!$A$2:$A$2001,'Daily tracking'!$D$2:$D$2001,$A209)))</f>
        <v/>
      </c>
      <c r="R209" s="6" t="str">
        <f aca="false">IF(OR($A209="",$C209&lt;2),"",($E209-$Q209)/($C209-1))</f>
        <v/>
      </c>
    </row>
    <row r="210" customFormat="false" ht="14.25" hidden="false" customHeight="false" outlineLevel="0" collapsed="false">
      <c r="A210" s="19"/>
      <c r="B210" s="19"/>
      <c r="C210" s="15" t="str">
        <f aca="false">IF($A210="","",COUNTIF('Daily tracking'!$D$2:$D$2001,$A210))</f>
        <v/>
      </c>
      <c r="D210" s="16" t="str">
        <f aca="false">IF($A210="","",SUMIF('Daily tracking'!$D$2:$D$2001,$A210,'Daily tracking'!$G$2:$G$2001))</f>
        <v/>
      </c>
      <c r="E210" s="18" t="str">
        <f aca="false">IF($A210="","",IF($C210=0,"",_xlfn.MAXIFS('Daily tracking'!$A$2:$A$2001,'Daily tracking'!$D$2:$D$2001,$A210)))</f>
        <v/>
      </c>
      <c r="F210" s="6" t="str">
        <f aca="true">IF(OR($A210="",$E210=""),"",TODAY()-$E210)</f>
        <v/>
      </c>
      <c r="G210" s="3" t="str">
        <f aca="false">IF($A210="","",IF($C210=0,"No visits",IF($F210&gt;90,"Lapsed",IF($F210&gt;35,"At risk",IF($C210&gt;=4,"Loyal","Active")))))</f>
        <v/>
      </c>
      <c r="H210" s="9" t="str">
        <f aca="false">IF(OR($A210="",$C210=0),"",$D210/$C210)</f>
        <v/>
      </c>
      <c r="I210" s="20"/>
      <c r="J210" s="20"/>
      <c r="K210" s="19"/>
      <c r="L210" s="19"/>
      <c r="M210" s="19"/>
      <c r="N210" s="15" t="str">
        <f aca="false">IF($A210="","",IF($C210=0,0,(IF($F210&lt;=15,5,IF($F210&lt;=30,4,IF($F210&lt;=45,3,IF($F210&lt;=90,2,1))))+IF($C210&gt;=10,5,IF($C210&gt;=6,4,IF($C210&gt;=4,3,IF($C210&gt;=2,2,1))))+IF($D210&gt;=20000,5,IF($D210&gt;=10000,4,IF($D210&gt;=5000,3,IF($D210&gt;=2000,2,1)))))))</f>
        <v/>
      </c>
      <c r="O210" s="3" t="str">
        <f aca="false">IF($A210="","",IF($C210=0,"No visits",IF($N210&gt;=13,"VIP",IF($N210&gt;=10,"High value",IF($N210&gt;=7,"Regular",IF($N210&gt;=4,"Occasional","Low"))))))</f>
        <v/>
      </c>
      <c r="P210" s="6" t="str">
        <f aca="true">IF(OR($A210="",$I210=""),"",IF(MONTH($I210)=MONTH(TODAY()),"Yes",""))</f>
        <v/>
      </c>
      <c r="Q210" s="21" t="str">
        <f aca="false">IF($A210="","",IF($C210=0,"",_xlfn.MINIFS('Daily tracking'!$A$2:$A$2001,'Daily tracking'!$D$2:$D$2001,$A210)))</f>
        <v/>
      </c>
      <c r="R210" s="6" t="str">
        <f aca="false">IF(OR($A210="",$C210&lt;2),"",($E210-$Q210)/($C210-1))</f>
        <v/>
      </c>
    </row>
    <row r="211" customFormat="false" ht="14.25" hidden="false" customHeight="false" outlineLevel="0" collapsed="false">
      <c r="A211" s="19"/>
      <c r="B211" s="19"/>
      <c r="C211" s="15" t="str">
        <f aca="false">IF($A211="","",COUNTIF('Daily tracking'!$D$2:$D$2001,$A211))</f>
        <v/>
      </c>
      <c r="D211" s="16" t="str">
        <f aca="false">IF($A211="","",SUMIF('Daily tracking'!$D$2:$D$2001,$A211,'Daily tracking'!$G$2:$G$2001))</f>
        <v/>
      </c>
      <c r="E211" s="18" t="str">
        <f aca="false">IF($A211="","",IF($C211=0,"",_xlfn.MAXIFS('Daily tracking'!$A$2:$A$2001,'Daily tracking'!$D$2:$D$2001,$A211)))</f>
        <v/>
      </c>
      <c r="F211" s="6" t="str">
        <f aca="true">IF(OR($A211="",$E211=""),"",TODAY()-$E211)</f>
        <v/>
      </c>
      <c r="G211" s="3" t="str">
        <f aca="false">IF($A211="","",IF($C211=0,"No visits",IF($F211&gt;90,"Lapsed",IF($F211&gt;35,"At risk",IF($C211&gt;=4,"Loyal","Active")))))</f>
        <v/>
      </c>
      <c r="H211" s="9" t="str">
        <f aca="false">IF(OR($A211="",$C211=0),"",$D211/$C211)</f>
        <v/>
      </c>
      <c r="I211" s="20"/>
      <c r="J211" s="20"/>
      <c r="K211" s="19"/>
      <c r="L211" s="19"/>
      <c r="M211" s="19"/>
      <c r="N211" s="15" t="str">
        <f aca="false">IF($A211="","",IF($C211=0,0,(IF($F211&lt;=15,5,IF($F211&lt;=30,4,IF($F211&lt;=45,3,IF($F211&lt;=90,2,1))))+IF($C211&gt;=10,5,IF($C211&gt;=6,4,IF($C211&gt;=4,3,IF($C211&gt;=2,2,1))))+IF($D211&gt;=20000,5,IF($D211&gt;=10000,4,IF($D211&gt;=5000,3,IF($D211&gt;=2000,2,1)))))))</f>
        <v/>
      </c>
      <c r="O211" s="3" t="str">
        <f aca="false">IF($A211="","",IF($C211=0,"No visits",IF($N211&gt;=13,"VIP",IF($N211&gt;=10,"High value",IF($N211&gt;=7,"Regular",IF($N211&gt;=4,"Occasional","Low"))))))</f>
        <v/>
      </c>
      <c r="P211" s="6" t="str">
        <f aca="true">IF(OR($A211="",$I211=""),"",IF(MONTH($I211)=MONTH(TODAY()),"Yes",""))</f>
        <v/>
      </c>
      <c r="Q211" s="21" t="str">
        <f aca="false">IF($A211="","",IF($C211=0,"",_xlfn.MINIFS('Daily tracking'!$A$2:$A$2001,'Daily tracking'!$D$2:$D$2001,$A211)))</f>
        <v/>
      </c>
      <c r="R211" s="6" t="str">
        <f aca="false">IF(OR($A211="",$C211&lt;2),"",($E211-$Q211)/($C211-1))</f>
        <v/>
      </c>
    </row>
    <row r="212" customFormat="false" ht="14.25" hidden="false" customHeight="false" outlineLevel="0" collapsed="false">
      <c r="A212" s="19"/>
      <c r="B212" s="19"/>
      <c r="C212" s="15" t="str">
        <f aca="false">IF($A212="","",COUNTIF('Daily tracking'!$D$2:$D$2001,$A212))</f>
        <v/>
      </c>
      <c r="D212" s="16" t="str">
        <f aca="false">IF($A212="","",SUMIF('Daily tracking'!$D$2:$D$2001,$A212,'Daily tracking'!$G$2:$G$2001))</f>
        <v/>
      </c>
      <c r="E212" s="18" t="str">
        <f aca="false">IF($A212="","",IF($C212=0,"",_xlfn.MAXIFS('Daily tracking'!$A$2:$A$2001,'Daily tracking'!$D$2:$D$2001,$A212)))</f>
        <v/>
      </c>
      <c r="F212" s="6" t="str">
        <f aca="true">IF(OR($A212="",$E212=""),"",TODAY()-$E212)</f>
        <v/>
      </c>
      <c r="G212" s="3" t="str">
        <f aca="false">IF($A212="","",IF($C212=0,"No visits",IF($F212&gt;90,"Lapsed",IF($F212&gt;35,"At risk",IF($C212&gt;=4,"Loyal","Active")))))</f>
        <v/>
      </c>
      <c r="H212" s="9" t="str">
        <f aca="false">IF(OR($A212="",$C212=0),"",$D212/$C212)</f>
        <v/>
      </c>
      <c r="I212" s="20"/>
      <c r="J212" s="20"/>
      <c r="K212" s="19"/>
      <c r="L212" s="19"/>
      <c r="M212" s="19"/>
      <c r="N212" s="15" t="str">
        <f aca="false">IF($A212="","",IF($C212=0,0,(IF($F212&lt;=15,5,IF($F212&lt;=30,4,IF($F212&lt;=45,3,IF($F212&lt;=90,2,1))))+IF($C212&gt;=10,5,IF($C212&gt;=6,4,IF($C212&gt;=4,3,IF($C212&gt;=2,2,1))))+IF($D212&gt;=20000,5,IF($D212&gt;=10000,4,IF($D212&gt;=5000,3,IF($D212&gt;=2000,2,1)))))))</f>
        <v/>
      </c>
      <c r="O212" s="3" t="str">
        <f aca="false">IF($A212="","",IF($C212=0,"No visits",IF($N212&gt;=13,"VIP",IF($N212&gt;=10,"High value",IF($N212&gt;=7,"Regular",IF($N212&gt;=4,"Occasional","Low"))))))</f>
        <v/>
      </c>
      <c r="P212" s="6" t="str">
        <f aca="true">IF(OR($A212="",$I212=""),"",IF(MONTH($I212)=MONTH(TODAY()),"Yes",""))</f>
        <v/>
      </c>
      <c r="Q212" s="21" t="str">
        <f aca="false">IF($A212="","",IF($C212=0,"",_xlfn.MINIFS('Daily tracking'!$A$2:$A$2001,'Daily tracking'!$D$2:$D$2001,$A212)))</f>
        <v/>
      </c>
      <c r="R212" s="6" t="str">
        <f aca="false">IF(OR($A212="",$C212&lt;2),"",($E212-$Q212)/($C212-1))</f>
        <v/>
      </c>
    </row>
    <row r="213" customFormat="false" ht="14.25" hidden="false" customHeight="false" outlineLevel="0" collapsed="false">
      <c r="A213" s="19"/>
      <c r="B213" s="19"/>
      <c r="C213" s="15" t="str">
        <f aca="false">IF($A213="","",COUNTIF('Daily tracking'!$D$2:$D$2001,$A213))</f>
        <v/>
      </c>
      <c r="D213" s="16" t="str">
        <f aca="false">IF($A213="","",SUMIF('Daily tracking'!$D$2:$D$2001,$A213,'Daily tracking'!$G$2:$G$2001))</f>
        <v/>
      </c>
      <c r="E213" s="18" t="str">
        <f aca="false">IF($A213="","",IF($C213=0,"",_xlfn.MAXIFS('Daily tracking'!$A$2:$A$2001,'Daily tracking'!$D$2:$D$2001,$A213)))</f>
        <v/>
      </c>
      <c r="F213" s="6" t="str">
        <f aca="true">IF(OR($A213="",$E213=""),"",TODAY()-$E213)</f>
        <v/>
      </c>
      <c r="G213" s="3" t="str">
        <f aca="false">IF($A213="","",IF($C213=0,"No visits",IF($F213&gt;90,"Lapsed",IF($F213&gt;35,"At risk",IF($C213&gt;=4,"Loyal","Active")))))</f>
        <v/>
      </c>
      <c r="H213" s="9" t="str">
        <f aca="false">IF(OR($A213="",$C213=0),"",$D213/$C213)</f>
        <v/>
      </c>
      <c r="I213" s="20"/>
      <c r="J213" s="20"/>
      <c r="K213" s="19"/>
      <c r="L213" s="19"/>
      <c r="M213" s="19"/>
      <c r="N213" s="15" t="str">
        <f aca="false">IF($A213="","",IF($C213=0,0,(IF($F213&lt;=15,5,IF($F213&lt;=30,4,IF($F213&lt;=45,3,IF($F213&lt;=90,2,1))))+IF($C213&gt;=10,5,IF($C213&gt;=6,4,IF($C213&gt;=4,3,IF($C213&gt;=2,2,1))))+IF($D213&gt;=20000,5,IF($D213&gt;=10000,4,IF($D213&gt;=5000,3,IF($D213&gt;=2000,2,1)))))))</f>
        <v/>
      </c>
      <c r="O213" s="3" t="str">
        <f aca="false">IF($A213="","",IF($C213=0,"No visits",IF($N213&gt;=13,"VIP",IF($N213&gt;=10,"High value",IF($N213&gt;=7,"Regular",IF($N213&gt;=4,"Occasional","Low"))))))</f>
        <v/>
      </c>
      <c r="P213" s="6" t="str">
        <f aca="true">IF(OR($A213="",$I213=""),"",IF(MONTH($I213)=MONTH(TODAY()),"Yes",""))</f>
        <v/>
      </c>
      <c r="Q213" s="21" t="str">
        <f aca="false">IF($A213="","",IF($C213=0,"",_xlfn.MINIFS('Daily tracking'!$A$2:$A$2001,'Daily tracking'!$D$2:$D$2001,$A213)))</f>
        <v/>
      </c>
      <c r="R213" s="6" t="str">
        <f aca="false">IF(OR($A213="",$C213&lt;2),"",($E213-$Q213)/($C213-1))</f>
        <v/>
      </c>
    </row>
    <row r="214" customFormat="false" ht="14.25" hidden="false" customHeight="false" outlineLevel="0" collapsed="false">
      <c r="A214" s="19"/>
      <c r="B214" s="19"/>
      <c r="C214" s="15" t="str">
        <f aca="false">IF($A214="","",COUNTIF('Daily tracking'!$D$2:$D$2001,$A214))</f>
        <v/>
      </c>
      <c r="D214" s="16" t="str">
        <f aca="false">IF($A214="","",SUMIF('Daily tracking'!$D$2:$D$2001,$A214,'Daily tracking'!$G$2:$G$2001))</f>
        <v/>
      </c>
      <c r="E214" s="18" t="str">
        <f aca="false">IF($A214="","",IF($C214=0,"",_xlfn.MAXIFS('Daily tracking'!$A$2:$A$2001,'Daily tracking'!$D$2:$D$2001,$A214)))</f>
        <v/>
      </c>
      <c r="F214" s="6" t="str">
        <f aca="true">IF(OR($A214="",$E214=""),"",TODAY()-$E214)</f>
        <v/>
      </c>
      <c r="G214" s="3" t="str">
        <f aca="false">IF($A214="","",IF($C214=0,"No visits",IF($F214&gt;90,"Lapsed",IF($F214&gt;35,"At risk",IF($C214&gt;=4,"Loyal","Active")))))</f>
        <v/>
      </c>
      <c r="H214" s="9" t="str">
        <f aca="false">IF(OR($A214="",$C214=0),"",$D214/$C214)</f>
        <v/>
      </c>
      <c r="I214" s="20"/>
      <c r="J214" s="20"/>
      <c r="K214" s="19"/>
      <c r="L214" s="19"/>
      <c r="M214" s="19"/>
      <c r="N214" s="15" t="str">
        <f aca="false">IF($A214="","",IF($C214=0,0,(IF($F214&lt;=15,5,IF($F214&lt;=30,4,IF($F214&lt;=45,3,IF($F214&lt;=90,2,1))))+IF($C214&gt;=10,5,IF($C214&gt;=6,4,IF($C214&gt;=4,3,IF($C214&gt;=2,2,1))))+IF($D214&gt;=20000,5,IF($D214&gt;=10000,4,IF($D214&gt;=5000,3,IF($D214&gt;=2000,2,1)))))))</f>
        <v/>
      </c>
      <c r="O214" s="3" t="str">
        <f aca="false">IF($A214="","",IF($C214=0,"No visits",IF($N214&gt;=13,"VIP",IF($N214&gt;=10,"High value",IF($N214&gt;=7,"Regular",IF($N214&gt;=4,"Occasional","Low"))))))</f>
        <v/>
      </c>
      <c r="P214" s="6" t="str">
        <f aca="true">IF(OR($A214="",$I214=""),"",IF(MONTH($I214)=MONTH(TODAY()),"Yes",""))</f>
        <v/>
      </c>
      <c r="Q214" s="21" t="str">
        <f aca="false">IF($A214="","",IF($C214=0,"",_xlfn.MINIFS('Daily tracking'!$A$2:$A$2001,'Daily tracking'!$D$2:$D$2001,$A214)))</f>
        <v/>
      </c>
      <c r="R214" s="6" t="str">
        <f aca="false">IF(OR($A214="",$C214&lt;2),"",($E214-$Q214)/($C214-1))</f>
        <v/>
      </c>
    </row>
    <row r="215" customFormat="false" ht="14.25" hidden="false" customHeight="false" outlineLevel="0" collapsed="false">
      <c r="A215" s="19"/>
      <c r="B215" s="19"/>
      <c r="C215" s="15" t="str">
        <f aca="false">IF($A215="","",COUNTIF('Daily tracking'!$D$2:$D$2001,$A215))</f>
        <v/>
      </c>
      <c r="D215" s="16" t="str">
        <f aca="false">IF($A215="","",SUMIF('Daily tracking'!$D$2:$D$2001,$A215,'Daily tracking'!$G$2:$G$2001))</f>
        <v/>
      </c>
      <c r="E215" s="18" t="str">
        <f aca="false">IF($A215="","",IF($C215=0,"",_xlfn.MAXIFS('Daily tracking'!$A$2:$A$2001,'Daily tracking'!$D$2:$D$2001,$A215)))</f>
        <v/>
      </c>
      <c r="F215" s="6" t="str">
        <f aca="true">IF(OR($A215="",$E215=""),"",TODAY()-$E215)</f>
        <v/>
      </c>
      <c r="G215" s="3" t="str">
        <f aca="false">IF($A215="","",IF($C215=0,"No visits",IF($F215&gt;90,"Lapsed",IF($F215&gt;35,"At risk",IF($C215&gt;=4,"Loyal","Active")))))</f>
        <v/>
      </c>
      <c r="H215" s="9" t="str">
        <f aca="false">IF(OR($A215="",$C215=0),"",$D215/$C215)</f>
        <v/>
      </c>
      <c r="I215" s="20"/>
      <c r="J215" s="20"/>
      <c r="K215" s="19"/>
      <c r="L215" s="19"/>
      <c r="M215" s="19"/>
      <c r="N215" s="15" t="str">
        <f aca="false">IF($A215="","",IF($C215=0,0,(IF($F215&lt;=15,5,IF($F215&lt;=30,4,IF($F215&lt;=45,3,IF($F215&lt;=90,2,1))))+IF($C215&gt;=10,5,IF($C215&gt;=6,4,IF($C215&gt;=4,3,IF($C215&gt;=2,2,1))))+IF($D215&gt;=20000,5,IF($D215&gt;=10000,4,IF($D215&gt;=5000,3,IF($D215&gt;=2000,2,1)))))))</f>
        <v/>
      </c>
      <c r="O215" s="3" t="str">
        <f aca="false">IF($A215="","",IF($C215=0,"No visits",IF($N215&gt;=13,"VIP",IF($N215&gt;=10,"High value",IF($N215&gt;=7,"Regular",IF($N215&gt;=4,"Occasional","Low"))))))</f>
        <v/>
      </c>
      <c r="P215" s="6" t="str">
        <f aca="true">IF(OR($A215="",$I215=""),"",IF(MONTH($I215)=MONTH(TODAY()),"Yes",""))</f>
        <v/>
      </c>
      <c r="Q215" s="21" t="str">
        <f aca="false">IF($A215="","",IF($C215=0,"",_xlfn.MINIFS('Daily tracking'!$A$2:$A$2001,'Daily tracking'!$D$2:$D$2001,$A215)))</f>
        <v/>
      </c>
      <c r="R215" s="6" t="str">
        <f aca="false">IF(OR($A215="",$C215&lt;2),"",($E215-$Q215)/($C215-1))</f>
        <v/>
      </c>
    </row>
    <row r="216" customFormat="false" ht="14.25" hidden="false" customHeight="false" outlineLevel="0" collapsed="false">
      <c r="A216" s="19"/>
      <c r="B216" s="19"/>
      <c r="C216" s="15" t="str">
        <f aca="false">IF($A216="","",COUNTIF('Daily tracking'!$D$2:$D$2001,$A216))</f>
        <v/>
      </c>
      <c r="D216" s="16" t="str">
        <f aca="false">IF($A216="","",SUMIF('Daily tracking'!$D$2:$D$2001,$A216,'Daily tracking'!$G$2:$G$2001))</f>
        <v/>
      </c>
      <c r="E216" s="18" t="str">
        <f aca="false">IF($A216="","",IF($C216=0,"",_xlfn.MAXIFS('Daily tracking'!$A$2:$A$2001,'Daily tracking'!$D$2:$D$2001,$A216)))</f>
        <v/>
      </c>
      <c r="F216" s="6" t="str">
        <f aca="true">IF(OR($A216="",$E216=""),"",TODAY()-$E216)</f>
        <v/>
      </c>
      <c r="G216" s="3" t="str">
        <f aca="false">IF($A216="","",IF($C216=0,"No visits",IF($F216&gt;90,"Lapsed",IF($F216&gt;35,"At risk",IF($C216&gt;=4,"Loyal","Active")))))</f>
        <v/>
      </c>
      <c r="H216" s="9" t="str">
        <f aca="false">IF(OR($A216="",$C216=0),"",$D216/$C216)</f>
        <v/>
      </c>
      <c r="I216" s="20"/>
      <c r="J216" s="20"/>
      <c r="K216" s="19"/>
      <c r="L216" s="19"/>
      <c r="M216" s="19"/>
      <c r="N216" s="15" t="str">
        <f aca="false">IF($A216="","",IF($C216=0,0,(IF($F216&lt;=15,5,IF($F216&lt;=30,4,IF($F216&lt;=45,3,IF($F216&lt;=90,2,1))))+IF($C216&gt;=10,5,IF($C216&gt;=6,4,IF($C216&gt;=4,3,IF($C216&gt;=2,2,1))))+IF($D216&gt;=20000,5,IF($D216&gt;=10000,4,IF($D216&gt;=5000,3,IF($D216&gt;=2000,2,1)))))))</f>
        <v/>
      </c>
      <c r="O216" s="3" t="str">
        <f aca="false">IF($A216="","",IF($C216=0,"No visits",IF($N216&gt;=13,"VIP",IF($N216&gt;=10,"High value",IF($N216&gt;=7,"Regular",IF($N216&gt;=4,"Occasional","Low"))))))</f>
        <v/>
      </c>
      <c r="P216" s="6" t="str">
        <f aca="true">IF(OR($A216="",$I216=""),"",IF(MONTH($I216)=MONTH(TODAY()),"Yes",""))</f>
        <v/>
      </c>
      <c r="Q216" s="21" t="str">
        <f aca="false">IF($A216="","",IF($C216=0,"",_xlfn.MINIFS('Daily tracking'!$A$2:$A$2001,'Daily tracking'!$D$2:$D$2001,$A216)))</f>
        <v/>
      </c>
      <c r="R216" s="6" t="str">
        <f aca="false">IF(OR($A216="",$C216&lt;2),"",($E216-$Q216)/($C216-1))</f>
        <v/>
      </c>
    </row>
    <row r="217" customFormat="false" ht="14.25" hidden="false" customHeight="false" outlineLevel="0" collapsed="false">
      <c r="A217" s="19"/>
      <c r="B217" s="19"/>
      <c r="C217" s="15" t="str">
        <f aca="false">IF($A217="","",COUNTIF('Daily tracking'!$D$2:$D$2001,$A217))</f>
        <v/>
      </c>
      <c r="D217" s="16" t="str">
        <f aca="false">IF($A217="","",SUMIF('Daily tracking'!$D$2:$D$2001,$A217,'Daily tracking'!$G$2:$G$2001))</f>
        <v/>
      </c>
      <c r="E217" s="18" t="str">
        <f aca="false">IF($A217="","",IF($C217=0,"",_xlfn.MAXIFS('Daily tracking'!$A$2:$A$2001,'Daily tracking'!$D$2:$D$2001,$A217)))</f>
        <v/>
      </c>
      <c r="F217" s="6" t="str">
        <f aca="true">IF(OR($A217="",$E217=""),"",TODAY()-$E217)</f>
        <v/>
      </c>
      <c r="G217" s="3" t="str">
        <f aca="false">IF($A217="","",IF($C217=0,"No visits",IF($F217&gt;90,"Lapsed",IF($F217&gt;35,"At risk",IF($C217&gt;=4,"Loyal","Active")))))</f>
        <v/>
      </c>
      <c r="H217" s="9" t="str">
        <f aca="false">IF(OR($A217="",$C217=0),"",$D217/$C217)</f>
        <v/>
      </c>
      <c r="I217" s="20"/>
      <c r="J217" s="20"/>
      <c r="K217" s="19"/>
      <c r="L217" s="19"/>
      <c r="M217" s="19"/>
      <c r="N217" s="15" t="str">
        <f aca="false">IF($A217="","",IF($C217=0,0,(IF($F217&lt;=15,5,IF($F217&lt;=30,4,IF($F217&lt;=45,3,IF($F217&lt;=90,2,1))))+IF($C217&gt;=10,5,IF($C217&gt;=6,4,IF($C217&gt;=4,3,IF($C217&gt;=2,2,1))))+IF($D217&gt;=20000,5,IF($D217&gt;=10000,4,IF($D217&gt;=5000,3,IF($D217&gt;=2000,2,1)))))))</f>
        <v/>
      </c>
      <c r="O217" s="3" t="str">
        <f aca="false">IF($A217="","",IF($C217=0,"No visits",IF($N217&gt;=13,"VIP",IF($N217&gt;=10,"High value",IF($N217&gt;=7,"Regular",IF($N217&gt;=4,"Occasional","Low"))))))</f>
        <v/>
      </c>
      <c r="P217" s="6" t="str">
        <f aca="true">IF(OR($A217="",$I217=""),"",IF(MONTH($I217)=MONTH(TODAY()),"Yes",""))</f>
        <v/>
      </c>
      <c r="Q217" s="21" t="str">
        <f aca="false">IF($A217="","",IF($C217=0,"",_xlfn.MINIFS('Daily tracking'!$A$2:$A$2001,'Daily tracking'!$D$2:$D$2001,$A217)))</f>
        <v/>
      </c>
      <c r="R217" s="6" t="str">
        <f aca="false">IF(OR($A217="",$C217&lt;2),"",($E217-$Q217)/($C217-1))</f>
        <v/>
      </c>
    </row>
    <row r="218" customFormat="false" ht="14.25" hidden="false" customHeight="false" outlineLevel="0" collapsed="false">
      <c r="A218" s="19"/>
      <c r="B218" s="19"/>
      <c r="C218" s="15" t="str">
        <f aca="false">IF($A218="","",COUNTIF('Daily tracking'!$D$2:$D$2001,$A218))</f>
        <v/>
      </c>
      <c r="D218" s="16" t="str">
        <f aca="false">IF($A218="","",SUMIF('Daily tracking'!$D$2:$D$2001,$A218,'Daily tracking'!$G$2:$G$2001))</f>
        <v/>
      </c>
      <c r="E218" s="18" t="str">
        <f aca="false">IF($A218="","",IF($C218=0,"",_xlfn.MAXIFS('Daily tracking'!$A$2:$A$2001,'Daily tracking'!$D$2:$D$2001,$A218)))</f>
        <v/>
      </c>
      <c r="F218" s="6" t="str">
        <f aca="true">IF(OR($A218="",$E218=""),"",TODAY()-$E218)</f>
        <v/>
      </c>
      <c r="G218" s="3" t="str">
        <f aca="false">IF($A218="","",IF($C218=0,"No visits",IF($F218&gt;90,"Lapsed",IF($F218&gt;35,"At risk",IF($C218&gt;=4,"Loyal","Active")))))</f>
        <v/>
      </c>
      <c r="H218" s="9" t="str">
        <f aca="false">IF(OR($A218="",$C218=0),"",$D218/$C218)</f>
        <v/>
      </c>
      <c r="I218" s="20"/>
      <c r="J218" s="20"/>
      <c r="K218" s="19"/>
      <c r="L218" s="19"/>
      <c r="M218" s="19"/>
      <c r="N218" s="15" t="str">
        <f aca="false">IF($A218="","",IF($C218=0,0,(IF($F218&lt;=15,5,IF($F218&lt;=30,4,IF($F218&lt;=45,3,IF($F218&lt;=90,2,1))))+IF($C218&gt;=10,5,IF($C218&gt;=6,4,IF($C218&gt;=4,3,IF($C218&gt;=2,2,1))))+IF($D218&gt;=20000,5,IF($D218&gt;=10000,4,IF($D218&gt;=5000,3,IF($D218&gt;=2000,2,1)))))))</f>
        <v/>
      </c>
      <c r="O218" s="3" t="str">
        <f aca="false">IF($A218="","",IF($C218=0,"No visits",IF($N218&gt;=13,"VIP",IF($N218&gt;=10,"High value",IF($N218&gt;=7,"Regular",IF($N218&gt;=4,"Occasional","Low"))))))</f>
        <v/>
      </c>
      <c r="P218" s="6" t="str">
        <f aca="true">IF(OR($A218="",$I218=""),"",IF(MONTH($I218)=MONTH(TODAY()),"Yes",""))</f>
        <v/>
      </c>
      <c r="Q218" s="21" t="str">
        <f aca="false">IF($A218="","",IF($C218=0,"",_xlfn.MINIFS('Daily tracking'!$A$2:$A$2001,'Daily tracking'!$D$2:$D$2001,$A218)))</f>
        <v/>
      </c>
      <c r="R218" s="6" t="str">
        <f aca="false">IF(OR($A218="",$C218&lt;2),"",($E218-$Q218)/($C218-1))</f>
        <v/>
      </c>
    </row>
    <row r="219" customFormat="false" ht="14.25" hidden="false" customHeight="false" outlineLevel="0" collapsed="false">
      <c r="A219" s="19"/>
      <c r="B219" s="19"/>
      <c r="C219" s="15" t="str">
        <f aca="false">IF($A219="","",COUNTIF('Daily tracking'!$D$2:$D$2001,$A219))</f>
        <v/>
      </c>
      <c r="D219" s="16" t="str">
        <f aca="false">IF($A219="","",SUMIF('Daily tracking'!$D$2:$D$2001,$A219,'Daily tracking'!$G$2:$G$2001))</f>
        <v/>
      </c>
      <c r="E219" s="18" t="str">
        <f aca="false">IF($A219="","",IF($C219=0,"",_xlfn.MAXIFS('Daily tracking'!$A$2:$A$2001,'Daily tracking'!$D$2:$D$2001,$A219)))</f>
        <v/>
      </c>
      <c r="F219" s="6" t="str">
        <f aca="true">IF(OR($A219="",$E219=""),"",TODAY()-$E219)</f>
        <v/>
      </c>
      <c r="G219" s="3" t="str">
        <f aca="false">IF($A219="","",IF($C219=0,"No visits",IF($F219&gt;90,"Lapsed",IF($F219&gt;35,"At risk",IF($C219&gt;=4,"Loyal","Active")))))</f>
        <v/>
      </c>
      <c r="H219" s="9" t="str">
        <f aca="false">IF(OR($A219="",$C219=0),"",$D219/$C219)</f>
        <v/>
      </c>
      <c r="I219" s="20"/>
      <c r="J219" s="20"/>
      <c r="K219" s="19"/>
      <c r="L219" s="19"/>
      <c r="M219" s="19"/>
      <c r="N219" s="15" t="str">
        <f aca="false">IF($A219="","",IF($C219=0,0,(IF($F219&lt;=15,5,IF($F219&lt;=30,4,IF($F219&lt;=45,3,IF($F219&lt;=90,2,1))))+IF($C219&gt;=10,5,IF($C219&gt;=6,4,IF($C219&gt;=4,3,IF($C219&gt;=2,2,1))))+IF($D219&gt;=20000,5,IF($D219&gt;=10000,4,IF($D219&gt;=5000,3,IF($D219&gt;=2000,2,1)))))))</f>
        <v/>
      </c>
      <c r="O219" s="3" t="str">
        <f aca="false">IF($A219="","",IF($C219=0,"No visits",IF($N219&gt;=13,"VIP",IF($N219&gt;=10,"High value",IF($N219&gt;=7,"Regular",IF($N219&gt;=4,"Occasional","Low"))))))</f>
        <v/>
      </c>
      <c r="P219" s="6" t="str">
        <f aca="true">IF(OR($A219="",$I219=""),"",IF(MONTH($I219)=MONTH(TODAY()),"Yes",""))</f>
        <v/>
      </c>
      <c r="Q219" s="21" t="str">
        <f aca="false">IF($A219="","",IF($C219=0,"",_xlfn.MINIFS('Daily tracking'!$A$2:$A$2001,'Daily tracking'!$D$2:$D$2001,$A219)))</f>
        <v/>
      </c>
      <c r="R219" s="6" t="str">
        <f aca="false">IF(OR($A219="",$C219&lt;2),"",($E219-$Q219)/($C219-1))</f>
        <v/>
      </c>
    </row>
    <row r="220" customFormat="false" ht="14.25" hidden="false" customHeight="false" outlineLevel="0" collapsed="false">
      <c r="A220" s="19"/>
      <c r="B220" s="19"/>
      <c r="C220" s="15" t="str">
        <f aca="false">IF($A220="","",COUNTIF('Daily tracking'!$D$2:$D$2001,$A220))</f>
        <v/>
      </c>
      <c r="D220" s="16" t="str">
        <f aca="false">IF($A220="","",SUMIF('Daily tracking'!$D$2:$D$2001,$A220,'Daily tracking'!$G$2:$G$2001))</f>
        <v/>
      </c>
      <c r="E220" s="18" t="str">
        <f aca="false">IF($A220="","",IF($C220=0,"",_xlfn.MAXIFS('Daily tracking'!$A$2:$A$2001,'Daily tracking'!$D$2:$D$2001,$A220)))</f>
        <v/>
      </c>
      <c r="F220" s="6" t="str">
        <f aca="true">IF(OR($A220="",$E220=""),"",TODAY()-$E220)</f>
        <v/>
      </c>
      <c r="G220" s="3" t="str">
        <f aca="false">IF($A220="","",IF($C220=0,"No visits",IF($F220&gt;90,"Lapsed",IF($F220&gt;35,"At risk",IF($C220&gt;=4,"Loyal","Active")))))</f>
        <v/>
      </c>
      <c r="H220" s="9" t="str">
        <f aca="false">IF(OR($A220="",$C220=0),"",$D220/$C220)</f>
        <v/>
      </c>
      <c r="I220" s="20"/>
      <c r="J220" s="20"/>
      <c r="K220" s="19"/>
      <c r="L220" s="19"/>
      <c r="M220" s="19"/>
      <c r="N220" s="15" t="str">
        <f aca="false">IF($A220="","",IF($C220=0,0,(IF($F220&lt;=15,5,IF($F220&lt;=30,4,IF($F220&lt;=45,3,IF($F220&lt;=90,2,1))))+IF($C220&gt;=10,5,IF($C220&gt;=6,4,IF($C220&gt;=4,3,IF($C220&gt;=2,2,1))))+IF($D220&gt;=20000,5,IF($D220&gt;=10000,4,IF($D220&gt;=5000,3,IF($D220&gt;=2000,2,1)))))))</f>
        <v/>
      </c>
      <c r="O220" s="3" t="str">
        <f aca="false">IF($A220="","",IF($C220=0,"No visits",IF($N220&gt;=13,"VIP",IF($N220&gt;=10,"High value",IF($N220&gt;=7,"Regular",IF($N220&gt;=4,"Occasional","Low"))))))</f>
        <v/>
      </c>
      <c r="P220" s="6" t="str">
        <f aca="true">IF(OR($A220="",$I220=""),"",IF(MONTH($I220)=MONTH(TODAY()),"Yes",""))</f>
        <v/>
      </c>
      <c r="Q220" s="21" t="str">
        <f aca="false">IF($A220="","",IF($C220=0,"",_xlfn.MINIFS('Daily tracking'!$A$2:$A$2001,'Daily tracking'!$D$2:$D$2001,$A220)))</f>
        <v/>
      </c>
      <c r="R220" s="6" t="str">
        <f aca="false">IF(OR($A220="",$C220&lt;2),"",($E220-$Q220)/($C220-1))</f>
        <v/>
      </c>
    </row>
    <row r="221" customFormat="false" ht="14.25" hidden="false" customHeight="false" outlineLevel="0" collapsed="false">
      <c r="A221" s="19"/>
      <c r="B221" s="19"/>
      <c r="C221" s="15" t="str">
        <f aca="false">IF($A221="","",COUNTIF('Daily tracking'!$D$2:$D$2001,$A221))</f>
        <v/>
      </c>
      <c r="D221" s="16" t="str">
        <f aca="false">IF($A221="","",SUMIF('Daily tracking'!$D$2:$D$2001,$A221,'Daily tracking'!$G$2:$G$2001))</f>
        <v/>
      </c>
      <c r="E221" s="18" t="str">
        <f aca="false">IF($A221="","",IF($C221=0,"",_xlfn.MAXIFS('Daily tracking'!$A$2:$A$2001,'Daily tracking'!$D$2:$D$2001,$A221)))</f>
        <v/>
      </c>
      <c r="F221" s="6" t="str">
        <f aca="true">IF(OR($A221="",$E221=""),"",TODAY()-$E221)</f>
        <v/>
      </c>
      <c r="G221" s="3" t="str">
        <f aca="false">IF($A221="","",IF($C221=0,"No visits",IF($F221&gt;90,"Lapsed",IF($F221&gt;35,"At risk",IF($C221&gt;=4,"Loyal","Active")))))</f>
        <v/>
      </c>
      <c r="H221" s="9" t="str">
        <f aca="false">IF(OR($A221="",$C221=0),"",$D221/$C221)</f>
        <v/>
      </c>
      <c r="I221" s="20"/>
      <c r="J221" s="20"/>
      <c r="K221" s="19"/>
      <c r="L221" s="19"/>
      <c r="M221" s="19"/>
      <c r="N221" s="15" t="str">
        <f aca="false">IF($A221="","",IF($C221=0,0,(IF($F221&lt;=15,5,IF($F221&lt;=30,4,IF($F221&lt;=45,3,IF($F221&lt;=90,2,1))))+IF($C221&gt;=10,5,IF($C221&gt;=6,4,IF($C221&gt;=4,3,IF($C221&gt;=2,2,1))))+IF($D221&gt;=20000,5,IF($D221&gt;=10000,4,IF($D221&gt;=5000,3,IF($D221&gt;=2000,2,1)))))))</f>
        <v/>
      </c>
      <c r="O221" s="3" t="str">
        <f aca="false">IF($A221="","",IF($C221=0,"No visits",IF($N221&gt;=13,"VIP",IF($N221&gt;=10,"High value",IF($N221&gt;=7,"Regular",IF($N221&gt;=4,"Occasional","Low"))))))</f>
        <v/>
      </c>
      <c r="P221" s="6" t="str">
        <f aca="true">IF(OR($A221="",$I221=""),"",IF(MONTH($I221)=MONTH(TODAY()),"Yes",""))</f>
        <v/>
      </c>
      <c r="Q221" s="21" t="str">
        <f aca="false">IF($A221="","",IF($C221=0,"",_xlfn.MINIFS('Daily tracking'!$A$2:$A$2001,'Daily tracking'!$D$2:$D$2001,$A221)))</f>
        <v/>
      </c>
      <c r="R221" s="6" t="str">
        <f aca="false">IF(OR($A221="",$C221&lt;2),"",($E221-$Q221)/($C221-1))</f>
        <v/>
      </c>
    </row>
    <row r="222" customFormat="false" ht="14.25" hidden="false" customHeight="false" outlineLevel="0" collapsed="false">
      <c r="A222" s="19"/>
      <c r="B222" s="19"/>
      <c r="C222" s="15" t="str">
        <f aca="false">IF($A222="","",COUNTIF('Daily tracking'!$D$2:$D$2001,$A222))</f>
        <v/>
      </c>
      <c r="D222" s="16" t="str">
        <f aca="false">IF($A222="","",SUMIF('Daily tracking'!$D$2:$D$2001,$A222,'Daily tracking'!$G$2:$G$2001))</f>
        <v/>
      </c>
      <c r="E222" s="18" t="str">
        <f aca="false">IF($A222="","",IF($C222=0,"",_xlfn.MAXIFS('Daily tracking'!$A$2:$A$2001,'Daily tracking'!$D$2:$D$2001,$A222)))</f>
        <v/>
      </c>
      <c r="F222" s="6" t="str">
        <f aca="true">IF(OR($A222="",$E222=""),"",TODAY()-$E222)</f>
        <v/>
      </c>
      <c r="G222" s="3" t="str">
        <f aca="false">IF($A222="","",IF($C222=0,"No visits",IF($F222&gt;90,"Lapsed",IF($F222&gt;35,"At risk",IF($C222&gt;=4,"Loyal","Active")))))</f>
        <v/>
      </c>
      <c r="H222" s="9" t="str">
        <f aca="false">IF(OR($A222="",$C222=0),"",$D222/$C222)</f>
        <v/>
      </c>
      <c r="I222" s="20"/>
      <c r="J222" s="20"/>
      <c r="K222" s="19"/>
      <c r="L222" s="19"/>
      <c r="M222" s="19"/>
      <c r="N222" s="15" t="str">
        <f aca="false">IF($A222="","",IF($C222=0,0,(IF($F222&lt;=15,5,IF($F222&lt;=30,4,IF($F222&lt;=45,3,IF($F222&lt;=90,2,1))))+IF($C222&gt;=10,5,IF($C222&gt;=6,4,IF($C222&gt;=4,3,IF($C222&gt;=2,2,1))))+IF($D222&gt;=20000,5,IF($D222&gt;=10000,4,IF($D222&gt;=5000,3,IF($D222&gt;=2000,2,1)))))))</f>
        <v/>
      </c>
      <c r="O222" s="3" t="str">
        <f aca="false">IF($A222="","",IF($C222=0,"No visits",IF($N222&gt;=13,"VIP",IF($N222&gt;=10,"High value",IF($N222&gt;=7,"Regular",IF($N222&gt;=4,"Occasional","Low"))))))</f>
        <v/>
      </c>
      <c r="P222" s="6" t="str">
        <f aca="true">IF(OR($A222="",$I222=""),"",IF(MONTH($I222)=MONTH(TODAY()),"Yes",""))</f>
        <v/>
      </c>
      <c r="Q222" s="21" t="str">
        <f aca="false">IF($A222="","",IF($C222=0,"",_xlfn.MINIFS('Daily tracking'!$A$2:$A$2001,'Daily tracking'!$D$2:$D$2001,$A222)))</f>
        <v/>
      </c>
      <c r="R222" s="6" t="str">
        <f aca="false">IF(OR($A222="",$C222&lt;2),"",($E222-$Q222)/($C222-1))</f>
        <v/>
      </c>
    </row>
    <row r="223" customFormat="false" ht="14.25" hidden="false" customHeight="false" outlineLevel="0" collapsed="false">
      <c r="A223" s="19"/>
      <c r="B223" s="19"/>
      <c r="C223" s="15" t="str">
        <f aca="false">IF($A223="","",COUNTIF('Daily tracking'!$D$2:$D$2001,$A223))</f>
        <v/>
      </c>
      <c r="D223" s="16" t="str">
        <f aca="false">IF($A223="","",SUMIF('Daily tracking'!$D$2:$D$2001,$A223,'Daily tracking'!$G$2:$G$2001))</f>
        <v/>
      </c>
      <c r="E223" s="18" t="str">
        <f aca="false">IF($A223="","",IF($C223=0,"",_xlfn.MAXIFS('Daily tracking'!$A$2:$A$2001,'Daily tracking'!$D$2:$D$2001,$A223)))</f>
        <v/>
      </c>
      <c r="F223" s="6" t="str">
        <f aca="true">IF(OR($A223="",$E223=""),"",TODAY()-$E223)</f>
        <v/>
      </c>
      <c r="G223" s="3" t="str">
        <f aca="false">IF($A223="","",IF($C223=0,"No visits",IF($F223&gt;90,"Lapsed",IF($F223&gt;35,"At risk",IF($C223&gt;=4,"Loyal","Active")))))</f>
        <v/>
      </c>
      <c r="H223" s="9" t="str">
        <f aca="false">IF(OR($A223="",$C223=0),"",$D223/$C223)</f>
        <v/>
      </c>
      <c r="I223" s="20"/>
      <c r="J223" s="20"/>
      <c r="K223" s="19"/>
      <c r="L223" s="19"/>
      <c r="M223" s="19"/>
      <c r="N223" s="15" t="str">
        <f aca="false">IF($A223="","",IF($C223=0,0,(IF($F223&lt;=15,5,IF($F223&lt;=30,4,IF($F223&lt;=45,3,IF($F223&lt;=90,2,1))))+IF($C223&gt;=10,5,IF($C223&gt;=6,4,IF($C223&gt;=4,3,IF($C223&gt;=2,2,1))))+IF($D223&gt;=20000,5,IF($D223&gt;=10000,4,IF($D223&gt;=5000,3,IF($D223&gt;=2000,2,1)))))))</f>
        <v/>
      </c>
      <c r="O223" s="3" t="str">
        <f aca="false">IF($A223="","",IF($C223=0,"No visits",IF($N223&gt;=13,"VIP",IF($N223&gt;=10,"High value",IF($N223&gt;=7,"Regular",IF($N223&gt;=4,"Occasional","Low"))))))</f>
        <v/>
      </c>
      <c r="P223" s="6" t="str">
        <f aca="true">IF(OR($A223="",$I223=""),"",IF(MONTH($I223)=MONTH(TODAY()),"Yes",""))</f>
        <v/>
      </c>
      <c r="Q223" s="21" t="str">
        <f aca="false">IF($A223="","",IF($C223=0,"",_xlfn.MINIFS('Daily tracking'!$A$2:$A$2001,'Daily tracking'!$D$2:$D$2001,$A223)))</f>
        <v/>
      </c>
      <c r="R223" s="6" t="str">
        <f aca="false">IF(OR($A223="",$C223&lt;2),"",($E223-$Q223)/($C223-1))</f>
        <v/>
      </c>
    </row>
    <row r="224" customFormat="false" ht="14.25" hidden="false" customHeight="false" outlineLevel="0" collapsed="false">
      <c r="A224" s="19"/>
      <c r="B224" s="19"/>
      <c r="C224" s="15" t="str">
        <f aca="false">IF($A224="","",COUNTIF('Daily tracking'!$D$2:$D$2001,$A224))</f>
        <v/>
      </c>
      <c r="D224" s="16" t="str">
        <f aca="false">IF($A224="","",SUMIF('Daily tracking'!$D$2:$D$2001,$A224,'Daily tracking'!$G$2:$G$2001))</f>
        <v/>
      </c>
      <c r="E224" s="18" t="str">
        <f aca="false">IF($A224="","",IF($C224=0,"",_xlfn.MAXIFS('Daily tracking'!$A$2:$A$2001,'Daily tracking'!$D$2:$D$2001,$A224)))</f>
        <v/>
      </c>
      <c r="F224" s="6" t="str">
        <f aca="true">IF(OR($A224="",$E224=""),"",TODAY()-$E224)</f>
        <v/>
      </c>
      <c r="G224" s="3" t="str">
        <f aca="false">IF($A224="","",IF($C224=0,"No visits",IF($F224&gt;90,"Lapsed",IF($F224&gt;35,"At risk",IF($C224&gt;=4,"Loyal","Active")))))</f>
        <v/>
      </c>
      <c r="H224" s="9" t="str">
        <f aca="false">IF(OR($A224="",$C224=0),"",$D224/$C224)</f>
        <v/>
      </c>
      <c r="I224" s="20"/>
      <c r="J224" s="20"/>
      <c r="K224" s="19"/>
      <c r="L224" s="19"/>
      <c r="M224" s="19"/>
      <c r="N224" s="15" t="str">
        <f aca="false">IF($A224="","",IF($C224=0,0,(IF($F224&lt;=15,5,IF($F224&lt;=30,4,IF($F224&lt;=45,3,IF($F224&lt;=90,2,1))))+IF($C224&gt;=10,5,IF($C224&gt;=6,4,IF($C224&gt;=4,3,IF($C224&gt;=2,2,1))))+IF($D224&gt;=20000,5,IF($D224&gt;=10000,4,IF($D224&gt;=5000,3,IF($D224&gt;=2000,2,1)))))))</f>
        <v/>
      </c>
      <c r="O224" s="3" t="str">
        <f aca="false">IF($A224="","",IF($C224=0,"No visits",IF($N224&gt;=13,"VIP",IF($N224&gt;=10,"High value",IF($N224&gt;=7,"Regular",IF($N224&gt;=4,"Occasional","Low"))))))</f>
        <v/>
      </c>
      <c r="P224" s="6" t="str">
        <f aca="true">IF(OR($A224="",$I224=""),"",IF(MONTH($I224)=MONTH(TODAY()),"Yes",""))</f>
        <v/>
      </c>
      <c r="Q224" s="21" t="str">
        <f aca="false">IF($A224="","",IF($C224=0,"",_xlfn.MINIFS('Daily tracking'!$A$2:$A$2001,'Daily tracking'!$D$2:$D$2001,$A224)))</f>
        <v/>
      </c>
      <c r="R224" s="6" t="str">
        <f aca="false">IF(OR($A224="",$C224&lt;2),"",($E224-$Q224)/($C224-1))</f>
        <v/>
      </c>
    </row>
    <row r="225" customFormat="false" ht="14.25" hidden="false" customHeight="false" outlineLevel="0" collapsed="false">
      <c r="A225" s="19"/>
      <c r="B225" s="19"/>
      <c r="C225" s="15" t="str">
        <f aca="false">IF($A225="","",COUNTIF('Daily tracking'!$D$2:$D$2001,$A225))</f>
        <v/>
      </c>
      <c r="D225" s="16" t="str">
        <f aca="false">IF($A225="","",SUMIF('Daily tracking'!$D$2:$D$2001,$A225,'Daily tracking'!$G$2:$G$2001))</f>
        <v/>
      </c>
      <c r="E225" s="18" t="str">
        <f aca="false">IF($A225="","",IF($C225=0,"",_xlfn.MAXIFS('Daily tracking'!$A$2:$A$2001,'Daily tracking'!$D$2:$D$2001,$A225)))</f>
        <v/>
      </c>
      <c r="F225" s="6" t="str">
        <f aca="true">IF(OR($A225="",$E225=""),"",TODAY()-$E225)</f>
        <v/>
      </c>
      <c r="G225" s="3" t="str">
        <f aca="false">IF($A225="","",IF($C225=0,"No visits",IF($F225&gt;90,"Lapsed",IF($F225&gt;35,"At risk",IF($C225&gt;=4,"Loyal","Active")))))</f>
        <v/>
      </c>
      <c r="H225" s="9" t="str">
        <f aca="false">IF(OR($A225="",$C225=0),"",$D225/$C225)</f>
        <v/>
      </c>
      <c r="I225" s="20"/>
      <c r="J225" s="20"/>
      <c r="K225" s="19"/>
      <c r="L225" s="19"/>
      <c r="M225" s="19"/>
      <c r="N225" s="15" t="str">
        <f aca="false">IF($A225="","",IF($C225=0,0,(IF($F225&lt;=15,5,IF($F225&lt;=30,4,IF($F225&lt;=45,3,IF($F225&lt;=90,2,1))))+IF($C225&gt;=10,5,IF($C225&gt;=6,4,IF($C225&gt;=4,3,IF($C225&gt;=2,2,1))))+IF($D225&gt;=20000,5,IF($D225&gt;=10000,4,IF($D225&gt;=5000,3,IF($D225&gt;=2000,2,1)))))))</f>
        <v/>
      </c>
      <c r="O225" s="3" t="str">
        <f aca="false">IF($A225="","",IF($C225=0,"No visits",IF($N225&gt;=13,"VIP",IF($N225&gt;=10,"High value",IF($N225&gt;=7,"Regular",IF($N225&gt;=4,"Occasional","Low"))))))</f>
        <v/>
      </c>
      <c r="P225" s="6" t="str">
        <f aca="true">IF(OR($A225="",$I225=""),"",IF(MONTH($I225)=MONTH(TODAY()),"Yes",""))</f>
        <v/>
      </c>
      <c r="Q225" s="21" t="str">
        <f aca="false">IF($A225="","",IF($C225=0,"",_xlfn.MINIFS('Daily tracking'!$A$2:$A$2001,'Daily tracking'!$D$2:$D$2001,$A225)))</f>
        <v/>
      </c>
      <c r="R225" s="6" t="str">
        <f aca="false">IF(OR($A225="",$C225&lt;2),"",($E225-$Q225)/($C225-1))</f>
        <v/>
      </c>
    </row>
    <row r="226" customFormat="false" ht="14.25" hidden="false" customHeight="false" outlineLevel="0" collapsed="false">
      <c r="A226" s="19"/>
      <c r="B226" s="19"/>
      <c r="C226" s="15" t="str">
        <f aca="false">IF($A226="","",COUNTIF('Daily tracking'!$D$2:$D$2001,$A226))</f>
        <v/>
      </c>
      <c r="D226" s="16" t="str">
        <f aca="false">IF($A226="","",SUMIF('Daily tracking'!$D$2:$D$2001,$A226,'Daily tracking'!$G$2:$G$2001))</f>
        <v/>
      </c>
      <c r="E226" s="18" t="str">
        <f aca="false">IF($A226="","",IF($C226=0,"",_xlfn.MAXIFS('Daily tracking'!$A$2:$A$2001,'Daily tracking'!$D$2:$D$2001,$A226)))</f>
        <v/>
      </c>
      <c r="F226" s="6" t="str">
        <f aca="true">IF(OR($A226="",$E226=""),"",TODAY()-$E226)</f>
        <v/>
      </c>
      <c r="G226" s="3" t="str">
        <f aca="false">IF($A226="","",IF($C226=0,"No visits",IF($F226&gt;90,"Lapsed",IF($F226&gt;35,"At risk",IF($C226&gt;=4,"Loyal","Active")))))</f>
        <v/>
      </c>
      <c r="H226" s="9" t="str">
        <f aca="false">IF(OR($A226="",$C226=0),"",$D226/$C226)</f>
        <v/>
      </c>
      <c r="I226" s="20"/>
      <c r="J226" s="20"/>
      <c r="K226" s="19"/>
      <c r="L226" s="19"/>
      <c r="M226" s="19"/>
      <c r="N226" s="15" t="str">
        <f aca="false">IF($A226="","",IF($C226=0,0,(IF($F226&lt;=15,5,IF($F226&lt;=30,4,IF($F226&lt;=45,3,IF($F226&lt;=90,2,1))))+IF($C226&gt;=10,5,IF($C226&gt;=6,4,IF($C226&gt;=4,3,IF($C226&gt;=2,2,1))))+IF($D226&gt;=20000,5,IF($D226&gt;=10000,4,IF($D226&gt;=5000,3,IF($D226&gt;=2000,2,1)))))))</f>
        <v/>
      </c>
      <c r="O226" s="3" t="str">
        <f aca="false">IF($A226="","",IF($C226=0,"No visits",IF($N226&gt;=13,"VIP",IF($N226&gt;=10,"High value",IF($N226&gt;=7,"Regular",IF($N226&gt;=4,"Occasional","Low"))))))</f>
        <v/>
      </c>
      <c r="P226" s="6" t="str">
        <f aca="true">IF(OR($A226="",$I226=""),"",IF(MONTH($I226)=MONTH(TODAY()),"Yes",""))</f>
        <v/>
      </c>
      <c r="Q226" s="21" t="str">
        <f aca="false">IF($A226="","",IF($C226=0,"",_xlfn.MINIFS('Daily tracking'!$A$2:$A$2001,'Daily tracking'!$D$2:$D$2001,$A226)))</f>
        <v/>
      </c>
      <c r="R226" s="6" t="str">
        <f aca="false">IF(OR($A226="",$C226&lt;2),"",($E226-$Q226)/($C226-1))</f>
        <v/>
      </c>
    </row>
    <row r="227" customFormat="false" ht="14.25" hidden="false" customHeight="false" outlineLevel="0" collapsed="false">
      <c r="A227" s="19"/>
      <c r="B227" s="19"/>
      <c r="C227" s="15" t="str">
        <f aca="false">IF($A227="","",COUNTIF('Daily tracking'!$D$2:$D$2001,$A227))</f>
        <v/>
      </c>
      <c r="D227" s="16" t="str">
        <f aca="false">IF($A227="","",SUMIF('Daily tracking'!$D$2:$D$2001,$A227,'Daily tracking'!$G$2:$G$2001))</f>
        <v/>
      </c>
      <c r="E227" s="18" t="str">
        <f aca="false">IF($A227="","",IF($C227=0,"",_xlfn.MAXIFS('Daily tracking'!$A$2:$A$2001,'Daily tracking'!$D$2:$D$2001,$A227)))</f>
        <v/>
      </c>
      <c r="F227" s="6" t="str">
        <f aca="true">IF(OR($A227="",$E227=""),"",TODAY()-$E227)</f>
        <v/>
      </c>
      <c r="G227" s="3" t="str">
        <f aca="false">IF($A227="","",IF($C227=0,"No visits",IF($F227&gt;90,"Lapsed",IF($F227&gt;35,"At risk",IF($C227&gt;=4,"Loyal","Active")))))</f>
        <v/>
      </c>
      <c r="H227" s="9" t="str">
        <f aca="false">IF(OR($A227="",$C227=0),"",$D227/$C227)</f>
        <v/>
      </c>
      <c r="I227" s="20"/>
      <c r="J227" s="20"/>
      <c r="K227" s="19"/>
      <c r="L227" s="19"/>
      <c r="M227" s="19"/>
      <c r="N227" s="15" t="str">
        <f aca="false">IF($A227="","",IF($C227=0,0,(IF($F227&lt;=15,5,IF($F227&lt;=30,4,IF($F227&lt;=45,3,IF($F227&lt;=90,2,1))))+IF($C227&gt;=10,5,IF($C227&gt;=6,4,IF($C227&gt;=4,3,IF($C227&gt;=2,2,1))))+IF($D227&gt;=20000,5,IF($D227&gt;=10000,4,IF($D227&gt;=5000,3,IF($D227&gt;=2000,2,1)))))))</f>
        <v/>
      </c>
      <c r="O227" s="3" t="str">
        <f aca="false">IF($A227="","",IF($C227=0,"No visits",IF($N227&gt;=13,"VIP",IF($N227&gt;=10,"High value",IF($N227&gt;=7,"Regular",IF($N227&gt;=4,"Occasional","Low"))))))</f>
        <v/>
      </c>
      <c r="P227" s="6" t="str">
        <f aca="true">IF(OR($A227="",$I227=""),"",IF(MONTH($I227)=MONTH(TODAY()),"Yes",""))</f>
        <v/>
      </c>
      <c r="Q227" s="21" t="str">
        <f aca="false">IF($A227="","",IF($C227=0,"",_xlfn.MINIFS('Daily tracking'!$A$2:$A$2001,'Daily tracking'!$D$2:$D$2001,$A227)))</f>
        <v/>
      </c>
      <c r="R227" s="6" t="str">
        <f aca="false">IF(OR($A227="",$C227&lt;2),"",($E227-$Q227)/($C227-1))</f>
        <v/>
      </c>
    </row>
    <row r="228" customFormat="false" ht="14.25" hidden="false" customHeight="false" outlineLevel="0" collapsed="false">
      <c r="A228" s="19"/>
      <c r="B228" s="19"/>
      <c r="C228" s="15" t="str">
        <f aca="false">IF($A228="","",COUNTIF('Daily tracking'!$D$2:$D$2001,$A228))</f>
        <v/>
      </c>
      <c r="D228" s="16" t="str">
        <f aca="false">IF($A228="","",SUMIF('Daily tracking'!$D$2:$D$2001,$A228,'Daily tracking'!$G$2:$G$2001))</f>
        <v/>
      </c>
      <c r="E228" s="18" t="str">
        <f aca="false">IF($A228="","",IF($C228=0,"",_xlfn.MAXIFS('Daily tracking'!$A$2:$A$2001,'Daily tracking'!$D$2:$D$2001,$A228)))</f>
        <v/>
      </c>
      <c r="F228" s="6" t="str">
        <f aca="true">IF(OR($A228="",$E228=""),"",TODAY()-$E228)</f>
        <v/>
      </c>
      <c r="G228" s="3" t="str">
        <f aca="false">IF($A228="","",IF($C228=0,"No visits",IF($F228&gt;90,"Lapsed",IF($F228&gt;35,"At risk",IF($C228&gt;=4,"Loyal","Active")))))</f>
        <v/>
      </c>
      <c r="H228" s="9" t="str">
        <f aca="false">IF(OR($A228="",$C228=0),"",$D228/$C228)</f>
        <v/>
      </c>
      <c r="I228" s="20"/>
      <c r="J228" s="20"/>
      <c r="K228" s="19"/>
      <c r="L228" s="19"/>
      <c r="M228" s="19"/>
      <c r="N228" s="15" t="str">
        <f aca="false">IF($A228="","",IF($C228=0,0,(IF($F228&lt;=15,5,IF($F228&lt;=30,4,IF($F228&lt;=45,3,IF($F228&lt;=90,2,1))))+IF($C228&gt;=10,5,IF($C228&gt;=6,4,IF($C228&gt;=4,3,IF($C228&gt;=2,2,1))))+IF($D228&gt;=20000,5,IF($D228&gt;=10000,4,IF($D228&gt;=5000,3,IF($D228&gt;=2000,2,1)))))))</f>
        <v/>
      </c>
      <c r="O228" s="3" t="str">
        <f aca="false">IF($A228="","",IF($C228=0,"No visits",IF($N228&gt;=13,"VIP",IF($N228&gt;=10,"High value",IF($N228&gt;=7,"Regular",IF($N228&gt;=4,"Occasional","Low"))))))</f>
        <v/>
      </c>
      <c r="P228" s="6" t="str">
        <f aca="true">IF(OR($A228="",$I228=""),"",IF(MONTH($I228)=MONTH(TODAY()),"Yes",""))</f>
        <v/>
      </c>
      <c r="Q228" s="21" t="str">
        <f aca="false">IF($A228="","",IF($C228=0,"",_xlfn.MINIFS('Daily tracking'!$A$2:$A$2001,'Daily tracking'!$D$2:$D$2001,$A228)))</f>
        <v/>
      </c>
      <c r="R228" s="6" t="str">
        <f aca="false">IF(OR($A228="",$C228&lt;2),"",($E228-$Q228)/($C228-1))</f>
        <v/>
      </c>
    </row>
    <row r="229" customFormat="false" ht="14.25" hidden="false" customHeight="false" outlineLevel="0" collapsed="false">
      <c r="A229" s="19"/>
      <c r="B229" s="19"/>
      <c r="C229" s="15" t="str">
        <f aca="false">IF($A229="","",COUNTIF('Daily tracking'!$D$2:$D$2001,$A229))</f>
        <v/>
      </c>
      <c r="D229" s="16" t="str">
        <f aca="false">IF($A229="","",SUMIF('Daily tracking'!$D$2:$D$2001,$A229,'Daily tracking'!$G$2:$G$2001))</f>
        <v/>
      </c>
      <c r="E229" s="18" t="str">
        <f aca="false">IF($A229="","",IF($C229=0,"",_xlfn.MAXIFS('Daily tracking'!$A$2:$A$2001,'Daily tracking'!$D$2:$D$2001,$A229)))</f>
        <v/>
      </c>
      <c r="F229" s="6" t="str">
        <f aca="true">IF(OR($A229="",$E229=""),"",TODAY()-$E229)</f>
        <v/>
      </c>
      <c r="G229" s="3" t="str">
        <f aca="false">IF($A229="","",IF($C229=0,"No visits",IF($F229&gt;90,"Lapsed",IF($F229&gt;35,"At risk",IF($C229&gt;=4,"Loyal","Active")))))</f>
        <v/>
      </c>
      <c r="H229" s="9" t="str">
        <f aca="false">IF(OR($A229="",$C229=0),"",$D229/$C229)</f>
        <v/>
      </c>
      <c r="I229" s="20"/>
      <c r="J229" s="20"/>
      <c r="K229" s="19"/>
      <c r="L229" s="19"/>
      <c r="M229" s="19"/>
      <c r="N229" s="15" t="str">
        <f aca="false">IF($A229="","",IF($C229=0,0,(IF($F229&lt;=15,5,IF($F229&lt;=30,4,IF($F229&lt;=45,3,IF($F229&lt;=90,2,1))))+IF($C229&gt;=10,5,IF($C229&gt;=6,4,IF($C229&gt;=4,3,IF($C229&gt;=2,2,1))))+IF($D229&gt;=20000,5,IF($D229&gt;=10000,4,IF($D229&gt;=5000,3,IF($D229&gt;=2000,2,1)))))))</f>
        <v/>
      </c>
      <c r="O229" s="3" t="str">
        <f aca="false">IF($A229="","",IF($C229=0,"No visits",IF($N229&gt;=13,"VIP",IF($N229&gt;=10,"High value",IF($N229&gt;=7,"Regular",IF($N229&gt;=4,"Occasional","Low"))))))</f>
        <v/>
      </c>
      <c r="P229" s="6" t="str">
        <f aca="true">IF(OR($A229="",$I229=""),"",IF(MONTH($I229)=MONTH(TODAY()),"Yes",""))</f>
        <v/>
      </c>
      <c r="Q229" s="21" t="str">
        <f aca="false">IF($A229="","",IF($C229=0,"",_xlfn.MINIFS('Daily tracking'!$A$2:$A$2001,'Daily tracking'!$D$2:$D$2001,$A229)))</f>
        <v/>
      </c>
      <c r="R229" s="6" t="str">
        <f aca="false">IF(OR($A229="",$C229&lt;2),"",($E229-$Q229)/($C229-1))</f>
        <v/>
      </c>
    </row>
    <row r="230" customFormat="false" ht="14.25" hidden="false" customHeight="false" outlineLevel="0" collapsed="false">
      <c r="A230" s="19"/>
      <c r="B230" s="19"/>
      <c r="C230" s="15" t="str">
        <f aca="false">IF($A230="","",COUNTIF('Daily tracking'!$D$2:$D$2001,$A230))</f>
        <v/>
      </c>
      <c r="D230" s="16" t="str">
        <f aca="false">IF($A230="","",SUMIF('Daily tracking'!$D$2:$D$2001,$A230,'Daily tracking'!$G$2:$G$2001))</f>
        <v/>
      </c>
      <c r="E230" s="18" t="str">
        <f aca="false">IF($A230="","",IF($C230=0,"",_xlfn.MAXIFS('Daily tracking'!$A$2:$A$2001,'Daily tracking'!$D$2:$D$2001,$A230)))</f>
        <v/>
      </c>
      <c r="F230" s="6" t="str">
        <f aca="true">IF(OR($A230="",$E230=""),"",TODAY()-$E230)</f>
        <v/>
      </c>
      <c r="G230" s="3" t="str">
        <f aca="false">IF($A230="","",IF($C230=0,"No visits",IF($F230&gt;90,"Lapsed",IF($F230&gt;35,"At risk",IF($C230&gt;=4,"Loyal","Active")))))</f>
        <v/>
      </c>
      <c r="H230" s="9" t="str">
        <f aca="false">IF(OR($A230="",$C230=0),"",$D230/$C230)</f>
        <v/>
      </c>
      <c r="I230" s="20"/>
      <c r="J230" s="20"/>
      <c r="K230" s="19"/>
      <c r="L230" s="19"/>
      <c r="M230" s="19"/>
      <c r="N230" s="15" t="str">
        <f aca="false">IF($A230="","",IF($C230=0,0,(IF($F230&lt;=15,5,IF($F230&lt;=30,4,IF($F230&lt;=45,3,IF($F230&lt;=90,2,1))))+IF($C230&gt;=10,5,IF($C230&gt;=6,4,IF($C230&gt;=4,3,IF($C230&gt;=2,2,1))))+IF($D230&gt;=20000,5,IF($D230&gt;=10000,4,IF($D230&gt;=5000,3,IF($D230&gt;=2000,2,1)))))))</f>
        <v/>
      </c>
      <c r="O230" s="3" t="str">
        <f aca="false">IF($A230="","",IF($C230=0,"No visits",IF($N230&gt;=13,"VIP",IF($N230&gt;=10,"High value",IF($N230&gt;=7,"Regular",IF($N230&gt;=4,"Occasional","Low"))))))</f>
        <v/>
      </c>
      <c r="P230" s="6" t="str">
        <f aca="true">IF(OR($A230="",$I230=""),"",IF(MONTH($I230)=MONTH(TODAY()),"Yes",""))</f>
        <v/>
      </c>
      <c r="Q230" s="21" t="str">
        <f aca="false">IF($A230="","",IF($C230=0,"",_xlfn.MINIFS('Daily tracking'!$A$2:$A$2001,'Daily tracking'!$D$2:$D$2001,$A230)))</f>
        <v/>
      </c>
      <c r="R230" s="6" t="str">
        <f aca="false">IF(OR($A230="",$C230&lt;2),"",($E230-$Q230)/($C230-1))</f>
        <v/>
      </c>
    </row>
    <row r="231" customFormat="false" ht="14.25" hidden="false" customHeight="false" outlineLevel="0" collapsed="false">
      <c r="A231" s="19"/>
      <c r="B231" s="19"/>
      <c r="C231" s="15" t="str">
        <f aca="false">IF($A231="","",COUNTIF('Daily tracking'!$D$2:$D$2001,$A231))</f>
        <v/>
      </c>
      <c r="D231" s="16" t="str">
        <f aca="false">IF($A231="","",SUMIF('Daily tracking'!$D$2:$D$2001,$A231,'Daily tracking'!$G$2:$G$2001))</f>
        <v/>
      </c>
      <c r="E231" s="18" t="str">
        <f aca="false">IF($A231="","",IF($C231=0,"",_xlfn.MAXIFS('Daily tracking'!$A$2:$A$2001,'Daily tracking'!$D$2:$D$2001,$A231)))</f>
        <v/>
      </c>
      <c r="F231" s="6" t="str">
        <f aca="true">IF(OR($A231="",$E231=""),"",TODAY()-$E231)</f>
        <v/>
      </c>
      <c r="G231" s="3" t="str">
        <f aca="false">IF($A231="","",IF($C231=0,"No visits",IF($F231&gt;90,"Lapsed",IF($F231&gt;35,"At risk",IF($C231&gt;=4,"Loyal","Active")))))</f>
        <v/>
      </c>
      <c r="H231" s="9" t="str">
        <f aca="false">IF(OR($A231="",$C231=0),"",$D231/$C231)</f>
        <v/>
      </c>
      <c r="I231" s="20"/>
      <c r="J231" s="20"/>
      <c r="K231" s="19"/>
      <c r="L231" s="19"/>
      <c r="M231" s="19"/>
      <c r="N231" s="15" t="str">
        <f aca="false">IF($A231="","",IF($C231=0,0,(IF($F231&lt;=15,5,IF($F231&lt;=30,4,IF($F231&lt;=45,3,IF($F231&lt;=90,2,1))))+IF($C231&gt;=10,5,IF($C231&gt;=6,4,IF($C231&gt;=4,3,IF($C231&gt;=2,2,1))))+IF($D231&gt;=20000,5,IF($D231&gt;=10000,4,IF($D231&gt;=5000,3,IF($D231&gt;=2000,2,1)))))))</f>
        <v/>
      </c>
      <c r="O231" s="3" t="str">
        <f aca="false">IF($A231="","",IF($C231=0,"No visits",IF($N231&gt;=13,"VIP",IF($N231&gt;=10,"High value",IF($N231&gt;=7,"Regular",IF($N231&gt;=4,"Occasional","Low"))))))</f>
        <v/>
      </c>
      <c r="P231" s="6" t="str">
        <f aca="true">IF(OR($A231="",$I231=""),"",IF(MONTH($I231)=MONTH(TODAY()),"Yes",""))</f>
        <v/>
      </c>
      <c r="Q231" s="21" t="str">
        <f aca="false">IF($A231="","",IF($C231=0,"",_xlfn.MINIFS('Daily tracking'!$A$2:$A$2001,'Daily tracking'!$D$2:$D$2001,$A231)))</f>
        <v/>
      </c>
      <c r="R231" s="6" t="str">
        <f aca="false">IF(OR($A231="",$C231&lt;2),"",($E231-$Q231)/($C231-1))</f>
        <v/>
      </c>
    </row>
    <row r="232" customFormat="false" ht="14.25" hidden="false" customHeight="false" outlineLevel="0" collapsed="false">
      <c r="A232" s="19"/>
      <c r="B232" s="19"/>
      <c r="C232" s="15" t="str">
        <f aca="false">IF($A232="","",COUNTIF('Daily tracking'!$D$2:$D$2001,$A232))</f>
        <v/>
      </c>
      <c r="D232" s="16" t="str">
        <f aca="false">IF($A232="","",SUMIF('Daily tracking'!$D$2:$D$2001,$A232,'Daily tracking'!$G$2:$G$2001))</f>
        <v/>
      </c>
      <c r="E232" s="18" t="str">
        <f aca="false">IF($A232="","",IF($C232=0,"",_xlfn.MAXIFS('Daily tracking'!$A$2:$A$2001,'Daily tracking'!$D$2:$D$2001,$A232)))</f>
        <v/>
      </c>
      <c r="F232" s="6" t="str">
        <f aca="true">IF(OR($A232="",$E232=""),"",TODAY()-$E232)</f>
        <v/>
      </c>
      <c r="G232" s="3" t="str">
        <f aca="false">IF($A232="","",IF($C232=0,"No visits",IF($F232&gt;90,"Lapsed",IF($F232&gt;35,"At risk",IF($C232&gt;=4,"Loyal","Active")))))</f>
        <v/>
      </c>
      <c r="H232" s="9" t="str">
        <f aca="false">IF(OR($A232="",$C232=0),"",$D232/$C232)</f>
        <v/>
      </c>
      <c r="I232" s="20"/>
      <c r="J232" s="20"/>
      <c r="K232" s="19"/>
      <c r="L232" s="19"/>
      <c r="M232" s="19"/>
      <c r="N232" s="15" t="str">
        <f aca="false">IF($A232="","",IF($C232=0,0,(IF($F232&lt;=15,5,IF($F232&lt;=30,4,IF($F232&lt;=45,3,IF($F232&lt;=90,2,1))))+IF($C232&gt;=10,5,IF($C232&gt;=6,4,IF($C232&gt;=4,3,IF($C232&gt;=2,2,1))))+IF($D232&gt;=20000,5,IF($D232&gt;=10000,4,IF($D232&gt;=5000,3,IF($D232&gt;=2000,2,1)))))))</f>
        <v/>
      </c>
      <c r="O232" s="3" t="str">
        <f aca="false">IF($A232="","",IF($C232=0,"No visits",IF($N232&gt;=13,"VIP",IF($N232&gt;=10,"High value",IF($N232&gt;=7,"Regular",IF($N232&gt;=4,"Occasional","Low"))))))</f>
        <v/>
      </c>
      <c r="P232" s="6" t="str">
        <f aca="true">IF(OR($A232="",$I232=""),"",IF(MONTH($I232)=MONTH(TODAY()),"Yes",""))</f>
        <v/>
      </c>
      <c r="Q232" s="21" t="str">
        <f aca="false">IF($A232="","",IF($C232=0,"",_xlfn.MINIFS('Daily tracking'!$A$2:$A$2001,'Daily tracking'!$D$2:$D$2001,$A232)))</f>
        <v/>
      </c>
      <c r="R232" s="6" t="str">
        <f aca="false">IF(OR($A232="",$C232&lt;2),"",($E232-$Q232)/($C232-1))</f>
        <v/>
      </c>
    </row>
    <row r="233" customFormat="false" ht="14.25" hidden="false" customHeight="false" outlineLevel="0" collapsed="false">
      <c r="A233" s="19"/>
      <c r="B233" s="19"/>
      <c r="C233" s="15" t="str">
        <f aca="false">IF($A233="","",COUNTIF('Daily tracking'!$D$2:$D$2001,$A233))</f>
        <v/>
      </c>
      <c r="D233" s="16" t="str">
        <f aca="false">IF($A233="","",SUMIF('Daily tracking'!$D$2:$D$2001,$A233,'Daily tracking'!$G$2:$G$2001))</f>
        <v/>
      </c>
      <c r="E233" s="18" t="str">
        <f aca="false">IF($A233="","",IF($C233=0,"",_xlfn.MAXIFS('Daily tracking'!$A$2:$A$2001,'Daily tracking'!$D$2:$D$2001,$A233)))</f>
        <v/>
      </c>
      <c r="F233" s="6" t="str">
        <f aca="true">IF(OR($A233="",$E233=""),"",TODAY()-$E233)</f>
        <v/>
      </c>
      <c r="G233" s="3" t="str">
        <f aca="false">IF($A233="","",IF($C233=0,"No visits",IF($F233&gt;90,"Lapsed",IF($F233&gt;35,"At risk",IF($C233&gt;=4,"Loyal","Active")))))</f>
        <v/>
      </c>
      <c r="H233" s="9" t="str">
        <f aca="false">IF(OR($A233="",$C233=0),"",$D233/$C233)</f>
        <v/>
      </c>
      <c r="I233" s="20"/>
      <c r="J233" s="20"/>
      <c r="K233" s="19"/>
      <c r="L233" s="19"/>
      <c r="M233" s="19"/>
      <c r="N233" s="15" t="str">
        <f aca="false">IF($A233="","",IF($C233=0,0,(IF($F233&lt;=15,5,IF($F233&lt;=30,4,IF($F233&lt;=45,3,IF($F233&lt;=90,2,1))))+IF($C233&gt;=10,5,IF($C233&gt;=6,4,IF($C233&gt;=4,3,IF($C233&gt;=2,2,1))))+IF($D233&gt;=20000,5,IF($D233&gt;=10000,4,IF($D233&gt;=5000,3,IF($D233&gt;=2000,2,1)))))))</f>
        <v/>
      </c>
      <c r="O233" s="3" t="str">
        <f aca="false">IF($A233="","",IF($C233=0,"No visits",IF($N233&gt;=13,"VIP",IF($N233&gt;=10,"High value",IF($N233&gt;=7,"Regular",IF($N233&gt;=4,"Occasional","Low"))))))</f>
        <v/>
      </c>
      <c r="P233" s="6" t="str">
        <f aca="true">IF(OR($A233="",$I233=""),"",IF(MONTH($I233)=MONTH(TODAY()),"Yes",""))</f>
        <v/>
      </c>
      <c r="Q233" s="21" t="str">
        <f aca="false">IF($A233="","",IF($C233=0,"",_xlfn.MINIFS('Daily tracking'!$A$2:$A$2001,'Daily tracking'!$D$2:$D$2001,$A233)))</f>
        <v/>
      </c>
      <c r="R233" s="6" t="str">
        <f aca="false">IF(OR($A233="",$C233&lt;2),"",($E233-$Q233)/($C233-1))</f>
        <v/>
      </c>
    </row>
    <row r="234" customFormat="false" ht="14.25" hidden="false" customHeight="false" outlineLevel="0" collapsed="false">
      <c r="A234" s="19"/>
      <c r="B234" s="19"/>
      <c r="C234" s="15" t="str">
        <f aca="false">IF($A234="","",COUNTIF('Daily tracking'!$D$2:$D$2001,$A234))</f>
        <v/>
      </c>
      <c r="D234" s="16" t="str">
        <f aca="false">IF($A234="","",SUMIF('Daily tracking'!$D$2:$D$2001,$A234,'Daily tracking'!$G$2:$G$2001))</f>
        <v/>
      </c>
      <c r="E234" s="18" t="str">
        <f aca="false">IF($A234="","",IF($C234=0,"",_xlfn.MAXIFS('Daily tracking'!$A$2:$A$2001,'Daily tracking'!$D$2:$D$2001,$A234)))</f>
        <v/>
      </c>
      <c r="F234" s="6" t="str">
        <f aca="true">IF(OR($A234="",$E234=""),"",TODAY()-$E234)</f>
        <v/>
      </c>
      <c r="G234" s="3" t="str">
        <f aca="false">IF($A234="","",IF($C234=0,"No visits",IF($F234&gt;90,"Lapsed",IF($F234&gt;35,"At risk",IF($C234&gt;=4,"Loyal","Active")))))</f>
        <v/>
      </c>
      <c r="H234" s="9" t="str">
        <f aca="false">IF(OR($A234="",$C234=0),"",$D234/$C234)</f>
        <v/>
      </c>
      <c r="I234" s="20"/>
      <c r="J234" s="20"/>
      <c r="K234" s="19"/>
      <c r="L234" s="19"/>
      <c r="M234" s="19"/>
      <c r="N234" s="15" t="str">
        <f aca="false">IF($A234="","",IF($C234=0,0,(IF($F234&lt;=15,5,IF($F234&lt;=30,4,IF($F234&lt;=45,3,IF($F234&lt;=90,2,1))))+IF($C234&gt;=10,5,IF($C234&gt;=6,4,IF($C234&gt;=4,3,IF($C234&gt;=2,2,1))))+IF($D234&gt;=20000,5,IF($D234&gt;=10000,4,IF($D234&gt;=5000,3,IF($D234&gt;=2000,2,1)))))))</f>
        <v/>
      </c>
      <c r="O234" s="3" t="str">
        <f aca="false">IF($A234="","",IF($C234=0,"No visits",IF($N234&gt;=13,"VIP",IF($N234&gt;=10,"High value",IF($N234&gt;=7,"Regular",IF($N234&gt;=4,"Occasional","Low"))))))</f>
        <v/>
      </c>
      <c r="P234" s="6" t="str">
        <f aca="true">IF(OR($A234="",$I234=""),"",IF(MONTH($I234)=MONTH(TODAY()),"Yes",""))</f>
        <v/>
      </c>
      <c r="Q234" s="21" t="str">
        <f aca="false">IF($A234="","",IF($C234=0,"",_xlfn.MINIFS('Daily tracking'!$A$2:$A$2001,'Daily tracking'!$D$2:$D$2001,$A234)))</f>
        <v/>
      </c>
      <c r="R234" s="6" t="str">
        <f aca="false">IF(OR($A234="",$C234&lt;2),"",($E234-$Q234)/($C234-1))</f>
        <v/>
      </c>
    </row>
    <row r="235" customFormat="false" ht="14.25" hidden="false" customHeight="false" outlineLevel="0" collapsed="false">
      <c r="A235" s="19"/>
      <c r="B235" s="19"/>
      <c r="C235" s="15" t="str">
        <f aca="false">IF($A235="","",COUNTIF('Daily tracking'!$D$2:$D$2001,$A235))</f>
        <v/>
      </c>
      <c r="D235" s="16" t="str">
        <f aca="false">IF($A235="","",SUMIF('Daily tracking'!$D$2:$D$2001,$A235,'Daily tracking'!$G$2:$G$2001))</f>
        <v/>
      </c>
      <c r="E235" s="18" t="str">
        <f aca="false">IF($A235="","",IF($C235=0,"",_xlfn.MAXIFS('Daily tracking'!$A$2:$A$2001,'Daily tracking'!$D$2:$D$2001,$A235)))</f>
        <v/>
      </c>
      <c r="F235" s="6" t="str">
        <f aca="true">IF(OR($A235="",$E235=""),"",TODAY()-$E235)</f>
        <v/>
      </c>
      <c r="G235" s="3" t="str">
        <f aca="false">IF($A235="","",IF($C235=0,"No visits",IF($F235&gt;90,"Lapsed",IF($F235&gt;35,"At risk",IF($C235&gt;=4,"Loyal","Active")))))</f>
        <v/>
      </c>
      <c r="H235" s="9" t="str">
        <f aca="false">IF(OR($A235="",$C235=0),"",$D235/$C235)</f>
        <v/>
      </c>
      <c r="I235" s="20"/>
      <c r="J235" s="20"/>
      <c r="K235" s="19"/>
      <c r="L235" s="19"/>
      <c r="M235" s="19"/>
      <c r="N235" s="15" t="str">
        <f aca="false">IF($A235="","",IF($C235=0,0,(IF($F235&lt;=15,5,IF($F235&lt;=30,4,IF($F235&lt;=45,3,IF($F235&lt;=90,2,1))))+IF($C235&gt;=10,5,IF($C235&gt;=6,4,IF($C235&gt;=4,3,IF($C235&gt;=2,2,1))))+IF($D235&gt;=20000,5,IF($D235&gt;=10000,4,IF($D235&gt;=5000,3,IF($D235&gt;=2000,2,1)))))))</f>
        <v/>
      </c>
      <c r="O235" s="3" t="str">
        <f aca="false">IF($A235="","",IF($C235=0,"No visits",IF($N235&gt;=13,"VIP",IF($N235&gt;=10,"High value",IF($N235&gt;=7,"Regular",IF($N235&gt;=4,"Occasional","Low"))))))</f>
        <v/>
      </c>
      <c r="P235" s="6" t="str">
        <f aca="true">IF(OR($A235="",$I235=""),"",IF(MONTH($I235)=MONTH(TODAY()),"Yes",""))</f>
        <v/>
      </c>
      <c r="Q235" s="21" t="str">
        <f aca="false">IF($A235="","",IF($C235=0,"",_xlfn.MINIFS('Daily tracking'!$A$2:$A$2001,'Daily tracking'!$D$2:$D$2001,$A235)))</f>
        <v/>
      </c>
      <c r="R235" s="6" t="str">
        <f aca="false">IF(OR($A235="",$C235&lt;2),"",($E235-$Q235)/($C235-1))</f>
        <v/>
      </c>
    </row>
    <row r="236" customFormat="false" ht="14.25" hidden="false" customHeight="false" outlineLevel="0" collapsed="false">
      <c r="A236" s="19"/>
      <c r="B236" s="19"/>
      <c r="C236" s="15" t="str">
        <f aca="false">IF($A236="","",COUNTIF('Daily tracking'!$D$2:$D$2001,$A236))</f>
        <v/>
      </c>
      <c r="D236" s="16" t="str">
        <f aca="false">IF($A236="","",SUMIF('Daily tracking'!$D$2:$D$2001,$A236,'Daily tracking'!$G$2:$G$2001))</f>
        <v/>
      </c>
      <c r="E236" s="18" t="str">
        <f aca="false">IF($A236="","",IF($C236=0,"",_xlfn.MAXIFS('Daily tracking'!$A$2:$A$2001,'Daily tracking'!$D$2:$D$2001,$A236)))</f>
        <v/>
      </c>
      <c r="F236" s="6" t="str">
        <f aca="true">IF(OR($A236="",$E236=""),"",TODAY()-$E236)</f>
        <v/>
      </c>
      <c r="G236" s="3" t="str">
        <f aca="false">IF($A236="","",IF($C236=0,"No visits",IF($F236&gt;90,"Lapsed",IF($F236&gt;35,"At risk",IF($C236&gt;=4,"Loyal","Active")))))</f>
        <v/>
      </c>
      <c r="H236" s="9" t="str">
        <f aca="false">IF(OR($A236="",$C236=0),"",$D236/$C236)</f>
        <v/>
      </c>
      <c r="I236" s="20"/>
      <c r="J236" s="20"/>
      <c r="K236" s="19"/>
      <c r="L236" s="19"/>
      <c r="M236" s="19"/>
      <c r="N236" s="15" t="str">
        <f aca="false">IF($A236="","",IF($C236=0,0,(IF($F236&lt;=15,5,IF($F236&lt;=30,4,IF($F236&lt;=45,3,IF($F236&lt;=90,2,1))))+IF($C236&gt;=10,5,IF($C236&gt;=6,4,IF($C236&gt;=4,3,IF($C236&gt;=2,2,1))))+IF($D236&gt;=20000,5,IF($D236&gt;=10000,4,IF($D236&gt;=5000,3,IF($D236&gt;=2000,2,1)))))))</f>
        <v/>
      </c>
      <c r="O236" s="3" t="str">
        <f aca="false">IF($A236="","",IF($C236=0,"No visits",IF($N236&gt;=13,"VIP",IF($N236&gt;=10,"High value",IF($N236&gt;=7,"Regular",IF($N236&gt;=4,"Occasional","Low"))))))</f>
        <v/>
      </c>
      <c r="P236" s="6" t="str">
        <f aca="true">IF(OR($A236="",$I236=""),"",IF(MONTH($I236)=MONTH(TODAY()),"Yes",""))</f>
        <v/>
      </c>
      <c r="Q236" s="21" t="str">
        <f aca="false">IF($A236="","",IF($C236=0,"",_xlfn.MINIFS('Daily tracking'!$A$2:$A$2001,'Daily tracking'!$D$2:$D$2001,$A236)))</f>
        <v/>
      </c>
      <c r="R236" s="6" t="str">
        <f aca="false">IF(OR($A236="",$C236&lt;2),"",($E236-$Q236)/($C236-1))</f>
        <v/>
      </c>
    </row>
    <row r="237" customFormat="false" ht="14.25" hidden="false" customHeight="false" outlineLevel="0" collapsed="false">
      <c r="A237" s="19"/>
      <c r="B237" s="19"/>
      <c r="C237" s="15" t="str">
        <f aca="false">IF($A237="","",COUNTIF('Daily tracking'!$D$2:$D$2001,$A237))</f>
        <v/>
      </c>
      <c r="D237" s="16" t="str">
        <f aca="false">IF($A237="","",SUMIF('Daily tracking'!$D$2:$D$2001,$A237,'Daily tracking'!$G$2:$G$2001))</f>
        <v/>
      </c>
      <c r="E237" s="18" t="str">
        <f aca="false">IF($A237="","",IF($C237=0,"",_xlfn.MAXIFS('Daily tracking'!$A$2:$A$2001,'Daily tracking'!$D$2:$D$2001,$A237)))</f>
        <v/>
      </c>
      <c r="F237" s="6" t="str">
        <f aca="true">IF(OR($A237="",$E237=""),"",TODAY()-$E237)</f>
        <v/>
      </c>
      <c r="G237" s="3" t="str">
        <f aca="false">IF($A237="","",IF($C237=0,"No visits",IF($F237&gt;90,"Lapsed",IF($F237&gt;35,"At risk",IF($C237&gt;=4,"Loyal","Active")))))</f>
        <v/>
      </c>
      <c r="H237" s="9" t="str">
        <f aca="false">IF(OR($A237="",$C237=0),"",$D237/$C237)</f>
        <v/>
      </c>
      <c r="I237" s="20"/>
      <c r="J237" s="20"/>
      <c r="K237" s="19"/>
      <c r="L237" s="19"/>
      <c r="M237" s="19"/>
      <c r="N237" s="15" t="str">
        <f aca="false">IF($A237="","",IF($C237=0,0,(IF($F237&lt;=15,5,IF($F237&lt;=30,4,IF($F237&lt;=45,3,IF($F237&lt;=90,2,1))))+IF($C237&gt;=10,5,IF($C237&gt;=6,4,IF($C237&gt;=4,3,IF($C237&gt;=2,2,1))))+IF($D237&gt;=20000,5,IF($D237&gt;=10000,4,IF($D237&gt;=5000,3,IF($D237&gt;=2000,2,1)))))))</f>
        <v/>
      </c>
      <c r="O237" s="3" t="str">
        <f aca="false">IF($A237="","",IF($C237=0,"No visits",IF($N237&gt;=13,"VIP",IF($N237&gt;=10,"High value",IF($N237&gt;=7,"Regular",IF($N237&gt;=4,"Occasional","Low"))))))</f>
        <v/>
      </c>
      <c r="P237" s="6" t="str">
        <f aca="true">IF(OR($A237="",$I237=""),"",IF(MONTH($I237)=MONTH(TODAY()),"Yes",""))</f>
        <v/>
      </c>
      <c r="Q237" s="21" t="str">
        <f aca="false">IF($A237="","",IF($C237=0,"",_xlfn.MINIFS('Daily tracking'!$A$2:$A$2001,'Daily tracking'!$D$2:$D$2001,$A237)))</f>
        <v/>
      </c>
      <c r="R237" s="6" t="str">
        <f aca="false">IF(OR($A237="",$C237&lt;2),"",($E237-$Q237)/($C237-1))</f>
        <v/>
      </c>
    </row>
    <row r="238" customFormat="false" ht="14.25" hidden="false" customHeight="false" outlineLevel="0" collapsed="false">
      <c r="A238" s="19"/>
      <c r="B238" s="19"/>
      <c r="C238" s="15" t="str">
        <f aca="false">IF($A238="","",COUNTIF('Daily tracking'!$D$2:$D$2001,$A238))</f>
        <v/>
      </c>
      <c r="D238" s="16" t="str">
        <f aca="false">IF($A238="","",SUMIF('Daily tracking'!$D$2:$D$2001,$A238,'Daily tracking'!$G$2:$G$2001))</f>
        <v/>
      </c>
      <c r="E238" s="18" t="str">
        <f aca="false">IF($A238="","",IF($C238=0,"",_xlfn.MAXIFS('Daily tracking'!$A$2:$A$2001,'Daily tracking'!$D$2:$D$2001,$A238)))</f>
        <v/>
      </c>
      <c r="F238" s="6" t="str">
        <f aca="true">IF(OR($A238="",$E238=""),"",TODAY()-$E238)</f>
        <v/>
      </c>
      <c r="G238" s="3" t="str">
        <f aca="false">IF($A238="","",IF($C238=0,"No visits",IF($F238&gt;90,"Lapsed",IF($F238&gt;35,"At risk",IF($C238&gt;=4,"Loyal","Active")))))</f>
        <v/>
      </c>
      <c r="H238" s="9" t="str">
        <f aca="false">IF(OR($A238="",$C238=0),"",$D238/$C238)</f>
        <v/>
      </c>
      <c r="I238" s="20"/>
      <c r="J238" s="20"/>
      <c r="K238" s="19"/>
      <c r="L238" s="19"/>
      <c r="M238" s="19"/>
      <c r="N238" s="15" t="str">
        <f aca="false">IF($A238="","",IF($C238=0,0,(IF($F238&lt;=15,5,IF($F238&lt;=30,4,IF($F238&lt;=45,3,IF($F238&lt;=90,2,1))))+IF($C238&gt;=10,5,IF($C238&gt;=6,4,IF($C238&gt;=4,3,IF($C238&gt;=2,2,1))))+IF($D238&gt;=20000,5,IF($D238&gt;=10000,4,IF($D238&gt;=5000,3,IF($D238&gt;=2000,2,1)))))))</f>
        <v/>
      </c>
      <c r="O238" s="3" t="str">
        <f aca="false">IF($A238="","",IF($C238=0,"No visits",IF($N238&gt;=13,"VIP",IF($N238&gt;=10,"High value",IF($N238&gt;=7,"Regular",IF($N238&gt;=4,"Occasional","Low"))))))</f>
        <v/>
      </c>
      <c r="P238" s="6" t="str">
        <f aca="true">IF(OR($A238="",$I238=""),"",IF(MONTH($I238)=MONTH(TODAY()),"Yes",""))</f>
        <v/>
      </c>
      <c r="Q238" s="21" t="str">
        <f aca="false">IF($A238="","",IF($C238=0,"",_xlfn.MINIFS('Daily tracking'!$A$2:$A$2001,'Daily tracking'!$D$2:$D$2001,$A238)))</f>
        <v/>
      </c>
      <c r="R238" s="6" t="str">
        <f aca="false">IF(OR($A238="",$C238&lt;2),"",($E238-$Q238)/($C238-1))</f>
        <v/>
      </c>
    </row>
    <row r="239" customFormat="false" ht="14.25" hidden="false" customHeight="false" outlineLevel="0" collapsed="false">
      <c r="A239" s="19"/>
      <c r="B239" s="19"/>
      <c r="C239" s="15" t="str">
        <f aca="false">IF($A239="","",COUNTIF('Daily tracking'!$D$2:$D$2001,$A239))</f>
        <v/>
      </c>
      <c r="D239" s="16" t="str">
        <f aca="false">IF($A239="","",SUMIF('Daily tracking'!$D$2:$D$2001,$A239,'Daily tracking'!$G$2:$G$2001))</f>
        <v/>
      </c>
      <c r="E239" s="18" t="str">
        <f aca="false">IF($A239="","",IF($C239=0,"",_xlfn.MAXIFS('Daily tracking'!$A$2:$A$2001,'Daily tracking'!$D$2:$D$2001,$A239)))</f>
        <v/>
      </c>
      <c r="F239" s="6" t="str">
        <f aca="true">IF(OR($A239="",$E239=""),"",TODAY()-$E239)</f>
        <v/>
      </c>
      <c r="G239" s="3" t="str">
        <f aca="false">IF($A239="","",IF($C239=0,"No visits",IF($F239&gt;90,"Lapsed",IF($F239&gt;35,"At risk",IF($C239&gt;=4,"Loyal","Active")))))</f>
        <v/>
      </c>
      <c r="H239" s="9" t="str">
        <f aca="false">IF(OR($A239="",$C239=0),"",$D239/$C239)</f>
        <v/>
      </c>
      <c r="I239" s="20"/>
      <c r="J239" s="20"/>
      <c r="K239" s="19"/>
      <c r="L239" s="19"/>
      <c r="M239" s="19"/>
      <c r="N239" s="15" t="str">
        <f aca="false">IF($A239="","",IF($C239=0,0,(IF($F239&lt;=15,5,IF($F239&lt;=30,4,IF($F239&lt;=45,3,IF($F239&lt;=90,2,1))))+IF($C239&gt;=10,5,IF($C239&gt;=6,4,IF($C239&gt;=4,3,IF($C239&gt;=2,2,1))))+IF($D239&gt;=20000,5,IF($D239&gt;=10000,4,IF($D239&gt;=5000,3,IF($D239&gt;=2000,2,1)))))))</f>
        <v/>
      </c>
      <c r="O239" s="3" t="str">
        <f aca="false">IF($A239="","",IF($C239=0,"No visits",IF($N239&gt;=13,"VIP",IF($N239&gt;=10,"High value",IF($N239&gt;=7,"Regular",IF($N239&gt;=4,"Occasional","Low"))))))</f>
        <v/>
      </c>
      <c r="P239" s="6" t="str">
        <f aca="true">IF(OR($A239="",$I239=""),"",IF(MONTH($I239)=MONTH(TODAY()),"Yes",""))</f>
        <v/>
      </c>
      <c r="Q239" s="21" t="str">
        <f aca="false">IF($A239="","",IF($C239=0,"",_xlfn.MINIFS('Daily tracking'!$A$2:$A$2001,'Daily tracking'!$D$2:$D$2001,$A239)))</f>
        <v/>
      </c>
      <c r="R239" s="6" t="str">
        <f aca="false">IF(OR($A239="",$C239&lt;2),"",($E239-$Q239)/($C239-1))</f>
        <v/>
      </c>
    </row>
    <row r="240" customFormat="false" ht="14.25" hidden="false" customHeight="false" outlineLevel="0" collapsed="false">
      <c r="A240" s="19"/>
      <c r="B240" s="19"/>
      <c r="C240" s="15" t="str">
        <f aca="false">IF($A240="","",COUNTIF('Daily tracking'!$D$2:$D$2001,$A240))</f>
        <v/>
      </c>
      <c r="D240" s="16" t="str">
        <f aca="false">IF($A240="","",SUMIF('Daily tracking'!$D$2:$D$2001,$A240,'Daily tracking'!$G$2:$G$2001))</f>
        <v/>
      </c>
      <c r="E240" s="18" t="str">
        <f aca="false">IF($A240="","",IF($C240=0,"",_xlfn.MAXIFS('Daily tracking'!$A$2:$A$2001,'Daily tracking'!$D$2:$D$2001,$A240)))</f>
        <v/>
      </c>
      <c r="F240" s="6" t="str">
        <f aca="true">IF(OR($A240="",$E240=""),"",TODAY()-$E240)</f>
        <v/>
      </c>
      <c r="G240" s="3" t="str">
        <f aca="false">IF($A240="","",IF($C240=0,"No visits",IF($F240&gt;90,"Lapsed",IF($F240&gt;35,"At risk",IF($C240&gt;=4,"Loyal","Active")))))</f>
        <v/>
      </c>
      <c r="H240" s="9" t="str">
        <f aca="false">IF(OR($A240="",$C240=0),"",$D240/$C240)</f>
        <v/>
      </c>
      <c r="I240" s="20"/>
      <c r="J240" s="20"/>
      <c r="K240" s="19"/>
      <c r="L240" s="19"/>
      <c r="M240" s="19"/>
      <c r="N240" s="15" t="str">
        <f aca="false">IF($A240="","",IF($C240=0,0,(IF($F240&lt;=15,5,IF($F240&lt;=30,4,IF($F240&lt;=45,3,IF($F240&lt;=90,2,1))))+IF($C240&gt;=10,5,IF($C240&gt;=6,4,IF($C240&gt;=4,3,IF($C240&gt;=2,2,1))))+IF($D240&gt;=20000,5,IF($D240&gt;=10000,4,IF($D240&gt;=5000,3,IF($D240&gt;=2000,2,1)))))))</f>
        <v/>
      </c>
      <c r="O240" s="3" t="str">
        <f aca="false">IF($A240="","",IF($C240=0,"No visits",IF($N240&gt;=13,"VIP",IF($N240&gt;=10,"High value",IF($N240&gt;=7,"Regular",IF($N240&gt;=4,"Occasional","Low"))))))</f>
        <v/>
      </c>
      <c r="P240" s="6" t="str">
        <f aca="true">IF(OR($A240="",$I240=""),"",IF(MONTH($I240)=MONTH(TODAY()),"Yes",""))</f>
        <v/>
      </c>
      <c r="Q240" s="21" t="str">
        <f aca="false">IF($A240="","",IF($C240=0,"",_xlfn.MINIFS('Daily tracking'!$A$2:$A$2001,'Daily tracking'!$D$2:$D$2001,$A240)))</f>
        <v/>
      </c>
      <c r="R240" s="6" t="str">
        <f aca="false">IF(OR($A240="",$C240&lt;2),"",($E240-$Q240)/($C240-1))</f>
        <v/>
      </c>
    </row>
    <row r="241" customFormat="false" ht="14.25" hidden="false" customHeight="false" outlineLevel="0" collapsed="false">
      <c r="A241" s="19"/>
      <c r="B241" s="19"/>
      <c r="C241" s="15" t="str">
        <f aca="false">IF($A241="","",COUNTIF('Daily tracking'!$D$2:$D$2001,$A241))</f>
        <v/>
      </c>
      <c r="D241" s="16" t="str">
        <f aca="false">IF($A241="","",SUMIF('Daily tracking'!$D$2:$D$2001,$A241,'Daily tracking'!$G$2:$G$2001))</f>
        <v/>
      </c>
      <c r="E241" s="18" t="str">
        <f aca="false">IF($A241="","",IF($C241=0,"",_xlfn.MAXIFS('Daily tracking'!$A$2:$A$2001,'Daily tracking'!$D$2:$D$2001,$A241)))</f>
        <v/>
      </c>
      <c r="F241" s="6" t="str">
        <f aca="true">IF(OR($A241="",$E241=""),"",TODAY()-$E241)</f>
        <v/>
      </c>
      <c r="G241" s="3" t="str">
        <f aca="false">IF($A241="","",IF($C241=0,"No visits",IF($F241&gt;90,"Lapsed",IF($F241&gt;35,"At risk",IF($C241&gt;=4,"Loyal","Active")))))</f>
        <v/>
      </c>
      <c r="H241" s="9" t="str">
        <f aca="false">IF(OR($A241="",$C241=0),"",$D241/$C241)</f>
        <v/>
      </c>
      <c r="I241" s="20"/>
      <c r="J241" s="20"/>
      <c r="K241" s="19"/>
      <c r="L241" s="19"/>
      <c r="M241" s="19"/>
      <c r="N241" s="15" t="str">
        <f aca="false">IF($A241="","",IF($C241=0,0,(IF($F241&lt;=15,5,IF($F241&lt;=30,4,IF($F241&lt;=45,3,IF($F241&lt;=90,2,1))))+IF($C241&gt;=10,5,IF($C241&gt;=6,4,IF($C241&gt;=4,3,IF($C241&gt;=2,2,1))))+IF($D241&gt;=20000,5,IF($D241&gt;=10000,4,IF($D241&gt;=5000,3,IF($D241&gt;=2000,2,1)))))))</f>
        <v/>
      </c>
      <c r="O241" s="3" t="str">
        <f aca="false">IF($A241="","",IF($C241=0,"No visits",IF($N241&gt;=13,"VIP",IF($N241&gt;=10,"High value",IF($N241&gt;=7,"Regular",IF($N241&gt;=4,"Occasional","Low"))))))</f>
        <v/>
      </c>
      <c r="P241" s="6" t="str">
        <f aca="true">IF(OR($A241="",$I241=""),"",IF(MONTH($I241)=MONTH(TODAY()),"Yes",""))</f>
        <v/>
      </c>
      <c r="Q241" s="21" t="str">
        <f aca="false">IF($A241="","",IF($C241=0,"",_xlfn.MINIFS('Daily tracking'!$A$2:$A$2001,'Daily tracking'!$D$2:$D$2001,$A241)))</f>
        <v/>
      </c>
      <c r="R241" s="6" t="str">
        <f aca="false">IF(OR($A241="",$C241&lt;2),"",($E241-$Q241)/($C241-1))</f>
        <v/>
      </c>
    </row>
    <row r="242" customFormat="false" ht="14.25" hidden="false" customHeight="false" outlineLevel="0" collapsed="false">
      <c r="A242" s="19"/>
      <c r="B242" s="19"/>
      <c r="C242" s="15" t="str">
        <f aca="false">IF($A242="","",COUNTIF('Daily tracking'!$D$2:$D$2001,$A242))</f>
        <v/>
      </c>
      <c r="D242" s="16" t="str">
        <f aca="false">IF($A242="","",SUMIF('Daily tracking'!$D$2:$D$2001,$A242,'Daily tracking'!$G$2:$G$2001))</f>
        <v/>
      </c>
      <c r="E242" s="18" t="str">
        <f aca="false">IF($A242="","",IF($C242=0,"",_xlfn.MAXIFS('Daily tracking'!$A$2:$A$2001,'Daily tracking'!$D$2:$D$2001,$A242)))</f>
        <v/>
      </c>
      <c r="F242" s="6" t="str">
        <f aca="true">IF(OR($A242="",$E242=""),"",TODAY()-$E242)</f>
        <v/>
      </c>
      <c r="G242" s="3" t="str">
        <f aca="false">IF($A242="","",IF($C242=0,"No visits",IF($F242&gt;90,"Lapsed",IF($F242&gt;35,"At risk",IF($C242&gt;=4,"Loyal","Active")))))</f>
        <v/>
      </c>
      <c r="H242" s="9" t="str">
        <f aca="false">IF(OR($A242="",$C242=0),"",$D242/$C242)</f>
        <v/>
      </c>
      <c r="I242" s="20"/>
      <c r="J242" s="20"/>
      <c r="K242" s="19"/>
      <c r="L242" s="19"/>
      <c r="M242" s="19"/>
      <c r="N242" s="15" t="str">
        <f aca="false">IF($A242="","",IF($C242=0,0,(IF($F242&lt;=15,5,IF($F242&lt;=30,4,IF($F242&lt;=45,3,IF($F242&lt;=90,2,1))))+IF($C242&gt;=10,5,IF($C242&gt;=6,4,IF($C242&gt;=4,3,IF($C242&gt;=2,2,1))))+IF($D242&gt;=20000,5,IF($D242&gt;=10000,4,IF($D242&gt;=5000,3,IF($D242&gt;=2000,2,1)))))))</f>
        <v/>
      </c>
      <c r="O242" s="3" t="str">
        <f aca="false">IF($A242="","",IF($C242=0,"No visits",IF($N242&gt;=13,"VIP",IF($N242&gt;=10,"High value",IF($N242&gt;=7,"Regular",IF($N242&gt;=4,"Occasional","Low"))))))</f>
        <v/>
      </c>
      <c r="P242" s="6" t="str">
        <f aca="true">IF(OR($A242="",$I242=""),"",IF(MONTH($I242)=MONTH(TODAY()),"Yes",""))</f>
        <v/>
      </c>
      <c r="Q242" s="21" t="str">
        <f aca="false">IF($A242="","",IF($C242=0,"",_xlfn.MINIFS('Daily tracking'!$A$2:$A$2001,'Daily tracking'!$D$2:$D$2001,$A242)))</f>
        <v/>
      </c>
      <c r="R242" s="6" t="str">
        <f aca="false">IF(OR($A242="",$C242&lt;2),"",($E242-$Q242)/($C242-1))</f>
        <v/>
      </c>
    </row>
    <row r="243" customFormat="false" ht="14.25" hidden="false" customHeight="false" outlineLevel="0" collapsed="false">
      <c r="A243" s="19"/>
      <c r="B243" s="19"/>
      <c r="C243" s="15" t="str">
        <f aca="false">IF($A243="","",COUNTIF('Daily tracking'!$D$2:$D$2001,$A243))</f>
        <v/>
      </c>
      <c r="D243" s="16" t="str">
        <f aca="false">IF($A243="","",SUMIF('Daily tracking'!$D$2:$D$2001,$A243,'Daily tracking'!$G$2:$G$2001))</f>
        <v/>
      </c>
      <c r="E243" s="18" t="str">
        <f aca="false">IF($A243="","",IF($C243=0,"",_xlfn.MAXIFS('Daily tracking'!$A$2:$A$2001,'Daily tracking'!$D$2:$D$2001,$A243)))</f>
        <v/>
      </c>
      <c r="F243" s="6" t="str">
        <f aca="true">IF(OR($A243="",$E243=""),"",TODAY()-$E243)</f>
        <v/>
      </c>
      <c r="G243" s="3" t="str">
        <f aca="false">IF($A243="","",IF($C243=0,"No visits",IF($F243&gt;90,"Lapsed",IF($F243&gt;35,"At risk",IF($C243&gt;=4,"Loyal","Active")))))</f>
        <v/>
      </c>
      <c r="H243" s="9" t="str">
        <f aca="false">IF(OR($A243="",$C243=0),"",$D243/$C243)</f>
        <v/>
      </c>
      <c r="I243" s="20"/>
      <c r="J243" s="20"/>
      <c r="K243" s="19"/>
      <c r="L243" s="19"/>
      <c r="M243" s="19"/>
      <c r="N243" s="15" t="str">
        <f aca="false">IF($A243="","",IF($C243=0,0,(IF($F243&lt;=15,5,IF($F243&lt;=30,4,IF($F243&lt;=45,3,IF($F243&lt;=90,2,1))))+IF($C243&gt;=10,5,IF($C243&gt;=6,4,IF($C243&gt;=4,3,IF($C243&gt;=2,2,1))))+IF($D243&gt;=20000,5,IF($D243&gt;=10000,4,IF($D243&gt;=5000,3,IF($D243&gt;=2000,2,1)))))))</f>
        <v/>
      </c>
      <c r="O243" s="3" t="str">
        <f aca="false">IF($A243="","",IF($C243=0,"No visits",IF($N243&gt;=13,"VIP",IF($N243&gt;=10,"High value",IF($N243&gt;=7,"Regular",IF($N243&gt;=4,"Occasional","Low"))))))</f>
        <v/>
      </c>
      <c r="P243" s="6" t="str">
        <f aca="true">IF(OR($A243="",$I243=""),"",IF(MONTH($I243)=MONTH(TODAY()),"Yes",""))</f>
        <v/>
      </c>
      <c r="Q243" s="21" t="str">
        <f aca="false">IF($A243="","",IF($C243=0,"",_xlfn.MINIFS('Daily tracking'!$A$2:$A$2001,'Daily tracking'!$D$2:$D$2001,$A243)))</f>
        <v/>
      </c>
      <c r="R243" s="6" t="str">
        <f aca="false">IF(OR($A243="",$C243&lt;2),"",($E243-$Q243)/($C243-1))</f>
        <v/>
      </c>
    </row>
    <row r="244" customFormat="false" ht="14.25" hidden="false" customHeight="false" outlineLevel="0" collapsed="false">
      <c r="A244" s="19"/>
      <c r="B244" s="19"/>
      <c r="C244" s="15" t="str">
        <f aca="false">IF($A244="","",COUNTIF('Daily tracking'!$D$2:$D$2001,$A244))</f>
        <v/>
      </c>
      <c r="D244" s="16" t="str">
        <f aca="false">IF($A244="","",SUMIF('Daily tracking'!$D$2:$D$2001,$A244,'Daily tracking'!$G$2:$G$2001))</f>
        <v/>
      </c>
      <c r="E244" s="18" t="str">
        <f aca="false">IF($A244="","",IF($C244=0,"",_xlfn.MAXIFS('Daily tracking'!$A$2:$A$2001,'Daily tracking'!$D$2:$D$2001,$A244)))</f>
        <v/>
      </c>
      <c r="F244" s="6" t="str">
        <f aca="true">IF(OR($A244="",$E244=""),"",TODAY()-$E244)</f>
        <v/>
      </c>
      <c r="G244" s="3" t="str">
        <f aca="false">IF($A244="","",IF($C244=0,"No visits",IF($F244&gt;90,"Lapsed",IF($F244&gt;35,"At risk",IF($C244&gt;=4,"Loyal","Active")))))</f>
        <v/>
      </c>
      <c r="H244" s="9" t="str">
        <f aca="false">IF(OR($A244="",$C244=0),"",$D244/$C244)</f>
        <v/>
      </c>
      <c r="I244" s="20"/>
      <c r="J244" s="20"/>
      <c r="K244" s="19"/>
      <c r="L244" s="19"/>
      <c r="M244" s="19"/>
      <c r="N244" s="15" t="str">
        <f aca="false">IF($A244="","",IF($C244=0,0,(IF($F244&lt;=15,5,IF($F244&lt;=30,4,IF($F244&lt;=45,3,IF($F244&lt;=90,2,1))))+IF($C244&gt;=10,5,IF($C244&gt;=6,4,IF($C244&gt;=4,3,IF($C244&gt;=2,2,1))))+IF($D244&gt;=20000,5,IF($D244&gt;=10000,4,IF($D244&gt;=5000,3,IF($D244&gt;=2000,2,1)))))))</f>
        <v/>
      </c>
      <c r="O244" s="3" t="str">
        <f aca="false">IF($A244="","",IF($C244=0,"No visits",IF($N244&gt;=13,"VIP",IF($N244&gt;=10,"High value",IF($N244&gt;=7,"Regular",IF($N244&gt;=4,"Occasional","Low"))))))</f>
        <v/>
      </c>
      <c r="P244" s="6" t="str">
        <f aca="true">IF(OR($A244="",$I244=""),"",IF(MONTH($I244)=MONTH(TODAY()),"Yes",""))</f>
        <v/>
      </c>
      <c r="Q244" s="21" t="str">
        <f aca="false">IF($A244="","",IF($C244=0,"",_xlfn.MINIFS('Daily tracking'!$A$2:$A$2001,'Daily tracking'!$D$2:$D$2001,$A244)))</f>
        <v/>
      </c>
      <c r="R244" s="6" t="str">
        <f aca="false">IF(OR($A244="",$C244&lt;2),"",($E244-$Q244)/($C244-1))</f>
        <v/>
      </c>
    </row>
    <row r="245" customFormat="false" ht="14.25" hidden="false" customHeight="false" outlineLevel="0" collapsed="false">
      <c r="A245" s="19"/>
      <c r="B245" s="19"/>
      <c r="C245" s="15" t="str">
        <f aca="false">IF($A245="","",COUNTIF('Daily tracking'!$D$2:$D$2001,$A245))</f>
        <v/>
      </c>
      <c r="D245" s="16" t="str">
        <f aca="false">IF($A245="","",SUMIF('Daily tracking'!$D$2:$D$2001,$A245,'Daily tracking'!$G$2:$G$2001))</f>
        <v/>
      </c>
      <c r="E245" s="18" t="str">
        <f aca="false">IF($A245="","",IF($C245=0,"",_xlfn.MAXIFS('Daily tracking'!$A$2:$A$2001,'Daily tracking'!$D$2:$D$2001,$A245)))</f>
        <v/>
      </c>
      <c r="F245" s="6" t="str">
        <f aca="true">IF(OR($A245="",$E245=""),"",TODAY()-$E245)</f>
        <v/>
      </c>
      <c r="G245" s="3" t="str">
        <f aca="false">IF($A245="","",IF($C245=0,"No visits",IF($F245&gt;90,"Lapsed",IF($F245&gt;35,"At risk",IF($C245&gt;=4,"Loyal","Active")))))</f>
        <v/>
      </c>
      <c r="H245" s="9" t="str">
        <f aca="false">IF(OR($A245="",$C245=0),"",$D245/$C245)</f>
        <v/>
      </c>
      <c r="I245" s="20"/>
      <c r="J245" s="20"/>
      <c r="K245" s="19"/>
      <c r="L245" s="19"/>
      <c r="M245" s="19"/>
      <c r="N245" s="15" t="str">
        <f aca="false">IF($A245="","",IF($C245=0,0,(IF($F245&lt;=15,5,IF($F245&lt;=30,4,IF($F245&lt;=45,3,IF($F245&lt;=90,2,1))))+IF($C245&gt;=10,5,IF($C245&gt;=6,4,IF($C245&gt;=4,3,IF($C245&gt;=2,2,1))))+IF($D245&gt;=20000,5,IF($D245&gt;=10000,4,IF($D245&gt;=5000,3,IF($D245&gt;=2000,2,1)))))))</f>
        <v/>
      </c>
      <c r="O245" s="3" t="str">
        <f aca="false">IF($A245="","",IF($C245=0,"No visits",IF($N245&gt;=13,"VIP",IF($N245&gt;=10,"High value",IF($N245&gt;=7,"Regular",IF($N245&gt;=4,"Occasional","Low"))))))</f>
        <v/>
      </c>
      <c r="P245" s="6" t="str">
        <f aca="true">IF(OR($A245="",$I245=""),"",IF(MONTH($I245)=MONTH(TODAY()),"Yes",""))</f>
        <v/>
      </c>
      <c r="Q245" s="21" t="str">
        <f aca="false">IF($A245="","",IF($C245=0,"",_xlfn.MINIFS('Daily tracking'!$A$2:$A$2001,'Daily tracking'!$D$2:$D$2001,$A245)))</f>
        <v/>
      </c>
      <c r="R245" s="6" t="str">
        <f aca="false">IF(OR($A245="",$C245&lt;2),"",($E245-$Q245)/($C245-1))</f>
        <v/>
      </c>
    </row>
    <row r="246" customFormat="false" ht="14.25" hidden="false" customHeight="false" outlineLevel="0" collapsed="false">
      <c r="A246" s="19"/>
      <c r="B246" s="19"/>
      <c r="C246" s="15" t="str">
        <f aca="false">IF($A246="","",COUNTIF('Daily tracking'!$D$2:$D$2001,$A246))</f>
        <v/>
      </c>
      <c r="D246" s="16" t="str">
        <f aca="false">IF($A246="","",SUMIF('Daily tracking'!$D$2:$D$2001,$A246,'Daily tracking'!$G$2:$G$2001))</f>
        <v/>
      </c>
      <c r="E246" s="18" t="str">
        <f aca="false">IF($A246="","",IF($C246=0,"",_xlfn.MAXIFS('Daily tracking'!$A$2:$A$2001,'Daily tracking'!$D$2:$D$2001,$A246)))</f>
        <v/>
      </c>
      <c r="F246" s="6" t="str">
        <f aca="true">IF(OR($A246="",$E246=""),"",TODAY()-$E246)</f>
        <v/>
      </c>
      <c r="G246" s="3" t="str">
        <f aca="false">IF($A246="","",IF($C246=0,"No visits",IF($F246&gt;90,"Lapsed",IF($F246&gt;35,"At risk",IF($C246&gt;=4,"Loyal","Active")))))</f>
        <v/>
      </c>
      <c r="H246" s="9" t="str">
        <f aca="false">IF(OR($A246="",$C246=0),"",$D246/$C246)</f>
        <v/>
      </c>
      <c r="I246" s="20"/>
      <c r="J246" s="20"/>
      <c r="K246" s="19"/>
      <c r="L246" s="19"/>
      <c r="M246" s="19"/>
      <c r="N246" s="15" t="str">
        <f aca="false">IF($A246="","",IF($C246=0,0,(IF($F246&lt;=15,5,IF($F246&lt;=30,4,IF($F246&lt;=45,3,IF($F246&lt;=90,2,1))))+IF($C246&gt;=10,5,IF($C246&gt;=6,4,IF($C246&gt;=4,3,IF($C246&gt;=2,2,1))))+IF($D246&gt;=20000,5,IF($D246&gt;=10000,4,IF($D246&gt;=5000,3,IF($D246&gt;=2000,2,1)))))))</f>
        <v/>
      </c>
      <c r="O246" s="3" t="str">
        <f aca="false">IF($A246="","",IF($C246=0,"No visits",IF($N246&gt;=13,"VIP",IF($N246&gt;=10,"High value",IF($N246&gt;=7,"Regular",IF($N246&gt;=4,"Occasional","Low"))))))</f>
        <v/>
      </c>
      <c r="P246" s="6" t="str">
        <f aca="true">IF(OR($A246="",$I246=""),"",IF(MONTH($I246)=MONTH(TODAY()),"Yes",""))</f>
        <v/>
      </c>
      <c r="Q246" s="21" t="str">
        <f aca="false">IF($A246="","",IF($C246=0,"",_xlfn.MINIFS('Daily tracking'!$A$2:$A$2001,'Daily tracking'!$D$2:$D$2001,$A246)))</f>
        <v/>
      </c>
      <c r="R246" s="6" t="str">
        <f aca="false">IF(OR($A246="",$C246&lt;2),"",($E246-$Q246)/($C246-1))</f>
        <v/>
      </c>
    </row>
    <row r="247" customFormat="false" ht="14.25" hidden="false" customHeight="false" outlineLevel="0" collapsed="false">
      <c r="A247" s="19"/>
      <c r="B247" s="19"/>
      <c r="C247" s="15" t="str">
        <f aca="false">IF($A247="","",COUNTIF('Daily tracking'!$D$2:$D$2001,$A247))</f>
        <v/>
      </c>
      <c r="D247" s="16" t="str">
        <f aca="false">IF($A247="","",SUMIF('Daily tracking'!$D$2:$D$2001,$A247,'Daily tracking'!$G$2:$G$2001))</f>
        <v/>
      </c>
      <c r="E247" s="18" t="str">
        <f aca="false">IF($A247="","",IF($C247=0,"",_xlfn.MAXIFS('Daily tracking'!$A$2:$A$2001,'Daily tracking'!$D$2:$D$2001,$A247)))</f>
        <v/>
      </c>
      <c r="F247" s="6" t="str">
        <f aca="true">IF(OR($A247="",$E247=""),"",TODAY()-$E247)</f>
        <v/>
      </c>
      <c r="G247" s="3" t="str">
        <f aca="false">IF($A247="","",IF($C247=0,"No visits",IF($F247&gt;90,"Lapsed",IF($F247&gt;35,"At risk",IF($C247&gt;=4,"Loyal","Active")))))</f>
        <v/>
      </c>
      <c r="H247" s="9" t="str">
        <f aca="false">IF(OR($A247="",$C247=0),"",$D247/$C247)</f>
        <v/>
      </c>
      <c r="I247" s="20"/>
      <c r="J247" s="20"/>
      <c r="K247" s="19"/>
      <c r="L247" s="19"/>
      <c r="M247" s="19"/>
      <c r="N247" s="15" t="str">
        <f aca="false">IF($A247="","",IF($C247=0,0,(IF($F247&lt;=15,5,IF($F247&lt;=30,4,IF($F247&lt;=45,3,IF($F247&lt;=90,2,1))))+IF($C247&gt;=10,5,IF($C247&gt;=6,4,IF($C247&gt;=4,3,IF($C247&gt;=2,2,1))))+IF($D247&gt;=20000,5,IF($D247&gt;=10000,4,IF($D247&gt;=5000,3,IF($D247&gt;=2000,2,1)))))))</f>
        <v/>
      </c>
      <c r="O247" s="3" t="str">
        <f aca="false">IF($A247="","",IF($C247=0,"No visits",IF($N247&gt;=13,"VIP",IF($N247&gt;=10,"High value",IF($N247&gt;=7,"Regular",IF($N247&gt;=4,"Occasional","Low"))))))</f>
        <v/>
      </c>
      <c r="P247" s="6" t="str">
        <f aca="true">IF(OR($A247="",$I247=""),"",IF(MONTH($I247)=MONTH(TODAY()),"Yes",""))</f>
        <v/>
      </c>
      <c r="Q247" s="21" t="str">
        <f aca="false">IF($A247="","",IF($C247=0,"",_xlfn.MINIFS('Daily tracking'!$A$2:$A$2001,'Daily tracking'!$D$2:$D$2001,$A247)))</f>
        <v/>
      </c>
      <c r="R247" s="6" t="str">
        <f aca="false">IF(OR($A247="",$C247&lt;2),"",($E247-$Q247)/($C247-1))</f>
        <v/>
      </c>
    </row>
    <row r="248" customFormat="false" ht="14.25" hidden="false" customHeight="false" outlineLevel="0" collapsed="false">
      <c r="A248" s="19"/>
      <c r="B248" s="19"/>
      <c r="C248" s="15" t="str">
        <f aca="false">IF($A248="","",COUNTIF('Daily tracking'!$D$2:$D$2001,$A248))</f>
        <v/>
      </c>
      <c r="D248" s="16" t="str">
        <f aca="false">IF($A248="","",SUMIF('Daily tracking'!$D$2:$D$2001,$A248,'Daily tracking'!$G$2:$G$2001))</f>
        <v/>
      </c>
      <c r="E248" s="18" t="str">
        <f aca="false">IF($A248="","",IF($C248=0,"",_xlfn.MAXIFS('Daily tracking'!$A$2:$A$2001,'Daily tracking'!$D$2:$D$2001,$A248)))</f>
        <v/>
      </c>
      <c r="F248" s="6" t="str">
        <f aca="true">IF(OR($A248="",$E248=""),"",TODAY()-$E248)</f>
        <v/>
      </c>
      <c r="G248" s="3" t="str">
        <f aca="false">IF($A248="","",IF($C248=0,"No visits",IF($F248&gt;90,"Lapsed",IF($F248&gt;35,"At risk",IF($C248&gt;=4,"Loyal","Active")))))</f>
        <v/>
      </c>
      <c r="H248" s="9" t="str">
        <f aca="false">IF(OR($A248="",$C248=0),"",$D248/$C248)</f>
        <v/>
      </c>
      <c r="I248" s="20"/>
      <c r="J248" s="20"/>
      <c r="K248" s="19"/>
      <c r="L248" s="19"/>
      <c r="M248" s="19"/>
      <c r="N248" s="15" t="str">
        <f aca="false">IF($A248="","",IF($C248=0,0,(IF($F248&lt;=15,5,IF($F248&lt;=30,4,IF($F248&lt;=45,3,IF($F248&lt;=90,2,1))))+IF($C248&gt;=10,5,IF($C248&gt;=6,4,IF($C248&gt;=4,3,IF($C248&gt;=2,2,1))))+IF($D248&gt;=20000,5,IF($D248&gt;=10000,4,IF($D248&gt;=5000,3,IF($D248&gt;=2000,2,1)))))))</f>
        <v/>
      </c>
      <c r="O248" s="3" t="str">
        <f aca="false">IF($A248="","",IF($C248=0,"No visits",IF($N248&gt;=13,"VIP",IF($N248&gt;=10,"High value",IF($N248&gt;=7,"Regular",IF($N248&gt;=4,"Occasional","Low"))))))</f>
        <v/>
      </c>
      <c r="P248" s="6" t="str">
        <f aca="true">IF(OR($A248="",$I248=""),"",IF(MONTH($I248)=MONTH(TODAY()),"Yes",""))</f>
        <v/>
      </c>
      <c r="Q248" s="21" t="str">
        <f aca="false">IF($A248="","",IF($C248=0,"",_xlfn.MINIFS('Daily tracking'!$A$2:$A$2001,'Daily tracking'!$D$2:$D$2001,$A248)))</f>
        <v/>
      </c>
      <c r="R248" s="6" t="str">
        <f aca="false">IF(OR($A248="",$C248&lt;2),"",($E248-$Q248)/($C248-1))</f>
        <v/>
      </c>
    </row>
    <row r="249" customFormat="false" ht="14.25" hidden="false" customHeight="false" outlineLevel="0" collapsed="false">
      <c r="A249" s="19"/>
      <c r="B249" s="19"/>
      <c r="C249" s="15" t="str">
        <f aca="false">IF($A249="","",COUNTIF('Daily tracking'!$D$2:$D$2001,$A249))</f>
        <v/>
      </c>
      <c r="D249" s="16" t="str">
        <f aca="false">IF($A249="","",SUMIF('Daily tracking'!$D$2:$D$2001,$A249,'Daily tracking'!$G$2:$G$2001))</f>
        <v/>
      </c>
      <c r="E249" s="18" t="str">
        <f aca="false">IF($A249="","",IF($C249=0,"",_xlfn.MAXIFS('Daily tracking'!$A$2:$A$2001,'Daily tracking'!$D$2:$D$2001,$A249)))</f>
        <v/>
      </c>
      <c r="F249" s="6" t="str">
        <f aca="true">IF(OR($A249="",$E249=""),"",TODAY()-$E249)</f>
        <v/>
      </c>
      <c r="G249" s="3" t="str">
        <f aca="false">IF($A249="","",IF($C249=0,"No visits",IF($F249&gt;90,"Lapsed",IF($F249&gt;35,"At risk",IF($C249&gt;=4,"Loyal","Active")))))</f>
        <v/>
      </c>
      <c r="H249" s="9" t="str">
        <f aca="false">IF(OR($A249="",$C249=0),"",$D249/$C249)</f>
        <v/>
      </c>
      <c r="I249" s="20"/>
      <c r="J249" s="20"/>
      <c r="K249" s="19"/>
      <c r="L249" s="19"/>
      <c r="M249" s="19"/>
      <c r="N249" s="15" t="str">
        <f aca="false">IF($A249="","",IF($C249=0,0,(IF($F249&lt;=15,5,IF($F249&lt;=30,4,IF($F249&lt;=45,3,IF($F249&lt;=90,2,1))))+IF($C249&gt;=10,5,IF($C249&gt;=6,4,IF($C249&gt;=4,3,IF($C249&gt;=2,2,1))))+IF($D249&gt;=20000,5,IF($D249&gt;=10000,4,IF($D249&gt;=5000,3,IF($D249&gt;=2000,2,1)))))))</f>
        <v/>
      </c>
      <c r="O249" s="3" t="str">
        <f aca="false">IF($A249="","",IF($C249=0,"No visits",IF($N249&gt;=13,"VIP",IF($N249&gt;=10,"High value",IF($N249&gt;=7,"Regular",IF($N249&gt;=4,"Occasional","Low"))))))</f>
        <v/>
      </c>
      <c r="P249" s="6" t="str">
        <f aca="true">IF(OR($A249="",$I249=""),"",IF(MONTH($I249)=MONTH(TODAY()),"Yes",""))</f>
        <v/>
      </c>
      <c r="Q249" s="21" t="str">
        <f aca="false">IF($A249="","",IF($C249=0,"",_xlfn.MINIFS('Daily tracking'!$A$2:$A$2001,'Daily tracking'!$D$2:$D$2001,$A249)))</f>
        <v/>
      </c>
      <c r="R249" s="6" t="str">
        <f aca="false">IF(OR($A249="",$C249&lt;2),"",($E249-$Q249)/($C249-1))</f>
        <v/>
      </c>
    </row>
    <row r="250" customFormat="false" ht="14.25" hidden="false" customHeight="false" outlineLevel="0" collapsed="false">
      <c r="A250" s="19"/>
      <c r="B250" s="19"/>
      <c r="C250" s="15" t="str">
        <f aca="false">IF($A250="","",COUNTIF('Daily tracking'!$D$2:$D$2001,$A250))</f>
        <v/>
      </c>
      <c r="D250" s="16" t="str">
        <f aca="false">IF($A250="","",SUMIF('Daily tracking'!$D$2:$D$2001,$A250,'Daily tracking'!$G$2:$G$2001))</f>
        <v/>
      </c>
      <c r="E250" s="18" t="str">
        <f aca="false">IF($A250="","",IF($C250=0,"",_xlfn.MAXIFS('Daily tracking'!$A$2:$A$2001,'Daily tracking'!$D$2:$D$2001,$A250)))</f>
        <v/>
      </c>
      <c r="F250" s="6" t="str">
        <f aca="true">IF(OR($A250="",$E250=""),"",TODAY()-$E250)</f>
        <v/>
      </c>
      <c r="G250" s="3" t="str">
        <f aca="false">IF($A250="","",IF($C250=0,"No visits",IF($F250&gt;90,"Lapsed",IF($F250&gt;35,"At risk",IF($C250&gt;=4,"Loyal","Active")))))</f>
        <v/>
      </c>
      <c r="H250" s="9" t="str">
        <f aca="false">IF(OR($A250="",$C250=0),"",$D250/$C250)</f>
        <v/>
      </c>
      <c r="I250" s="20"/>
      <c r="J250" s="20"/>
      <c r="K250" s="19"/>
      <c r="L250" s="19"/>
      <c r="M250" s="19"/>
      <c r="N250" s="15" t="str">
        <f aca="false">IF($A250="","",IF($C250=0,0,(IF($F250&lt;=15,5,IF($F250&lt;=30,4,IF($F250&lt;=45,3,IF($F250&lt;=90,2,1))))+IF($C250&gt;=10,5,IF($C250&gt;=6,4,IF($C250&gt;=4,3,IF($C250&gt;=2,2,1))))+IF($D250&gt;=20000,5,IF($D250&gt;=10000,4,IF($D250&gt;=5000,3,IF($D250&gt;=2000,2,1)))))))</f>
        <v/>
      </c>
      <c r="O250" s="3" t="str">
        <f aca="false">IF($A250="","",IF($C250=0,"No visits",IF($N250&gt;=13,"VIP",IF($N250&gt;=10,"High value",IF($N250&gt;=7,"Regular",IF($N250&gt;=4,"Occasional","Low"))))))</f>
        <v/>
      </c>
      <c r="P250" s="6" t="str">
        <f aca="true">IF(OR($A250="",$I250=""),"",IF(MONTH($I250)=MONTH(TODAY()),"Yes",""))</f>
        <v/>
      </c>
      <c r="Q250" s="21" t="str">
        <f aca="false">IF($A250="","",IF($C250=0,"",_xlfn.MINIFS('Daily tracking'!$A$2:$A$2001,'Daily tracking'!$D$2:$D$2001,$A250)))</f>
        <v/>
      </c>
      <c r="R250" s="6" t="str">
        <f aca="false">IF(OR($A250="",$C250&lt;2),"",($E250-$Q250)/($C250-1))</f>
        <v/>
      </c>
    </row>
    <row r="251" customFormat="false" ht="14.25" hidden="false" customHeight="false" outlineLevel="0" collapsed="false">
      <c r="A251" s="19"/>
      <c r="B251" s="19"/>
      <c r="C251" s="15" t="str">
        <f aca="false">IF($A251="","",COUNTIF('Daily tracking'!$D$2:$D$2001,$A251))</f>
        <v/>
      </c>
      <c r="D251" s="16" t="str">
        <f aca="false">IF($A251="","",SUMIF('Daily tracking'!$D$2:$D$2001,$A251,'Daily tracking'!$G$2:$G$2001))</f>
        <v/>
      </c>
      <c r="E251" s="18" t="str">
        <f aca="false">IF($A251="","",IF($C251=0,"",_xlfn.MAXIFS('Daily tracking'!$A$2:$A$2001,'Daily tracking'!$D$2:$D$2001,$A251)))</f>
        <v/>
      </c>
      <c r="F251" s="6" t="str">
        <f aca="true">IF(OR($A251="",$E251=""),"",TODAY()-$E251)</f>
        <v/>
      </c>
      <c r="G251" s="3" t="str">
        <f aca="false">IF($A251="","",IF($C251=0,"No visits",IF($F251&gt;90,"Lapsed",IF($F251&gt;35,"At risk",IF($C251&gt;=4,"Loyal","Active")))))</f>
        <v/>
      </c>
      <c r="H251" s="9" t="str">
        <f aca="false">IF(OR($A251="",$C251=0),"",$D251/$C251)</f>
        <v/>
      </c>
      <c r="I251" s="20"/>
      <c r="J251" s="20"/>
      <c r="K251" s="19"/>
      <c r="L251" s="19"/>
      <c r="M251" s="19"/>
      <c r="N251" s="15" t="str">
        <f aca="false">IF($A251="","",IF($C251=0,0,(IF($F251&lt;=15,5,IF($F251&lt;=30,4,IF($F251&lt;=45,3,IF($F251&lt;=90,2,1))))+IF($C251&gt;=10,5,IF($C251&gt;=6,4,IF($C251&gt;=4,3,IF($C251&gt;=2,2,1))))+IF($D251&gt;=20000,5,IF($D251&gt;=10000,4,IF($D251&gt;=5000,3,IF($D251&gt;=2000,2,1)))))))</f>
        <v/>
      </c>
      <c r="O251" s="3" t="str">
        <f aca="false">IF($A251="","",IF($C251=0,"No visits",IF($N251&gt;=13,"VIP",IF($N251&gt;=10,"High value",IF($N251&gt;=7,"Regular",IF($N251&gt;=4,"Occasional","Low"))))))</f>
        <v/>
      </c>
      <c r="P251" s="6" t="str">
        <f aca="true">IF(OR($A251="",$I251=""),"",IF(MONTH($I251)=MONTH(TODAY()),"Yes",""))</f>
        <v/>
      </c>
      <c r="Q251" s="21" t="str">
        <f aca="false">IF($A251="","",IF($C251=0,"",_xlfn.MINIFS('Daily tracking'!$A$2:$A$2001,'Daily tracking'!$D$2:$D$2001,$A251)))</f>
        <v/>
      </c>
      <c r="R251" s="6" t="str">
        <f aca="false">IF(OR($A251="",$C251&lt;2),"",($E251-$Q251)/($C251-1))</f>
        <v/>
      </c>
    </row>
    <row r="252" customFormat="false" ht="14.25" hidden="false" customHeight="false" outlineLevel="0" collapsed="false">
      <c r="A252" s="19"/>
      <c r="B252" s="19"/>
      <c r="C252" s="15" t="str">
        <f aca="false">IF($A252="","",COUNTIF('Daily tracking'!$D$2:$D$2001,$A252))</f>
        <v/>
      </c>
      <c r="D252" s="16" t="str">
        <f aca="false">IF($A252="","",SUMIF('Daily tracking'!$D$2:$D$2001,$A252,'Daily tracking'!$G$2:$G$2001))</f>
        <v/>
      </c>
      <c r="E252" s="18" t="str">
        <f aca="false">IF($A252="","",IF($C252=0,"",_xlfn.MAXIFS('Daily tracking'!$A$2:$A$2001,'Daily tracking'!$D$2:$D$2001,$A252)))</f>
        <v/>
      </c>
      <c r="F252" s="6" t="str">
        <f aca="true">IF(OR($A252="",$E252=""),"",TODAY()-$E252)</f>
        <v/>
      </c>
      <c r="G252" s="3" t="str">
        <f aca="false">IF($A252="","",IF($C252=0,"No visits",IF($F252&gt;90,"Lapsed",IF($F252&gt;35,"At risk",IF($C252&gt;=4,"Loyal","Active")))))</f>
        <v/>
      </c>
      <c r="H252" s="9" t="str">
        <f aca="false">IF(OR($A252="",$C252=0),"",$D252/$C252)</f>
        <v/>
      </c>
      <c r="I252" s="20"/>
      <c r="J252" s="20"/>
      <c r="K252" s="19"/>
      <c r="L252" s="19"/>
      <c r="M252" s="19"/>
      <c r="N252" s="15" t="str">
        <f aca="false">IF($A252="","",IF($C252=0,0,(IF($F252&lt;=15,5,IF($F252&lt;=30,4,IF($F252&lt;=45,3,IF($F252&lt;=90,2,1))))+IF($C252&gt;=10,5,IF($C252&gt;=6,4,IF($C252&gt;=4,3,IF($C252&gt;=2,2,1))))+IF($D252&gt;=20000,5,IF($D252&gt;=10000,4,IF($D252&gt;=5000,3,IF($D252&gt;=2000,2,1)))))))</f>
        <v/>
      </c>
      <c r="O252" s="3" t="str">
        <f aca="false">IF($A252="","",IF($C252=0,"No visits",IF($N252&gt;=13,"VIP",IF($N252&gt;=10,"High value",IF($N252&gt;=7,"Regular",IF($N252&gt;=4,"Occasional","Low"))))))</f>
        <v/>
      </c>
      <c r="P252" s="6" t="str">
        <f aca="true">IF(OR($A252="",$I252=""),"",IF(MONTH($I252)=MONTH(TODAY()),"Yes",""))</f>
        <v/>
      </c>
      <c r="Q252" s="21" t="str">
        <f aca="false">IF($A252="","",IF($C252=0,"",_xlfn.MINIFS('Daily tracking'!$A$2:$A$2001,'Daily tracking'!$D$2:$D$2001,$A252)))</f>
        <v/>
      </c>
      <c r="R252" s="6" t="str">
        <f aca="false">IF(OR($A252="",$C252&lt;2),"",($E252-$Q252)/($C252-1))</f>
        <v/>
      </c>
    </row>
    <row r="253" customFormat="false" ht="14.25" hidden="false" customHeight="false" outlineLevel="0" collapsed="false">
      <c r="A253" s="19"/>
      <c r="B253" s="19"/>
      <c r="C253" s="15" t="str">
        <f aca="false">IF($A253="","",COUNTIF('Daily tracking'!$D$2:$D$2001,$A253))</f>
        <v/>
      </c>
      <c r="D253" s="16" t="str">
        <f aca="false">IF($A253="","",SUMIF('Daily tracking'!$D$2:$D$2001,$A253,'Daily tracking'!$G$2:$G$2001))</f>
        <v/>
      </c>
      <c r="E253" s="18" t="str">
        <f aca="false">IF($A253="","",IF($C253=0,"",_xlfn.MAXIFS('Daily tracking'!$A$2:$A$2001,'Daily tracking'!$D$2:$D$2001,$A253)))</f>
        <v/>
      </c>
      <c r="F253" s="6" t="str">
        <f aca="true">IF(OR($A253="",$E253=""),"",TODAY()-$E253)</f>
        <v/>
      </c>
      <c r="G253" s="3" t="str">
        <f aca="false">IF($A253="","",IF($C253=0,"No visits",IF($F253&gt;90,"Lapsed",IF($F253&gt;35,"At risk",IF($C253&gt;=4,"Loyal","Active")))))</f>
        <v/>
      </c>
      <c r="H253" s="9" t="str">
        <f aca="false">IF(OR($A253="",$C253=0),"",$D253/$C253)</f>
        <v/>
      </c>
      <c r="I253" s="20"/>
      <c r="J253" s="20"/>
      <c r="K253" s="19"/>
      <c r="L253" s="19"/>
      <c r="M253" s="19"/>
      <c r="N253" s="15" t="str">
        <f aca="false">IF($A253="","",IF($C253=0,0,(IF($F253&lt;=15,5,IF($F253&lt;=30,4,IF($F253&lt;=45,3,IF($F253&lt;=90,2,1))))+IF($C253&gt;=10,5,IF($C253&gt;=6,4,IF($C253&gt;=4,3,IF($C253&gt;=2,2,1))))+IF($D253&gt;=20000,5,IF($D253&gt;=10000,4,IF($D253&gt;=5000,3,IF($D253&gt;=2000,2,1)))))))</f>
        <v/>
      </c>
      <c r="O253" s="3" t="str">
        <f aca="false">IF($A253="","",IF($C253=0,"No visits",IF($N253&gt;=13,"VIP",IF($N253&gt;=10,"High value",IF($N253&gt;=7,"Regular",IF($N253&gt;=4,"Occasional","Low"))))))</f>
        <v/>
      </c>
      <c r="P253" s="6" t="str">
        <f aca="true">IF(OR($A253="",$I253=""),"",IF(MONTH($I253)=MONTH(TODAY()),"Yes",""))</f>
        <v/>
      </c>
      <c r="Q253" s="21" t="str">
        <f aca="false">IF($A253="","",IF($C253=0,"",_xlfn.MINIFS('Daily tracking'!$A$2:$A$2001,'Daily tracking'!$D$2:$D$2001,$A253)))</f>
        <v/>
      </c>
      <c r="R253" s="6" t="str">
        <f aca="false">IF(OR($A253="",$C253&lt;2),"",($E253-$Q253)/($C253-1))</f>
        <v/>
      </c>
    </row>
    <row r="254" customFormat="false" ht="14.25" hidden="false" customHeight="false" outlineLevel="0" collapsed="false">
      <c r="A254" s="19"/>
      <c r="B254" s="19"/>
      <c r="C254" s="15" t="str">
        <f aca="false">IF($A254="","",COUNTIF('Daily tracking'!$D$2:$D$2001,$A254))</f>
        <v/>
      </c>
      <c r="D254" s="16" t="str">
        <f aca="false">IF($A254="","",SUMIF('Daily tracking'!$D$2:$D$2001,$A254,'Daily tracking'!$G$2:$G$2001))</f>
        <v/>
      </c>
      <c r="E254" s="18" t="str">
        <f aca="false">IF($A254="","",IF($C254=0,"",_xlfn.MAXIFS('Daily tracking'!$A$2:$A$2001,'Daily tracking'!$D$2:$D$2001,$A254)))</f>
        <v/>
      </c>
      <c r="F254" s="6" t="str">
        <f aca="true">IF(OR($A254="",$E254=""),"",TODAY()-$E254)</f>
        <v/>
      </c>
      <c r="G254" s="3" t="str">
        <f aca="false">IF($A254="","",IF($C254=0,"No visits",IF($F254&gt;90,"Lapsed",IF($F254&gt;35,"At risk",IF($C254&gt;=4,"Loyal","Active")))))</f>
        <v/>
      </c>
      <c r="H254" s="9" t="str">
        <f aca="false">IF(OR($A254="",$C254=0),"",$D254/$C254)</f>
        <v/>
      </c>
      <c r="I254" s="20"/>
      <c r="J254" s="20"/>
      <c r="K254" s="19"/>
      <c r="L254" s="19"/>
      <c r="M254" s="19"/>
      <c r="N254" s="15" t="str">
        <f aca="false">IF($A254="","",IF($C254=0,0,(IF($F254&lt;=15,5,IF($F254&lt;=30,4,IF($F254&lt;=45,3,IF($F254&lt;=90,2,1))))+IF($C254&gt;=10,5,IF($C254&gt;=6,4,IF($C254&gt;=4,3,IF($C254&gt;=2,2,1))))+IF($D254&gt;=20000,5,IF($D254&gt;=10000,4,IF($D254&gt;=5000,3,IF($D254&gt;=2000,2,1)))))))</f>
        <v/>
      </c>
      <c r="O254" s="3" t="str">
        <f aca="false">IF($A254="","",IF($C254=0,"No visits",IF($N254&gt;=13,"VIP",IF($N254&gt;=10,"High value",IF($N254&gt;=7,"Regular",IF($N254&gt;=4,"Occasional","Low"))))))</f>
        <v/>
      </c>
      <c r="P254" s="6" t="str">
        <f aca="true">IF(OR($A254="",$I254=""),"",IF(MONTH($I254)=MONTH(TODAY()),"Yes",""))</f>
        <v/>
      </c>
      <c r="Q254" s="21" t="str">
        <f aca="false">IF($A254="","",IF($C254=0,"",_xlfn.MINIFS('Daily tracking'!$A$2:$A$2001,'Daily tracking'!$D$2:$D$2001,$A254)))</f>
        <v/>
      </c>
      <c r="R254" s="6" t="str">
        <f aca="false">IF(OR($A254="",$C254&lt;2),"",($E254-$Q254)/($C254-1))</f>
        <v/>
      </c>
    </row>
    <row r="255" customFormat="false" ht="14.25" hidden="false" customHeight="false" outlineLevel="0" collapsed="false">
      <c r="A255" s="19"/>
      <c r="B255" s="19"/>
      <c r="C255" s="15" t="str">
        <f aca="false">IF($A255="","",COUNTIF('Daily tracking'!$D$2:$D$2001,$A255))</f>
        <v/>
      </c>
      <c r="D255" s="16" t="str">
        <f aca="false">IF($A255="","",SUMIF('Daily tracking'!$D$2:$D$2001,$A255,'Daily tracking'!$G$2:$G$2001))</f>
        <v/>
      </c>
      <c r="E255" s="18" t="str">
        <f aca="false">IF($A255="","",IF($C255=0,"",_xlfn.MAXIFS('Daily tracking'!$A$2:$A$2001,'Daily tracking'!$D$2:$D$2001,$A255)))</f>
        <v/>
      </c>
      <c r="F255" s="6" t="str">
        <f aca="true">IF(OR($A255="",$E255=""),"",TODAY()-$E255)</f>
        <v/>
      </c>
      <c r="G255" s="3" t="str">
        <f aca="false">IF($A255="","",IF($C255=0,"No visits",IF($F255&gt;90,"Lapsed",IF($F255&gt;35,"At risk",IF($C255&gt;=4,"Loyal","Active")))))</f>
        <v/>
      </c>
      <c r="H255" s="9" t="str">
        <f aca="false">IF(OR($A255="",$C255=0),"",$D255/$C255)</f>
        <v/>
      </c>
      <c r="I255" s="20"/>
      <c r="J255" s="20"/>
      <c r="K255" s="19"/>
      <c r="L255" s="19"/>
      <c r="M255" s="19"/>
      <c r="N255" s="15" t="str">
        <f aca="false">IF($A255="","",IF($C255=0,0,(IF($F255&lt;=15,5,IF($F255&lt;=30,4,IF($F255&lt;=45,3,IF($F255&lt;=90,2,1))))+IF($C255&gt;=10,5,IF($C255&gt;=6,4,IF($C255&gt;=4,3,IF($C255&gt;=2,2,1))))+IF($D255&gt;=20000,5,IF($D255&gt;=10000,4,IF($D255&gt;=5000,3,IF($D255&gt;=2000,2,1)))))))</f>
        <v/>
      </c>
      <c r="O255" s="3" t="str">
        <f aca="false">IF($A255="","",IF($C255=0,"No visits",IF($N255&gt;=13,"VIP",IF($N255&gt;=10,"High value",IF($N255&gt;=7,"Regular",IF($N255&gt;=4,"Occasional","Low"))))))</f>
        <v/>
      </c>
      <c r="P255" s="6" t="str">
        <f aca="true">IF(OR($A255="",$I255=""),"",IF(MONTH($I255)=MONTH(TODAY()),"Yes",""))</f>
        <v/>
      </c>
      <c r="Q255" s="21" t="str">
        <f aca="false">IF($A255="","",IF($C255=0,"",_xlfn.MINIFS('Daily tracking'!$A$2:$A$2001,'Daily tracking'!$D$2:$D$2001,$A255)))</f>
        <v/>
      </c>
      <c r="R255" s="6" t="str">
        <f aca="false">IF(OR($A255="",$C255&lt;2),"",($E255-$Q255)/($C255-1))</f>
        <v/>
      </c>
    </row>
    <row r="256" customFormat="false" ht="14.25" hidden="false" customHeight="false" outlineLevel="0" collapsed="false">
      <c r="A256" s="19"/>
      <c r="B256" s="19"/>
      <c r="C256" s="15" t="str">
        <f aca="false">IF($A256="","",COUNTIF('Daily tracking'!$D$2:$D$2001,$A256))</f>
        <v/>
      </c>
      <c r="D256" s="16" t="str">
        <f aca="false">IF($A256="","",SUMIF('Daily tracking'!$D$2:$D$2001,$A256,'Daily tracking'!$G$2:$G$2001))</f>
        <v/>
      </c>
      <c r="E256" s="18" t="str">
        <f aca="false">IF($A256="","",IF($C256=0,"",_xlfn.MAXIFS('Daily tracking'!$A$2:$A$2001,'Daily tracking'!$D$2:$D$2001,$A256)))</f>
        <v/>
      </c>
      <c r="F256" s="6" t="str">
        <f aca="true">IF(OR($A256="",$E256=""),"",TODAY()-$E256)</f>
        <v/>
      </c>
      <c r="G256" s="3" t="str">
        <f aca="false">IF($A256="","",IF($C256=0,"No visits",IF($F256&gt;90,"Lapsed",IF($F256&gt;35,"At risk",IF($C256&gt;=4,"Loyal","Active")))))</f>
        <v/>
      </c>
      <c r="H256" s="9" t="str">
        <f aca="false">IF(OR($A256="",$C256=0),"",$D256/$C256)</f>
        <v/>
      </c>
      <c r="I256" s="20"/>
      <c r="J256" s="20"/>
      <c r="K256" s="19"/>
      <c r="L256" s="19"/>
      <c r="M256" s="19"/>
      <c r="N256" s="15" t="str">
        <f aca="false">IF($A256="","",IF($C256=0,0,(IF($F256&lt;=15,5,IF($F256&lt;=30,4,IF($F256&lt;=45,3,IF($F256&lt;=90,2,1))))+IF($C256&gt;=10,5,IF($C256&gt;=6,4,IF($C256&gt;=4,3,IF($C256&gt;=2,2,1))))+IF($D256&gt;=20000,5,IF($D256&gt;=10000,4,IF($D256&gt;=5000,3,IF($D256&gt;=2000,2,1)))))))</f>
        <v/>
      </c>
      <c r="O256" s="3" t="str">
        <f aca="false">IF($A256="","",IF($C256=0,"No visits",IF($N256&gt;=13,"VIP",IF($N256&gt;=10,"High value",IF($N256&gt;=7,"Regular",IF($N256&gt;=4,"Occasional","Low"))))))</f>
        <v/>
      </c>
      <c r="P256" s="6" t="str">
        <f aca="true">IF(OR($A256="",$I256=""),"",IF(MONTH($I256)=MONTH(TODAY()),"Yes",""))</f>
        <v/>
      </c>
      <c r="Q256" s="21" t="str">
        <f aca="false">IF($A256="","",IF($C256=0,"",_xlfn.MINIFS('Daily tracking'!$A$2:$A$2001,'Daily tracking'!$D$2:$D$2001,$A256)))</f>
        <v/>
      </c>
      <c r="R256" s="6" t="str">
        <f aca="false">IF(OR($A256="",$C256&lt;2),"",($E256-$Q256)/($C256-1))</f>
        <v/>
      </c>
    </row>
    <row r="257" customFormat="false" ht="14.25" hidden="false" customHeight="false" outlineLevel="0" collapsed="false">
      <c r="A257" s="19"/>
      <c r="B257" s="19"/>
      <c r="C257" s="15" t="str">
        <f aca="false">IF($A257="","",COUNTIF('Daily tracking'!$D$2:$D$2001,$A257))</f>
        <v/>
      </c>
      <c r="D257" s="16" t="str">
        <f aca="false">IF($A257="","",SUMIF('Daily tracking'!$D$2:$D$2001,$A257,'Daily tracking'!$G$2:$G$2001))</f>
        <v/>
      </c>
      <c r="E257" s="18" t="str">
        <f aca="false">IF($A257="","",IF($C257=0,"",_xlfn.MAXIFS('Daily tracking'!$A$2:$A$2001,'Daily tracking'!$D$2:$D$2001,$A257)))</f>
        <v/>
      </c>
      <c r="F257" s="6" t="str">
        <f aca="true">IF(OR($A257="",$E257=""),"",TODAY()-$E257)</f>
        <v/>
      </c>
      <c r="G257" s="3" t="str">
        <f aca="false">IF($A257="","",IF($C257=0,"No visits",IF($F257&gt;90,"Lapsed",IF($F257&gt;35,"At risk",IF($C257&gt;=4,"Loyal","Active")))))</f>
        <v/>
      </c>
      <c r="H257" s="9" t="str">
        <f aca="false">IF(OR($A257="",$C257=0),"",$D257/$C257)</f>
        <v/>
      </c>
      <c r="I257" s="20"/>
      <c r="J257" s="20"/>
      <c r="K257" s="19"/>
      <c r="L257" s="19"/>
      <c r="M257" s="19"/>
      <c r="N257" s="15" t="str">
        <f aca="false">IF($A257="","",IF($C257=0,0,(IF($F257&lt;=15,5,IF($F257&lt;=30,4,IF($F257&lt;=45,3,IF($F257&lt;=90,2,1))))+IF($C257&gt;=10,5,IF($C257&gt;=6,4,IF($C257&gt;=4,3,IF($C257&gt;=2,2,1))))+IF($D257&gt;=20000,5,IF($D257&gt;=10000,4,IF($D257&gt;=5000,3,IF($D257&gt;=2000,2,1)))))))</f>
        <v/>
      </c>
      <c r="O257" s="3" t="str">
        <f aca="false">IF($A257="","",IF($C257=0,"No visits",IF($N257&gt;=13,"VIP",IF($N257&gt;=10,"High value",IF($N257&gt;=7,"Regular",IF($N257&gt;=4,"Occasional","Low"))))))</f>
        <v/>
      </c>
      <c r="P257" s="6" t="str">
        <f aca="true">IF(OR($A257="",$I257=""),"",IF(MONTH($I257)=MONTH(TODAY()),"Yes",""))</f>
        <v/>
      </c>
      <c r="Q257" s="21" t="str">
        <f aca="false">IF($A257="","",IF($C257=0,"",_xlfn.MINIFS('Daily tracking'!$A$2:$A$2001,'Daily tracking'!$D$2:$D$2001,$A257)))</f>
        <v/>
      </c>
      <c r="R257" s="6" t="str">
        <f aca="false">IF(OR($A257="",$C257&lt;2),"",($E257-$Q257)/($C257-1))</f>
        <v/>
      </c>
    </row>
    <row r="258" customFormat="false" ht="14.25" hidden="false" customHeight="false" outlineLevel="0" collapsed="false">
      <c r="A258" s="19"/>
      <c r="B258" s="19"/>
      <c r="C258" s="15" t="str">
        <f aca="false">IF($A258="","",COUNTIF('Daily tracking'!$D$2:$D$2001,$A258))</f>
        <v/>
      </c>
      <c r="D258" s="16" t="str">
        <f aca="false">IF($A258="","",SUMIF('Daily tracking'!$D$2:$D$2001,$A258,'Daily tracking'!$G$2:$G$2001))</f>
        <v/>
      </c>
      <c r="E258" s="18" t="str">
        <f aca="false">IF($A258="","",IF($C258=0,"",_xlfn.MAXIFS('Daily tracking'!$A$2:$A$2001,'Daily tracking'!$D$2:$D$2001,$A258)))</f>
        <v/>
      </c>
      <c r="F258" s="6" t="str">
        <f aca="true">IF(OR($A258="",$E258=""),"",TODAY()-$E258)</f>
        <v/>
      </c>
      <c r="G258" s="3" t="str">
        <f aca="false">IF($A258="","",IF($C258=0,"No visits",IF($F258&gt;90,"Lapsed",IF($F258&gt;35,"At risk",IF($C258&gt;=4,"Loyal","Active")))))</f>
        <v/>
      </c>
      <c r="H258" s="9" t="str">
        <f aca="false">IF(OR($A258="",$C258=0),"",$D258/$C258)</f>
        <v/>
      </c>
      <c r="I258" s="20"/>
      <c r="J258" s="20"/>
      <c r="K258" s="19"/>
      <c r="L258" s="19"/>
      <c r="M258" s="19"/>
      <c r="N258" s="15" t="str">
        <f aca="false">IF($A258="","",IF($C258=0,0,(IF($F258&lt;=15,5,IF($F258&lt;=30,4,IF($F258&lt;=45,3,IF($F258&lt;=90,2,1))))+IF($C258&gt;=10,5,IF($C258&gt;=6,4,IF($C258&gt;=4,3,IF($C258&gt;=2,2,1))))+IF($D258&gt;=20000,5,IF($D258&gt;=10000,4,IF($D258&gt;=5000,3,IF($D258&gt;=2000,2,1)))))))</f>
        <v/>
      </c>
      <c r="O258" s="3" t="str">
        <f aca="false">IF($A258="","",IF($C258=0,"No visits",IF($N258&gt;=13,"VIP",IF($N258&gt;=10,"High value",IF($N258&gt;=7,"Regular",IF($N258&gt;=4,"Occasional","Low"))))))</f>
        <v/>
      </c>
      <c r="P258" s="6" t="str">
        <f aca="true">IF(OR($A258="",$I258=""),"",IF(MONTH($I258)=MONTH(TODAY()),"Yes",""))</f>
        <v/>
      </c>
      <c r="Q258" s="21" t="str">
        <f aca="false">IF($A258="","",IF($C258=0,"",_xlfn.MINIFS('Daily tracking'!$A$2:$A$2001,'Daily tracking'!$D$2:$D$2001,$A258)))</f>
        <v/>
      </c>
      <c r="R258" s="6" t="str">
        <f aca="false">IF(OR($A258="",$C258&lt;2),"",($E258-$Q258)/($C258-1))</f>
        <v/>
      </c>
    </row>
    <row r="259" customFormat="false" ht="14.25" hidden="false" customHeight="false" outlineLevel="0" collapsed="false">
      <c r="A259" s="19"/>
      <c r="B259" s="19"/>
      <c r="C259" s="15" t="str">
        <f aca="false">IF($A259="","",COUNTIF('Daily tracking'!$D$2:$D$2001,$A259))</f>
        <v/>
      </c>
      <c r="D259" s="16" t="str">
        <f aca="false">IF($A259="","",SUMIF('Daily tracking'!$D$2:$D$2001,$A259,'Daily tracking'!$G$2:$G$2001))</f>
        <v/>
      </c>
      <c r="E259" s="18" t="str">
        <f aca="false">IF($A259="","",IF($C259=0,"",_xlfn.MAXIFS('Daily tracking'!$A$2:$A$2001,'Daily tracking'!$D$2:$D$2001,$A259)))</f>
        <v/>
      </c>
      <c r="F259" s="6" t="str">
        <f aca="true">IF(OR($A259="",$E259=""),"",TODAY()-$E259)</f>
        <v/>
      </c>
      <c r="G259" s="3" t="str">
        <f aca="false">IF($A259="","",IF($C259=0,"No visits",IF($F259&gt;90,"Lapsed",IF($F259&gt;35,"At risk",IF($C259&gt;=4,"Loyal","Active")))))</f>
        <v/>
      </c>
      <c r="H259" s="9" t="str">
        <f aca="false">IF(OR($A259="",$C259=0),"",$D259/$C259)</f>
        <v/>
      </c>
      <c r="I259" s="20"/>
      <c r="J259" s="20"/>
      <c r="K259" s="19"/>
      <c r="L259" s="19"/>
      <c r="M259" s="19"/>
      <c r="N259" s="15" t="str">
        <f aca="false">IF($A259="","",IF($C259=0,0,(IF($F259&lt;=15,5,IF($F259&lt;=30,4,IF($F259&lt;=45,3,IF($F259&lt;=90,2,1))))+IF($C259&gt;=10,5,IF($C259&gt;=6,4,IF($C259&gt;=4,3,IF($C259&gt;=2,2,1))))+IF($D259&gt;=20000,5,IF($D259&gt;=10000,4,IF($D259&gt;=5000,3,IF($D259&gt;=2000,2,1)))))))</f>
        <v/>
      </c>
      <c r="O259" s="3" t="str">
        <f aca="false">IF($A259="","",IF($C259=0,"No visits",IF($N259&gt;=13,"VIP",IF($N259&gt;=10,"High value",IF($N259&gt;=7,"Regular",IF($N259&gt;=4,"Occasional","Low"))))))</f>
        <v/>
      </c>
      <c r="P259" s="6" t="str">
        <f aca="true">IF(OR($A259="",$I259=""),"",IF(MONTH($I259)=MONTH(TODAY()),"Yes",""))</f>
        <v/>
      </c>
      <c r="Q259" s="21" t="str">
        <f aca="false">IF($A259="","",IF($C259=0,"",_xlfn.MINIFS('Daily tracking'!$A$2:$A$2001,'Daily tracking'!$D$2:$D$2001,$A259)))</f>
        <v/>
      </c>
      <c r="R259" s="6" t="str">
        <f aca="false">IF(OR($A259="",$C259&lt;2),"",($E259-$Q259)/($C259-1))</f>
        <v/>
      </c>
    </row>
    <row r="260" customFormat="false" ht="14.25" hidden="false" customHeight="false" outlineLevel="0" collapsed="false">
      <c r="A260" s="19"/>
      <c r="B260" s="19"/>
      <c r="C260" s="15" t="str">
        <f aca="false">IF($A260="","",COUNTIF('Daily tracking'!$D$2:$D$2001,$A260))</f>
        <v/>
      </c>
      <c r="D260" s="16" t="str">
        <f aca="false">IF($A260="","",SUMIF('Daily tracking'!$D$2:$D$2001,$A260,'Daily tracking'!$G$2:$G$2001))</f>
        <v/>
      </c>
      <c r="E260" s="18" t="str">
        <f aca="false">IF($A260="","",IF($C260=0,"",_xlfn.MAXIFS('Daily tracking'!$A$2:$A$2001,'Daily tracking'!$D$2:$D$2001,$A260)))</f>
        <v/>
      </c>
      <c r="F260" s="6" t="str">
        <f aca="true">IF(OR($A260="",$E260=""),"",TODAY()-$E260)</f>
        <v/>
      </c>
      <c r="G260" s="3" t="str">
        <f aca="false">IF($A260="","",IF($C260=0,"No visits",IF($F260&gt;90,"Lapsed",IF($F260&gt;35,"At risk",IF($C260&gt;=4,"Loyal","Active")))))</f>
        <v/>
      </c>
      <c r="H260" s="9" t="str">
        <f aca="false">IF(OR($A260="",$C260=0),"",$D260/$C260)</f>
        <v/>
      </c>
      <c r="I260" s="20"/>
      <c r="J260" s="20"/>
      <c r="K260" s="19"/>
      <c r="L260" s="19"/>
      <c r="M260" s="19"/>
      <c r="N260" s="15" t="str">
        <f aca="false">IF($A260="","",IF($C260=0,0,(IF($F260&lt;=15,5,IF($F260&lt;=30,4,IF($F260&lt;=45,3,IF($F260&lt;=90,2,1))))+IF($C260&gt;=10,5,IF($C260&gt;=6,4,IF($C260&gt;=4,3,IF($C260&gt;=2,2,1))))+IF($D260&gt;=20000,5,IF($D260&gt;=10000,4,IF($D260&gt;=5000,3,IF($D260&gt;=2000,2,1)))))))</f>
        <v/>
      </c>
      <c r="O260" s="3" t="str">
        <f aca="false">IF($A260="","",IF($C260=0,"No visits",IF($N260&gt;=13,"VIP",IF($N260&gt;=10,"High value",IF($N260&gt;=7,"Regular",IF($N260&gt;=4,"Occasional","Low"))))))</f>
        <v/>
      </c>
      <c r="P260" s="6" t="str">
        <f aca="true">IF(OR($A260="",$I260=""),"",IF(MONTH($I260)=MONTH(TODAY()),"Yes",""))</f>
        <v/>
      </c>
      <c r="Q260" s="21" t="str">
        <f aca="false">IF($A260="","",IF($C260=0,"",_xlfn.MINIFS('Daily tracking'!$A$2:$A$2001,'Daily tracking'!$D$2:$D$2001,$A260)))</f>
        <v/>
      </c>
      <c r="R260" s="6" t="str">
        <f aca="false">IF(OR($A260="",$C260&lt;2),"",($E260-$Q260)/($C260-1))</f>
        <v/>
      </c>
    </row>
    <row r="261" customFormat="false" ht="14.25" hidden="false" customHeight="false" outlineLevel="0" collapsed="false">
      <c r="A261" s="19"/>
      <c r="B261" s="19"/>
      <c r="C261" s="15" t="str">
        <f aca="false">IF($A261="","",COUNTIF('Daily tracking'!$D$2:$D$2001,$A261))</f>
        <v/>
      </c>
      <c r="D261" s="16" t="str">
        <f aca="false">IF($A261="","",SUMIF('Daily tracking'!$D$2:$D$2001,$A261,'Daily tracking'!$G$2:$G$2001))</f>
        <v/>
      </c>
      <c r="E261" s="18" t="str">
        <f aca="false">IF($A261="","",IF($C261=0,"",_xlfn.MAXIFS('Daily tracking'!$A$2:$A$2001,'Daily tracking'!$D$2:$D$2001,$A261)))</f>
        <v/>
      </c>
      <c r="F261" s="6" t="str">
        <f aca="true">IF(OR($A261="",$E261=""),"",TODAY()-$E261)</f>
        <v/>
      </c>
      <c r="G261" s="3" t="str">
        <f aca="false">IF($A261="","",IF($C261=0,"No visits",IF($F261&gt;90,"Lapsed",IF($F261&gt;35,"At risk",IF($C261&gt;=4,"Loyal","Active")))))</f>
        <v/>
      </c>
      <c r="H261" s="9" t="str">
        <f aca="false">IF(OR($A261="",$C261=0),"",$D261/$C261)</f>
        <v/>
      </c>
      <c r="I261" s="20"/>
      <c r="J261" s="20"/>
      <c r="K261" s="19"/>
      <c r="L261" s="19"/>
      <c r="M261" s="19"/>
      <c r="N261" s="15" t="str">
        <f aca="false">IF($A261="","",IF($C261=0,0,(IF($F261&lt;=15,5,IF($F261&lt;=30,4,IF($F261&lt;=45,3,IF($F261&lt;=90,2,1))))+IF($C261&gt;=10,5,IF($C261&gt;=6,4,IF($C261&gt;=4,3,IF($C261&gt;=2,2,1))))+IF($D261&gt;=20000,5,IF($D261&gt;=10000,4,IF($D261&gt;=5000,3,IF($D261&gt;=2000,2,1)))))))</f>
        <v/>
      </c>
      <c r="O261" s="3" t="str">
        <f aca="false">IF($A261="","",IF($C261=0,"No visits",IF($N261&gt;=13,"VIP",IF($N261&gt;=10,"High value",IF($N261&gt;=7,"Regular",IF($N261&gt;=4,"Occasional","Low"))))))</f>
        <v/>
      </c>
      <c r="P261" s="6" t="str">
        <f aca="true">IF(OR($A261="",$I261=""),"",IF(MONTH($I261)=MONTH(TODAY()),"Yes",""))</f>
        <v/>
      </c>
      <c r="Q261" s="21" t="str">
        <f aca="false">IF($A261="","",IF($C261=0,"",_xlfn.MINIFS('Daily tracking'!$A$2:$A$2001,'Daily tracking'!$D$2:$D$2001,$A261)))</f>
        <v/>
      </c>
      <c r="R261" s="6" t="str">
        <f aca="false">IF(OR($A261="",$C261&lt;2),"",($E261-$Q261)/($C261-1))</f>
        <v/>
      </c>
    </row>
    <row r="262" customFormat="false" ht="14.25" hidden="false" customHeight="false" outlineLevel="0" collapsed="false">
      <c r="A262" s="19"/>
      <c r="B262" s="19"/>
      <c r="C262" s="15" t="str">
        <f aca="false">IF($A262="","",COUNTIF('Daily tracking'!$D$2:$D$2001,$A262))</f>
        <v/>
      </c>
      <c r="D262" s="16" t="str">
        <f aca="false">IF($A262="","",SUMIF('Daily tracking'!$D$2:$D$2001,$A262,'Daily tracking'!$G$2:$G$2001))</f>
        <v/>
      </c>
      <c r="E262" s="18" t="str">
        <f aca="false">IF($A262="","",IF($C262=0,"",_xlfn.MAXIFS('Daily tracking'!$A$2:$A$2001,'Daily tracking'!$D$2:$D$2001,$A262)))</f>
        <v/>
      </c>
      <c r="F262" s="6" t="str">
        <f aca="true">IF(OR($A262="",$E262=""),"",TODAY()-$E262)</f>
        <v/>
      </c>
      <c r="G262" s="3" t="str">
        <f aca="false">IF($A262="","",IF($C262=0,"No visits",IF($F262&gt;90,"Lapsed",IF($F262&gt;35,"At risk",IF($C262&gt;=4,"Loyal","Active")))))</f>
        <v/>
      </c>
      <c r="H262" s="9" t="str">
        <f aca="false">IF(OR($A262="",$C262=0),"",$D262/$C262)</f>
        <v/>
      </c>
      <c r="I262" s="20"/>
      <c r="J262" s="20"/>
      <c r="K262" s="19"/>
      <c r="L262" s="19"/>
      <c r="M262" s="19"/>
      <c r="N262" s="15" t="str">
        <f aca="false">IF($A262="","",IF($C262=0,0,(IF($F262&lt;=15,5,IF($F262&lt;=30,4,IF($F262&lt;=45,3,IF($F262&lt;=90,2,1))))+IF($C262&gt;=10,5,IF($C262&gt;=6,4,IF($C262&gt;=4,3,IF($C262&gt;=2,2,1))))+IF($D262&gt;=20000,5,IF($D262&gt;=10000,4,IF($D262&gt;=5000,3,IF($D262&gt;=2000,2,1)))))))</f>
        <v/>
      </c>
      <c r="O262" s="3" t="str">
        <f aca="false">IF($A262="","",IF($C262=0,"No visits",IF($N262&gt;=13,"VIP",IF($N262&gt;=10,"High value",IF($N262&gt;=7,"Regular",IF($N262&gt;=4,"Occasional","Low"))))))</f>
        <v/>
      </c>
      <c r="P262" s="6" t="str">
        <f aca="true">IF(OR($A262="",$I262=""),"",IF(MONTH($I262)=MONTH(TODAY()),"Yes",""))</f>
        <v/>
      </c>
      <c r="Q262" s="21" t="str">
        <f aca="false">IF($A262="","",IF($C262=0,"",_xlfn.MINIFS('Daily tracking'!$A$2:$A$2001,'Daily tracking'!$D$2:$D$2001,$A262)))</f>
        <v/>
      </c>
      <c r="R262" s="6" t="str">
        <f aca="false">IF(OR($A262="",$C262&lt;2),"",($E262-$Q262)/($C262-1))</f>
        <v/>
      </c>
    </row>
    <row r="263" customFormat="false" ht="14.25" hidden="false" customHeight="false" outlineLevel="0" collapsed="false">
      <c r="A263" s="19"/>
      <c r="B263" s="19"/>
      <c r="C263" s="15" t="str">
        <f aca="false">IF($A263="","",COUNTIF('Daily tracking'!$D$2:$D$2001,$A263))</f>
        <v/>
      </c>
      <c r="D263" s="16" t="str">
        <f aca="false">IF($A263="","",SUMIF('Daily tracking'!$D$2:$D$2001,$A263,'Daily tracking'!$G$2:$G$2001))</f>
        <v/>
      </c>
      <c r="E263" s="18" t="str">
        <f aca="false">IF($A263="","",IF($C263=0,"",_xlfn.MAXIFS('Daily tracking'!$A$2:$A$2001,'Daily tracking'!$D$2:$D$2001,$A263)))</f>
        <v/>
      </c>
      <c r="F263" s="6" t="str">
        <f aca="true">IF(OR($A263="",$E263=""),"",TODAY()-$E263)</f>
        <v/>
      </c>
      <c r="G263" s="3" t="str">
        <f aca="false">IF($A263="","",IF($C263=0,"No visits",IF($F263&gt;90,"Lapsed",IF($F263&gt;35,"At risk",IF($C263&gt;=4,"Loyal","Active")))))</f>
        <v/>
      </c>
      <c r="H263" s="9" t="str">
        <f aca="false">IF(OR($A263="",$C263=0),"",$D263/$C263)</f>
        <v/>
      </c>
      <c r="I263" s="20"/>
      <c r="J263" s="20"/>
      <c r="K263" s="19"/>
      <c r="L263" s="19"/>
      <c r="M263" s="19"/>
      <c r="N263" s="15" t="str">
        <f aca="false">IF($A263="","",IF($C263=0,0,(IF($F263&lt;=15,5,IF($F263&lt;=30,4,IF($F263&lt;=45,3,IF($F263&lt;=90,2,1))))+IF($C263&gt;=10,5,IF($C263&gt;=6,4,IF($C263&gt;=4,3,IF($C263&gt;=2,2,1))))+IF($D263&gt;=20000,5,IF($D263&gt;=10000,4,IF($D263&gt;=5000,3,IF($D263&gt;=2000,2,1)))))))</f>
        <v/>
      </c>
      <c r="O263" s="3" t="str">
        <f aca="false">IF($A263="","",IF($C263=0,"No visits",IF($N263&gt;=13,"VIP",IF($N263&gt;=10,"High value",IF($N263&gt;=7,"Regular",IF($N263&gt;=4,"Occasional","Low"))))))</f>
        <v/>
      </c>
      <c r="P263" s="6" t="str">
        <f aca="true">IF(OR($A263="",$I263=""),"",IF(MONTH($I263)=MONTH(TODAY()),"Yes",""))</f>
        <v/>
      </c>
      <c r="Q263" s="21" t="str">
        <f aca="false">IF($A263="","",IF($C263=0,"",_xlfn.MINIFS('Daily tracking'!$A$2:$A$2001,'Daily tracking'!$D$2:$D$2001,$A263)))</f>
        <v/>
      </c>
      <c r="R263" s="6" t="str">
        <f aca="false">IF(OR($A263="",$C263&lt;2),"",($E263-$Q263)/($C263-1))</f>
        <v/>
      </c>
    </row>
    <row r="264" customFormat="false" ht="14.25" hidden="false" customHeight="false" outlineLevel="0" collapsed="false">
      <c r="A264" s="19"/>
      <c r="B264" s="19"/>
      <c r="C264" s="15" t="str">
        <f aca="false">IF($A264="","",COUNTIF('Daily tracking'!$D$2:$D$2001,$A264))</f>
        <v/>
      </c>
      <c r="D264" s="16" t="str">
        <f aca="false">IF($A264="","",SUMIF('Daily tracking'!$D$2:$D$2001,$A264,'Daily tracking'!$G$2:$G$2001))</f>
        <v/>
      </c>
      <c r="E264" s="18" t="str">
        <f aca="false">IF($A264="","",IF($C264=0,"",_xlfn.MAXIFS('Daily tracking'!$A$2:$A$2001,'Daily tracking'!$D$2:$D$2001,$A264)))</f>
        <v/>
      </c>
      <c r="F264" s="6" t="str">
        <f aca="true">IF(OR($A264="",$E264=""),"",TODAY()-$E264)</f>
        <v/>
      </c>
      <c r="G264" s="3" t="str">
        <f aca="false">IF($A264="","",IF($C264=0,"No visits",IF($F264&gt;90,"Lapsed",IF($F264&gt;35,"At risk",IF($C264&gt;=4,"Loyal","Active")))))</f>
        <v/>
      </c>
      <c r="H264" s="9" t="str">
        <f aca="false">IF(OR($A264="",$C264=0),"",$D264/$C264)</f>
        <v/>
      </c>
      <c r="I264" s="20"/>
      <c r="J264" s="20"/>
      <c r="K264" s="19"/>
      <c r="L264" s="19"/>
      <c r="M264" s="19"/>
      <c r="N264" s="15" t="str">
        <f aca="false">IF($A264="","",IF($C264=0,0,(IF($F264&lt;=15,5,IF($F264&lt;=30,4,IF($F264&lt;=45,3,IF($F264&lt;=90,2,1))))+IF($C264&gt;=10,5,IF($C264&gt;=6,4,IF($C264&gt;=4,3,IF($C264&gt;=2,2,1))))+IF($D264&gt;=20000,5,IF($D264&gt;=10000,4,IF($D264&gt;=5000,3,IF($D264&gt;=2000,2,1)))))))</f>
        <v/>
      </c>
      <c r="O264" s="3" t="str">
        <f aca="false">IF($A264="","",IF($C264=0,"No visits",IF($N264&gt;=13,"VIP",IF($N264&gt;=10,"High value",IF($N264&gt;=7,"Regular",IF($N264&gt;=4,"Occasional","Low"))))))</f>
        <v/>
      </c>
      <c r="P264" s="6" t="str">
        <f aca="true">IF(OR($A264="",$I264=""),"",IF(MONTH($I264)=MONTH(TODAY()),"Yes",""))</f>
        <v/>
      </c>
      <c r="Q264" s="21" t="str">
        <f aca="false">IF($A264="","",IF($C264=0,"",_xlfn.MINIFS('Daily tracking'!$A$2:$A$2001,'Daily tracking'!$D$2:$D$2001,$A264)))</f>
        <v/>
      </c>
      <c r="R264" s="6" t="str">
        <f aca="false">IF(OR($A264="",$C264&lt;2),"",($E264-$Q264)/($C264-1))</f>
        <v/>
      </c>
    </row>
    <row r="265" customFormat="false" ht="14.25" hidden="false" customHeight="false" outlineLevel="0" collapsed="false">
      <c r="A265" s="19"/>
      <c r="B265" s="19"/>
      <c r="C265" s="15" t="str">
        <f aca="false">IF($A265="","",COUNTIF('Daily tracking'!$D$2:$D$2001,$A265))</f>
        <v/>
      </c>
      <c r="D265" s="16" t="str">
        <f aca="false">IF($A265="","",SUMIF('Daily tracking'!$D$2:$D$2001,$A265,'Daily tracking'!$G$2:$G$2001))</f>
        <v/>
      </c>
      <c r="E265" s="18" t="str">
        <f aca="false">IF($A265="","",IF($C265=0,"",_xlfn.MAXIFS('Daily tracking'!$A$2:$A$2001,'Daily tracking'!$D$2:$D$2001,$A265)))</f>
        <v/>
      </c>
      <c r="F265" s="6" t="str">
        <f aca="true">IF(OR($A265="",$E265=""),"",TODAY()-$E265)</f>
        <v/>
      </c>
      <c r="G265" s="3" t="str">
        <f aca="false">IF($A265="","",IF($C265=0,"No visits",IF($F265&gt;90,"Lapsed",IF($F265&gt;35,"At risk",IF($C265&gt;=4,"Loyal","Active")))))</f>
        <v/>
      </c>
      <c r="H265" s="9" t="str">
        <f aca="false">IF(OR($A265="",$C265=0),"",$D265/$C265)</f>
        <v/>
      </c>
      <c r="I265" s="20"/>
      <c r="J265" s="20"/>
      <c r="K265" s="19"/>
      <c r="L265" s="19"/>
      <c r="M265" s="19"/>
      <c r="N265" s="15" t="str">
        <f aca="false">IF($A265="","",IF($C265=0,0,(IF($F265&lt;=15,5,IF($F265&lt;=30,4,IF($F265&lt;=45,3,IF($F265&lt;=90,2,1))))+IF($C265&gt;=10,5,IF($C265&gt;=6,4,IF($C265&gt;=4,3,IF($C265&gt;=2,2,1))))+IF($D265&gt;=20000,5,IF($D265&gt;=10000,4,IF($D265&gt;=5000,3,IF($D265&gt;=2000,2,1)))))))</f>
        <v/>
      </c>
      <c r="O265" s="3" t="str">
        <f aca="false">IF($A265="","",IF($C265=0,"No visits",IF($N265&gt;=13,"VIP",IF($N265&gt;=10,"High value",IF($N265&gt;=7,"Regular",IF($N265&gt;=4,"Occasional","Low"))))))</f>
        <v/>
      </c>
      <c r="P265" s="6" t="str">
        <f aca="true">IF(OR($A265="",$I265=""),"",IF(MONTH($I265)=MONTH(TODAY()),"Yes",""))</f>
        <v/>
      </c>
      <c r="Q265" s="21" t="str">
        <f aca="false">IF($A265="","",IF($C265=0,"",_xlfn.MINIFS('Daily tracking'!$A$2:$A$2001,'Daily tracking'!$D$2:$D$2001,$A265)))</f>
        <v/>
      </c>
      <c r="R265" s="6" t="str">
        <f aca="false">IF(OR($A265="",$C265&lt;2),"",($E265-$Q265)/($C265-1))</f>
        <v/>
      </c>
    </row>
    <row r="266" customFormat="false" ht="14.25" hidden="false" customHeight="false" outlineLevel="0" collapsed="false">
      <c r="A266" s="19"/>
      <c r="B266" s="19"/>
      <c r="C266" s="15" t="str">
        <f aca="false">IF($A266="","",COUNTIF('Daily tracking'!$D$2:$D$2001,$A266))</f>
        <v/>
      </c>
      <c r="D266" s="16" t="str">
        <f aca="false">IF($A266="","",SUMIF('Daily tracking'!$D$2:$D$2001,$A266,'Daily tracking'!$G$2:$G$2001))</f>
        <v/>
      </c>
      <c r="E266" s="18" t="str">
        <f aca="false">IF($A266="","",IF($C266=0,"",_xlfn.MAXIFS('Daily tracking'!$A$2:$A$2001,'Daily tracking'!$D$2:$D$2001,$A266)))</f>
        <v/>
      </c>
      <c r="F266" s="6" t="str">
        <f aca="true">IF(OR($A266="",$E266=""),"",TODAY()-$E266)</f>
        <v/>
      </c>
      <c r="G266" s="3" t="str">
        <f aca="false">IF($A266="","",IF($C266=0,"No visits",IF($F266&gt;90,"Lapsed",IF($F266&gt;35,"At risk",IF($C266&gt;=4,"Loyal","Active")))))</f>
        <v/>
      </c>
      <c r="H266" s="9" t="str">
        <f aca="false">IF(OR($A266="",$C266=0),"",$D266/$C266)</f>
        <v/>
      </c>
      <c r="I266" s="20"/>
      <c r="J266" s="20"/>
      <c r="K266" s="19"/>
      <c r="L266" s="19"/>
      <c r="M266" s="19"/>
      <c r="N266" s="15" t="str">
        <f aca="false">IF($A266="","",IF($C266=0,0,(IF($F266&lt;=15,5,IF($F266&lt;=30,4,IF($F266&lt;=45,3,IF($F266&lt;=90,2,1))))+IF($C266&gt;=10,5,IF($C266&gt;=6,4,IF($C266&gt;=4,3,IF($C266&gt;=2,2,1))))+IF($D266&gt;=20000,5,IF($D266&gt;=10000,4,IF($D266&gt;=5000,3,IF($D266&gt;=2000,2,1)))))))</f>
        <v/>
      </c>
      <c r="O266" s="3" t="str">
        <f aca="false">IF($A266="","",IF($C266=0,"No visits",IF($N266&gt;=13,"VIP",IF($N266&gt;=10,"High value",IF($N266&gt;=7,"Regular",IF($N266&gt;=4,"Occasional","Low"))))))</f>
        <v/>
      </c>
      <c r="P266" s="6" t="str">
        <f aca="true">IF(OR($A266="",$I266=""),"",IF(MONTH($I266)=MONTH(TODAY()),"Yes",""))</f>
        <v/>
      </c>
      <c r="Q266" s="21" t="str">
        <f aca="false">IF($A266="","",IF($C266=0,"",_xlfn.MINIFS('Daily tracking'!$A$2:$A$2001,'Daily tracking'!$D$2:$D$2001,$A266)))</f>
        <v/>
      </c>
      <c r="R266" s="6" t="str">
        <f aca="false">IF(OR($A266="",$C266&lt;2),"",($E266-$Q266)/($C266-1))</f>
        <v/>
      </c>
    </row>
    <row r="267" customFormat="false" ht="14.25" hidden="false" customHeight="false" outlineLevel="0" collapsed="false">
      <c r="A267" s="19"/>
      <c r="B267" s="19"/>
      <c r="C267" s="15" t="str">
        <f aca="false">IF($A267="","",COUNTIF('Daily tracking'!$D$2:$D$2001,$A267))</f>
        <v/>
      </c>
      <c r="D267" s="16" t="str">
        <f aca="false">IF($A267="","",SUMIF('Daily tracking'!$D$2:$D$2001,$A267,'Daily tracking'!$G$2:$G$2001))</f>
        <v/>
      </c>
      <c r="E267" s="18" t="str">
        <f aca="false">IF($A267="","",IF($C267=0,"",_xlfn.MAXIFS('Daily tracking'!$A$2:$A$2001,'Daily tracking'!$D$2:$D$2001,$A267)))</f>
        <v/>
      </c>
      <c r="F267" s="6" t="str">
        <f aca="true">IF(OR($A267="",$E267=""),"",TODAY()-$E267)</f>
        <v/>
      </c>
      <c r="G267" s="3" t="str">
        <f aca="false">IF($A267="","",IF($C267=0,"No visits",IF($F267&gt;90,"Lapsed",IF($F267&gt;35,"At risk",IF($C267&gt;=4,"Loyal","Active")))))</f>
        <v/>
      </c>
      <c r="H267" s="9" t="str">
        <f aca="false">IF(OR($A267="",$C267=0),"",$D267/$C267)</f>
        <v/>
      </c>
      <c r="I267" s="20"/>
      <c r="J267" s="20"/>
      <c r="K267" s="19"/>
      <c r="L267" s="19"/>
      <c r="M267" s="19"/>
      <c r="N267" s="15" t="str">
        <f aca="false">IF($A267="","",IF($C267=0,0,(IF($F267&lt;=15,5,IF($F267&lt;=30,4,IF($F267&lt;=45,3,IF($F267&lt;=90,2,1))))+IF($C267&gt;=10,5,IF($C267&gt;=6,4,IF($C267&gt;=4,3,IF($C267&gt;=2,2,1))))+IF($D267&gt;=20000,5,IF($D267&gt;=10000,4,IF($D267&gt;=5000,3,IF($D267&gt;=2000,2,1)))))))</f>
        <v/>
      </c>
      <c r="O267" s="3" t="str">
        <f aca="false">IF($A267="","",IF($C267=0,"No visits",IF($N267&gt;=13,"VIP",IF($N267&gt;=10,"High value",IF($N267&gt;=7,"Regular",IF($N267&gt;=4,"Occasional","Low"))))))</f>
        <v/>
      </c>
      <c r="P267" s="6" t="str">
        <f aca="true">IF(OR($A267="",$I267=""),"",IF(MONTH($I267)=MONTH(TODAY()),"Yes",""))</f>
        <v/>
      </c>
      <c r="Q267" s="21" t="str">
        <f aca="false">IF($A267="","",IF($C267=0,"",_xlfn.MINIFS('Daily tracking'!$A$2:$A$2001,'Daily tracking'!$D$2:$D$2001,$A267)))</f>
        <v/>
      </c>
      <c r="R267" s="6" t="str">
        <f aca="false">IF(OR($A267="",$C267&lt;2),"",($E267-$Q267)/($C267-1))</f>
        <v/>
      </c>
    </row>
    <row r="268" customFormat="false" ht="14.25" hidden="false" customHeight="false" outlineLevel="0" collapsed="false">
      <c r="A268" s="19"/>
      <c r="B268" s="19"/>
      <c r="C268" s="15" t="str">
        <f aca="false">IF($A268="","",COUNTIF('Daily tracking'!$D$2:$D$2001,$A268))</f>
        <v/>
      </c>
      <c r="D268" s="16" t="str">
        <f aca="false">IF($A268="","",SUMIF('Daily tracking'!$D$2:$D$2001,$A268,'Daily tracking'!$G$2:$G$2001))</f>
        <v/>
      </c>
      <c r="E268" s="18" t="str">
        <f aca="false">IF($A268="","",IF($C268=0,"",_xlfn.MAXIFS('Daily tracking'!$A$2:$A$2001,'Daily tracking'!$D$2:$D$2001,$A268)))</f>
        <v/>
      </c>
      <c r="F268" s="6" t="str">
        <f aca="true">IF(OR($A268="",$E268=""),"",TODAY()-$E268)</f>
        <v/>
      </c>
      <c r="G268" s="3" t="str">
        <f aca="false">IF($A268="","",IF($C268=0,"No visits",IF($F268&gt;90,"Lapsed",IF($F268&gt;35,"At risk",IF($C268&gt;=4,"Loyal","Active")))))</f>
        <v/>
      </c>
      <c r="H268" s="9" t="str">
        <f aca="false">IF(OR($A268="",$C268=0),"",$D268/$C268)</f>
        <v/>
      </c>
      <c r="I268" s="20"/>
      <c r="J268" s="20"/>
      <c r="K268" s="19"/>
      <c r="L268" s="19"/>
      <c r="M268" s="19"/>
      <c r="N268" s="15" t="str">
        <f aca="false">IF($A268="","",IF($C268=0,0,(IF($F268&lt;=15,5,IF($F268&lt;=30,4,IF($F268&lt;=45,3,IF($F268&lt;=90,2,1))))+IF($C268&gt;=10,5,IF($C268&gt;=6,4,IF($C268&gt;=4,3,IF($C268&gt;=2,2,1))))+IF($D268&gt;=20000,5,IF($D268&gt;=10000,4,IF($D268&gt;=5000,3,IF($D268&gt;=2000,2,1)))))))</f>
        <v/>
      </c>
      <c r="O268" s="3" t="str">
        <f aca="false">IF($A268="","",IF($C268=0,"No visits",IF($N268&gt;=13,"VIP",IF($N268&gt;=10,"High value",IF($N268&gt;=7,"Regular",IF($N268&gt;=4,"Occasional","Low"))))))</f>
        <v/>
      </c>
      <c r="P268" s="6" t="str">
        <f aca="true">IF(OR($A268="",$I268=""),"",IF(MONTH($I268)=MONTH(TODAY()),"Yes",""))</f>
        <v/>
      </c>
      <c r="Q268" s="21" t="str">
        <f aca="false">IF($A268="","",IF($C268=0,"",_xlfn.MINIFS('Daily tracking'!$A$2:$A$2001,'Daily tracking'!$D$2:$D$2001,$A268)))</f>
        <v/>
      </c>
      <c r="R268" s="6" t="str">
        <f aca="false">IF(OR($A268="",$C268&lt;2),"",($E268-$Q268)/($C268-1))</f>
        <v/>
      </c>
    </row>
    <row r="269" customFormat="false" ht="14.25" hidden="false" customHeight="false" outlineLevel="0" collapsed="false">
      <c r="A269" s="19"/>
      <c r="B269" s="19"/>
      <c r="C269" s="15" t="str">
        <f aca="false">IF($A269="","",COUNTIF('Daily tracking'!$D$2:$D$2001,$A269))</f>
        <v/>
      </c>
      <c r="D269" s="16" t="str">
        <f aca="false">IF($A269="","",SUMIF('Daily tracking'!$D$2:$D$2001,$A269,'Daily tracking'!$G$2:$G$2001))</f>
        <v/>
      </c>
      <c r="E269" s="18" t="str">
        <f aca="false">IF($A269="","",IF($C269=0,"",_xlfn.MAXIFS('Daily tracking'!$A$2:$A$2001,'Daily tracking'!$D$2:$D$2001,$A269)))</f>
        <v/>
      </c>
      <c r="F269" s="6" t="str">
        <f aca="true">IF(OR($A269="",$E269=""),"",TODAY()-$E269)</f>
        <v/>
      </c>
      <c r="G269" s="3" t="str">
        <f aca="false">IF($A269="","",IF($C269=0,"No visits",IF($F269&gt;90,"Lapsed",IF($F269&gt;35,"At risk",IF($C269&gt;=4,"Loyal","Active")))))</f>
        <v/>
      </c>
      <c r="H269" s="9" t="str">
        <f aca="false">IF(OR($A269="",$C269=0),"",$D269/$C269)</f>
        <v/>
      </c>
      <c r="I269" s="20"/>
      <c r="J269" s="20"/>
      <c r="K269" s="19"/>
      <c r="L269" s="19"/>
      <c r="M269" s="19"/>
      <c r="N269" s="15" t="str">
        <f aca="false">IF($A269="","",IF($C269=0,0,(IF($F269&lt;=15,5,IF($F269&lt;=30,4,IF($F269&lt;=45,3,IF($F269&lt;=90,2,1))))+IF($C269&gt;=10,5,IF($C269&gt;=6,4,IF($C269&gt;=4,3,IF($C269&gt;=2,2,1))))+IF($D269&gt;=20000,5,IF($D269&gt;=10000,4,IF($D269&gt;=5000,3,IF($D269&gt;=2000,2,1)))))))</f>
        <v/>
      </c>
      <c r="O269" s="3" t="str">
        <f aca="false">IF($A269="","",IF($C269=0,"No visits",IF($N269&gt;=13,"VIP",IF($N269&gt;=10,"High value",IF($N269&gt;=7,"Regular",IF($N269&gt;=4,"Occasional","Low"))))))</f>
        <v/>
      </c>
      <c r="P269" s="6" t="str">
        <f aca="true">IF(OR($A269="",$I269=""),"",IF(MONTH($I269)=MONTH(TODAY()),"Yes",""))</f>
        <v/>
      </c>
      <c r="Q269" s="21" t="str">
        <f aca="false">IF($A269="","",IF($C269=0,"",_xlfn.MINIFS('Daily tracking'!$A$2:$A$2001,'Daily tracking'!$D$2:$D$2001,$A269)))</f>
        <v/>
      </c>
      <c r="R269" s="6" t="str">
        <f aca="false">IF(OR($A269="",$C269&lt;2),"",($E269-$Q269)/($C269-1))</f>
        <v/>
      </c>
    </row>
    <row r="270" customFormat="false" ht="14.25" hidden="false" customHeight="false" outlineLevel="0" collapsed="false">
      <c r="A270" s="19"/>
      <c r="B270" s="19"/>
      <c r="C270" s="15" t="str">
        <f aca="false">IF($A270="","",COUNTIF('Daily tracking'!$D$2:$D$2001,$A270))</f>
        <v/>
      </c>
      <c r="D270" s="16" t="str">
        <f aca="false">IF($A270="","",SUMIF('Daily tracking'!$D$2:$D$2001,$A270,'Daily tracking'!$G$2:$G$2001))</f>
        <v/>
      </c>
      <c r="E270" s="18" t="str">
        <f aca="false">IF($A270="","",IF($C270=0,"",_xlfn.MAXIFS('Daily tracking'!$A$2:$A$2001,'Daily tracking'!$D$2:$D$2001,$A270)))</f>
        <v/>
      </c>
      <c r="F270" s="6" t="str">
        <f aca="true">IF(OR($A270="",$E270=""),"",TODAY()-$E270)</f>
        <v/>
      </c>
      <c r="G270" s="3" t="str">
        <f aca="false">IF($A270="","",IF($C270=0,"No visits",IF($F270&gt;90,"Lapsed",IF($F270&gt;35,"At risk",IF($C270&gt;=4,"Loyal","Active")))))</f>
        <v/>
      </c>
      <c r="H270" s="9" t="str">
        <f aca="false">IF(OR($A270="",$C270=0),"",$D270/$C270)</f>
        <v/>
      </c>
      <c r="I270" s="20"/>
      <c r="J270" s="20"/>
      <c r="K270" s="19"/>
      <c r="L270" s="19"/>
      <c r="M270" s="19"/>
      <c r="N270" s="15" t="str">
        <f aca="false">IF($A270="","",IF($C270=0,0,(IF($F270&lt;=15,5,IF($F270&lt;=30,4,IF($F270&lt;=45,3,IF($F270&lt;=90,2,1))))+IF($C270&gt;=10,5,IF($C270&gt;=6,4,IF($C270&gt;=4,3,IF($C270&gt;=2,2,1))))+IF($D270&gt;=20000,5,IF($D270&gt;=10000,4,IF($D270&gt;=5000,3,IF($D270&gt;=2000,2,1)))))))</f>
        <v/>
      </c>
      <c r="O270" s="3" t="str">
        <f aca="false">IF($A270="","",IF($C270=0,"No visits",IF($N270&gt;=13,"VIP",IF($N270&gt;=10,"High value",IF($N270&gt;=7,"Regular",IF($N270&gt;=4,"Occasional","Low"))))))</f>
        <v/>
      </c>
      <c r="P270" s="6" t="str">
        <f aca="true">IF(OR($A270="",$I270=""),"",IF(MONTH($I270)=MONTH(TODAY()),"Yes",""))</f>
        <v/>
      </c>
      <c r="Q270" s="21" t="str">
        <f aca="false">IF($A270="","",IF($C270=0,"",_xlfn.MINIFS('Daily tracking'!$A$2:$A$2001,'Daily tracking'!$D$2:$D$2001,$A270)))</f>
        <v/>
      </c>
      <c r="R270" s="6" t="str">
        <f aca="false">IF(OR($A270="",$C270&lt;2),"",($E270-$Q270)/($C270-1))</f>
        <v/>
      </c>
    </row>
    <row r="271" customFormat="false" ht="14.25" hidden="false" customHeight="false" outlineLevel="0" collapsed="false">
      <c r="A271" s="19"/>
      <c r="B271" s="19"/>
      <c r="C271" s="15" t="str">
        <f aca="false">IF($A271="","",COUNTIF('Daily tracking'!$D$2:$D$2001,$A271))</f>
        <v/>
      </c>
      <c r="D271" s="16" t="str">
        <f aca="false">IF($A271="","",SUMIF('Daily tracking'!$D$2:$D$2001,$A271,'Daily tracking'!$G$2:$G$2001))</f>
        <v/>
      </c>
      <c r="E271" s="18" t="str">
        <f aca="false">IF($A271="","",IF($C271=0,"",_xlfn.MAXIFS('Daily tracking'!$A$2:$A$2001,'Daily tracking'!$D$2:$D$2001,$A271)))</f>
        <v/>
      </c>
      <c r="F271" s="6" t="str">
        <f aca="true">IF(OR($A271="",$E271=""),"",TODAY()-$E271)</f>
        <v/>
      </c>
      <c r="G271" s="3" t="str">
        <f aca="false">IF($A271="","",IF($C271=0,"No visits",IF($F271&gt;90,"Lapsed",IF($F271&gt;35,"At risk",IF($C271&gt;=4,"Loyal","Active")))))</f>
        <v/>
      </c>
      <c r="H271" s="9" t="str">
        <f aca="false">IF(OR($A271="",$C271=0),"",$D271/$C271)</f>
        <v/>
      </c>
      <c r="I271" s="20"/>
      <c r="J271" s="20"/>
      <c r="K271" s="19"/>
      <c r="L271" s="19"/>
      <c r="M271" s="19"/>
      <c r="N271" s="15" t="str">
        <f aca="false">IF($A271="","",IF($C271=0,0,(IF($F271&lt;=15,5,IF($F271&lt;=30,4,IF($F271&lt;=45,3,IF($F271&lt;=90,2,1))))+IF($C271&gt;=10,5,IF($C271&gt;=6,4,IF($C271&gt;=4,3,IF($C271&gt;=2,2,1))))+IF($D271&gt;=20000,5,IF($D271&gt;=10000,4,IF($D271&gt;=5000,3,IF($D271&gt;=2000,2,1)))))))</f>
        <v/>
      </c>
      <c r="O271" s="3" t="str">
        <f aca="false">IF($A271="","",IF($C271=0,"No visits",IF($N271&gt;=13,"VIP",IF($N271&gt;=10,"High value",IF($N271&gt;=7,"Regular",IF($N271&gt;=4,"Occasional","Low"))))))</f>
        <v/>
      </c>
      <c r="P271" s="6" t="str">
        <f aca="true">IF(OR($A271="",$I271=""),"",IF(MONTH($I271)=MONTH(TODAY()),"Yes",""))</f>
        <v/>
      </c>
      <c r="Q271" s="21" t="str">
        <f aca="false">IF($A271="","",IF($C271=0,"",_xlfn.MINIFS('Daily tracking'!$A$2:$A$2001,'Daily tracking'!$D$2:$D$2001,$A271)))</f>
        <v/>
      </c>
      <c r="R271" s="6" t="str">
        <f aca="false">IF(OR($A271="",$C271&lt;2),"",($E271-$Q271)/($C271-1))</f>
        <v/>
      </c>
    </row>
    <row r="272" customFormat="false" ht="14.25" hidden="false" customHeight="false" outlineLevel="0" collapsed="false">
      <c r="A272" s="19"/>
      <c r="B272" s="19"/>
      <c r="C272" s="15" t="str">
        <f aca="false">IF($A272="","",COUNTIF('Daily tracking'!$D$2:$D$2001,$A272))</f>
        <v/>
      </c>
      <c r="D272" s="16" t="str">
        <f aca="false">IF($A272="","",SUMIF('Daily tracking'!$D$2:$D$2001,$A272,'Daily tracking'!$G$2:$G$2001))</f>
        <v/>
      </c>
      <c r="E272" s="18" t="str">
        <f aca="false">IF($A272="","",IF($C272=0,"",_xlfn.MAXIFS('Daily tracking'!$A$2:$A$2001,'Daily tracking'!$D$2:$D$2001,$A272)))</f>
        <v/>
      </c>
      <c r="F272" s="6" t="str">
        <f aca="true">IF(OR($A272="",$E272=""),"",TODAY()-$E272)</f>
        <v/>
      </c>
      <c r="G272" s="3" t="str">
        <f aca="false">IF($A272="","",IF($C272=0,"No visits",IF($F272&gt;90,"Lapsed",IF($F272&gt;35,"At risk",IF($C272&gt;=4,"Loyal","Active")))))</f>
        <v/>
      </c>
      <c r="H272" s="9" t="str">
        <f aca="false">IF(OR($A272="",$C272=0),"",$D272/$C272)</f>
        <v/>
      </c>
      <c r="I272" s="20"/>
      <c r="J272" s="20"/>
      <c r="K272" s="19"/>
      <c r="L272" s="19"/>
      <c r="M272" s="19"/>
      <c r="N272" s="15" t="str">
        <f aca="false">IF($A272="","",IF($C272=0,0,(IF($F272&lt;=15,5,IF($F272&lt;=30,4,IF($F272&lt;=45,3,IF($F272&lt;=90,2,1))))+IF($C272&gt;=10,5,IF($C272&gt;=6,4,IF($C272&gt;=4,3,IF($C272&gt;=2,2,1))))+IF($D272&gt;=20000,5,IF($D272&gt;=10000,4,IF($D272&gt;=5000,3,IF($D272&gt;=2000,2,1)))))))</f>
        <v/>
      </c>
      <c r="O272" s="3" t="str">
        <f aca="false">IF($A272="","",IF($C272=0,"No visits",IF($N272&gt;=13,"VIP",IF($N272&gt;=10,"High value",IF($N272&gt;=7,"Regular",IF($N272&gt;=4,"Occasional","Low"))))))</f>
        <v/>
      </c>
      <c r="P272" s="6" t="str">
        <f aca="true">IF(OR($A272="",$I272=""),"",IF(MONTH($I272)=MONTH(TODAY()),"Yes",""))</f>
        <v/>
      </c>
      <c r="Q272" s="21" t="str">
        <f aca="false">IF($A272="","",IF($C272=0,"",_xlfn.MINIFS('Daily tracking'!$A$2:$A$2001,'Daily tracking'!$D$2:$D$2001,$A272)))</f>
        <v/>
      </c>
      <c r="R272" s="6" t="str">
        <f aca="false">IF(OR($A272="",$C272&lt;2),"",($E272-$Q272)/($C272-1))</f>
        <v/>
      </c>
    </row>
    <row r="273" customFormat="false" ht="14.25" hidden="false" customHeight="false" outlineLevel="0" collapsed="false">
      <c r="A273" s="19"/>
      <c r="B273" s="19"/>
      <c r="C273" s="15" t="str">
        <f aca="false">IF($A273="","",COUNTIF('Daily tracking'!$D$2:$D$2001,$A273))</f>
        <v/>
      </c>
      <c r="D273" s="16" t="str">
        <f aca="false">IF($A273="","",SUMIF('Daily tracking'!$D$2:$D$2001,$A273,'Daily tracking'!$G$2:$G$2001))</f>
        <v/>
      </c>
      <c r="E273" s="18" t="str">
        <f aca="false">IF($A273="","",IF($C273=0,"",_xlfn.MAXIFS('Daily tracking'!$A$2:$A$2001,'Daily tracking'!$D$2:$D$2001,$A273)))</f>
        <v/>
      </c>
      <c r="F273" s="6" t="str">
        <f aca="true">IF(OR($A273="",$E273=""),"",TODAY()-$E273)</f>
        <v/>
      </c>
      <c r="G273" s="3" t="str">
        <f aca="false">IF($A273="","",IF($C273=0,"No visits",IF($F273&gt;90,"Lapsed",IF($F273&gt;35,"At risk",IF($C273&gt;=4,"Loyal","Active")))))</f>
        <v/>
      </c>
      <c r="H273" s="9" t="str">
        <f aca="false">IF(OR($A273="",$C273=0),"",$D273/$C273)</f>
        <v/>
      </c>
      <c r="I273" s="20"/>
      <c r="J273" s="20"/>
      <c r="K273" s="19"/>
      <c r="L273" s="19"/>
      <c r="M273" s="19"/>
      <c r="N273" s="15" t="str">
        <f aca="false">IF($A273="","",IF($C273=0,0,(IF($F273&lt;=15,5,IF($F273&lt;=30,4,IF($F273&lt;=45,3,IF($F273&lt;=90,2,1))))+IF($C273&gt;=10,5,IF($C273&gt;=6,4,IF($C273&gt;=4,3,IF($C273&gt;=2,2,1))))+IF($D273&gt;=20000,5,IF($D273&gt;=10000,4,IF($D273&gt;=5000,3,IF($D273&gt;=2000,2,1)))))))</f>
        <v/>
      </c>
      <c r="O273" s="3" t="str">
        <f aca="false">IF($A273="","",IF($C273=0,"No visits",IF($N273&gt;=13,"VIP",IF($N273&gt;=10,"High value",IF($N273&gt;=7,"Regular",IF($N273&gt;=4,"Occasional","Low"))))))</f>
        <v/>
      </c>
      <c r="P273" s="6" t="str">
        <f aca="true">IF(OR($A273="",$I273=""),"",IF(MONTH($I273)=MONTH(TODAY()),"Yes",""))</f>
        <v/>
      </c>
      <c r="Q273" s="21" t="str">
        <f aca="false">IF($A273="","",IF($C273=0,"",_xlfn.MINIFS('Daily tracking'!$A$2:$A$2001,'Daily tracking'!$D$2:$D$2001,$A273)))</f>
        <v/>
      </c>
      <c r="R273" s="6" t="str">
        <f aca="false">IF(OR($A273="",$C273&lt;2),"",($E273-$Q273)/($C273-1))</f>
        <v/>
      </c>
    </row>
    <row r="274" customFormat="false" ht="14.25" hidden="false" customHeight="false" outlineLevel="0" collapsed="false">
      <c r="A274" s="19"/>
      <c r="B274" s="19"/>
      <c r="C274" s="15" t="str">
        <f aca="false">IF($A274="","",COUNTIF('Daily tracking'!$D$2:$D$2001,$A274))</f>
        <v/>
      </c>
      <c r="D274" s="16" t="str">
        <f aca="false">IF($A274="","",SUMIF('Daily tracking'!$D$2:$D$2001,$A274,'Daily tracking'!$G$2:$G$2001))</f>
        <v/>
      </c>
      <c r="E274" s="18" t="str">
        <f aca="false">IF($A274="","",IF($C274=0,"",_xlfn.MAXIFS('Daily tracking'!$A$2:$A$2001,'Daily tracking'!$D$2:$D$2001,$A274)))</f>
        <v/>
      </c>
      <c r="F274" s="6" t="str">
        <f aca="true">IF(OR($A274="",$E274=""),"",TODAY()-$E274)</f>
        <v/>
      </c>
      <c r="G274" s="3" t="str">
        <f aca="false">IF($A274="","",IF($C274=0,"No visits",IF($F274&gt;90,"Lapsed",IF($F274&gt;35,"At risk",IF($C274&gt;=4,"Loyal","Active")))))</f>
        <v/>
      </c>
      <c r="H274" s="9" t="str">
        <f aca="false">IF(OR($A274="",$C274=0),"",$D274/$C274)</f>
        <v/>
      </c>
      <c r="I274" s="20"/>
      <c r="J274" s="20"/>
      <c r="K274" s="19"/>
      <c r="L274" s="19"/>
      <c r="M274" s="19"/>
      <c r="N274" s="15" t="str">
        <f aca="false">IF($A274="","",IF($C274=0,0,(IF($F274&lt;=15,5,IF($F274&lt;=30,4,IF($F274&lt;=45,3,IF($F274&lt;=90,2,1))))+IF($C274&gt;=10,5,IF($C274&gt;=6,4,IF($C274&gt;=4,3,IF($C274&gt;=2,2,1))))+IF($D274&gt;=20000,5,IF($D274&gt;=10000,4,IF($D274&gt;=5000,3,IF($D274&gt;=2000,2,1)))))))</f>
        <v/>
      </c>
      <c r="O274" s="3" t="str">
        <f aca="false">IF($A274="","",IF($C274=0,"No visits",IF($N274&gt;=13,"VIP",IF($N274&gt;=10,"High value",IF($N274&gt;=7,"Regular",IF($N274&gt;=4,"Occasional","Low"))))))</f>
        <v/>
      </c>
      <c r="P274" s="6" t="str">
        <f aca="true">IF(OR($A274="",$I274=""),"",IF(MONTH($I274)=MONTH(TODAY()),"Yes",""))</f>
        <v/>
      </c>
      <c r="Q274" s="21" t="str">
        <f aca="false">IF($A274="","",IF($C274=0,"",_xlfn.MINIFS('Daily tracking'!$A$2:$A$2001,'Daily tracking'!$D$2:$D$2001,$A274)))</f>
        <v/>
      </c>
      <c r="R274" s="6" t="str">
        <f aca="false">IF(OR($A274="",$C274&lt;2),"",($E274-$Q274)/($C274-1))</f>
        <v/>
      </c>
    </row>
    <row r="275" customFormat="false" ht="14.25" hidden="false" customHeight="false" outlineLevel="0" collapsed="false">
      <c r="A275" s="19"/>
      <c r="B275" s="19"/>
      <c r="C275" s="15" t="str">
        <f aca="false">IF($A275="","",COUNTIF('Daily tracking'!$D$2:$D$2001,$A275))</f>
        <v/>
      </c>
      <c r="D275" s="16" t="str">
        <f aca="false">IF($A275="","",SUMIF('Daily tracking'!$D$2:$D$2001,$A275,'Daily tracking'!$G$2:$G$2001))</f>
        <v/>
      </c>
      <c r="E275" s="18" t="str">
        <f aca="false">IF($A275="","",IF($C275=0,"",_xlfn.MAXIFS('Daily tracking'!$A$2:$A$2001,'Daily tracking'!$D$2:$D$2001,$A275)))</f>
        <v/>
      </c>
      <c r="F275" s="6" t="str">
        <f aca="true">IF(OR($A275="",$E275=""),"",TODAY()-$E275)</f>
        <v/>
      </c>
      <c r="G275" s="3" t="str">
        <f aca="false">IF($A275="","",IF($C275=0,"No visits",IF($F275&gt;90,"Lapsed",IF($F275&gt;35,"At risk",IF($C275&gt;=4,"Loyal","Active")))))</f>
        <v/>
      </c>
      <c r="H275" s="9" t="str">
        <f aca="false">IF(OR($A275="",$C275=0),"",$D275/$C275)</f>
        <v/>
      </c>
      <c r="I275" s="20"/>
      <c r="J275" s="20"/>
      <c r="K275" s="19"/>
      <c r="L275" s="19"/>
      <c r="M275" s="19"/>
      <c r="N275" s="15" t="str">
        <f aca="false">IF($A275="","",IF($C275=0,0,(IF($F275&lt;=15,5,IF($F275&lt;=30,4,IF($F275&lt;=45,3,IF($F275&lt;=90,2,1))))+IF($C275&gt;=10,5,IF($C275&gt;=6,4,IF($C275&gt;=4,3,IF($C275&gt;=2,2,1))))+IF($D275&gt;=20000,5,IF($D275&gt;=10000,4,IF($D275&gt;=5000,3,IF($D275&gt;=2000,2,1)))))))</f>
        <v/>
      </c>
      <c r="O275" s="3" t="str">
        <f aca="false">IF($A275="","",IF($C275=0,"No visits",IF($N275&gt;=13,"VIP",IF($N275&gt;=10,"High value",IF($N275&gt;=7,"Regular",IF($N275&gt;=4,"Occasional","Low"))))))</f>
        <v/>
      </c>
      <c r="P275" s="6" t="str">
        <f aca="true">IF(OR($A275="",$I275=""),"",IF(MONTH($I275)=MONTH(TODAY()),"Yes",""))</f>
        <v/>
      </c>
      <c r="Q275" s="21" t="str">
        <f aca="false">IF($A275="","",IF($C275=0,"",_xlfn.MINIFS('Daily tracking'!$A$2:$A$2001,'Daily tracking'!$D$2:$D$2001,$A275)))</f>
        <v/>
      </c>
      <c r="R275" s="6" t="str">
        <f aca="false">IF(OR($A275="",$C275&lt;2),"",($E275-$Q275)/($C275-1))</f>
        <v/>
      </c>
    </row>
    <row r="276" customFormat="false" ht="14.25" hidden="false" customHeight="false" outlineLevel="0" collapsed="false">
      <c r="A276" s="19"/>
      <c r="B276" s="19"/>
      <c r="C276" s="15" t="str">
        <f aca="false">IF($A276="","",COUNTIF('Daily tracking'!$D$2:$D$2001,$A276))</f>
        <v/>
      </c>
      <c r="D276" s="16" t="str">
        <f aca="false">IF($A276="","",SUMIF('Daily tracking'!$D$2:$D$2001,$A276,'Daily tracking'!$G$2:$G$2001))</f>
        <v/>
      </c>
      <c r="E276" s="18" t="str">
        <f aca="false">IF($A276="","",IF($C276=0,"",_xlfn.MAXIFS('Daily tracking'!$A$2:$A$2001,'Daily tracking'!$D$2:$D$2001,$A276)))</f>
        <v/>
      </c>
      <c r="F276" s="6" t="str">
        <f aca="true">IF(OR($A276="",$E276=""),"",TODAY()-$E276)</f>
        <v/>
      </c>
      <c r="G276" s="3" t="str">
        <f aca="false">IF($A276="","",IF($C276=0,"No visits",IF($F276&gt;90,"Lapsed",IF($F276&gt;35,"At risk",IF($C276&gt;=4,"Loyal","Active")))))</f>
        <v/>
      </c>
      <c r="H276" s="9" t="str">
        <f aca="false">IF(OR($A276="",$C276=0),"",$D276/$C276)</f>
        <v/>
      </c>
      <c r="I276" s="20"/>
      <c r="J276" s="20"/>
      <c r="K276" s="19"/>
      <c r="L276" s="19"/>
      <c r="M276" s="19"/>
      <c r="N276" s="15" t="str">
        <f aca="false">IF($A276="","",IF($C276=0,0,(IF($F276&lt;=15,5,IF($F276&lt;=30,4,IF($F276&lt;=45,3,IF($F276&lt;=90,2,1))))+IF($C276&gt;=10,5,IF($C276&gt;=6,4,IF($C276&gt;=4,3,IF($C276&gt;=2,2,1))))+IF($D276&gt;=20000,5,IF($D276&gt;=10000,4,IF($D276&gt;=5000,3,IF($D276&gt;=2000,2,1)))))))</f>
        <v/>
      </c>
      <c r="O276" s="3" t="str">
        <f aca="false">IF($A276="","",IF($C276=0,"No visits",IF($N276&gt;=13,"VIP",IF($N276&gt;=10,"High value",IF($N276&gt;=7,"Regular",IF($N276&gt;=4,"Occasional","Low"))))))</f>
        <v/>
      </c>
      <c r="P276" s="6" t="str">
        <f aca="true">IF(OR($A276="",$I276=""),"",IF(MONTH($I276)=MONTH(TODAY()),"Yes",""))</f>
        <v/>
      </c>
      <c r="Q276" s="21" t="str">
        <f aca="false">IF($A276="","",IF($C276=0,"",_xlfn.MINIFS('Daily tracking'!$A$2:$A$2001,'Daily tracking'!$D$2:$D$2001,$A276)))</f>
        <v/>
      </c>
      <c r="R276" s="6" t="str">
        <f aca="false">IF(OR($A276="",$C276&lt;2),"",($E276-$Q276)/($C276-1))</f>
        <v/>
      </c>
    </row>
    <row r="277" customFormat="false" ht="14.25" hidden="false" customHeight="false" outlineLevel="0" collapsed="false">
      <c r="A277" s="19"/>
      <c r="B277" s="19"/>
      <c r="C277" s="15" t="str">
        <f aca="false">IF($A277="","",COUNTIF('Daily tracking'!$D$2:$D$2001,$A277))</f>
        <v/>
      </c>
      <c r="D277" s="16" t="str">
        <f aca="false">IF($A277="","",SUMIF('Daily tracking'!$D$2:$D$2001,$A277,'Daily tracking'!$G$2:$G$2001))</f>
        <v/>
      </c>
      <c r="E277" s="18" t="str">
        <f aca="false">IF($A277="","",IF($C277=0,"",_xlfn.MAXIFS('Daily tracking'!$A$2:$A$2001,'Daily tracking'!$D$2:$D$2001,$A277)))</f>
        <v/>
      </c>
      <c r="F277" s="6" t="str">
        <f aca="true">IF(OR($A277="",$E277=""),"",TODAY()-$E277)</f>
        <v/>
      </c>
      <c r="G277" s="3" t="str">
        <f aca="false">IF($A277="","",IF($C277=0,"No visits",IF($F277&gt;90,"Lapsed",IF($F277&gt;35,"At risk",IF($C277&gt;=4,"Loyal","Active")))))</f>
        <v/>
      </c>
      <c r="H277" s="9" t="str">
        <f aca="false">IF(OR($A277="",$C277=0),"",$D277/$C277)</f>
        <v/>
      </c>
      <c r="I277" s="20"/>
      <c r="J277" s="20"/>
      <c r="K277" s="19"/>
      <c r="L277" s="19"/>
      <c r="M277" s="19"/>
      <c r="N277" s="15" t="str">
        <f aca="false">IF($A277="","",IF($C277=0,0,(IF($F277&lt;=15,5,IF($F277&lt;=30,4,IF($F277&lt;=45,3,IF($F277&lt;=90,2,1))))+IF($C277&gt;=10,5,IF($C277&gt;=6,4,IF($C277&gt;=4,3,IF($C277&gt;=2,2,1))))+IF($D277&gt;=20000,5,IF($D277&gt;=10000,4,IF($D277&gt;=5000,3,IF($D277&gt;=2000,2,1)))))))</f>
        <v/>
      </c>
      <c r="O277" s="3" t="str">
        <f aca="false">IF($A277="","",IF($C277=0,"No visits",IF($N277&gt;=13,"VIP",IF($N277&gt;=10,"High value",IF($N277&gt;=7,"Regular",IF($N277&gt;=4,"Occasional","Low"))))))</f>
        <v/>
      </c>
      <c r="P277" s="6" t="str">
        <f aca="true">IF(OR($A277="",$I277=""),"",IF(MONTH($I277)=MONTH(TODAY()),"Yes",""))</f>
        <v/>
      </c>
      <c r="Q277" s="21" t="str">
        <f aca="false">IF($A277="","",IF($C277=0,"",_xlfn.MINIFS('Daily tracking'!$A$2:$A$2001,'Daily tracking'!$D$2:$D$2001,$A277)))</f>
        <v/>
      </c>
      <c r="R277" s="6" t="str">
        <f aca="false">IF(OR($A277="",$C277&lt;2),"",($E277-$Q277)/($C277-1))</f>
        <v/>
      </c>
    </row>
    <row r="278" customFormat="false" ht="14.25" hidden="false" customHeight="false" outlineLevel="0" collapsed="false">
      <c r="A278" s="19"/>
      <c r="B278" s="19"/>
      <c r="C278" s="15" t="str">
        <f aca="false">IF($A278="","",COUNTIF('Daily tracking'!$D$2:$D$2001,$A278))</f>
        <v/>
      </c>
      <c r="D278" s="16" t="str">
        <f aca="false">IF($A278="","",SUMIF('Daily tracking'!$D$2:$D$2001,$A278,'Daily tracking'!$G$2:$G$2001))</f>
        <v/>
      </c>
      <c r="E278" s="18" t="str">
        <f aca="false">IF($A278="","",IF($C278=0,"",_xlfn.MAXIFS('Daily tracking'!$A$2:$A$2001,'Daily tracking'!$D$2:$D$2001,$A278)))</f>
        <v/>
      </c>
      <c r="F278" s="6" t="str">
        <f aca="true">IF(OR($A278="",$E278=""),"",TODAY()-$E278)</f>
        <v/>
      </c>
      <c r="G278" s="3" t="str">
        <f aca="false">IF($A278="","",IF($C278=0,"No visits",IF($F278&gt;90,"Lapsed",IF($F278&gt;35,"At risk",IF($C278&gt;=4,"Loyal","Active")))))</f>
        <v/>
      </c>
      <c r="H278" s="9" t="str">
        <f aca="false">IF(OR($A278="",$C278=0),"",$D278/$C278)</f>
        <v/>
      </c>
      <c r="I278" s="20"/>
      <c r="J278" s="20"/>
      <c r="K278" s="19"/>
      <c r="L278" s="19"/>
      <c r="M278" s="19"/>
      <c r="N278" s="15" t="str">
        <f aca="false">IF($A278="","",IF($C278=0,0,(IF($F278&lt;=15,5,IF($F278&lt;=30,4,IF($F278&lt;=45,3,IF($F278&lt;=90,2,1))))+IF($C278&gt;=10,5,IF($C278&gt;=6,4,IF($C278&gt;=4,3,IF($C278&gt;=2,2,1))))+IF($D278&gt;=20000,5,IF($D278&gt;=10000,4,IF($D278&gt;=5000,3,IF($D278&gt;=2000,2,1)))))))</f>
        <v/>
      </c>
      <c r="O278" s="3" t="str">
        <f aca="false">IF($A278="","",IF($C278=0,"No visits",IF($N278&gt;=13,"VIP",IF($N278&gt;=10,"High value",IF($N278&gt;=7,"Regular",IF($N278&gt;=4,"Occasional","Low"))))))</f>
        <v/>
      </c>
      <c r="P278" s="6" t="str">
        <f aca="true">IF(OR($A278="",$I278=""),"",IF(MONTH($I278)=MONTH(TODAY()),"Yes",""))</f>
        <v/>
      </c>
      <c r="Q278" s="21" t="str">
        <f aca="false">IF($A278="","",IF($C278=0,"",_xlfn.MINIFS('Daily tracking'!$A$2:$A$2001,'Daily tracking'!$D$2:$D$2001,$A278)))</f>
        <v/>
      </c>
      <c r="R278" s="6" t="str">
        <f aca="false">IF(OR($A278="",$C278&lt;2),"",($E278-$Q278)/($C278-1))</f>
        <v/>
      </c>
    </row>
    <row r="279" customFormat="false" ht="14.25" hidden="false" customHeight="false" outlineLevel="0" collapsed="false">
      <c r="A279" s="19"/>
      <c r="B279" s="19"/>
      <c r="C279" s="15" t="str">
        <f aca="false">IF($A279="","",COUNTIF('Daily tracking'!$D$2:$D$2001,$A279))</f>
        <v/>
      </c>
      <c r="D279" s="16" t="str">
        <f aca="false">IF($A279="","",SUMIF('Daily tracking'!$D$2:$D$2001,$A279,'Daily tracking'!$G$2:$G$2001))</f>
        <v/>
      </c>
      <c r="E279" s="18" t="str">
        <f aca="false">IF($A279="","",IF($C279=0,"",_xlfn.MAXIFS('Daily tracking'!$A$2:$A$2001,'Daily tracking'!$D$2:$D$2001,$A279)))</f>
        <v/>
      </c>
      <c r="F279" s="6" t="str">
        <f aca="true">IF(OR($A279="",$E279=""),"",TODAY()-$E279)</f>
        <v/>
      </c>
      <c r="G279" s="3" t="str">
        <f aca="false">IF($A279="","",IF($C279=0,"No visits",IF($F279&gt;90,"Lapsed",IF($F279&gt;35,"At risk",IF($C279&gt;=4,"Loyal","Active")))))</f>
        <v/>
      </c>
      <c r="H279" s="9" t="str">
        <f aca="false">IF(OR($A279="",$C279=0),"",$D279/$C279)</f>
        <v/>
      </c>
      <c r="I279" s="20"/>
      <c r="J279" s="20"/>
      <c r="K279" s="19"/>
      <c r="L279" s="19"/>
      <c r="M279" s="19"/>
      <c r="N279" s="15" t="str">
        <f aca="false">IF($A279="","",IF($C279=0,0,(IF($F279&lt;=15,5,IF($F279&lt;=30,4,IF($F279&lt;=45,3,IF($F279&lt;=90,2,1))))+IF($C279&gt;=10,5,IF($C279&gt;=6,4,IF($C279&gt;=4,3,IF($C279&gt;=2,2,1))))+IF($D279&gt;=20000,5,IF($D279&gt;=10000,4,IF($D279&gt;=5000,3,IF($D279&gt;=2000,2,1)))))))</f>
        <v/>
      </c>
      <c r="O279" s="3" t="str">
        <f aca="false">IF($A279="","",IF($C279=0,"No visits",IF($N279&gt;=13,"VIP",IF($N279&gt;=10,"High value",IF($N279&gt;=7,"Regular",IF($N279&gt;=4,"Occasional","Low"))))))</f>
        <v/>
      </c>
      <c r="P279" s="6" t="str">
        <f aca="true">IF(OR($A279="",$I279=""),"",IF(MONTH($I279)=MONTH(TODAY()),"Yes",""))</f>
        <v/>
      </c>
      <c r="Q279" s="21" t="str">
        <f aca="false">IF($A279="","",IF($C279=0,"",_xlfn.MINIFS('Daily tracking'!$A$2:$A$2001,'Daily tracking'!$D$2:$D$2001,$A279)))</f>
        <v/>
      </c>
      <c r="R279" s="6" t="str">
        <f aca="false">IF(OR($A279="",$C279&lt;2),"",($E279-$Q279)/($C279-1))</f>
        <v/>
      </c>
    </row>
    <row r="280" customFormat="false" ht="14.25" hidden="false" customHeight="false" outlineLevel="0" collapsed="false">
      <c r="A280" s="19"/>
      <c r="B280" s="19"/>
      <c r="C280" s="15" t="str">
        <f aca="false">IF($A280="","",COUNTIF('Daily tracking'!$D$2:$D$2001,$A280))</f>
        <v/>
      </c>
      <c r="D280" s="16" t="str">
        <f aca="false">IF($A280="","",SUMIF('Daily tracking'!$D$2:$D$2001,$A280,'Daily tracking'!$G$2:$G$2001))</f>
        <v/>
      </c>
      <c r="E280" s="18" t="str">
        <f aca="false">IF($A280="","",IF($C280=0,"",_xlfn.MAXIFS('Daily tracking'!$A$2:$A$2001,'Daily tracking'!$D$2:$D$2001,$A280)))</f>
        <v/>
      </c>
      <c r="F280" s="6" t="str">
        <f aca="true">IF(OR($A280="",$E280=""),"",TODAY()-$E280)</f>
        <v/>
      </c>
      <c r="G280" s="3" t="str">
        <f aca="false">IF($A280="","",IF($C280=0,"No visits",IF($F280&gt;90,"Lapsed",IF($F280&gt;35,"At risk",IF($C280&gt;=4,"Loyal","Active")))))</f>
        <v/>
      </c>
      <c r="H280" s="9" t="str">
        <f aca="false">IF(OR($A280="",$C280=0),"",$D280/$C280)</f>
        <v/>
      </c>
      <c r="I280" s="20"/>
      <c r="J280" s="20"/>
      <c r="K280" s="19"/>
      <c r="L280" s="19"/>
      <c r="M280" s="19"/>
      <c r="N280" s="15" t="str">
        <f aca="false">IF($A280="","",IF($C280=0,0,(IF($F280&lt;=15,5,IF($F280&lt;=30,4,IF($F280&lt;=45,3,IF($F280&lt;=90,2,1))))+IF($C280&gt;=10,5,IF($C280&gt;=6,4,IF($C280&gt;=4,3,IF($C280&gt;=2,2,1))))+IF($D280&gt;=20000,5,IF($D280&gt;=10000,4,IF($D280&gt;=5000,3,IF($D280&gt;=2000,2,1)))))))</f>
        <v/>
      </c>
      <c r="O280" s="3" t="str">
        <f aca="false">IF($A280="","",IF($C280=0,"No visits",IF($N280&gt;=13,"VIP",IF($N280&gt;=10,"High value",IF($N280&gt;=7,"Regular",IF($N280&gt;=4,"Occasional","Low"))))))</f>
        <v/>
      </c>
      <c r="P280" s="6" t="str">
        <f aca="true">IF(OR($A280="",$I280=""),"",IF(MONTH($I280)=MONTH(TODAY()),"Yes",""))</f>
        <v/>
      </c>
      <c r="Q280" s="21" t="str">
        <f aca="false">IF($A280="","",IF($C280=0,"",_xlfn.MINIFS('Daily tracking'!$A$2:$A$2001,'Daily tracking'!$D$2:$D$2001,$A280)))</f>
        <v/>
      </c>
      <c r="R280" s="6" t="str">
        <f aca="false">IF(OR($A280="",$C280&lt;2),"",($E280-$Q280)/($C280-1))</f>
        <v/>
      </c>
    </row>
    <row r="281" customFormat="false" ht="14.25" hidden="false" customHeight="false" outlineLevel="0" collapsed="false">
      <c r="A281" s="19"/>
      <c r="B281" s="19"/>
      <c r="C281" s="15" t="str">
        <f aca="false">IF($A281="","",COUNTIF('Daily tracking'!$D$2:$D$2001,$A281))</f>
        <v/>
      </c>
      <c r="D281" s="16" t="str">
        <f aca="false">IF($A281="","",SUMIF('Daily tracking'!$D$2:$D$2001,$A281,'Daily tracking'!$G$2:$G$2001))</f>
        <v/>
      </c>
      <c r="E281" s="18" t="str">
        <f aca="false">IF($A281="","",IF($C281=0,"",_xlfn.MAXIFS('Daily tracking'!$A$2:$A$2001,'Daily tracking'!$D$2:$D$2001,$A281)))</f>
        <v/>
      </c>
      <c r="F281" s="6" t="str">
        <f aca="true">IF(OR($A281="",$E281=""),"",TODAY()-$E281)</f>
        <v/>
      </c>
      <c r="G281" s="3" t="str">
        <f aca="false">IF($A281="","",IF($C281=0,"No visits",IF($F281&gt;90,"Lapsed",IF($F281&gt;35,"At risk",IF($C281&gt;=4,"Loyal","Active")))))</f>
        <v/>
      </c>
      <c r="H281" s="9" t="str">
        <f aca="false">IF(OR($A281="",$C281=0),"",$D281/$C281)</f>
        <v/>
      </c>
      <c r="I281" s="20"/>
      <c r="J281" s="20"/>
      <c r="K281" s="19"/>
      <c r="L281" s="19"/>
      <c r="M281" s="19"/>
      <c r="N281" s="15" t="str">
        <f aca="false">IF($A281="","",IF($C281=0,0,(IF($F281&lt;=15,5,IF($F281&lt;=30,4,IF($F281&lt;=45,3,IF($F281&lt;=90,2,1))))+IF($C281&gt;=10,5,IF($C281&gt;=6,4,IF($C281&gt;=4,3,IF($C281&gt;=2,2,1))))+IF($D281&gt;=20000,5,IF($D281&gt;=10000,4,IF($D281&gt;=5000,3,IF($D281&gt;=2000,2,1)))))))</f>
        <v/>
      </c>
      <c r="O281" s="3" t="str">
        <f aca="false">IF($A281="","",IF($C281=0,"No visits",IF($N281&gt;=13,"VIP",IF($N281&gt;=10,"High value",IF($N281&gt;=7,"Regular",IF($N281&gt;=4,"Occasional","Low"))))))</f>
        <v/>
      </c>
      <c r="P281" s="6" t="str">
        <f aca="true">IF(OR($A281="",$I281=""),"",IF(MONTH($I281)=MONTH(TODAY()),"Yes",""))</f>
        <v/>
      </c>
      <c r="Q281" s="21" t="str">
        <f aca="false">IF($A281="","",IF($C281=0,"",_xlfn.MINIFS('Daily tracking'!$A$2:$A$2001,'Daily tracking'!$D$2:$D$2001,$A281)))</f>
        <v/>
      </c>
      <c r="R281" s="6" t="str">
        <f aca="false">IF(OR($A281="",$C281&lt;2),"",($E281-$Q281)/($C281-1))</f>
        <v/>
      </c>
    </row>
    <row r="282" customFormat="false" ht="14.25" hidden="false" customHeight="false" outlineLevel="0" collapsed="false">
      <c r="A282" s="19"/>
      <c r="B282" s="19"/>
      <c r="C282" s="15" t="str">
        <f aca="false">IF($A282="","",COUNTIF('Daily tracking'!$D$2:$D$2001,$A282))</f>
        <v/>
      </c>
      <c r="D282" s="16" t="str">
        <f aca="false">IF($A282="","",SUMIF('Daily tracking'!$D$2:$D$2001,$A282,'Daily tracking'!$G$2:$G$2001))</f>
        <v/>
      </c>
      <c r="E282" s="18" t="str">
        <f aca="false">IF($A282="","",IF($C282=0,"",_xlfn.MAXIFS('Daily tracking'!$A$2:$A$2001,'Daily tracking'!$D$2:$D$2001,$A282)))</f>
        <v/>
      </c>
      <c r="F282" s="6" t="str">
        <f aca="true">IF(OR($A282="",$E282=""),"",TODAY()-$E282)</f>
        <v/>
      </c>
      <c r="G282" s="3" t="str">
        <f aca="false">IF($A282="","",IF($C282=0,"No visits",IF($F282&gt;90,"Lapsed",IF($F282&gt;35,"At risk",IF($C282&gt;=4,"Loyal","Active")))))</f>
        <v/>
      </c>
      <c r="H282" s="9" t="str">
        <f aca="false">IF(OR($A282="",$C282=0),"",$D282/$C282)</f>
        <v/>
      </c>
      <c r="I282" s="20"/>
      <c r="J282" s="20"/>
      <c r="K282" s="19"/>
      <c r="L282" s="19"/>
      <c r="M282" s="19"/>
      <c r="N282" s="15" t="str">
        <f aca="false">IF($A282="","",IF($C282=0,0,(IF($F282&lt;=15,5,IF($F282&lt;=30,4,IF($F282&lt;=45,3,IF($F282&lt;=90,2,1))))+IF($C282&gt;=10,5,IF($C282&gt;=6,4,IF($C282&gt;=4,3,IF($C282&gt;=2,2,1))))+IF($D282&gt;=20000,5,IF($D282&gt;=10000,4,IF($D282&gt;=5000,3,IF($D282&gt;=2000,2,1)))))))</f>
        <v/>
      </c>
      <c r="O282" s="3" t="str">
        <f aca="false">IF($A282="","",IF($C282=0,"No visits",IF($N282&gt;=13,"VIP",IF($N282&gt;=10,"High value",IF($N282&gt;=7,"Regular",IF($N282&gt;=4,"Occasional","Low"))))))</f>
        <v/>
      </c>
      <c r="P282" s="6" t="str">
        <f aca="true">IF(OR($A282="",$I282=""),"",IF(MONTH($I282)=MONTH(TODAY()),"Yes",""))</f>
        <v/>
      </c>
      <c r="Q282" s="21" t="str">
        <f aca="false">IF($A282="","",IF($C282=0,"",_xlfn.MINIFS('Daily tracking'!$A$2:$A$2001,'Daily tracking'!$D$2:$D$2001,$A282)))</f>
        <v/>
      </c>
      <c r="R282" s="6" t="str">
        <f aca="false">IF(OR($A282="",$C282&lt;2),"",($E282-$Q282)/($C282-1))</f>
        <v/>
      </c>
    </row>
    <row r="283" customFormat="false" ht="14.25" hidden="false" customHeight="false" outlineLevel="0" collapsed="false">
      <c r="A283" s="19"/>
      <c r="B283" s="19"/>
      <c r="C283" s="15" t="str">
        <f aca="false">IF($A283="","",COUNTIF('Daily tracking'!$D$2:$D$2001,$A283))</f>
        <v/>
      </c>
      <c r="D283" s="16" t="str">
        <f aca="false">IF($A283="","",SUMIF('Daily tracking'!$D$2:$D$2001,$A283,'Daily tracking'!$G$2:$G$2001))</f>
        <v/>
      </c>
      <c r="E283" s="18" t="str">
        <f aca="false">IF($A283="","",IF($C283=0,"",_xlfn.MAXIFS('Daily tracking'!$A$2:$A$2001,'Daily tracking'!$D$2:$D$2001,$A283)))</f>
        <v/>
      </c>
      <c r="F283" s="6" t="str">
        <f aca="true">IF(OR($A283="",$E283=""),"",TODAY()-$E283)</f>
        <v/>
      </c>
      <c r="G283" s="3" t="str">
        <f aca="false">IF($A283="","",IF($C283=0,"No visits",IF($F283&gt;90,"Lapsed",IF($F283&gt;35,"At risk",IF($C283&gt;=4,"Loyal","Active")))))</f>
        <v/>
      </c>
      <c r="H283" s="9" t="str">
        <f aca="false">IF(OR($A283="",$C283=0),"",$D283/$C283)</f>
        <v/>
      </c>
      <c r="I283" s="20"/>
      <c r="J283" s="20"/>
      <c r="K283" s="19"/>
      <c r="L283" s="19"/>
      <c r="M283" s="19"/>
      <c r="N283" s="15" t="str">
        <f aca="false">IF($A283="","",IF($C283=0,0,(IF($F283&lt;=15,5,IF($F283&lt;=30,4,IF($F283&lt;=45,3,IF($F283&lt;=90,2,1))))+IF($C283&gt;=10,5,IF($C283&gt;=6,4,IF($C283&gt;=4,3,IF($C283&gt;=2,2,1))))+IF($D283&gt;=20000,5,IF($D283&gt;=10000,4,IF($D283&gt;=5000,3,IF($D283&gt;=2000,2,1)))))))</f>
        <v/>
      </c>
      <c r="O283" s="3" t="str">
        <f aca="false">IF($A283="","",IF($C283=0,"No visits",IF($N283&gt;=13,"VIP",IF($N283&gt;=10,"High value",IF($N283&gt;=7,"Regular",IF($N283&gt;=4,"Occasional","Low"))))))</f>
        <v/>
      </c>
      <c r="P283" s="6" t="str">
        <f aca="true">IF(OR($A283="",$I283=""),"",IF(MONTH($I283)=MONTH(TODAY()),"Yes",""))</f>
        <v/>
      </c>
      <c r="Q283" s="21" t="str">
        <f aca="false">IF($A283="","",IF($C283=0,"",_xlfn.MINIFS('Daily tracking'!$A$2:$A$2001,'Daily tracking'!$D$2:$D$2001,$A283)))</f>
        <v/>
      </c>
      <c r="R283" s="6" t="str">
        <f aca="false">IF(OR($A283="",$C283&lt;2),"",($E283-$Q283)/($C283-1))</f>
        <v/>
      </c>
    </row>
    <row r="284" customFormat="false" ht="14.25" hidden="false" customHeight="false" outlineLevel="0" collapsed="false">
      <c r="A284" s="19"/>
      <c r="B284" s="19"/>
      <c r="C284" s="15" t="str">
        <f aca="false">IF($A284="","",COUNTIF('Daily tracking'!$D$2:$D$2001,$A284))</f>
        <v/>
      </c>
      <c r="D284" s="16" t="str">
        <f aca="false">IF($A284="","",SUMIF('Daily tracking'!$D$2:$D$2001,$A284,'Daily tracking'!$G$2:$G$2001))</f>
        <v/>
      </c>
      <c r="E284" s="18" t="str">
        <f aca="false">IF($A284="","",IF($C284=0,"",_xlfn.MAXIFS('Daily tracking'!$A$2:$A$2001,'Daily tracking'!$D$2:$D$2001,$A284)))</f>
        <v/>
      </c>
      <c r="F284" s="6" t="str">
        <f aca="true">IF(OR($A284="",$E284=""),"",TODAY()-$E284)</f>
        <v/>
      </c>
      <c r="G284" s="3" t="str">
        <f aca="false">IF($A284="","",IF($C284=0,"No visits",IF($F284&gt;90,"Lapsed",IF($F284&gt;35,"At risk",IF($C284&gt;=4,"Loyal","Active")))))</f>
        <v/>
      </c>
      <c r="H284" s="9" t="str">
        <f aca="false">IF(OR($A284="",$C284=0),"",$D284/$C284)</f>
        <v/>
      </c>
      <c r="I284" s="20"/>
      <c r="J284" s="20"/>
      <c r="K284" s="19"/>
      <c r="L284" s="19"/>
      <c r="M284" s="19"/>
      <c r="N284" s="15" t="str">
        <f aca="false">IF($A284="","",IF($C284=0,0,(IF($F284&lt;=15,5,IF($F284&lt;=30,4,IF($F284&lt;=45,3,IF($F284&lt;=90,2,1))))+IF($C284&gt;=10,5,IF($C284&gt;=6,4,IF($C284&gt;=4,3,IF($C284&gt;=2,2,1))))+IF($D284&gt;=20000,5,IF($D284&gt;=10000,4,IF($D284&gt;=5000,3,IF($D284&gt;=2000,2,1)))))))</f>
        <v/>
      </c>
      <c r="O284" s="3" t="str">
        <f aca="false">IF($A284="","",IF($C284=0,"No visits",IF($N284&gt;=13,"VIP",IF($N284&gt;=10,"High value",IF($N284&gt;=7,"Regular",IF($N284&gt;=4,"Occasional","Low"))))))</f>
        <v/>
      </c>
      <c r="P284" s="6" t="str">
        <f aca="true">IF(OR($A284="",$I284=""),"",IF(MONTH($I284)=MONTH(TODAY()),"Yes",""))</f>
        <v/>
      </c>
      <c r="Q284" s="21" t="str">
        <f aca="false">IF($A284="","",IF($C284=0,"",_xlfn.MINIFS('Daily tracking'!$A$2:$A$2001,'Daily tracking'!$D$2:$D$2001,$A284)))</f>
        <v/>
      </c>
      <c r="R284" s="6" t="str">
        <f aca="false">IF(OR($A284="",$C284&lt;2),"",($E284-$Q284)/($C284-1))</f>
        <v/>
      </c>
    </row>
    <row r="285" customFormat="false" ht="14.25" hidden="false" customHeight="false" outlineLevel="0" collapsed="false">
      <c r="A285" s="19"/>
      <c r="B285" s="19"/>
      <c r="C285" s="15" t="str">
        <f aca="false">IF($A285="","",COUNTIF('Daily tracking'!$D$2:$D$2001,$A285))</f>
        <v/>
      </c>
      <c r="D285" s="16" t="str">
        <f aca="false">IF($A285="","",SUMIF('Daily tracking'!$D$2:$D$2001,$A285,'Daily tracking'!$G$2:$G$2001))</f>
        <v/>
      </c>
      <c r="E285" s="18" t="str">
        <f aca="false">IF($A285="","",IF($C285=0,"",_xlfn.MAXIFS('Daily tracking'!$A$2:$A$2001,'Daily tracking'!$D$2:$D$2001,$A285)))</f>
        <v/>
      </c>
      <c r="F285" s="6" t="str">
        <f aca="true">IF(OR($A285="",$E285=""),"",TODAY()-$E285)</f>
        <v/>
      </c>
      <c r="G285" s="3" t="str">
        <f aca="false">IF($A285="","",IF($C285=0,"No visits",IF($F285&gt;90,"Lapsed",IF($F285&gt;35,"At risk",IF($C285&gt;=4,"Loyal","Active")))))</f>
        <v/>
      </c>
      <c r="H285" s="9" t="str">
        <f aca="false">IF(OR($A285="",$C285=0),"",$D285/$C285)</f>
        <v/>
      </c>
      <c r="I285" s="20"/>
      <c r="J285" s="20"/>
      <c r="K285" s="19"/>
      <c r="L285" s="19"/>
      <c r="M285" s="19"/>
      <c r="N285" s="15" t="str">
        <f aca="false">IF($A285="","",IF($C285=0,0,(IF($F285&lt;=15,5,IF($F285&lt;=30,4,IF($F285&lt;=45,3,IF($F285&lt;=90,2,1))))+IF($C285&gt;=10,5,IF($C285&gt;=6,4,IF($C285&gt;=4,3,IF($C285&gt;=2,2,1))))+IF($D285&gt;=20000,5,IF($D285&gt;=10000,4,IF($D285&gt;=5000,3,IF($D285&gt;=2000,2,1)))))))</f>
        <v/>
      </c>
      <c r="O285" s="3" t="str">
        <f aca="false">IF($A285="","",IF($C285=0,"No visits",IF($N285&gt;=13,"VIP",IF($N285&gt;=10,"High value",IF($N285&gt;=7,"Regular",IF($N285&gt;=4,"Occasional","Low"))))))</f>
        <v/>
      </c>
      <c r="P285" s="6" t="str">
        <f aca="true">IF(OR($A285="",$I285=""),"",IF(MONTH($I285)=MONTH(TODAY()),"Yes",""))</f>
        <v/>
      </c>
      <c r="Q285" s="21" t="str">
        <f aca="false">IF($A285="","",IF($C285=0,"",_xlfn.MINIFS('Daily tracking'!$A$2:$A$2001,'Daily tracking'!$D$2:$D$2001,$A285)))</f>
        <v/>
      </c>
      <c r="R285" s="6" t="str">
        <f aca="false">IF(OR($A285="",$C285&lt;2),"",($E285-$Q285)/($C285-1))</f>
        <v/>
      </c>
    </row>
    <row r="286" customFormat="false" ht="14.25" hidden="false" customHeight="false" outlineLevel="0" collapsed="false">
      <c r="A286" s="19"/>
      <c r="B286" s="19"/>
      <c r="C286" s="15" t="str">
        <f aca="false">IF($A286="","",COUNTIF('Daily tracking'!$D$2:$D$2001,$A286))</f>
        <v/>
      </c>
      <c r="D286" s="16" t="str">
        <f aca="false">IF($A286="","",SUMIF('Daily tracking'!$D$2:$D$2001,$A286,'Daily tracking'!$G$2:$G$2001))</f>
        <v/>
      </c>
      <c r="E286" s="18" t="str">
        <f aca="false">IF($A286="","",IF($C286=0,"",_xlfn.MAXIFS('Daily tracking'!$A$2:$A$2001,'Daily tracking'!$D$2:$D$2001,$A286)))</f>
        <v/>
      </c>
      <c r="F286" s="6" t="str">
        <f aca="true">IF(OR($A286="",$E286=""),"",TODAY()-$E286)</f>
        <v/>
      </c>
      <c r="G286" s="3" t="str">
        <f aca="false">IF($A286="","",IF($C286=0,"No visits",IF($F286&gt;90,"Lapsed",IF($F286&gt;35,"At risk",IF($C286&gt;=4,"Loyal","Active")))))</f>
        <v/>
      </c>
      <c r="H286" s="9" t="str">
        <f aca="false">IF(OR($A286="",$C286=0),"",$D286/$C286)</f>
        <v/>
      </c>
      <c r="I286" s="20"/>
      <c r="J286" s="20"/>
      <c r="K286" s="19"/>
      <c r="L286" s="19"/>
      <c r="M286" s="19"/>
      <c r="N286" s="15" t="str">
        <f aca="false">IF($A286="","",IF($C286=0,0,(IF($F286&lt;=15,5,IF($F286&lt;=30,4,IF($F286&lt;=45,3,IF($F286&lt;=90,2,1))))+IF($C286&gt;=10,5,IF($C286&gt;=6,4,IF($C286&gt;=4,3,IF($C286&gt;=2,2,1))))+IF($D286&gt;=20000,5,IF($D286&gt;=10000,4,IF($D286&gt;=5000,3,IF($D286&gt;=2000,2,1)))))))</f>
        <v/>
      </c>
      <c r="O286" s="3" t="str">
        <f aca="false">IF($A286="","",IF($C286=0,"No visits",IF($N286&gt;=13,"VIP",IF($N286&gt;=10,"High value",IF($N286&gt;=7,"Regular",IF($N286&gt;=4,"Occasional","Low"))))))</f>
        <v/>
      </c>
      <c r="P286" s="6" t="str">
        <f aca="true">IF(OR($A286="",$I286=""),"",IF(MONTH($I286)=MONTH(TODAY()),"Yes",""))</f>
        <v/>
      </c>
      <c r="Q286" s="21" t="str">
        <f aca="false">IF($A286="","",IF($C286=0,"",_xlfn.MINIFS('Daily tracking'!$A$2:$A$2001,'Daily tracking'!$D$2:$D$2001,$A286)))</f>
        <v/>
      </c>
      <c r="R286" s="6" t="str">
        <f aca="false">IF(OR($A286="",$C286&lt;2),"",($E286-$Q286)/($C286-1))</f>
        <v/>
      </c>
    </row>
    <row r="287" customFormat="false" ht="14.25" hidden="false" customHeight="false" outlineLevel="0" collapsed="false">
      <c r="A287" s="19"/>
      <c r="B287" s="19"/>
      <c r="C287" s="15" t="str">
        <f aca="false">IF($A287="","",COUNTIF('Daily tracking'!$D$2:$D$2001,$A287))</f>
        <v/>
      </c>
      <c r="D287" s="16" t="str">
        <f aca="false">IF($A287="","",SUMIF('Daily tracking'!$D$2:$D$2001,$A287,'Daily tracking'!$G$2:$G$2001))</f>
        <v/>
      </c>
      <c r="E287" s="18" t="str">
        <f aca="false">IF($A287="","",IF($C287=0,"",_xlfn.MAXIFS('Daily tracking'!$A$2:$A$2001,'Daily tracking'!$D$2:$D$2001,$A287)))</f>
        <v/>
      </c>
      <c r="F287" s="6" t="str">
        <f aca="true">IF(OR($A287="",$E287=""),"",TODAY()-$E287)</f>
        <v/>
      </c>
      <c r="G287" s="3" t="str">
        <f aca="false">IF($A287="","",IF($C287=0,"No visits",IF($F287&gt;90,"Lapsed",IF($F287&gt;35,"At risk",IF($C287&gt;=4,"Loyal","Active")))))</f>
        <v/>
      </c>
      <c r="H287" s="9" t="str">
        <f aca="false">IF(OR($A287="",$C287=0),"",$D287/$C287)</f>
        <v/>
      </c>
      <c r="I287" s="20"/>
      <c r="J287" s="20"/>
      <c r="K287" s="19"/>
      <c r="L287" s="19"/>
      <c r="M287" s="19"/>
      <c r="N287" s="15" t="str">
        <f aca="false">IF($A287="","",IF($C287=0,0,(IF($F287&lt;=15,5,IF($F287&lt;=30,4,IF($F287&lt;=45,3,IF($F287&lt;=90,2,1))))+IF($C287&gt;=10,5,IF($C287&gt;=6,4,IF($C287&gt;=4,3,IF($C287&gt;=2,2,1))))+IF($D287&gt;=20000,5,IF($D287&gt;=10000,4,IF($D287&gt;=5000,3,IF($D287&gt;=2000,2,1)))))))</f>
        <v/>
      </c>
      <c r="O287" s="3" t="str">
        <f aca="false">IF($A287="","",IF($C287=0,"No visits",IF($N287&gt;=13,"VIP",IF($N287&gt;=10,"High value",IF($N287&gt;=7,"Regular",IF($N287&gt;=4,"Occasional","Low"))))))</f>
        <v/>
      </c>
      <c r="P287" s="6" t="str">
        <f aca="true">IF(OR($A287="",$I287=""),"",IF(MONTH($I287)=MONTH(TODAY()),"Yes",""))</f>
        <v/>
      </c>
      <c r="Q287" s="21" t="str">
        <f aca="false">IF($A287="","",IF($C287=0,"",_xlfn.MINIFS('Daily tracking'!$A$2:$A$2001,'Daily tracking'!$D$2:$D$2001,$A287)))</f>
        <v/>
      </c>
      <c r="R287" s="6" t="str">
        <f aca="false">IF(OR($A287="",$C287&lt;2),"",($E287-$Q287)/($C287-1))</f>
        <v/>
      </c>
    </row>
    <row r="288" customFormat="false" ht="14.25" hidden="false" customHeight="false" outlineLevel="0" collapsed="false">
      <c r="A288" s="19"/>
      <c r="B288" s="19"/>
      <c r="C288" s="15" t="str">
        <f aca="false">IF($A288="","",COUNTIF('Daily tracking'!$D$2:$D$2001,$A288))</f>
        <v/>
      </c>
      <c r="D288" s="16" t="str">
        <f aca="false">IF($A288="","",SUMIF('Daily tracking'!$D$2:$D$2001,$A288,'Daily tracking'!$G$2:$G$2001))</f>
        <v/>
      </c>
      <c r="E288" s="18" t="str">
        <f aca="false">IF($A288="","",IF($C288=0,"",_xlfn.MAXIFS('Daily tracking'!$A$2:$A$2001,'Daily tracking'!$D$2:$D$2001,$A288)))</f>
        <v/>
      </c>
      <c r="F288" s="6" t="str">
        <f aca="true">IF(OR($A288="",$E288=""),"",TODAY()-$E288)</f>
        <v/>
      </c>
      <c r="G288" s="3" t="str">
        <f aca="false">IF($A288="","",IF($C288=0,"No visits",IF($F288&gt;90,"Lapsed",IF($F288&gt;35,"At risk",IF($C288&gt;=4,"Loyal","Active")))))</f>
        <v/>
      </c>
      <c r="H288" s="9" t="str">
        <f aca="false">IF(OR($A288="",$C288=0),"",$D288/$C288)</f>
        <v/>
      </c>
      <c r="I288" s="20"/>
      <c r="J288" s="20"/>
      <c r="K288" s="19"/>
      <c r="L288" s="19"/>
      <c r="M288" s="19"/>
      <c r="N288" s="15" t="str">
        <f aca="false">IF($A288="","",IF($C288=0,0,(IF($F288&lt;=15,5,IF($F288&lt;=30,4,IF($F288&lt;=45,3,IF($F288&lt;=90,2,1))))+IF($C288&gt;=10,5,IF($C288&gt;=6,4,IF($C288&gt;=4,3,IF($C288&gt;=2,2,1))))+IF($D288&gt;=20000,5,IF($D288&gt;=10000,4,IF($D288&gt;=5000,3,IF($D288&gt;=2000,2,1)))))))</f>
        <v/>
      </c>
      <c r="O288" s="3" t="str">
        <f aca="false">IF($A288="","",IF($C288=0,"No visits",IF($N288&gt;=13,"VIP",IF($N288&gt;=10,"High value",IF($N288&gt;=7,"Regular",IF($N288&gt;=4,"Occasional","Low"))))))</f>
        <v/>
      </c>
      <c r="P288" s="6" t="str">
        <f aca="true">IF(OR($A288="",$I288=""),"",IF(MONTH($I288)=MONTH(TODAY()),"Yes",""))</f>
        <v/>
      </c>
      <c r="Q288" s="21" t="str">
        <f aca="false">IF($A288="","",IF($C288=0,"",_xlfn.MINIFS('Daily tracking'!$A$2:$A$2001,'Daily tracking'!$D$2:$D$2001,$A288)))</f>
        <v/>
      </c>
      <c r="R288" s="6" t="str">
        <f aca="false">IF(OR($A288="",$C288&lt;2),"",($E288-$Q288)/($C288-1))</f>
        <v/>
      </c>
    </row>
    <row r="289" customFormat="false" ht="14.25" hidden="false" customHeight="false" outlineLevel="0" collapsed="false">
      <c r="A289" s="19"/>
      <c r="B289" s="19"/>
      <c r="C289" s="15" t="str">
        <f aca="false">IF($A289="","",COUNTIF('Daily tracking'!$D$2:$D$2001,$A289))</f>
        <v/>
      </c>
      <c r="D289" s="16" t="str">
        <f aca="false">IF($A289="","",SUMIF('Daily tracking'!$D$2:$D$2001,$A289,'Daily tracking'!$G$2:$G$2001))</f>
        <v/>
      </c>
      <c r="E289" s="18" t="str">
        <f aca="false">IF($A289="","",IF($C289=0,"",_xlfn.MAXIFS('Daily tracking'!$A$2:$A$2001,'Daily tracking'!$D$2:$D$2001,$A289)))</f>
        <v/>
      </c>
      <c r="F289" s="6" t="str">
        <f aca="true">IF(OR($A289="",$E289=""),"",TODAY()-$E289)</f>
        <v/>
      </c>
      <c r="G289" s="3" t="str">
        <f aca="false">IF($A289="","",IF($C289=0,"No visits",IF($F289&gt;90,"Lapsed",IF($F289&gt;35,"At risk",IF($C289&gt;=4,"Loyal","Active")))))</f>
        <v/>
      </c>
      <c r="H289" s="9" t="str">
        <f aca="false">IF(OR($A289="",$C289=0),"",$D289/$C289)</f>
        <v/>
      </c>
      <c r="I289" s="20"/>
      <c r="J289" s="20"/>
      <c r="K289" s="19"/>
      <c r="L289" s="19"/>
      <c r="M289" s="19"/>
      <c r="N289" s="15" t="str">
        <f aca="false">IF($A289="","",IF($C289=0,0,(IF($F289&lt;=15,5,IF($F289&lt;=30,4,IF($F289&lt;=45,3,IF($F289&lt;=90,2,1))))+IF($C289&gt;=10,5,IF($C289&gt;=6,4,IF($C289&gt;=4,3,IF($C289&gt;=2,2,1))))+IF($D289&gt;=20000,5,IF($D289&gt;=10000,4,IF($D289&gt;=5000,3,IF($D289&gt;=2000,2,1)))))))</f>
        <v/>
      </c>
      <c r="O289" s="3" t="str">
        <f aca="false">IF($A289="","",IF($C289=0,"No visits",IF($N289&gt;=13,"VIP",IF($N289&gt;=10,"High value",IF($N289&gt;=7,"Regular",IF($N289&gt;=4,"Occasional","Low"))))))</f>
        <v/>
      </c>
      <c r="P289" s="6" t="str">
        <f aca="true">IF(OR($A289="",$I289=""),"",IF(MONTH($I289)=MONTH(TODAY()),"Yes",""))</f>
        <v/>
      </c>
      <c r="Q289" s="21" t="str">
        <f aca="false">IF($A289="","",IF($C289=0,"",_xlfn.MINIFS('Daily tracking'!$A$2:$A$2001,'Daily tracking'!$D$2:$D$2001,$A289)))</f>
        <v/>
      </c>
      <c r="R289" s="6" t="str">
        <f aca="false">IF(OR($A289="",$C289&lt;2),"",($E289-$Q289)/($C289-1))</f>
        <v/>
      </c>
    </row>
    <row r="290" customFormat="false" ht="14.25" hidden="false" customHeight="false" outlineLevel="0" collapsed="false">
      <c r="A290" s="19"/>
      <c r="B290" s="19"/>
      <c r="C290" s="15" t="str">
        <f aca="false">IF($A290="","",COUNTIF('Daily tracking'!$D$2:$D$2001,$A290))</f>
        <v/>
      </c>
      <c r="D290" s="16" t="str">
        <f aca="false">IF($A290="","",SUMIF('Daily tracking'!$D$2:$D$2001,$A290,'Daily tracking'!$G$2:$G$2001))</f>
        <v/>
      </c>
      <c r="E290" s="18" t="str">
        <f aca="false">IF($A290="","",IF($C290=0,"",_xlfn.MAXIFS('Daily tracking'!$A$2:$A$2001,'Daily tracking'!$D$2:$D$2001,$A290)))</f>
        <v/>
      </c>
      <c r="F290" s="6" t="str">
        <f aca="true">IF(OR($A290="",$E290=""),"",TODAY()-$E290)</f>
        <v/>
      </c>
      <c r="G290" s="3" t="str">
        <f aca="false">IF($A290="","",IF($C290=0,"No visits",IF($F290&gt;90,"Lapsed",IF($F290&gt;35,"At risk",IF($C290&gt;=4,"Loyal","Active")))))</f>
        <v/>
      </c>
      <c r="H290" s="9" t="str">
        <f aca="false">IF(OR($A290="",$C290=0),"",$D290/$C290)</f>
        <v/>
      </c>
      <c r="I290" s="20"/>
      <c r="J290" s="20"/>
      <c r="K290" s="19"/>
      <c r="L290" s="19"/>
      <c r="M290" s="19"/>
      <c r="N290" s="15" t="str">
        <f aca="false">IF($A290="","",IF($C290=0,0,(IF($F290&lt;=15,5,IF($F290&lt;=30,4,IF($F290&lt;=45,3,IF($F290&lt;=90,2,1))))+IF($C290&gt;=10,5,IF($C290&gt;=6,4,IF($C290&gt;=4,3,IF($C290&gt;=2,2,1))))+IF($D290&gt;=20000,5,IF($D290&gt;=10000,4,IF($D290&gt;=5000,3,IF($D290&gt;=2000,2,1)))))))</f>
        <v/>
      </c>
      <c r="O290" s="3" t="str">
        <f aca="false">IF($A290="","",IF($C290=0,"No visits",IF($N290&gt;=13,"VIP",IF($N290&gt;=10,"High value",IF($N290&gt;=7,"Regular",IF($N290&gt;=4,"Occasional","Low"))))))</f>
        <v/>
      </c>
      <c r="P290" s="6" t="str">
        <f aca="true">IF(OR($A290="",$I290=""),"",IF(MONTH($I290)=MONTH(TODAY()),"Yes",""))</f>
        <v/>
      </c>
      <c r="Q290" s="21" t="str">
        <f aca="false">IF($A290="","",IF($C290=0,"",_xlfn.MINIFS('Daily tracking'!$A$2:$A$2001,'Daily tracking'!$D$2:$D$2001,$A290)))</f>
        <v/>
      </c>
      <c r="R290" s="6" t="str">
        <f aca="false">IF(OR($A290="",$C290&lt;2),"",($E290-$Q290)/($C290-1))</f>
        <v/>
      </c>
    </row>
    <row r="291" customFormat="false" ht="14.25" hidden="false" customHeight="false" outlineLevel="0" collapsed="false">
      <c r="A291" s="19"/>
      <c r="B291" s="19"/>
      <c r="C291" s="15" t="str">
        <f aca="false">IF($A291="","",COUNTIF('Daily tracking'!$D$2:$D$2001,$A291))</f>
        <v/>
      </c>
      <c r="D291" s="16" t="str">
        <f aca="false">IF($A291="","",SUMIF('Daily tracking'!$D$2:$D$2001,$A291,'Daily tracking'!$G$2:$G$2001))</f>
        <v/>
      </c>
      <c r="E291" s="18" t="str">
        <f aca="false">IF($A291="","",IF($C291=0,"",_xlfn.MAXIFS('Daily tracking'!$A$2:$A$2001,'Daily tracking'!$D$2:$D$2001,$A291)))</f>
        <v/>
      </c>
      <c r="F291" s="6" t="str">
        <f aca="true">IF(OR($A291="",$E291=""),"",TODAY()-$E291)</f>
        <v/>
      </c>
      <c r="G291" s="3" t="str">
        <f aca="false">IF($A291="","",IF($C291=0,"No visits",IF($F291&gt;90,"Lapsed",IF($F291&gt;35,"At risk",IF($C291&gt;=4,"Loyal","Active")))))</f>
        <v/>
      </c>
      <c r="H291" s="9" t="str">
        <f aca="false">IF(OR($A291="",$C291=0),"",$D291/$C291)</f>
        <v/>
      </c>
      <c r="I291" s="20"/>
      <c r="J291" s="20"/>
      <c r="K291" s="19"/>
      <c r="L291" s="19"/>
      <c r="M291" s="19"/>
      <c r="N291" s="15" t="str">
        <f aca="false">IF($A291="","",IF($C291=0,0,(IF($F291&lt;=15,5,IF($F291&lt;=30,4,IF($F291&lt;=45,3,IF($F291&lt;=90,2,1))))+IF($C291&gt;=10,5,IF($C291&gt;=6,4,IF($C291&gt;=4,3,IF($C291&gt;=2,2,1))))+IF($D291&gt;=20000,5,IF($D291&gt;=10000,4,IF($D291&gt;=5000,3,IF($D291&gt;=2000,2,1)))))))</f>
        <v/>
      </c>
      <c r="O291" s="3" t="str">
        <f aca="false">IF($A291="","",IF($C291=0,"No visits",IF($N291&gt;=13,"VIP",IF($N291&gt;=10,"High value",IF($N291&gt;=7,"Regular",IF($N291&gt;=4,"Occasional","Low"))))))</f>
        <v/>
      </c>
      <c r="P291" s="6" t="str">
        <f aca="true">IF(OR($A291="",$I291=""),"",IF(MONTH($I291)=MONTH(TODAY()),"Yes",""))</f>
        <v/>
      </c>
      <c r="Q291" s="21" t="str">
        <f aca="false">IF($A291="","",IF($C291=0,"",_xlfn.MINIFS('Daily tracking'!$A$2:$A$2001,'Daily tracking'!$D$2:$D$2001,$A291)))</f>
        <v/>
      </c>
      <c r="R291" s="6" t="str">
        <f aca="false">IF(OR($A291="",$C291&lt;2),"",($E291-$Q291)/($C291-1))</f>
        <v/>
      </c>
    </row>
    <row r="292" customFormat="false" ht="14.25" hidden="false" customHeight="false" outlineLevel="0" collapsed="false">
      <c r="A292" s="19"/>
      <c r="B292" s="19"/>
      <c r="C292" s="15" t="str">
        <f aca="false">IF($A292="","",COUNTIF('Daily tracking'!$D$2:$D$2001,$A292))</f>
        <v/>
      </c>
      <c r="D292" s="16" t="str">
        <f aca="false">IF($A292="","",SUMIF('Daily tracking'!$D$2:$D$2001,$A292,'Daily tracking'!$G$2:$G$2001))</f>
        <v/>
      </c>
      <c r="E292" s="18" t="str">
        <f aca="false">IF($A292="","",IF($C292=0,"",_xlfn.MAXIFS('Daily tracking'!$A$2:$A$2001,'Daily tracking'!$D$2:$D$2001,$A292)))</f>
        <v/>
      </c>
      <c r="F292" s="6" t="str">
        <f aca="true">IF(OR($A292="",$E292=""),"",TODAY()-$E292)</f>
        <v/>
      </c>
      <c r="G292" s="3" t="str">
        <f aca="false">IF($A292="","",IF($C292=0,"No visits",IF($F292&gt;90,"Lapsed",IF($F292&gt;35,"At risk",IF($C292&gt;=4,"Loyal","Active")))))</f>
        <v/>
      </c>
      <c r="H292" s="9" t="str">
        <f aca="false">IF(OR($A292="",$C292=0),"",$D292/$C292)</f>
        <v/>
      </c>
      <c r="I292" s="20"/>
      <c r="J292" s="20"/>
      <c r="K292" s="19"/>
      <c r="L292" s="19"/>
      <c r="M292" s="19"/>
      <c r="N292" s="15" t="str">
        <f aca="false">IF($A292="","",IF($C292=0,0,(IF($F292&lt;=15,5,IF($F292&lt;=30,4,IF($F292&lt;=45,3,IF($F292&lt;=90,2,1))))+IF($C292&gt;=10,5,IF($C292&gt;=6,4,IF($C292&gt;=4,3,IF($C292&gt;=2,2,1))))+IF($D292&gt;=20000,5,IF($D292&gt;=10000,4,IF($D292&gt;=5000,3,IF($D292&gt;=2000,2,1)))))))</f>
        <v/>
      </c>
      <c r="O292" s="3" t="str">
        <f aca="false">IF($A292="","",IF($C292=0,"No visits",IF($N292&gt;=13,"VIP",IF($N292&gt;=10,"High value",IF($N292&gt;=7,"Regular",IF($N292&gt;=4,"Occasional","Low"))))))</f>
        <v/>
      </c>
      <c r="P292" s="6" t="str">
        <f aca="true">IF(OR($A292="",$I292=""),"",IF(MONTH($I292)=MONTH(TODAY()),"Yes",""))</f>
        <v/>
      </c>
      <c r="Q292" s="21" t="str">
        <f aca="false">IF($A292="","",IF($C292=0,"",_xlfn.MINIFS('Daily tracking'!$A$2:$A$2001,'Daily tracking'!$D$2:$D$2001,$A292)))</f>
        <v/>
      </c>
      <c r="R292" s="6" t="str">
        <f aca="false">IF(OR($A292="",$C292&lt;2),"",($E292-$Q292)/($C292-1))</f>
        <v/>
      </c>
    </row>
    <row r="293" customFormat="false" ht="14.25" hidden="false" customHeight="false" outlineLevel="0" collapsed="false">
      <c r="A293" s="19"/>
      <c r="B293" s="19"/>
      <c r="C293" s="15" t="str">
        <f aca="false">IF($A293="","",COUNTIF('Daily tracking'!$D$2:$D$2001,$A293))</f>
        <v/>
      </c>
      <c r="D293" s="16" t="str">
        <f aca="false">IF($A293="","",SUMIF('Daily tracking'!$D$2:$D$2001,$A293,'Daily tracking'!$G$2:$G$2001))</f>
        <v/>
      </c>
      <c r="E293" s="18" t="str">
        <f aca="false">IF($A293="","",IF($C293=0,"",_xlfn.MAXIFS('Daily tracking'!$A$2:$A$2001,'Daily tracking'!$D$2:$D$2001,$A293)))</f>
        <v/>
      </c>
      <c r="F293" s="6" t="str">
        <f aca="true">IF(OR($A293="",$E293=""),"",TODAY()-$E293)</f>
        <v/>
      </c>
      <c r="G293" s="3" t="str">
        <f aca="false">IF($A293="","",IF($C293=0,"No visits",IF($F293&gt;90,"Lapsed",IF($F293&gt;35,"At risk",IF($C293&gt;=4,"Loyal","Active")))))</f>
        <v/>
      </c>
      <c r="H293" s="9" t="str">
        <f aca="false">IF(OR($A293="",$C293=0),"",$D293/$C293)</f>
        <v/>
      </c>
      <c r="I293" s="20"/>
      <c r="J293" s="20"/>
      <c r="K293" s="19"/>
      <c r="L293" s="19"/>
      <c r="M293" s="19"/>
      <c r="N293" s="15" t="str">
        <f aca="false">IF($A293="","",IF($C293=0,0,(IF($F293&lt;=15,5,IF($F293&lt;=30,4,IF($F293&lt;=45,3,IF($F293&lt;=90,2,1))))+IF($C293&gt;=10,5,IF($C293&gt;=6,4,IF($C293&gt;=4,3,IF($C293&gt;=2,2,1))))+IF($D293&gt;=20000,5,IF($D293&gt;=10000,4,IF($D293&gt;=5000,3,IF($D293&gt;=2000,2,1)))))))</f>
        <v/>
      </c>
      <c r="O293" s="3" t="str">
        <f aca="false">IF($A293="","",IF($C293=0,"No visits",IF($N293&gt;=13,"VIP",IF($N293&gt;=10,"High value",IF($N293&gt;=7,"Regular",IF($N293&gt;=4,"Occasional","Low"))))))</f>
        <v/>
      </c>
      <c r="P293" s="6" t="str">
        <f aca="true">IF(OR($A293="",$I293=""),"",IF(MONTH($I293)=MONTH(TODAY()),"Yes",""))</f>
        <v/>
      </c>
      <c r="Q293" s="21" t="str">
        <f aca="false">IF($A293="","",IF($C293=0,"",_xlfn.MINIFS('Daily tracking'!$A$2:$A$2001,'Daily tracking'!$D$2:$D$2001,$A293)))</f>
        <v/>
      </c>
      <c r="R293" s="6" t="str">
        <f aca="false">IF(OR($A293="",$C293&lt;2),"",($E293-$Q293)/($C293-1))</f>
        <v/>
      </c>
    </row>
    <row r="294" customFormat="false" ht="14.25" hidden="false" customHeight="false" outlineLevel="0" collapsed="false">
      <c r="A294" s="19"/>
      <c r="B294" s="19"/>
      <c r="C294" s="15" t="str">
        <f aca="false">IF($A294="","",COUNTIF('Daily tracking'!$D$2:$D$2001,$A294))</f>
        <v/>
      </c>
      <c r="D294" s="16" t="str">
        <f aca="false">IF($A294="","",SUMIF('Daily tracking'!$D$2:$D$2001,$A294,'Daily tracking'!$G$2:$G$2001))</f>
        <v/>
      </c>
      <c r="E294" s="18" t="str">
        <f aca="false">IF($A294="","",IF($C294=0,"",_xlfn.MAXIFS('Daily tracking'!$A$2:$A$2001,'Daily tracking'!$D$2:$D$2001,$A294)))</f>
        <v/>
      </c>
      <c r="F294" s="6" t="str">
        <f aca="true">IF(OR($A294="",$E294=""),"",TODAY()-$E294)</f>
        <v/>
      </c>
      <c r="G294" s="3" t="str">
        <f aca="false">IF($A294="","",IF($C294=0,"No visits",IF($F294&gt;90,"Lapsed",IF($F294&gt;35,"At risk",IF($C294&gt;=4,"Loyal","Active")))))</f>
        <v/>
      </c>
      <c r="H294" s="9" t="str">
        <f aca="false">IF(OR($A294="",$C294=0),"",$D294/$C294)</f>
        <v/>
      </c>
      <c r="I294" s="20"/>
      <c r="J294" s="20"/>
      <c r="K294" s="19"/>
      <c r="L294" s="19"/>
      <c r="M294" s="19"/>
      <c r="N294" s="15" t="str">
        <f aca="false">IF($A294="","",IF($C294=0,0,(IF($F294&lt;=15,5,IF($F294&lt;=30,4,IF($F294&lt;=45,3,IF($F294&lt;=90,2,1))))+IF($C294&gt;=10,5,IF($C294&gt;=6,4,IF($C294&gt;=4,3,IF($C294&gt;=2,2,1))))+IF($D294&gt;=20000,5,IF($D294&gt;=10000,4,IF($D294&gt;=5000,3,IF($D294&gt;=2000,2,1)))))))</f>
        <v/>
      </c>
      <c r="O294" s="3" t="str">
        <f aca="false">IF($A294="","",IF($C294=0,"No visits",IF($N294&gt;=13,"VIP",IF($N294&gt;=10,"High value",IF($N294&gt;=7,"Regular",IF($N294&gt;=4,"Occasional","Low"))))))</f>
        <v/>
      </c>
      <c r="P294" s="6" t="str">
        <f aca="true">IF(OR($A294="",$I294=""),"",IF(MONTH($I294)=MONTH(TODAY()),"Yes",""))</f>
        <v/>
      </c>
      <c r="Q294" s="21" t="str">
        <f aca="false">IF($A294="","",IF($C294=0,"",_xlfn.MINIFS('Daily tracking'!$A$2:$A$2001,'Daily tracking'!$D$2:$D$2001,$A294)))</f>
        <v/>
      </c>
      <c r="R294" s="6" t="str">
        <f aca="false">IF(OR($A294="",$C294&lt;2),"",($E294-$Q294)/($C294-1))</f>
        <v/>
      </c>
    </row>
    <row r="295" customFormat="false" ht="14.25" hidden="false" customHeight="false" outlineLevel="0" collapsed="false">
      <c r="A295" s="19"/>
      <c r="B295" s="19"/>
      <c r="C295" s="15" t="str">
        <f aca="false">IF($A295="","",COUNTIF('Daily tracking'!$D$2:$D$2001,$A295))</f>
        <v/>
      </c>
      <c r="D295" s="16" t="str">
        <f aca="false">IF($A295="","",SUMIF('Daily tracking'!$D$2:$D$2001,$A295,'Daily tracking'!$G$2:$G$2001))</f>
        <v/>
      </c>
      <c r="E295" s="18" t="str">
        <f aca="false">IF($A295="","",IF($C295=0,"",_xlfn.MAXIFS('Daily tracking'!$A$2:$A$2001,'Daily tracking'!$D$2:$D$2001,$A295)))</f>
        <v/>
      </c>
      <c r="F295" s="6" t="str">
        <f aca="true">IF(OR($A295="",$E295=""),"",TODAY()-$E295)</f>
        <v/>
      </c>
      <c r="G295" s="3" t="str">
        <f aca="false">IF($A295="","",IF($C295=0,"No visits",IF($F295&gt;90,"Lapsed",IF($F295&gt;35,"At risk",IF($C295&gt;=4,"Loyal","Active")))))</f>
        <v/>
      </c>
      <c r="H295" s="9" t="str">
        <f aca="false">IF(OR($A295="",$C295=0),"",$D295/$C295)</f>
        <v/>
      </c>
      <c r="I295" s="20"/>
      <c r="J295" s="20"/>
      <c r="K295" s="19"/>
      <c r="L295" s="19"/>
      <c r="M295" s="19"/>
      <c r="N295" s="15" t="str">
        <f aca="false">IF($A295="","",IF($C295=0,0,(IF($F295&lt;=15,5,IF($F295&lt;=30,4,IF($F295&lt;=45,3,IF($F295&lt;=90,2,1))))+IF($C295&gt;=10,5,IF($C295&gt;=6,4,IF($C295&gt;=4,3,IF($C295&gt;=2,2,1))))+IF($D295&gt;=20000,5,IF($D295&gt;=10000,4,IF($D295&gt;=5000,3,IF($D295&gt;=2000,2,1)))))))</f>
        <v/>
      </c>
      <c r="O295" s="3" t="str">
        <f aca="false">IF($A295="","",IF($C295=0,"No visits",IF($N295&gt;=13,"VIP",IF($N295&gt;=10,"High value",IF($N295&gt;=7,"Regular",IF($N295&gt;=4,"Occasional","Low"))))))</f>
        <v/>
      </c>
      <c r="P295" s="6" t="str">
        <f aca="true">IF(OR($A295="",$I295=""),"",IF(MONTH($I295)=MONTH(TODAY()),"Yes",""))</f>
        <v/>
      </c>
      <c r="Q295" s="21" t="str">
        <f aca="false">IF($A295="","",IF($C295=0,"",_xlfn.MINIFS('Daily tracking'!$A$2:$A$2001,'Daily tracking'!$D$2:$D$2001,$A295)))</f>
        <v/>
      </c>
      <c r="R295" s="6" t="str">
        <f aca="false">IF(OR($A295="",$C295&lt;2),"",($E295-$Q295)/($C295-1))</f>
        <v/>
      </c>
    </row>
    <row r="296" customFormat="false" ht="14.25" hidden="false" customHeight="false" outlineLevel="0" collapsed="false">
      <c r="A296" s="19"/>
      <c r="B296" s="19"/>
      <c r="C296" s="15" t="str">
        <f aca="false">IF($A296="","",COUNTIF('Daily tracking'!$D$2:$D$2001,$A296))</f>
        <v/>
      </c>
      <c r="D296" s="16" t="str">
        <f aca="false">IF($A296="","",SUMIF('Daily tracking'!$D$2:$D$2001,$A296,'Daily tracking'!$G$2:$G$2001))</f>
        <v/>
      </c>
      <c r="E296" s="18" t="str">
        <f aca="false">IF($A296="","",IF($C296=0,"",_xlfn.MAXIFS('Daily tracking'!$A$2:$A$2001,'Daily tracking'!$D$2:$D$2001,$A296)))</f>
        <v/>
      </c>
      <c r="F296" s="6" t="str">
        <f aca="true">IF(OR($A296="",$E296=""),"",TODAY()-$E296)</f>
        <v/>
      </c>
      <c r="G296" s="3" t="str">
        <f aca="false">IF($A296="","",IF($C296=0,"No visits",IF($F296&gt;90,"Lapsed",IF($F296&gt;35,"At risk",IF($C296&gt;=4,"Loyal","Active")))))</f>
        <v/>
      </c>
      <c r="H296" s="9" t="str">
        <f aca="false">IF(OR($A296="",$C296=0),"",$D296/$C296)</f>
        <v/>
      </c>
      <c r="I296" s="20"/>
      <c r="J296" s="20"/>
      <c r="K296" s="19"/>
      <c r="L296" s="19"/>
      <c r="M296" s="19"/>
      <c r="N296" s="15" t="str">
        <f aca="false">IF($A296="","",IF($C296=0,0,(IF($F296&lt;=15,5,IF($F296&lt;=30,4,IF($F296&lt;=45,3,IF($F296&lt;=90,2,1))))+IF($C296&gt;=10,5,IF($C296&gt;=6,4,IF($C296&gt;=4,3,IF($C296&gt;=2,2,1))))+IF($D296&gt;=20000,5,IF($D296&gt;=10000,4,IF($D296&gt;=5000,3,IF($D296&gt;=2000,2,1)))))))</f>
        <v/>
      </c>
      <c r="O296" s="3" t="str">
        <f aca="false">IF($A296="","",IF($C296=0,"No visits",IF($N296&gt;=13,"VIP",IF($N296&gt;=10,"High value",IF($N296&gt;=7,"Regular",IF($N296&gt;=4,"Occasional","Low"))))))</f>
        <v/>
      </c>
      <c r="P296" s="6" t="str">
        <f aca="true">IF(OR($A296="",$I296=""),"",IF(MONTH($I296)=MONTH(TODAY()),"Yes",""))</f>
        <v/>
      </c>
      <c r="Q296" s="21" t="str">
        <f aca="false">IF($A296="","",IF($C296=0,"",_xlfn.MINIFS('Daily tracking'!$A$2:$A$2001,'Daily tracking'!$D$2:$D$2001,$A296)))</f>
        <v/>
      </c>
      <c r="R296" s="6" t="str">
        <f aca="false">IF(OR($A296="",$C296&lt;2),"",($E296-$Q296)/($C296-1))</f>
        <v/>
      </c>
    </row>
    <row r="297" customFormat="false" ht="14.25" hidden="false" customHeight="false" outlineLevel="0" collapsed="false">
      <c r="A297" s="19"/>
      <c r="B297" s="19"/>
      <c r="C297" s="15" t="str">
        <f aca="false">IF($A297="","",COUNTIF('Daily tracking'!$D$2:$D$2001,$A297))</f>
        <v/>
      </c>
      <c r="D297" s="16" t="str">
        <f aca="false">IF($A297="","",SUMIF('Daily tracking'!$D$2:$D$2001,$A297,'Daily tracking'!$G$2:$G$2001))</f>
        <v/>
      </c>
      <c r="E297" s="18" t="str">
        <f aca="false">IF($A297="","",IF($C297=0,"",_xlfn.MAXIFS('Daily tracking'!$A$2:$A$2001,'Daily tracking'!$D$2:$D$2001,$A297)))</f>
        <v/>
      </c>
      <c r="F297" s="6" t="str">
        <f aca="true">IF(OR($A297="",$E297=""),"",TODAY()-$E297)</f>
        <v/>
      </c>
      <c r="G297" s="3" t="str">
        <f aca="false">IF($A297="","",IF($C297=0,"No visits",IF($F297&gt;90,"Lapsed",IF($F297&gt;35,"At risk",IF($C297&gt;=4,"Loyal","Active")))))</f>
        <v/>
      </c>
      <c r="H297" s="9" t="str">
        <f aca="false">IF(OR($A297="",$C297=0),"",$D297/$C297)</f>
        <v/>
      </c>
      <c r="I297" s="20"/>
      <c r="J297" s="20"/>
      <c r="K297" s="19"/>
      <c r="L297" s="19"/>
      <c r="M297" s="19"/>
      <c r="N297" s="15" t="str">
        <f aca="false">IF($A297="","",IF($C297=0,0,(IF($F297&lt;=15,5,IF($F297&lt;=30,4,IF($F297&lt;=45,3,IF($F297&lt;=90,2,1))))+IF($C297&gt;=10,5,IF($C297&gt;=6,4,IF($C297&gt;=4,3,IF($C297&gt;=2,2,1))))+IF($D297&gt;=20000,5,IF($D297&gt;=10000,4,IF($D297&gt;=5000,3,IF($D297&gt;=2000,2,1)))))))</f>
        <v/>
      </c>
      <c r="O297" s="3" t="str">
        <f aca="false">IF($A297="","",IF($C297=0,"No visits",IF($N297&gt;=13,"VIP",IF($N297&gt;=10,"High value",IF($N297&gt;=7,"Regular",IF($N297&gt;=4,"Occasional","Low"))))))</f>
        <v/>
      </c>
      <c r="P297" s="6" t="str">
        <f aca="true">IF(OR($A297="",$I297=""),"",IF(MONTH($I297)=MONTH(TODAY()),"Yes",""))</f>
        <v/>
      </c>
      <c r="Q297" s="21" t="str">
        <f aca="false">IF($A297="","",IF($C297=0,"",_xlfn.MINIFS('Daily tracking'!$A$2:$A$2001,'Daily tracking'!$D$2:$D$2001,$A297)))</f>
        <v/>
      </c>
      <c r="R297" s="6" t="str">
        <f aca="false">IF(OR($A297="",$C297&lt;2),"",($E297-$Q297)/($C297-1))</f>
        <v/>
      </c>
    </row>
    <row r="298" customFormat="false" ht="14.25" hidden="false" customHeight="false" outlineLevel="0" collapsed="false">
      <c r="A298" s="19"/>
      <c r="B298" s="19"/>
      <c r="C298" s="15" t="str">
        <f aca="false">IF($A298="","",COUNTIF('Daily tracking'!$D$2:$D$2001,$A298))</f>
        <v/>
      </c>
      <c r="D298" s="16" t="str">
        <f aca="false">IF($A298="","",SUMIF('Daily tracking'!$D$2:$D$2001,$A298,'Daily tracking'!$G$2:$G$2001))</f>
        <v/>
      </c>
      <c r="E298" s="18" t="str">
        <f aca="false">IF($A298="","",IF($C298=0,"",_xlfn.MAXIFS('Daily tracking'!$A$2:$A$2001,'Daily tracking'!$D$2:$D$2001,$A298)))</f>
        <v/>
      </c>
      <c r="F298" s="6" t="str">
        <f aca="true">IF(OR($A298="",$E298=""),"",TODAY()-$E298)</f>
        <v/>
      </c>
      <c r="G298" s="3" t="str">
        <f aca="false">IF($A298="","",IF($C298=0,"No visits",IF($F298&gt;90,"Lapsed",IF($F298&gt;35,"At risk",IF($C298&gt;=4,"Loyal","Active")))))</f>
        <v/>
      </c>
      <c r="H298" s="9" t="str">
        <f aca="false">IF(OR($A298="",$C298=0),"",$D298/$C298)</f>
        <v/>
      </c>
      <c r="I298" s="20"/>
      <c r="J298" s="20"/>
      <c r="K298" s="19"/>
      <c r="L298" s="19"/>
      <c r="M298" s="19"/>
      <c r="N298" s="15" t="str">
        <f aca="false">IF($A298="","",IF($C298=0,0,(IF($F298&lt;=15,5,IF($F298&lt;=30,4,IF($F298&lt;=45,3,IF($F298&lt;=90,2,1))))+IF($C298&gt;=10,5,IF($C298&gt;=6,4,IF($C298&gt;=4,3,IF($C298&gt;=2,2,1))))+IF($D298&gt;=20000,5,IF($D298&gt;=10000,4,IF($D298&gt;=5000,3,IF($D298&gt;=2000,2,1)))))))</f>
        <v/>
      </c>
      <c r="O298" s="3" t="str">
        <f aca="false">IF($A298="","",IF($C298=0,"No visits",IF($N298&gt;=13,"VIP",IF($N298&gt;=10,"High value",IF($N298&gt;=7,"Regular",IF($N298&gt;=4,"Occasional","Low"))))))</f>
        <v/>
      </c>
      <c r="P298" s="6" t="str">
        <f aca="true">IF(OR($A298="",$I298=""),"",IF(MONTH($I298)=MONTH(TODAY()),"Yes",""))</f>
        <v/>
      </c>
      <c r="Q298" s="21" t="str">
        <f aca="false">IF($A298="","",IF($C298=0,"",_xlfn.MINIFS('Daily tracking'!$A$2:$A$2001,'Daily tracking'!$D$2:$D$2001,$A298)))</f>
        <v/>
      </c>
      <c r="R298" s="6" t="str">
        <f aca="false">IF(OR($A298="",$C298&lt;2),"",($E298-$Q298)/($C298-1))</f>
        <v/>
      </c>
    </row>
    <row r="299" customFormat="false" ht="14.25" hidden="false" customHeight="false" outlineLevel="0" collapsed="false">
      <c r="A299" s="19"/>
      <c r="B299" s="19"/>
      <c r="C299" s="15" t="str">
        <f aca="false">IF($A299="","",COUNTIF('Daily tracking'!$D$2:$D$2001,$A299))</f>
        <v/>
      </c>
      <c r="D299" s="16" t="str">
        <f aca="false">IF($A299="","",SUMIF('Daily tracking'!$D$2:$D$2001,$A299,'Daily tracking'!$G$2:$G$2001))</f>
        <v/>
      </c>
      <c r="E299" s="18" t="str">
        <f aca="false">IF($A299="","",IF($C299=0,"",_xlfn.MAXIFS('Daily tracking'!$A$2:$A$2001,'Daily tracking'!$D$2:$D$2001,$A299)))</f>
        <v/>
      </c>
      <c r="F299" s="6" t="str">
        <f aca="true">IF(OR($A299="",$E299=""),"",TODAY()-$E299)</f>
        <v/>
      </c>
      <c r="G299" s="3" t="str">
        <f aca="false">IF($A299="","",IF($C299=0,"No visits",IF($F299&gt;90,"Lapsed",IF($F299&gt;35,"At risk",IF($C299&gt;=4,"Loyal","Active")))))</f>
        <v/>
      </c>
      <c r="H299" s="9" t="str">
        <f aca="false">IF(OR($A299="",$C299=0),"",$D299/$C299)</f>
        <v/>
      </c>
      <c r="I299" s="20"/>
      <c r="J299" s="20"/>
      <c r="K299" s="19"/>
      <c r="L299" s="19"/>
      <c r="M299" s="19"/>
      <c r="N299" s="15" t="str">
        <f aca="false">IF($A299="","",IF($C299=0,0,(IF($F299&lt;=15,5,IF($F299&lt;=30,4,IF($F299&lt;=45,3,IF($F299&lt;=90,2,1))))+IF($C299&gt;=10,5,IF($C299&gt;=6,4,IF($C299&gt;=4,3,IF($C299&gt;=2,2,1))))+IF($D299&gt;=20000,5,IF($D299&gt;=10000,4,IF($D299&gt;=5000,3,IF($D299&gt;=2000,2,1)))))))</f>
        <v/>
      </c>
      <c r="O299" s="3" t="str">
        <f aca="false">IF($A299="","",IF($C299=0,"No visits",IF($N299&gt;=13,"VIP",IF($N299&gt;=10,"High value",IF($N299&gt;=7,"Regular",IF($N299&gt;=4,"Occasional","Low"))))))</f>
        <v/>
      </c>
      <c r="P299" s="6" t="str">
        <f aca="true">IF(OR($A299="",$I299=""),"",IF(MONTH($I299)=MONTH(TODAY()),"Yes",""))</f>
        <v/>
      </c>
      <c r="Q299" s="21" t="str">
        <f aca="false">IF($A299="","",IF($C299=0,"",_xlfn.MINIFS('Daily tracking'!$A$2:$A$2001,'Daily tracking'!$D$2:$D$2001,$A299)))</f>
        <v/>
      </c>
      <c r="R299" s="6" t="str">
        <f aca="false">IF(OR($A299="",$C299&lt;2),"",($E299-$Q299)/($C299-1))</f>
        <v/>
      </c>
    </row>
    <row r="300" customFormat="false" ht="14.25" hidden="false" customHeight="false" outlineLevel="0" collapsed="false">
      <c r="A300" s="19"/>
      <c r="B300" s="19"/>
      <c r="C300" s="15" t="str">
        <f aca="false">IF($A300="","",COUNTIF('Daily tracking'!$D$2:$D$2001,$A300))</f>
        <v/>
      </c>
      <c r="D300" s="16" t="str">
        <f aca="false">IF($A300="","",SUMIF('Daily tracking'!$D$2:$D$2001,$A300,'Daily tracking'!$G$2:$G$2001))</f>
        <v/>
      </c>
      <c r="E300" s="18" t="str">
        <f aca="false">IF($A300="","",IF($C300=0,"",_xlfn.MAXIFS('Daily tracking'!$A$2:$A$2001,'Daily tracking'!$D$2:$D$2001,$A300)))</f>
        <v/>
      </c>
      <c r="F300" s="6" t="str">
        <f aca="true">IF(OR($A300="",$E300=""),"",TODAY()-$E300)</f>
        <v/>
      </c>
      <c r="G300" s="3" t="str">
        <f aca="false">IF($A300="","",IF($C300=0,"No visits",IF($F300&gt;90,"Lapsed",IF($F300&gt;35,"At risk",IF($C300&gt;=4,"Loyal","Active")))))</f>
        <v/>
      </c>
      <c r="H300" s="9" t="str">
        <f aca="false">IF(OR($A300="",$C300=0),"",$D300/$C300)</f>
        <v/>
      </c>
      <c r="I300" s="20"/>
      <c r="J300" s="20"/>
      <c r="K300" s="19"/>
      <c r="L300" s="19"/>
      <c r="M300" s="19"/>
      <c r="N300" s="15" t="str">
        <f aca="false">IF($A300="","",IF($C300=0,0,(IF($F300&lt;=15,5,IF($F300&lt;=30,4,IF($F300&lt;=45,3,IF($F300&lt;=90,2,1))))+IF($C300&gt;=10,5,IF($C300&gt;=6,4,IF($C300&gt;=4,3,IF($C300&gt;=2,2,1))))+IF($D300&gt;=20000,5,IF($D300&gt;=10000,4,IF($D300&gt;=5000,3,IF($D300&gt;=2000,2,1)))))))</f>
        <v/>
      </c>
      <c r="O300" s="3" t="str">
        <f aca="false">IF($A300="","",IF($C300=0,"No visits",IF($N300&gt;=13,"VIP",IF($N300&gt;=10,"High value",IF($N300&gt;=7,"Regular",IF($N300&gt;=4,"Occasional","Low"))))))</f>
        <v/>
      </c>
      <c r="P300" s="6" t="str">
        <f aca="true">IF(OR($A300="",$I300=""),"",IF(MONTH($I300)=MONTH(TODAY()),"Yes",""))</f>
        <v/>
      </c>
      <c r="Q300" s="21" t="str">
        <f aca="false">IF($A300="","",IF($C300=0,"",_xlfn.MINIFS('Daily tracking'!$A$2:$A$2001,'Daily tracking'!$D$2:$D$2001,$A300)))</f>
        <v/>
      </c>
      <c r="R300" s="6" t="str">
        <f aca="false">IF(OR($A300="",$C300&lt;2),"",($E300-$Q300)/($C300-1))</f>
        <v/>
      </c>
    </row>
    <row r="301" customFormat="false" ht="14.25" hidden="false" customHeight="false" outlineLevel="0" collapsed="false">
      <c r="A301" s="19"/>
      <c r="B301" s="19"/>
      <c r="C301" s="15" t="str">
        <f aca="false">IF($A301="","",COUNTIF('Daily tracking'!$D$2:$D$2001,$A301))</f>
        <v/>
      </c>
      <c r="D301" s="16" t="str">
        <f aca="false">IF($A301="","",SUMIF('Daily tracking'!$D$2:$D$2001,$A301,'Daily tracking'!$G$2:$G$2001))</f>
        <v/>
      </c>
      <c r="E301" s="18" t="str">
        <f aca="false">IF($A301="","",IF($C301=0,"",_xlfn.MAXIFS('Daily tracking'!$A$2:$A$2001,'Daily tracking'!$D$2:$D$2001,$A301)))</f>
        <v/>
      </c>
      <c r="F301" s="6" t="str">
        <f aca="true">IF(OR($A301="",$E301=""),"",TODAY()-$E301)</f>
        <v/>
      </c>
      <c r="G301" s="3" t="str">
        <f aca="false">IF($A301="","",IF($C301=0,"No visits",IF($F301&gt;90,"Lapsed",IF($F301&gt;35,"At risk",IF($C301&gt;=4,"Loyal","Active")))))</f>
        <v/>
      </c>
      <c r="H301" s="9" t="str">
        <f aca="false">IF(OR($A301="",$C301=0),"",$D301/$C301)</f>
        <v/>
      </c>
      <c r="I301" s="20"/>
      <c r="J301" s="20"/>
      <c r="K301" s="19"/>
      <c r="L301" s="19"/>
      <c r="M301" s="19"/>
      <c r="N301" s="15" t="str">
        <f aca="false">IF($A301="","",IF($C301=0,0,(IF($F301&lt;=15,5,IF($F301&lt;=30,4,IF($F301&lt;=45,3,IF($F301&lt;=90,2,1))))+IF($C301&gt;=10,5,IF($C301&gt;=6,4,IF($C301&gt;=4,3,IF($C301&gt;=2,2,1))))+IF($D301&gt;=20000,5,IF($D301&gt;=10000,4,IF($D301&gt;=5000,3,IF($D301&gt;=2000,2,1)))))))</f>
        <v/>
      </c>
      <c r="O301" s="3" t="str">
        <f aca="false">IF($A301="","",IF($C301=0,"No visits",IF($N301&gt;=13,"VIP",IF($N301&gt;=10,"High value",IF($N301&gt;=7,"Regular",IF($N301&gt;=4,"Occasional","Low"))))))</f>
        <v/>
      </c>
      <c r="P301" s="6" t="str">
        <f aca="true">IF(OR($A301="",$I301=""),"",IF(MONTH($I301)=MONTH(TODAY()),"Yes",""))</f>
        <v/>
      </c>
      <c r="Q301" s="21" t="str">
        <f aca="false">IF($A301="","",IF($C301=0,"",_xlfn.MINIFS('Daily tracking'!$A$2:$A$2001,'Daily tracking'!$D$2:$D$2001,$A301)))</f>
        <v/>
      </c>
      <c r="R301" s="6" t="str">
        <f aca="false">IF(OR($A301="",$C301&lt;2),"",($E301-$Q301)/($C301-1))</f>
        <v/>
      </c>
    </row>
    <row r="302" customFormat="false" ht="14.25" hidden="false" customHeight="false" outlineLevel="0" collapsed="false">
      <c r="A302" s="19"/>
      <c r="B302" s="19"/>
      <c r="C302" s="15" t="str">
        <f aca="false">IF($A302="","",COUNTIF('Daily tracking'!$D$2:$D$2001,$A302))</f>
        <v/>
      </c>
      <c r="D302" s="16" t="str">
        <f aca="false">IF($A302="","",SUMIF('Daily tracking'!$D$2:$D$2001,$A302,'Daily tracking'!$G$2:$G$2001))</f>
        <v/>
      </c>
      <c r="E302" s="18" t="str">
        <f aca="false">IF($A302="","",IF($C302=0,"",_xlfn.MAXIFS('Daily tracking'!$A$2:$A$2001,'Daily tracking'!$D$2:$D$2001,$A302)))</f>
        <v/>
      </c>
      <c r="F302" s="6" t="str">
        <f aca="true">IF(OR($A302="",$E302=""),"",TODAY()-$E302)</f>
        <v/>
      </c>
      <c r="G302" s="3" t="str">
        <f aca="false">IF($A302="","",IF($C302=0,"No visits",IF($F302&gt;90,"Lapsed",IF($F302&gt;35,"At risk",IF($C302&gt;=4,"Loyal","Active")))))</f>
        <v/>
      </c>
      <c r="H302" s="9" t="str">
        <f aca="false">IF(OR($A302="",$C302=0),"",$D302/$C302)</f>
        <v/>
      </c>
      <c r="I302" s="20"/>
      <c r="J302" s="20"/>
      <c r="K302" s="19"/>
      <c r="L302" s="19"/>
      <c r="M302" s="19"/>
      <c r="N302" s="15" t="str">
        <f aca="false">IF($A302="","",IF($C302=0,0,(IF($F302&lt;=15,5,IF($F302&lt;=30,4,IF($F302&lt;=45,3,IF($F302&lt;=90,2,1))))+IF($C302&gt;=10,5,IF($C302&gt;=6,4,IF($C302&gt;=4,3,IF($C302&gt;=2,2,1))))+IF($D302&gt;=20000,5,IF($D302&gt;=10000,4,IF($D302&gt;=5000,3,IF($D302&gt;=2000,2,1)))))))</f>
        <v/>
      </c>
      <c r="O302" s="3" t="str">
        <f aca="false">IF($A302="","",IF($C302=0,"No visits",IF($N302&gt;=13,"VIP",IF($N302&gt;=10,"High value",IF($N302&gt;=7,"Regular",IF($N302&gt;=4,"Occasional","Low"))))))</f>
        <v/>
      </c>
      <c r="P302" s="6" t="str">
        <f aca="true">IF(OR($A302="",$I302=""),"",IF(MONTH($I302)=MONTH(TODAY()),"Yes",""))</f>
        <v/>
      </c>
      <c r="Q302" s="21" t="str">
        <f aca="false">IF($A302="","",IF($C302=0,"",_xlfn.MINIFS('Daily tracking'!$A$2:$A$2001,'Daily tracking'!$D$2:$D$2001,$A302)))</f>
        <v/>
      </c>
      <c r="R302" s="6" t="str">
        <f aca="false">IF(OR($A302="",$C302&lt;2),"",($E302-$Q302)/($C302-1))</f>
        <v/>
      </c>
    </row>
    <row r="303" customFormat="false" ht="14.25" hidden="false" customHeight="false" outlineLevel="0" collapsed="false">
      <c r="A303" s="19"/>
      <c r="B303" s="19"/>
      <c r="C303" s="15" t="str">
        <f aca="false">IF($A303="","",COUNTIF('Daily tracking'!$D$2:$D$2001,$A303))</f>
        <v/>
      </c>
      <c r="D303" s="16" t="str">
        <f aca="false">IF($A303="","",SUMIF('Daily tracking'!$D$2:$D$2001,$A303,'Daily tracking'!$G$2:$G$2001))</f>
        <v/>
      </c>
      <c r="E303" s="18" t="str">
        <f aca="false">IF($A303="","",IF($C303=0,"",_xlfn.MAXIFS('Daily tracking'!$A$2:$A$2001,'Daily tracking'!$D$2:$D$2001,$A303)))</f>
        <v/>
      </c>
      <c r="F303" s="6" t="str">
        <f aca="true">IF(OR($A303="",$E303=""),"",TODAY()-$E303)</f>
        <v/>
      </c>
      <c r="G303" s="3" t="str">
        <f aca="false">IF($A303="","",IF($C303=0,"No visits",IF($F303&gt;90,"Lapsed",IF($F303&gt;35,"At risk",IF($C303&gt;=4,"Loyal","Active")))))</f>
        <v/>
      </c>
      <c r="H303" s="9" t="str">
        <f aca="false">IF(OR($A303="",$C303=0),"",$D303/$C303)</f>
        <v/>
      </c>
      <c r="I303" s="20"/>
      <c r="J303" s="20"/>
      <c r="K303" s="19"/>
      <c r="L303" s="19"/>
      <c r="M303" s="19"/>
      <c r="N303" s="15" t="str">
        <f aca="false">IF($A303="","",IF($C303=0,0,(IF($F303&lt;=15,5,IF($F303&lt;=30,4,IF($F303&lt;=45,3,IF($F303&lt;=90,2,1))))+IF($C303&gt;=10,5,IF($C303&gt;=6,4,IF($C303&gt;=4,3,IF($C303&gt;=2,2,1))))+IF($D303&gt;=20000,5,IF($D303&gt;=10000,4,IF($D303&gt;=5000,3,IF($D303&gt;=2000,2,1)))))))</f>
        <v/>
      </c>
      <c r="O303" s="3" t="str">
        <f aca="false">IF($A303="","",IF($C303=0,"No visits",IF($N303&gt;=13,"VIP",IF($N303&gt;=10,"High value",IF($N303&gt;=7,"Regular",IF($N303&gt;=4,"Occasional","Low"))))))</f>
        <v/>
      </c>
      <c r="P303" s="6" t="str">
        <f aca="true">IF(OR($A303="",$I303=""),"",IF(MONTH($I303)=MONTH(TODAY()),"Yes",""))</f>
        <v/>
      </c>
      <c r="Q303" s="21" t="str">
        <f aca="false">IF($A303="","",IF($C303=0,"",_xlfn.MINIFS('Daily tracking'!$A$2:$A$2001,'Daily tracking'!$D$2:$D$2001,$A303)))</f>
        <v/>
      </c>
      <c r="R303" s="6" t="str">
        <f aca="false">IF(OR($A303="",$C303&lt;2),"",($E303-$Q303)/($C303-1))</f>
        <v/>
      </c>
    </row>
    <row r="304" customFormat="false" ht="14.25" hidden="false" customHeight="false" outlineLevel="0" collapsed="false">
      <c r="A304" s="19"/>
      <c r="B304" s="19"/>
      <c r="C304" s="15" t="str">
        <f aca="false">IF($A304="","",COUNTIF('Daily tracking'!$D$2:$D$2001,$A304))</f>
        <v/>
      </c>
      <c r="D304" s="16" t="str">
        <f aca="false">IF($A304="","",SUMIF('Daily tracking'!$D$2:$D$2001,$A304,'Daily tracking'!$G$2:$G$2001))</f>
        <v/>
      </c>
      <c r="E304" s="18" t="str">
        <f aca="false">IF($A304="","",IF($C304=0,"",_xlfn.MAXIFS('Daily tracking'!$A$2:$A$2001,'Daily tracking'!$D$2:$D$2001,$A304)))</f>
        <v/>
      </c>
      <c r="F304" s="6" t="str">
        <f aca="true">IF(OR($A304="",$E304=""),"",TODAY()-$E304)</f>
        <v/>
      </c>
      <c r="G304" s="3" t="str">
        <f aca="false">IF($A304="","",IF($C304=0,"No visits",IF($F304&gt;90,"Lapsed",IF($F304&gt;35,"At risk",IF($C304&gt;=4,"Loyal","Active")))))</f>
        <v/>
      </c>
      <c r="H304" s="9" t="str">
        <f aca="false">IF(OR($A304="",$C304=0),"",$D304/$C304)</f>
        <v/>
      </c>
      <c r="I304" s="20"/>
      <c r="J304" s="20"/>
      <c r="K304" s="19"/>
      <c r="L304" s="19"/>
      <c r="M304" s="19"/>
      <c r="N304" s="15" t="str">
        <f aca="false">IF($A304="","",IF($C304=0,0,(IF($F304&lt;=15,5,IF($F304&lt;=30,4,IF($F304&lt;=45,3,IF($F304&lt;=90,2,1))))+IF($C304&gt;=10,5,IF($C304&gt;=6,4,IF($C304&gt;=4,3,IF($C304&gt;=2,2,1))))+IF($D304&gt;=20000,5,IF($D304&gt;=10000,4,IF($D304&gt;=5000,3,IF($D304&gt;=2000,2,1)))))))</f>
        <v/>
      </c>
      <c r="O304" s="3" t="str">
        <f aca="false">IF($A304="","",IF($C304=0,"No visits",IF($N304&gt;=13,"VIP",IF($N304&gt;=10,"High value",IF($N304&gt;=7,"Regular",IF($N304&gt;=4,"Occasional","Low"))))))</f>
        <v/>
      </c>
      <c r="P304" s="6" t="str">
        <f aca="true">IF(OR($A304="",$I304=""),"",IF(MONTH($I304)=MONTH(TODAY()),"Yes",""))</f>
        <v/>
      </c>
      <c r="Q304" s="21" t="str">
        <f aca="false">IF($A304="","",IF($C304=0,"",_xlfn.MINIFS('Daily tracking'!$A$2:$A$2001,'Daily tracking'!$D$2:$D$2001,$A304)))</f>
        <v/>
      </c>
      <c r="R304" s="6" t="str">
        <f aca="false">IF(OR($A304="",$C304&lt;2),"",($E304-$Q304)/($C304-1))</f>
        <v/>
      </c>
    </row>
    <row r="305" customFormat="false" ht="14.25" hidden="false" customHeight="false" outlineLevel="0" collapsed="false">
      <c r="A305" s="19"/>
      <c r="B305" s="19"/>
      <c r="C305" s="15" t="str">
        <f aca="false">IF($A305="","",COUNTIF('Daily tracking'!$D$2:$D$2001,$A305))</f>
        <v/>
      </c>
      <c r="D305" s="16" t="str">
        <f aca="false">IF($A305="","",SUMIF('Daily tracking'!$D$2:$D$2001,$A305,'Daily tracking'!$G$2:$G$2001))</f>
        <v/>
      </c>
      <c r="E305" s="18" t="str">
        <f aca="false">IF($A305="","",IF($C305=0,"",_xlfn.MAXIFS('Daily tracking'!$A$2:$A$2001,'Daily tracking'!$D$2:$D$2001,$A305)))</f>
        <v/>
      </c>
      <c r="F305" s="6" t="str">
        <f aca="true">IF(OR($A305="",$E305=""),"",TODAY()-$E305)</f>
        <v/>
      </c>
      <c r="G305" s="3" t="str">
        <f aca="false">IF($A305="","",IF($C305=0,"No visits",IF($F305&gt;90,"Lapsed",IF($F305&gt;35,"At risk",IF($C305&gt;=4,"Loyal","Active")))))</f>
        <v/>
      </c>
      <c r="H305" s="9" t="str">
        <f aca="false">IF(OR($A305="",$C305=0),"",$D305/$C305)</f>
        <v/>
      </c>
      <c r="I305" s="20"/>
      <c r="J305" s="20"/>
      <c r="K305" s="19"/>
      <c r="L305" s="19"/>
      <c r="M305" s="19"/>
      <c r="N305" s="15" t="str">
        <f aca="false">IF($A305="","",IF($C305=0,0,(IF($F305&lt;=15,5,IF($F305&lt;=30,4,IF($F305&lt;=45,3,IF($F305&lt;=90,2,1))))+IF($C305&gt;=10,5,IF($C305&gt;=6,4,IF($C305&gt;=4,3,IF($C305&gt;=2,2,1))))+IF($D305&gt;=20000,5,IF($D305&gt;=10000,4,IF($D305&gt;=5000,3,IF($D305&gt;=2000,2,1)))))))</f>
        <v/>
      </c>
      <c r="O305" s="3" t="str">
        <f aca="false">IF($A305="","",IF($C305=0,"No visits",IF($N305&gt;=13,"VIP",IF($N305&gt;=10,"High value",IF($N305&gt;=7,"Regular",IF($N305&gt;=4,"Occasional","Low"))))))</f>
        <v/>
      </c>
      <c r="P305" s="6" t="str">
        <f aca="true">IF(OR($A305="",$I305=""),"",IF(MONTH($I305)=MONTH(TODAY()),"Yes",""))</f>
        <v/>
      </c>
      <c r="Q305" s="21" t="str">
        <f aca="false">IF($A305="","",IF($C305=0,"",_xlfn.MINIFS('Daily tracking'!$A$2:$A$2001,'Daily tracking'!$D$2:$D$2001,$A305)))</f>
        <v/>
      </c>
      <c r="R305" s="6" t="str">
        <f aca="false">IF(OR($A305="",$C305&lt;2),"",($E305-$Q305)/($C305-1))</f>
        <v/>
      </c>
    </row>
    <row r="306" customFormat="false" ht="14.25" hidden="false" customHeight="false" outlineLevel="0" collapsed="false">
      <c r="A306" s="19"/>
      <c r="B306" s="19"/>
      <c r="C306" s="15" t="str">
        <f aca="false">IF($A306="","",COUNTIF('Daily tracking'!$D$2:$D$2001,$A306))</f>
        <v/>
      </c>
      <c r="D306" s="16" t="str">
        <f aca="false">IF($A306="","",SUMIF('Daily tracking'!$D$2:$D$2001,$A306,'Daily tracking'!$G$2:$G$2001))</f>
        <v/>
      </c>
      <c r="E306" s="18" t="str">
        <f aca="false">IF($A306="","",IF($C306=0,"",_xlfn.MAXIFS('Daily tracking'!$A$2:$A$2001,'Daily tracking'!$D$2:$D$2001,$A306)))</f>
        <v/>
      </c>
      <c r="F306" s="6" t="str">
        <f aca="true">IF(OR($A306="",$E306=""),"",TODAY()-$E306)</f>
        <v/>
      </c>
      <c r="G306" s="3" t="str">
        <f aca="false">IF($A306="","",IF($C306=0,"No visits",IF($F306&gt;90,"Lapsed",IF($F306&gt;35,"At risk",IF($C306&gt;=4,"Loyal","Active")))))</f>
        <v/>
      </c>
      <c r="H306" s="9" t="str">
        <f aca="false">IF(OR($A306="",$C306=0),"",$D306/$C306)</f>
        <v/>
      </c>
      <c r="I306" s="20"/>
      <c r="J306" s="20"/>
      <c r="K306" s="19"/>
      <c r="L306" s="19"/>
      <c r="M306" s="19"/>
      <c r="N306" s="15" t="str">
        <f aca="false">IF($A306="","",IF($C306=0,0,(IF($F306&lt;=15,5,IF($F306&lt;=30,4,IF($F306&lt;=45,3,IF($F306&lt;=90,2,1))))+IF($C306&gt;=10,5,IF($C306&gt;=6,4,IF($C306&gt;=4,3,IF($C306&gt;=2,2,1))))+IF($D306&gt;=20000,5,IF($D306&gt;=10000,4,IF($D306&gt;=5000,3,IF($D306&gt;=2000,2,1)))))))</f>
        <v/>
      </c>
      <c r="O306" s="3" t="str">
        <f aca="false">IF($A306="","",IF($C306=0,"No visits",IF($N306&gt;=13,"VIP",IF($N306&gt;=10,"High value",IF($N306&gt;=7,"Regular",IF($N306&gt;=4,"Occasional","Low"))))))</f>
        <v/>
      </c>
      <c r="P306" s="6" t="str">
        <f aca="true">IF(OR($A306="",$I306=""),"",IF(MONTH($I306)=MONTH(TODAY()),"Yes",""))</f>
        <v/>
      </c>
      <c r="Q306" s="21" t="str">
        <f aca="false">IF($A306="","",IF($C306=0,"",_xlfn.MINIFS('Daily tracking'!$A$2:$A$2001,'Daily tracking'!$D$2:$D$2001,$A306)))</f>
        <v/>
      </c>
      <c r="R306" s="6" t="str">
        <f aca="false">IF(OR($A306="",$C306&lt;2),"",($E306-$Q306)/($C306-1))</f>
        <v/>
      </c>
    </row>
    <row r="307" customFormat="false" ht="14.25" hidden="false" customHeight="false" outlineLevel="0" collapsed="false">
      <c r="A307" s="19"/>
      <c r="B307" s="19"/>
      <c r="C307" s="15" t="str">
        <f aca="false">IF($A307="","",COUNTIF('Daily tracking'!$D$2:$D$2001,$A307))</f>
        <v/>
      </c>
      <c r="D307" s="16" t="str">
        <f aca="false">IF($A307="","",SUMIF('Daily tracking'!$D$2:$D$2001,$A307,'Daily tracking'!$G$2:$G$2001))</f>
        <v/>
      </c>
      <c r="E307" s="18" t="str">
        <f aca="false">IF($A307="","",IF($C307=0,"",_xlfn.MAXIFS('Daily tracking'!$A$2:$A$2001,'Daily tracking'!$D$2:$D$2001,$A307)))</f>
        <v/>
      </c>
      <c r="F307" s="6" t="str">
        <f aca="true">IF(OR($A307="",$E307=""),"",TODAY()-$E307)</f>
        <v/>
      </c>
      <c r="G307" s="3" t="str">
        <f aca="false">IF($A307="","",IF($C307=0,"No visits",IF($F307&gt;90,"Lapsed",IF($F307&gt;35,"At risk",IF($C307&gt;=4,"Loyal","Active")))))</f>
        <v/>
      </c>
      <c r="H307" s="9" t="str">
        <f aca="false">IF(OR($A307="",$C307=0),"",$D307/$C307)</f>
        <v/>
      </c>
      <c r="I307" s="20"/>
      <c r="J307" s="20"/>
      <c r="K307" s="19"/>
      <c r="L307" s="19"/>
      <c r="M307" s="19"/>
      <c r="N307" s="15" t="str">
        <f aca="false">IF($A307="","",IF($C307=0,0,(IF($F307&lt;=15,5,IF($F307&lt;=30,4,IF($F307&lt;=45,3,IF($F307&lt;=90,2,1))))+IF($C307&gt;=10,5,IF($C307&gt;=6,4,IF($C307&gt;=4,3,IF($C307&gt;=2,2,1))))+IF($D307&gt;=20000,5,IF($D307&gt;=10000,4,IF($D307&gt;=5000,3,IF($D307&gt;=2000,2,1)))))))</f>
        <v/>
      </c>
      <c r="O307" s="3" t="str">
        <f aca="false">IF($A307="","",IF($C307=0,"No visits",IF($N307&gt;=13,"VIP",IF($N307&gt;=10,"High value",IF($N307&gt;=7,"Regular",IF($N307&gt;=4,"Occasional","Low"))))))</f>
        <v/>
      </c>
      <c r="P307" s="6" t="str">
        <f aca="true">IF(OR($A307="",$I307=""),"",IF(MONTH($I307)=MONTH(TODAY()),"Yes",""))</f>
        <v/>
      </c>
      <c r="Q307" s="21" t="str">
        <f aca="false">IF($A307="","",IF($C307=0,"",_xlfn.MINIFS('Daily tracking'!$A$2:$A$2001,'Daily tracking'!$D$2:$D$2001,$A307)))</f>
        <v/>
      </c>
      <c r="R307" s="6" t="str">
        <f aca="false">IF(OR($A307="",$C307&lt;2),"",($E307-$Q307)/($C307-1))</f>
        <v/>
      </c>
    </row>
    <row r="308" customFormat="false" ht="14.25" hidden="false" customHeight="false" outlineLevel="0" collapsed="false">
      <c r="A308" s="19"/>
      <c r="B308" s="19"/>
      <c r="C308" s="15" t="str">
        <f aca="false">IF($A308="","",COUNTIF('Daily tracking'!$D$2:$D$2001,$A308))</f>
        <v/>
      </c>
      <c r="D308" s="16" t="str">
        <f aca="false">IF($A308="","",SUMIF('Daily tracking'!$D$2:$D$2001,$A308,'Daily tracking'!$G$2:$G$2001))</f>
        <v/>
      </c>
      <c r="E308" s="18" t="str">
        <f aca="false">IF($A308="","",IF($C308=0,"",_xlfn.MAXIFS('Daily tracking'!$A$2:$A$2001,'Daily tracking'!$D$2:$D$2001,$A308)))</f>
        <v/>
      </c>
      <c r="F308" s="6" t="str">
        <f aca="true">IF(OR($A308="",$E308=""),"",TODAY()-$E308)</f>
        <v/>
      </c>
      <c r="G308" s="3" t="str">
        <f aca="false">IF($A308="","",IF($C308=0,"No visits",IF($F308&gt;90,"Lapsed",IF($F308&gt;35,"At risk",IF($C308&gt;=4,"Loyal","Active")))))</f>
        <v/>
      </c>
      <c r="H308" s="9" t="str">
        <f aca="false">IF(OR($A308="",$C308=0),"",$D308/$C308)</f>
        <v/>
      </c>
      <c r="I308" s="20"/>
      <c r="J308" s="20"/>
      <c r="K308" s="19"/>
      <c r="L308" s="19"/>
      <c r="M308" s="19"/>
      <c r="N308" s="15" t="str">
        <f aca="false">IF($A308="","",IF($C308=0,0,(IF($F308&lt;=15,5,IF($F308&lt;=30,4,IF($F308&lt;=45,3,IF($F308&lt;=90,2,1))))+IF($C308&gt;=10,5,IF($C308&gt;=6,4,IF($C308&gt;=4,3,IF($C308&gt;=2,2,1))))+IF($D308&gt;=20000,5,IF($D308&gt;=10000,4,IF($D308&gt;=5000,3,IF($D308&gt;=2000,2,1)))))))</f>
        <v/>
      </c>
      <c r="O308" s="3" t="str">
        <f aca="false">IF($A308="","",IF($C308=0,"No visits",IF($N308&gt;=13,"VIP",IF($N308&gt;=10,"High value",IF($N308&gt;=7,"Regular",IF($N308&gt;=4,"Occasional","Low"))))))</f>
        <v/>
      </c>
      <c r="P308" s="6" t="str">
        <f aca="true">IF(OR($A308="",$I308=""),"",IF(MONTH($I308)=MONTH(TODAY()),"Yes",""))</f>
        <v/>
      </c>
      <c r="Q308" s="21" t="str">
        <f aca="false">IF($A308="","",IF($C308=0,"",_xlfn.MINIFS('Daily tracking'!$A$2:$A$2001,'Daily tracking'!$D$2:$D$2001,$A308)))</f>
        <v/>
      </c>
      <c r="R308" s="6" t="str">
        <f aca="false">IF(OR($A308="",$C308&lt;2),"",($E308-$Q308)/($C308-1))</f>
        <v/>
      </c>
    </row>
    <row r="309" customFormat="false" ht="14.25" hidden="false" customHeight="false" outlineLevel="0" collapsed="false">
      <c r="A309" s="19"/>
      <c r="B309" s="19"/>
      <c r="C309" s="15" t="str">
        <f aca="false">IF($A309="","",COUNTIF('Daily tracking'!$D$2:$D$2001,$A309))</f>
        <v/>
      </c>
      <c r="D309" s="16" t="str">
        <f aca="false">IF($A309="","",SUMIF('Daily tracking'!$D$2:$D$2001,$A309,'Daily tracking'!$G$2:$G$2001))</f>
        <v/>
      </c>
      <c r="E309" s="18" t="str">
        <f aca="false">IF($A309="","",IF($C309=0,"",_xlfn.MAXIFS('Daily tracking'!$A$2:$A$2001,'Daily tracking'!$D$2:$D$2001,$A309)))</f>
        <v/>
      </c>
      <c r="F309" s="6" t="str">
        <f aca="true">IF(OR($A309="",$E309=""),"",TODAY()-$E309)</f>
        <v/>
      </c>
      <c r="G309" s="3" t="str">
        <f aca="false">IF($A309="","",IF($C309=0,"No visits",IF($F309&gt;90,"Lapsed",IF($F309&gt;35,"At risk",IF($C309&gt;=4,"Loyal","Active")))))</f>
        <v/>
      </c>
      <c r="H309" s="9" t="str">
        <f aca="false">IF(OR($A309="",$C309=0),"",$D309/$C309)</f>
        <v/>
      </c>
      <c r="I309" s="20"/>
      <c r="J309" s="20"/>
      <c r="K309" s="19"/>
      <c r="L309" s="19"/>
      <c r="M309" s="19"/>
      <c r="N309" s="15" t="str">
        <f aca="false">IF($A309="","",IF($C309=0,0,(IF($F309&lt;=15,5,IF($F309&lt;=30,4,IF($F309&lt;=45,3,IF($F309&lt;=90,2,1))))+IF($C309&gt;=10,5,IF($C309&gt;=6,4,IF($C309&gt;=4,3,IF($C309&gt;=2,2,1))))+IF($D309&gt;=20000,5,IF($D309&gt;=10000,4,IF($D309&gt;=5000,3,IF($D309&gt;=2000,2,1)))))))</f>
        <v/>
      </c>
      <c r="O309" s="3" t="str">
        <f aca="false">IF($A309="","",IF($C309=0,"No visits",IF($N309&gt;=13,"VIP",IF($N309&gt;=10,"High value",IF($N309&gt;=7,"Regular",IF($N309&gt;=4,"Occasional","Low"))))))</f>
        <v/>
      </c>
      <c r="P309" s="6" t="str">
        <f aca="true">IF(OR($A309="",$I309=""),"",IF(MONTH($I309)=MONTH(TODAY()),"Yes",""))</f>
        <v/>
      </c>
      <c r="Q309" s="21" t="str">
        <f aca="false">IF($A309="","",IF($C309=0,"",_xlfn.MINIFS('Daily tracking'!$A$2:$A$2001,'Daily tracking'!$D$2:$D$2001,$A309)))</f>
        <v/>
      </c>
      <c r="R309" s="6" t="str">
        <f aca="false">IF(OR($A309="",$C309&lt;2),"",($E309-$Q309)/($C309-1))</f>
        <v/>
      </c>
    </row>
    <row r="310" customFormat="false" ht="14.25" hidden="false" customHeight="false" outlineLevel="0" collapsed="false">
      <c r="A310" s="19"/>
      <c r="B310" s="19"/>
      <c r="C310" s="15" t="str">
        <f aca="false">IF($A310="","",COUNTIF('Daily tracking'!$D$2:$D$2001,$A310))</f>
        <v/>
      </c>
      <c r="D310" s="16" t="str">
        <f aca="false">IF($A310="","",SUMIF('Daily tracking'!$D$2:$D$2001,$A310,'Daily tracking'!$G$2:$G$2001))</f>
        <v/>
      </c>
      <c r="E310" s="18" t="str">
        <f aca="false">IF($A310="","",IF($C310=0,"",_xlfn.MAXIFS('Daily tracking'!$A$2:$A$2001,'Daily tracking'!$D$2:$D$2001,$A310)))</f>
        <v/>
      </c>
      <c r="F310" s="6" t="str">
        <f aca="true">IF(OR($A310="",$E310=""),"",TODAY()-$E310)</f>
        <v/>
      </c>
      <c r="G310" s="3" t="str">
        <f aca="false">IF($A310="","",IF($C310=0,"No visits",IF($F310&gt;90,"Lapsed",IF($F310&gt;35,"At risk",IF($C310&gt;=4,"Loyal","Active")))))</f>
        <v/>
      </c>
      <c r="H310" s="9" t="str">
        <f aca="false">IF(OR($A310="",$C310=0),"",$D310/$C310)</f>
        <v/>
      </c>
      <c r="I310" s="20"/>
      <c r="J310" s="20"/>
      <c r="K310" s="19"/>
      <c r="L310" s="19"/>
      <c r="M310" s="19"/>
      <c r="N310" s="15" t="str">
        <f aca="false">IF($A310="","",IF($C310=0,0,(IF($F310&lt;=15,5,IF($F310&lt;=30,4,IF($F310&lt;=45,3,IF($F310&lt;=90,2,1))))+IF($C310&gt;=10,5,IF($C310&gt;=6,4,IF($C310&gt;=4,3,IF($C310&gt;=2,2,1))))+IF($D310&gt;=20000,5,IF($D310&gt;=10000,4,IF($D310&gt;=5000,3,IF($D310&gt;=2000,2,1)))))))</f>
        <v/>
      </c>
      <c r="O310" s="3" t="str">
        <f aca="false">IF($A310="","",IF($C310=0,"No visits",IF($N310&gt;=13,"VIP",IF($N310&gt;=10,"High value",IF($N310&gt;=7,"Regular",IF($N310&gt;=4,"Occasional","Low"))))))</f>
        <v/>
      </c>
      <c r="P310" s="6" t="str">
        <f aca="true">IF(OR($A310="",$I310=""),"",IF(MONTH($I310)=MONTH(TODAY()),"Yes",""))</f>
        <v/>
      </c>
      <c r="Q310" s="21" t="str">
        <f aca="false">IF($A310="","",IF($C310=0,"",_xlfn.MINIFS('Daily tracking'!$A$2:$A$2001,'Daily tracking'!$D$2:$D$2001,$A310)))</f>
        <v/>
      </c>
      <c r="R310" s="6" t="str">
        <f aca="false">IF(OR($A310="",$C310&lt;2),"",($E310-$Q310)/($C310-1))</f>
        <v/>
      </c>
    </row>
    <row r="311" customFormat="false" ht="14.25" hidden="false" customHeight="false" outlineLevel="0" collapsed="false">
      <c r="A311" s="19"/>
      <c r="B311" s="19"/>
      <c r="C311" s="15" t="str">
        <f aca="false">IF($A311="","",COUNTIF('Daily tracking'!$D$2:$D$2001,$A311))</f>
        <v/>
      </c>
      <c r="D311" s="16" t="str">
        <f aca="false">IF($A311="","",SUMIF('Daily tracking'!$D$2:$D$2001,$A311,'Daily tracking'!$G$2:$G$2001))</f>
        <v/>
      </c>
      <c r="E311" s="18" t="str">
        <f aca="false">IF($A311="","",IF($C311=0,"",_xlfn.MAXIFS('Daily tracking'!$A$2:$A$2001,'Daily tracking'!$D$2:$D$2001,$A311)))</f>
        <v/>
      </c>
      <c r="F311" s="6" t="str">
        <f aca="true">IF(OR($A311="",$E311=""),"",TODAY()-$E311)</f>
        <v/>
      </c>
      <c r="G311" s="3" t="str">
        <f aca="false">IF($A311="","",IF($C311=0,"No visits",IF($F311&gt;90,"Lapsed",IF($F311&gt;35,"At risk",IF($C311&gt;=4,"Loyal","Active")))))</f>
        <v/>
      </c>
      <c r="H311" s="9" t="str">
        <f aca="false">IF(OR($A311="",$C311=0),"",$D311/$C311)</f>
        <v/>
      </c>
      <c r="I311" s="20"/>
      <c r="J311" s="20"/>
      <c r="K311" s="19"/>
      <c r="L311" s="19"/>
      <c r="M311" s="19"/>
      <c r="N311" s="15" t="str">
        <f aca="false">IF($A311="","",IF($C311=0,0,(IF($F311&lt;=15,5,IF($F311&lt;=30,4,IF($F311&lt;=45,3,IF($F311&lt;=90,2,1))))+IF($C311&gt;=10,5,IF($C311&gt;=6,4,IF($C311&gt;=4,3,IF($C311&gt;=2,2,1))))+IF($D311&gt;=20000,5,IF($D311&gt;=10000,4,IF($D311&gt;=5000,3,IF($D311&gt;=2000,2,1)))))))</f>
        <v/>
      </c>
      <c r="O311" s="3" t="str">
        <f aca="false">IF($A311="","",IF($C311=0,"No visits",IF($N311&gt;=13,"VIP",IF($N311&gt;=10,"High value",IF($N311&gt;=7,"Regular",IF($N311&gt;=4,"Occasional","Low"))))))</f>
        <v/>
      </c>
      <c r="P311" s="6" t="str">
        <f aca="true">IF(OR($A311="",$I311=""),"",IF(MONTH($I311)=MONTH(TODAY()),"Yes",""))</f>
        <v/>
      </c>
      <c r="Q311" s="21" t="str">
        <f aca="false">IF($A311="","",IF($C311=0,"",_xlfn.MINIFS('Daily tracking'!$A$2:$A$2001,'Daily tracking'!$D$2:$D$2001,$A311)))</f>
        <v/>
      </c>
      <c r="R311" s="6" t="str">
        <f aca="false">IF(OR($A311="",$C311&lt;2),"",($E311-$Q311)/($C311-1))</f>
        <v/>
      </c>
    </row>
    <row r="312" customFormat="false" ht="14.25" hidden="false" customHeight="false" outlineLevel="0" collapsed="false">
      <c r="A312" s="19"/>
      <c r="B312" s="19"/>
      <c r="C312" s="15" t="str">
        <f aca="false">IF($A312="","",COUNTIF('Daily tracking'!$D$2:$D$2001,$A312))</f>
        <v/>
      </c>
      <c r="D312" s="16" t="str">
        <f aca="false">IF($A312="","",SUMIF('Daily tracking'!$D$2:$D$2001,$A312,'Daily tracking'!$G$2:$G$2001))</f>
        <v/>
      </c>
      <c r="E312" s="18" t="str">
        <f aca="false">IF($A312="","",IF($C312=0,"",_xlfn.MAXIFS('Daily tracking'!$A$2:$A$2001,'Daily tracking'!$D$2:$D$2001,$A312)))</f>
        <v/>
      </c>
      <c r="F312" s="6" t="str">
        <f aca="true">IF(OR($A312="",$E312=""),"",TODAY()-$E312)</f>
        <v/>
      </c>
      <c r="G312" s="3" t="str">
        <f aca="false">IF($A312="","",IF($C312=0,"No visits",IF($F312&gt;90,"Lapsed",IF($F312&gt;35,"At risk",IF($C312&gt;=4,"Loyal","Active")))))</f>
        <v/>
      </c>
      <c r="H312" s="9" t="str">
        <f aca="false">IF(OR($A312="",$C312=0),"",$D312/$C312)</f>
        <v/>
      </c>
      <c r="I312" s="20"/>
      <c r="J312" s="20"/>
      <c r="K312" s="19"/>
      <c r="L312" s="19"/>
      <c r="M312" s="19"/>
      <c r="N312" s="15" t="str">
        <f aca="false">IF($A312="","",IF($C312=0,0,(IF($F312&lt;=15,5,IF($F312&lt;=30,4,IF($F312&lt;=45,3,IF($F312&lt;=90,2,1))))+IF($C312&gt;=10,5,IF($C312&gt;=6,4,IF($C312&gt;=4,3,IF($C312&gt;=2,2,1))))+IF($D312&gt;=20000,5,IF($D312&gt;=10000,4,IF($D312&gt;=5000,3,IF($D312&gt;=2000,2,1)))))))</f>
        <v/>
      </c>
      <c r="O312" s="3" t="str">
        <f aca="false">IF($A312="","",IF($C312=0,"No visits",IF($N312&gt;=13,"VIP",IF($N312&gt;=10,"High value",IF($N312&gt;=7,"Regular",IF($N312&gt;=4,"Occasional","Low"))))))</f>
        <v/>
      </c>
      <c r="P312" s="6" t="str">
        <f aca="true">IF(OR($A312="",$I312=""),"",IF(MONTH($I312)=MONTH(TODAY()),"Yes",""))</f>
        <v/>
      </c>
      <c r="Q312" s="21" t="str">
        <f aca="false">IF($A312="","",IF($C312=0,"",_xlfn.MINIFS('Daily tracking'!$A$2:$A$2001,'Daily tracking'!$D$2:$D$2001,$A312)))</f>
        <v/>
      </c>
      <c r="R312" s="6" t="str">
        <f aca="false">IF(OR($A312="",$C312&lt;2),"",($E312-$Q312)/($C312-1))</f>
        <v/>
      </c>
    </row>
    <row r="313" customFormat="false" ht="14.25" hidden="false" customHeight="false" outlineLevel="0" collapsed="false">
      <c r="A313" s="19"/>
      <c r="B313" s="19"/>
      <c r="C313" s="15" t="str">
        <f aca="false">IF($A313="","",COUNTIF('Daily tracking'!$D$2:$D$2001,$A313))</f>
        <v/>
      </c>
      <c r="D313" s="16" t="str">
        <f aca="false">IF($A313="","",SUMIF('Daily tracking'!$D$2:$D$2001,$A313,'Daily tracking'!$G$2:$G$2001))</f>
        <v/>
      </c>
      <c r="E313" s="18" t="str">
        <f aca="false">IF($A313="","",IF($C313=0,"",_xlfn.MAXIFS('Daily tracking'!$A$2:$A$2001,'Daily tracking'!$D$2:$D$2001,$A313)))</f>
        <v/>
      </c>
      <c r="F313" s="6" t="str">
        <f aca="true">IF(OR($A313="",$E313=""),"",TODAY()-$E313)</f>
        <v/>
      </c>
      <c r="G313" s="3" t="str">
        <f aca="false">IF($A313="","",IF($C313=0,"No visits",IF($F313&gt;90,"Lapsed",IF($F313&gt;35,"At risk",IF($C313&gt;=4,"Loyal","Active")))))</f>
        <v/>
      </c>
      <c r="H313" s="9" t="str">
        <f aca="false">IF(OR($A313="",$C313=0),"",$D313/$C313)</f>
        <v/>
      </c>
      <c r="I313" s="20"/>
      <c r="J313" s="20"/>
      <c r="K313" s="19"/>
      <c r="L313" s="19"/>
      <c r="M313" s="19"/>
      <c r="N313" s="15" t="str">
        <f aca="false">IF($A313="","",IF($C313=0,0,(IF($F313&lt;=15,5,IF($F313&lt;=30,4,IF($F313&lt;=45,3,IF($F313&lt;=90,2,1))))+IF($C313&gt;=10,5,IF($C313&gt;=6,4,IF($C313&gt;=4,3,IF($C313&gt;=2,2,1))))+IF($D313&gt;=20000,5,IF($D313&gt;=10000,4,IF($D313&gt;=5000,3,IF($D313&gt;=2000,2,1)))))))</f>
        <v/>
      </c>
      <c r="O313" s="3" t="str">
        <f aca="false">IF($A313="","",IF($C313=0,"No visits",IF($N313&gt;=13,"VIP",IF($N313&gt;=10,"High value",IF($N313&gt;=7,"Regular",IF($N313&gt;=4,"Occasional","Low"))))))</f>
        <v/>
      </c>
      <c r="P313" s="6" t="str">
        <f aca="true">IF(OR($A313="",$I313=""),"",IF(MONTH($I313)=MONTH(TODAY()),"Yes",""))</f>
        <v/>
      </c>
      <c r="Q313" s="21" t="str">
        <f aca="false">IF($A313="","",IF($C313=0,"",_xlfn.MINIFS('Daily tracking'!$A$2:$A$2001,'Daily tracking'!$D$2:$D$2001,$A313)))</f>
        <v/>
      </c>
      <c r="R313" s="6" t="str">
        <f aca="false">IF(OR($A313="",$C313&lt;2),"",($E313-$Q313)/($C313-1))</f>
        <v/>
      </c>
    </row>
    <row r="314" customFormat="false" ht="14.25" hidden="false" customHeight="false" outlineLevel="0" collapsed="false">
      <c r="A314" s="19"/>
      <c r="B314" s="19"/>
      <c r="C314" s="15" t="str">
        <f aca="false">IF($A314="","",COUNTIF('Daily tracking'!$D$2:$D$2001,$A314))</f>
        <v/>
      </c>
      <c r="D314" s="16" t="str">
        <f aca="false">IF($A314="","",SUMIF('Daily tracking'!$D$2:$D$2001,$A314,'Daily tracking'!$G$2:$G$2001))</f>
        <v/>
      </c>
      <c r="E314" s="18" t="str">
        <f aca="false">IF($A314="","",IF($C314=0,"",_xlfn.MAXIFS('Daily tracking'!$A$2:$A$2001,'Daily tracking'!$D$2:$D$2001,$A314)))</f>
        <v/>
      </c>
      <c r="F314" s="6" t="str">
        <f aca="true">IF(OR($A314="",$E314=""),"",TODAY()-$E314)</f>
        <v/>
      </c>
      <c r="G314" s="3" t="str">
        <f aca="false">IF($A314="","",IF($C314=0,"No visits",IF($F314&gt;90,"Lapsed",IF($F314&gt;35,"At risk",IF($C314&gt;=4,"Loyal","Active")))))</f>
        <v/>
      </c>
      <c r="H314" s="9" t="str">
        <f aca="false">IF(OR($A314="",$C314=0),"",$D314/$C314)</f>
        <v/>
      </c>
      <c r="I314" s="20"/>
      <c r="J314" s="20"/>
      <c r="K314" s="19"/>
      <c r="L314" s="19"/>
      <c r="M314" s="19"/>
      <c r="N314" s="15" t="str">
        <f aca="false">IF($A314="","",IF($C314=0,0,(IF($F314&lt;=15,5,IF($F314&lt;=30,4,IF($F314&lt;=45,3,IF($F314&lt;=90,2,1))))+IF($C314&gt;=10,5,IF($C314&gt;=6,4,IF($C314&gt;=4,3,IF($C314&gt;=2,2,1))))+IF($D314&gt;=20000,5,IF($D314&gt;=10000,4,IF($D314&gt;=5000,3,IF($D314&gt;=2000,2,1)))))))</f>
        <v/>
      </c>
      <c r="O314" s="3" t="str">
        <f aca="false">IF($A314="","",IF($C314=0,"No visits",IF($N314&gt;=13,"VIP",IF($N314&gt;=10,"High value",IF($N314&gt;=7,"Regular",IF($N314&gt;=4,"Occasional","Low"))))))</f>
        <v/>
      </c>
      <c r="P314" s="6" t="str">
        <f aca="true">IF(OR($A314="",$I314=""),"",IF(MONTH($I314)=MONTH(TODAY()),"Yes",""))</f>
        <v/>
      </c>
      <c r="Q314" s="21" t="str">
        <f aca="false">IF($A314="","",IF($C314=0,"",_xlfn.MINIFS('Daily tracking'!$A$2:$A$2001,'Daily tracking'!$D$2:$D$2001,$A314)))</f>
        <v/>
      </c>
      <c r="R314" s="6" t="str">
        <f aca="false">IF(OR($A314="",$C314&lt;2),"",($E314-$Q314)/($C314-1))</f>
        <v/>
      </c>
    </row>
    <row r="315" customFormat="false" ht="14.25" hidden="false" customHeight="false" outlineLevel="0" collapsed="false">
      <c r="A315" s="19"/>
      <c r="B315" s="19"/>
      <c r="C315" s="15" t="str">
        <f aca="false">IF($A315="","",COUNTIF('Daily tracking'!$D$2:$D$2001,$A315))</f>
        <v/>
      </c>
      <c r="D315" s="16" t="str">
        <f aca="false">IF($A315="","",SUMIF('Daily tracking'!$D$2:$D$2001,$A315,'Daily tracking'!$G$2:$G$2001))</f>
        <v/>
      </c>
      <c r="E315" s="18" t="str">
        <f aca="false">IF($A315="","",IF($C315=0,"",_xlfn.MAXIFS('Daily tracking'!$A$2:$A$2001,'Daily tracking'!$D$2:$D$2001,$A315)))</f>
        <v/>
      </c>
      <c r="F315" s="6" t="str">
        <f aca="true">IF(OR($A315="",$E315=""),"",TODAY()-$E315)</f>
        <v/>
      </c>
      <c r="G315" s="3" t="str">
        <f aca="false">IF($A315="","",IF($C315=0,"No visits",IF($F315&gt;90,"Lapsed",IF($F315&gt;35,"At risk",IF($C315&gt;=4,"Loyal","Active")))))</f>
        <v/>
      </c>
      <c r="H315" s="9" t="str">
        <f aca="false">IF(OR($A315="",$C315=0),"",$D315/$C315)</f>
        <v/>
      </c>
      <c r="I315" s="20"/>
      <c r="J315" s="20"/>
      <c r="K315" s="19"/>
      <c r="L315" s="19"/>
      <c r="M315" s="19"/>
      <c r="N315" s="15" t="str">
        <f aca="false">IF($A315="","",IF($C315=0,0,(IF($F315&lt;=15,5,IF($F315&lt;=30,4,IF($F315&lt;=45,3,IF($F315&lt;=90,2,1))))+IF($C315&gt;=10,5,IF($C315&gt;=6,4,IF($C315&gt;=4,3,IF($C315&gt;=2,2,1))))+IF($D315&gt;=20000,5,IF($D315&gt;=10000,4,IF($D315&gt;=5000,3,IF($D315&gt;=2000,2,1)))))))</f>
        <v/>
      </c>
      <c r="O315" s="3" t="str">
        <f aca="false">IF($A315="","",IF($C315=0,"No visits",IF($N315&gt;=13,"VIP",IF($N315&gt;=10,"High value",IF($N315&gt;=7,"Regular",IF($N315&gt;=4,"Occasional","Low"))))))</f>
        <v/>
      </c>
      <c r="P315" s="6" t="str">
        <f aca="true">IF(OR($A315="",$I315=""),"",IF(MONTH($I315)=MONTH(TODAY()),"Yes",""))</f>
        <v/>
      </c>
      <c r="Q315" s="21" t="str">
        <f aca="false">IF($A315="","",IF($C315=0,"",_xlfn.MINIFS('Daily tracking'!$A$2:$A$2001,'Daily tracking'!$D$2:$D$2001,$A315)))</f>
        <v/>
      </c>
      <c r="R315" s="6" t="str">
        <f aca="false">IF(OR($A315="",$C315&lt;2),"",($E315-$Q315)/($C315-1))</f>
        <v/>
      </c>
    </row>
    <row r="316" customFormat="false" ht="14.25" hidden="false" customHeight="false" outlineLevel="0" collapsed="false">
      <c r="A316" s="19"/>
      <c r="B316" s="19"/>
      <c r="C316" s="15" t="str">
        <f aca="false">IF($A316="","",COUNTIF('Daily tracking'!$D$2:$D$2001,$A316))</f>
        <v/>
      </c>
      <c r="D316" s="16" t="str">
        <f aca="false">IF($A316="","",SUMIF('Daily tracking'!$D$2:$D$2001,$A316,'Daily tracking'!$G$2:$G$2001))</f>
        <v/>
      </c>
      <c r="E316" s="18" t="str">
        <f aca="false">IF($A316="","",IF($C316=0,"",_xlfn.MAXIFS('Daily tracking'!$A$2:$A$2001,'Daily tracking'!$D$2:$D$2001,$A316)))</f>
        <v/>
      </c>
      <c r="F316" s="6" t="str">
        <f aca="true">IF(OR($A316="",$E316=""),"",TODAY()-$E316)</f>
        <v/>
      </c>
      <c r="G316" s="3" t="str">
        <f aca="false">IF($A316="","",IF($C316=0,"No visits",IF($F316&gt;90,"Lapsed",IF($F316&gt;35,"At risk",IF($C316&gt;=4,"Loyal","Active")))))</f>
        <v/>
      </c>
      <c r="H316" s="9" t="str">
        <f aca="false">IF(OR($A316="",$C316=0),"",$D316/$C316)</f>
        <v/>
      </c>
      <c r="I316" s="20"/>
      <c r="J316" s="20"/>
      <c r="K316" s="19"/>
      <c r="L316" s="19"/>
      <c r="M316" s="19"/>
      <c r="N316" s="15" t="str">
        <f aca="false">IF($A316="","",IF($C316=0,0,(IF($F316&lt;=15,5,IF($F316&lt;=30,4,IF($F316&lt;=45,3,IF($F316&lt;=90,2,1))))+IF($C316&gt;=10,5,IF($C316&gt;=6,4,IF($C316&gt;=4,3,IF($C316&gt;=2,2,1))))+IF($D316&gt;=20000,5,IF($D316&gt;=10000,4,IF($D316&gt;=5000,3,IF($D316&gt;=2000,2,1)))))))</f>
        <v/>
      </c>
      <c r="O316" s="3" t="str">
        <f aca="false">IF($A316="","",IF($C316=0,"No visits",IF($N316&gt;=13,"VIP",IF($N316&gt;=10,"High value",IF($N316&gt;=7,"Regular",IF($N316&gt;=4,"Occasional","Low"))))))</f>
        <v/>
      </c>
      <c r="P316" s="6" t="str">
        <f aca="true">IF(OR($A316="",$I316=""),"",IF(MONTH($I316)=MONTH(TODAY()),"Yes",""))</f>
        <v/>
      </c>
      <c r="Q316" s="21" t="str">
        <f aca="false">IF($A316="","",IF($C316=0,"",_xlfn.MINIFS('Daily tracking'!$A$2:$A$2001,'Daily tracking'!$D$2:$D$2001,$A316)))</f>
        <v/>
      </c>
      <c r="R316" s="6" t="str">
        <f aca="false">IF(OR($A316="",$C316&lt;2),"",($E316-$Q316)/($C316-1))</f>
        <v/>
      </c>
    </row>
    <row r="317" customFormat="false" ht="14.25" hidden="false" customHeight="false" outlineLevel="0" collapsed="false">
      <c r="A317" s="19"/>
      <c r="B317" s="19"/>
      <c r="C317" s="15" t="str">
        <f aca="false">IF($A317="","",COUNTIF('Daily tracking'!$D$2:$D$2001,$A317))</f>
        <v/>
      </c>
      <c r="D317" s="16" t="str">
        <f aca="false">IF($A317="","",SUMIF('Daily tracking'!$D$2:$D$2001,$A317,'Daily tracking'!$G$2:$G$2001))</f>
        <v/>
      </c>
      <c r="E317" s="18" t="str">
        <f aca="false">IF($A317="","",IF($C317=0,"",_xlfn.MAXIFS('Daily tracking'!$A$2:$A$2001,'Daily tracking'!$D$2:$D$2001,$A317)))</f>
        <v/>
      </c>
      <c r="F317" s="6" t="str">
        <f aca="true">IF(OR($A317="",$E317=""),"",TODAY()-$E317)</f>
        <v/>
      </c>
      <c r="G317" s="3" t="str">
        <f aca="false">IF($A317="","",IF($C317=0,"No visits",IF($F317&gt;90,"Lapsed",IF($F317&gt;35,"At risk",IF($C317&gt;=4,"Loyal","Active")))))</f>
        <v/>
      </c>
      <c r="H317" s="9" t="str">
        <f aca="false">IF(OR($A317="",$C317=0),"",$D317/$C317)</f>
        <v/>
      </c>
      <c r="I317" s="20"/>
      <c r="J317" s="20"/>
      <c r="K317" s="19"/>
      <c r="L317" s="19"/>
      <c r="M317" s="19"/>
      <c r="N317" s="15" t="str">
        <f aca="false">IF($A317="","",IF($C317=0,0,(IF($F317&lt;=15,5,IF($F317&lt;=30,4,IF($F317&lt;=45,3,IF($F317&lt;=90,2,1))))+IF($C317&gt;=10,5,IF($C317&gt;=6,4,IF($C317&gt;=4,3,IF($C317&gt;=2,2,1))))+IF($D317&gt;=20000,5,IF($D317&gt;=10000,4,IF($D317&gt;=5000,3,IF($D317&gt;=2000,2,1)))))))</f>
        <v/>
      </c>
      <c r="O317" s="3" t="str">
        <f aca="false">IF($A317="","",IF($C317=0,"No visits",IF($N317&gt;=13,"VIP",IF($N317&gt;=10,"High value",IF($N317&gt;=7,"Regular",IF($N317&gt;=4,"Occasional","Low"))))))</f>
        <v/>
      </c>
      <c r="P317" s="6" t="str">
        <f aca="true">IF(OR($A317="",$I317=""),"",IF(MONTH($I317)=MONTH(TODAY()),"Yes",""))</f>
        <v/>
      </c>
      <c r="Q317" s="21" t="str">
        <f aca="false">IF($A317="","",IF($C317=0,"",_xlfn.MINIFS('Daily tracking'!$A$2:$A$2001,'Daily tracking'!$D$2:$D$2001,$A317)))</f>
        <v/>
      </c>
      <c r="R317" s="6" t="str">
        <f aca="false">IF(OR($A317="",$C317&lt;2),"",($E317-$Q317)/($C317-1))</f>
        <v/>
      </c>
    </row>
    <row r="318" customFormat="false" ht="14.25" hidden="false" customHeight="false" outlineLevel="0" collapsed="false">
      <c r="A318" s="19"/>
      <c r="B318" s="19"/>
      <c r="C318" s="15" t="str">
        <f aca="false">IF($A318="","",COUNTIF('Daily tracking'!$D$2:$D$2001,$A318))</f>
        <v/>
      </c>
      <c r="D318" s="16" t="str">
        <f aca="false">IF($A318="","",SUMIF('Daily tracking'!$D$2:$D$2001,$A318,'Daily tracking'!$G$2:$G$2001))</f>
        <v/>
      </c>
      <c r="E318" s="18" t="str">
        <f aca="false">IF($A318="","",IF($C318=0,"",_xlfn.MAXIFS('Daily tracking'!$A$2:$A$2001,'Daily tracking'!$D$2:$D$2001,$A318)))</f>
        <v/>
      </c>
      <c r="F318" s="6" t="str">
        <f aca="true">IF(OR($A318="",$E318=""),"",TODAY()-$E318)</f>
        <v/>
      </c>
      <c r="G318" s="3" t="str">
        <f aca="false">IF($A318="","",IF($C318=0,"No visits",IF($F318&gt;90,"Lapsed",IF($F318&gt;35,"At risk",IF($C318&gt;=4,"Loyal","Active")))))</f>
        <v/>
      </c>
      <c r="H318" s="9" t="str">
        <f aca="false">IF(OR($A318="",$C318=0),"",$D318/$C318)</f>
        <v/>
      </c>
      <c r="I318" s="20"/>
      <c r="J318" s="20"/>
      <c r="K318" s="19"/>
      <c r="L318" s="19"/>
      <c r="M318" s="19"/>
      <c r="N318" s="15" t="str">
        <f aca="false">IF($A318="","",IF($C318=0,0,(IF($F318&lt;=15,5,IF($F318&lt;=30,4,IF($F318&lt;=45,3,IF($F318&lt;=90,2,1))))+IF($C318&gt;=10,5,IF($C318&gt;=6,4,IF($C318&gt;=4,3,IF($C318&gt;=2,2,1))))+IF($D318&gt;=20000,5,IF($D318&gt;=10000,4,IF($D318&gt;=5000,3,IF($D318&gt;=2000,2,1)))))))</f>
        <v/>
      </c>
      <c r="O318" s="3" t="str">
        <f aca="false">IF($A318="","",IF($C318=0,"No visits",IF($N318&gt;=13,"VIP",IF($N318&gt;=10,"High value",IF($N318&gt;=7,"Regular",IF($N318&gt;=4,"Occasional","Low"))))))</f>
        <v/>
      </c>
      <c r="P318" s="6" t="str">
        <f aca="true">IF(OR($A318="",$I318=""),"",IF(MONTH($I318)=MONTH(TODAY()),"Yes",""))</f>
        <v/>
      </c>
      <c r="Q318" s="21" t="str">
        <f aca="false">IF($A318="","",IF($C318=0,"",_xlfn.MINIFS('Daily tracking'!$A$2:$A$2001,'Daily tracking'!$D$2:$D$2001,$A318)))</f>
        <v/>
      </c>
      <c r="R318" s="6" t="str">
        <f aca="false">IF(OR($A318="",$C318&lt;2),"",($E318-$Q318)/($C318-1))</f>
        <v/>
      </c>
    </row>
    <row r="319" customFormat="false" ht="14.25" hidden="false" customHeight="false" outlineLevel="0" collapsed="false">
      <c r="A319" s="19"/>
      <c r="B319" s="19"/>
      <c r="C319" s="15" t="str">
        <f aca="false">IF($A319="","",COUNTIF('Daily tracking'!$D$2:$D$2001,$A319))</f>
        <v/>
      </c>
      <c r="D319" s="16" t="str">
        <f aca="false">IF($A319="","",SUMIF('Daily tracking'!$D$2:$D$2001,$A319,'Daily tracking'!$G$2:$G$2001))</f>
        <v/>
      </c>
      <c r="E319" s="18" t="str">
        <f aca="false">IF($A319="","",IF($C319=0,"",_xlfn.MAXIFS('Daily tracking'!$A$2:$A$2001,'Daily tracking'!$D$2:$D$2001,$A319)))</f>
        <v/>
      </c>
      <c r="F319" s="6" t="str">
        <f aca="true">IF(OR($A319="",$E319=""),"",TODAY()-$E319)</f>
        <v/>
      </c>
      <c r="G319" s="3" t="str">
        <f aca="false">IF($A319="","",IF($C319=0,"No visits",IF($F319&gt;90,"Lapsed",IF($F319&gt;35,"At risk",IF($C319&gt;=4,"Loyal","Active")))))</f>
        <v/>
      </c>
      <c r="H319" s="9" t="str">
        <f aca="false">IF(OR($A319="",$C319=0),"",$D319/$C319)</f>
        <v/>
      </c>
      <c r="I319" s="20"/>
      <c r="J319" s="20"/>
      <c r="K319" s="19"/>
      <c r="L319" s="19"/>
      <c r="M319" s="19"/>
      <c r="N319" s="15" t="str">
        <f aca="false">IF($A319="","",IF($C319=0,0,(IF($F319&lt;=15,5,IF($F319&lt;=30,4,IF($F319&lt;=45,3,IF($F319&lt;=90,2,1))))+IF($C319&gt;=10,5,IF($C319&gt;=6,4,IF($C319&gt;=4,3,IF($C319&gt;=2,2,1))))+IF($D319&gt;=20000,5,IF($D319&gt;=10000,4,IF($D319&gt;=5000,3,IF($D319&gt;=2000,2,1)))))))</f>
        <v/>
      </c>
      <c r="O319" s="3" t="str">
        <f aca="false">IF($A319="","",IF($C319=0,"No visits",IF($N319&gt;=13,"VIP",IF($N319&gt;=10,"High value",IF($N319&gt;=7,"Regular",IF($N319&gt;=4,"Occasional","Low"))))))</f>
        <v/>
      </c>
      <c r="P319" s="6" t="str">
        <f aca="true">IF(OR($A319="",$I319=""),"",IF(MONTH($I319)=MONTH(TODAY()),"Yes",""))</f>
        <v/>
      </c>
      <c r="Q319" s="21" t="str">
        <f aca="false">IF($A319="","",IF($C319=0,"",_xlfn.MINIFS('Daily tracking'!$A$2:$A$2001,'Daily tracking'!$D$2:$D$2001,$A319)))</f>
        <v/>
      </c>
      <c r="R319" s="6" t="str">
        <f aca="false">IF(OR($A319="",$C319&lt;2),"",($E319-$Q319)/($C319-1))</f>
        <v/>
      </c>
    </row>
    <row r="320" customFormat="false" ht="14.25" hidden="false" customHeight="false" outlineLevel="0" collapsed="false">
      <c r="A320" s="19"/>
      <c r="B320" s="19"/>
      <c r="C320" s="15" t="str">
        <f aca="false">IF($A320="","",COUNTIF('Daily tracking'!$D$2:$D$2001,$A320))</f>
        <v/>
      </c>
      <c r="D320" s="16" t="str">
        <f aca="false">IF($A320="","",SUMIF('Daily tracking'!$D$2:$D$2001,$A320,'Daily tracking'!$G$2:$G$2001))</f>
        <v/>
      </c>
      <c r="E320" s="18" t="str">
        <f aca="false">IF($A320="","",IF($C320=0,"",_xlfn.MAXIFS('Daily tracking'!$A$2:$A$2001,'Daily tracking'!$D$2:$D$2001,$A320)))</f>
        <v/>
      </c>
      <c r="F320" s="6" t="str">
        <f aca="true">IF(OR($A320="",$E320=""),"",TODAY()-$E320)</f>
        <v/>
      </c>
      <c r="G320" s="3" t="str">
        <f aca="false">IF($A320="","",IF($C320=0,"No visits",IF($F320&gt;90,"Lapsed",IF($F320&gt;35,"At risk",IF($C320&gt;=4,"Loyal","Active")))))</f>
        <v/>
      </c>
      <c r="H320" s="9" t="str">
        <f aca="false">IF(OR($A320="",$C320=0),"",$D320/$C320)</f>
        <v/>
      </c>
      <c r="I320" s="20"/>
      <c r="J320" s="20"/>
      <c r="K320" s="19"/>
      <c r="L320" s="19"/>
      <c r="M320" s="19"/>
      <c r="N320" s="15" t="str">
        <f aca="false">IF($A320="","",IF($C320=0,0,(IF($F320&lt;=15,5,IF($F320&lt;=30,4,IF($F320&lt;=45,3,IF($F320&lt;=90,2,1))))+IF($C320&gt;=10,5,IF($C320&gt;=6,4,IF($C320&gt;=4,3,IF($C320&gt;=2,2,1))))+IF($D320&gt;=20000,5,IF($D320&gt;=10000,4,IF($D320&gt;=5000,3,IF($D320&gt;=2000,2,1)))))))</f>
        <v/>
      </c>
      <c r="O320" s="3" t="str">
        <f aca="false">IF($A320="","",IF($C320=0,"No visits",IF($N320&gt;=13,"VIP",IF($N320&gt;=10,"High value",IF($N320&gt;=7,"Regular",IF($N320&gt;=4,"Occasional","Low"))))))</f>
        <v/>
      </c>
      <c r="P320" s="6" t="str">
        <f aca="true">IF(OR($A320="",$I320=""),"",IF(MONTH($I320)=MONTH(TODAY()),"Yes",""))</f>
        <v/>
      </c>
      <c r="Q320" s="21" t="str">
        <f aca="false">IF($A320="","",IF($C320=0,"",_xlfn.MINIFS('Daily tracking'!$A$2:$A$2001,'Daily tracking'!$D$2:$D$2001,$A320)))</f>
        <v/>
      </c>
      <c r="R320" s="6" t="str">
        <f aca="false">IF(OR($A320="",$C320&lt;2),"",($E320-$Q320)/($C320-1))</f>
        <v/>
      </c>
    </row>
    <row r="321" customFormat="false" ht="14.25" hidden="false" customHeight="false" outlineLevel="0" collapsed="false">
      <c r="A321" s="19"/>
      <c r="B321" s="19"/>
      <c r="C321" s="15" t="str">
        <f aca="false">IF($A321="","",COUNTIF('Daily tracking'!$D$2:$D$2001,$A321))</f>
        <v/>
      </c>
      <c r="D321" s="16" t="str">
        <f aca="false">IF($A321="","",SUMIF('Daily tracking'!$D$2:$D$2001,$A321,'Daily tracking'!$G$2:$G$2001))</f>
        <v/>
      </c>
      <c r="E321" s="18" t="str">
        <f aca="false">IF($A321="","",IF($C321=0,"",_xlfn.MAXIFS('Daily tracking'!$A$2:$A$2001,'Daily tracking'!$D$2:$D$2001,$A321)))</f>
        <v/>
      </c>
      <c r="F321" s="6" t="str">
        <f aca="true">IF(OR($A321="",$E321=""),"",TODAY()-$E321)</f>
        <v/>
      </c>
      <c r="G321" s="3" t="str">
        <f aca="false">IF($A321="","",IF($C321=0,"No visits",IF($F321&gt;90,"Lapsed",IF($F321&gt;35,"At risk",IF($C321&gt;=4,"Loyal","Active")))))</f>
        <v/>
      </c>
      <c r="H321" s="9" t="str">
        <f aca="false">IF(OR($A321="",$C321=0),"",$D321/$C321)</f>
        <v/>
      </c>
      <c r="I321" s="20"/>
      <c r="J321" s="20"/>
      <c r="K321" s="19"/>
      <c r="L321" s="19"/>
      <c r="M321" s="19"/>
      <c r="N321" s="15" t="str">
        <f aca="false">IF($A321="","",IF($C321=0,0,(IF($F321&lt;=15,5,IF($F321&lt;=30,4,IF($F321&lt;=45,3,IF($F321&lt;=90,2,1))))+IF($C321&gt;=10,5,IF($C321&gt;=6,4,IF($C321&gt;=4,3,IF($C321&gt;=2,2,1))))+IF($D321&gt;=20000,5,IF($D321&gt;=10000,4,IF($D321&gt;=5000,3,IF($D321&gt;=2000,2,1)))))))</f>
        <v/>
      </c>
      <c r="O321" s="3" t="str">
        <f aca="false">IF($A321="","",IF($C321=0,"No visits",IF($N321&gt;=13,"VIP",IF($N321&gt;=10,"High value",IF($N321&gt;=7,"Regular",IF($N321&gt;=4,"Occasional","Low"))))))</f>
        <v/>
      </c>
      <c r="P321" s="6" t="str">
        <f aca="true">IF(OR($A321="",$I321=""),"",IF(MONTH($I321)=MONTH(TODAY()),"Yes",""))</f>
        <v/>
      </c>
      <c r="Q321" s="21" t="str">
        <f aca="false">IF($A321="","",IF($C321=0,"",_xlfn.MINIFS('Daily tracking'!$A$2:$A$2001,'Daily tracking'!$D$2:$D$2001,$A321)))</f>
        <v/>
      </c>
      <c r="R321" s="6" t="str">
        <f aca="false">IF(OR($A321="",$C321&lt;2),"",($E321-$Q321)/($C321-1))</f>
        <v/>
      </c>
    </row>
    <row r="322" customFormat="false" ht="14.25" hidden="false" customHeight="false" outlineLevel="0" collapsed="false">
      <c r="A322" s="19"/>
      <c r="B322" s="19"/>
      <c r="C322" s="15" t="str">
        <f aca="false">IF($A322="","",COUNTIF('Daily tracking'!$D$2:$D$2001,$A322))</f>
        <v/>
      </c>
      <c r="D322" s="16" t="str">
        <f aca="false">IF($A322="","",SUMIF('Daily tracking'!$D$2:$D$2001,$A322,'Daily tracking'!$G$2:$G$2001))</f>
        <v/>
      </c>
      <c r="E322" s="18" t="str">
        <f aca="false">IF($A322="","",IF($C322=0,"",_xlfn.MAXIFS('Daily tracking'!$A$2:$A$2001,'Daily tracking'!$D$2:$D$2001,$A322)))</f>
        <v/>
      </c>
      <c r="F322" s="6" t="str">
        <f aca="true">IF(OR($A322="",$E322=""),"",TODAY()-$E322)</f>
        <v/>
      </c>
      <c r="G322" s="3" t="str">
        <f aca="false">IF($A322="","",IF($C322=0,"No visits",IF($F322&gt;90,"Lapsed",IF($F322&gt;35,"At risk",IF($C322&gt;=4,"Loyal","Active")))))</f>
        <v/>
      </c>
      <c r="H322" s="9" t="str">
        <f aca="false">IF(OR($A322="",$C322=0),"",$D322/$C322)</f>
        <v/>
      </c>
      <c r="I322" s="20"/>
      <c r="J322" s="20"/>
      <c r="K322" s="19"/>
      <c r="L322" s="19"/>
      <c r="M322" s="19"/>
      <c r="N322" s="15" t="str">
        <f aca="false">IF($A322="","",IF($C322=0,0,(IF($F322&lt;=15,5,IF($F322&lt;=30,4,IF($F322&lt;=45,3,IF($F322&lt;=90,2,1))))+IF($C322&gt;=10,5,IF($C322&gt;=6,4,IF($C322&gt;=4,3,IF($C322&gt;=2,2,1))))+IF($D322&gt;=20000,5,IF($D322&gt;=10000,4,IF($D322&gt;=5000,3,IF($D322&gt;=2000,2,1)))))))</f>
        <v/>
      </c>
      <c r="O322" s="3" t="str">
        <f aca="false">IF($A322="","",IF($C322=0,"No visits",IF($N322&gt;=13,"VIP",IF($N322&gt;=10,"High value",IF($N322&gt;=7,"Regular",IF($N322&gt;=4,"Occasional","Low"))))))</f>
        <v/>
      </c>
      <c r="P322" s="6" t="str">
        <f aca="true">IF(OR($A322="",$I322=""),"",IF(MONTH($I322)=MONTH(TODAY()),"Yes",""))</f>
        <v/>
      </c>
      <c r="Q322" s="21" t="str">
        <f aca="false">IF($A322="","",IF($C322=0,"",_xlfn.MINIFS('Daily tracking'!$A$2:$A$2001,'Daily tracking'!$D$2:$D$2001,$A322)))</f>
        <v/>
      </c>
      <c r="R322" s="6" t="str">
        <f aca="false">IF(OR($A322="",$C322&lt;2),"",($E322-$Q322)/($C322-1))</f>
        <v/>
      </c>
    </row>
    <row r="323" customFormat="false" ht="14.25" hidden="false" customHeight="false" outlineLevel="0" collapsed="false">
      <c r="A323" s="19"/>
      <c r="B323" s="19"/>
      <c r="C323" s="15" t="str">
        <f aca="false">IF($A323="","",COUNTIF('Daily tracking'!$D$2:$D$2001,$A323))</f>
        <v/>
      </c>
      <c r="D323" s="16" t="str">
        <f aca="false">IF($A323="","",SUMIF('Daily tracking'!$D$2:$D$2001,$A323,'Daily tracking'!$G$2:$G$2001))</f>
        <v/>
      </c>
      <c r="E323" s="18" t="str">
        <f aca="false">IF($A323="","",IF($C323=0,"",_xlfn.MAXIFS('Daily tracking'!$A$2:$A$2001,'Daily tracking'!$D$2:$D$2001,$A323)))</f>
        <v/>
      </c>
      <c r="F323" s="6" t="str">
        <f aca="true">IF(OR($A323="",$E323=""),"",TODAY()-$E323)</f>
        <v/>
      </c>
      <c r="G323" s="3" t="str">
        <f aca="false">IF($A323="","",IF($C323=0,"No visits",IF($F323&gt;90,"Lapsed",IF($F323&gt;35,"At risk",IF($C323&gt;=4,"Loyal","Active")))))</f>
        <v/>
      </c>
      <c r="H323" s="9" t="str">
        <f aca="false">IF(OR($A323="",$C323=0),"",$D323/$C323)</f>
        <v/>
      </c>
      <c r="I323" s="20"/>
      <c r="J323" s="20"/>
      <c r="K323" s="19"/>
      <c r="L323" s="19"/>
      <c r="M323" s="19"/>
      <c r="N323" s="15" t="str">
        <f aca="false">IF($A323="","",IF($C323=0,0,(IF($F323&lt;=15,5,IF($F323&lt;=30,4,IF($F323&lt;=45,3,IF($F323&lt;=90,2,1))))+IF($C323&gt;=10,5,IF($C323&gt;=6,4,IF($C323&gt;=4,3,IF($C323&gt;=2,2,1))))+IF($D323&gt;=20000,5,IF($D323&gt;=10000,4,IF($D323&gt;=5000,3,IF($D323&gt;=2000,2,1)))))))</f>
        <v/>
      </c>
      <c r="O323" s="3" t="str">
        <f aca="false">IF($A323="","",IF($C323=0,"No visits",IF($N323&gt;=13,"VIP",IF($N323&gt;=10,"High value",IF($N323&gt;=7,"Regular",IF($N323&gt;=4,"Occasional","Low"))))))</f>
        <v/>
      </c>
      <c r="P323" s="6" t="str">
        <f aca="true">IF(OR($A323="",$I323=""),"",IF(MONTH($I323)=MONTH(TODAY()),"Yes",""))</f>
        <v/>
      </c>
      <c r="Q323" s="21" t="str">
        <f aca="false">IF($A323="","",IF($C323=0,"",_xlfn.MINIFS('Daily tracking'!$A$2:$A$2001,'Daily tracking'!$D$2:$D$2001,$A323)))</f>
        <v/>
      </c>
      <c r="R323" s="6" t="str">
        <f aca="false">IF(OR($A323="",$C323&lt;2),"",($E323-$Q323)/($C323-1))</f>
        <v/>
      </c>
    </row>
    <row r="324" customFormat="false" ht="14.25" hidden="false" customHeight="false" outlineLevel="0" collapsed="false">
      <c r="A324" s="19"/>
      <c r="B324" s="19"/>
      <c r="C324" s="15" t="str">
        <f aca="false">IF($A324="","",COUNTIF('Daily tracking'!$D$2:$D$2001,$A324))</f>
        <v/>
      </c>
      <c r="D324" s="16" t="str">
        <f aca="false">IF($A324="","",SUMIF('Daily tracking'!$D$2:$D$2001,$A324,'Daily tracking'!$G$2:$G$2001))</f>
        <v/>
      </c>
      <c r="E324" s="18" t="str">
        <f aca="false">IF($A324="","",IF($C324=0,"",_xlfn.MAXIFS('Daily tracking'!$A$2:$A$2001,'Daily tracking'!$D$2:$D$2001,$A324)))</f>
        <v/>
      </c>
      <c r="F324" s="6" t="str">
        <f aca="true">IF(OR($A324="",$E324=""),"",TODAY()-$E324)</f>
        <v/>
      </c>
      <c r="G324" s="3" t="str">
        <f aca="false">IF($A324="","",IF($C324=0,"No visits",IF($F324&gt;90,"Lapsed",IF($F324&gt;35,"At risk",IF($C324&gt;=4,"Loyal","Active")))))</f>
        <v/>
      </c>
      <c r="H324" s="9" t="str">
        <f aca="false">IF(OR($A324="",$C324=0),"",$D324/$C324)</f>
        <v/>
      </c>
      <c r="I324" s="20"/>
      <c r="J324" s="20"/>
      <c r="K324" s="19"/>
      <c r="L324" s="19"/>
      <c r="M324" s="19"/>
      <c r="N324" s="15" t="str">
        <f aca="false">IF($A324="","",IF($C324=0,0,(IF($F324&lt;=15,5,IF($F324&lt;=30,4,IF($F324&lt;=45,3,IF($F324&lt;=90,2,1))))+IF($C324&gt;=10,5,IF($C324&gt;=6,4,IF($C324&gt;=4,3,IF($C324&gt;=2,2,1))))+IF($D324&gt;=20000,5,IF($D324&gt;=10000,4,IF($D324&gt;=5000,3,IF($D324&gt;=2000,2,1)))))))</f>
        <v/>
      </c>
      <c r="O324" s="3" t="str">
        <f aca="false">IF($A324="","",IF($C324=0,"No visits",IF($N324&gt;=13,"VIP",IF($N324&gt;=10,"High value",IF($N324&gt;=7,"Regular",IF($N324&gt;=4,"Occasional","Low"))))))</f>
        <v/>
      </c>
      <c r="P324" s="6" t="str">
        <f aca="true">IF(OR($A324="",$I324=""),"",IF(MONTH($I324)=MONTH(TODAY()),"Yes",""))</f>
        <v/>
      </c>
      <c r="Q324" s="21" t="str">
        <f aca="false">IF($A324="","",IF($C324=0,"",_xlfn.MINIFS('Daily tracking'!$A$2:$A$2001,'Daily tracking'!$D$2:$D$2001,$A324)))</f>
        <v/>
      </c>
      <c r="R324" s="6" t="str">
        <f aca="false">IF(OR($A324="",$C324&lt;2),"",($E324-$Q324)/($C324-1))</f>
        <v/>
      </c>
    </row>
    <row r="325" customFormat="false" ht="14.25" hidden="false" customHeight="false" outlineLevel="0" collapsed="false">
      <c r="A325" s="19"/>
      <c r="B325" s="19"/>
      <c r="C325" s="15" t="str">
        <f aca="false">IF($A325="","",COUNTIF('Daily tracking'!$D$2:$D$2001,$A325))</f>
        <v/>
      </c>
      <c r="D325" s="16" t="str">
        <f aca="false">IF($A325="","",SUMIF('Daily tracking'!$D$2:$D$2001,$A325,'Daily tracking'!$G$2:$G$2001))</f>
        <v/>
      </c>
      <c r="E325" s="18" t="str">
        <f aca="false">IF($A325="","",IF($C325=0,"",_xlfn.MAXIFS('Daily tracking'!$A$2:$A$2001,'Daily tracking'!$D$2:$D$2001,$A325)))</f>
        <v/>
      </c>
      <c r="F325" s="6" t="str">
        <f aca="true">IF(OR($A325="",$E325=""),"",TODAY()-$E325)</f>
        <v/>
      </c>
      <c r="G325" s="3" t="str">
        <f aca="false">IF($A325="","",IF($C325=0,"No visits",IF($F325&gt;90,"Lapsed",IF($F325&gt;35,"At risk",IF($C325&gt;=4,"Loyal","Active")))))</f>
        <v/>
      </c>
      <c r="H325" s="9" t="str">
        <f aca="false">IF(OR($A325="",$C325=0),"",$D325/$C325)</f>
        <v/>
      </c>
      <c r="I325" s="20"/>
      <c r="J325" s="20"/>
      <c r="K325" s="19"/>
      <c r="L325" s="19"/>
      <c r="M325" s="19"/>
      <c r="N325" s="15" t="str">
        <f aca="false">IF($A325="","",IF($C325=0,0,(IF($F325&lt;=15,5,IF($F325&lt;=30,4,IF($F325&lt;=45,3,IF($F325&lt;=90,2,1))))+IF($C325&gt;=10,5,IF($C325&gt;=6,4,IF($C325&gt;=4,3,IF($C325&gt;=2,2,1))))+IF($D325&gt;=20000,5,IF($D325&gt;=10000,4,IF($D325&gt;=5000,3,IF($D325&gt;=2000,2,1)))))))</f>
        <v/>
      </c>
      <c r="O325" s="3" t="str">
        <f aca="false">IF($A325="","",IF($C325=0,"No visits",IF($N325&gt;=13,"VIP",IF($N325&gt;=10,"High value",IF($N325&gt;=7,"Regular",IF($N325&gt;=4,"Occasional","Low"))))))</f>
        <v/>
      </c>
      <c r="P325" s="6" t="str">
        <f aca="true">IF(OR($A325="",$I325=""),"",IF(MONTH($I325)=MONTH(TODAY()),"Yes",""))</f>
        <v/>
      </c>
      <c r="Q325" s="21" t="str">
        <f aca="false">IF($A325="","",IF($C325=0,"",_xlfn.MINIFS('Daily tracking'!$A$2:$A$2001,'Daily tracking'!$D$2:$D$2001,$A325)))</f>
        <v/>
      </c>
      <c r="R325" s="6" t="str">
        <f aca="false">IF(OR($A325="",$C325&lt;2),"",($E325-$Q325)/($C325-1))</f>
        <v/>
      </c>
    </row>
    <row r="326" customFormat="false" ht="14.25" hidden="false" customHeight="false" outlineLevel="0" collapsed="false">
      <c r="A326" s="19"/>
      <c r="B326" s="19"/>
      <c r="C326" s="15" t="str">
        <f aca="false">IF($A326="","",COUNTIF('Daily tracking'!$D$2:$D$2001,$A326))</f>
        <v/>
      </c>
      <c r="D326" s="16" t="str">
        <f aca="false">IF($A326="","",SUMIF('Daily tracking'!$D$2:$D$2001,$A326,'Daily tracking'!$G$2:$G$2001))</f>
        <v/>
      </c>
      <c r="E326" s="18" t="str">
        <f aca="false">IF($A326="","",IF($C326=0,"",_xlfn.MAXIFS('Daily tracking'!$A$2:$A$2001,'Daily tracking'!$D$2:$D$2001,$A326)))</f>
        <v/>
      </c>
      <c r="F326" s="6" t="str">
        <f aca="true">IF(OR($A326="",$E326=""),"",TODAY()-$E326)</f>
        <v/>
      </c>
      <c r="G326" s="3" t="str">
        <f aca="false">IF($A326="","",IF($C326=0,"No visits",IF($F326&gt;90,"Lapsed",IF($F326&gt;35,"At risk",IF($C326&gt;=4,"Loyal","Active")))))</f>
        <v/>
      </c>
      <c r="H326" s="9" t="str">
        <f aca="false">IF(OR($A326="",$C326=0),"",$D326/$C326)</f>
        <v/>
      </c>
      <c r="I326" s="20"/>
      <c r="J326" s="20"/>
      <c r="K326" s="19"/>
      <c r="L326" s="19"/>
      <c r="M326" s="19"/>
      <c r="N326" s="15" t="str">
        <f aca="false">IF($A326="","",IF($C326=0,0,(IF($F326&lt;=15,5,IF($F326&lt;=30,4,IF($F326&lt;=45,3,IF($F326&lt;=90,2,1))))+IF($C326&gt;=10,5,IF($C326&gt;=6,4,IF($C326&gt;=4,3,IF($C326&gt;=2,2,1))))+IF($D326&gt;=20000,5,IF($D326&gt;=10000,4,IF($D326&gt;=5000,3,IF($D326&gt;=2000,2,1)))))))</f>
        <v/>
      </c>
      <c r="O326" s="3" t="str">
        <f aca="false">IF($A326="","",IF($C326=0,"No visits",IF($N326&gt;=13,"VIP",IF($N326&gt;=10,"High value",IF($N326&gt;=7,"Regular",IF($N326&gt;=4,"Occasional","Low"))))))</f>
        <v/>
      </c>
      <c r="P326" s="6" t="str">
        <f aca="true">IF(OR($A326="",$I326=""),"",IF(MONTH($I326)=MONTH(TODAY()),"Yes",""))</f>
        <v/>
      </c>
      <c r="Q326" s="21" t="str">
        <f aca="false">IF($A326="","",IF($C326=0,"",_xlfn.MINIFS('Daily tracking'!$A$2:$A$2001,'Daily tracking'!$D$2:$D$2001,$A326)))</f>
        <v/>
      </c>
      <c r="R326" s="6" t="str">
        <f aca="false">IF(OR($A326="",$C326&lt;2),"",($E326-$Q326)/($C326-1))</f>
        <v/>
      </c>
    </row>
    <row r="327" customFormat="false" ht="14.25" hidden="false" customHeight="false" outlineLevel="0" collapsed="false">
      <c r="A327" s="19"/>
      <c r="B327" s="19"/>
      <c r="C327" s="15" t="str">
        <f aca="false">IF($A327="","",COUNTIF('Daily tracking'!$D$2:$D$2001,$A327))</f>
        <v/>
      </c>
      <c r="D327" s="16" t="str">
        <f aca="false">IF($A327="","",SUMIF('Daily tracking'!$D$2:$D$2001,$A327,'Daily tracking'!$G$2:$G$2001))</f>
        <v/>
      </c>
      <c r="E327" s="18" t="str">
        <f aca="false">IF($A327="","",IF($C327=0,"",_xlfn.MAXIFS('Daily tracking'!$A$2:$A$2001,'Daily tracking'!$D$2:$D$2001,$A327)))</f>
        <v/>
      </c>
      <c r="F327" s="6" t="str">
        <f aca="true">IF(OR($A327="",$E327=""),"",TODAY()-$E327)</f>
        <v/>
      </c>
      <c r="G327" s="3" t="str">
        <f aca="false">IF($A327="","",IF($C327=0,"No visits",IF($F327&gt;90,"Lapsed",IF($F327&gt;35,"At risk",IF($C327&gt;=4,"Loyal","Active")))))</f>
        <v/>
      </c>
      <c r="H327" s="9" t="str">
        <f aca="false">IF(OR($A327="",$C327=0),"",$D327/$C327)</f>
        <v/>
      </c>
      <c r="I327" s="20"/>
      <c r="J327" s="20"/>
      <c r="K327" s="19"/>
      <c r="L327" s="19"/>
      <c r="M327" s="19"/>
      <c r="N327" s="15" t="str">
        <f aca="false">IF($A327="","",IF($C327=0,0,(IF($F327&lt;=15,5,IF($F327&lt;=30,4,IF($F327&lt;=45,3,IF($F327&lt;=90,2,1))))+IF($C327&gt;=10,5,IF($C327&gt;=6,4,IF($C327&gt;=4,3,IF($C327&gt;=2,2,1))))+IF($D327&gt;=20000,5,IF($D327&gt;=10000,4,IF($D327&gt;=5000,3,IF($D327&gt;=2000,2,1)))))))</f>
        <v/>
      </c>
      <c r="O327" s="3" t="str">
        <f aca="false">IF($A327="","",IF($C327=0,"No visits",IF($N327&gt;=13,"VIP",IF($N327&gt;=10,"High value",IF($N327&gt;=7,"Regular",IF($N327&gt;=4,"Occasional","Low"))))))</f>
        <v/>
      </c>
      <c r="P327" s="6" t="str">
        <f aca="true">IF(OR($A327="",$I327=""),"",IF(MONTH($I327)=MONTH(TODAY()),"Yes",""))</f>
        <v/>
      </c>
      <c r="Q327" s="21" t="str">
        <f aca="false">IF($A327="","",IF($C327=0,"",_xlfn.MINIFS('Daily tracking'!$A$2:$A$2001,'Daily tracking'!$D$2:$D$2001,$A327)))</f>
        <v/>
      </c>
      <c r="R327" s="6" t="str">
        <f aca="false">IF(OR($A327="",$C327&lt;2),"",($E327-$Q327)/($C327-1))</f>
        <v/>
      </c>
    </row>
    <row r="328" customFormat="false" ht="14.25" hidden="false" customHeight="false" outlineLevel="0" collapsed="false">
      <c r="A328" s="19"/>
      <c r="B328" s="19"/>
      <c r="C328" s="15" t="str">
        <f aca="false">IF($A328="","",COUNTIF('Daily tracking'!$D$2:$D$2001,$A328))</f>
        <v/>
      </c>
      <c r="D328" s="16" t="str">
        <f aca="false">IF($A328="","",SUMIF('Daily tracking'!$D$2:$D$2001,$A328,'Daily tracking'!$G$2:$G$2001))</f>
        <v/>
      </c>
      <c r="E328" s="18" t="str">
        <f aca="false">IF($A328="","",IF($C328=0,"",_xlfn.MAXIFS('Daily tracking'!$A$2:$A$2001,'Daily tracking'!$D$2:$D$2001,$A328)))</f>
        <v/>
      </c>
      <c r="F328" s="6" t="str">
        <f aca="true">IF(OR($A328="",$E328=""),"",TODAY()-$E328)</f>
        <v/>
      </c>
      <c r="G328" s="3" t="str">
        <f aca="false">IF($A328="","",IF($C328=0,"No visits",IF($F328&gt;90,"Lapsed",IF($F328&gt;35,"At risk",IF($C328&gt;=4,"Loyal","Active")))))</f>
        <v/>
      </c>
      <c r="H328" s="9" t="str">
        <f aca="false">IF(OR($A328="",$C328=0),"",$D328/$C328)</f>
        <v/>
      </c>
      <c r="I328" s="20"/>
      <c r="J328" s="20"/>
      <c r="K328" s="19"/>
      <c r="L328" s="19"/>
      <c r="M328" s="19"/>
      <c r="N328" s="15" t="str">
        <f aca="false">IF($A328="","",IF($C328=0,0,(IF($F328&lt;=15,5,IF($F328&lt;=30,4,IF($F328&lt;=45,3,IF($F328&lt;=90,2,1))))+IF($C328&gt;=10,5,IF($C328&gt;=6,4,IF($C328&gt;=4,3,IF($C328&gt;=2,2,1))))+IF($D328&gt;=20000,5,IF($D328&gt;=10000,4,IF($D328&gt;=5000,3,IF($D328&gt;=2000,2,1)))))))</f>
        <v/>
      </c>
      <c r="O328" s="3" t="str">
        <f aca="false">IF($A328="","",IF($C328=0,"No visits",IF($N328&gt;=13,"VIP",IF($N328&gt;=10,"High value",IF($N328&gt;=7,"Regular",IF($N328&gt;=4,"Occasional","Low"))))))</f>
        <v/>
      </c>
      <c r="P328" s="6" t="str">
        <f aca="true">IF(OR($A328="",$I328=""),"",IF(MONTH($I328)=MONTH(TODAY()),"Yes",""))</f>
        <v/>
      </c>
      <c r="Q328" s="21" t="str">
        <f aca="false">IF($A328="","",IF($C328=0,"",_xlfn.MINIFS('Daily tracking'!$A$2:$A$2001,'Daily tracking'!$D$2:$D$2001,$A328)))</f>
        <v/>
      </c>
      <c r="R328" s="6" t="str">
        <f aca="false">IF(OR($A328="",$C328&lt;2),"",($E328-$Q328)/($C328-1))</f>
        <v/>
      </c>
    </row>
    <row r="329" customFormat="false" ht="14.25" hidden="false" customHeight="false" outlineLevel="0" collapsed="false">
      <c r="A329" s="19"/>
      <c r="B329" s="19"/>
      <c r="C329" s="15" t="str">
        <f aca="false">IF($A329="","",COUNTIF('Daily tracking'!$D$2:$D$2001,$A329))</f>
        <v/>
      </c>
      <c r="D329" s="16" t="str">
        <f aca="false">IF($A329="","",SUMIF('Daily tracking'!$D$2:$D$2001,$A329,'Daily tracking'!$G$2:$G$2001))</f>
        <v/>
      </c>
      <c r="E329" s="18" t="str">
        <f aca="false">IF($A329="","",IF($C329=0,"",_xlfn.MAXIFS('Daily tracking'!$A$2:$A$2001,'Daily tracking'!$D$2:$D$2001,$A329)))</f>
        <v/>
      </c>
      <c r="F329" s="6" t="str">
        <f aca="true">IF(OR($A329="",$E329=""),"",TODAY()-$E329)</f>
        <v/>
      </c>
      <c r="G329" s="3" t="str">
        <f aca="false">IF($A329="","",IF($C329=0,"No visits",IF($F329&gt;90,"Lapsed",IF($F329&gt;35,"At risk",IF($C329&gt;=4,"Loyal","Active")))))</f>
        <v/>
      </c>
      <c r="H329" s="9" t="str">
        <f aca="false">IF(OR($A329="",$C329=0),"",$D329/$C329)</f>
        <v/>
      </c>
      <c r="I329" s="20"/>
      <c r="J329" s="20"/>
      <c r="K329" s="19"/>
      <c r="L329" s="19"/>
      <c r="M329" s="19"/>
      <c r="N329" s="15" t="str">
        <f aca="false">IF($A329="","",IF($C329=0,0,(IF($F329&lt;=15,5,IF($F329&lt;=30,4,IF($F329&lt;=45,3,IF($F329&lt;=90,2,1))))+IF($C329&gt;=10,5,IF($C329&gt;=6,4,IF($C329&gt;=4,3,IF($C329&gt;=2,2,1))))+IF($D329&gt;=20000,5,IF($D329&gt;=10000,4,IF($D329&gt;=5000,3,IF($D329&gt;=2000,2,1)))))))</f>
        <v/>
      </c>
      <c r="O329" s="3" t="str">
        <f aca="false">IF($A329="","",IF($C329=0,"No visits",IF($N329&gt;=13,"VIP",IF($N329&gt;=10,"High value",IF($N329&gt;=7,"Regular",IF($N329&gt;=4,"Occasional","Low"))))))</f>
        <v/>
      </c>
      <c r="P329" s="6" t="str">
        <f aca="true">IF(OR($A329="",$I329=""),"",IF(MONTH($I329)=MONTH(TODAY()),"Yes",""))</f>
        <v/>
      </c>
      <c r="Q329" s="21" t="str">
        <f aca="false">IF($A329="","",IF($C329=0,"",_xlfn.MINIFS('Daily tracking'!$A$2:$A$2001,'Daily tracking'!$D$2:$D$2001,$A329)))</f>
        <v/>
      </c>
      <c r="R329" s="6" t="str">
        <f aca="false">IF(OR($A329="",$C329&lt;2),"",($E329-$Q329)/($C329-1))</f>
        <v/>
      </c>
    </row>
    <row r="330" customFormat="false" ht="14.25" hidden="false" customHeight="false" outlineLevel="0" collapsed="false">
      <c r="A330" s="19"/>
      <c r="B330" s="19"/>
      <c r="C330" s="15" t="str">
        <f aca="false">IF($A330="","",COUNTIF('Daily tracking'!$D$2:$D$2001,$A330))</f>
        <v/>
      </c>
      <c r="D330" s="16" t="str">
        <f aca="false">IF($A330="","",SUMIF('Daily tracking'!$D$2:$D$2001,$A330,'Daily tracking'!$G$2:$G$2001))</f>
        <v/>
      </c>
      <c r="E330" s="18" t="str">
        <f aca="false">IF($A330="","",IF($C330=0,"",_xlfn.MAXIFS('Daily tracking'!$A$2:$A$2001,'Daily tracking'!$D$2:$D$2001,$A330)))</f>
        <v/>
      </c>
      <c r="F330" s="6" t="str">
        <f aca="true">IF(OR($A330="",$E330=""),"",TODAY()-$E330)</f>
        <v/>
      </c>
      <c r="G330" s="3" t="str">
        <f aca="false">IF($A330="","",IF($C330=0,"No visits",IF($F330&gt;90,"Lapsed",IF($F330&gt;35,"At risk",IF($C330&gt;=4,"Loyal","Active")))))</f>
        <v/>
      </c>
      <c r="H330" s="9" t="str">
        <f aca="false">IF(OR($A330="",$C330=0),"",$D330/$C330)</f>
        <v/>
      </c>
      <c r="I330" s="20"/>
      <c r="J330" s="20"/>
      <c r="K330" s="19"/>
      <c r="L330" s="19"/>
      <c r="M330" s="19"/>
      <c r="N330" s="15" t="str">
        <f aca="false">IF($A330="","",IF($C330=0,0,(IF($F330&lt;=15,5,IF($F330&lt;=30,4,IF($F330&lt;=45,3,IF($F330&lt;=90,2,1))))+IF($C330&gt;=10,5,IF($C330&gt;=6,4,IF($C330&gt;=4,3,IF($C330&gt;=2,2,1))))+IF($D330&gt;=20000,5,IF($D330&gt;=10000,4,IF($D330&gt;=5000,3,IF($D330&gt;=2000,2,1)))))))</f>
        <v/>
      </c>
      <c r="O330" s="3" t="str">
        <f aca="false">IF($A330="","",IF($C330=0,"No visits",IF($N330&gt;=13,"VIP",IF($N330&gt;=10,"High value",IF($N330&gt;=7,"Regular",IF($N330&gt;=4,"Occasional","Low"))))))</f>
        <v/>
      </c>
      <c r="P330" s="6" t="str">
        <f aca="true">IF(OR($A330="",$I330=""),"",IF(MONTH($I330)=MONTH(TODAY()),"Yes",""))</f>
        <v/>
      </c>
      <c r="Q330" s="21" t="str">
        <f aca="false">IF($A330="","",IF($C330=0,"",_xlfn.MINIFS('Daily tracking'!$A$2:$A$2001,'Daily tracking'!$D$2:$D$2001,$A330)))</f>
        <v/>
      </c>
      <c r="R330" s="6" t="str">
        <f aca="false">IF(OR($A330="",$C330&lt;2),"",($E330-$Q330)/($C330-1))</f>
        <v/>
      </c>
    </row>
    <row r="331" customFormat="false" ht="14.25" hidden="false" customHeight="false" outlineLevel="0" collapsed="false">
      <c r="A331" s="19"/>
      <c r="B331" s="19"/>
      <c r="C331" s="15" t="str">
        <f aca="false">IF($A331="","",COUNTIF('Daily tracking'!$D$2:$D$2001,$A331))</f>
        <v/>
      </c>
      <c r="D331" s="16" t="str">
        <f aca="false">IF($A331="","",SUMIF('Daily tracking'!$D$2:$D$2001,$A331,'Daily tracking'!$G$2:$G$2001))</f>
        <v/>
      </c>
      <c r="E331" s="18" t="str">
        <f aca="false">IF($A331="","",IF($C331=0,"",_xlfn.MAXIFS('Daily tracking'!$A$2:$A$2001,'Daily tracking'!$D$2:$D$2001,$A331)))</f>
        <v/>
      </c>
      <c r="F331" s="6" t="str">
        <f aca="true">IF(OR($A331="",$E331=""),"",TODAY()-$E331)</f>
        <v/>
      </c>
      <c r="G331" s="3" t="str">
        <f aca="false">IF($A331="","",IF($C331=0,"No visits",IF($F331&gt;90,"Lapsed",IF($F331&gt;35,"At risk",IF($C331&gt;=4,"Loyal","Active")))))</f>
        <v/>
      </c>
      <c r="H331" s="9" t="str">
        <f aca="false">IF(OR($A331="",$C331=0),"",$D331/$C331)</f>
        <v/>
      </c>
      <c r="I331" s="20"/>
      <c r="J331" s="20"/>
      <c r="K331" s="19"/>
      <c r="L331" s="19"/>
      <c r="M331" s="19"/>
      <c r="N331" s="15" t="str">
        <f aca="false">IF($A331="","",IF($C331=0,0,(IF($F331&lt;=15,5,IF($F331&lt;=30,4,IF($F331&lt;=45,3,IF($F331&lt;=90,2,1))))+IF($C331&gt;=10,5,IF($C331&gt;=6,4,IF($C331&gt;=4,3,IF($C331&gt;=2,2,1))))+IF($D331&gt;=20000,5,IF($D331&gt;=10000,4,IF($D331&gt;=5000,3,IF($D331&gt;=2000,2,1)))))))</f>
        <v/>
      </c>
      <c r="O331" s="3" t="str">
        <f aca="false">IF($A331="","",IF($C331=0,"No visits",IF($N331&gt;=13,"VIP",IF($N331&gt;=10,"High value",IF($N331&gt;=7,"Regular",IF($N331&gt;=4,"Occasional","Low"))))))</f>
        <v/>
      </c>
      <c r="P331" s="6" t="str">
        <f aca="true">IF(OR($A331="",$I331=""),"",IF(MONTH($I331)=MONTH(TODAY()),"Yes",""))</f>
        <v/>
      </c>
      <c r="Q331" s="21" t="str">
        <f aca="false">IF($A331="","",IF($C331=0,"",_xlfn.MINIFS('Daily tracking'!$A$2:$A$2001,'Daily tracking'!$D$2:$D$2001,$A331)))</f>
        <v/>
      </c>
      <c r="R331" s="6" t="str">
        <f aca="false">IF(OR($A331="",$C331&lt;2),"",($E331-$Q331)/($C331-1))</f>
        <v/>
      </c>
    </row>
    <row r="332" customFormat="false" ht="14.25" hidden="false" customHeight="false" outlineLevel="0" collapsed="false">
      <c r="A332" s="19"/>
      <c r="B332" s="19"/>
      <c r="C332" s="15" t="str">
        <f aca="false">IF($A332="","",COUNTIF('Daily tracking'!$D$2:$D$2001,$A332))</f>
        <v/>
      </c>
      <c r="D332" s="16" t="str">
        <f aca="false">IF($A332="","",SUMIF('Daily tracking'!$D$2:$D$2001,$A332,'Daily tracking'!$G$2:$G$2001))</f>
        <v/>
      </c>
      <c r="E332" s="18" t="str">
        <f aca="false">IF($A332="","",IF($C332=0,"",_xlfn.MAXIFS('Daily tracking'!$A$2:$A$2001,'Daily tracking'!$D$2:$D$2001,$A332)))</f>
        <v/>
      </c>
      <c r="F332" s="6" t="str">
        <f aca="true">IF(OR($A332="",$E332=""),"",TODAY()-$E332)</f>
        <v/>
      </c>
      <c r="G332" s="3" t="str">
        <f aca="false">IF($A332="","",IF($C332=0,"No visits",IF($F332&gt;90,"Lapsed",IF($F332&gt;35,"At risk",IF($C332&gt;=4,"Loyal","Active")))))</f>
        <v/>
      </c>
      <c r="H332" s="9" t="str">
        <f aca="false">IF(OR($A332="",$C332=0),"",$D332/$C332)</f>
        <v/>
      </c>
      <c r="I332" s="20"/>
      <c r="J332" s="20"/>
      <c r="K332" s="19"/>
      <c r="L332" s="19"/>
      <c r="M332" s="19"/>
      <c r="N332" s="15" t="str">
        <f aca="false">IF($A332="","",IF($C332=0,0,(IF($F332&lt;=15,5,IF($F332&lt;=30,4,IF($F332&lt;=45,3,IF($F332&lt;=90,2,1))))+IF($C332&gt;=10,5,IF($C332&gt;=6,4,IF($C332&gt;=4,3,IF($C332&gt;=2,2,1))))+IF($D332&gt;=20000,5,IF($D332&gt;=10000,4,IF($D332&gt;=5000,3,IF($D332&gt;=2000,2,1)))))))</f>
        <v/>
      </c>
      <c r="O332" s="3" t="str">
        <f aca="false">IF($A332="","",IF($C332=0,"No visits",IF($N332&gt;=13,"VIP",IF($N332&gt;=10,"High value",IF($N332&gt;=7,"Regular",IF($N332&gt;=4,"Occasional","Low"))))))</f>
        <v/>
      </c>
      <c r="P332" s="6" t="str">
        <f aca="true">IF(OR($A332="",$I332=""),"",IF(MONTH($I332)=MONTH(TODAY()),"Yes",""))</f>
        <v/>
      </c>
      <c r="Q332" s="21" t="str">
        <f aca="false">IF($A332="","",IF($C332=0,"",_xlfn.MINIFS('Daily tracking'!$A$2:$A$2001,'Daily tracking'!$D$2:$D$2001,$A332)))</f>
        <v/>
      </c>
      <c r="R332" s="6" t="str">
        <f aca="false">IF(OR($A332="",$C332&lt;2),"",($E332-$Q332)/($C332-1))</f>
        <v/>
      </c>
    </row>
    <row r="333" customFormat="false" ht="14.25" hidden="false" customHeight="false" outlineLevel="0" collapsed="false">
      <c r="A333" s="19"/>
      <c r="B333" s="19"/>
      <c r="C333" s="15" t="str">
        <f aca="false">IF($A333="","",COUNTIF('Daily tracking'!$D$2:$D$2001,$A333))</f>
        <v/>
      </c>
      <c r="D333" s="16" t="str">
        <f aca="false">IF($A333="","",SUMIF('Daily tracking'!$D$2:$D$2001,$A333,'Daily tracking'!$G$2:$G$2001))</f>
        <v/>
      </c>
      <c r="E333" s="18" t="str">
        <f aca="false">IF($A333="","",IF($C333=0,"",_xlfn.MAXIFS('Daily tracking'!$A$2:$A$2001,'Daily tracking'!$D$2:$D$2001,$A333)))</f>
        <v/>
      </c>
      <c r="F333" s="6" t="str">
        <f aca="true">IF(OR($A333="",$E333=""),"",TODAY()-$E333)</f>
        <v/>
      </c>
      <c r="G333" s="3" t="str">
        <f aca="false">IF($A333="","",IF($C333=0,"No visits",IF($F333&gt;90,"Lapsed",IF($F333&gt;35,"At risk",IF($C333&gt;=4,"Loyal","Active")))))</f>
        <v/>
      </c>
      <c r="H333" s="9" t="str">
        <f aca="false">IF(OR($A333="",$C333=0),"",$D333/$C333)</f>
        <v/>
      </c>
      <c r="I333" s="20"/>
      <c r="J333" s="20"/>
      <c r="K333" s="19"/>
      <c r="L333" s="19"/>
      <c r="M333" s="19"/>
      <c r="N333" s="15" t="str">
        <f aca="false">IF($A333="","",IF($C333=0,0,(IF($F333&lt;=15,5,IF($F333&lt;=30,4,IF($F333&lt;=45,3,IF($F333&lt;=90,2,1))))+IF($C333&gt;=10,5,IF($C333&gt;=6,4,IF($C333&gt;=4,3,IF($C333&gt;=2,2,1))))+IF($D333&gt;=20000,5,IF($D333&gt;=10000,4,IF($D333&gt;=5000,3,IF($D333&gt;=2000,2,1)))))))</f>
        <v/>
      </c>
      <c r="O333" s="3" t="str">
        <f aca="false">IF($A333="","",IF($C333=0,"No visits",IF($N333&gt;=13,"VIP",IF($N333&gt;=10,"High value",IF($N333&gt;=7,"Regular",IF($N333&gt;=4,"Occasional","Low"))))))</f>
        <v/>
      </c>
      <c r="P333" s="6" t="str">
        <f aca="true">IF(OR($A333="",$I333=""),"",IF(MONTH($I333)=MONTH(TODAY()),"Yes",""))</f>
        <v/>
      </c>
      <c r="Q333" s="21" t="str">
        <f aca="false">IF($A333="","",IF($C333=0,"",_xlfn.MINIFS('Daily tracking'!$A$2:$A$2001,'Daily tracking'!$D$2:$D$2001,$A333)))</f>
        <v/>
      </c>
      <c r="R333" s="6" t="str">
        <f aca="false">IF(OR($A333="",$C333&lt;2),"",($E333-$Q333)/($C333-1))</f>
        <v/>
      </c>
    </row>
    <row r="334" customFormat="false" ht="14.25" hidden="false" customHeight="false" outlineLevel="0" collapsed="false">
      <c r="A334" s="19"/>
      <c r="B334" s="19"/>
      <c r="C334" s="15" t="str">
        <f aca="false">IF($A334="","",COUNTIF('Daily tracking'!$D$2:$D$2001,$A334))</f>
        <v/>
      </c>
      <c r="D334" s="16" t="str">
        <f aca="false">IF($A334="","",SUMIF('Daily tracking'!$D$2:$D$2001,$A334,'Daily tracking'!$G$2:$G$2001))</f>
        <v/>
      </c>
      <c r="E334" s="18" t="str">
        <f aca="false">IF($A334="","",IF($C334=0,"",_xlfn.MAXIFS('Daily tracking'!$A$2:$A$2001,'Daily tracking'!$D$2:$D$2001,$A334)))</f>
        <v/>
      </c>
      <c r="F334" s="6" t="str">
        <f aca="true">IF(OR($A334="",$E334=""),"",TODAY()-$E334)</f>
        <v/>
      </c>
      <c r="G334" s="3" t="str">
        <f aca="false">IF($A334="","",IF($C334=0,"No visits",IF($F334&gt;90,"Lapsed",IF($F334&gt;35,"At risk",IF($C334&gt;=4,"Loyal","Active")))))</f>
        <v/>
      </c>
      <c r="H334" s="9" t="str">
        <f aca="false">IF(OR($A334="",$C334=0),"",$D334/$C334)</f>
        <v/>
      </c>
      <c r="I334" s="20"/>
      <c r="J334" s="20"/>
      <c r="K334" s="19"/>
      <c r="L334" s="19"/>
      <c r="M334" s="19"/>
      <c r="N334" s="15" t="str">
        <f aca="false">IF($A334="","",IF($C334=0,0,(IF($F334&lt;=15,5,IF($F334&lt;=30,4,IF($F334&lt;=45,3,IF($F334&lt;=90,2,1))))+IF($C334&gt;=10,5,IF($C334&gt;=6,4,IF($C334&gt;=4,3,IF($C334&gt;=2,2,1))))+IF($D334&gt;=20000,5,IF($D334&gt;=10000,4,IF($D334&gt;=5000,3,IF($D334&gt;=2000,2,1)))))))</f>
        <v/>
      </c>
      <c r="O334" s="3" t="str">
        <f aca="false">IF($A334="","",IF($C334=0,"No visits",IF($N334&gt;=13,"VIP",IF($N334&gt;=10,"High value",IF($N334&gt;=7,"Regular",IF($N334&gt;=4,"Occasional","Low"))))))</f>
        <v/>
      </c>
      <c r="P334" s="6" t="str">
        <f aca="true">IF(OR($A334="",$I334=""),"",IF(MONTH($I334)=MONTH(TODAY()),"Yes",""))</f>
        <v/>
      </c>
      <c r="Q334" s="21" t="str">
        <f aca="false">IF($A334="","",IF($C334=0,"",_xlfn.MINIFS('Daily tracking'!$A$2:$A$2001,'Daily tracking'!$D$2:$D$2001,$A334)))</f>
        <v/>
      </c>
      <c r="R334" s="6" t="str">
        <f aca="false">IF(OR($A334="",$C334&lt;2),"",($E334-$Q334)/($C334-1))</f>
        <v/>
      </c>
    </row>
    <row r="335" customFormat="false" ht="14.25" hidden="false" customHeight="false" outlineLevel="0" collapsed="false">
      <c r="A335" s="19"/>
      <c r="B335" s="19"/>
      <c r="C335" s="15" t="str">
        <f aca="false">IF($A335="","",COUNTIF('Daily tracking'!$D$2:$D$2001,$A335))</f>
        <v/>
      </c>
      <c r="D335" s="16" t="str">
        <f aca="false">IF($A335="","",SUMIF('Daily tracking'!$D$2:$D$2001,$A335,'Daily tracking'!$G$2:$G$2001))</f>
        <v/>
      </c>
      <c r="E335" s="18" t="str">
        <f aca="false">IF($A335="","",IF($C335=0,"",_xlfn.MAXIFS('Daily tracking'!$A$2:$A$2001,'Daily tracking'!$D$2:$D$2001,$A335)))</f>
        <v/>
      </c>
      <c r="F335" s="6" t="str">
        <f aca="true">IF(OR($A335="",$E335=""),"",TODAY()-$E335)</f>
        <v/>
      </c>
      <c r="G335" s="3" t="str">
        <f aca="false">IF($A335="","",IF($C335=0,"No visits",IF($F335&gt;90,"Lapsed",IF($F335&gt;35,"At risk",IF($C335&gt;=4,"Loyal","Active")))))</f>
        <v/>
      </c>
      <c r="H335" s="9" t="str">
        <f aca="false">IF(OR($A335="",$C335=0),"",$D335/$C335)</f>
        <v/>
      </c>
      <c r="I335" s="20"/>
      <c r="J335" s="20"/>
      <c r="K335" s="19"/>
      <c r="L335" s="19"/>
      <c r="M335" s="19"/>
      <c r="N335" s="15" t="str">
        <f aca="false">IF($A335="","",IF($C335=0,0,(IF($F335&lt;=15,5,IF($F335&lt;=30,4,IF($F335&lt;=45,3,IF($F335&lt;=90,2,1))))+IF($C335&gt;=10,5,IF($C335&gt;=6,4,IF($C335&gt;=4,3,IF($C335&gt;=2,2,1))))+IF($D335&gt;=20000,5,IF($D335&gt;=10000,4,IF($D335&gt;=5000,3,IF($D335&gt;=2000,2,1)))))))</f>
        <v/>
      </c>
      <c r="O335" s="3" t="str">
        <f aca="false">IF($A335="","",IF($C335=0,"No visits",IF($N335&gt;=13,"VIP",IF($N335&gt;=10,"High value",IF($N335&gt;=7,"Regular",IF($N335&gt;=4,"Occasional","Low"))))))</f>
        <v/>
      </c>
      <c r="P335" s="6" t="str">
        <f aca="true">IF(OR($A335="",$I335=""),"",IF(MONTH($I335)=MONTH(TODAY()),"Yes",""))</f>
        <v/>
      </c>
      <c r="Q335" s="21" t="str">
        <f aca="false">IF($A335="","",IF($C335=0,"",_xlfn.MINIFS('Daily tracking'!$A$2:$A$2001,'Daily tracking'!$D$2:$D$2001,$A335)))</f>
        <v/>
      </c>
      <c r="R335" s="6" t="str">
        <f aca="false">IF(OR($A335="",$C335&lt;2),"",($E335-$Q335)/($C335-1))</f>
        <v/>
      </c>
    </row>
    <row r="336" customFormat="false" ht="14.25" hidden="false" customHeight="false" outlineLevel="0" collapsed="false">
      <c r="A336" s="19"/>
      <c r="B336" s="19"/>
      <c r="C336" s="15" t="str">
        <f aca="false">IF($A336="","",COUNTIF('Daily tracking'!$D$2:$D$2001,$A336))</f>
        <v/>
      </c>
      <c r="D336" s="16" t="str">
        <f aca="false">IF($A336="","",SUMIF('Daily tracking'!$D$2:$D$2001,$A336,'Daily tracking'!$G$2:$G$2001))</f>
        <v/>
      </c>
      <c r="E336" s="18" t="str">
        <f aca="false">IF($A336="","",IF($C336=0,"",_xlfn.MAXIFS('Daily tracking'!$A$2:$A$2001,'Daily tracking'!$D$2:$D$2001,$A336)))</f>
        <v/>
      </c>
      <c r="F336" s="6" t="str">
        <f aca="true">IF(OR($A336="",$E336=""),"",TODAY()-$E336)</f>
        <v/>
      </c>
      <c r="G336" s="3" t="str">
        <f aca="false">IF($A336="","",IF($C336=0,"No visits",IF($F336&gt;90,"Lapsed",IF($F336&gt;35,"At risk",IF($C336&gt;=4,"Loyal","Active")))))</f>
        <v/>
      </c>
      <c r="H336" s="9" t="str">
        <f aca="false">IF(OR($A336="",$C336=0),"",$D336/$C336)</f>
        <v/>
      </c>
      <c r="I336" s="20"/>
      <c r="J336" s="20"/>
      <c r="K336" s="19"/>
      <c r="L336" s="19"/>
      <c r="M336" s="19"/>
      <c r="N336" s="15" t="str">
        <f aca="false">IF($A336="","",IF($C336=0,0,(IF($F336&lt;=15,5,IF($F336&lt;=30,4,IF($F336&lt;=45,3,IF($F336&lt;=90,2,1))))+IF($C336&gt;=10,5,IF($C336&gt;=6,4,IF($C336&gt;=4,3,IF($C336&gt;=2,2,1))))+IF($D336&gt;=20000,5,IF($D336&gt;=10000,4,IF($D336&gt;=5000,3,IF($D336&gt;=2000,2,1)))))))</f>
        <v/>
      </c>
      <c r="O336" s="3" t="str">
        <f aca="false">IF($A336="","",IF($C336=0,"No visits",IF($N336&gt;=13,"VIP",IF($N336&gt;=10,"High value",IF($N336&gt;=7,"Regular",IF($N336&gt;=4,"Occasional","Low"))))))</f>
        <v/>
      </c>
      <c r="P336" s="6" t="str">
        <f aca="true">IF(OR($A336="",$I336=""),"",IF(MONTH($I336)=MONTH(TODAY()),"Yes",""))</f>
        <v/>
      </c>
      <c r="Q336" s="21" t="str">
        <f aca="false">IF($A336="","",IF($C336=0,"",_xlfn.MINIFS('Daily tracking'!$A$2:$A$2001,'Daily tracking'!$D$2:$D$2001,$A336)))</f>
        <v/>
      </c>
      <c r="R336" s="6" t="str">
        <f aca="false">IF(OR($A336="",$C336&lt;2),"",($E336-$Q336)/($C336-1))</f>
        <v/>
      </c>
    </row>
    <row r="337" customFormat="false" ht="14.25" hidden="false" customHeight="false" outlineLevel="0" collapsed="false">
      <c r="A337" s="19"/>
      <c r="B337" s="19"/>
      <c r="C337" s="15" t="str">
        <f aca="false">IF($A337="","",COUNTIF('Daily tracking'!$D$2:$D$2001,$A337))</f>
        <v/>
      </c>
      <c r="D337" s="16" t="str">
        <f aca="false">IF($A337="","",SUMIF('Daily tracking'!$D$2:$D$2001,$A337,'Daily tracking'!$G$2:$G$2001))</f>
        <v/>
      </c>
      <c r="E337" s="18" t="str">
        <f aca="false">IF($A337="","",IF($C337=0,"",_xlfn.MAXIFS('Daily tracking'!$A$2:$A$2001,'Daily tracking'!$D$2:$D$2001,$A337)))</f>
        <v/>
      </c>
      <c r="F337" s="6" t="str">
        <f aca="true">IF(OR($A337="",$E337=""),"",TODAY()-$E337)</f>
        <v/>
      </c>
      <c r="G337" s="3" t="str">
        <f aca="false">IF($A337="","",IF($C337=0,"No visits",IF($F337&gt;90,"Lapsed",IF($F337&gt;35,"At risk",IF($C337&gt;=4,"Loyal","Active")))))</f>
        <v/>
      </c>
      <c r="H337" s="9" t="str">
        <f aca="false">IF(OR($A337="",$C337=0),"",$D337/$C337)</f>
        <v/>
      </c>
      <c r="I337" s="20"/>
      <c r="J337" s="20"/>
      <c r="K337" s="19"/>
      <c r="L337" s="19"/>
      <c r="M337" s="19"/>
      <c r="N337" s="15" t="str">
        <f aca="false">IF($A337="","",IF($C337=0,0,(IF($F337&lt;=15,5,IF($F337&lt;=30,4,IF($F337&lt;=45,3,IF($F337&lt;=90,2,1))))+IF($C337&gt;=10,5,IF($C337&gt;=6,4,IF($C337&gt;=4,3,IF($C337&gt;=2,2,1))))+IF($D337&gt;=20000,5,IF($D337&gt;=10000,4,IF($D337&gt;=5000,3,IF($D337&gt;=2000,2,1)))))))</f>
        <v/>
      </c>
      <c r="O337" s="3" t="str">
        <f aca="false">IF($A337="","",IF($C337=0,"No visits",IF($N337&gt;=13,"VIP",IF($N337&gt;=10,"High value",IF($N337&gt;=7,"Regular",IF($N337&gt;=4,"Occasional","Low"))))))</f>
        <v/>
      </c>
      <c r="P337" s="6" t="str">
        <f aca="true">IF(OR($A337="",$I337=""),"",IF(MONTH($I337)=MONTH(TODAY()),"Yes",""))</f>
        <v/>
      </c>
      <c r="Q337" s="21" t="str">
        <f aca="false">IF($A337="","",IF($C337=0,"",_xlfn.MINIFS('Daily tracking'!$A$2:$A$2001,'Daily tracking'!$D$2:$D$2001,$A337)))</f>
        <v/>
      </c>
      <c r="R337" s="6" t="str">
        <f aca="false">IF(OR($A337="",$C337&lt;2),"",($E337-$Q337)/($C337-1))</f>
        <v/>
      </c>
    </row>
    <row r="338" customFormat="false" ht="14.25" hidden="false" customHeight="false" outlineLevel="0" collapsed="false">
      <c r="A338" s="19"/>
      <c r="B338" s="19"/>
      <c r="C338" s="15" t="str">
        <f aca="false">IF($A338="","",COUNTIF('Daily tracking'!$D$2:$D$2001,$A338))</f>
        <v/>
      </c>
      <c r="D338" s="16" t="str">
        <f aca="false">IF($A338="","",SUMIF('Daily tracking'!$D$2:$D$2001,$A338,'Daily tracking'!$G$2:$G$2001))</f>
        <v/>
      </c>
      <c r="E338" s="18" t="str">
        <f aca="false">IF($A338="","",IF($C338=0,"",_xlfn.MAXIFS('Daily tracking'!$A$2:$A$2001,'Daily tracking'!$D$2:$D$2001,$A338)))</f>
        <v/>
      </c>
      <c r="F338" s="6" t="str">
        <f aca="true">IF(OR($A338="",$E338=""),"",TODAY()-$E338)</f>
        <v/>
      </c>
      <c r="G338" s="3" t="str">
        <f aca="false">IF($A338="","",IF($C338=0,"No visits",IF($F338&gt;90,"Lapsed",IF($F338&gt;35,"At risk",IF($C338&gt;=4,"Loyal","Active")))))</f>
        <v/>
      </c>
      <c r="H338" s="9" t="str">
        <f aca="false">IF(OR($A338="",$C338=0),"",$D338/$C338)</f>
        <v/>
      </c>
      <c r="I338" s="20"/>
      <c r="J338" s="20"/>
      <c r="K338" s="19"/>
      <c r="L338" s="19"/>
      <c r="M338" s="19"/>
      <c r="N338" s="15" t="str">
        <f aca="false">IF($A338="","",IF($C338=0,0,(IF($F338&lt;=15,5,IF($F338&lt;=30,4,IF($F338&lt;=45,3,IF($F338&lt;=90,2,1))))+IF($C338&gt;=10,5,IF($C338&gt;=6,4,IF($C338&gt;=4,3,IF($C338&gt;=2,2,1))))+IF($D338&gt;=20000,5,IF($D338&gt;=10000,4,IF($D338&gt;=5000,3,IF($D338&gt;=2000,2,1)))))))</f>
        <v/>
      </c>
      <c r="O338" s="3" t="str">
        <f aca="false">IF($A338="","",IF($C338=0,"No visits",IF($N338&gt;=13,"VIP",IF($N338&gt;=10,"High value",IF($N338&gt;=7,"Regular",IF($N338&gt;=4,"Occasional","Low"))))))</f>
        <v/>
      </c>
      <c r="P338" s="6" t="str">
        <f aca="true">IF(OR($A338="",$I338=""),"",IF(MONTH($I338)=MONTH(TODAY()),"Yes",""))</f>
        <v/>
      </c>
      <c r="Q338" s="21" t="str">
        <f aca="false">IF($A338="","",IF($C338=0,"",_xlfn.MINIFS('Daily tracking'!$A$2:$A$2001,'Daily tracking'!$D$2:$D$2001,$A338)))</f>
        <v/>
      </c>
      <c r="R338" s="6" t="str">
        <f aca="false">IF(OR($A338="",$C338&lt;2),"",($E338-$Q338)/($C338-1))</f>
        <v/>
      </c>
    </row>
    <row r="339" customFormat="false" ht="14.25" hidden="false" customHeight="false" outlineLevel="0" collapsed="false">
      <c r="A339" s="19"/>
      <c r="B339" s="19"/>
      <c r="C339" s="15" t="str">
        <f aca="false">IF($A339="","",COUNTIF('Daily tracking'!$D$2:$D$2001,$A339))</f>
        <v/>
      </c>
      <c r="D339" s="16" t="str">
        <f aca="false">IF($A339="","",SUMIF('Daily tracking'!$D$2:$D$2001,$A339,'Daily tracking'!$G$2:$G$2001))</f>
        <v/>
      </c>
      <c r="E339" s="18" t="str">
        <f aca="false">IF($A339="","",IF($C339=0,"",_xlfn.MAXIFS('Daily tracking'!$A$2:$A$2001,'Daily tracking'!$D$2:$D$2001,$A339)))</f>
        <v/>
      </c>
      <c r="F339" s="6" t="str">
        <f aca="true">IF(OR($A339="",$E339=""),"",TODAY()-$E339)</f>
        <v/>
      </c>
      <c r="G339" s="3" t="str">
        <f aca="false">IF($A339="","",IF($C339=0,"No visits",IF($F339&gt;90,"Lapsed",IF($F339&gt;35,"At risk",IF($C339&gt;=4,"Loyal","Active")))))</f>
        <v/>
      </c>
      <c r="H339" s="9" t="str">
        <f aca="false">IF(OR($A339="",$C339=0),"",$D339/$C339)</f>
        <v/>
      </c>
      <c r="I339" s="20"/>
      <c r="J339" s="20"/>
      <c r="K339" s="19"/>
      <c r="L339" s="19"/>
      <c r="M339" s="19"/>
      <c r="N339" s="15" t="str">
        <f aca="false">IF($A339="","",IF($C339=0,0,(IF($F339&lt;=15,5,IF($F339&lt;=30,4,IF($F339&lt;=45,3,IF($F339&lt;=90,2,1))))+IF($C339&gt;=10,5,IF($C339&gt;=6,4,IF($C339&gt;=4,3,IF($C339&gt;=2,2,1))))+IF($D339&gt;=20000,5,IF($D339&gt;=10000,4,IF($D339&gt;=5000,3,IF($D339&gt;=2000,2,1)))))))</f>
        <v/>
      </c>
      <c r="O339" s="3" t="str">
        <f aca="false">IF($A339="","",IF($C339=0,"No visits",IF($N339&gt;=13,"VIP",IF($N339&gt;=10,"High value",IF($N339&gt;=7,"Regular",IF($N339&gt;=4,"Occasional","Low"))))))</f>
        <v/>
      </c>
      <c r="P339" s="6" t="str">
        <f aca="true">IF(OR($A339="",$I339=""),"",IF(MONTH($I339)=MONTH(TODAY()),"Yes",""))</f>
        <v/>
      </c>
      <c r="Q339" s="21" t="str">
        <f aca="false">IF($A339="","",IF($C339=0,"",_xlfn.MINIFS('Daily tracking'!$A$2:$A$2001,'Daily tracking'!$D$2:$D$2001,$A339)))</f>
        <v/>
      </c>
      <c r="R339" s="6" t="str">
        <f aca="false">IF(OR($A339="",$C339&lt;2),"",($E339-$Q339)/($C339-1))</f>
        <v/>
      </c>
    </row>
    <row r="340" customFormat="false" ht="14.25" hidden="false" customHeight="false" outlineLevel="0" collapsed="false">
      <c r="A340" s="19"/>
      <c r="B340" s="19"/>
      <c r="C340" s="15" t="str">
        <f aca="false">IF($A340="","",COUNTIF('Daily tracking'!$D$2:$D$2001,$A340))</f>
        <v/>
      </c>
      <c r="D340" s="16" t="str">
        <f aca="false">IF($A340="","",SUMIF('Daily tracking'!$D$2:$D$2001,$A340,'Daily tracking'!$G$2:$G$2001))</f>
        <v/>
      </c>
      <c r="E340" s="18" t="str">
        <f aca="false">IF($A340="","",IF($C340=0,"",_xlfn.MAXIFS('Daily tracking'!$A$2:$A$2001,'Daily tracking'!$D$2:$D$2001,$A340)))</f>
        <v/>
      </c>
      <c r="F340" s="6" t="str">
        <f aca="true">IF(OR($A340="",$E340=""),"",TODAY()-$E340)</f>
        <v/>
      </c>
      <c r="G340" s="3" t="str">
        <f aca="false">IF($A340="","",IF($C340=0,"No visits",IF($F340&gt;90,"Lapsed",IF($F340&gt;35,"At risk",IF($C340&gt;=4,"Loyal","Active")))))</f>
        <v/>
      </c>
      <c r="H340" s="9" t="str">
        <f aca="false">IF(OR($A340="",$C340=0),"",$D340/$C340)</f>
        <v/>
      </c>
      <c r="I340" s="20"/>
      <c r="J340" s="20"/>
      <c r="K340" s="19"/>
      <c r="L340" s="19"/>
      <c r="M340" s="19"/>
      <c r="N340" s="15" t="str">
        <f aca="false">IF($A340="","",IF($C340=0,0,(IF($F340&lt;=15,5,IF($F340&lt;=30,4,IF($F340&lt;=45,3,IF($F340&lt;=90,2,1))))+IF($C340&gt;=10,5,IF($C340&gt;=6,4,IF($C340&gt;=4,3,IF($C340&gt;=2,2,1))))+IF($D340&gt;=20000,5,IF($D340&gt;=10000,4,IF($D340&gt;=5000,3,IF($D340&gt;=2000,2,1)))))))</f>
        <v/>
      </c>
      <c r="O340" s="3" t="str">
        <f aca="false">IF($A340="","",IF($C340=0,"No visits",IF($N340&gt;=13,"VIP",IF($N340&gt;=10,"High value",IF($N340&gt;=7,"Regular",IF($N340&gt;=4,"Occasional","Low"))))))</f>
        <v/>
      </c>
      <c r="P340" s="6" t="str">
        <f aca="true">IF(OR($A340="",$I340=""),"",IF(MONTH($I340)=MONTH(TODAY()),"Yes",""))</f>
        <v/>
      </c>
      <c r="Q340" s="21" t="str">
        <f aca="false">IF($A340="","",IF($C340=0,"",_xlfn.MINIFS('Daily tracking'!$A$2:$A$2001,'Daily tracking'!$D$2:$D$2001,$A340)))</f>
        <v/>
      </c>
      <c r="R340" s="6" t="str">
        <f aca="false">IF(OR($A340="",$C340&lt;2),"",($E340-$Q340)/($C340-1))</f>
        <v/>
      </c>
    </row>
    <row r="341" customFormat="false" ht="14.25" hidden="false" customHeight="false" outlineLevel="0" collapsed="false">
      <c r="A341" s="19"/>
      <c r="B341" s="19"/>
      <c r="C341" s="15" t="str">
        <f aca="false">IF($A341="","",COUNTIF('Daily tracking'!$D$2:$D$2001,$A341))</f>
        <v/>
      </c>
      <c r="D341" s="16" t="str">
        <f aca="false">IF($A341="","",SUMIF('Daily tracking'!$D$2:$D$2001,$A341,'Daily tracking'!$G$2:$G$2001))</f>
        <v/>
      </c>
      <c r="E341" s="18" t="str">
        <f aca="false">IF($A341="","",IF($C341=0,"",_xlfn.MAXIFS('Daily tracking'!$A$2:$A$2001,'Daily tracking'!$D$2:$D$2001,$A341)))</f>
        <v/>
      </c>
      <c r="F341" s="6" t="str">
        <f aca="true">IF(OR($A341="",$E341=""),"",TODAY()-$E341)</f>
        <v/>
      </c>
      <c r="G341" s="3" t="str">
        <f aca="false">IF($A341="","",IF($C341=0,"No visits",IF($F341&gt;90,"Lapsed",IF($F341&gt;35,"At risk",IF($C341&gt;=4,"Loyal","Active")))))</f>
        <v/>
      </c>
      <c r="H341" s="9" t="str">
        <f aca="false">IF(OR($A341="",$C341=0),"",$D341/$C341)</f>
        <v/>
      </c>
      <c r="I341" s="20"/>
      <c r="J341" s="20"/>
      <c r="K341" s="19"/>
      <c r="L341" s="19"/>
      <c r="M341" s="19"/>
      <c r="N341" s="15" t="str">
        <f aca="false">IF($A341="","",IF($C341=0,0,(IF($F341&lt;=15,5,IF($F341&lt;=30,4,IF($F341&lt;=45,3,IF($F341&lt;=90,2,1))))+IF($C341&gt;=10,5,IF($C341&gt;=6,4,IF($C341&gt;=4,3,IF($C341&gt;=2,2,1))))+IF($D341&gt;=20000,5,IF($D341&gt;=10000,4,IF($D341&gt;=5000,3,IF($D341&gt;=2000,2,1)))))))</f>
        <v/>
      </c>
      <c r="O341" s="3" t="str">
        <f aca="false">IF($A341="","",IF($C341=0,"No visits",IF($N341&gt;=13,"VIP",IF($N341&gt;=10,"High value",IF($N341&gt;=7,"Regular",IF($N341&gt;=4,"Occasional","Low"))))))</f>
        <v/>
      </c>
      <c r="P341" s="6" t="str">
        <f aca="true">IF(OR($A341="",$I341=""),"",IF(MONTH($I341)=MONTH(TODAY()),"Yes",""))</f>
        <v/>
      </c>
      <c r="Q341" s="21" t="str">
        <f aca="false">IF($A341="","",IF($C341=0,"",_xlfn.MINIFS('Daily tracking'!$A$2:$A$2001,'Daily tracking'!$D$2:$D$2001,$A341)))</f>
        <v/>
      </c>
      <c r="R341" s="6" t="str">
        <f aca="false">IF(OR($A341="",$C341&lt;2),"",($E341-$Q341)/($C341-1))</f>
        <v/>
      </c>
    </row>
    <row r="342" customFormat="false" ht="14.25" hidden="false" customHeight="false" outlineLevel="0" collapsed="false">
      <c r="A342" s="19"/>
      <c r="B342" s="19"/>
      <c r="C342" s="15" t="str">
        <f aca="false">IF($A342="","",COUNTIF('Daily tracking'!$D$2:$D$2001,$A342))</f>
        <v/>
      </c>
      <c r="D342" s="16" t="str">
        <f aca="false">IF($A342="","",SUMIF('Daily tracking'!$D$2:$D$2001,$A342,'Daily tracking'!$G$2:$G$2001))</f>
        <v/>
      </c>
      <c r="E342" s="18" t="str">
        <f aca="false">IF($A342="","",IF($C342=0,"",_xlfn.MAXIFS('Daily tracking'!$A$2:$A$2001,'Daily tracking'!$D$2:$D$2001,$A342)))</f>
        <v/>
      </c>
      <c r="F342" s="6" t="str">
        <f aca="true">IF(OR($A342="",$E342=""),"",TODAY()-$E342)</f>
        <v/>
      </c>
      <c r="G342" s="3" t="str">
        <f aca="false">IF($A342="","",IF($C342=0,"No visits",IF($F342&gt;90,"Lapsed",IF($F342&gt;35,"At risk",IF($C342&gt;=4,"Loyal","Active")))))</f>
        <v/>
      </c>
      <c r="H342" s="9" t="str">
        <f aca="false">IF(OR($A342="",$C342=0),"",$D342/$C342)</f>
        <v/>
      </c>
      <c r="I342" s="20"/>
      <c r="J342" s="20"/>
      <c r="K342" s="19"/>
      <c r="L342" s="19"/>
      <c r="M342" s="19"/>
      <c r="N342" s="15" t="str">
        <f aca="false">IF($A342="","",IF($C342=0,0,(IF($F342&lt;=15,5,IF($F342&lt;=30,4,IF($F342&lt;=45,3,IF($F342&lt;=90,2,1))))+IF($C342&gt;=10,5,IF($C342&gt;=6,4,IF($C342&gt;=4,3,IF($C342&gt;=2,2,1))))+IF($D342&gt;=20000,5,IF($D342&gt;=10000,4,IF($D342&gt;=5000,3,IF($D342&gt;=2000,2,1)))))))</f>
        <v/>
      </c>
      <c r="O342" s="3" t="str">
        <f aca="false">IF($A342="","",IF($C342=0,"No visits",IF($N342&gt;=13,"VIP",IF($N342&gt;=10,"High value",IF($N342&gt;=7,"Regular",IF($N342&gt;=4,"Occasional","Low"))))))</f>
        <v/>
      </c>
      <c r="P342" s="6" t="str">
        <f aca="true">IF(OR($A342="",$I342=""),"",IF(MONTH($I342)=MONTH(TODAY()),"Yes",""))</f>
        <v/>
      </c>
      <c r="Q342" s="21" t="str">
        <f aca="false">IF($A342="","",IF($C342=0,"",_xlfn.MINIFS('Daily tracking'!$A$2:$A$2001,'Daily tracking'!$D$2:$D$2001,$A342)))</f>
        <v/>
      </c>
      <c r="R342" s="6" t="str">
        <f aca="false">IF(OR($A342="",$C342&lt;2),"",($E342-$Q342)/($C342-1))</f>
        <v/>
      </c>
    </row>
    <row r="343" customFormat="false" ht="14.25" hidden="false" customHeight="false" outlineLevel="0" collapsed="false">
      <c r="A343" s="19"/>
      <c r="B343" s="19"/>
      <c r="C343" s="15" t="str">
        <f aca="false">IF($A343="","",COUNTIF('Daily tracking'!$D$2:$D$2001,$A343))</f>
        <v/>
      </c>
      <c r="D343" s="16" t="str">
        <f aca="false">IF($A343="","",SUMIF('Daily tracking'!$D$2:$D$2001,$A343,'Daily tracking'!$G$2:$G$2001))</f>
        <v/>
      </c>
      <c r="E343" s="18" t="str">
        <f aca="false">IF($A343="","",IF($C343=0,"",_xlfn.MAXIFS('Daily tracking'!$A$2:$A$2001,'Daily tracking'!$D$2:$D$2001,$A343)))</f>
        <v/>
      </c>
      <c r="F343" s="6" t="str">
        <f aca="true">IF(OR($A343="",$E343=""),"",TODAY()-$E343)</f>
        <v/>
      </c>
      <c r="G343" s="3" t="str">
        <f aca="false">IF($A343="","",IF($C343=0,"No visits",IF($F343&gt;90,"Lapsed",IF($F343&gt;35,"At risk",IF($C343&gt;=4,"Loyal","Active")))))</f>
        <v/>
      </c>
      <c r="H343" s="9" t="str">
        <f aca="false">IF(OR($A343="",$C343=0),"",$D343/$C343)</f>
        <v/>
      </c>
      <c r="I343" s="20"/>
      <c r="J343" s="20"/>
      <c r="K343" s="19"/>
      <c r="L343" s="19"/>
      <c r="M343" s="19"/>
      <c r="N343" s="15" t="str">
        <f aca="false">IF($A343="","",IF($C343=0,0,(IF($F343&lt;=15,5,IF($F343&lt;=30,4,IF($F343&lt;=45,3,IF($F343&lt;=90,2,1))))+IF($C343&gt;=10,5,IF($C343&gt;=6,4,IF($C343&gt;=4,3,IF($C343&gt;=2,2,1))))+IF($D343&gt;=20000,5,IF($D343&gt;=10000,4,IF($D343&gt;=5000,3,IF($D343&gt;=2000,2,1)))))))</f>
        <v/>
      </c>
      <c r="O343" s="3" t="str">
        <f aca="false">IF($A343="","",IF($C343=0,"No visits",IF($N343&gt;=13,"VIP",IF($N343&gt;=10,"High value",IF($N343&gt;=7,"Regular",IF($N343&gt;=4,"Occasional","Low"))))))</f>
        <v/>
      </c>
      <c r="P343" s="6" t="str">
        <f aca="true">IF(OR($A343="",$I343=""),"",IF(MONTH($I343)=MONTH(TODAY()),"Yes",""))</f>
        <v/>
      </c>
      <c r="Q343" s="21" t="str">
        <f aca="false">IF($A343="","",IF($C343=0,"",_xlfn.MINIFS('Daily tracking'!$A$2:$A$2001,'Daily tracking'!$D$2:$D$2001,$A343)))</f>
        <v/>
      </c>
      <c r="R343" s="6" t="str">
        <f aca="false">IF(OR($A343="",$C343&lt;2),"",($E343-$Q343)/($C343-1))</f>
        <v/>
      </c>
    </row>
    <row r="344" customFormat="false" ht="14.25" hidden="false" customHeight="false" outlineLevel="0" collapsed="false">
      <c r="A344" s="19"/>
      <c r="B344" s="19"/>
      <c r="C344" s="15" t="str">
        <f aca="false">IF($A344="","",COUNTIF('Daily tracking'!$D$2:$D$2001,$A344))</f>
        <v/>
      </c>
      <c r="D344" s="16" t="str">
        <f aca="false">IF($A344="","",SUMIF('Daily tracking'!$D$2:$D$2001,$A344,'Daily tracking'!$G$2:$G$2001))</f>
        <v/>
      </c>
      <c r="E344" s="18" t="str">
        <f aca="false">IF($A344="","",IF($C344=0,"",_xlfn.MAXIFS('Daily tracking'!$A$2:$A$2001,'Daily tracking'!$D$2:$D$2001,$A344)))</f>
        <v/>
      </c>
      <c r="F344" s="6" t="str">
        <f aca="true">IF(OR($A344="",$E344=""),"",TODAY()-$E344)</f>
        <v/>
      </c>
      <c r="G344" s="3" t="str">
        <f aca="false">IF($A344="","",IF($C344=0,"No visits",IF($F344&gt;90,"Lapsed",IF($F344&gt;35,"At risk",IF($C344&gt;=4,"Loyal","Active")))))</f>
        <v/>
      </c>
      <c r="H344" s="9" t="str">
        <f aca="false">IF(OR($A344="",$C344=0),"",$D344/$C344)</f>
        <v/>
      </c>
      <c r="I344" s="20"/>
      <c r="J344" s="20"/>
      <c r="K344" s="19"/>
      <c r="L344" s="19"/>
      <c r="M344" s="19"/>
      <c r="N344" s="15" t="str">
        <f aca="false">IF($A344="","",IF($C344=0,0,(IF($F344&lt;=15,5,IF($F344&lt;=30,4,IF($F344&lt;=45,3,IF($F344&lt;=90,2,1))))+IF($C344&gt;=10,5,IF($C344&gt;=6,4,IF($C344&gt;=4,3,IF($C344&gt;=2,2,1))))+IF($D344&gt;=20000,5,IF($D344&gt;=10000,4,IF($D344&gt;=5000,3,IF($D344&gt;=2000,2,1)))))))</f>
        <v/>
      </c>
      <c r="O344" s="3" t="str">
        <f aca="false">IF($A344="","",IF($C344=0,"No visits",IF($N344&gt;=13,"VIP",IF($N344&gt;=10,"High value",IF($N344&gt;=7,"Regular",IF($N344&gt;=4,"Occasional","Low"))))))</f>
        <v/>
      </c>
      <c r="P344" s="6" t="str">
        <f aca="true">IF(OR($A344="",$I344=""),"",IF(MONTH($I344)=MONTH(TODAY()),"Yes",""))</f>
        <v/>
      </c>
      <c r="Q344" s="21" t="str">
        <f aca="false">IF($A344="","",IF($C344=0,"",_xlfn.MINIFS('Daily tracking'!$A$2:$A$2001,'Daily tracking'!$D$2:$D$2001,$A344)))</f>
        <v/>
      </c>
      <c r="R344" s="6" t="str">
        <f aca="false">IF(OR($A344="",$C344&lt;2),"",($E344-$Q344)/($C344-1))</f>
        <v/>
      </c>
    </row>
    <row r="345" customFormat="false" ht="14.25" hidden="false" customHeight="false" outlineLevel="0" collapsed="false">
      <c r="A345" s="19"/>
      <c r="B345" s="19"/>
      <c r="C345" s="15" t="str">
        <f aca="false">IF($A345="","",COUNTIF('Daily tracking'!$D$2:$D$2001,$A345))</f>
        <v/>
      </c>
      <c r="D345" s="16" t="str">
        <f aca="false">IF($A345="","",SUMIF('Daily tracking'!$D$2:$D$2001,$A345,'Daily tracking'!$G$2:$G$2001))</f>
        <v/>
      </c>
      <c r="E345" s="18" t="str">
        <f aca="false">IF($A345="","",IF($C345=0,"",_xlfn.MAXIFS('Daily tracking'!$A$2:$A$2001,'Daily tracking'!$D$2:$D$2001,$A345)))</f>
        <v/>
      </c>
      <c r="F345" s="6" t="str">
        <f aca="true">IF(OR($A345="",$E345=""),"",TODAY()-$E345)</f>
        <v/>
      </c>
      <c r="G345" s="3" t="str">
        <f aca="false">IF($A345="","",IF($C345=0,"No visits",IF($F345&gt;90,"Lapsed",IF($F345&gt;35,"At risk",IF($C345&gt;=4,"Loyal","Active")))))</f>
        <v/>
      </c>
      <c r="H345" s="9" t="str">
        <f aca="false">IF(OR($A345="",$C345=0),"",$D345/$C345)</f>
        <v/>
      </c>
      <c r="I345" s="20"/>
      <c r="J345" s="20"/>
      <c r="K345" s="19"/>
      <c r="L345" s="19"/>
      <c r="M345" s="19"/>
      <c r="N345" s="15" t="str">
        <f aca="false">IF($A345="","",IF($C345=0,0,(IF($F345&lt;=15,5,IF($F345&lt;=30,4,IF($F345&lt;=45,3,IF($F345&lt;=90,2,1))))+IF($C345&gt;=10,5,IF($C345&gt;=6,4,IF($C345&gt;=4,3,IF($C345&gt;=2,2,1))))+IF($D345&gt;=20000,5,IF($D345&gt;=10000,4,IF($D345&gt;=5000,3,IF($D345&gt;=2000,2,1)))))))</f>
        <v/>
      </c>
      <c r="O345" s="3" t="str">
        <f aca="false">IF($A345="","",IF($C345=0,"No visits",IF($N345&gt;=13,"VIP",IF($N345&gt;=10,"High value",IF($N345&gt;=7,"Regular",IF($N345&gt;=4,"Occasional","Low"))))))</f>
        <v/>
      </c>
      <c r="P345" s="6" t="str">
        <f aca="true">IF(OR($A345="",$I345=""),"",IF(MONTH($I345)=MONTH(TODAY()),"Yes",""))</f>
        <v/>
      </c>
      <c r="Q345" s="21" t="str">
        <f aca="false">IF($A345="","",IF($C345=0,"",_xlfn.MINIFS('Daily tracking'!$A$2:$A$2001,'Daily tracking'!$D$2:$D$2001,$A345)))</f>
        <v/>
      </c>
      <c r="R345" s="6" t="str">
        <f aca="false">IF(OR($A345="",$C345&lt;2),"",($E345-$Q345)/($C345-1))</f>
        <v/>
      </c>
    </row>
    <row r="346" customFormat="false" ht="14.25" hidden="false" customHeight="false" outlineLevel="0" collapsed="false">
      <c r="A346" s="19"/>
      <c r="B346" s="19"/>
      <c r="C346" s="15" t="str">
        <f aca="false">IF($A346="","",COUNTIF('Daily tracking'!$D$2:$D$2001,$A346))</f>
        <v/>
      </c>
      <c r="D346" s="16" t="str">
        <f aca="false">IF($A346="","",SUMIF('Daily tracking'!$D$2:$D$2001,$A346,'Daily tracking'!$G$2:$G$2001))</f>
        <v/>
      </c>
      <c r="E346" s="18" t="str">
        <f aca="false">IF($A346="","",IF($C346=0,"",_xlfn.MAXIFS('Daily tracking'!$A$2:$A$2001,'Daily tracking'!$D$2:$D$2001,$A346)))</f>
        <v/>
      </c>
      <c r="F346" s="6" t="str">
        <f aca="true">IF(OR($A346="",$E346=""),"",TODAY()-$E346)</f>
        <v/>
      </c>
      <c r="G346" s="3" t="str">
        <f aca="false">IF($A346="","",IF($C346=0,"No visits",IF($F346&gt;90,"Lapsed",IF($F346&gt;35,"At risk",IF($C346&gt;=4,"Loyal","Active")))))</f>
        <v/>
      </c>
      <c r="H346" s="9" t="str">
        <f aca="false">IF(OR($A346="",$C346=0),"",$D346/$C346)</f>
        <v/>
      </c>
      <c r="I346" s="20"/>
      <c r="J346" s="20"/>
      <c r="K346" s="19"/>
      <c r="L346" s="19"/>
      <c r="M346" s="19"/>
      <c r="N346" s="15" t="str">
        <f aca="false">IF($A346="","",IF($C346=0,0,(IF($F346&lt;=15,5,IF($F346&lt;=30,4,IF($F346&lt;=45,3,IF($F346&lt;=90,2,1))))+IF($C346&gt;=10,5,IF($C346&gt;=6,4,IF($C346&gt;=4,3,IF($C346&gt;=2,2,1))))+IF($D346&gt;=20000,5,IF($D346&gt;=10000,4,IF($D346&gt;=5000,3,IF($D346&gt;=2000,2,1)))))))</f>
        <v/>
      </c>
      <c r="O346" s="3" t="str">
        <f aca="false">IF($A346="","",IF($C346=0,"No visits",IF($N346&gt;=13,"VIP",IF($N346&gt;=10,"High value",IF($N346&gt;=7,"Regular",IF($N346&gt;=4,"Occasional","Low"))))))</f>
        <v/>
      </c>
      <c r="P346" s="6" t="str">
        <f aca="true">IF(OR($A346="",$I346=""),"",IF(MONTH($I346)=MONTH(TODAY()),"Yes",""))</f>
        <v/>
      </c>
      <c r="Q346" s="21" t="str">
        <f aca="false">IF($A346="","",IF($C346=0,"",_xlfn.MINIFS('Daily tracking'!$A$2:$A$2001,'Daily tracking'!$D$2:$D$2001,$A346)))</f>
        <v/>
      </c>
      <c r="R346" s="6" t="str">
        <f aca="false">IF(OR($A346="",$C346&lt;2),"",($E346-$Q346)/($C346-1))</f>
        <v/>
      </c>
    </row>
    <row r="347" customFormat="false" ht="14.25" hidden="false" customHeight="false" outlineLevel="0" collapsed="false">
      <c r="A347" s="19"/>
      <c r="B347" s="19"/>
      <c r="C347" s="15" t="str">
        <f aca="false">IF($A347="","",COUNTIF('Daily tracking'!$D$2:$D$2001,$A347))</f>
        <v/>
      </c>
      <c r="D347" s="16" t="str">
        <f aca="false">IF($A347="","",SUMIF('Daily tracking'!$D$2:$D$2001,$A347,'Daily tracking'!$G$2:$G$2001))</f>
        <v/>
      </c>
      <c r="E347" s="18" t="str">
        <f aca="false">IF($A347="","",IF($C347=0,"",_xlfn.MAXIFS('Daily tracking'!$A$2:$A$2001,'Daily tracking'!$D$2:$D$2001,$A347)))</f>
        <v/>
      </c>
      <c r="F347" s="6" t="str">
        <f aca="true">IF(OR($A347="",$E347=""),"",TODAY()-$E347)</f>
        <v/>
      </c>
      <c r="G347" s="3" t="str">
        <f aca="false">IF($A347="","",IF($C347=0,"No visits",IF($F347&gt;90,"Lapsed",IF($F347&gt;35,"At risk",IF($C347&gt;=4,"Loyal","Active")))))</f>
        <v/>
      </c>
      <c r="H347" s="9" t="str">
        <f aca="false">IF(OR($A347="",$C347=0),"",$D347/$C347)</f>
        <v/>
      </c>
      <c r="I347" s="20"/>
      <c r="J347" s="20"/>
      <c r="K347" s="19"/>
      <c r="L347" s="19"/>
      <c r="M347" s="19"/>
      <c r="N347" s="15" t="str">
        <f aca="false">IF($A347="","",IF($C347=0,0,(IF($F347&lt;=15,5,IF($F347&lt;=30,4,IF($F347&lt;=45,3,IF($F347&lt;=90,2,1))))+IF($C347&gt;=10,5,IF($C347&gt;=6,4,IF($C347&gt;=4,3,IF($C347&gt;=2,2,1))))+IF($D347&gt;=20000,5,IF($D347&gt;=10000,4,IF($D347&gt;=5000,3,IF($D347&gt;=2000,2,1)))))))</f>
        <v/>
      </c>
      <c r="O347" s="3" t="str">
        <f aca="false">IF($A347="","",IF($C347=0,"No visits",IF($N347&gt;=13,"VIP",IF($N347&gt;=10,"High value",IF($N347&gt;=7,"Regular",IF($N347&gt;=4,"Occasional","Low"))))))</f>
        <v/>
      </c>
      <c r="P347" s="6" t="str">
        <f aca="true">IF(OR($A347="",$I347=""),"",IF(MONTH($I347)=MONTH(TODAY()),"Yes",""))</f>
        <v/>
      </c>
      <c r="Q347" s="21" t="str">
        <f aca="false">IF($A347="","",IF($C347=0,"",_xlfn.MINIFS('Daily tracking'!$A$2:$A$2001,'Daily tracking'!$D$2:$D$2001,$A347)))</f>
        <v/>
      </c>
      <c r="R347" s="6" t="str">
        <f aca="false">IF(OR($A347="",$C347&lt;2),"",($E347-$Q347)/($C347-1))</f>
        <v/>
      </c>
    </row>
    <row r="348" customFormat="false" ht="14.25" hidden="false" customHeight="false" outlineLevel="0" collapsed="false">
      <c r="A348" s="19"/>
      <c r="B348" s="19"/>
      <c r="C348" s="15" t="str">
        <f aca="false">IF($A348="","",COUNTIF('Daily tracking'!$D$2:$D$2001,$A348))</f>
        <v/>
      </c>
      <c r="D348" s="16" t="str">
        <f aca="false">IF($A348="","",SUMIF('Daily tracking'!$D$2:$D$2001,$A348,'Daily tracking'!$G$2:$G$2001))</f>
        <v/>
      </c>
      <c r="E348" s="18" t="str">
        <f aca="false">IF($A348="","",IF($C348=0,"",_xlfn.MAXIFS('Daily tracking'!$A$2:$A$2001,'Daily tracking'!$D$2:$D$2001,$A348)))</f>
        <v/>
      </c>
      <c r="F348" s="6" t="str">
        <f aca="true">IF(OR($A348="",$E348=""),"",TODAY()-$E348)</f>
        <v/>
      </c>
      <c r="G348" s="3" t="str">
        <f aca="false">IF($A348="","",IF($C348=0,"No visits",IF($F348&gt;90,"Lapsed",IF($F348&gt;35,"At risk",IF($C348&gt;=4,"Loyal","Active")))))</f>
        <v/>
      </c>
      <c r="H348" s="9" t="str">
        <f aca="false">IF(OR($A348="",$C348=0),"",$D348/$C348)</f>
        <v/>
      </c>
      <c r="I348" s="20"/>
      <c r="J348" s="20"/>
      <c r="K348" s="19"/>
      <c r="L348" s="19"/>
      <c r="M348" s="19"/>
      <c r="N348" s="15" t="str">
        <f aca="false">IF($A348="","",IF($C348=0,0,(IF($F348&lt;=15,5,IF($F348&lt;=30,4,IF($F348&lt;=45,3,IF($F348&lt;=90,2,1))))+IF($C348&gt;=10,5,IF($C348&gt;=6,4,IF($C348&gt;=4,3,IF($C348&gt;=2,2,1))))+IF($D348&gt;=20000,5,IF($D348&gt;=10000,4,IF($D348&gt;=5000,3,IF($D348&gt;=2000,2,1)))))))</f>
        <v/>
      </c>
      <c r="O348" s="3" t="str">
        <f aca="false">IF($A348="","",IF($C348=0,"No visits",IF($N348&gt;=13,"VIP",IF($N348&gt;=10,"High value",IF($N348&gt;=7,"Regular",IF($N348&gt;=4,"Occasional","Low"))))))</f>
        <v/>
      </c>
      <c r="P348" s="6" t="str">
        <f aca="true">IF(OR($A348="",$I348=""),"",IF(MONTH($I348)=MONTH(TODAY()),"Yes",""))</f>
        <v/>
      </c>
      <c r="Q348" s="21" t="str">
        <f aca="false">IF($A348="","",IF($C348=0,"",_xlfn.MINIFS('Daily tracking'!$A$2:$A$2001,'Daily tracking'!$D$2:$D$2001,$A348)))</f>
        <v/>
      </c>
      <c r="R348" s="6" t="str">
        <f aca="false">IF(OR($A348="",$C348&lt;2),"",($E348-$Q348)/($C348-1))</f>
        <v/>
      </c>
    </row>
    <row r="349" customFormat="false" ht="14.25" hidden="false" customHeight="false" outlineLevel="0" collapsed="false">
      <c r="A349" s="19"/>
      <c r="B349" s="19"/>
      <c r="C349" s="15" t="str">
        <f aca="false">IF($A349="","",COUNTIF('Daily tracking'!$D$2:$D$2001,$A349))</f>
        <v/>
      </c>
      <c r="D349" s="16" t="str">
        <f aca="false">IF($A349="","",SUMIF('Daily tracking'!$D$2:$D$2001,$A349,'Daily tracking'!$G$2:$G$2001))</f>
        <v/>
      </c>
      <c r="E349" s="18" t="str">
        <f aca="false">IF($A349="","",IF($C349=0,"",_xlfn.MAXIFS('Daily tracking'!$A$2:$A$2001,'Daily tracking'!$D$2:$D$2001,$A349)))</f>
        <v/>
      </c>
      <c r="F349" s="6" t="str">
        <f aca="true">IF(OR($A349="",$E349=""),"",TODAY()-$E349)</f>
        <v/>
      </c>
      <c r="G349" s="3" t="str">
        <f aca="false">IF($A349="","",IF($C349=0,"No visits",IF($F349&gt;90,"Lapsed",IF($F349&gt;35,"At risk",IF($C349&gt;=4,"Loyal","Active")))))</f>
        <v/>
      </c>
      <c r="H349" s="9" t="str">
        <f aca="false">IF(OR($A349="",$C349=0),"",$D349/$C349)</f>
        <v/>
      </c>
      <c r="I349" s="20"/>
      <c r="J349" s="20"/>
      <c r="K349" s="19"/>
      <c r="L349" s="19"/>
      <c r="M349" s="19"/>
      <c r="N349" s="15" t="str">
        <f aca="false">IF($A349="","",IF($C349=0,0,(IF($F349&lt;=15,5,IF($F349&lt;=30,4,IF($F349&lt;=45,3,IF($F349&lt;=90,2,1))))+IF($C349&gt;=10,5,IF($C349&gt;=6,4,IF($C349&gt;=4,3,IF($C349&gt;=2,2,1))))+IF($D349&gt;=20000,5,IF($D349&gt;=10000,4,IF($D349&gt;=5000,3,IF($D349&gt;=2000,2,1)))))))</f>
        <v/>
      </c>
      <c r="O349" s="3" t="str">
        <f aca="false">IF($A349="","",IF($C349=0,"No visits",IF($N349&gt;=13,"VIP",IF($N349&gt;=10,"High value",IF($N349&gt;=7,"Regular",IF($N349&gt;=4,"Occasional","Low"))))))</f>
        <v/>
      </c>
      <c r="P349" s="6" t="str">
        <f aca="true">IF(OR($A349="",$I349=""),"",IF(MONTH($I349)=MONTH(TODAY()),"Yes",""))</f>
        <v/>
      </c>
      <c r="Q349" s="21" t="str">
        <f aca="false">IF($A349="","",IF($C349=0,"",_xlfn.MINIFS('Daily tracking'!$A$2:$A$2001,'Daily tracking'!$D$2:$D$2001,$A349)))</f>
        <v/>
      </c>
      <c r="R349" s="6" t="str">
        <f aca="false">IF(OR($A349="",$C349&lt;2),"",($E349-$Q349)/($C349-1))</f>
        <v/>
      </c>
    </row>
    <row r="350" customFormat="false" ht="14.25" hidden="false" customHeight="false" outlineLevel="0" collapsed="false">
      <c r="A350" s="19"/>
      <c r="B350" s="19"/>
      <c r="C350" s="15" t="str">
        <f aca="false">IF($A350="","",COUNTIF('Daily tracking'!$D$2:$D$2001,$A350))</f>
        <v/>
      </c>
      <c r="D350" s="16" t="str">
        <f aca="false">IF($A350="","",SUMIF('Daily tracking'!$D$2:$D$2001,$A350,'Daily tracking'!$G$2:$G$2001))</f>
        <v/>
      </c>
      <c r="E350" s="18" t="str">
        <f aca="false">IF($A350="","",IF($C350=0,"",_xlfn.MAXIFS('Daily tracking'!$A$2:$A$2001,'Daily tracking'!$D$2:$D$2001,$A350)))</f>
        <v/>
      </c>
      <c r="F350" s="6" t="str">
        <f aca="true">IF(OR($A350="",$E350=""),"",TODAY()-$E350)</f>
        <v/>
      </c>
      <c r="G350" s="3" t="str">
        <f aca="false">IF($A350="","",IF($C350=0,"No visits",IF($F350&gt;90,"Lapsed",IF($F350&gt;35,"At risk",IF($C350&gt;=4,"Loyal","Active")))))</f>
        <v/>
      </c>
      <c r="H350" s="9" t="str">
        <f aca="false">IF(OR($A350="",$C350=0),"",$D350/$C350)</f>
        <v/>
      </c>
      <c r="I350" s="20"/>
      <c r="J350" s="20"/>
      <c r="K350" s="19"/>
      <c r="L350" s="19"/>
      <c r="M350" s="19"/>
      <c r="N350" s="15" t="str">
        <f aca="false">IF($A350="","",IF($C350=0,0,(IF($F350&lt;=15,5,IF($F350&lt;=30,4,IF($F350&lt;=45,3,IF($F350&lt;=90,2,1))))+IF($C350&gt;=10,5,IF($C350&gt;=6,4,IF($C350&gt;=4,3,IF($C350&gt;=2,2,1))))+IF($D350&gt;=20000,5,IF($D350&gt;=10000,4,IF($D350&gt;=5000,3,IF($D350&gt;=2000,2,1)))))))</f>
        <v/>
      </c>
      <c r="O350" s="3" t="str">
        <f aca="false">IF($A350="","",IF($C350=0,"No visits",IF($N350&gt;=13,"VIP",IF($N350&gt;=10,"High value",IF($N350&gt;=7,"Regular",IF($N350&gt;=4,"Occasional","Low"))))))</f>
        <v/>
      </c>
      <c r="P350" s="6" t="str">
        <f aca="true">IF(OR($A350="",$I350=""),"",IF(MONTH($I350)=MONTH(TODAY()),"Yes",""))</f>
        <v/>
      </c>
      <c r="Q350" s="21" t="str">
        <f aca="false">IF($A350="","",IF($C350=0,"",_xlfn.MINIFS('Daily tracking'!$A$2:$A$2001,'Daily tracking'!$D$2:$D$2001,$A350)))</f>
        <v/>
      </c>
      <c r="R350" s="6" t="str">
        <f aca="false">IF(OR($A350="",$C350&lt;2),"",($E350-$Q350)/($C350-1))</f>
        <v/>
      </c>
    </row>
    <row r="351" customFormat="false" ht="14.25" hidden="false" customHeight="false" outlineLevel="0" collapsed="false">
      <c r="A351" s="19"/>
      <c r="B351" s="19"/>
      <c r="C351" s="15" t="str">
        <f aca="false">IF($A351="","",COUNTIF('Daily tracking'!$D$2:$D$2001,$A351))</f>
        <v/>
      </c>
      <c r="D351" s="16" t="str">
        <f aca="false">IF($A351="","",SUMIF('Daily tracking'!$D$2:$D$2001,$A351,'Daily tracking'!$G$2:$G$2001))</f>
        <v/>
      </c>
      <c r="E351" s="18" t="str">
        <f aca="false">IF($A351="","",IF($C351=0,"",_xlfn.MAXIFS('Daily tracking'!$A$2:$A$2001,'Daily tracking'!$D$2:$D$2001,$A351)))</f>
        <v/>
      </c>
      <c r="F351" s="6" t="str">
        <f aca="true">IF(OR($A351="",$E351=""),"",TODAY()-$E351)</f>
        <v/>
      </c>
      <c r="G351" s="3" t="str">
        <f aca="false">IF($A351="","",IF($C351=0,"No visits",IF($F351&gt;90,"Lapsed",IF($F351&gt;35,"At risk",IF($C351&gt;=4,"Loyal","Active")))))</f>
        <v/>
      </c>
      <c r="H351" s="9" t="str">
        <f aca="false">IF(OR($A351="",$C351=0),"",$D351/$C351)</f>
        <v/>
      </c>
      <c r="I351" s="20"/>
      <c r="J351" s="20"/>
      <c r="K351" s="19"/>
      <c r="L351" s="19"/>
      <c r="M351" s="19"/>
      <c r="N351" s="15" t="str">
        <f aca="false">IF($A351="","",IF($C351=0,0,(IF($F351&lt;=15,5,IF($F351&lt;=30,4,IF($F351&lt;=45,3,IF($F351&lt;=90,2,1))))+IF($C351&gt;=10,5,IF($C351&gt;=6,4,IF($C351&gt;=4,3,IF($C351&gt;=2,2,1))))+IF($D351&gt;=20000,5,IF($D351&gt;=10000,4,IF($D351&gt;=5000,3,IF($D351&gt;=2000,2,1)))))))</f>
        <v/>
      </c>
      <c r="O351" s="3" t="str">
        <f aca="false">IF($A351="","",IF($C351=0,"No visits",IF($N351&gt;=13,"VIP",IF($N351&gt;=10,"High value",IF($N351&gt;=7,"Regular",IF($N351&gt;=4,"Occasional","Low"))))))</f>
        <v/>
      </c>
      <c r="P351" s="6" t="str">
        <f aca="true">IF(OR($A351="",$I351=""),"",IF(MONTH($I351)=MONTH(TODAY()),"Yes",""))</f>
        <v/>
      </c>
      <c r="Q351" s="21" t="str">
        <f aca="false">IF($A351="","",IF($C351=0,"",_xlfn.MINIFS('Daily tracking'!$A$2:$A$2001,'Daily tracking'!$D$2:$D$2001,$A351)))</f>
        <v/>
      </c>
      <c r="R351" s="6" t="str">
        <f aca="false">IF(OR($A351="",$C351&lt;2),"",($E351-$Q351)/($C351-1))</f>
        <v/>
      </c>
    </row>
    <row r="352" customFormat="false" ht="14.25" hidden="false" customHeight="false" outlineLevel="0" collapsed="false">
      <c r="A352" s="19"/>
      <c r="B352" s="19"/>
      <c r="C352" s="15" t="str">
        <f aca="false">IF($A352="","",COUNTIF('Daily tracking'!$D$2:$D$2001,$A352))</f>
        <v/>
      </c>
      <c r="D352" s="16" t="str">
        <f aca="false">IF($A352="","",SUMIF('Daily tracking'!$D$2:$D$2001,$A352,'Daily tracking'!$G$2:$G$2001))</f>
        <v/>
      </c>
      <c r="E352" s="18" t="str">
        <f aca="false">IF($A352="","",IF($C352=0,"",_xlfn.MAXIFS('Daily tracking'!$A$2:$A$2001,'Daily tracking'!$D$2:$D$2001,$A352)))</f>
        <v/>
      </c>
      <c r="F352" s="6" t="str">
        <f aca="true">IF(OR($A352="",$E352=""),"",TODAY()-$E352)</f>
        <v/>
      </c>
      <c r="G352" s="3" t="str">
        <f aca="false">IF($A352="","",IF($C352=0,"No visits",IF($F352&gt;90,"Lapsed",IF($F352&gt;35,"At risk",IF($C352&gt;=4,"Loyal","Active")))))</f>
        <v/>
      </c>
      <c r="H352" s="9" t="str">
        <f aca="false">IF(OR($A352="",$C352=0),"",$D352/$C352)</f>
        <v/>
      </c>
      <c r="I352" s="20"/>
      <c r="J352" s="20"/>
      <c r="K352" s="19"/>
      <c r="L352" s="19"/>
      <c r="M352" s="19"/>
      <c r="N352" s="15" t="str">
        <f aca="false">IF($A352="","",IF($C352=0,0,(IF($F352&lt;=15,5,IF($F352&lt;=30,4,IF($F352&lt;=45,3,IF($F352&lt;=90,2,1))))+IF($C352&gt;=10,5,IF($C352&gt;=6,4,IF($C352&gt;=4,3,IF($C352&gt;=2,2,1))))+IF($D352&gt;=20000,5,IF($D352&gt;=10000,4,IF($D352&gt;=5000,3,IF($D352&gt;=2000,2,1)))))))</f>
        <v/>
      </c>
      <c r="O352" s="3" t="str">
        <f aca="false">IF($A352="","",IF($C352=0,"No visits",IF($N352&gt;=13,"VIP",IF($N352&gt;=10,"High value",IF($N352&gt;=7,"Regular",IF($N352&gt;=4,"Occasional","Low"))))))</f>
        <v/>
      </c>
      <c r="P352" s="6" t="str">
        <f aca="true">IF(OR($A352="",$I352=""),"",IF(MONTH($I352)=MONTH(TODAY()),"Yes",""))</f>
        <v/>
      </c>
      <c r="Q352" s="21" t="str">
        <f aca="false">IF($A352="","",IF($C352=0,"",_xlfn.MINIFS('Daily tracking'!$A$2:$A$2001,'Daily tracking'!$D$2:$D$2001,$A352)))</f>
        <v/>
      </c>
      <c r="R352" s="6" t="str">
        <f aca="false">IF(OR($A352="",$C352&lt;2),"",($E352-$Q352)/($C352-1))</f>
        <v/>
      </c>
    </row>
    <row r="353" customFormat="false" ht="14.25" hidden="false" customHeight="false" outlineLevel="0" collapsed="false">
      <c r="A353" s="19"/>
      <c r="B353" s="19"/>
      <c r="C353" s="15" t="str">
        <f aca="false">IF($A353="","",COUNTIF('Daily tracking'!$D$2:$D$2001,$A353))</f>
        <v/>
      </c>
      <c r="D353" s="16" t="str">
        <f aca="false">IF($A353="","",SUMIF('Daily tracking'!$D$2:$D$2001,$A353,'Daily tracking'!$G$2:$G$2001))</f>
        <v/>
      </c>
      <c r="E353" s="18" t="str">
        <f aca="false">IF($A353="","",IF($C353=0,"",_xlfn.MAXIFS('Daily tracking'!$A$2:$A$2001,'Daily tracking'!$D$2:$D$2001,$A353)))</f>
        <v/>
      </c>
      <c r="F353" s="6" t="str">
        <f aca="true">IF(OR($A353="",$E353=""),"",TODAY()-$E353)</f>
        <v/>
      </c>
      <c r="G353" s="3" t="str">
        <f aca="false">IF($A353="","",IF($C353=0,"No visits",IF($F353&gt;90,"Lapsed",IF($F353&gt;35,"At risk",IF($C353&gt;=4,"Loyal","Active")))))</f>
        <v/>
      </c>
      <c r="H353" s="9" t="str">
        <f aca="false">IF(OR($A353="",$C353=0),"",$D353/$C353)</f>
        <v/>
      </c>
      <c r="I353" s="20"/>
      <c r="J353" s="20"/>
      <c r="K353" s="19"/>
      <c r="L353" s="19"/>
      <c r="M353" s="19"/>
      <c r="N353" s="15" t="str">
        <f aca="false">IF($A353="","",IF($C353=0,0,(IF($F353&lt;=15,5,IF($F353&lt;=30,4,IF($F353&lt;=45,3,IF($F353&lt;=90,2,1))))+IF($C353&gt;=10,5,IF($C353&gt;=6,4,IF($C353&gt;=4,3,IF($C353&gt;=2,2,1))))+IF($D353&gt;=20000,5,IF($D353&gt;=10000,4,IF($D353&gt;=5000,3,IF($D353&gt;=2000,2,1)))))))</f>
        <v/>
      </c>
      <c r="O353" s="3" t="str">
        <f aca="false">IF($A353="","",IF($C353=0,"No visits",IF($N353&gt;=13,"VIP",IF($N353&gt;=10,"High value",IF($N353&gt;=7,"Regular",IF($N353&gt;=4,"Occasional","Low"))))))</f>
        <v/>
      </c>
      <c r="P353" s="6" t="str">
        <f aca="true">IF(OR($A353="",$I353=""),"",IF(MONTH($I353)=MONTH(TODAY()),"Yes",""))</f>
        <v/>
      </c>
      <c r="Q353" s="21" t="str">
        <f aca="false">IF($A353="","",IF($C353=0,"",_xlfn.MINIFS('Daily tracking'!$A$2:$A$2001,'Daily tracking'!$D$2:$D$2001,$A353)))</f>
        <v/>
      </c>
      <c r="R353" s="6" t="str">
        <f aca="false">IF(OR($A353="",$C353&lt;2),"",($E353-$Q353)/($C353-1))</f>
        <v/>
      </c>
    </row>
    <row r="354" customFormat="false" ht="14.25" hidden="false" customHeight="false" outlineLevel="0" collapsed="false">
      <c r="A354" s="19"/>
      <c r="B354" s="19"/>
      <c r="C354" s="15" t="str">
        <f aca="false">IF($A354="","",COUNTIF('Daily tracking'!$D$2:$D$2001,$A354))</f>
        <v/>
      </c>
      <c r="D354" s="16" t="str">
        <f aca="false">IF($A354="","",SUMIF('Daily tracking'!$D$2:$D$2001,$A354,'Daily tracking'!$G$2:$G$2001))</f>
        <v/>
      </c>
      <c r="E354" s="18" t="str">
        <f aca="false">IF($A354="","",IF($C354=0,"",_xlfn.MAXIFS('Daily tracking'!$A$2:$A$2001,'Daily tracking'!$D$2:$D$2001,$A354)))</f>
        <v/>
      </c>
      <c r="F354" s="6" t="str">
        <f aca="true">IF(OR($A354="",$E354=""),"",TODAY()-$E354)</f>
        <v/>
      </c>
      <c r="G354" s="3" t="str">
        <f aca="false">IF($A354="","",IF($C354=0,"No visits",IF($F354&gt;90,"Lapsed",IF($F354&gt;35,"At risk",IF($C354&gt;=4,"Loyal","Active")))))</f>
        <v/>
      </c>
      <c r="H354" s="9" t="str">
        <f aca="false">IF(OR($A354="",$C354=0),"",$D354/$C354)</f>
        <v/>
      </c>
      <c r="I354" s="20"/>
      <c r="J354" s="20"/>
      <c r="K354" s="19"/>
      <c r="L354" s="19"/>
      <c r="M354" s="19"/>
      <c r="N354" s="15" t="str">
        <f aca="false">IF($A354="","",IF($C354=0,0,(IF($F354&lt;=15,5,IF($F354&lt;=30,4,IF($F354&lt;=45,3,IF($F354&lt;=90,2,1))))+IF($C354&gt;=10,5,IF($C354&gt;=6,4,IF($C354&gt;=4,3,IF($C354&gt;=2,2,1))))+IF($D354&gt;=20000,5,IF($D354&gt;=10000,4,IF($D354&gt;=5000,3,IF($D354&gt;=2000,2,1)))))))</f>
        <v/>
      </c>
      <c r="O354" s="3" t="str">
        <f aca="false">IF($A354="","",IF($C354=0,"No visits",IF($N354&gt;=13,"VIP",IF($N354&gt;=10,"High value",IF($N354&gt;=7,"Regular",IF($N354&gt;=4,"Occasional","Low"))))))</f>
        <v/>
      </c>
      <c r="P354" s="6" t="str">
        <f aca="true">IF(OR($A354="",$I354=""),"",IF(MONTH($I354)=MONTH(TODAY()),"Yes",""))</f>
        <v/>
      </c>
      <c r="Q354" s="21" t="str">
        <f aca="false">IF($A354="","",IF($C354=0,"",_xlfn.MINIFS('Daily tracking'!$A$2:$A$2001,'Daily tracking'!$D$2:$D$2001,$A354)))</f>
        <v/>
      </c>
      <c r="R354" s="6" t="str">
        <f aca="false">IF(OR($A354="",$C354&lt;2),"",($E354-$Q354)/($C354-1))</f>
        <v/>
      </c>
    </row>
    <row r="355" customFormat="false" ht="14.25" hidden="false" customHeight="false" outlineLevel="0" collapsed="false">
      <c r="A355" s="19"/>
      <c r="B355" s="19"/>
      <c r="C355" s="15" t="str">
        <f aca="false">IF($A355="","",COUNTIF('Daily tracking'!$D$2:$D$2001,$A355))</f>
        <v/>
      </c>
      <c r="D355" s="16" t="str">
        <f aca="false">IF($A355="","",SUMIF('Daily tracking'!$D$2:$D$2001,$A355,'Daily tracking'!$G$2:$G$2001))</f>
        <v/>
      </c>
      <c r="E355" s="18" t="str">
        <f aca="false">IF($A355="","",IF($C355=0,"",_xlfn.MAXIFS('Daily tracking'!$A$2:$A$2001,'Daily tracking'!$D$2:$D$2001,$A355)))</f>
        <v/>
      </c>
      <c r="F355" s="6" t="str">
        <f aca="true">IF(OR($A355="",$E355=""),"",TODAY()-$E355)</f>
        <v/>
      </c>
      <c r="G355" s="3" t="str">
        <f aca="false">IF($A355="","",IF($C355=0,"No visits",IF($F355&gt;90,"Lapsed",IF($F355&gt;35,"At risk",IF($C355&gt;=4,"Loyal","Active")))))</f>
        <v/>
      </c>
      <c r="H355" s="9" t="str">
        <f aca="false">IF(OR($A355="",$C355=0),"",$D355/$C355)</f>
        <v/>
      </c>
      <c r="I355" s="20"/>
      <c r="J355" s="20"/>
      <c r="K355" s="19"/>
      <c r="L355" s="19"/>
      <c r="M355" s="19"/>
      <c r="N355" s="15" t="str">
        <f aca="false">IF($A355="","",IF($C355=0,0,(IF($F355&lt;=15,5,IF($F355&lt;=30,4,IF($F355&lt;=45,3,IF($F355&lt;=90,2,1))))+IF($C355&gt;=10,5,IF($C355&gt;=6,4,IF($C355&gt;=4,3,IF($C355&gt;=2,2,1))))+IF($D355&gt;=20000,5,IF($D355&gt;=10000,4,IF($D355&gt;=5000,3,IF($D355&gt;=2000,2,1)))))))</f>
        <v/>
      </c>
      <c r="O355" s="3" t="str">
        <f aca="false">IF($A355="","",IF($C355=0,"No visits",IF($N355&gt;=13,"VIP",IF($N355&gt;=10,"High value",IF($N355&gt;=7,"Regular",IF($N355&gt;=4,"Occasional","Low"))))))</f>
        <v/>
      </c>
      <c r="P355" s="6" t="str">
        <f aca="true">IF(OR($A355="",$I355=""),"",IF(MONTH($I355)=MONTH(TODAY()),"Yes",""))</f>
        <v/>
      </c>
      <c r="Q355" s="21" t="str">
        <f aca="false">IF($A355="","",IF($C355=0,"",_xlfn.MINIFS('Daily tracking'!$A$2:$A$2001,'Daily tracking'!$D$2:$D$2001,$A355)))</f>
        <v/>
      </c>
      <c r="R355" s="6" t="str">
        <f aca="false">IF(OR($A355="",$C355&lt;2),"",($E355-$Q355)/($C355-1))</f>
        <v/>
      </c>
    </row>
    <row r="356" customFormat="false" ht="14.25" hidden="false" customHeight="false" outlineLevel="0" collapsed="false">
      <c r="A356" s="19"/>
      <c r="B356" s="19"/>
      <c r="C356" s="15" t="str">
        <f aca="false">IF($A356="","",COUNTIF('Daily tracking'!$D$2:$D$2001,$A356))</f>
        <v/>
      </c>
      <c r="D356" s="16" t="str">
        <f aca="false">IF($A356="","",SUMIF('Daily tracking'!$D$2:$D$2001,$A356,'Daily tracking'!$G$2:$G$2001))</f>
        <v/>
      </c>
      <c r="E356" s="18" t="str">
        <f aca="false">IF($A356="","",IF($C356=0,"",_xlfn.MAXIFS('Daily tracking'!$A$2:$A$2001,'Daily tracking'!$D$2:$D$2001,$A356)))</f>
        <v/>
      </c>
      <c r="F356" s="6" t="str">
        <f aca="true">IF(OR($A356="",$E356=""),"",TODAY()-$E356)</f>
        <v/>
      </c>
      <c r="G356" s="3" t="str">
        <f aca="false">IF($A356="","",IF($C356=0,"No visits",IF($F356&gt;90,"Lapsed",IF($F356&gt;35,"At risk",IF($C356&gt;=4,"Loyal","Active")))))</f>
        <v/>
      </c>
      <c r="H356" s="9" t="str">
        <f aca="false">IF(OR($A356="",$C356=0),"",$D356/$C356)</f>
        <v/>
      </c>
      <c r="I356" s="20"/>
      <c r="J356" s="20"/>
      <c r="K356" s="19"/>
      <c r="L356" s="19"/>
      <c r="M356" s="19"/>
      <c r="N356" s="15" t="str">
        <f aca="false">IF($A356="","",IF($C356=0,0,(IF($F356&lt;=15,5,IF($F356&lt;=30,4,IF($F356&lt;=45,3,IF($F356&lt;=90,2,1))))+IF($C356&gt;=10,5,IF($C356&gt;=6,4,IF($C356&gt;=4,3,IF($C356&gt;=2,2,1))))+IF($D356&gt;=20000,5,IF($D356&gt;=10000,4,IF($D356&gt;=5000,3,IF($D356&gt;=2000,2,1)))))))</f>
        <v/>
      </c>
      <c r="O356" s="3" t="str">
        <f aca="false">IF($A356="","",IF($C356=0,"No visits",IF($N356&gt;=13,"VIP",IF($N356&gt;=10,"High value",IF($N356&gt;=7,"Regular",IF($N356&gt;=4,"Occasional","Low"))))))</f>
        <v/>
      </c>
      <c r="P356" s="6" t="str">
        <f aca="true">IF(OR($A356="",$I356=""),"",IF(MONTH($I356)=MONTH(TODAY()),"Yes",""))</f>
        <v/>
      </c>
      <c r="Q356" s="21" t="str">
        <f aca="false">IF($A356="","",IF($C356=0,"",_xlfn.MINIFS('Daily tracking'!$A$2:$A$2001,'Daily tracking'!$D$2:$D$2001,$A356)))</f>
        <v/>
      </c>
      <c r="R356" s="6" t="str">
        <f aca="false">IF(OR($A356="",$C356&lt;2),"",($E356-$Q356)/($C356-1))</f>
        <v/>
      </c>
    </row>
    <row r="357" customFormat="false" ht="14.25" hidden="false" customHeight="false" outlineLevel="0" collapsed="false">
      <c r="A357" s="19"/>
      <c r="B357" s="19"/>
      <c r="C357" s="15" t="str">
        <f aca="false">IF($A357="","",COUNTIF('Daily tracking'!$D$2:$D$2001,$A357))</f>
        <v/>
      </c>
      <c r="D357" s="16" t="str">
        <f aca="false">IF($A357="","",SUMIF('Daily tracking'!$D$2:$D$2001,$A357,'Daily tracking'!$G$2:$G$2001))</f>
        <v/>
      </c>
      <c r="E357" s="18" t="str">
        <f aca="false">IF($A357="","",IF($C357=0,"",_xlfn.MAXIFS('Daily tracking'!$A$2:$A$2001,'Daily tracking'!$D$2:$D$2001,$A357)))</f>
        <v/>
      </c>
      <c r="F357" s="6" t="str">
        <f aca="true">IF(OR($A357="",$E357=""),"",TODAY()-$E357)</f>
        <v/>
      </c>
      <c r="G357" s="3" t="str">
        <f aca="false">IF($A357="","",IF($C357=0,"No visits",IF($F357&gt;90,"Lapsed",IF($F357&gt;35,"At risk",IF($C357&gt;=4,"Loyal","Active")))))</f>
        <v/>
      </c>
      <c r="H357" s="9" t="str">
        <f aca="false">IF(OR($A357="",$C357=0),"",$D357/$C357)</f>
        <v/>
      </c>
      <c r="I357" s="20"/>
      <c r="J357" s="20"/>
      <c r="K357" s="19"/>
      <c r="L357" s="19"/>
      <c r="M357" s="19"/>
      <c r="N357" s="15" t="str">
        <f aca="false">IF($A357="","",IF($C357=0,0,(IF($F357&lt;=15,5,IF($F357&lt;=30,4,IF($F357&lt;=45,3,IF($F357&lt;=90,2,1))))+IF($C357&gt;=10,5,IF($C357&gt;=6,4,IF($C357&gt;=4,3,IF($C357&gt;=2,2,1))))+IF($D357&gt;=20000,5,IF($D357&gt;=10000,4,IF($D357&gt;=5000,3,IF($D357&gt;=2000,2,1)))))))</f>
        <v/>
      </c>
      <c r="O357" s="3" t="str">
        <f aca="false">IF($A357="","",IF($C357=0,"No visits",IF($N357&gt;=13,"VIP",IF($N357&gt;=10,"High value",IF($N357&gt;=7,"Regular",IF($N357&gt;=4,"Occasional","Low"))))))</f>
        <v/>
      </c>
      <c r="P357" s="6" t="str">
        <f aca="true">IF(OR($A357="",$I357=""),"",IF(MONTH($I357)=MONTH(TODAY()),"Yes",""))</f>
        <v/>
      </c>
      <c r="Q357" s="21" t="str">
        <f aca="false">IF($A357="","",IF($C357=0,"",_xlfn.MINIFS('Daily tracking'!$A$2:$A$2001,'Daily tracking'!$D$2:$D$2001,$A357)))</f>
        <v/>
      </c>
      <c r="R357" s="6" t="str">
        <f aca="false">IF(OR($A357="",$C357&lt;2),"",($E357-$Q357)/($C357-1))</f>
        <v/>
      </c>
    </row>
    <row r="358" customFormat="false" ht="14.25" hidden="false" customHeight="false" outlineLevel="0" collapsed="false">
      <c r="A358" s="19"/>
      <c r="B358" s="19"/>
      <c r="C358" s="15" t="str">
        <f aca="false">IF($A358="","",COUNTIF('Daily tracking'!$D$2:$D$2001,$A358))</f>
        <v/>
      </c>
      <c r="D358" s="16" t="str">
        <f aca="false">IF($A358="","",SUMIF('Daily tracking'!$D$2:$D$2001,$A358,'Daily tracking'!$G$2:$G$2001))</f>
        <v/>
      </c>
      <c r="E358" s="18" t="str">
        <f aca="false">IF($A358="","",IF($C358=0,"",_xlfn.MAXIFS('Daily tracking'!$A$2:$A$2001,'Daily tracking'!$D$2:$D$2001,$A358)))</f>
        <v/>
      </c>
      <c r="F358" s="6" t="str">
        <f aca="true">IF(OR($A358="",$E358=""),"",TODAY()-$E358)</f>
        <v/>
      </c>
      <c r="G358" s="3" t="str">
        <f aca="false">IF($A358="","",IF($C358=0,"No visits",IF($F358&gt;90,"Lapsed",IF($F358&gt;35,"At risk",IF($C358&gt;=4,"Loyal","Active")))))</f>
        <v/>
      </c>
      <c r="H358" s="9" t="str">
        <f aca="false">IF(OR($A358="",$C358=0),"",$D358/$C358)</f>
        <v/>
      </c>
      <c r="I358" s="20"/>
      <c r="J358" s="20"/>
      <c r="K358" s="19"/>
      <c r="L358" s="19"/>
      <c r="M358" s="19"/>
      <c r="N358" s="15" t="str">
        <f aca="false">IF($A358="","",IF($C358=0,0,(IF($F358&lt;=15,5,IF($F358&lt;=30,4,IF($F358&lt;=45,3,IF($F358&lt;=90,2,1))))+IF($C358&gt;=10,5,IF($C358&gt;=6,4,IF($C358&gt;=4,3,IF($C358&gt;=2,2,1))))+IF($D358&gt;=20000,5,IF($D358&gt;=10000,4,IF($D358&gt;=5000,3,IF($D358&gt;=2000,2,1)))))))</f>
        <v/>
      </c>
      <c r="O358" s="3" t="str">
        <f aca="false">IF($A358="","",IF($C358=0,"No visits",IF($N358&gt;=13,"VIP",IF($N358&gt;=10,"High value",IF($N358&gt;=7,"Regular",IF($N358&gt;=4,"Occasional","Low"))))))</f>
        <v/>
      </c>
      <c r="P358" s="6" t="str">
        <f aca="true">IF(OR($A358="",$I358=""),"",IF(MONTH($I358)=MONTH(TODAY()),"Yes",""))</f>
        <v/>
      </c>
      <c r="Q358" s="21" t="str">
        <f aca="false">IF($A358="","",IF($C358=0,"",_xlfn.MINIFS('Daily tracking'!$A$2:$A$2001,'Daily tracking'!$D$2:$D$2001,$A358)))</f>
        <v/>
      </c>
      <c r="R358" s="6" t="str">
        <f aca="false">IF(OR($A358="",$C358&lt;2),"",($E358-$Q358)/($C358-1))</f>
        <v/>
      </c>
    </row>
    <row r="359" customFormat="false" ht="14.25" hidden="false" customHeight="false" outlineLevel="0" collapsed="false">
      <c r="A359" s="19"/>
      <c r="B359" s="19"/>
      <c r="C359" s="15" t="str">
        <f aca="false">IF($A359="","",COUNTIF('Daily tracking'!$D$2:$D$2001,$A359))</f>
        <v/>
      </c>
      <c r="D359" s="16" t="str">
        <f aca="false">IF($A359="","",SUMIF('Daily tracking'!$D$2:$D$2001,$A359,'Daily tracking'!$G$2:$G$2001))</f>
        <v/>
      </c>
      <c r="E359" s="18" t="str">
        <f aca="false">IF($A359="","",IF($C359=0,"",_xlfn.MAXIFS('Daily tracking'!$A$2:$A$2001,'Daily tracking'!$D$2:$D$2001,$A359)))</f>
        <v/>
      </c>
      <c r="F359" s="6" t="str">
        <f aca="true">IF(OR($A359="",$E359=""),"",TODAY()-$E359)</f>
        <v/>
      </c>
      <c r="G359" s="3" t="str">
        <f aca="false">IF($A359="","",IF($C359=0,"No visits",IF($F359&gt;90,"Lapsed",IF($F359&gt;35,"At risk",IF($C359&gt;=4,"Loyal","Active")))))</f>
        <v/>
      </c>
      <c r="H359" s="9" t="str">
        <f aca="false">IF(OR($A359="",$C359=0),"",$D359/$C359)</f>
        <v/>
      </c>
      <c r="I359" s="20"/>
      <c r="J359" s="20"/>
      <c r="K359" s="19"/>
      <c r="L359" s="19"/>
      <c r="M359" s="19"/>
      <c r="N359" s="15" t="str">
        <f aca="false">IF($A359="","",IF($C359=0,0,(IF($F359&lt;=15,5,IF($F359&lt;=30,4,IF($F359&lt;=45,3,IF($F359&lt;=90,2,1))))+IF($C359&gt;=10,5,IF($C359&gt;=6,4,IF($C359&gt;=4,3,IF($C359&gt;=2,2,1))))+IF($D359&gt;=20000,5,IF($D359&gt;=10000,4,IF($D359&gt;=5000,3,IF($D359&gt;=2000,2,1)))))))</f>
        <v/>
      </c>
      <c r="O359" s="3" t="str">
        <f aca="false">IF($A359="","",IF($C359=0,"No visits",IF($N359&gt;=13,"VIP",IF($N359&gt;=10,"High value",IF($N359&gt;=7,"Regular",IF($N359&gt;=4,"Occasional","Low"))))))</f>
        <v/>
      </c>
      <c r="P359" s="6" t="str">
        <f aca="true">IF(OR($A359="",$I359=""),"",IF(MONTH($I359)=MONTH(TODAY()),"Yes",""))</f>
        <v/>
      </c>
      <c r="Q359" s="21" t="str">
        <f aca="false">IF($A359="","",IF($C359=0,"",_xlfn.MINIFS('Daily tracking'!$A$2:$A$2001,'Daily tracking'!$D$2:$D$2001,$A359)))</f>
        <v/>
      </c>
      <c r="R359" s="6" t="str">
        <f aca="false">IF(OR($A359="",$C359&lt;2),"",($E359-$Q359)/($C359-1))</f>
        <v/>
      </c>
    </row>
    <row r="360" customFormat="false" ht="14.25" hidden="false" customHeight="false" outlineLevel="0" collapsed="false">
      <c r="A360" s="19"/>
      <c r="B360" s="19"/>
      <c r="C360" s="15" t="str">
        <f aca="false">IF($A360="","",COUNTIF('Daily tracking'!$D$2:$D$2001,$A360))</f>
        <v/>
      </c>
      <c r="D360" s="16" t="str">
        <f aca="false">IF($A360="","",SUMIF('Daily tracking'!$D$2:$D$2001,$A360,'Daily tracking'!$G$2:$G$2001))</f>
        <v/>
      </c>
      <c r="E360" s="18" t="str">
        <f aca="false">IF($A360="","",IF($C360=0,"",_xlfn.MAXIFS('Daily tracking'!$A$2:$A$2001,'Daily tracking'!$D$2:$D$2001,$A360)))</f>
        <v/>
      </c>
      <c r="F360" s="6" t="str">
        <f aca="true">IF(OR($A360="",$E360=""),"",TODAY()-$E360)</f>
        <v/>
      </c>
      <c r="G360" s="3" t="str">
        <f aca="false">IF($A360="","",IF($C360=0,"No visits",IF($F360&gt;90,"Lapsed",IF($F360&gt;35,"At risk",IF($C360&gt;=4,"Loyal","Active")))))</f>
        <v/>
      </c>
      <c r="H360" s="9" t="str">
        <f aca="false">IF(OR($A360="",$C360=0),"",$D360/$C360)</f>
        <v/>
      </c>
      <c r="I360" s="20"/>
      <c r="J360" s="20"/>
      <c r="K360" s="19"/>
      <c r="L360" s="19"/>
      <c r="M360" s="19"/>
      <c r="N360" s="15" t="str">
        <f aca="false">IF($A360="","",IF($C360=0,0,(IF($F360&lt;=15,5,IF($F360&lt;=30,4,IF($F360&lt;=45,3,IF($F360&lt;=90,2,1))))+IF($C360&gt;=10,5,IF($C360&gt;=6,4,IF($C360&gt;=4,3,IF($C360&gt;=2,2,1))))+IF($D360&gt;=20000,5,IF($D360&gt;=10000,4,IF($D360&gt;=5000,3,IF($D360&gt;=2000,2,1)))))))</f>
        <v/>
      </c>
      <c r="O360" s="3" t="str">
        <f aca="false">IF($A360="","",IF($C360=0,"No visits",IF($N360&gt;=13,"VIP",IF($N360&gt;=10,"High value",IF($N360&gt;=7,"Regular",IF($N360&gt;=4,"Occasional","Low"))))))</f>
        <v/>
      </c>
      <c r="P360" s="6" t="str">
        <f aca="true">IF(OR($A360="",$I360=""),"",IF(MONTH($I360)=MONTH(TODAY()),"Yes",""))</f>
        <v/>
      </c>
      <c r="Q360" s="21" t="str">
        <f aca="false">IF($A360="","",IF($C360=0,"",_xlfn.MINIFS('Daily tracking'!$A$2:$A$2001,'Daily tracking'!$D$2:$D$2001,$A360)))</f>
        <v/>
      </c>
      <c r="R360" s="6" t="str">
        <f aca="false">IF(OR($A360="",$C360&lt;2),"",($E360-$Q360)/($C360-1))</f>
        <v/>
      </c>
    </row>
    <row r="361" customFormat="false" ht="14.25" hidden="false" customHeight="false" outlineLevel="0" collapsed="false">
      <c r="A361" s="19"/>
      <c r="B361" s="19"/>
      <c r="C361" s="15" t="str">
        <f aca="false">IF($A361="","",COUNTIF('Daily tracking'!$D$2:$D$2001,$A361))</f>
        <v/>
      </c>
      <c r="D361" s="16" t="str">
        <f aca="false">IF($A361="","",SUMIF('Daily tracking'!$D$2:$D$2001,$A361,'Daily tracking'!$G$2:$G$2001))</f>
        <v/>
      </c>
      <c r="E361" s="18" t="str">
        <f aca="false">IF($A361="","",IF($C361=0,"",_xlfn.MAXIFS('Daily tracking'!$A$2:$A$2001,'Daily tracking'!$D$2:$D$2001,$A361)))</f>
        <v/>
      </c>
      <c r="F361" s="6" t="str">
        <f aca="true">IF(OR($A361="",$E361=""),"",TODAY()-$E361)</f>
        <v/>
      </c>
      <c r="G361" s="3" t="str">
        <f aca="false">IF($A361="","",IF($C361=0,"No visits",IF($F361&gt;90,"Lapsed",IF($F361&gt;35,"At risk",IF($C361&gt;=4,"Loyal","Active")))))</f>
        <v/>
      </c>
      <c r="H361" s="9" t="str">
        <f aca="false">IF(OR($A361="",$C361=0),"",$D361/$C361)</f>
        <v/>
      </c>
      <c r="I361" s="20"/>
      <c r="J361" s="20"/>
      <c r="K361" s="19"/>
      <c r="L361" s="19"/>
      <c r="M361" s="19"/>
      <c r="N361" s="15" t="str">
        <f aca="false">IF($A361="","",IF($C361=0,0,(IF($F361&lt;=15,5,IF($F361&lt;=30,4,IF($F361&lt;=45,3,IF($F361&lt;=90,2,1))))+IF($C361&gt;=10,5,IF($C361&gt;=6,4,IF($C361&gt;=4,3,IF($C361&gt;=2,2,1))))+IF($D361&gt;=20000,5,IF($D361&gt;=10000,4,IF($D361&gt;=5000,3,IF($D361&gt;=2000,2,1)))))))</f>
        <v/>
      </c>
      <c r="O361" s="3" t="str">
        <f aca="false">IF($A361="","",IF($C361=0,"No visits",IF($N361&gt;=13,"VIP",IF($N361&gt;=10,"High value",IF($N361&gt;=7,"Regular",IF($N361&gt;=4,"Occasional","Low"))))))</f>
        <v/>
      </c>
      <c r="P361" s="6" t="str">
        <f aca="true">IF(OR($A361="",$I361=""),"",IF(MONTH($I361)=MONTH(TODAY()),"Yes",""))</f>
        <v/>
      </c>
      <c r="Q361" s="21" t="str">
        <f aca="false">IF($A361="","",IF($C361=0,"",_xlfn.MINIFS('Daily tracking'!$A$2:$A$2001,'Daily tracking'!$D$2:$D$2001,$A361)))</f>
        <v/>
      </c>
      <c r="R361" s="6" t="str">
        <f aca="false">IF(OR($A361="",$C361&lt;2),"",($E361-$Q361)/($C361-1))</f>
        <v/>
      </c>
    </row>
    <row r="362" customFormat="false" ht="14.25" hidden="false" customHeight="false" outlineLevel="0" collapsed="false">
      <c r="A362" s="19"/>
      <c r="B362" s="19"/>
      <c r="C362" s="15" t="str">
        <f aca="false">IF($A362="","",COUNTIF('Daily tracking'!$D$2:$D$2001,$A362))</f>
        <v/>
      </c>
      <c r="D362" s="16" t="str">
        <f aca="false">IF($A362="","",SUMIF('Daily tracking'!$D$2:$D$2001,$A362,'Daily tracking'!$G$2:$G$2001))</f>
        <v/>
      </c>
      <c r="E362" s="18" t="str">
        <f aca="false">IF($A362="","",IF($C362=0,"",_xlfn.MAXIFS('Daily tracking'!$A$2:$A$2001,'Daily tracking'!$D$2:$D$2001,$A362)))</f>
        <v/>
      </c>
      <c r="F362" s="6" t="str">
        <f aca="true">IF(OR($A362="",$E362=""),"",TODAY()-$E362)</f>
        <v/>
      </c>
      <c r="G362" s="3" t="str">
        <f aca="false">IF($A362="","",IF($C362=0,"No visits",IF($F362&gt;90,"Lapsed",IF($F362&gt;35,"At risk",IF($C362&gt;=4,"Loyal","Active")))))</f>
        <v/>
      </c>
      <c r="H362" s="9" t="str">
        <f aca="false">IF(OR($A362="",$C362=0),"",$D362/$C362)</f>
        <v/>
      </c>
      <c r="I362" s="20"/>
      <c r="J362" s="20"/>
      <c r="K362" s="19"/>
      <c r="L362" s="19"/>
      <c r="M362" s="19"/>
      <c r="N362" s="15" t="str">
        <f aca="false">IF($A362="","",IF($C362=0,0,(IF($F362&lt;=15,5,IF($F362&lt;=30,4,IF($F362&lt;=45,3,IF($F362&lt;=90,2,1))))+IF($C362&gt;=10,5,IF($C362&gt;=6,4,IF($C362&gt;=4,3,IF($C362&gt;=2,2,1))))+IF($D362&gt;=20000,5,IF($D362&gt;=10000,4,IF($D362&gt;=5000,3,IF($D362&gt;=2000,2,1)))))))</f>
        <v/>
      </c>
      <c r="O362" s="3" t="str">
        <f aca="false">IF($A362="","",IF($C362=0,"No visits",IF($N362&gt;=13,"VIP",IF($N362&gt;=10,"High value",IF($N362&gt;=7,"Regular",IF($N362&gt;=4,"Occasional","Low"))))))</f>
        <v/>
      </c>
      <c r="P362" s="6" t="str">
        <f aca="true">IF(OR($A362="",$I362=""),"",IF(MONTH($I362)=MONTH(TODAY()),"Yes",""))</f>
        <v/>
      </c>
      <c r="Q362" s="21" t="str">
        <f aca="false">IF($A362="","",IF($C362=0,"",_xlfn.MINIFS('Daily tracking'!$A$2:$A$2001,'Daily tracking'!$D$2:$D$2001,$A362)))</f>
        <v/>
      </c>
      <c r="R362" s="6" t="str">
        <f aca="false">IF(OR($A362="",$C362&lt;2),"",($E362-$Q362)/($C362-1))</f>
        <v/>
      </c>
    </row>
    <row r="363" customFormat="false" ht="14.25" hidden="false" customHeight="false" outlineLevel="0" collapsed="false">
      <c r="A363" s="19"/>
      <c r="B363" s="19"/>
      <c r="C363" s="15" t="str">
        <f aca="false">IF($A363="","",COUNTIF('Daily tracking'!$D$2:$D$2001,$A363))</f>
        <v/>
      </c>
      <c r="D363" s="16" t="str">
        <f aca="false">IF($A363="","",SUMIF('Daily tracking'!$D$2:$D$2001,$A363,'Daily tracking'!$G$2:$G$2001))</f>
        <v/>
      </c>
      <c r="E363" s="18" t="str">
        <f aca="false">IF($A363="","",IF($C363=0,"",_xlfn.MAXIFS('Daily tracking'!$A$2:$A$2001,'Daily tracking'!$D$2:$D$2001,$A363)))</f>
        <v/>
      </c>
      <c r="F363" s="6" t="str">
        <f aca="true">IF(OR($A363="",$E363=""),"",TODAY()-$E363)</f>
        <v/>
      </c>
      <c r="G363" s="3" t="str">
        <f aca="false">IF($A363="","",IF($C363=0,"No visits",IF($F363&gt;90,"Lapsed",IF($F363&gt;35,"At risk",IF($C363&gt;=4,"Loyal","Active")))))</f>
        <v/>
      </c>
      <c r="H363" s="9" t="str">
        <f aca="false">IF(OR($A363="",$C363=0),"",$D363/$C363)</f>
        <v/>
      </c>
      <c r="I363" s="20"/>
      <c r="J363" s="20"/>
      <c r="K363" s="19"/>
      <c r="L363" s="19"/>
      <c r="M363" s="19"/>
      <c r="N363" s="15" t="str">
        <f aca="false">IF($A363="","",IF($C363=0,0,(IF($F363&lt;=15,5,IF($F363&lt;=30,4,IF($F363&lt;=45,3,IF($F363&lt;=90,2,1))))+IF($C363&gt;=10,5,IF($C363&gt;=6,4,IF($C363&gt;=4,3,IF($C363&gt;=2,2,1))))+IF($D363&gt;=20000,5,IF($D363&gt;=10000,4,IF($D363&gt;=5000,3,IF($D363&gt;=2000,2,1)))))))</f>
        <v/>
      </c>
      <c r="O363" s="3" t="str">
        <f aca="false">IF($A363="","",IF($C363=0,"No visits",IF($N363&gt;=13,"VIP",IF($N363&gt;=10,"High value",IF($N363&gt;=7,"Regular",IF($N363&gt;=4,"Occasional","Low"))))))</f>
        <v/>
      </c>
      <c r="P363" s="6" t="str">
        <f aca="true">IF(OR($A363="",$I363=""),"",IF(MONTH($I363)=MONTH(TODAY()),"Yes",""))</f>
        <v/>
      </c>
      <c r="Q363" s="21" t="str">
        <f aca="false">IF($A363="","",IF($C363=0,"",_xlfn.MINIFS('Daily tracking'!$A$2:$A$2001,'Daily tracking'!$D$2:$D$2001,$A363)))</f>
        <v/>
      </c>
      <c r="R363" s="6" t="str">
        <f aca="false">IF(OR($A363="",$C363&lt;2),"",($E363-$Q363)/($C363-1))</f>
        <v/>
      </c>
    </row>
    <row r="364" customFormat="false" ht="14.25" hidden="false" customHeight="false" outlineLevel="0" collapsed="false">
      <c r="A364" s="19"/>
      <c r="B364" s="19"/>
      <c r="C364" s="15" t="str">
        <f aca="false">IF($A364="","",COUNTIF('Daily tracking'!$D$2:$D$2001,$A364))</f>
        <v/>
      </c>
      <c r="D364" s="16" t="str">
        <f aca="false">IF($A364="","",SUMIF('Daily tracking'!$D$2:$D$2001,$A364,'Daily tracking'!$G$2:$G$2001))</f>
        <v/>
      </c>
      <c r="E364" s="18" t="str">
        <f aca="false">IF($A364="","",IF($C364=0,"",_xlfn.MAXIFS('Daily tracking'!$A$2:$A$2001,'Daily tracking'!$D$2:$D$2001,$A364)))</f>
        <v/>
      </c>
      <c r="F364" s="6" t="str">
        <f aca="true">IF(OR($A364="",$E364=""),"",TODAY()-$E364)</f>
        <v/>
      </c>
      <c r="G364" s="3" t="str">
        <f aca="false">IF($A364="","",IF($C364=0,"No visits",IF($F364&gt;90,"Lapsed",IF($F364&gt;35,"At risk",IF($C364&gt;=4,"Loyal","Active")))))</f>
        <v/>
      </c>
      <c r="H364" s="9" t="str">
        <f aca="false">IF(OR($A364="",$C364=0),"",$D364/$C364)</f>
        <v/>
      </c>
      <c r="I364" s="20"/>
      <c r="J364" s="20"/>
      <c r="K364" s="19"/>
      <c r="L364" s="19"/>
      <c r="M364" s="19"/>
      <c r="N364" s="15" t="str">
        <f aca="false">IF($A364="","",IF($C364=0,0,(IF($F364&lt;=15,5,IF($F364&lt;=30,4,IF($F364&lt;=45,3,IF($F364&lt;=90,2,1))))+IF($C364&gt;=10,5,IF($C364&gt;=6,4,IF($C364&gt;=4,3,IF($C364&gt;=2,2,1))))+IF($D364&gt;=20000,5,IF($D364&gt;=10000,4,IF($D364&gt;=5000,3,IF($D364&gt;=2000,2,1)))))))</f>
        <v/>
      </c>
      <c r="O364" s="3" t="str">
        <f aca="false">IF($A364="","",IF($C364=0,"No visits",IF($N364&gt;=13,"VIP",IF($N364&gt;=10,"High value",IF($N364&gt;=7,"Regular",IF($N364&gt;=4,"Occasional","Low"))))))</f>
        <v/>
      </c>
      <c r="P364" s="6" t="str">
        <f aca="true">IF(OR($A364="",$I364=""),"",IF(MONTH($I364)=MONTH(TODAY()),"Yes",""))</f>
        <v/>
      </c>
      <c r="Q364" s="21" t="str">
        <f aca="false">IF($A364="","",IF($C364=0,"",_xlfn.MINIFS('Daily tracking'!$A$2:$A$2001,'Daily tracking'!$D$2:$D$2001,$A364)))</f>
        <v/>
      </c>
      <c r="R364" s="6" t="str">
        <f aca="false">IF(OR($A364="",$C364&lt;2),"",($E364-$Q364)/($C364-1))</f>
        <v/>
      </c>
    </row>
    <row r="365" customFormat="false" ht="14.25" hidden="false" customHeight="false" outlineLevel="0" collapsed="false">
      <c r="A365" s="19"/>
      <c r="B365" s="19"/>
      <c r="C365" s="15" t="str">
        <f aca="false">IF($A365="","",COUNTIF('Daily tracking'!$D$2:$D$2001,$A365))</f>
        <v/>
      </c>
      <c r="D365" s="16" t="str">
        <f aca="false">IF($A365="","",SUMIF('Daily tracking'!$D$2:$D$2001,$A365,'Daily tracking'!$G$2:$G$2001))</f>
        <v/>
      </c>
      <c r="E365" s="18" t="str">
        <f aca="false">IF($A365="","",IF($C365=0,"",_xlfn.MAXIFS('Daily tracking'!$A$2:$A$2001,'Daily tracking'!$D$2:$D$2001,$A365)))</f>
        <v/>
      </c>
      <c r="F365" s="6" t="str">
        <f aca="true">IF(OR($A365="",$E365=""),"",TODAY()-$E365)</f>
        <v/>
      </c>
      <c r="G365" s="3" t="str">
        <f aca="false">IF($A365="","",IF($C365=0,"No visits",IF($F365&gt;90,"Lapsed",IF($F365&gt;35,"At risk",IF($C365&gt;=4,"Loyal","Active")))))</f>
        <v/>
      </c>
      <c r="H365" s="9" t="str">
        <f aca="false">IF(OR($A365="",$C365=0),"",$D365/$C365)</f>
        <v/>
      </c>
      <c r="I365" s="20"/>
      <c r="J365" s="20"/>
      <c r="K365" s="19"/>
      <c r="L365" s="19"/>
      <c r="M365" s="19"/>
      <c r="N365" s="15" t="str">
        <f aca="false">IF($A365="","",IF($C365=0,0,(IF($F365&lt;=15,5,IF($F365&lt;=30,4,IF($F365&lt;=45,3,IF($F365&lt;=90,2,1))))+IF($C365&gt;=10,5,IF($C365&gt;=6,4,IF($C365&gt;=4,3,IF($C365&gt;=2,2,1))))+IF($D365&gt;=20000,5,IF($D365&gt;=10000,4,IF($D365&gt;=5000,3,IF($D365&gt;=2000,2,1)))))))</f>
        <v/>
      </c>
      <c r="O365" s="3" t="str">
        <f aca="false">IF($A365="","",IF($C365=0,"No visits",IF($N365&gt;=13,"VIP",IF($N365&gt;=10,"High value",IF($N365&gt;=7,"Regular",IF($N365&gt;=4,"Occasional","Low"))))))</f>
        <v/>
      </c>
      <c r="P365" s="6" t="str">
        <f aca="true">IF(OR($A365="",$I365=""),"",IF(MONTH($I365)=MONTH(TODAY()),"Yes",""))</f>
        <v/>
      </c>
      <c r="Q365" s="21" t="str">
        <f aca="false">IF($A365="","",IF($C365=0,"",_xlfn.MINIFS('Daily tracking'!$A$2:$A$2001,'Daily tracking'!$D$2:$D$2001,$A365)))</f>
        <v/>
      </c>
      <c r="R365" s="6" t="str">
        <f aca="false">IF(OR($A365="",$C365&lt;2),"",($E365-$Q365)/($C365-1))</f>
        <v/>
      </c>
    </row>
    <row r="366" customFormat="false" ht="14.25" hidden="false" customHeight="false" outlineLevel="0" collapsed="false">
      <c r="A366" s="19"/>
      <c r="B366" s="19"/>
      <c r="C366" s="15" t="str">
        <f aca="false">IF($A366="","",COUNTIF('Daily tracking'!$D$2:$D$2001,$A366))</f>
        <v/>
      </c>
      <c r="D366" s="16" t="str">
        <f aca="false">IF($A366="","",SUMIF('Daily tracking'!$D$2:$D$2001,$A366,'Daily tracking'!$G$2:$G$2001))</f>
        <v/>
      </c>
      <c r="E366" s="18" t="str">
        <f aca="false">IF($A366="","",IF($C366=0,"",_xlfn.MAXIFS('Daily tracking'!$A$2:$A$2001,'Daily tracking'!$D$2:$D$2001,$A366)))</f>
        <v/>
      </c>
      <c r="F366" s="6" t="str">
        <f aca="true">IF(OR($A366="",$E366=""),"",TODAY()-$E366)</f>
        <v/>
      </c>
      <c r="G366" s="3" t="str">
        <f aca="false">IF($A366="","",IF($C366=0,"No visits",IF($F366&gt;90,"Lapsed",IF($F366&gt;35,"At risk",IF($C366&gt;=4,"Loyal","Active")))))</f>
        <v/>
      </c>
      <c r="H366" s="9" t="str">
        <f aca="false">IF(OR($A366="",$C366=0),"",$D366/$C366)</f>
        <v/>
      </c>
      <c r="I366" s="20"/>
      <c r="J366" s="20"/>
      <c r="K366" s="19"/>
      <c r="L366" s="19"/>
      <c r="M366" s="19"/>
      <c r="N366" s="15" t="str">
        <f aca="false">IF($A366="","",IF($C366=0,0,(IF($F366&lt;=15,5,IF($F366&lt;=30,4,IF($F366&lt;=45,3,IF($F366&lt;=90,2,1))))+IF($C366&gt;=10,5,IF($C366&gt;=6,4,IF($C366&gt;=4,3,IF($C366&gt;=2,2,1))))+IF($D366&gt;=20000,5,IF($D366&gt;=10000,4,IF($D366&gt;=5000,3,IF($D366&gt;=2000,2,1)))))))</f>
        <v/>
      </c>
      <c r="O366" s="3" t="str">
        <f aca="false">IF($A366="","",IF($C366=0,"No visits",IF($N366&gt;=13,"VIP",IF($N366&gt;=10,"High value",IF($N366&gt;=7,"Regular",IF($N366&gt;=4,"Occasional","Low"))))))</f>
        <v/>
      </c>
      <c r="P366" s="6" t="str">
        <f aca="true">IF(OR($A366="",$I366=""),"",IF(MONTH($I366)=MONTH(TODAY()),"Yes",""))</f>
        <v/>
      </c>
      <c r="Q366" s="21" t="str">
        <f aca="false">IF($A366="","",IF($C366=0,"",_xlfn.MINIFS('Daily tracking'!$A$2:$A$2001,'Daily tracking'!$D$2:$D$2001,$A366)))</f>
        <v/>
      </c>
      <c r="R366" s="6" t="str">
        <f aca="false">IF(OR($A366="",$C366&lt;2),"",($E366-$Q366)/($C366-1))</f>
        <v/>
      </c>
    </row>
    <row r="367" customFormat="false" ht="14.25" hidden="false" customHeight="false" outlineLevel="0" collapsed="false">
      <c r="A367" s="19"/>
      <c r="B367" s="19"/>
      <c r="C367" s="15" t="str">
        <f aca="false">IF($A367="","",COUNTIF('Daily tracking'!$D$2:$D$2001,$A367))</f>
        <v/>
      </c>
      <c r="D367" s="16" t="str">
        <f aca="false">IF($A367="","",SUMIF('Daily tracking'!$D$2:$D$2001,$A367,'Daily tracking'!$G$2:$G$2001))</f>
        <v/>
      </c>
      <c r="E367" s="18" t="str">
        <f aca="false">IF($A367="","",IF($C367=0,"",_xlfn.MAXIFS('Daily tracking'!$A$2:$A$2001,'Daily tracking'!$D$2:$D$2001,$A367)))</f>
        <v/>
      </c>
      <c r="F367" s="6" t="str">
        <f aca="true">IF(OR($A367="",$E367=""),"",TODAY()-$E367)</f>
        <v/>
      </c>
      <c r="G367" s="3" t="str">
        <f aca="false">IF($A367="","",IF($C367=0,"No visits",IF($F367&gt;90,"Lapsed",IF($F367&gt;35,"At risk",IF($C367&gt;=4,"Loyal","Active")))))</f>
        <v/>
      </c>
      <c r="H367" s="9" t="str">
        <f aca="false">IF(OR($A367="",$C367=0),"",$D367/$C367)</f>
        <v/>
      </c>
      <c r="I367" s="20"/>
      <c r="J367" s="20"/>
      <c r="K367" s="19"/>
      <c r="L367" s="19"/>
      <c r="M367" s="19"/>
      <c r="N367" s="15" t="str">
        <f aca="false">IF($A367="","",IF($C367=0,0,(IF($F367&lt;=15,5,IF($F367&lt;=30,4,IF($F367&lt;=45,3,IF($F367&lt;=90,2,1))))+IF($C367&gt;=10,5,IF($C367&gt;=6,4,IF($C367&gt;=4,3,IF($C367&gt;=2,2,1))))+IF($D367&gt;=20000,5,IF($D367&gt;=10000,4,IF($D367&gt;=5000,3,IF($D367&gt;=2000,2,1)))))))</f>
        <v/>
      </c>
      <c r="O367" s="3" t="str">
        <f aca="false">IF($A367="","",IF($C367=0,"No visits",IF($N367&gt;=13,"VIP",IF($N367&gt;=10,"High value",IF($N367&gt;=7,"Regular",IF($N367&gt;=4,"Occasional","Low"))))))</f>
        <v/>
      </c>
      <c r="P367" s="6" t="str">
        <f aca="true">IF(OR($A367="",$I367=""),"",IF(MONTH($I367)=MONTH(TODAY()),"Yes",""))</f>
        <v/>
      </c>
      <c r="Q367" s="21" t="str">
        <f aca="false">IF($A367="","",IF($C367=0,"",_xlfn.MINIFS('Daily tracking'!$A$2:$A$2001,'Daily tracking'!$D$2:$D$2001,$A367)))</f>
        <v/>
      </c>
      <c r="R367" s="6" t="str">
        <f aca="false">IF(OR($A367="",$C367&lt;2),"",($E367-$Q367)/($C367-1))</f>
        <v/>
      </c>
    </row>
    <row r="368" customFormat="false" ht="14.25" hidden="false" customHeight="false" outlineLevel="0" collapsed="false">
      <c r="A368" s="19"/>
      <c r="B368" s="19"/>
      <c r="C368" s="15" t="str">
        <f aca="false">IF($A368="","",COUNTIF('Daily tracking'!$D$2:$D$2001,$A368))</f>
        <v/>
      </c>
      <c r="D368" s="16" t="str">
        <f aca="false">IF($A368="","",SUMIF('Daily tracking'!$D$2:$D$2001,$A368,'Daily tracking'!$G$2:$G$2001))</f>
        <v/>
      </c>
      <c r="E368" s="18" t="str">
        <f aca="false">IF($A368="","",IF($C368=0,"",_xlfn.MAXIFS('Daily tracking'!$A$2:$A$2001,'Daily tracking'!$D$2:$D$2001,$A368)))</f>
        <v/>
      </c>
      <c r="F368" s="6" t="str">
        <f aca="true">IF(OR($A368="",$E368=""),"",TODAY()-$E368)</f>
        <v/>
      </c>
      <c r="G368" s="3" t="str">
        <f aca="false">IF($A368="","",IF($C368=0,"No visits",IF($F368&gt;90,"Lapsed",IF($F368&gt;35,"At risk",IF($C368&gt;=4,"Loyal","Active")))))</f>
        <v/>
      </c>
      <c r="H368" s="9" t="str">
        <f aca="false">IF(OR($A368="",$C368=0),"",$D368/$C368)</f>
        <v/>
      </c>
      <c r="I368" s="20"/>
      <c r="J368" s="20"/>
      <c r="K368" s="19"/>
      <c r="L368" s="19"/>
      <c r="M368" s="19"/>
      <c r="N368" s="15" t="str">
        <f aca="false">IF($A368="","",IF($C368=0,0,(IF($F368&lt;=15,5,IF($F368&lt;=30,4,IF($F368&lt;=45,3,IF($F368&lt;=90,2,1))))+IF($C368&gt;=10,5,IF($C368&gt;=6,4,IF($C368&gt;=4,3,IF($C368&gt;=2,2,1))))+IF($D368&gt;=20000,5,IF($D368&gt;=10000,4,IF($D368&gt;=5000,3,IF($D368&gt;=2000,2,1)))))))</f>
        <v/>
      </c>
      <c r="O368" s="3" t="str">
        <f aca="false">IF($A368="","",IF($C368=0,"No visits",IF($N368&gt;=13,"VIP",IF($N368&gt;=10,"High value",IF($N368&gt;=7,"Regular",IF($N368&gt;=4,"Occasional","Low"))))))</f>
        <v/>
      </c>
      <c r="P368" s="6" t="str">
        <f aca="true">IF(OR($A368="",$I368=""),"",IF(MONTH($I368)=MONTH(TODAY()),"Yes",""))</f>
        <v/>
      </c>
      <c r="Q368" s="21" t="str">
        <f aca="false">IF($A368="","",IF($C368=0,"",_xlfn.MINIFS('Daily tracking'!$A$2:$A$2001,'Daily tracking'!$D$2:$D$2001,$A368)))</f>
        <v/>
      </c>
      <c r="R368" s="6" t="str">
        <f aca="false">IF(OR($A368="",$C368&lt;2),"",($E368-$Q368)/($C368-1))</f>
        <v/>
      </c>
    </row>
    <row r="369" customFormat="false" ht="14.25" hidden="false" customHeight="false" outlineLevel="0" collapsed="false">
      <c r="A369" s="19"/>
      <c r="B369" s="19"/>
      <c r="C369" s="15" t="str">
        <f aca="false">IF($A369="","",COUNTIF('Daily tracking'!$D$2:$D$2001,$A369))</f>
        <v/>
      </c>
      <c r="D369" s="16" t="str">
        <f aca="false">IF($A369="","",SUMIF('Daily tracking'!$D$2:$D$2001,$A369,'Daily tracking'!$G$2:$G$2001))</f>
        <v/>
      </c>
      <c r="E369" s="18" t="str">
        <f aca="false">IF($A369="","",IF($C369=0,"",_xlfn.MAXIFS('Daily tracking'!$A$2:$A$2001,'Daily tracking'!$D$2:$D$2001,$A369)))</f>
        <v/>
      </c>
      <c r="F369" s="6" t="str">
        <f aca="true">IF(OR($A369="",$E369=""),"",TODAY()-$E369)</f>
        <v/>
      </c>
      <c r="G369" s="3" t="str">
        <f aca="false">IF($A369="","",IF($C369=0,"No visits",IF($F369&gt;90,"Lapsed",IF($F369&gt;35,"At risk",IF($C369&gt;=4,"Loyal","Active")))))</f>
        <v/>
      </c>
      <c r="H369" s="9" t="str">
        <f aca="false">IF(OR($A369="",$C369=0),"",$D369/$C369)</f>
        <v/>
      </c>
      <c r="I369" s="20"/>
      <c r="J369" s="20"/>
      <c r="K369" s="19"/>
      <c r="L369" s="19"/>
      <c r="M369" s="19"/>
      <c r="N369" s="15" t="str">
        <f aca="false">IF($A369="","",IF($C369=0,0,(IF($F369&lt;=15,5,IF($F369&lt;=30,4,IF($F369&lt;=45,3,IF($F369&lt;=90,2,1))))+IF($C369&gt;=10,5,IF($C369&gt;=6,4,IF($C369&gt;=4,3,IF($C369&gt;=2,2,1))))+IF($D369&gt;=20000,5,IF($D369&gt;=10000,4,IF($D369&gt;=5000,3,IF($D369&gt;=2000,2,1)))))))</f>
        <v/>
      </c>
      <c r="O369" s="3" t="str">
        <f aca="false">IF($A369="","",IF($C369=0,"No visits",IF($N369&gt;=13,"VIP",IF($N369&gt;=10,"High value",IF($N369&gt;=7,"Regular",IF($N369&gt;=4,"Occasional","Low"))))))</f>
        <v/>
      </c>
      <c r="P369" s="6" t="str">
        <f aca="true">IF(OR($A369="",$I369=""),"",IF(MONTH($I369)=MONTH(TODAY()),"Yes",""))</f>
        <v/>
      </c>
      <c r="Q369" s="21" t="str">
        <f aca="false">IF($A369="","",IF($C369=0,"",_xlfn.MINIFS('Daily tracking'!$A$2:$A$2001,'Daily tracking'!$D$2:$D$2001,$A369)))</f>
        <v/>
      </c>
      <c r="R369" s="6" t="str">
        <f aca="false">IF(OR($A369="",$C369&lt;2),"",($E369-$Q369)/($C369-1))</f>
        <v/>
      </c>
    </row>
    <row r="370" customFormat="false" ht="14.25" hidden="false" customHeight="false" outlineLevel="0" collapsed="false">
      <c r="A370" s="19"/>
      <c r="B370" s="19"/>
      <c r="C370" s="15" t="str">
        <f aca="false">IF($A370="","",COUNTIF('Daily tracking'!$D$2:$D$2001,$A370))</f>
        <v/>
      </c>
      <c r="D370" s="16" t="str">
        <f aca="false">IF($A370="","",SUMIF('Daily tracking'!$D$2:$D$2001,$A370,'Daily tracking'!$G$2:$G$2001))</f>
        <v/>
      </c>
      <c r="E370" s="18" t="str">
        <f aca="false">IF($A370="","",IF($C370=0,"",_xlfn.MAXIFS('Daily tracking'!$A$2:$A$2001,'Daily tracking'!$D$2:$D$2001,$A370)))</f>
        <v/>
      </c>
      <c r="F370" s="6" t="str">
        <f aca="true">IF(OR($A370="",$E370=""),"",TODAY()-$E370)</f>
        <v/>
      </c>
      <c r="G370" s="3" t="str">
        <f aca="false">IF($A370="","",IF($C370=0,"No visits",IF($F370&gt;90,"Lapsed",IF($F370&gt;35,"At risk",IF($C370&gt;=4,"Loyal","Active")))))</f>
        <v/>
      </c>
      <c r="H370" s="9" t="str">
        <f aca="false">IF(OR($A370="",$C370=0),"",$D370/$C370)</f>
        <v/>
      </c>
      <c r="I370" s="20"/>
      <c r="J370" s="20"/>
      <c r="K370" s="19"/>
      <c r="L370" s="19"/>
      <c r="M370" s="19"/>
      <c r="N370" s="15" t="str">
        <f aca="false">IF($A370="","",IF($C370=0,0,(IF($F370&lt;=15,5,IF($F370&lt;=30,4,IF($F370&lt;=45,3,IF($F370&lt;=90,2,1))))+IF($C370&gt;=10,5,IF($C370&gt;=6,4,IF($C370&gt;=4,3,IF($C370&gt;=2,2,1))))+IF($D370&gt;=20000,5,IF($D370&gt;=10000,4,IF($D370&gt;=5000,3,IF($D370&gt;=2000,2,1)))))))</f>
        <v/>
      </c>
      <c r="O370" s="3" t="str">
        <f aca="false">IF($A370="","",IF($C370=0,"No visits",IF($N370&gt;=13,"VIP",IF($N370&gt;=10,"High value",IF($N370&gt;=7,"Regular",IF($N370&gt;=4,"Occasional","Low"))))))</f>
        <v/>
      </c>
      <c r="P370" s="6" t="str">
        <f aca="true">IF(OR($A370="",$I370=""),"",IF(MONTH($I370)=MONTH(TODAY()),"Yes",""))</f>
        <v/>
      </c>
      <c r="Q370" s="21" t="str">
        <f aca="false">IF($A370="","",IF($C370=0,"",_xlfn.MINIFS('Daily tracking'!$A$2:$A$2001,'Daily tracking'!$D$2:$D$2001,$A370)))</f>
        <v/>
      </c>
      <c r="R370" s="6" t="str">
        <f aca="false">IF(OR($A370="",$C370&lt;2),"",($E370-$Q370)/($C370-1))</f>
        <v/>
      </c>
    </row>
    <row r="371" customFormat="false" ht="14.25" hidden="false" customHeight="false" outlineLevel="0" collapsed="false">
      <c r="A371" s="19"/>
      <c r="B371" s="19"/>
      <c r="C371" s="15" t="str">
        <f aca="false">IF($A371="","",COUNTIF('Daily tracking'!$D$2:$D$2001,$A371))</f>
        <v/>
      </c>
      <c r="D371" s="16" t="str">
        <f aca="false">IF($A371="","",SUMIF('Daily tracking'!$D$2:$D$2001,$A371,'Daily tracking'!$G$2:$G$2001))</f>
        <v/>
      </c>
      <c r="E371" s="18" t="str">
        <f aca="false">IF($A371="","",IF($C371=0,"",_xlfn.MAXIFS('Daily tracking'!$A$2:$A$2001,'Daily tracking'!$D$2:$D$2001,$A371)))</f>
        <v/>
      </c>
      <c r="F371" s="6" t="str">
        <f aca="true">IF(OR($A371="",$E371=""),"",TODAY()-$E371)</f>
        <v/>
      </c>
      <c r="G371" s="3" t="str">
        <f aca="false">IF($A371="","",IF($C371=0,"No visits",IF($F371&gt;90,"Lapsed",IF($F371&gt;35,"At risk",IF($C371&gt;=4,"Loyal","Active")))))</f>
        <v/>
      </c>
      <c r="H371" s="9" t="str">
        <f aca="false">IF(OR($A371="",$C371=0),"",$D371/$C371)</f>
        <v/>
      </c>
      <c r="I371" s="20"/>
      <c r="J371" s="20"/>
      <c r="K371" s="19"/>
      <c r="L371" s="19"/>
      <c r="M371" s="19"/>
      <c r="N371" s="15" t="str">
        <f aca="false">IF($A371="","",IF($C371=0,0,(IF($F371&lt;=15,5,IF($F371&lt;=30,4,IF($F371&lt;=45,3,IF($F371&lt;=90,2,1))))+IF($C371&gt;=10,5,IF($C371&gt;=6,4,IF($C371&gt;=4,3,IF($C371&gt;=2,2,1))))+IF($D371&gt;=20000,5,IF($D371&gt;=10000,4,IF($D371&gt;=5000,3,IF($D371&gt;=2000,2,1)))))))</f>
        <v/>
      </c>
      <c r="O371" s="3" t="str">
        <f aca="false">IF($A371="","",IF($C371=0,"No visits",IF($N371&gt;=13,"VIP",IF($N371&gt;=10,"High value",IF($N371&gt;=7,"Regular",IF($N371&gt;=4,"Occasional","Low"))))))</f>
        <v/>
      </c>
      <c r="P371" s="6" t="str">
        <f aca="true">IF(OR($A371="",$I371=""),"",IF(MONTH($I371)=MONTH(TODAY()),"Yes",""))</f>
        <v/>
      </c>
      <c r="Q371" s="21" t="str">
        <f aca="false">IF($A371="","",IF($C371=0,"",_xlfn.MINIFS('Daily tracking'!$A$2:$A$2001,'Daily tracking'!$D$2:$D$2001,$A371)))</f>
        <v/>
      </c>
      <c r="R371" s="6" t="str">
        <f aca="false">IF(OR($A371="",$C371&lt;2),"",($E371-$Q371)/($C371-1))</f>
        <v/>
      </c>
    </row>
    <row r="372" customFormat="false" ht="14.25" hidden="false" customHeight="false" outlineLevel="0" collapsed="false">
      <c r="A372" s="19"/>
      <c r="B372" s="19"/>
      <c r="C372" s="15" t="str">
        <f aca="false">IF($A372="","",COUNTIF('Daily tracking'!$D$2:$D$2001,$A372))</f>
        <v/>
      </c>
      <c r="D372" s="16" t="str">
        <f aca="false">IF($A372="","",SUMIF('Daily tracking'!$D$2:$D$2001,$A372,'Daily tracking'!$G$2:$G$2001))</f>
        <v/>
      </c>
      <c r="E372" s="18" t="str">
        <f aca="false">IF($A372="","",IF($C372=0,"",_xlfn.MAXIFS('Daily tracking'!$A$2:$A$2001,'Daily tracking'!$D$2:$D$2001,$A372)))</f>
        <v/>
      </c>
      <c r="F372" s="6" t="str">
        <f aca="true">IF(OR($A372="",$E372=""),"",TODAY()-$E372)</f>
        <v/>
      </c>
      <c r="G372" s="3" t="str">
        <f aca="false">IF($A372="","",IF($C372=0,"No visits",IF($F372&gt;90,"Lapsed",IF($F372&gt;35,"At risk",IF($C372&gt;=4,"Loyal","Active")))))</f>
        <v/>
      </c>
      <c r="H372" s="9" t="str">
        <f aca="false">IF(OR($A372="",$C372=0),"",$D372/$C372)</f>
        <v/>
      </c>
      <c r="I372" s="20"/>
      <c r="J372" s="20"/>
      <c r="K372" s="19"/>
      <c r="L372" s="19"/>
      <c r="M372" s="19"/>
      <c r="N372" s="15" t="str">
        <f aca="false">IF($A372="","",IF($C372=0,0,(IF($F372&lt;=15,5,IF($F372&lt;=30,4,IF($F372&lt;=45,3,IF($F372&lt;=90,2,1))))+IF($C372&gt;=10,5,IF($C372&gt;=6,4,IF($C372&gt;=4,3,IF($C372&gt;=2,2,1))))+IF($D372&gt;=20000,5,IF($D372&gt;=10000,4,IF($D372&gt;=5000,3,IF($D372&gt;=2000,2,1)))))))</f>
        <v/>
      </c>
      <c r="O372" s="3" t="str">
        <f aca="false">IF($A372="","",IF($C372=0,"No visits",IF($N372&gt;=13,"VIP",IF($N372&gt;=10,"High value",IF($N372&gt;=7,"Regular",IF($N372&gt;=4,"Occasional","Low"))))))</f>
        <v/>
      </c>
      <c r="P372" s="6" t="str">
        <f aca="true">IF(OR($A372="",$I372=""),"",IF(MONTH($I372)=MONTH(TODAY()),"Yes",""))</f>
        <v/>
      </c>
      <c r="Q372" s="21" t="str">
        <f aca="false">IF($A372="","",IF($C372=0,"",_xlfn.MINIFS('Daily tracking'!$A$2:$A$2001,'Daily tracking'!$D$2:$D$2001,$A372)))</f>
        <v/>
      </c>
      <c r="R372" s="6" t="str">
        <f aca="false">IF(OR($A372="",$C372&lt;2),"",($E372-$Q372)/($C372-1))</f>
        <v/>
      </c>
    </row>
    <row r="373" customFormat="false" ht="14.25" hidden="false" customHeight="false" outlineLevel="0" collapsed="false">
      <c r="A373" s="19"/>
      <c r="B373" s="19"/>
      <c r="C373" s="15" t="str">
        <f aca="false">IF($A373="","",COUNTIF('Daily tracking'!$D$2:$D$2001,$A373))</f>
        <v/>
      </c>
      <c r="D373" s="16" t="str">
        <f aca="false">IF($A373="","",SUMIF('Daily tracking'!$D$2:$D$2001,$A373,'Daily tracking'!$G$2:$G$2001))</f>
        <v/>
      </c>
      <c r="E373" s="18" t="str">
        <f aca="false">IF($A373="","",IF($C373=0,"",_xlfn.MAXIFS('Daily tracking'!$A$2:$A$2001,'Daily tracking'!$D$2:$D$2001,$A373)))</f>
        <v/>
      </c>
      <c r="F373" s="6" t="str">
        <f aca="true">IF(OR($A373="",$E373=""),"",TODAY()-$E373)</f>
        <v/>
      </c>
      <c r="G373" s="3" t="str">
        <f aca="false">IF($A373="","",IF($C373=0,"No visits",IF($F373&gt;90,"Lapsed",IF($F373&gt;35,"At risk",IF($C373&gt;=4,"Loyal","Active")))))</f>
        <v/>
      </c>
      <c r="H373" s="9" t="str">
        <f aca="false">IF(OR($A373="",$C373=0),"",$D373/$C373)</f>
        <v/>
      </c>
      <c r="I373" s="20"/>
      <c r="J373" s="20"/>
      <c r="K373" s="19"/>
      <c r="L373" s="19"/>
      <c r="M373" s="19"/>
      <c r="N373" s="15" t="str">
        <f aca="false">IF($A373="","",IF($C373=0,0,(IF($F373&lt;=15,5,IF($F373&lt;=30,4,IF($F373&lt;=45,3,IF($F373&lt;=90,2,1))))+IF($C373&gt;=10,5,IF($C373&gt;=6,4,IF($C373&gt;=4,3,IF($C373&gt;=2,2,1))))+IF($D373&gt;=20000,5,IF($D373&gt;=10000,4,IF($D373&gt;=5000,3,IF($D373&gt;=2000,2,1)))))))</f>
        <v/>
      </c>
      <c r="O373" s="3" t="str">
        <f aca="false">IF($A373="","",IF($C373=0,"No visits",IF($N373&gt;=13,"VIP",IF($N373&gt;=10,"High value",IF($N373&gt;=7,"Regular",IF($N373&gt;=4,"Occasional","Low"))))))</f>
        <v/>
      </c>
      <c r="P373" s="6" t="str">
        <f aca="true">IF(OR($A373="",$I373=""),"",IF(MONTH($I373)=MONTH(TODAY()),"Yes",""))</f>
        <v/>
      </c>
      <c r="Q373" s="21" t="str">
        <f aca="false">IF($A373="","",IF($C373=0,"",_xlfn.MINIFS('Daily tracking'!$A$2:$A$2001,'Daily tracking'!$D$2:$D$2001,$A373)))</f>
        <v/>
      </c>
      <c r="R373" s="6" t="str">
        <f aca="false">IF(OR($A373="",$C373&lt;2),"",($E373-$Q373)/($C373-1))</f>
        <v/>
      </c>
    </row>
    <row r="374" customFormat="false" ht="14.25" hidden="false" customHeight="false" outlineLevel="0" collapsed="false">
      <c r="A374" s="19"/>
      <c r="B374" s="19"/>
      <c r="C374" s="15" t="str">
        <f aca="false">IF($A374="","",COUNTIF('Daily tracking'!$D$2:$D$2001,$A374))</f>
        <v/>
      </c>
      <c r="D374" s="16" t="str">
        <f aca="false">IF($A374="","",SUMIF('Daily tracking'!$D$2:$D$2001,$A374,'Daily tracking'!$G$2:$G$2001))</f>
        <v/>
      </c>
      <c r="E374" s="18" t="str">
        <f aca="false">IF($A374="","",IF($C374=0,"",_xlfn.MAXIFS('Daily tracking'!$A$2:$A$2001,'Daily tracking'!$D$2:$D$2001,$A374)))</f>
        <v/>
      </c>
      <c r="F374" s="6" t="str">
        <f aca="true">IF(OR($A374="",$E374=""),"",TODAY()-$E374)</f>
        <v/>
      </c>
      <c r="G374" s="3" t="str">
        <f aca="false">IF($A374="","",IF($C374=0,"No visits",IF($F374&gt;90,"Lapsed",IF($F374&gt;35,"At risk",IF($C374&gt;=4,"Loyal","Active")))))</f>
        <v/>
      </c>
      <c r="H374" s="9" t="str">
        <f aca="false">IF(OR($A374="",$C374=0),"",$D374/$C374)</f>
        <v/>
      </c>
      <c r="I374" s="20"/>
      <c r="J374" s="20"/>
      <c r="K374" s="19"/>
      <c r="L374" s="19"/>
      <c r="M374" s="19"/>
      <c r="N374" s="15" t="str">
        <f aca="false">IF($A374="","",IF($C374=0,0,(IF($F374&lt;=15,5,IF($F374&lt;=30,4,IF($F374&lt;=45,3,IF($F374&lt;=90,2,1))))+IF($C374&gt;=10,5,IF($C374&gt;=6,4,IF($C374&gt;=4,3,IF($C374&gt;=2,2,1))))+IF($D374&gt;=20000,5,IF($D374&gt;=10000,4,IF($D374&gt;=5000,3,IF($D374&gt;=2000,2,1)))))))</f>
        <v/>
      </c>
      <c r="O374" s="3" t="str">
        <f aca="false">IF($A374="","",IF($C374=0,"No visits",IF($N374&gt;=13,"VIP",IF($N374&gt;=10,"High value",IF($N374&gt;=7,"Regular",IF($N374&gt;=4,"Occasional","Low"))))))</f>
        <v/>
      </c>
      <c r="P374" s="6" t="str">
        <f aca="true">IF(OR($A374="",$I374=""),"",IF(MONTH($I374)=MONTH(TODAY()),"Yes",""))</f>
        <v/>
      </c>
      <c r="Q374" s="21" t="str">
        <f aca="false">IF($A374="","",IF($C374=0,"",_xlfn.MINIFS('Daily tracking'!$A$2:$A$2001,'Daily tracking'!$D$2:$D$2001,$A374)))</f>
        <v/>
      </c>
      <c r="R374" s="6" t="str">
        <f aca="false">IF(OR($A374="",$C374&lt;2),"",($E374-$Q374)/($C374-1))</f>
        <v/>
      </c>
    </row>
    <row r="375" customFormat="false" ht="14.25" hidden="false" customHeight="false" outlineLevel="0" collapsed="false">
      <c r="A375" s="19"/>
      <c r="B375" s="19"/>
      <c r="C375" s="15" t="str">
        <f aca="false">IF($A375="","",COUNTIF('Daily tracking'!$D$2:$D$2001,$A375))</f>
        <v/>
      </c>
      <c r="D375" s="16" t="str">
        <f aca="false">IF($A375="","",SUMIF('Daily tracking'!$D$2:$D$2001,$A375,'Daily tracking'!$G$2:$G$2001))</f>
        <v/>
      </c>
      <c r="E375" s="18" t="str">
        <f aca="false">IF($A375="","",IF($C375=0,"",_xlfn.MAXIFS('Daily tracking'!$A$2:$A$2001,'Daily tracking'!$D$2:$D$2001,$A375)))</f>
        <v/>
      </c>
      <c r="F375" s="6" t="str">
        <f aca="true">IF(OR($A375="",$E375=""),"",TODAY()-$E375)</f>
        <v/>
      </c>
      <c r="G375" s="3" t="str">
        <f aca="false">IF($A375="","",IF($C375=0,"No visits",IF($F375&gt;90,"Lapsed",IF($F375&gt;35,"At risk",IF($C375&gt;=4,"Loyal","Active")))))</f>
        <v/>
      </c>
      <c r="H375" s="9" t="str">
        <f aca="false">IF(OR($A375="",$C375=0),"",$D375/$C375)</f>
        <v/>
      </c>
      <c r="I375" s="20"/>
      <c r="J375" s="20"/>
      <c r="K375" s="19"/>
      <c r="L375" s="19"/>
      <c r="M375" s="19"/>
      <c r="N375" s="15" t="str">
        <f aca="false">IF($A375="","",IF($C375=0,0,(IF($F375&lt;=15,5,IF($F375&lt;=30,4,IF($F375&lt;=45,3,IF($F375&lt;=90,2,1))))+IF($C375&gt;=10,5,IF($C375&gt;=6,4,IF($C375&gt;=4,3,IF($C375&gt;=2,2,1))))+IF($D375&gt;=20000,5,IF($D375&gt;=10000,4,IF($D375&gt;=5000,3,IF($D375&gt;=2000,2,1)))))))</f>
        <v/>
      </c>
      <c r="O375" s="3" t="str">
        <f aca="false">IF($A375="","",IF($C375=0,"No visits",IF($N375&gt;=13,"VIP",IF($N375&gt;=10,"High value",IF($N375&gt;=7,"Regular",IF($N375&gt;=4,"Occasional","Low"))))))</f>
        <v/>
      </c>
      <c r="P375" s="6" t="str">
        <f aca="true">IF(OR($A375="",$I375=""),"",IF(MONTH($I375)=MONTH(TODAY()),"Yes",""))</f>
        <v/>
      </c>
      <c r="Q375" s="21" t="str">
        <f aca="false">IF($A375="","",IF($C375=0,"",_xlfn.MINIFS('Daily tracking'!$A$2:$A$2001,'Daily tracking'!$D$2:$D$2001,$A375)))</f>
        <v/>
      </c>
      <c r="R375" s="6" t="str">
        <f aca="false">IF(OR($A375="",$C375&lt;2),"",($E375-$Q375)/($C375-1))</f>
        <v/>
      </c>
    </row>
    <row r="376" customFormat="false" ht="14.25" hidden="false" customHeight="false" outlineLevel="0" collapsed="false">
      <c r="A376" s="19"/>
      <c r="B376" s="19"/>
      <c r="C376" s="15" t="str">
        <f aca="false">IF($A376="","",COUNTIF('Daily tracking'!$D$2:$D$2001,$A376))</f>
        <v/>
      </c>
      <c r="D376" s="16" t="str">
        <f aca="false">IF($A376="","",SUMIF('Daily tracking'!$D$2:$D$2001,$A376,'Daily tracking'!$G$2:$G$2001))</f>
        <v/>
      </c>
      <c r="E376" s="18" t="str">
        <f aca="false">IF($A376="","",IF($C376=0,"",_xlfn.MAXIFS('Daily tracking'!$A$2:$A$2001,'Daily tracking'!$D$2:$D$2001,$A376)))</f>
        <v/>
      </c>
      <c r="F376" s="6" t="str">
        <f aca="true">IF(OR($A376="",$E376=""),"",TODAY()-$E376)</f>
        <v/>
      </c>
      <c r="G376" s="3" t="str">
        <f aca="false">IF($A376="","",IF($C376=0,"No visits",IF($F376&gt;90,"Lapsed",IF($F376&gt;35,"At risk",IF($C376&gt;=4,"Loyal","Active")))))</f>
        <v/>
      </c>
      <c r="H376" s="9" t="str">
        <f aca="false">IF(OR($A376="",$C376=0),"",$D376/$C376)</f>
        <v/>
      </c>
      <c r="I376" s="20"/>
      <c r="J376" s="20"/>
      <c r="K376" s="19"/>
      <c r="L376" s="19"/>
      <c r="M376" s="19"/>
      <c r="N376" s="15" t="str">
        <f aca="false">IF($A376="","",IF($C376=0,0,(IF($F376&lt;=15,5,IF($F376&lt;=30,4,IF($F376&lt;=45,3,IF($F376&lt;=90,2,1))))+IF($C376&gt;=10,5,IF($C376&gt;=6,4,IF($C376&gt;=4,3,IF($C376&gt;=2,2,1))))+IF($D376&gt;=20000,5,IF($D376&gt;=10000,4,IF($D376&gt;=5000,3,IF($D376&gt;=2000,2,1)))))))</f>
        <v/>
      </c>
      <c r="O376" s="3" t="str">
        <f aca="false">IF($A376="","",IF($C376=0,"No visits",IF($N376&gt;=13,"VIP",IF($N376&gt;=10,"High value",IF($N376&gt;=7,"Regular",IF($N376&gt;=4,"Occasional","Low"))))))</f>
        <v/>
      </c>
      <c r="P376" s="6" t="str">
        <f aca="true">IF(OR($A376="",$I376=""),"",IF(MONTH($I376)=MONTH(TODAY()),"Yes",""))</f>
        <v/>
      </c>
      <c r="Q376" s="21" t="str">
        <f aca="false">IF($A376="","",IF($C376=0,"",_xlfn.MINIFS('Daily tracking'!$A$2:$A$2001,'Daily tracking'!$D$2:$D$2001,$A376)))</f>
        <v/>
      </c>
      <c r="R376" s="6" t="str">
        <f aca="false">IF(OR($A376="",$C376&lt;2),"",($E376-$Q376)/($C376-1))</f>
        <v/>
      </c>
    </row>
    <row r="377" customFormat="false" ht="14.25" hidden="false" customHeight="false" outlineLevel="0" collapsed="false">
      <c r="A377" s="19"/>
      <c r="B377" s="19"/>
      <c r="C377" s="15" t="str">
        <f aca="false">IF($A377="","",COUNTIF('Daily tracking'!$D$2:$D$2001,$A377))</f>
        <v/>
      </c>
      <c r="D377" s="16" t="str">
        <f aca="false">IF($A377="","",SUMIF('Daily tracking'!$D$2:$D$2001,$A377,'Daily tracking'!$G$2:$G$2001))</f>
        <v/>
      </c>
      <c r="E377" s="18" t="str">
        <f aca="false">IF($A377="","",IF($C377=0,"",_xlfn.MAXIFS('Daily tracking'!$A$2:$A$2001,'Daily tracking'!$D$2:$D$2001,$A377)))</f>
        <v/>
      </c>
      <c r="F377" s="6" t="str">
        <f aca="true">IF(OR($A377="",$E377=""),"",TODAY()-$E377)</f>
        <v/>
      </c>
      <c r="G377" s="3" t="str">
        <f aca="false">IF($A377="","",IF($C377=0,"No visits",IF($F377&gt;90,"Lapsed",IF($F377&gt;35,"At risk",IF($C377&gt;=4,"Loyal","Active")))))</f>
        <v/>
      </c>
      <c r="H377" s="9" t="str">
        <f aca="false">IF(OR($A377="",$C377=0),"",$D377/$C377)</f>
        <v/>
      </c>
      <c r="I377" s="20"/>
      <c r="J377" s="20"/>
      <c r="K377" s="19"/>
      <c r="L377" s="19"/>
      <c r="M377" s="19"/>
      <c r="N377" s="15" t="str">
        <f aca="false">IF($A377="","",IF($C377=0,0,(IF($F377&lt;=15,5,IF($F377&lt;=30,4,IF($F377&lt;=45,3,IF($F377&lt;=90,2,1))))+IF($C377&gt;=10,5,IF($C377&gt;=6,4,IF($C377&gt;=4,3,IF($C377&gt;=2,2,1))))+IF($D377&gt;=20000,5,IF($D377&gt;=10000,4,IF($D377&gt;=5000,3,IF($D377&gt;=2000,2,1)))))))</f>
        <v/>
      </c>
      <c r="O377" s="3" t="str">
        <f aca="false">IF($A377="","",IF($C377=0,"No visits",IF($N377&gt;=13,"VIP",IF($N377&gt;=10,"High value",IF($N377&gt;=7,"Regular",IF($N377&gt;=4,"Occasional","Low"))))))</f>
        <v/>
      </c>
      <c r="P377" s="6" t="str">
        <f aca="true">IF(OR($A377="",$I377=""),"",IF(MONTH($I377)=MONTH(TODAY()),"Yes",""))</f>
        <v/>
      </c>
      <c r="Q377" s="21" t="str">
        <f aca="false">IF($A377="","",IF($C377=0,"",_xlfn.MINIFS('Daily tracking'!$A$2:$A$2001,'Daily tracking'!$D$2:$D$2001,$A377)))</f>
        <v/>
      </c>
      <c r="R377" s="6" t="str">
        <f aca="false">IF(OR($A377="",$C377&lt;2),"",($E377-$Q377)/($C377-1))</f>
        <v/>
      </c>
    </row>
    <row r="378" customFormat="false" ht="14.25" hidden="false" customHeight="false" outlineLevel="0" collapsed="false">
      <c r="A378" s="19"/>
      <c r="B378" s="19"/>
      <c r="C378" s="15" t="str">
        <f aca="false">IF($A378="","",COUNTIF('Daily tracking'!$D$2:$D$2001,$A378))</f>
        <v/>
      </c>
      <c r="D378" s="16" t="str">
        <f aca="false">IF($A378="","",SUMIF('Daily tracking'!$D$2:$D$2001,$A378,'Daily tracking'!$G$2:$G$2001))</f>
        <v/>
      </c>
      <c r="E378" s="18" t="str">
        <f aca="false">IF($A378="","",IF($C378=0,"",_xlfn.MAXIFS('Daily tracking'!$A$2:$A$2001,'Daily tracking'!$D$2:$D$2001,$A378)))</f>
        <v/>
      </c>
      <c r="F378" s="6" t="str">
        <f aca="true">IF(OR($A378="",$E378=""),"",TODAY()-$E378)</f>
        <v/>
      </c>
      <c r="G378" s="3" t="str">
        <f aca="false">IF($A378="","",IF($C378=0,"No visits",IF($F378&gt;90,"Lapsed",IF($F378&gt;35,"At risk",IF($C378&gt;=4,"Loyal","Active")))))</f>
        <v/>
      </c>
      <c r="H378" s="9" t="str">
        <f aca="false">IF(OR($A378="",$C378=0),"",$D378/$C378)</f>
        <v/>
      </c>
      <c r="I378" s="20"/>
      <c r="J378" s="20"/>
      <c r="K378" s="19"/>
      <c r="L378" s="19"/>
      <c r="M378" s="19"/>
      <c r="N378" s="15" t="str">
        <f aca="false">IF($A378="","",IF($C378=0,0,(IF($F378&lt;=15,5,IF($F378&lt;=30,4,IF($F378&lt;=45,3,IF($F378&lt;=90,2,1))))+IF($C378&gt;=10,5,IF($C378&gt;=6,4,IF($C378&gt;=4,3,IF($C378&gt;=2,2,1))))+IF($D378&gt;=20000,5,IF($D378&gt;=10000,4,IF($D378&gt;=5000,3,IF($D378&gt;=2000,2,1)))))))</f>
        <v/>
      </c>
      <c r="O378" s="3" t="str">
        <f aca="false">IF($A378="","",IF($C378=0,"No visits",IF($N378&gt;=13,"VIP",IF($N378&gt;=10,"High value",IF($N378&gt;=7,"Regular",IF($N378&gt;=4,"Occasional","Low"))))))</f>
        <v/>
      </c>
      <c r="P378" s="6" t="str">
        <f aca="true">IF(OR($A378="",$I378=""),"",IF(MONTH($I378)=MONTH(TODAY()),"Yes",""))</f>
        <v/>
      </c>
      <c r="Q378" s="21" t="str">
        <f aca="false">IF($A378="","",IF($C378=0,"",_xlfn.MINIFS('Daily tracking'!$A$2:$A$2001,'Daily tracking'!$D$2:$D$2001,$A378)))</f>
        <v/>
      </c>
      <c r="R378" s="6" t="str">
        <f aca="false">IF(OR($A378="",$C378&lt;2),"",($E378-$Q378)/($C378-1))</f>
        <v/>
      </c>
    </row>
    <row r="379" customFormat="false" ht="14.25" hidden="false" customHeight="false" outlineLevel="0" collapsed="false">
      <c r="A379" s="19"/>
      <c r="B379" s="19"/>
      <c r="C379" s="15" t="str">
        <f aca="false">IF($A379="","",COUNTIF('Daily tracking'!$D$2:$D$2001,$A379))</f>
        <v/>
      </c>
      <c r="D379" s="16" t="str">
        <f aca="false">IF($A379="","",SUMIF('Daily tracking'!$D$2:$D$2001,$A379,'Daily tracking'!$G$2:$G$2001))</f>
        <v/>
      </c>
      <c r="E379" s="18" t="str">
        <f aca="false">IF($A379="","",IF($C379=0,"",_xlfn.MAXIFS('Daily tracking'!$A$2:$A$2001,'Daily tracking'!$D$2:$D$2001,$A379)))</f>
        <v/>
      </c>
      <c r="F379" s="6" t="str">
        <f aca="true">IF(OR($A379="",$E379=""),"",TODAY()-$E379)</f>
        <v/>
      </c>
      <c r="G379" s="3" t="str">
        <f aca="false">IF($A379="","",IF($C379=0,"No visits",IF($F379&gt;90,"Lapsed",IF($F379&gt;35,"At risk",IF($C379&gt;=4,"Loyal","Active")))))</f>
        <v/>
      </c>
      <c r="H379" s="9" t="str">
        <f aca="false">IF(OR($A379="",$C379=0),"",$D379/$C379)</f>
        <v/>
      </c>
      <c r="I379" s="20"/>
      <c r="J379" s="20"/>
      <c r="K379" s="19"/>
      <c r="L379" s="19"/>
      <c r="M379" s="19"/>
      <c r="N379" s="15" t="str">
        <f aca="false">IF($A379="","",IF($C379=0,0,(IF($F379&lt;=15,5,IF($F379&lt;=30,4,IF($F379&lt;=45,3,IF($F379&lt;=90,2,1))))+IF($C379&gt;=10,5,IF($C379&gt;=6,4,IF($C379&gt;=4,3,IF($C379&gt;=2,2,1))))+IF($D379&gt;=20000,5,IF($D379&gt;=10000,4,IF($D379&gt;=5000,3,IF($D379&gt;=2000,2,1)))))))</f>
        <v/>
      </c>
      <c r="O379" s="3" t="str">
        <f aca="false">IF($A379="","",IF($C379=0,"No visits",IF($N379&gt;=13,"VIP",IF($N379&gt;=10,"High value",IF($N379&gt;=7,"Regular",IF($N379&gt;=4,"Occasional","Low"))))))</f>
        <v/>
      </c>
      <c r="P379" s="6" t="str">
        <f aca="true">IF(OR($A379="",$I379=""),"",IF(MONTH($I379)=MONTH(TODAY()),"Yes",""))</f>
        <v/>
      </c>
      <c r="Q379" s="21" t="str">
        <f aca="false">IF($A379="","",IF($C379=0,"",_xlfn.MINIFS('Daily tracking'!$A$2:$A$2001,'Daily tracking'!$D$2:$D$2001,$A379)))</f>
        <v/>
      </c>
      <c r="R379" s="6" t="str">
        <f aca="false">IF(OR($A379="",$C379&lt;2),"",($E379-$Q379)/($C379-1))</f>
        <v/>
      </c>
    </row>
    <row r="380" customFormat="false" ht="14.25" hidden="false" customHeight="false" outlineLevel="0" collapsed="false">
      <c r="A380" s="19"/>
      <c r="B380" s="19"/>
      <c r="C380" s="15" t="str">
        <f aca="false">IF($A380="","",COUNTIF('Daily tracking'!$D$2:$D$2001,$A380))</f>
        <v/>
      </c>
      <c r="D380" s="16" t="str">
        <f aca="false">IF($A380="","",SUMIF('Daily tracking'!$D$2:$D$2001,$A380,'Daily tracking'!$G$2:$G$2001))</f>
        <v/>
      </c>
      <c r="E380" s="18" t="str">
        <f aca="false">IF($A380="","",IF($C380=0,"",_xlfn.MAXIFS('Daily tracking'!$A$2:$A$2001,'Daily tracking'!$D$2:$D$2001,$A380)))</f>
        <v/>
      </c>
      <c r="F380" s="6" t="str">
        <f aca="true">IF(OR($A380="",$E380=""),"",TODAY()-$E380)</f>
        <v/>
      </c>
      <c r="G380" s="3" t="str">
        <f aca="false">IF($A380="","",IF($C380=0,"No visits",IF($F380&gt;90,"Lapsed",IF($F380&gt;35,"At risk",IF($C380&gt;=4,"Loyal","Active")))))</f>
        <v/>
      </c>
      <c r="H380" s="9" t="str">
        <f aca="false">IF(OR($A380="",$C380=0),"",$D380/$C380)</f>
        <v/>
      </c>
      <c r="I380" s="20"/>
      <c r="J380" s="20"/>
      <c r="K380" s="19"/>
      <c r="L380" s="19"/>
      <c r="M380" s="19"/>
      <c r="N380" s="15" t="str">
        <f aca="false">IF($A380="","",IF($C380=0,0,(IF($F380&lt;=15,5,IF($F380&lt;=30,4,IF($F380&lt;=45,3,IF($F380&lt;=90,2,1))))+IF($C380&gt;=10,5,IF($C380&gt;=6,4,IF($C380&gt;=4,3,IF($C380&gt;=2,2,1))))+IF($D380&gt;=20000,5,IF($D380&gt;=10000,4,IF($D380&gt;=5000,3,IF($D380&gt;=2000,2,1)))))))</f>
        <v/>
      </c>
      <c r="O380" s="3" t="str">
        <f aca="false">IF($A380="","",IF($C380=0,"No visits",IF($N380&gt;=13,"VIP",IF($N380&gt;=10,"High value",IF($N380&gt;=7,"Regular",IF($N380&gt;=4,"Occasional","Low"))))))</f>
        <v/>
      </c>
      <c r="P380" s="6" t="str">
        <f aca="true">IF(OR($A380="",$I380=""),"",IF(MONTH($I380)=MONTH(TODAY()),"Yes",""))</f>
        <v/>
      </c>
      <c r="Q380" s="21" t="str">
        <f aca="false">IF($A380="","",IF($C380=0,"",_xlfn.MINIFS('Daily tracking'!$A$2:$A$2001,'Daily tracking'!$D$2:$D$2001,$A380)))</f>
        <v/>
      </c>
      <c r="R380" s="6" t="str">
        <f aca="false">IF(OR($A380="",$C380&lt;2),"",($E380-$Q380)/($C380-1))</f>
        <v/>
      </c>
    </row>
    <row r="381" customFormat="false" ht="14.25" hidden="false" customHeight="false" outlineLevel="0" collapsed="false">
      <c r="A381" s="19"/>
      <c r="B381" s="19"/>
      <c r="C381" s="15" t="str">
        <f aca="false">IF($A381="","",COUNTIF('Daily tracking'!$D$2:$D$2001,$A381))</f>
        <v/>
      </c>
      <c r="D381" s="16" t="str">
        <f aca="false">IF($A381="","",SUMIF('Daily tracking'!$D$2:$D$2001,$A381,'Daily tracking'!$G$2:$G$2001))</f>
        <v/>
      </c>
      <c r="E381" s="18" t="str">
        <f aca="false">IF($A381="","",IF($C381=0,"",_xlfn.MAXIFS('Daily tracking'!$A$2:$A$2001,'Daily tracking'!$D$2:$D$2001,$A381)))</f>
        <v/>
      </c>
      <c r="F381" s="6" t="str">
        <f aca="true">IF(OR($A381="",$E381=""),"",TODAY()-$E381)</f>
        <v/>
      </c>
      <c r="G381" s="3" t="str">
        <f aca="false">IF($A381="","",IF($C381=0,"No visits",IF($F381&gt;90,"Lapsed",IF($F381&gt;35,"At risk",IF($C381&gt;=4,"Loyal","Active")))))</f>
        <v/>
      </c>
      <c r="H381" s="9" t="str">
        <f aca="false">IF(OR($A381="",$C381=0),"",$D381/$C381)</f>
        <v/>
      </c>
      <c r="I381" s="20"/>
      <c r="J381" s="20"/>
      <c r="K381" s="19"/>
      <c r="L381" s="19"/>
      <c r="M381" s="19"/>
      <c r="N381" s="15" t="str">
        <f aca="false">IF($A381="","",IF($C381=0,0,(IF($F381&lt;=15,5,IF($F381&lt;=30,4,IF($F381&lt;=45,3,IF($F381&lt;=90,2,1))))+IF($C381&gt;=10,5,IF($C381&gt;=6,4,IF($C381&gt;=4,3,IF($C381&gt;=2,2,1))))+IF($D381&gt;=20000,5,IF($D381&gt;=10000,4,IF($D381&gt;=5000,3,IF($D381&gt;=2000,2,1)))))))</f>
        <v/>
      </c>
      <c r="O381" s="3" t="str">
        <f aca="false">IF($A381="","",IF($C381=0,"No visits",IF($N381&gt;=13,"VIP",IF($N381&gt;=10,"High value",IF($N381&gt;=7,"Regular",IF($N381&gt;=4,"Occasional","Low"))))))</f>
        <v/>
      </c>
      <c r="P381" s="6" t="str">
        <f aca="true">IF(OR($A381="",$I381=""),"",IF(MONTH($I381)=MONTH(TODAY()),"Yes",""))</f>
        <v/>
      </c>
      <c r="Q381" s="21" t="str">
        <f aca="false">IF($A381="","",IF($C381=0,"",_xlfn.MINIFS('Daily tracking'!$A$2:$A$2001,'Daily tracking'!$D$2:$D$2001,$A381)))</f>
        <v/>
      </c>
      <c r="R381" s="6" t="str">
        <f aca="false">IF(OR($A381="",$C381&lt;2),"",($E381-$Q381)/($C381-1))</f>
        <v/>
      </c>
    </row>
    <row r="382" customFormat="false" ht="14.25" hidden="false" customHeight="false" outlineLevel="0" collapsed="false">
      <c r="A382" s="19"/>
      <c r="B382" s="19"/>
      <c r="C382" s="15" t="str">
        <f aca="false">IF($A382="","",COUNTIF('Daily tracking'!$D$2:$D$2001,$A382))</f>
        <v/>
      </c>
      <c r="D382" s="16" t="str">
        <f aca="false">IF($A382="","",SUMIF('Daily tracking'!$D$2:$D$2001,$A382,'Daily tracking'!$G$2:$G$2001))</f>
        <v/>
      </c>
      <c r="E382" s="18" t="str">
        <f aca="false">IF($A382="","",IF($C382=0,"",_xlfn.MAXIFS('Daily tracking'!$A$2:$A$2001,'Daily tracking'!$D$2:$D$2001,$A382)))</f>
        <v/>
      </c>
      <c r="F382" s="6" t="str">
        <f aca="true">IF(OR($A382="",$E382=""),"",TODAY()-$E382)</f>
        <v/>
      </c>
      <c r="G382" s="3" t="str">
        <f aca="false">IF($A382="","",IF($C382=0,"No visits",IF($F382&gt;90,"Lapsed",IF($F382&gt;35,"At risk",IF($C382&gt;=4,"Loyal","Active")))))</f>
        <v/>
      </c>
      <c r="H382" s="9" t="str">
        <f aca="false">IF(OR($A382="",$C382=0),"",$D382/$C382)</f>
        <v/>
      </c>
      <c r="I382" s="20"/>
      <c r="J382" s="20"/>
      <c r="K382" s="19"/>
      <c r="L382" s="19"/>
      <c r="M382" s="19"/>
      <c r="N382" s="15" t="str">
        <f aca="false">IF($A382="","",IF($C382=0,0,(IF($F382&lt;=15,5,IF($F382&lt;=30,4,IF($F382&lt;=45,3,IF($F382&lt;=90,2,1))))+IF($C382&gt;=10,5,IF($C382&gt;=6,4,IF($C382&gt;=4,3,IF($C382&gt;=2,2,1))))+IF($D382&gt;=20000,5,IF($D382&gt;=10000,4,IF($D382&gt;=5000,3,IF($D382&gt;=2000,2,1)))))))</f>
        <v/>
      </c>
      <c r="O382" s="3" t="str">
        <f aca="false">IF($A382="","",IF($C382=0,"No visits",IF($N382&gt;=13,"VIP",IF($N382&gt;=10,"High value",IF($N382&gt;=7,"Regular",IF($N382&gt;=4,"Occasional","Low"))))))</f>
        <v/>
      </c>
      <c r="P382" s="6" t="str">
        <f aca="true">IF(OR($A382="",$I382=""),"",IF(MONTH($I382)=MONTH(TODAY()),"Yes",""))</f>
        <v/>
      </c>
      <c r="Q382" s="21" t="str">
        <f aca="false">IF($A382="","",IF($C382=0,"",_xlfn.MINIFS('Daily tracking'!$A$2:$A$2001,'Daily tracking'!$D$2:$D$2001,$A382)))</f>
        <v/>
      </c>
      <c r="R382" s="6" t="str">
        <f aca="false">IF(OR($A382="",$C382&lt;2),"",($E382-$Q382)/($C382-1))</f>
        <v/>
      </c>
    </row>
    <row r="383" customFormat="false" ht="14.25" hidden="false" customHeight="false" outlineLevel="0" collapsed="false">
      <c r="A383" s="19"/>
      <c r="B383" s="19"/>
      <c r="C383" s="15" t="str">
        <f aca="false">IF($A383="","",COUNTIF('Daily tracking'!$D$2:$D$2001,$A383))</f>
        <v/>
      </c>
      <c r="D383" s="16" t="str">
        <f aca="false">IF($A383="","",SUMIF('Daily tracking'!$D$2:$D$2001,$A383,'Daily tracking'!$G$2:$G$2001))</f>
        <v/>
      </c>
      <c r="E383" s="18" t="str">
        <f aca="false">IF($A383="","",IF($C383=0,"",_xlfn.MAXIFS('Daily tracking'!$A$2:$A$2001,'Daily tracking'!$D$2:$D$2001,$A383)))</f>
        <v/>
      </c>
      <c r="F383" s="6" t="str">
        <f aca="true">IF(OR($A383="",$E383=""),"",TODAY()-$E383)</f>
        <v/>
      </c>
      <c r="G383" s="3" t="str">
        <f aca="false">IF($A383="","",IF($C383=0,"No visits",IF($F383&gt;90,"Lapsed",IF($F383&gt;35,"At risk",IF($C383&gt;=4,"Loyal","Active")))))</f>
        <v/>
      </c>
      <c r="H383" s="9" t="str">
        <f aca="false">IF(OR($A383="",$C383=0),"",$D383/$C383)</f>
        <v/>
      </c>
      <c r="I383" s="20"/>
      <c r="J383" s="20"/>
      <c r="K383" s="19"/>
      <c r="L383" s="19"/>
      <c r="M383" s="19"/>
      <c r="N383" s="15" t="str">
        <f aca="false">IF($A383="","",IF($C383=0,0,(IF($F383&lt;=15,5,IF($F383&lt;=30,4,IF($F383&lt;=45,3,IF($F383&lt;=90,2,1))))+IF($C383&gt;=10,5,IF($C383&gt;=6,4,IF($C383&gt;=4,3,IF($C383&gt;=2,2,1))))+IF($D383&gt;=20000,5,IF($D383&gt;=10000,4,IF($D383&gt;=5000,3,IF($D383&gt;=2000,2,1)))))))</f>
        <v/>
      </c>
      <c r="O383" s="3" t="str">
        <f aca="false">IF($A383="","",IF($C383=0,"No visits",IF($N383&gt;=13,"VIP",IF($N383&gt;=10,"High value",IF($N383&gt;=7,"Regular",IF($N383&gt;=4,"Occasional","Low"))))))</f>
        <v/>
      </c>
      <c r="P383" s="6" t="str">
        <f aca="true">IF(OR($A383="",$I383=""),"",IF(MONTH($I383)=MONTH(TODAY()),"Yes",""))</f>
        <v/>
      </c>
      <c r="Q383" s="21" t="str">
        <f aca="false">IF($A383="","",IF($C383=0,"",_xlfn.MINIFS('Daily tracking'!$A$2:$A$2001,'Daily tracking'!$D$2:$D$2001,$A383)))</f>
        <v/>
      </c>
      <c r="R383" s="6" t="str">
        <f aca="false">IF(OR($A383="",$C383&lt;2),"",($E383-$Q383)/($C383-1))</f>
        <v/>
      </c>
    </row>
    <row r="384" customFormat="false" ht="14.25" hidden="false" customHeight="false" outlineLevel="0" collapsed="false">
      <c r="A384" s="19"/>
      <c r="B384" s="19"/>
      <c r="C384" s="15" t="str">
        <f aca="false">IF($A384="","",COUNTIF('Daily tracking'!$D$2:$D$2001,$A384))</f>
        <v/>
      </c>
      <c r="D384" s="16" t="str">
        <f aca="false">IF($A384="","",SUMIF('Daily tracking'!$D$2:$D$2001,$A384,'Daily tracking'!$G$2:$G$2001))</f>
        <v/>
      </c>
      <c r="E384" s="18" t="str">
        <f aca="false">IF($A384="","",IF($C384=0,"",_xlfn.MAXIFS('Daily tracking'!$A$2:$A$2001,'Daily tracking'!$D$2:$D$2001,$A384)))</f>
        <v/>
      </c>
      <c r="F384" s="6" t="str">
        <f aca="true">IF(OR($A384="",$E384=""),"",TODAY()-$E384)</f>
        <v/>
      </c>
      <c r="G384" s="3" t="str">
        <f aca="false">IF($A384="","",IF($C384=0,"No visits",IF($F384&gt;90,"Lapsed",IF($F384&gt;35,"At risk",IF($C384&gt;=4,"Loyal","Active")))))</f>
        <v/>
      </c>
      <c r="H384" s="9" t="str">
        <f aca="false">IF(OR($A384="",$C384=0),"",$D384/$C384)</f>
        <v/>
      </c>
      <c r="I384" s="20"/>
      <c r="J384" s="20"/>
      <c r="K384" s="19"/>
      <c r="L384" s="19"/>
      <c r="M384" s="19"/>
      <c r="N384" s="15" t="str">
        <f aca="false">IF($A384="","",IF($C384=0,0,(IF($F384&lt;=15,5,IF($F384&lt;=30,4,IF($F384&lt;=45,3,IF($F384&lt;=90,2,1))))+IF($C384&gt;=10,5,IF($C384&gt;=6,4,IF($C384&gt;=4,3,IF($C384&gt;=2,2,1))))+IF($D384&gt;=20000,5,IF($D384&gt;=10000,4,IF($D384&gt;=5000,3,IF($D384&gt;=2000,2,1)))))))</f>
        <v/>
      </c>
      <c r="O384" s="3" t="str">
        <f aca="false">IF($A384="","",IF($C384=0,"No visits",IF($N384&gt;=13,"VIP",IF($N384&gt;=10,"High value",IF($N384&gt;=7,"Regular",IF($N384&gt;=4,"Occasional","Low"))))))</f>
        <v/>
      </c>
      <c r="P384" s="6" t="str">
        <f aca="true">IF(OR($A384="",$I384=""),"",IF(MONTH($I384)=MONTH(TODAY()),"Yes",""))</f>
        <v/>
      </c>
      <c r="Q384" s="21" t="str">
        <f aca="false">IF($A384="","",IF($C384=0,"",_xlfn.MINIFS('Daily tracking'!$A$2:$A$2001,'Daily tracking'!$D$2:$D$2001,$A384)))</f>
        <v/>
      </c>
      <c r="R384" s="6" t="str">
        <f aca="false">IF(OR($A384="",$C384&lt;2),"",($E384-$Q384)/($C384-1))</f>
        <v/>
      </c>
    </row>
    <row r="385" customFormat="false" ht="14.25" hidden="false" customHeight="false" outlineLevel="0" collapsed="false">
      <c r="A385" s="19"/>
      <c r="B385" s="19"/>
      <c r="C385" s="15" t="str">
        <f aca="false">IF($A385="","",COUNTIF('Daily tracking'!$D$2:$D$2001,$A385))</f>
        <v/>
      </c>
      <c r="D385" s="16" t="str">
        <f aca="false">IF($A385="","",SUMIF('Daily tracking'!$D$2:$D$2001,$A385,'Daily tracking'!$G$2:$G$2001))</f>
        <v/>
      </c>
      <c r="E385" s="18" t="str">
        <f aca="false">IF($A385="","",IF($C385=0,"",_xlfn.MAXIFS('Daily tracking'!$A$2:$A$2001,'Daily tracking'!$D$2:$D$2001,$A385)))</f>
        <v/>
      </c>
      <c r="F385" s="6" t="str">
        <f aca="true">IF(OR($A385="",$E385=""),"",TODAY()-$E385)</f>
        <v/>
      </c>
      <c r="G385" s="3" t="str">
        <f aca="false">IF($A385="","",IF($C385=0,"No visits",IF($F385&gt;90,"Lapsed",IF($F385&gt;35,"At risk",IF($C385&gt;=4,"Loyal","Active")))))</f>
        <v/>
      </c>
      <c r="H385" s="9" t="str">
        <f aca="false">IF(OR($A385="",$C385=0),"",$D385/$C385)</f>
        <v/>
      </c>
      <c r="I385" s="20"/>
      <c r="J385" s="20"/>
      <c r="K385" s="19"/>
      <c r="L385" s="19"/>
      <c r="M385" s="19"/>
      <c r="N385" s="15" t="str">
        <f aca="false">IF($A385="","",IF($C385=0,0,(IF($F385&lt;=15,5,IF($F385&lt;=30,4,IF($F385&lt;=45,3,IF($F385&lt;=90,2,1))))+IF($C385&gt;=10,5,IF($C385&gt;=6,4,IF($C385&gt;=4,3,IF($C385&gt;=2,2,1))))+IF($D385&gt;=20000,5,IF($D385&gt;=10000,4,IF($D385&gt;=5000,3,IF($D385&gt;=2000,2,1)))))))</f>
        <v/>
      </c>
      <c r="O385" s="3" t="str">
        <f aca="false">IF($A385="","",IF($C385=0,"No visits",IF($N385&gt;=13,"VIP",IF($N385&gt;=10,"High value",IF($N385&gt;=7,"Regular",IF($N385&gt;=4,"Occasional","Low"))))))</f>
        <v/>
      </c>
      <c r="P385" s="6" t="str">
        <f aca="true">IF(OR($A385="",$I385=""),"",IF(MONTH($I385)=MONTH(TODAY()),"Yes",""))</f>
        <v/>
      </c>
      <c r="Q385" s="21" t="str">
        <f aca="false">IF($A385="","",IF($C385=0,"",_xlfn.MINIFS('Daily tracking'!$A$2:$A$2001,'Daily tracking'!$D$2:$D$2001,$A385)))</f>
        <v/>
      </c>
      <c r="R385" s="6" t="str">
        <f aca="false">IF(OR($A385="",$C385&lt;2),"",($E385-$Q385)/($C385-1))</f>
        <v/>
      </c>
    </row>
    <row r="386" customFormat="false" ht="14.25" hidden="false" customHeight="false" outlineLevel="0" collapsed="false">
      <c r="A386" s="19"/>
      <c r="B386" s="19"/>
      <c r="C386" s="15" t="str">
        <f aca="false">IF($A386="","",COUNTIF('Daily tracking'!$D$2:$D$2001,$A386))</f>
        <v/>
      </c>
      <c r="D386" s="16" t="str">
        <f aca="false">IF($A386="","",SUMIF('Daily tracking'!$D$2:$D$2001,$A386,'Daily tracking'!$G$2:$G$2001))</f>
        <v/>
      </c>
      <c r="E386" s="18" t="str">
        <f aca="false">IF($A386="","",IF($C386=0,"",_xlfn.MAXIFS('Daily tracking'!$A$2:$A$2001,'Daily tracking'!$D$2:$D$2001,$A386)))</f>
        <v/>
      </c>
      <c r="F386" s="6" t="str">
        <f aca="true">IF(OR($A386="",$E386=""),"",TODAY()-$E386)</f>
        <v/>
      </c>
      <c r="G386" s="3" t="str">
        <f aca="false">IF($A386="","",IF($C386=0,"No visits",IF($F386&gt;90,"Lapsed",IF($F386&gt;35,"At risk",IF($C386&gt;=4,"Loyal","Active")))))</f>
        <v/>
      </c>
      <c r="H386" s="9" t="str">
        <f aca="false">IF(OR($A386="",$C386=0),"",$D386/$C386)</f>
        <v/>
      </c>
      <c r="I386" s="20"/>
      <c r="J386" s="20"/>
      <c r="K386" s="19"/>
      <c r="L386" s="19"/>
      <c r="M386" s="19"/>
      <c r="N386" s="15" t="str">
        <f aca="false">IF($A386="","",IF($C386=0,0,(IF($F386&lt;=15,5,IF($F386&lt;=30,4,IF($F386&lt;=45,3,IF($F386&lt;=90,2,1))))+IF($C386&gt;=10,5,IF($C386&gt;=6,4,IF($C386&gt;=4,3,IF($C386&gt;=2,2,1))))+IF($D386&gt;=20000,5,IF($D386&gt;=10000,4,IF($D386&gt;=5000,3,IF($D386&gt;=2000,2,1)))))))</f>
        <v/>
      </c>
      <c r="O386" s="3" t="str">
        <f aca="false">IF($A386="","",IF($C386=0,"No visits",IF($N386&gt;=13,"VIP",IF($N386&gt;=10,"High value",IF($N386&gt;=7,"Regular",IF($N386&gt;=4,"Occasional","Low"))))))</f>
        <v/>
      </c>
      <c r="P386" s="6" t="str">
        <f aca="true">IF(OR($A386="",$I386=""),"",IF(MONTH($I386)=MONTH(TODAY()),"Yes",""))</f>
        <v/>
      </c>
      <c r="Q386" s="21" t="str">
        <f aca="false">IF($A386="","",IF($C386=0,"",_xlfn.MINIFS('Daily tracking'!$A$2:$A$2001,'Daily tracking'!$D$2:$D$2001,$A386)))</f>
        <v/>
      </c>
      <c r="R386" s="6" t="str">
        <f aca="false">IF(OR($A386="",$C386&lt;2),"",($E386-$Q386)/($C386-1))</f>
        <v/>
      </c>
    </row>
    <row r="387" customFormat="false" ht="14.25" hidden="false" customHeight="false" outlineLevel="0" collapsed="false">
      <c r="A387" s="19"/>
      <c r="B387" s="19"/>
      <c r="C387" s="15" t="str">
        <f aca="false">IF($A387="","",COUNTIF('Daily tracking'!$D$2:$D$2001,$A387))</f>
        <v/>
      </c>
      <c r="D387" s="16" t="str">
        <f aca="false">IF($A387="","",SUMIF('Daily tracking'!$D$2:$D$2001,$A387,'Daily tracking'!$G$2:$G$2001))</f>
        <v/>
      </c>
      <c r="E387" s="18" t="str">
        <f aca="false">IF($A387="","",IF($C387=0,"",_xlfn.MAXIFS('Daily tracking'!$A$2:$A$2001,'Daily tracking'!$D$2:$D$2001,$A387)))</f>
        <v/>
      </c>
      <c r="F387" s="6" t="str">
        <f aca="true">IF(OR($A387="",$E387=""),"",TODAY()-$E387)</f>
        <v/>
      </c>
      <c r="G387" s="3" t="str">
        <f aca="false">IF($A387="","",IF($C387=0,"No visits",IF($F387&gt;90,"Lapsed",IF($F387&gt;35,"At risk",IF($C387&gt;=4,"Loyal","Active")))))</f>
        <v/>
      </c>
      <c r="H387" s="9" t="str">
        <f aca="false">IF(OR($A387="",$C387=0),"",$D387/$C387)</f>
        <v/>
      </c>
      <c r="I387" s="20"/>
      <c r="J387" s="20"/>
      <c r="K387" s="19"/>
      <c r="L387" s="19"/>
      <c r="M387" s="19"/>
      <c r="N387" s="15" t="str">
        <f aca="false">IF($A387="","",IF($C387=0,0,(IF($F387&lt;=15,5,IF($F387&lt;=30,4,IF($F387&lt;=45,3,IF($F387&lt;=90,2,1))))+IF($C387&gt;=10,5,IF($C387&gt;=6,4,IF($C387&gt;=4,3,IF($C387&gt;=2,2,1))))+IF($D387&gt;=20000,5,IF($D387&gt;=10000,4,IF($D387&gt;=5000,3,IF($D387&gt;=2000,2,1)))))))</f>
        <v/>
      </c>
      <c r="O387" s="3" t="str">
        <f aca="false">IF($A387="","",IF($C387=0,"No visits",IF($N387&gt;=13,"VIP",IF($N387&gt;=10,"High value",IF($N387&gt;=7,"Regular",IF($N387&gt;=4,"Occasional","Low"))))))</f>
        <v/>
      </c>
      <c r="P387" s="6" t="str">
        <f aca="true">IF(OR($A387="",$I387=""),"",IF(MONTH($I387)=MONTH(TODAY()),"Yes",""))</f>
        <v/>
      </c>
      <c r="Q387" s="21" t="str">
        <f aca="false">IF($A387="","",IF($C387=0,"",_xlfn.MINIFS('Daily tracking'!$A$2:$A$2001,'Daily tracking'!$D$2:$D$2001,$A387)))</f>
        <v/>
      </c>
      <c r="R387" s="6" t="str">
        <f aca="false">IF(OR($A387="",$C387&lt;2),"",($E387-$Q387)/($C387-1))</f>
        <v/>
      </c>
    </row>
    <row r="388" customFormat="false" ht="14.25" hidden="false" customHeight="false" outlineLevel="0" collapsed="false">
      <c r="A388" s="19"/>
      <c r="B388" s="19"/>
      <c r="C388" s="15" t="str">
        <f aca="false">IF($A388="","",COUNTIF('Daily tracking'!$D$2:$D$2001,$A388))</f>
        <v/>
      </c>
      <c r="D388" s="16" t="str">
        <f aca="false">IF($A388="","",SUMIF('Daily tracking'!$D$2:$D$2001,$A388,'Daily tracking'!$G$2:$G$2001))</f>
        <v/>
      </c>
      <c r="E388" s="18" t="str">
        <f aca="false">IF($A388="","",IF($C388=0,"",_xlfn.MAXIFS('Daily tracking'!$A$2:$A$2001,'Daily tracking'!$D$2:$D$2001,$A388)))</f>
        <v/>
      </c>
      <c r="F388" s="6" t="str">
        <f aca="true">IF(OR($A388="",$E388=""),"",TODAY()-$E388)</f>
        <v/>
      </c>
      <c r="G388" s="3" t="str">
        <f aca="false">IF($A388="","",IF($C388=0,"No visits",IF($F388&gt;90,"Lapsed",IF($F388&gt;35,"At risk",IF($C388&gt;=4,"Loyal","Active")))))</f>
        <v/>
      </c>
      <c r="H388" s="9" t="str">
        <f aca="false">IF(OR($A388="",$C388=0),"",$D388/$C388)</f>
        <v/>
      </c>
      <c r="I388" s="20"/>
      <c r="J388" s="20"/>
      <c r="K388" s="19"/>
      <c r="L388" s="19"/>
      <c r="M388" s="19"/>
      <c r="N388" s="15" t="str">
        <f aca="false">IF($A388="","",IF($C388=0,0,(IF($F388&lt;=15,5,IF($F388&lt;=30,4,IF($F388&lt;=45,3,IF($F388&lt;=90,2,1))))+IF($C388&gt;=10,5,IF($C388&gt;=6,4,IF($C388&gt;=4,3,IF($C388&gt;=2,2,1))))+IF($D388&gt;=20000,5,IF($D388&gt;=10000,4,IF($D388&gt;=5000,3,IF($D388&gt;=2000,2,1)))))))</f>
        <v/>
      </c>
      <c r="O388" s="3" t="str">
        <f aca="false">IF($A388="","",IF($C388=0,"No visits",IF($N388&gt;=13,"VIP",IF($N388&gt;=10,"High value",IF($N388&gt;=7,"Regular",IF($N388&gt;=4,"Occasional","Low"))))))</f>
        <v/>
      </c>
      <c r="P388" s="6" t="str">
        <f aca="true">IF(OR($A388="",$I388=""),"",IF(MONTH($I388)=MONTH(TODAY()),"Yes",""))</f>
        <v/>
      </c>
      <c r="Q388" s="21" t="str">
        <f aca="false">IF($A388="","",IF($C388=0,"",_xlfn.MINIFS('Daily tracking'!$A$2:$A$2001,'Daily tracking'!$D$2:$D$2001,$A388)))</f>
        <v/>
      </c>
      <c r="R388" s="6" t="str">
        <f aca="false">IF(OR($A388="",$C388&lt;2),"",($E388-$Q388)/($C388-1))</f>
        <v/>
      </c>
    </row>
    <row r="389" customFormat="false" ht="14.25" hidden="false" customHeight="false" outlineLevel="0" collapsed="false">
      <c r="A389" s="19"/>
      <c r="B389" s="19"/>
      <c r="C389" s="15" t="str">
        <f aca="false">IF($A389="","",COUNTIF('Daily tracking'!$D$2:$D$2001,$A389))</f>
        <v/>
      </c>
      <c r="D389" s="16" t="str">
        <f aca="false">IF($A389="","",SUMIF('Daily tracking'!$D$2:$D$2001,$A389,'Daily tracking'!$G$2:$G$2001))</f>
        <v/>
      </c>
      <c r="E389" s="18" t="str">
        <f aca="false">IF($A389="","",IF($C389=0,"",_xlfn.MAXIFS('Daily tracking'!$A$2:$A$2001,'Daily tracking'!$D$2:$D$2001,$A389)))</f>
        <v/>
      </c>
      <c r="F389" s="6" t="str">
        <f aca="true">IF(OR($A389="",$E389=""),"",TODAY()-$E389)</f>
        <v/>
      </c>
      <c r="G389" s="3" t="str">
        <f aca="false">IF($A389="","",IF($C389=0,"No visits",IF($F389&gt;90,"Lapsed",IF($F389&gt;35,"At risk",IF($C389&gt;=4,"Loyal","Active")))))</f>
        <v/>
      </c>
      <c r="H389" s="9" t="str">
        <f aca="false">IF(OR($A389="",$C389=0),"",$D389/$C389)</f>
        <v/>
      </c>
      <c r="I389" s="20"/>
      <c r="J389" s="20"/>
      <c r="K389" s="19"/>
      <c r="L389" s="19"/>
      <c r="M389" s="19"/>
      <c r="N389" s="15" t="str">
        <f aca="false">IF($A389="","",IF($C389=0,0,(IF($F389&lt;=15,5,IF($F389&lt;=30,4,IF($F389&lt;=45,3,IF($F389&lt;=90,2,1))))+IF($C389&gt;=10,5,IF($C389&gt;=6,4,IF($C389&gt;=4,3,IF($C389&gt;=2,2,1))))+IF($D389&gt;=20000,5,IF($D389&gt;=10000,4,IF($D389&gt;=5000,3,IF($D389&gt;=2000,2,1)))))))</f>
        <v/>
      </c>
      <c r="O389" s="3" t="str">
        <f aca="false">IF($A389="","",IF($C389=0,"No visits",IF($N389&gt;=13,"VIP",IF($N389&gt;=10,"High value",IF($N389&gt;=7,"Regular",IF($N389&gt;=4,"Occasional","Low"))))))</f>
        <v/>
      </c>
      <c r="P389" s="6" t="str">
        <f aca="true">IF(OR($A389="",$I389=""),"",IF(MONTH($I389)=MONTH(TODAY()),"Yes",""))</f>
        <v/>
      </c>
      <c r="Q389" s="21" t="str">
        <f aca="false">IF($A389="","",IF($C389=0,"",_xlfn.MINIFS('Daily tracking'!$A$2:$A$2001,'Daily tracking'!$D$2:$D$2001,$A389)))</f>
        <v/>
      </c>
      <c r="R389" s="6" t="str">
        <f aca="false">IF(OR($A389="",$C389&lt;2),"",($E389-$Q389)/($C389-1))</f>
        <v/>
      </c>
    </row>
    <row r="390" customFormat="false" ht="14.25" hidden="false" customHeight="false" outlineLevel="0" collapsed="false">
      <c r="A390" s="19"/>
      <c r="B390" s="19"/>
      <c r="C390" s="15" t="str">
        <f aca="false">IF($A390="","",COUNTIF('Daily tracking'!$D$2:$D$2001,$A390))</f>
        <v/>
      </c>
      <c r="D390" s="16" t="str">
        <f aca="false">IF($A390="","",SUMIF('Daily tracking'!$D$2:$D$2001,$A390,'Daily tracking'!$G$2:$G$2001))</f>
        <v/>
      </c>
      <c r="E390" s="18" t="str">
        <f aca="false">IF($A390="","",IF($C390=0,"",_xlfn.MAXIFS('Daily tracking'!$A$2:$A$2001,'Daily tracking'!$D$2:$D$2001,$A390)))</f>
        <v/>
      </c>
      <c r="F390" s="6" t="str">
        <f aca="true">IF(OR($A390="",$E390=""),"",TODAY()-$E390)</f>
        <v/>
      </c>
      <c r="G390" s="3" t="str">
        <f aca="false">IF($A390="","",IF($C390=0,"No visits",IF($F390&gt;90,"Lapsed",IF($F390&gt;35,"At risk",IF($C390&gt;=4,"Loyal","Active")))))</f>
        <v/>
      </c>
      <c r="H390" s="9" t="str">
        <f aca="false">IF(OR($A390="",$C390=0),"",$D390/$C390)</f>
        <v/>
      </c>
      <c r="I390" s="20"/>
      <c r="J390" s="20"/>
      <c r="K390" s="19"/>
      <c r="L390" s="19"/>
      <c r="M390" s="19"/>
      <c r="N390" s="15" t="str">
        <f aca="false">IF($A390="","",IF($C390=0,0,(IF($F390&lt;=15,5,IF($F390&lt;=30,4,IF($F390&lt;=45,3,IF($F390&lt;=90,2,1))))+IF($C390&gt;=10,5,IF($C390&gt;=6,4,IF($C390&gt;=4,3,IF($C390&gt;=2,2,1))))+IF($D390&gt;=20000,5,IF($D390&gt;=10000,4,IF($D390&gt;=5000,3,IF($D390&gt;=2000,2,1)))))))</f>
        <v/>
      </c>
      <c r="O390" s="3" t="str">
        <f aca="false">IF($A390="","",IF($C390=0,"No visits",IF($N390&gt;=13,"VIP",IF($N390&gt;=10,"High value",IF($N390&gt;=7,"Regular",IF($N390&gt;=4,"Occasional","Low"))))))</f>
        <v/>
      </c>
      <c r="P390" s="6" t="str">
        <f aca="true">IF(OR($A390="",$I390=""),"",IF(MONTH($I390)=MONTH(TODAY()),"Yes",""))</f>
        <v/>
      </c>
      <c r="Q390" s="21" t="str">
        <f aca="false">IF($A390="","",IF($C390=0,"",_xlfn.MINIFS('Daily tracking'!$A$2:$A$2001,'Daily tracking'!$D$2:$D$2001,$A390)))</f>
        <v/>
      </c>
      <c r="R390" s="6" t="str">
        <f aca="false">IF(OR($A390="",$C390&lt;2),"",($E390-$Q390)/($C390-1))</f>
        <v/>
      </c>
    </row>
    <row r="391" customFormat="false" ht="14.25" hidden="false" customHeight="false" outlineLevel="0" collapsed="false">
      <c r="A391" s="19"/>
      <c r="B391" s="19"/>
      <c r="C391" s="15" t="str">
        <f aca="false">IF($A391="","",COUNTIF('Daily tracking'!$D$2:$D$2001,$A391))</f>
        <v/>
      </c>
      <c r="D391" s="16" t="str">
        <f aca="false">IF($A391="","",SUMIF('Daily tracking'!$D$2:$D$2001,$A391,'Daily tracking'!$G$2:$G$2001))</f>
        <v/>
      </c>
      <c r="E391" s="18" t="str">
        <f aca="false">IF($A391="","",IF($C391=0,"",_xlfn.MAXIFS('Daily tracking'!$A$2:$A$2001,'Daily tracking'!$D$2:$D$2001,$A391)))</f>
        <v/>
      </c>
      <c r="F391" s="6" t="str">
        <f aca="true">IF(OR($A391="",$E391=""),"",TODAY()-$E391)</f>
        <v/>
      </c>
      <c r="G391" s="3" t="str">
        <f aca="false">IF($A391="","",IF($C391=0,"No visits",IF($F391&gt;90,"Lapsed",IF($F391&gt;35,"At risk",IF($C391&gt;=4,"Loyal","Active")))))</f>
        <v/>
      </c>
      <c r="H391" s="9" t="str">
        <f aca="false">IF(OR($A391="",$C391=0),"",$D391/$C391)</f>
        <v/>
      </c>
      <c r="I391" s="20"/>
      <c r="J391" s="20"/>
      <c r="K391" s="19"/>
      <c r="L391" s="19"/>
      <c r="M391" s="19"/>
      <c r="N391" s="15" t="str">
        <f aca="false">IF($A391="","",IF($C391=0,0,(IF($F391&lt;=15,5,IF($F391&lt;=30,4,IF($F391&lt;=45,3,IF($F391&lt;=90,2,1))))+IF($C391&gt;=10,5,IF($C391&gt;=6,4,IF($C391&gt;=4,3,IF($C391&gt;=2,2,1))))+IF($D391&gt;=20000,5,IF($D391&gt;=10000,4,IF($D391&gt;=5000,3,IF($D391&gt;=2000,2,1)))))))</f>
        <v/>
      </c>
      <c r="O391" s="3" t="str">
        <f aca="false">IF($A391="","",IF($C391=0,"No visits",IF($N391&gt;=13,"VIP",IF($N391&gt;=10,"High value",IF($N391&gt;=7,"Regular",IF($N391&gt;=4,"Occasional","Low"))))))</f>
        <v/>
      </c>
      <c r="P391" s="6" t="str">
        <f aca="true">IF(OR($A391="",$I391=""),"",IF(MONTH($I391)=MONTH(TODAY()),"Yes",""))</f>
        <v/>
      </c>
      <c r="Q391" s="21" t="str">
        <f aca="false">IF($A391="","",IF($C391=0,"",_xlfn.MINIFS('Daily tracking'!$A$2:$A$2001,'Daily tracking'!$D$2:$D$2001,$A391)))</f>
        <v/>
      </c>
      <c r="R391" s="6" t="str">
        <f aca="false">IF(OR($A391="",$C391&lt;2),"",($E391-$Q391)/($C391-1))</f>
        <v/>
      </c>
    </row>
    <row r="392" customFormat="false" ht="14.25" hidden="false" customHeight="false" outlineLevel="0" collapsed="false">
      <c r="A392" s="19"/>
      <c r="B392" s="19"/>
      <c r="C392" s="15" t="str">
        <f aca="false">IF($A392="","",COUNTIF('Daily tracking'!$D$2:$D$2001,$A392))</f>
        <v/>
      </c>
      <c r="D392" s="16" t="str">
        <f aca="false">IF($A392="","",SUMIF('Daily tracking'!$D$2:$D$2001,$A392,'Daily tracking'!$G$2:$G$2001))</f>
        <v/>
      </c>
      <c r="E392" s="18" t="str">
        <f aca="false">IF($A392="","",IF($C392=0,"",_xlfn.MAXIFS('Daily tracking'!$A$2:$A$2001,'Daily tracking'!$D$2:$D$2001,$A392)))</f>
        <v/>
      </c>
      <c r="F392" s="6" t="str">
        <f aca="true">IF(OR($A392="",$E392=""),"",TODAY()-$E392)</f>
        <v/>
      </c>
      <c r="G392" s="3" t="str">
        <f aca="false">IF($A392="","",IF($C392=0,"No visits",IF($F392&gt;90,"Lapsed",IF($F392&gt;35,"At risk",IF($C392&gt;=4,"Loyal","Active")))))</f>
        <v/>
      </c>
      <c r="H392" s="9" t="str">
        <f aca="false">IF(OR($A392="",$C392=0),"",$D392/$C392)</f>
        <v/>
      </c>
      <c r="I392" s="20"/>
      <c r="J392" s="20"/>
      <c r="K392" s="19"/>
      <c r="L392" s="19"/>
      <c r="M392" s="19"/>
      <c r="N392" s="15" t="str">
        <f aca="false">IF($A392="","",IF($C392=0,0,(IF($F392&lt;=15,5,IF($F392&lt;=30,4,IF($F392&lt;=45,3,IF($F392&lt;=90,2,1))))+IF($C392&gt;=10,5,IF($C392&gt;=6,4,IF($C392&gt;=4,3,IF($C392&gt;=2,2,1))))+IF($D392&gt;=20000,5,IF($D392&gt;=10000,4,IF($D392&gt;=5000,3,IF($D392&gt;=2000,2,1)))))))</f>
        <v/>
      </c>
      <c r="O392" s="3" t="str">
        <f aca="false">IF($A392="","",IF($C392=0,"No visits",IF($N392&gt;=13,"VIP",IF($N392&gt;=10,"High value",IF($N392&gt;=7,"Regular",IF($N392&gt;=4,"Occasional","Low"))))))</f>
        <v/>
      </c>
      <c r="P392" s="6" t="str">
        <f aca="true">IF(OR($A392="",$I392=""),"",IF(MONTH($I392)=MONTH(TODAY()),"Yes",""))</f>
        <v/>
      </c>
      <c r="Q392" s="21" t="str">
        <f aca="false">IF($A392="","",IF($C392=0,"",_xlfn.MINIFS('Daily tracking'!$A$2:$A$2001,'Daily tracking'!$D$2:$D$2001,$A392)))</f>
        <v/>
      </c>
      <c r="R392" s="6" t="str">
        <f aca="false">IF(OR($A392="",$C392&lt;2),"",($E392-$Q392)/($C392-1))</f>
        <v/>
      </c>
    </row>
    <row r="393" customFormat="false" ht="14.25" hidden="false" customHeight="false" outlineLevel="0" collapsed="false">
      <c r="A393" s="19"/>
      <c r="B393" s="19"/>
      <c r="C393" s="15" t="str">
        <f aca="false">IF($A393="","",COUNTIF('Daily tracking'!$D$2:$D$2001,$A393))</f>
        <v/>
      </c>
      <c r="D393" s="16" t="str">
        <f aca="false">IF($A393="","",SUMIF('Daily tracking'!$D$2:$D$2001,$A393,'Daily tracking'!$G$2:$G$2001))</f>
        <v/>
      </c>
      <c r="E393" s="18" t="str">
        <f aca="false">IF($A393="","",IF($C393=0,"",_xlfn.MAXIFS('Daily tracking'!$A$2:$A$2001,'Daily tracking'!$D$2:$D$2001,$A393)))</f>
        <v/>
      </c>
      <c r="F393" s="6" t="str">
        <f aca="true">IF(OR($A393="",$E393=""),"",TODAY()-$E393)</f>
        <v/>
      </c>
      <c r="G393" s="3" t="str">
        <f aca="false">IF($A393="","",IF($C393=0,"No visits",IF($F393&gt;90,"Lapsed",IF($F393&gt;35,"At risk",IF($C393&gt;=4,"Loyal","Active")))))</f>
        <v/>
      </c>
      <c r="H393" s="9" t="str">
        <f aca="false">IF(OR($A393="",$C393=0),"",$D393/$C393)</f>
        <v/>
      </c>
      <c r="I393" s="20"/>
      <c r="J393" s="20"/>
      <c r="K393" s="19"/>
      <c r="L393" s="19"/>
      <c r="M393" s="19"/>
      <c r="N393" s="15" t="str">
        <f aca="false">IF($A393="","",IF($C393=0,0,(IF($F393&lt;=15,5,IF($F393&lt;=30,4,IF($F393&lt;=45,3,IF($F393&lt;=90,2,1))))+IF($C393&gt;=10,5,IF($C393&gt;=6,4,IF($C393&gt;=4,3,IF($C393&gt;=2,2,1))))+IF($D393&gt;=20000,5,IF($D393&gt;=10000,4,IF($D393&gt;=5000,3,IF($D393&gt;=2000,2,1)))))))</f>
        <v/>
      </c>
      <c r="O393" s="3" t="str">
        <f aca="false">IF($A393="","",IF($C393=0,"No visits",IF($N393&gt;=13,"VIP",IF($N393&gt;=10,"High value",IF($N393&gt;=7,"Regular",IF($N393&gt;=4,"Occasional","Low"))))))</f>
        <v/>
      </c>
      <c r="P393" s="6" t="str">
        <f aca="true">IF(OR($A393="",$I393=""),"",IF(MONTH($I393)=MONTH(TODAY()),"Yes",""))</f>
        <v/>
      </c>
      <c r="Q393" s="21" t="str">
        <f aca="false">IF($A393="","",IF($C393=0,"",_xlfn.MINIFS('Daily tracking'!$A$2:$A$2001,'Daily tracking'!$D$2:$D$2001,$A393)))</f>
        <v/>
      </c>
      <c r="R393" s="6" t="str">
        <f aca="false">IF(OR($A393="",$C393&lt;2),"",($E393-$Q393)/($C393-1))</f>
        <v/>
      </c>
    </row>
    <row r="394" customFormat="false" ht="14.25" hidden="false" customHeight="false" outlineLevel="0" collapsed="false">
      <c r="A394" s="19"/>
      <c r="B394" s="19"/>
      <c r="C394" s="15" t="str">
        <f aca="false">IF($A394="","",COUNTIF('Daily tracking'!$D$2:$D$2001,$A394))</f>
        <v/>
      </c>
      <c r="D394" s="16" t="str">
        <f aca="false">IF($A394="","",SUMIF('Daily tracking'!$D$2:$D$2001,$A394,'Daily tracking'!$G$2:$G$2001))</f>
        <v/>
      </c>
      <c r="E394" s="18" t="str">
        <f aca="false">IF($A394="","",IF($C394=0,"",_xlfn.MAXIFS('Daily tracking'!$A$2:$A$2001,'Daily tracking'!$D$2:$D$2001,$A394)))</f>
        <v/>
      </c>
      <c r="F394" s="6" t="str">
        <f aca="true">IF(OR($A394="",$E394=""),"",TODAY()-$E394)</f>
        <v/>
      </c>
      <c r="G394" s="3" t="str">
        <f aca="false">IF($A394="","",IF($C394=0,"No visits",IF($F394&gt;90,"Lapsed",IF($F394&gt;35,"At risk",IF($C394&gt;=4,"Loyal","Active")))))</f>
        <v/>
      </c>
      <c r="H394" s="9" t="str">
        <f aca="false">IF(OR($A394="",$C394=0),"",$D394/$C394)</f>
        <v/>
      </c>
      <c r="I394" s="20"/>
      <c r="J394" s="20"/>
      <c r="K394" s="19"/>
      <c r="L394" s="19"/>
      <c r="M394" s="19"/>
      <c r="N394" s="15" t="str">
        <f aca="false">IF($A394="","",IF($C394=0,0,(IF($F394&lt;=15,5,IF($F394&lt;=30,4,IF($F394&lt;=45,3,IF($F394&lt;=90,2,1))))+IF($C394&gt;=10,5,IF($C394&gt;=6,4,IF($C394&gt;=4,3,IF($C394&gt;=2,2,1))))+IF($D394&gt;=20000,5,IF($D394&gt;=10000,4,IF($D394&gt;=5000,3,IF($D394&gt;=2000,2,1)))))))</f>
        <v/>
      </c>
      <c r="O394" s="3" t="str">
        <f aca="false">IF($A394="","",IF($C394=0,"No visits",IF($N394&gt;=13,"VIP",IF($N394&gt;=10,"High value",IF($N394&gt;=7,"Regular",IF($N394&gt;=4,"Occasional","Low"))))))</f>
        <v/>
      </c>
      <c r="P394" s="6" t="str">
        <f aca="true">IF(OR($A394="",$I394=""),"",IF(MONTH($I394)=MONTH(TODAY()),"Yes",""))</f>
        <v/>
      </c>
      <c r="Q394" s="21" t="str">
        <f aca="false">IF($A394="","",IF($C394=0,"",_xlfn.MINIFS('Daily tracking'!$A$2:$A$2001,'Daily tracking'!$D$2:$D$2001,$A394)))</f>
        <v/>
      </c>
      <c r="R394" s="6" t="str">
        <f aca="false">IF(OR($A394="",$C394&lt;2),"",($E394-$Q394)/($C394-1))</f>
        <v/>
      </c>
    </row>
    <row r="395" customFormat="false" ht="14.25" hidden="false" customHeight="false" outlineLevel="0" collapsed="false">
      <c r="A395" s="19"/>
      <c r="B395" s="19"/>
      <c r="C395" s="15" t="str">
        <f aca="false">IF($A395="","",COUNTIF('Daily tracking'!$D$2:$D$2001,$A395))</f>
        <v/>
      </c>
      <c r="D395" s="16" t="str">
        <f aca="false">IF($A395="","",SUMIF('Daily tracking'!$D$2:$D$2001,$A395,'Daily tracking'!$G$2:$G$2001))</f>
        <v/>
      </c>
      <c r="E395" s="18" t="str">
        <f aca="false">IF($A395="","",IF($C395=0,"",_xlfn.MAXIFS('Daily tracking'!$A$2:$A$2001,'Daily tracking'!$D$2:$D$2001,$A395)))</f>
        <v/>
      </c>
      <c r="F395" s="6" t="str">
        <f aca="true">IF(OR($A395="",$E395=""),"",TODAY()-$E395)</f>
        <v/>
      </c>
      <c r="G395" s="3" t="str">
        <f aca="false">IF($A395="","",IF($C395=0,"No visits",IF($F395&gt;90,"Lapsed",IF($F395&gt;35,"At risk",IF($C395&gt;=4,"Loyal","Active")))))</f>
        <v/>
      </c>
      <c r="H395" s="9" t="str">
        <f aca="false">IF(OR($A395="",$C395=0),"",$D395/$C395)</f>
        <v/>
      </c>
      <c r="I395" s="20"/>
      <c r="J395" s="20"/>
      <c r="K395" s="19"/>
      <c r="L395" s="19"/>
      <c r="M395" s="19"/>
      <c r="N395" s="15" t="str">
        <f aca="false">IF($A395="","",IF($C395=0,0,(IF($F395&lt;=15,5,IF($F395&lt;=30,4,IF($F395&lt;=45,3,IF($F395&lt;=90,2,1))))+IF($C395&gt;=10,5,IF($C395&gt;=6,4,IF($C395&gt;=4,3,IF($C395&gt;=2,2,1))))+IF($D395&gt;=20000,5,IF($D395&gt;=10000,4,IF($D395&gt;=5000,3,IF($D395&gt;=2000,2,1)))))))</f>
        <v/>
      </c>
      <c r="O395" s="3" t="str">
        <f aca="false">IF($A395="","",IF($C395=0,"No visits",IF($N395&gt;=13,"VIP",IF($N395&gt;=10,"High value",IF($N395&gt;=7,"Regular",IF($N395&gt;=4,"Occasional","Low"))))))</f>
        <v/>
      </c>
      <c r="P395" s="6" t="str">
        <f aca="true">IF(OR($A395="",$I395=""),"",IF(MONTH($I395)=MONTH(TODAY()),"Yes",""))</f>
        <v/>
      </c>
      <c r="Q395" s="21" t="str">
        <f aca="false">IF($A395="","",IF($C395=0,"",_xlfn.MINIFS('Daily tracking'!$A$2:$A$2001,'Daily tracking'!$D$2:$D$2001,$A395)))</f>
        <v/>
      </c>
      <c r="R395" s="6" t="str">
        <f aca="false">IF(OR($A395="",$C395&lt;2),"",($E395-$Q395)/($C395-1))</f>
        <v/>
      </c>
    </row>
    <row r="396" customFormat="false" ht="14.25" hidden="false" customHeight="false" outlineLevel="0" collapsed="false">
      <c r="A396" s="19"/>
      <c r="B396" s="19"/>
      <c r="C396" s="15" t="str">
        <f aca="false">IF($A396="","",COUNTIF('Daily tracking'!$D$2:$D$2001,$A396))</f>
        <v/>
      </c>
      <c r="D396" s="16" t="str">
        <f aca="false">IF($A396="","",SUMIF('Daily tracking'!$D$2:$D$2001,$A396,'Daily tracking'!$G$2:$G$2001))</f>
        <v/>
      </c>
      <c r="E396" s="18" t="str">
        <f aca="false">IF($A396="","",IF($C396=0,"",_xlfn.MAXIFS('Daily tracking'!$A$2:$A$2001,'Daily tracking'!$D$2:$D$2001,$A396)))</f>
        <v/>
      </c>
      <c r="F396" s="6" t="str">
        <f aca="true">IF(OR($A396="",$E396=""),"",TODAY()-$E396)</f>
        <v/>
      </c>
      <c r="G396" s="3" t="str">
        <f aca="false">IF($A396="","",IF($C396=0,"No visits",IF($F396&gt;90,"Lapsed",IF($F396&gt;35,"At risk",IF($C396&gt;=4,"Loyal","Active")))))</f>
        <v/>
      </c>
      <c r="H396" s="9" t="str">
        <f aca="false">IF(OR($A396="",$C396=0),"",$D396/$C396)</f>
        <v/>
      </c>
      <c r="I396" s="20"/>
      <c r="J396" s="20"/>
      <c r="K396" s="19"/>
      <c r="L396" s="19"/>
      <c r="M396" s="19"/>
      <c r="N396" s="15" t="str">
        <f aca="false">IF($A396="","",IF($C396=0,0,(IF($F396&lt;=15,5,IF($F396&lt;=30,4,IF($F396&lt;=45,3,IF($F396&lt;=90,2,1))))+IF($C396&gt;=10,5,IF($C396&gt;=6,4,IF($C396&gt;=4,3,IF($C396&gt;=2,2,1))))+IF($D396&gt;=20000,5,IF($D396&gt;=10000,4,IF($D396&gt;=5000,3,IF($D396&gt;=2000,2,1)))))))</f>
        <v/>
      </c>
      <c r="O396" s="3" t="str">
        <f aca="false">IF($A396="","",IF($C396=0,"No visits",IF($N396&gt;=13,"VIP",IF($N396&gt;=10,"High value",IF($N396&gt;=7,"Regular",IF($N396&gt;=4,"Occasional","Low"))))))</f>
        <v/>
      </c>
      <c r="P396" s="6" t="str">
        <f aca="true">IF(OR($A396="",$I396=""),"",IF(MONTH($I396)=MONTH(TODAY()),"Yes",""))</f>
        <v/>
      </c>
      <c r="Q396" s="21" t="str">
        <f aca="false">IF($A396="","",IF($C396=0,"",_xlfn.MINIFS('Daily tracking'!$A$2:$A$2001,'Daily tracking'!$D$2:$D$2001,$A396)))</f>
        <v/>
      </c>
      <c r="R396" s="6" t="str">
        <f aca="false">IF(OR($A396="",$C396&lt;2),"",($E396-$Q396)/($C396-1))</f>
        <v/>
      </c>
    </row>
    <row r="397" customFormat="false" ht="14.25" hidden="false" customHeight="false" outlineLevel="0" collapsed="false">
      <c r="A397" s="19"/>
      <c r="B397" s="19"/>
      <c r="C397" s="15" t="str">
        <f aca="false">IF($A397="","",COUNTIF('Daily tracking'!$D$2:$D$2001,$A397))</f>
        <v/>
      </c>
      <c r="D397" s="16" t="str">
        <f aca="false">IF($A397="","",SUMIF('Daily tracking'!$D$2:$D$2001,$A397,'Daily tracking'!$G$2:$G$2001))</f>
        <v/>
      </c>
      <c r="E397" s="18" t="str">
        <f aca="false">IF($A397="","",IF($C397=0,"",_xlfn.MAXIFS('Daily tracking'!$A$2:$A$2001,'Daily tracking'!$D$2:$D$2001,$A397)))</f>
        <v/>
      </c>
      <c r="F397" s="6" t="str">
        <f aca="true">IF(OR($A397="",$E397=""),"",TODAY()-$E397)</f>
        <v/>
      </c>
      <c r="G397" s="3" t="str">
        <f aca="false">IF($A397="","",IF($C397=0,"No visits",IF($F397&gt;90,"Lapsed",IF($F397&gt;35,"At risk",IF($C397&gt;=4,"Loyal","Active")))))</f>
        <v/>
      </c>
      <c r="H397" s="9" t="str">
        <f aca="false">IF(OR($A397="",$C397=0),"",$D397/$C397)</f>
        <v/>
      </c>
      <c r="I397" s="20"/>
      <c r="J397" s="20"/>
      <c r="K397" s="19"/>
      <c r="L397" s="19"/>
      <c r="M397" s="19"/>
      <c r="N397" s="15" t="str">
        <f aca="false">IF($A397="","",IF($C397=0,0,(IF($F397&lt;=15,5,IF($F397&lt;=30,4,IF($F397&lt;=45,3,IF($F397&lt;=90,2,1))))+IF($C397&gt;=10,5,IF($C397&gt;=6,4,IF($C397&gt;=4,3,IF($C397&gt;=2,2,1))))+IF($D397&gt;=20000,5,IF($D397&gt;=10000,4,IF($D397&gt;=5000,3,IF($D397&gt;=2000,2,1)))))))</f>
        <v/>
      </c>
      <c r="O397" s="3" t="str">
        <f aca="false">IF($A397="","",IF($C397=0,"No visits",IF($N397&gt;=13,"VIP",IF($N397&gt;=10,"High value",IF($N397&gt;=7,"Regular",IF($N397&gt;=4,"Occasional","Low"))))))</f>
        <v/>
      </c>
      <c r="P397" s="6" t="str">
        <f aca="true">IF(OR($A397="",$I397=""),"",IF(MONTH($I397)=MONTH(TODAY()),"Yes",""))</f>
        <v/>
      </c>
      <c r="Q397" s="21" t="str">
        <f aca="false">IF($A397="","",IF($C397=0,"",_xlfn.MINIFS('Daily tracking'!$A$2:$A$2001,'Daily tracking'!$D$2:$D$2001,$A397)))</f>
        <v/>
      </c>
      <c r="R397" s="6" t="str">
        <f aca="false">IF(OR($A397="",$C397&lt;2),"",($E397-$Q397)/($C397-1))</f>
        <v/>
      </c>
    </row>
    <row r="398" customFormat="false" ht="14.25" hidden="false" customHeight="false" outlineLevel="0" collapsed="false">
      <c r="A398" s="19"/>
      <c r="B398" s="19"/>
      <c r="C398" s="15" t="str">
        <f aca="false">IF($A398="","",COUNTIF('Daily tracking'!$D$2:$D$2001,$A398))</f>
        <v/>
      </c>
      <c r="D398" s="16" t="str">
        <f aca="false">IF($A398="","",SUMIF('Daily tracking'!$D$2:$D$2001,$A398,'Daily tracking'!$G$2:$G$2001))</f>
        <v/>
      </c>
      <c r="E398" s="18" t="str">
        <f aca="false">IF($A398="","",IF($C398=0,"",_xlfn.MAXIFS('Daily tracking'!$A$2:$A$2001,'Daily tracking'!$D$2:$D$2001,$A398)))</f>
        <v/>
      </c>
      <c r="F398" s="6" t="str">
        <f aca="true">IF(OR($A398="",$E398=""),"",TODAY()-$E398)</f>
        <v/>
      </c>
      <c r="G398" s="3" t="str">
        <f aca="false">IF($A398="","",IF($C398=0,"No visits",IF($F398&gt;90,"Lapsed",IF($F398&gt;35,"At risk",IF($C398&gt;=4,"Loyal","Active")))))</f>
        <v/>
      </c>
      <c r="H398" s="9" t="str">
        <f aca="false">IF(OR($A398="",$C398=0),"",$D398/$C398)</f>
        <v/>
      </c>
      <c r="I398" s="20"/>
      <c r="J398" s="20"/>
      <c r="K398" s="19"/>
      <c r="L398" s="19"/>
      <c r="M398" s="19"/>
      <c r="N398" s="15" t="str">
        <f aca="false">IF($A398="","",IF($C398=0,0,(IF($F398&lt;=15,5,IF($F398&lt;=30,4,IF($F398&lt;=45,3,IF($F398&lt;=90,2,1))))+IF($C398&gt;=10,5,IF($C398&gt;=6,4,IF($C398&gt;=4,3,IF($C398&gt;=2,2,1))))+IF($D398&gt;=20000,5,IF($D398&gt;=10000,4,IF($D398&gt;=5000,3,IF($D398&gt;=2000,2,1)))))))</f>
        <v/>
      </c>
      <c r="O398" s="3" t="str">
        <f aca="false">IF($A398="","",IF($C398=0,"No visits",IF($N398&gt;=13,"VIP",IF($N398&gt;=10,"High value",IF($N398&gt;=7,"Regular",IF($N398&gt;=4,"Occasional","Low"))))))</f>
        <v/>
      </c>
      <c r="P398" s="6" t="str">
        <f aca="true">IF(OR($A398="",$I398=""),"",IF(MONTH($I398)=MONTH(TODAY()),"Yes",""))</f>
        <v/>
      </c>
      <c r="Q398" s="21" t="str">
        <f aca="false">IF($A398="","",IF($C398=0,"",_xlfn.MINIFS('Daily tracking'!$A$2:$A$2001,'Daily tracking'!$D$2:$D$2001,$A398)))</f>
        <v/>
      </c>
      <c r="R398" s="6" t="str">
        <f aca="false">IF(OR($A398="",$C398&lt;2),"",($E398-$Q398)/($C398-1))</f>
        <v/>
      </c>
    </row>
    <row r="399" customFormat="false" ht="14.25" hidden="false" customHeight="false" outlineLevel="0" collapsed="false">
      <c r="A399" s="19"/>
      <c r="B399" s="19"/>
      <c r="C399" s="15" t="str">
        <f aca="false">IF($A399="","",COUNTIF('Daily tracking'!$D$2:$D$2001,$A399))</f>
        <v/>
      </c>
      <c r="D399" s="16" t="str">
        <f aca="false">IF($A399="","",SUMIF('Daily tracking'!$D$2:$D$2001,$A399,'Daily tracking'!$G$2:$G$2001))</f>
        <v/>
      </c>
      <c r="E399" s="18" t="str">
        <f aca="false">IF($A399="","",IF($C399=0,"",_xlfn.MAXIFS('Daily tracking'!$A$2:$A$2001,'Daily tracking'!$D$2:$D$2001,$A399)))</f>
        <v/>
      </c>
      <c r="F399" s="6" t="str">
        <f aca="true">IF(OR($A399="",$E399=""),"",TODAY()-$E399)</f>
        <v/>
      </c>
      <c r="G399" s="3" t="str">
        <f aca="false">IF($A399="","",IF($C399=0,"No visits",IF($F399&gt;90,"Lapsed",IF($F399&gt;35,"At risk",IF($C399&gt;=4,"Loyal","Active")))))</f>
        <v/>
      </c>
      <c r="H399" s="9" t="str">
        <f aca="false">IF(OR($A399="",$C399=0),"",$D399/$C399)</f>
        <v/>
      </c>
      <c r="I399" s="20"/>
      <c r="J399" s="20"/>
      <c r="K399" s="19"/>
      <c r="L399" s="19"/>
      <c r="M399" s="19"/>
      <c r="N399" s="15" t="str">
        <f aca="false">IF($A399="","",IF($C399=0,0,(IF($F399&lt;=15,5,IF($F399&lt;=30,4,IF($F399&lt;=45,3,IF($F399&lt;=90,2,1))))+IF($C399&gt;=10,5,IF($C399&gt;=6,4,IF($C399&gt;=4,3,IF($C399&gt;=2,2,1))))+IF($D399&gt;=20000,5,IF($D399&gt;=10000,4,IF($D399&gt;=5000,3,IF($D399&gt;=2000,2,1)))))))</f>
        <v/>
      </c>
      <c r="O399" s="3" t="str">
        <f aca="false">IF($A399="","",IF($C399=0,"No visits",IF($N399&gt;=13,"VIP",IF($N399&gt;=10,"High value",IF($N399&gt;=7,"Regular",IF($N399&gt;=4,"Occasional","Low"))))))</f>
        <v/>
      </c>
      <c r="P399" s="6" t="str">
        <f aca="true">IF(OR($A399="",$I399=""),"",IF(MONTH($I399)=MONTH(TODAY()),"Yes",""))</f>
        <v/>
      </c>
      <c r="Q399" s="21" t="str">
        <f aca="false">IF($A399="","",IF($C399=0,"",_xlfn.MINIFS('Daily tracking'!$A$2:$A$2001,'Daily tracking'!$D$2:$D$2001,$A399)))</f>
        <v/>
      </c>
      <c r="R399" s="6" t="str">
        <f aca="false">IF(OR($A399="",$C399&lt;2),"",($E399-$Q399)/($C399-1))</f>
        <v/>
      </c>
    </row>
    <row r="400" customFormat="false" ht="14.25" hidden="false" customHeight="false" outlineLevel="0" collapsed="false">
      <c r="A400" s="19"/>
      <c r="B400" s="19"/>
      <c r="C400" s="15" t="str">
        <f aca="false">IF($A400="","",COUNTIF('Daily tracking'!$D$2:$D$2001,$A400))</f>
        <v/>
      </c>
      <c r="D400" s="16" t="str">
        <f aca="false">IF($A400="","",SUMIF('Daily tracking'!$D$2:$D$2001,$A400,'Daily tracking'!$G$2:$G$2001))</f>
        <v/>
      </c>
      <c r="E400" s="18" t="str">
        <f aca="false">IF($A400="","",IF($C400=0,"",_xlfn.MAXIFS('Daily tracking'!$A$2:$A$2001,'Daily tracking'!$D$2:$D$2001,$A400)))</f>
        <v/>
      </c>
      <c r="F400" s="6" t="str">
        <f aca="true">IF(OR($A400="",$E400=""),"",TODAY()-$E400)</f>
        <v/>
      </c>
      <c r="G400" s="3" t="str">
        <f aca="false">IF($A400="","",IF($C400=0,"No visits",IF($F400&gt;90,"Lapsed",IF($F400&gt;35,"At risk",IF($C400&gt;=4,"Loyal","Active")))))</f>
        <v/>
      </c>
      <c r="H400" s="9" t="str">
        <f aca="false">IF(OR($A400="",$C400=0),"",$D400/$C400)</f>
        <v/>
      </c>
      <c r="I400" s="20"/>
      <c r="J400" s="20"/>
      <c r="K400" s="19"/>
      <c r="L400" s="19"/>
      <c r="M400" s="19"/>
      <c r="N400" s="15" t="str">
        <f aca="false">IF($A400="","",IF($C400=0,0,(IF($F400&lt;=15,5,IF($F400&lt;=30,4,IF($F400&lt;=45,3,IF($F400&lt;=90,2,1))))+IF($C400&gt;=10,5,IF($C400&gt;=6,4,IF($C400&gt;=4,3,IF($C400&gt;=2,2,1))))+IF($D400&gt;=20000,5,IF($D400&gt;=10000,4,IF($D400&gt;=5000,3,IF($D400&gt;=2000,2,1)))))))</f>
        <v/>
      </c>
      <c r="O400" s="3" t="str">
        <f aca="false">IF($A400="","",IF($C400=0,"No visits",IF($N400&gt;=13,"VIP",IF($N400&gt;=10,"High value",IF($N400&gt;=7,"Regular",IF($N400&gt;=4,"Occasional","Low"))))))</f>
        <v/>
      </c>
      <c r="P400" s="6" t="str">
        <f aca="true">IF(OR($A400="",$I400=""),"",IF(MONTH($I400)=MONTH(TODAY()),"Yes",""))</f>
        <v/>
      </c>
      <c r="Q400" s="21" t="str">
        <f aca="false">IF($A400="","",IF($C400=0,"",_xlfn.MINIFS('Daily tracking'!$A$2:$A$2001,'Daily tracking'!$D$2:$D$2001,$A400)))</f>
        <v/>
      </c>
      <c r="R400" s="6" t="str">
        <f aca="false">IF(OR($A400="",$C400&lt;2),"",($E400-$Q400)/($C400-1))</f>
        <v/>
      </c>
    </row>
    <row r="401" customFormat="false" ht="14.25" hidden="false" customHeight="false" outlineLevel="0" collapsed="false">
      <c r="A401" s="19"/>
      <c r="B401" s="19"/>
      <c r="C401" s="15" t="str">
        <f aca="false">IF($A401="","",COUNTIF('Daily tracking'!$D$2:$D$2001,$A401))</f>
        <v/>
      </c>
      <c r="D401" s="16" t="str">
        <f aca="false">IF($A401="","",SUMIF('Daily tracking'!$D$2:$D$2001,$A401,'Daily tracking'!$G$2:$G$2001))</f>
        <v/>
      </c>
      <c r="E401" s="18" t="str">
        <f aca="false">IF($A401="","",IF($C401=0,"",_xlfn.MAXIFS('Daily tracking'!$A$2:$A$2001,'Daily tracking'!$D$2:$D$2001,$A401)))</f>
        <v/>
      </c>
      <c r="F401" s="6" t="str">
        <f aca="true">IF(OR($A401="",$E401=""),"",TODAY()-$E401)</f>
        <v/>
      </c>
      <c r="G401" s="3" t="str">
        <f aca="false">IF($A401="","",IF($C401=0,"No visits",IF($F401&gt;90,"Lapsed",IF($F401&gt;35,"At risk",IF($C401&gt;=4,"Loyal","Active")))))</f>
        <v/>
      </c>
      <c r="H401" s="9" t="str">
        <f aca="false">IF(OR($A401="",$C401=0),"",$D401/$C401)</f>
        <v/>
      </c>
      <c r="I401" s="20"/>
      <c r="J401" s="20"/>
      <c r="K401" s="19"/>
      <c r="L401" s="19"/>
      <c r="M401" s="19"/>
      <c r="N401" s="15" t="str">
        <f aca="false">IF($A401="","",IF($C401=0,0,(IF($F401&lt;=15,5,IF($F401&lt;=30,4,IF($F401&lt;=45,3,IF($F401&lt;=90,2,1))))+IF($C401&gt;=10,5,IF($C401&gt;=6,4,IF($C401&gt;=4,3,IF($C401&gt;=2,2,1))))+IF($D401&gt;=20000,5,IF($D401&gt;=10000,4,IF($D401&gt;=5000,3,IF($D401&gt;=2000,2,1)))))))</f>
        <v/>
      </c>
      <c r="O401" s="3" t="str">
        <f aca="false">IF($A401="","",IF($C401=0,"No visits",IF($N401&gt;=13,"VIP",IF($N401&gt;=10,"High value",IF($N401&gt;=7,"Regular",IF($N401&gt;=4,"Occasional","Low"))))))</f>
        <v/>
      </c>
      <c r="P401" s="6" t="str">
        <f aca="true">IF(OR($A401="",$I401=""),"",IF(MONTH($I401)=MONTH(TODAY()),"Yes",""))</f>
        <v/>
      </c>
      <c r="Q401" s="21" t="str">
        <f aca="false">IF($A401="","",IF($C401=0,"",_xlfn.MINIFS('Daily tracking'!$A$2:$A$2001,'Daily tracking'!$D$2:$D$2001,$A401)))</f>
        <v/>
      </c>
      <c r="R401" s="6" t="str">
        <f aca="false">IF(OR($A401="",$C401&lt;2),"",($E401-$Q401)/($C401-1))</f>
        <v/>
      </c>
    </row>
    <row r="402" customFormat="false" ht="14.25" hidden="false" customHeight="false" outlineLevel="0" collapsed="false">
      <c r="A402" s="19"/>
      <c r="B402" s="19"/>
      <c r="C402" s="15" t="str">
        <f aca="false">IF($A402="","",COUNTIF('Daily tracking'!$D$2:$D$2001,$A402))</f>
        <v/>
      </c>
      <c r="D402" s="16" t="str">
        <f aca="false">IF($A402="","",SUMIF('Daily tracking'!$D$2:$D$2001,$A402,'Daily tracking'!$G$2:$G$2001))</f>
        <v/>
      </c>
      <c r="E402" s="18" t="str">
        <f aca="false">IF($A402="","",IF($C402=0,"",_xlfn.MAXIFS('Daily tracking'!$A$2:$A$2001,'Daily tracking'!$D$2:$D$2001,$A402)))</f>
        <v/>
      </c>
      <c r="F402" s="6" t="str">
        <f aca="true">IF(OR($A402="",$E402=""),"",TODAY()-$E402)</f>
        <v/>
      </c>
      <c r="G402" s="3" t="str">
        <f aca="false">IF($A402="","",IF($C402=0,"No visits",IF($F402&gt;90,"Lapsed",IF($F402&gt;35,"At risk",IF($C402&gt;=4,"Loyal","Active")))))</f>
        <v/>
      </c>
      <c r="H402" s="9" t="str">
        <f aca="false">IF(OR($A402="",$C402=0),"",$D402/$C402)</f>
        <v/>
      </c>
      <c r="I402" s="20"/>
      <c r="J402" s="20"/>
      <c r="K402" s="19"/>
      <c r="L402" s="19"/>
      <c r="M402" s="19"/>
      <c r="N402" s="15" t="str">
        <f aca="false">IF($A402="","",IF($C402=0,0,(IF($F402&lt;=15,5,IF($F402&lt;=30,4,IF($F402&lt;=45,3,IF($F402&lt;=90,2,1))))+IF($C402&gt;=10,5,IF($C402&gt;=6,4,IF($C402&gt;=4,3,IF($C402&gt;=2,2,1))))+IF($D402&gt;=20000,5,IF($D402&gt;=10000,4,IF($D402&gt;=5000,3,IF($D402&gt;=2000,2,1)))))))</f>
        <v/>
      </c>
      <c r="O402" s="3" t="str">
        <f aca="false">IF($A402="","",IF($C402=0,"No visits",IF($N402&gt;=13,"VIP",IF($N402&gt;=10,"High value",IF($N402&gt;=7,"Regular",IF($N402&gt;=4,"Occasional","Low"))))))</f>
        <v/>
      </c>
      <c r="P402" s="6" t="str">
        <f aca="true">IF(OR($A402="",$I402=""),"",IF(MONTH($I402)=MONTH(TODAY()),"Yes",""))</f>
        <v/>
      </c>
      <c r="Q402" s="21" t="str">
        <f aca="false">IF($A402="","",IF($C402=0,"",_xlfn.MINIFS('Daily tracking'!$A$2:$A$2001,'Daily tracking'!$D$2:$D$2001,$A402)))</f>
        <v/>
      </c>
      <c r="R402" s="6" t="str">
        <f aca="false">IF(OR($A402="",$C402&lt;2),"",($E402-$Q402)/($C402-1))</f>
        <v/>
      </c>
    </row>
    <row r="403" customFormat="false" ht="14.25" hidden="false" customHeight="false" outlineLevel="0" collapsed="false">
      <c r="A403" s="19"/>
      <c r="B403" s="19"/>
      <c r="C403" s="15" t="str">
        <f aca="false">IF($A403="","",COUNTIF('Daily tracking'!$D$2:$D$2001,$A403))</f>
        <v/>
      </c>
      <c r="D403" s="16" t="str">
        <f aca="false">IF($A403="","",SUMIF('Daily tracking'!$D$2:$D$2001,$A403,'Daily tracking'!$G$2:$G$2001))</f>
        <v/>
      </c>
      <c r="E403" s="18" t="str">
        <f aca="false">IF($A403="","",IF($C403=0,"",_xlfn.MAXIFS('Daily tracking'!$A$2:$A$2001,'Daily tracking'!$D$2:$D$2001,$A403)))</f>
        <v/>
      </c>
      <c r="F403" s="6" t="str">
        <f aca="true">IF(OR($A403="",$E403=""),"",TODAY()-$E403)</f>
        <v/>
      </c>
      <c r="G403" s="3" t="str">
        <f aca="false">IF($A403="","",IF($C403=0,"No visits",IF($F403&gt;90,"Lapsed",IF($F403&gt;35,"At risk",IF($C403&gt;=4,"Loyal","Active")))))</f>
        <v/>
      </c>
      <c r="H403" s="9" t="str">
        <f aca="false">IF(OR($A403="",$C403=0),"",$D403/$C403)</f>
        <v/>
      </c>
      <c r="I403" s="20"/>
      <c r="J403" s="20"/>
      <c r="K403" s="19"/>
      <c r="L403" s="19"/>
      <c r="M403" s="19"/>
      <c r="N403" s="15" t="str">
        <f aca="false">IF($A403="","",IF($C403=0,0,(IF($F403&lt;=15,5,IF($F403&lt;=30,4,IF($F403&lt;=45,3,IF($F403&lt;=90,2,1))))+IF($C403&gt;=10,5,IF($C403&gt;=6,4,IF($C403&gt;=4,3,IF($C403&gt;=2,2,1))))+IF($D403&gt;=20000,5,IF($D403&gt;=10000,4,IF($D403&gt;=5000,3,IF($D403&gt;=2000,2,1)))))))</f>
        <v/>
      </c>
      <c r="O403" s="3" t="str">
        <f aca="false">IF($A403="","",IF($C403=0,"No visits",IF($N403&gt;=13,"VIP",IF($N403&gt;=10,"High value",IF($N403&gt;=7,"Regular",IF($N403&gt;=4,"Occasional","Low"))))))</f>
        <v/>
      </c>
      <c r="P403" s="6" t="str">
        <f aca="true">IF(OR($A403="",$I403=""),"",IF(MONTH($I403)=MONTH(TODAY()),"Yes",""))</f>
        <v/>
      </c>
      <c r="Q403" s="21" t="str">
        <f aca="false">IF($A403="","",IF($C403=0,"",_xlfn.MINIFS('Daily tracking'!$A$2:$A$2001,'Daily tracking'!$D$2:$D$2001,$A403)))</f>
        <v/>
      </c>
      <c r="R403" s="6" t="str">
        <f aca="false">IF(OR($A403="",$C403&lt;2),"",($E403-$Q403)/($C403-1))</f>
        <v/>
      </c>
    </row>
    <row r="404" customFormat="false" ht="14.25" hidden="false" customHeight="false" outlineLevel="0" collapsed="false">
      <c r="A404" s="19"/>
      <c r="B404" s="19"/>
      <c r="C404" s="15" t="str">
        <f aca="false">IF($A404="","",COUNTIF('Daily tracking'!$D$2:$D$2001,$A404))</f>
        <v/>
      </c>
      <c r="D404" s="16" t="str">
        <f aca="false">IF($A404="","",SUMIF('Daily tracking'!$D$2:$D$2001,$A404,'Daily tracking'!$G$2:$G$2001))</f>
        <v/>
      </c>
      <c r="E404" s="18" t="str">
        <f aca="false">IF($A404="","",IF($C404=0,"",_xlfn.MAXIFS('Daily tracking'!$A$2:$A$2001,'Daily tracking'!$D$2:$D$2001,$A404)))</f>
        <v/>
      </c>
      <c r="F404" s="6" t="str">
        <f aca="true">IF(OR($A404="",$E404=""),"",TODAY()-$E404)</f>
        <v/>
      </c>
      <c r="G404" s="3" t="str">
        <f aca="false">IF($A404="","",IF($C404=0,"No visits",IF($F404&gt;90,"Lapsed",IF($F404&gt;35,"At risk",IF($C404&gt;=4,"Loyal","Active")))))</f>
        <v/>
      </c>
      <c r="H404" s="9" t="str">
        <f aca="false">IF(OR($A404="",$C404=0),"",$D404/$C404)</f>
        <v/>
      </c>
      <c r="I404" s="20"/>
      <c r="J404" s="20"/>
      <c r="K404" s="19"/>
      <c r="L404" s="19"/>
      <c r="M404" s="19"/>
      <c r="N404" s="15" t="str">
        <f aca="false">IF($A404="","",IF($C404=0,0,(IF($F404&lt;=15,5,IF($F404&lt;=30,4,IF($F404&lt;=45,3,IF($F404&lt;=90,2,1))))+IF($C404&gt;=10,5,IF($C404&gt;=6,4,IF($C404&gt;=4,3,IF($C404&gt;=2,2,1))))+IF($D404&gt;=20000,5,IF($D404&gt;=10000,4,IF($D404&gt;=5000,3,IF($D404&gt;=2000,2,1)))))))</f>
        <v/>
      </c>
      <c r="O404" s="3" t="str">
        <f aca="false">IF($A404="","",IF($C404=0,"No visits",IF($N404&gt;=13,"VIP",IF($N404&gt;=10,"High value",IF($N404&gt;=7,"Regular",IF($N404&gt;=4,"Occasional","Low"))))))</f>
        <v/>
      </c>
      <c r="P404" s="6" t="str">
        <f aca="true">IF(OR($A404="",$I404=""),"",IF(MONTH($I404)=MONTH(TODAY()),"Yes",""))</f>
        <v/>
      </c>
      <c r="Q404" s="21" t="str">
        <f aca="false">IF($A404="","",IF($C404=0,"",_xlfn.MINIFS('Daily tracking'!$A$2:$A$2001,'Daily tracking'!$D$2:$D$2001,$A404)))</f>
        <v/>
      </c>
      <c r="R404" s="6" t="str">
        <f aca="false">IF(OR($A404="",$C404&lt;2),"",($E404-$Q404)/($C404-1))</f>
        <v/>
      </c>
    </row>
    <row r="405" customFormat="false" ht="14.25" hidden="false" customHeight="false" outlineLevel="0" collapsed="false">
      <c r="A405" s="19"/>
      <c r="B405" s="19"/>
      <c r="C405" s="15" t="str">
        <f aca="false">IF($A405="","",COUNTIF('Daily tracking'!$D$2:$D$2001,$A405))</f>
        <v/>
      </c>
      <c r="D405" s="16" t="str">
        <f aca="false">IF($A405="","",SUMIF('Daily tracking'!$D$2:$D$2001,$A405,'Daily tracking'!$G$2:$G$2001))</f>
        <v/>
      </c>
      <c r="E405" s="18" t="str">
        <f aca="false">IF($A405="","",IF($C405=0,"",_xlfn.MAXIFS('Daily tracking'!$A$2:$A$2001,'Daily tracking'!$D$2:$D$2001,$A405)))</f>
        <v/>
      </c>
      <c r="F405" s="6" t="str">
        <f aca="true">IF(OR($A405="",$E405=""),"",TODAY()-$E405)</f>
        <v/>
      </c>
      <c r="G405" s="3" t="str">
        <f aca="false">IF($A405="","",IF($C405=0,"No visits",IF($F405&gt;90,"Lapsed",IF($F405&gt;35,"At risk",IF($C405&gt;=4,"Loyal","Active")))))</f>
        <v/>
      </c>
      <c r="H405" s="9" t="str">
        <f aca="false">IF(OR($A405="",$C405=0),"",$D405/$C405)</f>
        <v/>
      </c>
      <c r="I405" s="20"/>
      <c r="J405" s="20"/>
      <c r="K405" s="19"/>
      <c r="L405" s="19"/>
      <c r="M405" s="19"/>
      <c r="N405" s="15" t="str">
        <f aca="false">IF($A405="","",IF($C405=0,0,(IF($F405&lt;=15,5,IF($F405&lt;=30,4,IF($F405&lt;=45,3,IF($F405&lt;=90,2,1))))+IF($C405&gt;=10,5,IF($C405&gt;=6,4,IF($C405&gt;=4,3,IF($C405&gt;=2,2,1))))+IF($D405&gt;=20000,5,IF($D405&gt;=10000,4,IF($D405&gt;=5000,3,IF($D405&gt;=2000,2,1)))))))</f>
        <v/>
      </c>
      <c r="O405" s="3" t="str">
        <f aca="false">IF($A405="","",IF($C405=0,"No visits",IF($N405&gt;=13,"VIP",IF($N405&gt;=10,"High value",IF($N405&gt;=7,"Regular",IF($N405&gt;=4,"Occasional","Low"))))))</f>
        <v/>
      </c>
      <c r="P405" s="6" t="str">
        <f aca="true">IF(OR($A405="",$I405=""),"",IF(MONTH($I405)=MONTH(TODAY()),"Yes",""))</f>
        <v/>
      </c>
      <c r="Q405" s="21" t="str">
        <f aca="false">IF($A405="","",IF($C405=0,"",_xlfn.MINIFS('Daily tracking'!$A$2:$A$2001,'Daily tracking'!$D$2:$D$2001,$A405)))</f>
        <v/>
      </c>
      <c r="R405" s="6" t="str">
        <f aca="false">IF(OR($A405="",$C405&lt;2),"",($E405-$Q405)/($C405-1))</f>
        <v/>
      </c>
    </row>
    <row r="406" customFormat="false" ht="14.25" hidden="false" customHeight="false" outlineLevel="0" collapsed="false">
      <c r="A406" s="19"/>
      <c r="B406" s="19"/>
      <c r="C406" s="15" t="str">
        <f aca="false">IF($A406="","",COUNTIF('Daily tracking'!$D$2:$D$2001,$A406))</f>
        <v/>
      </c>
      <c r="D406" s="16" t="str">
        <f aca="false">IF($A406="","",SUMIF('Daily tracking'!$D$2:$D$2001,$A406,'Daily tracking'!$G$2:$G$2001))</f>
        <v/>
      </c>
      <c r="E406" s="18" t="str">
        <f aca="false">IF($A406="","",IF($C406=0,"",_xlfn.MAXIFS('Daily tracking'!$A$2:$A$2001,'Daily tracking'!$D$2:$D$2001,$A406)))</f>
        <v/>
      </c>
      <c r="F406" s="6" t="str">
        <f aca="true">IF(OR($A406="",$E406=""),"",TODAY()-$E406)</f>
        <v/>
      </c>
      <c r="G406" s="3" t="str">
        <f aca="false">IF($A406="","",IF($C406=0,"No visits",IF($F406&gt;90,"Lapsed",IF($F406&gt;35,"At risk",IF($C406&gt;=4,"Loyal","Active")))))</f>
        <v/>
      </c>
      <c r="H406" s="9" t="str">
        <f aca="false">IF(OR($A406="",$C406=0),"",$D406/$C406)</f>
        <v/>
      </c>
      <c r="I406" s="20"/>
      <c r="J406" s="20"/>
      <c r="K406" s="19"/>
      <c r="L406" s="19"/>
      <c r="M406" s="19"/>
      <c r="N406" s="15" t="str">
        <f aca="false">IF($A406="","",IF($C406=0,0,(IF($F406&lt;=15,5,IF($F406&lt;=30,4,IF($F406&lt;=45,3,IF($F406&lt;=90,2,1))))+IF($C406&gt;=10,5,IF($C406&gt;=6,4,IF($C406&gt;=4,3,IF($C406&gt;=2,2,1))))+IF($D406&gt;=20000,5,IF($D406&gt;=10000,4,IF($D406&gt;=5000,3,IF($D406&gt;=2000,2,1)))))))</f>
        <v/>
      </c>
      <c r="O406" s="3" t="str">
        <f aca="false">IF($A406="","",IF($C406=0,"No visits",IF($N406&gt;=13,"VIP",IF($N406&gt;=10,"High value",IF($N406&gt;=7,"Regular",IF($N406&gt;=4,"Occasional","Low"))))))</f>
        <v/>
      </c>
      <c r="P406" s="6" t="str">
        <f aca="true">IF(OR($A406="",$I406=""),"",IF(MONTH($I406)=MONTH(TODAY()),"Yes",""))</f>
        <v/>
      </c>
      <c r="Q406" s="21" t="str">
        <f aca="false">IF($A406="","",IF($C406=0,"",_xlfn.MINIFS('Daily tracking'!$A$2:$A$2001,'Daily tracking'!$D$2:$D$2001,$A406)))</f>
        <v/>
      </c>
      <c r="R406" s="6" t="str">
        <f aca="false">IF(OR($A406="",$C406&lt;2),"",($E406-$Q406)/($C406-1))</f>
        <v/>
      </c>
    </row>
    <row r="407" customFormat="false" ht="14.25" hidden="false" customHeight="false" outlineLevel="0" collapsed="false">
      <c r="A407" s="19"/>
      <c r="B407" s="19"/>
      <c r="C407" s="15" t="str">
        <f aca="false">IF($A407="","",COUNTIF('Daily tracking'!$D$2:$D$2001,$A407))</f>
        <v/>
      </c>
      <c r="D407" s="16" t="str">
        <f aca="false">IF($A407="","",SUMIF('Daily tracking'!$D$2:$D$2001,$A407,'Daily tracking'!$G$2:$G$2001))</f>
        <v/>
      </c>
      <c r="E407" s="18" t="str">
        <f aca="false">IF($A407="","",IF($C407=0,"",_xlfn.MAXIFS('Daily tracking'!$A$2:$A$2001,'Daily tracking'!$D$2:$D$2001,$A407)))</f>
        <v/>
      </c>
      <c r="F407" s="6" t="str">
        <f aca="true">IF(OR($A407="",$E407=""),"",TODAY()-$E407)</f>
        <v/>
      </c>
      <c r="G407" s="3" t="str">
        <f aca="false">IF($A407="","",IF($C407=0,"No visits",IF($F407&gt;90,"Lapsed",IF($F407&gt;35,"At risk",IF($C407&gt;=4,"Loyal","Active")))))</f>
        <v/>
      </c>
      <c r="H407" s="9" t="str">
        <f aca="false">IF(OR($A407="",$C407=0),"",$D407/$C407)</f>
        <v/>
      </c>
      <c r="I407" s="20"/>
      <c r="J407" s="20"/>
      <c r="K407" s="19"/>
      <c r="L407" s="19"/>
      <c r="M407" s="19"/>
      <c r="N407" s="15" t="str">
        <f aca="false">IF($A407="","",IF($C407=0,0,(IF($F407&lt;=15,5,IF($F407&lt;=30,4,IF($F407&lt;=45,3,IF($F407&lt;=90,2,1))))+IF($C407&gt;=10,5,IF($C407&gt;=6,4,IF($C407&gt;=4,3,IF($C407&gt;=2,2,1))))+IF($D407&gt;=20000,5,IF($D407&gt;=10000,4,IF($D407&gt;=5000,3,IF($D407&gt;=2000,2,1)))))))</f>
        <v/>
      </c>
      <c r="O407" s="3" t="str">
        <f aca="false">IF($A407="","",IF($C407=0,"No visits",IF($N407&gt;=13,"VIP",IF($N407&gt;=10,"High value",IF($N407&gt;=7,"Regular",IF($N407&gt;=4,"Occasional","Low"))))))</f>
        <v/>
      </c>
      <c r="P407" s="6" t="str">
        <f aca="true">IF(OR($A407="",$I407=""),"",IF(MONTH($I407)=MONTH(TODAY()),"Yes",""))</f>
        <v/>
      </c>
      <c r="Q407" s="21" t="str">
        <f aca="false">IF($A407="","",IF($C407=0,"",_xlfn.MINIFS('Daily tracking'!$A$2:$A$2001,'Daily tracking'!$D$2:$D$2001,$A407)))</f>
        <v/>
      </c>
      <c r="R407" s="6" t="str">
        <f aca="false">IF(OR($A407="",$C407&lt;2),"",($E407-$Q407)/($C407-1))</f>
        <v/>
      </c>
    </row>
    <row r="408" customFormat="false" ht="14.25" hidden="false" customHeight="false" outlineLevel="0" collapsed="false">
      <c r="A408" s="19"/>
      <c r="B408" s="19"/>
      <c r="C408" s="15" t="str">
        <f aca="false">IF($A408="","",COUNTIF('Daily tracking'!$D$2:$D$2001,$A408))</f>
        <v/>
      </c>
      <c r="D408" s="16" t="str">
        <f aca="false">IF($A408="","",SUMIF('Daily tracking'!$D$2:$D$2001,$A408,'Daily tracking'!$G$2:$G$2001))</f>
        <v/>
      </c>
      <c r="E408" s="18" t="str">
        <f aca="false">IF($A408="","",IF($C408=0,"",_xlfn.MAXIFS('Daily tracking'!$A$2:$A$2001,'Daily tracking'!$D$2:$D$2001,$A408)))</f>
        <v/>
      </c>
      <c r="F408" s="6" t="str">
        <f aca="true">IF(OR($A408="",$E408=""),"",TODAY()-$E408)</f>
        <v/>
      </c>
      <c r="G408" s="3" t="str">
        <f aca="false">IF($A408="","",IF($C408=0,"No visits",IF($F408&gt;90,"Lapsed",IF($F408&gt;35,"At risk",IF($C408&gt;=4,"Loyal","Active")))))</f>
        <v/>
      </c>
      <c r="H408" s="9" t="str">
        <f aca="false">IF(OR($A408="",$C408=0),"",$D408/$C408)</f>
        <v/>
      </c>
      <c r="I408" s="20"/>
      <c r="J408" s="20"/>
      <c r="K408" s="19"/>
      <c r="L408" s="19"/>
      <c r="M408" s="19"/>
      <c r="N408" s="15" t="str">
        <f aca="false">IF($A408="","",IF($C408=0,0,(IF($F408&lt;=15,5,IF($F408&lt;=30,4,IF($F408&lt;=45,3,IF($F408&lt;=90,2,1))))+IF($C408&gt;=10,5,IF($C408&gt;=6,4,IF($C408&gt;=4,3,IF($C408&gt;=2,2,1))))+IF($D408&gt;=20000,5,IF($D408&gt;=10000,4,IF($D408&gt;=5000,3,IF($D408&gt;=2000,2,1)))))))</f>
        <v/>
      </c>
      <c r="O408" s="3" t="str">
        <f aca="false">IF($A408="","",IF($C408=0,"No visits",IF($N408&gt;=13,"VIP",IF($N408&gt;=10,"High value",IF($N408&gt;=7,"Regular",IF($N408&gt;=4,"Occasional","Low"))))))</f>
        <v/>
      </c>
      <c r="P408" s="6" t="str">
        <f aca="true">IF(OR($A408="",$I408=""),"",IF(MONTH($I408)=MONTH(TODAY()),"Yes",""))</f>
        <v/>
      </c>
      <c r="Q408" s="21" t="str">
        <f aca="false">IF($A408="","",IF($C408=0,"",_xlfn.MINIFS('Daily tracking'!$A$2:$A$2001,'Daily tracking'!$D$2:$D$2001,$A408)))</f>
        <v/>
      </c>
      <c r="R408" s="6" t="str">
        <f aca="false">IF(OR($A408="",$C408&lt;2),"",($E408-$Q408)/($C408-1))</f>
        <v/>
      </c>
    </row>
    <row r="409" customFormat="false" ht="14.25" hidden="false" customHeight="false" outlineLevel="0" collapsed="false">
      <c r="A409" s="19"/>
      <c r="B409" s="19"/>
      <c r="C409" s="15" t="str">
        <f aca="false">IF($A409="","",COUNTIF('Daily tracking'!$D$2:$D$2001,$A409))</f>
        <v/>
      </c>
      <c r="D409" s="16" t="str">
        <f aca="false">IF($A409="","",SUMIF('Daily tracking'!$D$2:$D$2001,$A409,'Daily tracking'!$G$2:$G$2001))</f>
        <v/>
      </c>
      <c r="E409" s="18" t="str">
        <f aca="false">IF($A409="","",IF($C409=0,"",_xlfn.MAXIFS('Daily tracking'!$A$2:$A$2001,'Daily tracking'!$D$2:$D$2001,$A409)))</f>
        <v/>
      </c>
      <c r="F409" s="6" t="str">
        <f aca="true">IF(OR($A409="",$E409=""),"",TODAY()-$E409)</f>
        <v/>
      </c>
      <c r="G409" s="3" t="str">
        <f aca="false">IF($A409="","",IF($C409=0,"No visits",IF($F409&gt;90,"Lapsed",IF($F409&gt;35,"At risk",IF($C409&gt;=4,"Loyal","Active")))))</f>
        <v/>
      </c>
      <c r="H409" s="9" t="str">
        <f aca="false">IF(OR($A409="",$C409=0),"",$D409/$C409)</f>
        <v/>
      </c>
      <c r="I409" s="20"/>
      <c r="J409" s="20"/>
      <c r="K409" s="19"/>
      <c r="L409" s="19"/>
      <c r="M409" s="19"/>
      <c r="N409" s="15" t="str">
        <f aca="false">IF($A409="","",IF($C409=0,0,(IF($F409&lt;=15,5,IF($F409&lt;=30,4,IF($F409&lt;=45,3,IF($F409&lt;=90,2,1))))+IF($C409&gt;=10,5,IF($C409&gt;=6,4,IF($C409&gt;=4,3,IF($C409&gt;=2,2,1))))+IF($D409&gt;=20000,5,IF($D409&gt;=10000,4,IF($D409&gt;=5000,3,IF($D409&gt;=2000,2,1)))))))</f>
        <v/>
      </c>
      <c r="O409" s="3" t="str">
        <f aca="false">IF($A409="","",IF($C409=0,"No visits",IF($N409&gt;=13,"VIP",IF($N409&gt;=10,"High value",IF($N409&gt;=7,"Regular",IF($N409&gt;=4,"Occasional","Low"))))))</f>
        <v/>
      </c>
      <c r="P409" s="6" t="str">
        <f aca="true">IF(OR($A409="",$I409=""),"",IF(MONTH($I409)=MONTH(TODAY()),"Yes",""))</f>
        <v/>
      </c>
      <c r="Q409" s="21" t="str">
        <f aca="false">IF($A409="","",IF($C409=0,"",_xlfn.MINIFS('Daily tracking'!$A$2:$A$2001,'Daily tracking'!$D$2:$D$2001,$A409)))</f>
        <v/>
      </c>
      <c r="R409" s="6" t="str">
        <f aca="false">IF(OR($A409="",$C409&lt;2),"",($E409-$Q409)/($C409-1))</f>
        <v/>
      </c>
    </row>
    <row r="410" customFormat="false" ht="14.25" hidden="false" customHeight="false" outlineLevel="0" collapsed="false">
      <c r="A410" s="19"/>
      <c r="B410" s="19"/>
      <c r="C410" s="15" t="str">
        <f aca="false">IF($A410="","",COUNTIF('Daily tracking'!$D$2:$D$2001,$A410))</f>
        <v/>
      </c>
      <c r="D410" s="16" t="str">
        <f aca="false">IF($A410="","",SUMIF('Daily tracking'!$D$2:$D$2001,$A410,'Daily tracking'!$G$2:$G$2001))</f>
        <v/>
      </c>
      <c r="E410" s="18" t="str">
        <f aca="false">IF($A410="","",IF($C410=0,"",_xlfn.MAXIFS('Daily tracking'!$A$2:$A$2001,'Daily tracking'!$D$2:$D$2001,$A410)))</f>
        <v/>
      </c>
      <c r="F410" s="6" t="str">
        <f aca="true">IF(OR($A410="",$E410=""),"",TODAY()-$E410)</f>
        <v/>
      </c>
      <c r="G410" s="3" t="str">
        <f aca="false">IF($A410="","",IF($C410=0,"No visits",IF($F410&gt;90,"Lapsed",IF($F410&gt;35,"At risk",IF($C410&gt;=4,"Loyal","Active")))))</f>
        <v/>
      </c>
      <c r="H410" s="9" t="str">
        <f aca="false">IF(OR($A410="",$C410=0),"",$D410/$C410)</f>
        <v/>
      </c>
      <c r="I410" s="20"/>
      <c r="J410" s="20"/>
      <c r="K410" s="19"/>
      <c r="L410" s="19"/>
      <c r="M410" s="19"/>
      <c r="N410" s="15" t="str">
        <f aca="false">IF($A410="","",IF($C410=0,0,(IF($F410&lt;=15,5,IF($F410&lt;=30,4,IF($F410&lt;=45,3,IF($F410&lt;=90,2,1))))+IF($C410&gt;=10,5,IF($C410&gt;=6,4,IF($C410&gt;=4,3,IF($C410&gt;=2,2,1))))+IF($D410&gt;=20000,5,IF($D410&gt;=10000,4,IF($D410&gt;=5000,3,IF($D410&gt;=2000,2,1)))))))</f>
        <v/>
      </c>
      <c r="O410" s="3" t="str">
        <f aca="false">IF($A410="","",IF($C410=0,"No visits",IF($N410&gt;=13,"VIP",IF($N410&gt;=10,"High value",IF($N410&gt;=7,"Regular",IF($N410&gt;=4,"Occasional","Low"))))))</f>
        <v/>
      </c>
      <c r="P410" s="6" t="str">
        <f aca="true">IF(OR($A410="",$I410=""),"",IF(MONTH($I410)=MONTH(TODAY()),"Yes",""))</f>
        <v/>
      </c>
      <c r="Q410" s="21" t="str">
        <f aca="false">IF($A410="","",IF($C410=0,"",_xlfn.MINIFS('Daily tracking'!$A$2:$A$2001,'Daily tracking'!$D$2:$D$2001,$A410)))</f>
        <v/>
      </c>
      <c r="R410" s="6" t="str">
        <f aca="false">IF(OR($A410="",$C410&lt;2),"",($E410-$Q410)/($C410-1))</f>
        <v/>
      </c>
    </row>
    <row r="411" customFormat="false" ht="14.25" hidden="false" customHeight="false" outlineLevel="0" collapsed="false">
      <c r="A411" s="19"/>
      <c r="B411" s="19"/>
      <c r="C411" s="15" t="str">
        <f aca="false">IF($A411="","",COUNTIF('Daily tracking'!$D$2:$D$2001,$A411))</f>
        <v/>
      </c>
      <c r="D411" s="16" t="str">
        <f aca="false">IF($A411="","",SUMIF('Daily tracking'!$D$2:$D$2001,$A411,'Daily tracking'!$G$2:$G$2001))</f>
        <v/>
      </c>
      <c r="E411" s="18" t="str">
        <f aca="false">IF($A411="","",IF($C411=0,"",_xlfn.MAXIFS('Daily tracking'!$A$2:$A$2001,'Daily tracking'!$D$2:$D$2001,$A411)))</f>
        <v/>
      </c>
      <c r="F411" s="6" t="str">
        <f aca="true">IF(OR($A411="",$E411=""),"",TODAY()-$E411)</f>
        <v/>
      </c>
      <c r="G411" s="3" t="str">
        <f aca="false">IF($A411="","",IF($C411=0,"No visits",IF($F411&gt;90,"Lapsed",IF($F411&gt;35,"At risk",IF($C411&gt;=4,"Loyal","Active")))))</f>
        <v/>
      </c>
      <c r="H411" s="9" t="str">
        <f aca="false">IF(OR($A411="",$C411=0),"",$D411/$C411)</f>
        <v/>
      </c>
      <c r="I411" s="20"/>
      <c r="J411" s="20"/>
      <c r="K411" s="19"/>
      <c r="L411" s="19"/>
      <c r="M411" s="19"/>
      <c r="N411" s="15" t="str">
        <f aca="false">IF($A411="","",IF($C411=0,0,(IF($F411&lt;=15,5,IF($F411&lt;=30,4,IF($F411&lt;=45,3,IF($F411&lt;=90,2,1))))+IF($C411&gt;=10,5,IF($C411&gt;=6,4,IF($C411&gt;=4,3,IF($C411&gt;=2,2,1))))+IF($D411&gt;=20000,5,IF($D411&gt;=10000,4,IF($D411&gt;=5000,3,IF($D411&gt;=2000,2,1)))))))</f>
        <v/>
      </c>
      <c r="O411" s="3" t="str">
        <f aca="false">IF($A411="","",IF($C411=0,"No visits",IF($N411&gt;=13,"VIP",IF($N411&gt;=10,"High value",IF($N411&gt;=7,"Regular",IF($N411&gt;=4,"Occasional","Low"))))))</f>
        <v/>
      </c>
      <c r="P411" s="6" t="str">
        <f aca="true">IF(OR($A411="",$I411=""),"",IF(MONTH($I411)=MONTH(TODAY()),"Yes",""))</f>
        <v/>
      </c>
      <c r="Q411" s="21" t="str">
        <f aca="false">IF($A411="","",IF($C411=0,"",_xlfn.MINIFS('Daily tracking'!$A$2:$A$2001,'Daily tracking'!$D$2:$D$2001,$A411)))</f>
        <v/>
      </c>
      <c r="R411" s="6" t="str">
        <f aca="false">IF(OR($A411="",$C411&lt;2),"",($E411-$Q411)/($C411-1))</f>
        <v/>
      </c>
    </row>
    <row r="412" customFormat="false" ht="14.25" hidden="false" customHeight="false" outlineLevel="0" collapsed="false">
      <c r="A412" s="19"/>
      <c r="B412" s="19"/>
      <c r="C412" s="15" t="str">
        <f aca="false">IF($A412="","",COUNTIF('Daily tracking'!$D$2:$D$2001,$A412))</f>
        <v/>
      </c>
      <c r="D412" s="16" t="str">
        <f aca="false">IF($A412="","",SUMIF('Daily tracking'!$D$2:$D$2001,$A412,'Daily tracking'!$G$2:$G$2001))</f>
        <v/>
      </c>
      <c r="E412" s="18" t="str">
        <f aca="false">IF($A412="","",IF($C412=0,"",_xlfn.MAXIFS('Daily tracking'!$A$2:$A$2001,'Daily tracking'!$D$2:$D$2001,$A412)))</f>
        <v/>
      </c>
      <c r="F412" s="6" t="str">
        <f aca="true">IF(OR($A412="",$E412=""),"",TODAY()-$E412)</f>
        <v/>
      </c>
      <c r="G412" s="3" t="str">
        <f aca="false">IF($A412="","",IF($C412=0,"No visits",IF($F412&gt;90,"Lapsed",IF($F412&gt;35,"At risk",IF($C412&gt;=4,"Loyal","Active")))))</f>
        <v/>
      </c>
      <c r="H412" s="9" t="str">
        <f aca="false">IF(OR($A412="",$C412=0),"",$D412/$C412)</f>
        <v/>
      </c>
      <c r="I412" s="20"/>
      <c r="J412" s="20"/>
      <c r="K412" s="19"/>
      <c r="L412" s="19"/>
      <c r="M412" s="19"/>
      <c r="N412" s="15" t="str">
        <f aca="false">IF($A412="","",IF($C412=0,0,(IF($F412&lt;=15,5,IF($F412&lt;=30,4,IF($F412&lt;=45,3,IF($F412&lt;=90,2,1))))+IF($C412&gt;=10,5,IF($C412&gt;=6,4,IF($C412&gt;=4,3,IF($C412&gt;=2,2,1))))+IF($D412&gt;=20000,5,IF($D412&gt;=10000,4,IF($D412&gt;=5000,3,IF($D412&gt;=2000,2,1)))))))</f>
        <v/>
      </c>
      <c r="O412" s="3" t="str">
        <f aca="false">IF($A412="","",IF($C412=0,"No visits",IF($N412&gt;=13,"VIP",IF($N412&gt;=10,"High value",IF($N412&gt;=7,"Regular",IF($N412&gt;=4,"Occasional","Low"))))))</f>
        <v/>
      </c>
      <c r="P412" s="6" t="str">
        <f aca="true">IF(OR($A412="",$I412=""),"",IF(MONTH($I412)=MONTH(TODAY()),"Yes",""))</f>
        <v/>
      </c>
      <c r="Q412" s="21" t="str">
        <f aca="false">IF($A412="","",IF($C412=0,"",_xlfn.MINIFS('Daily tracking'!$A$2:$A$2001,'Daily tracking'!$D$2:$D$2001,$A412)))</f>
        <v/>
      </c>
      <c r="R412" s="6" t="str">
        <f aca="false">IF(OR($A412="",$C412&lt;2),"",($E412-$Q412)/($C412-1))</f>
        <v/>
      </c>
    </row>
    <row r="413" customFormat="false" ht="14.25" hidden="false" customHeight="false" outlineLevel="0" collapsed="false">
      <c r="A413" s="19"/>
      <c r="B413" s="19"/>
      <c r="C413" s="15" t="str">
        <f aca="false">IF($A413="","",COUNTIF('Daily tracking'!$D$2:$D$2001,$A413))</f>
        <v/>
      </c>
      <c r="D413" s="16" t="str">
        <f aca="false">IF($A413="","",SUMIF('Daily tracking'!$D$2:$D$2001,$A413,'Daily tracking'!$G$2:$G$2001))</f>
        <v/>
      </c>
      <c r="E413" s="18" t="str">
        <f aca="false">IF($A413="","",IF($C413=0,"",_xlfn.MAXIFS('Daily tracking'!$A$2:$A$2001,'Daily tracking'!$D$2:$D$2001,$A413)))</f>
        <v/>
      </c>
      <c r="F413" s="6" t="str">
        <f aca="true">IF(OR($A413="",$E413=""),"",TODAY()-$E413)</f>
        <v/>
      </c>
      <c r="G413" s="3" t="str">
        <f aca="false">IF($A413="","",IF($C413=0,"No visits",IF($F413&gt;90,"Lapsed",IF($F413&gt;35,"At risk",IF($C413&gt;=4,"Loyal","Active")))))</f>
        <v/>
      </c>
      <c r="H413" s="9" t="str">
        <f aca="false">IF(OR($A413="",$C413=0),"",$D413/$C413)</f>
        <v/>
      </c>
      <c r="I413" s="20"/>
      <c r="J413" s="20"/>
      <c r="K413" s="19"/>
      <c r="L413" s="19"/>
      <c r="M413" s="19"/>
      <c r="N413" s="15" t="str">
        <f aca="false">IF($A413="","",IF($C413=0,0,(IF($F413&lt;=15,5,IF($F413&lt;=30,4,IF($F413&lt;=45,3,IF($F413&lt;=90,2,1))))+IF($C413&gt;=10,5,IF($C413&gt;=6,4,IF($C413&gt;=4,3,IF($C413&gt;=2,2,1))))+IF($D413&gt;=20000,5,IF($D413&gt;=10000,4,IF($D413&gt;=5000,3,IF($D413&gt;=2000,2,1)))))))</f>
        <v/>
      </c>
      <c r="O413" s="3" t="str">
        <f aca="false">IF($A413="","",IF($C413=0,"No visits",IF($N413&gt;=13,"VIP",IF($N413&gt;=10,"High value",IF($N413&gt;=7,"Regular",IF($N413&gt;=4,"Occasional","Low"))))))</f>
        <v/>
      </c>
      <c r="P413" s="6" t="str">
        <f aca="true">IF(OR($A413="",$I413=""),"",IF(MONTH($I413)=MONTH(TODAY()),"Yes",""))</f>
        <v/>
      </c>
      <c r="Q413" s="21" t="str">
        <f aca="false">IF($A413="","",IF($C413=0,"",_xlfn.MINIFS('Daily tracking'!$A$2:$A$2001,'Daily tracking'!$D$2:$D$2001,$A413)))</f>
        <v/>
      </c>
      <c r="R413" s="6" t="str">
        <f aca="false">IF(OR($A413="",$C413&lt;2),"",($E413-$Q413)/($C413-1))</f>
        <v/>
      </c>
    </row>
    <row r="414" customFormat="false" ht="14.25" hidden="false" customHeight="false" outlineLevel="0" collapsed="false">
      <c r="A414" s="19"/>
      <c r="B414" s="19"/>
      <c r="C414" s="15" t="str">
        <f aca="false">IF($A414="","",COUNTIF('Daily tracking'!$D$2:$D$2001,$A414))</f>
        <v/>
      </c>
      <c r="D414" s="16" t="str">
        <f aca="false">IF($A414="","",SUMIF('Daily tracking'!$D$2:$D$2001,$A414,'Daily tracking'!$G$2:$G$2001))</f>
        <v/>
      </c>
      <c r="E414" s="18" t="str">
        <f aca="false">IF($A414="","",IF($C414=0,"",_xlfn.MAXIFS('Daily tracking'!$A$2:$A$2001,'Daily tracking'!$D$2:$D$2001,$A414)))</f>
        <v/>
      </c>
      <c r="F414" s="6" t="str">
        <f aca="true">IF(OR($A414="",$E414=""),"",TODAY()-$E414)</f>
        <v/>
      </c>
      <c r="G414" s="3" t="str">
        <f aca="false">IF($A414="","",IF($C414=0,"No visits",IF($F414&gt;90,"Lapsed",IF($F414&gt;35,"At risk",IF($C414&gt;=4,"Loyal","Active")))))</f>
        <v/>
      </c>
      <c r="H414" s="9" t="str">
        <f aca="false">IF(OR($A414="",$C414=0),"",$D414/$C414)</f>
        <v/>
      </c>
      <c r="I414" s="20"/>
      <c r="J414" s="20"/>
      <c r="K414" s="19"/>
      <c r="L414" s="19"/>
      <c r="M414" s="19"/>
      <c r="N414" s="15" t="str">
        <f aca="false">IF($A414="","",IF($C414=0,0,(IF($F414&lt;=15,5,IF($F414&lt;=30,4,IF($F414&lt;=45,3,IF($F414&lt;=90,2,1))))+IF($C414&gt;=10,5,IF($C414&gt;=6,4,IF($C414&gt;=4,3,IF($C414&gt;=2,2,1))))+IF($D414&gt;=20000,5,IF($D414&gt;=10000,4,IF($D414&gt;=5000,3,IF($D414&gt;=2000,2,1)))))))</f>
        <v/>
      </c>
      <c r="O414" s="3" t="str">
        <f aca="false">IF($A414="","",IF($C414=0,"No visits",IF($N414&gt;=13,"VIP",IF($N414&gt;=10,"High value",IF($N414&gt;=7,"Regular",IF($N414&gt;=4,"Occasional","Low"))))))</f>
        <v/>
      </c>
      <c r="P414" s="6" t="str">
        <f aca="true">IF(OR($A414="",$I414=""),"",IF(MONTH($I414)=MONTH(TODAY()),"Yes",""))</f>
        <v/>
      </c>
      <c r="Q414" s="21" t="str">
        <f aca="false">IF($A414="","",IF($C414=0,"",_xlfn.MINIFS('Daily tracking'!$A$2:$A$2001,'Daily tracking'!$D$2:$D$2001,$A414)))</f>
        <v/>
      </c>
      <c r="R414" s="6" t="str">
        <f aca="false">IF(OR($A414="",$C414&lt;2),"",($E414-$Q414)/($C414-1))</f>
        <v/>
      </c>
    </row>
    <row r="415" customFormat="false" ht="14.25" hidden="false" customHeight="false" outlineLevel="0" collapsed="false">
      <c r="A415" s="19"/>
      <c r="B415" s="19"/>
      <c r="C415" s="15" t="str">
        <f aca="false">IF($A415="","",COUNTIF('Daily tracking'!$D$2:$D$2001,$A415))</f>
        <v/>
      </c>
      <c r="D415" s="16" t="str">
        <f aca="false">IF($A415="","",SUMIF('Daily tracking'!$D$2:$D$2001,$A415,'Daily tracking'!$G$2:$G$2001))</f>
        <v/>
      </c>
      <c r="E415" s="18" t="str">
        <f aca="false">IF($A415="","",IF($C415=0,"",_xlfn.MAXIFS('Daily tracking'!$A$2:$A$2001,'Daily tracking'!$D$2:$D$2001,$A415)))</f>
        <v/>
      </c>
      <c r="F415" s="6" t="str">
        <f aca="true">IF(OR($A415="",$E415=""),"",TODAY()-$E415)</f>
        <v/>
      </c>
      <c r="G415" s="3" t="str">
        <f aca="false">IF($A415="","",IF($C415=0,"No visits",IF($F415&gt;90,"Lapsed",IF($F415&gt;35,"At risk",IF($C415&gt;=4,"Loyal","Active")))))</f>
        <v/>
      </c>
      <c r="H415" s="9" t="str">
        <f aca="false">IF(OR($A415="",$C415=0),"",$D415/$C415)</f>
        <v/>
      </c>
      <c r="I415" s="20"/>
      <c r="J415" s="20"/>
      <c r="K415" s="19"/>
      <c r="L415" s="19"/>
      <c r="M415" s="19"/>
      <c r="N415" s="15" t="str">
        <f aca="false">IF($A415="","",IF($C415=0,0,(IF($F415&lt;=15,5,IF($F415&lt;=30,4,IF($F415&lt;=45,3,IF($F415&lt;=90,2,1))))+IF($C415&gt;=10,5,IF($C415&gt;=6,4,IF($C415&gt;=4,3,IF($C415&gt;=2,2,1))))+IF($D415&gt;=20000,5,IF($D415&gt;=10000,4,IF($D415&gt;=5000,3,IF($D415&gt;=2000,2,1)))))))</f>
        <v/>
      </c>
      <c r="O415" s="3" t="str">
        <f aca="false">IF($A415="","",IF($C415=0,"No visits",IF($N415&gt;=13,"VIP",IF($N415&gt;=10,"High value",IF($N415&gt;=7,"Regular",IF($N415&gt;=4,"Occasional","Low"))))))</f>
        <v/>
      </c>
      <c r="P415" s="6" t="str">
        <f aca="true">IF(OR($A415="",$I415=""),"",IF(MONTH($I415)=MONTH(TODAY()),"Yes",""))</f>
        <v/>
      </c>
      <c r="Q415" s="21" t="str">
        <f aca="false">IF($A415="","",IF($C415=0,"",_xlfn.MINIFS('Daily tracking'!$A$2:$A$2001,'Daily tracking'!$D$2:$D$2001,$A415)))</f>
        <v/>
      </c>
      <c r="R415" s="6" t="str">
        <f aca="false">IF(OR($A415="",$C415&lt;2),"",($E415-$Q415)/($C415-1))</f>
        <v/>
      </c>
    </row>
    <row r="416" customFormat="false" ht="14.25" hidden="false" customHeight="false" outlineLevel="0" collapsed="false">
      <c r="A416" s="19"/>
      <c r="B416" s="19"/>
      <c r="C416" s="15" t="str">
        <f aca="false">IF($A416="","",COUNTIF('Daily tracking'!$D$2:$D$2001,$A416))</f>
        <v/>
      </c>
      <c r="D416" s="16" t="str">
        <f aca="false">IF($A416="","",SUMIF('Daily tracking'!$D$2:$D$2001,$A416,'Daily tracking'!$G$2:$G$2001))</f>
        <v/>
      </c>
      <c r="E416" s="18" t="str">
        <f aca="false">IF($A416="","",IF($C416=0,"",_xlfn.MAXIFS('Daily tracking'!$A$2:$A$2001,'Daily tracking'!$D$2:$D$2001,$A416)))</f>
        <v/>
      </c>
      <c r="F416" s="6" t="str">
        <f aca="true">IF(OR($A416="",$E416=""),"",TODAY()-$E416)</f>
        <v/>
      </c>
      <c r="G416" s="3" t="str">
        <f aca="false">IF($A416="","",IF($C416=0,"No visits",IF($F416&gt;90,"Lapsed",IF($F416&gt;35,"At risk",IF($C416&gt;=4,"Loyal","Active")))))</f>
        <v/>
      </c>
      <c r="H416" s="9" t="str">
        <f aca="false">IF(OR($A416="",$C416=0),"",$D416/$C416)</f>
        <v/>
      </c>
      <c r="I416" s="20"/>
      <c r="J416" s="20"/>
      <c r="K416" s="19"/>
      <c r="L416" s="19"/>
      <c r="M416" s="19"/>
      <c r="N416" s="15" t="str">
        <f aca="false">IF($A416="","",IF($C416=0,0,(IF($F416&lt;=15,5,IF($F416&lt;=30,4,IF($F416&lt;=45,3,IF($F416&lt;=90,2,1))))+IF($C416&gt;=10,5,IF($C416&gt;=6,4,IF($C416&gt;=4,3,IF($C416&gt;=2,2,1))))+IF($D416&gt;=20000,5,IF($D416&gt;=10000,4,IF($D416&gt;=5000,3,IF($D416&gt;=2000,2,1)))))))</f>
        <v/>
      </c>
      <c r="O416" s="3" t="str">
        <f aca="false">IF($A416="","",IF($C416=0,"No visits",IF($N416&gt;=13,"VIP",IF($N416&gt;=10,"High value",IF($N416&gt;=7,"Regular",IF($N416&gt;=4,"Occasional","Low"))))))</f>
        <v/>
      </c>
      <c r="P416" s="6" t="str">
        <f aca="true">IF(OR($A416="",$I416=""),"",IF(MONTH($I416)=MONTH(TODAY()),"Yes",""))</f>
        <v/>
      </c>
      <c r="Q416" s="21" t="str">
        <f aca="false">IF($A416="","",IF($C416=0,"",_xlfn.MINIFS('Daily tracking'!$A$2:$A$2001,'Daily tracking'!$D$2:$D$2001,$A416)))</f>
        <v/>
      </c>
      <c r="R416" s="6" t="str">
        <f aca="false">IF(OR($A416="",$C416&lt;2),"",($E416-$Q416)/($C416-1))</f>
        <v/>
      </c>
    </row>
    <row r="417" customFormat="false" ht="14.25" hidden="false" customHeight="false" outlineLevel="0" collapsed="false">
      <c r="A417" s="19"/>
      <c r="B417" s="19"/>
      <c r="C417" s="15" t="str">
        <f aca="false">IF($A417="","",COUNTIF('Daily tracking'!$D$2:$D$2001,$A417))</f>
        <v/>
      </c>
      <c r="D417" s="16" t="str">
        <f aca="false">IF($A417="","",SUMIF('Daily tracking'!$D$2:$D$2001,$A417,'Daily tracking'!$G$2:$G$2001))</f>
        <v/>
      </c>
      <c r="E417" s="18" t="str">
        <f aca="false">IF($A417="","",IF($C417=0,"",_xlfn.MAXIFS('Daily tracking'!$A$2:$A$2001,'Daily tracking'!$D$2:$D$2001,$A417)))</f>
        <v/>
      </c>
      <c r="F417" s="6" t="str">
        <f aca="true">IF(OR($A417="",$E417=""),"",TODAY()-$E417)</f>
        <v/>
      </c>
      <c r="G417" s="3" t="str">
        <f aca="false">IF($A417="","",IF($C417=0,"No visits",IF($F417&gt;90,"Lapsed",IF($F417&gt;35,"At risk",IF($C417&gt;=4,"Loyal","Active")))))</f>
        <v/>
      </c>
      <c r="H417" s="9" t="str">
        <f aca="false">IF(OR($A417="",$C417=0),"",$D417/$C417)</f>
        <v/>
      </c>
      <c r="I417" s="20"/>
      <c r="J417" s="20"/>
      <c r="K417" s="19"/>
      <c r="L417" s="19"/>
      <c r="M417" s="19"/>
      <c r="N417" s="15" t="str">
        <f aca="false">IF($A417="","",IF($C417=0,0,(IF($F417&lt;=15,5,IF($F417&lt;=30,4,IF($F417&lt;=45,3,IF($F417&lt;=90,2,1))))+IF($C417&gt;=10,5,IF($C417&gt;=6,4,IF($C417&gt;=4,3,IF($C417&gt;=2,2,1))))+IF($D417&gt;=20000,5,IF($D417&gt;=10000,4,IF($D417&gt;=5000,3,IF($D417&gt;=2000,2,1)))))))</f>
        <v/>
      </c>
      <c r="O417" s="3" t="str">
        <f aca="false">IF($A417="","",IF($C417=0,"No visits",IF($N417&gt;=13,"VIP",IF($N417&gt;=10,"High value",IF($N417&gt;=7,"Regular",IF($N417&gt;=4,"Occasional","Low"))))))</f>
        <v/>
      </c>
      <c r="P417" s="6" t="str">
        <f aca="true">IF(OR($A417="",$I417=""),"",IF(MONTH($I417)=MONTH(TODAY()),"Yes",""))</f>
        <v/>
      </c>
      <c r="Q417" s="21" t="str">
        <f aca="false">IF($A417="","",IF($C417=0,"",_xlfn.MINIFS('Daily tracking'!$A$2:$A$2001,'Daily tracking'!$D$2:$D$2001,$A417)))</f>
        <v/>
      </c>
      <c r="R417" s="6" t="str">
        <f aca="false">IF(OR($A417="",$C417&lt;2),"",($E417-$Q417)/($C417-1))</f>
        <v/>
      </c>
    </row>
    <row r="418" customFormat="false" ht="14.25" hidden="false" customHeight="false" outlineLevel="0" collapsed="false">
      <c r="A418" s="19"/>
      <c r="B418" s="19"/>
      <c r="C418" s="15" t="str">
        <f aca="false">IF($A418="","",COUNTIF('Daily tracking'!$D$2:$D$2001,$A418))</f>
        <v/>
      </c>
      <c r="D418" s="16" t="str">
        <f aca="false">IF($A418="","",SUMIF('Daily tracking'!$D$2:$D$2001,$A418,'Daily tracking'!$G$2:$G$2001))</f>
        <v/>
      </c>
      <c r="E418" s="18" t="str">
        <f aca="false">IF($A418="","",IF($C418=0,"",_xlfn.MAXIFS('Daily tracking'!$A$2:$A$2001,'Daily tracking'!$D$2:$D$2001,$A418)))</f>
        <v/>
      </c>
      <c r="F418" s="6" t="str">
        <f aca="true">IF(OR($A418="",$E418=""),"",TODAY()-$E418)</f>
        <v/>
      </c>
      <c r="G418" s="3" t="str">
        <f aca="false">IF($A418="","",IF($C418=0,"No visits",IF($F418&gt;90,"Lapsed",IF($F418&gt;35,"At risk",IF($C418&gt;=4,"Loyal","Active")))))</f>
        <v/>
      </c>
      <c r="H418" s="9" t="str">
        <f aca="false">IF(OR($A418="",$C418=0),"",$D418/$C418)</f>
        <v/>
      </c>
      <c r="I418" s="20"/>
      <c r="J418" s="20"/>
      <c r="K418" s="19"/>
      <c r="L418" s="19"/>
      <c r="M418" s="19"/>
      <c r="N418" s="15" t="str">
        <f aca="false">IF($A418="","",IF($C418=0,0,(IF($F418&lt;=15,5,IF($F418&lt;=30,4,IF($F418&lt;=45,3,IF($F418&lt;=90,2,1))))+IF($C418&gt;=10,5,IF($C418&gt;=6,4,IF($C418&gt;=4,3,IF($C418&gt;=2,2,1))))+IF($D418&gt;=20000,5,IF($D418&gt;=10000,4,IF($D418&gt;=5000,3,IF($D418&gt;=2000,2,1)))))))</f>
        <v/>
      </c>
      <c r="O418" s="3" t="str">
        <f aca="false">IF($A418="","",IF($C418=0,"No visits",IF($N418&gt;=13,"VIP",IF($N418&gt;=10,"High value",IF($N418&gt;=7,"Regular",IF($N418&gt;=4,"Occasional","Low"))))))</f>
        <v/>
      </c>
      <c r="P418" s="6" t="str">
        <f aca="true">IF(OR($A418="",$I418=""),"",IF(MONTH($I418)=MONTH(TODAY()),"Yes",""))</f>
        <v/>
      </c>
      <c r="Q418" s="21" t="str">
        <f aca="false">IF($A418="","",IF($C418=0,"",_xlfn.MINIFS('Daily tracking'!$A$2:$A$2001,'Daily tracking'!$D$2:$D$2001,$A418)))</f>
        <v/>
      </c>
      <c r="R418" s="6" t="str">
        <f aca="false">IF(OR($A418="",$C418&lt;2),"",($E418-$Q418)/($C418-1))</f>
        <v/>
      </c>
    </row>
    <row r="419" customFormat="false" ht="14.25" hidden="false" customHeight="false" outlineLevel="0" collapsed="false">
      <c r="A419" s="19"/>
      <c r="B419" s="19"/>
      <c r="C419" s="15" t="str">
        <f aca="false">IF($A419="","",COUNTIF('Daily tracking'!$D$2:$D$2001,$A419))</f>
        <v/>
      </c>
      <c r="D419" s="16" t="str">
        <f aca="false">IF($A419="","",SUMIF('Daily tracking'!$D$2:$D$2001,$A419,'Daily tracking'!$G$2:$G$2001))</f>
        <v/>
      </c>
      <c r="E419" s="18" t="str">
        <f aca="false">IF($A419="","",IF($C419=0,"",_xlfn.MAXIFS('Daily tracking'!$A$2:$A$2001,'Daily tracking'!$D$2:$D$2001,$A419)))</f>
        <v/>
      </c>
      <c r="F419" s="6" t="str">
        <f aca="true">IF(OR($A419="",$E419=""),"",TODAY()-$E419)</f>
        <v/>
      </c>
      <c r="G419" s="3" t="str">
        <f aca="false">IF($A419="","",IF($C419=0,"No visits",IF($F419&gt;90,"Lapsed",IF($F419&gt;35,"At risk",IF($C419&gt;=4,"Loyal","Active")))))</f>
        <v/>
      </c>
      <c r="H419" s="9" t="str">
        <f aca="false">IF(OR($A419="",$C419=0),"",$D419/$C419)</f>
        <v/>
      </c>
      <c r="I419" s="20"/>
      <c r="J419" s="20"/>
      <c r="K419" s="19"/>
      <c r="L419" s="19"/>
      <c r="M419" s="19"/>
      <c r="N419" s="15" t="str">
        <f aca="false">IF($A419="","",IF($C419=0,0,(IF($F419&lt;=15,5,IF($F419&lt;=30,4,IF($F419&lt;=45,3,IF($F419&lt;=90,2,1))))+IF($C419&gt;=10,5,IF($C419&gt;=6,4,IF($C419&gt;=4,3,IF($C419&gt;=2,2,1))))+IF($D419&gt;=20000,5,IF($D419&gt;=10000,4,IF($D419&gt;=5000,3,IF($D419&gt;=2000,2,1)))))))</f>
        <v/>
      </c>
      <c r="O419" s="3" t="str">
        <f aca="false">IF($A419="","",IF($C419=0,"No visits",IF($N419&gt;=13,"VIP",IF($N419&gt;=10,"High value",IF($N419&gt;=7,"Regular",IF($N419&gt;=4,"Occasional","Low"))))))</f>
        <v/>
      </c>
      <c r="P419" s="6" t="str">
        <f aca="true">IF(OR($A419="",$I419=""),"",IF(MONTH($I419)=MONTH(TODAY()),"Yes",""))</f>
        <v/>
      </c>
      <c r="Q419" s="21" t="str">
        <f aca="false">IF($A419="","",IF($C419=0,"",_xlfn.MINIFS('Daily tracking'!$A$2:$A$2001,'Daily tracking'!$D$2:$D$2001,$A419)))</f>
        <v/>
      </c>
      <c r="R419" s="6" t="str">
        <f aca="false">IF(OR($A419="",$C419&lt;2),"",($E419-$Q419)/($C419-1))</f>
        <v/>
      </c>
    </row>
    <row r="420" customFormat="false" ht="14.25" hidden="false" customHeight="false" outlineLevel="0" collapsed="false">
      <c r="A420" s="19"/>
      <c r="B420" s="19"/>
      <c r="C420" s="15" t="str">
        <f aca="false">IF($A420="","",COUNTIF('Daily tracking'!$D$2:$D$2001,$A420))</f>
        <v/>
      </c>
      <c r="D420" s="16" t="str">
        <f aca="false">IF($A420="","",SUMIF('Daily tracking'!$D$2:$D$2001,$A420,'Daily tracking'!$G$2:$G$2001))</f>
        <v/>
      </c>
      <c r="E420" s="18" t="str">
        <f aca="false">IF($A420="","",IF($C420=0,"",_xlfn.MAXIFS('Daily tracking'!$A$2:$A$2001,'Daily tracking'!$D$2:$D$2001,$A420)))</f>
        <v/>
      </c>
      <c r="F420" s="6" t="str">
        <f aca="true">IF(OR($A420="",$E420=""),"",TODAY()-$E420)</f>
        <v/>
      </c>
      <c r="G420" s="3" t="str">
        <f aca="false">IF($A420="","",IF($C420=0,"No visits",IF($F420&gt;90,"Lapsed",IF($F420&gt;35,"At risk",IF($C420&gt;=4,"Loyal","Active")))))</f>
        <v/>
      </c>
      <c r="H420" s="9" t="str">
        <f aca="false">IF(OR($A420="",$C420=0),"",$D420/$C420)</f>
        <v/>
      </c>
      <c r="I420" s="20"/>
      <c r="J420" s="20"/>
      <c r="K420" s="19"/>
      <c r="L420" s="19"/>
      <c r="M420" s="19"/>
      <c r="N420" s="15" t="str">
        <f aca="false">IF($A420="","",IF($C420=0,0,(IF($F420&lt;=15,5,IF($F420&lt;=30,4,IF($F420&lt;=45,3,IF($F420&lt;=90,2,1))))+IF($C420&gt;=10,5,IF($C420&gt;=6,4,IF($C420&gt;=4,3,IF($C420&gt;=2,2,1))))+IF($D420&gt;=20000,5,IF($D420&gt;=10000,4,IF($D420&gt;=5000,3,IF($D420&gt;=2000,2,1)))))))</f>
        <v/>
      </c>
      <c r="O420" s="3" t="str">
        <f aca="false">IF($A420="","",IF($C420=0,"No visits",IF($N420&gt;=13,"VIP",IF($N420&gt;=10,"High value",IF($N420&gt;=7,"Regular",IF($N420&gt;=4,"Occasional","Low"))))))</f>
        <v/>
      </c>
      <c r="P420" s="6" t="str">
        <f aca="true">IF(OR($A420="",$I420=""),"",IF(MONTH($I420)=MONTH(TODAY()),"Yes",""))</f>
        <v/>
      </c>
      <c r="Q420" s="21" t="str">
        <f aca="false">IF($A420="","",IF($C420=0,"",_xlfn.MINIFS('Daily tracking'!$A$2:$A$2001,'Daily tracking'!$D$2:$D$2001,$A420)))</f>
        <v/>
      </c>
      <c r="R420" s="6" t="str">
        <f aca="false">IF(OR($A420="",$C420&lt;2),"",($E420-$Q420)/($C420-1))</f>
        <v/>
      </c>
    </row>
    <row r="421" customFormat="false" ht="14.25" hidden="false" customHeight="false" outlineLevel="0" collapsed="false">
      <c r="A421" s="19"/>
      <c r="B421" s="19"/>
      <c r="C421" s="15" t="str">
        <f aca="false">IF($A421="","",COUNTIF('Daily tracking'!$D$2:$D$2001,$A421))</f>
        <v/>
      </c>
      <c r="D421" s="16" t="str">
        <f aca="false">IF($A421="","",SUMIF('Daily tracking'!$D$2:$D$2001,$A421,'Daily tracking'!$G$2:$G$2001))</f>
        <v/>
      </c>
      <c r="E421" s="18" t="str">
        <f aca="false">IF($A421="","",IF($C421=0,"",_xlfn.MAXIFS('Daily tracking'!$A$2:$A$2001,'Daily tracking'!$D$2:$D$2001,$A421)))</f>
        <v/>
      </c>
      <c r="F421" s="6" t="str">
        <f aca="true">IF(OR($A421="",$E421=""),"",TODAY()-$E421)</f>
        <v/>
      </c>
      <c r="G421" s="3" t="str">
        <f aca="false">IF($A421="","",IF($C421=0,"No visits",IF($F421&gt;90,"Lapsed",IF($F421&gt;35,"At risk",IF($C421&gt;=4,"Loyal","Active")))))</f>
        <v/>
      </c>
      <c r="H421" s="9" t="str">
        <f aca="false">IF(OR($A421="",$C421=0),"",$D421/$C421)</f>
        <v/>
      </c>
      <c r="I421" s="20"/>
      <c r="J421" s="20"/>
      <c r="K421" s="19"/>
      <c r="L421" s="19"/>
      <c r="M421" s="19"/>
      <c r="N421" s="15" t="str">
        <f aca="false">IF($A421="","",IF($C421=0,0,(IF($F421&lt;=15,5,IF($F421&lt;=30,4,IF($F421&lt;=45,3,IF($F421&lt;=90,2,1))))+IF($C421&gt;=10,5,IF($C421&gt;=6,4,IF($C421&gt;=4,3,IF($C421&gt;=2,2,1))))+IF($D421&gt;=20000,5,IF($D421&gt;=10000,4,IF($D421&gt;=5000,3,IF($D421&gt;=2000,2,1)))))))</f>
        <v/>
      </c>
      <c r="O421" s="3" t="str">
        <f aca="false">IF($A421="","",IF($C421=0,"No visits",IF($N421&gt;=13,"VIP",IF($N421&gt;=10,"High value",IF($N421&gt;=7,"Regular",IF($N421&gt;=4,"Occasional","Low"))))))</f>
        <v/>
      </c>
      <c r="P421" s="6" t="str">
        <f aca="true">IF(OR($A421="",$I421=""),"",IF(MONTH($I421)=MONTH(TODAY()),"Yes",""))</f>
        <v/>
      </c>
      <c r="Q421" s="21" t="str">
        <f aca="false">IF($A421="","",IF($C421=0,"",_xlfn.MINIFS('Daily tracking'!$A$2:$A$2001,'Daily tracking'!$D$2:$D$2001,$A421)))</f>
        <v/>
      </c>
      <c r="R421" s="6" t="str">
        <f aca="false">IF(OR($A421="",$C421&lt;2),"",($E421-$Q421)/($C421-1))</f>
        <v/>
      </c>
    </row>
    <row r="422" customFormat="false" ht="14.25" hidden="false" customHeight="false" outlineLevel="0" collapsed="false">
      <c r="A422" s="19"/>
      <c r="B422" s="19"/>
      <c r="C422" s="15" t="str">
        <f aca="false">IF($A422="","",COUNTIF('Daily tracking'!$D$2:$D$2001,$A422))</f>
        <v/>
      </c>
      <c r="D422" s="16" t="str">
        <f aca="false">IF($A422="","",SUMIF('Daily tracking'!$D$2:$D$2001,$A422,'Daily tracking'!$G$2:$G$2001))</f>
        <v/>
      </c>
      <c r="E422" s="18" t="str">
        <f aca="false">IF($A422="","",IF($C422=0,"",_xlfn.MAXIFS('Daily tracking'!$A$2:$A$2001,'Daily tracking'!$D$2:$D$2001,$A422)))</f>
        <v/>
      </c>
      <c r="F422" s="6" t="str">
        <f aca="true">IF(OR($A422="",$E422=""),"",TODAY()-$E422)</f>
        <v/>
      </c>
      <c r="G422" s="3" t="str">
        <f aca="false">IF($A422="","",IF($C422=0,"No visits",IF($F422&gt;90,"Lapsed",IF($F422&gt;35,"At risk",IF($C422&gt;=4,"Loyal","Active")))))</f>
        <v/>
      </c>
      <c r="H422" s="9" t="str">
        <f aca="false">IF(OR($A422="",$C422=0),"",$D422/$C422)</f>
        <v/>
      </c>
      <c r="I422" s="20"/>
      <c r="J422" s="20"/>
      <c r="K422" s="19"/>
      <c r="L422" s="19"/>
      <c r="M422" s="19"/>
      <c r="N422" s="15" t="str">
        <f aca="false">IF($A422="","",IF($C422=0,0,(IF($F422&lt;=15,5,IF($F422&lt;=30,4,IF($F422&lt;=45,3,IF($F422&lt;=90,2,1))))+IF($C422&gt;=10,5,IF($C422&gt;=6,4,IF($C422&gt;=4,3,IF($C422&gt;=2,2,1))))+IF($D422&gt;=20000,5,IF($D422&gt;=10000,4,IF($D422&gt;=5000,3,IF($D422&gt;=2000,2,1)))))))</f>
        <v/>
      </c>
      <c r="O422" s="3" t="str">
        <f aca="false">IF($A422="","",IF($C422=0,"No visits",IF($N422&gt;=13,"VIP",IF($N422&gt;=10,"High value",IF($N422&gt;=7,"Regular",IF($N422&gt;=4,"Occasional","Low"))))))</f>
        <v/>
      </c>
      <c r="P422" s="6" t="str">
        <f aca="true">IF(OR($A422="",$I422=""),"",IF(MONTH($I422)=MONTH(TODAY()),"Yes",""))</f>
        <v/>
      </c>
      <c r="Q422" s="21" t="str">
        <f aca="false">IF($A422="","",IF($C422=0,"",_xlfn.MINIFS('Daily tracking'!$A$2:$A$2001,'Daily tracking'!$D$2:$D$2001,$A422)))</f>
        <v/>
      </c>
      <c r="R422" s="6" t="str">
        <f aca="false">IF(OR($A422="",$C422&lt;2),"",($E422-$Q422)/($C422-1))</f>
        <v/>
      </c>
    </row>
    <row r="423" customFormat="false" ht="14.25" hidden="false" customHeight="false" outlineLevel="0" collapsed="false">
      <c r="A423" s="19"/>
      <c r="B423" s="19"/>
      <c r="C423" s="15" t="str">
        <f aca="false">IF($A423="","",COUNTIF('Daily tracking'!$D$2:$D$2001,$A423))</f>
        <v/>
      </c>
      <c r="D423" s="16" t="str">
        <f aca="false">IF($A423="","",SUMIF('Daily tracking'!$D$2:$D$2001,$A423,'Daily tracking'!$G$2:$G$2001))</f>
        <v/>
      </c>
      <c r="E423" s="18" t="str">
        <f aca="false">IF($A423="","",IF($C423=0,"",_xlfn.MAXIFS('Daily tracking'!$A$2:$A$2001,'Daily tracking'!$D$2:$D$2001,$A423)))</f>
        <v/>
      </c>
      <c r="F423" s="6" t="str">
        <f aca="true">IF(OR($A423="",$E423=""),"",TODAY()-$E423)</f>
        <v/>
      </c>
      <c r="G423" s="3" t="str">
        <f aca="false">IF($A423="","",IF($C423=0,"No visits",IF($F423&gt;90,"Lapsed",IF($F423&gt;35,"At risk",IF($C423&gt;=4,"Loyal","Active")))))</f>
        <v/>
      </c>
      <c r="H423" s="9" t="str">
        <f aca="false">IF(OR($A423="",$C423=0),"",$D423/$C423)</f>
        <v/>
      </c>
      <c r="I423" s="20"/>
      <c r="J423" s="20"/>
      <c r="K423" s="19"/>
      <c r="L423" s="19"/>
      <c r="M423" s="19"/>
      <c r="N423" s="15" t="str">
        <f aca="false">IF($A423="","",IF($C423=0,0,(IF($F423&lt;=15,5,IF($F423&lt;=30,4,IF($F423&lt;=45,3,IF($F423&lt;=90,2,1))))+IF($C423&gt;=10,5,IF($C423&gt;=6,4,IF($C423&gt;=4,3,IF($C423&gt;=2,2,1))))+IF($D423&gt;=20000,5,IF($D423&gt;=10000,4,IF($D423&gt;=5000,3,IF($D423&gt;=2000,2,1)))))))</f>
        <v/>
      </c>
      <c r="O423" s="3" t="str">
        <f aca="false">IF($A423="","",IF($C423=0,"No visits",IF($N423&gt;=13,"VIP",IF($N423&gt;=10,"High value",IF($N423&gt;=7,"Regular",IF($N423&gt;=4,"Occasional","Low"))))))</f>
        <v/>
      </c>
      <c r="P423" s="6" t="str">
        <f aca="true">IF(OR($A423="",$I423=""),"",IF(MONTH($I423)=MONTH(TODAY()),"Yes",""))</f>
        <v/>
      </c>
      <c r="Q423" s="21" t="str">
        <f aca="false">IF($A423="","",IF($C423=0,"",_xlfn.MINIFS('Daily tracking'!$A$2:$A$2001,'Daily tracking'!$D$2:$D$2001,$A423)))</f>
        <v/>
      </c>
      <c r="R423" s="6" t="str">
        <f aca="false">IF(OR($A423="",$C423&lt;2),"",($E423-$Q423)/($C423-1))</f>
        <v/>
      </c>
    </row>
    <row r="424" customFormat="false" ht="14.25" hidden="false" customHeight="false" outlineLevel="0" collapsed="false">
      <c r="A424" s="19"/>
      <c r="B424" s="19"/>
      <c r="C424" s="15" t="str">
        <f aca="false">IF($A424="","",COUNTIF('Daily tracking'!$D$2:$D$2001,$A424))</f>
        <v/>
      </c>
      <c r="D424" s="16" t="str">
        <f aca="false">IF($A424="","",SUMIF('Daily tracking'!$D$2:$D$2001,$A424,'Daily tracking'!$G$2:$G$2001))</f>
        <v/>
      </c>
      <c r="E424" s="18" t="str">
        <f aca="false">IF($A424="","",IF($C424=0,"",_xlfn.MAXIFS('Daily tracking'!$A$2:$A$2001,'Daily tracking'!$D$2:$D$2001,$A424)))</f>
        <v/>
      </c>
      <c r="F424" s="6" t="str">
        <f aca="true">IF(OR($A424="",$E424=""),"",TODAY()-$E424)</f>
        <v/>
      </c>
      <c r="G424" s="3" t="str">
        <f aca="false">IF($A424="","",IF($C424=0,"No visits",IF($F424&gt;90,"Lapsed",IF($F424&gt;35,"At risk",IF($C424&gt;=4,"Loyal","Active")))))</f>
        <v/>
      </c>
      <c r="H424" s="9" t="str">
        <f aca="false">IF(OR($A424="",$C424=0),"",$D424/$C424)</f>
        <v/>
      </c>
      <c r="I424" s="20"/>
      <c r="J424" s="20"/>
      <c r="K424" s="19"/>
      <c r="L424" s="19"/>
      <c r="M424" s="19"/>
      <c r="N424" s="15" t="str">
        <f aca="false">IF($A424="","",IF($C424=0,0,(IF($F424&lt;=15,5,IF($F424&lt;=30,4,IF($F424&lt;=45,3,IF($F424&lt;=90,2,1))))+IF($C424&gt;=10,5,IF($C424&gt;=6,4,IF($C424&gt;=4,3,IF($C424&gt;=2,2,1))))+IF($D424&gt;=20000,5,IF($D424&gt;=10000,4,IF($D424&gt;=5000,3,IF($D424&gt;=2000,2,1)))))))</f>
        <v/>
      </c>
      <c r="O424" s="3" t="str">
        <f aca="false">IF($A424="","",IF($C424=0,"No visits",IF($N424&gt;=13,"VIP",IF($N424&gt;=10,"High value",IF($N424&gt;=7,"Regular",IF($N424&gt;=4,"Occasional","Low"))))))</f>
        <v/>
      </c>
      <c r="P424" s="6" t="str">
        <f aca="true">IF(OR($A424="",$I424=""),"",IF(MONTH($I424)=MONTH(TODAY()),"Yes",""))</f>
        <v/>
      </c>
      <c r="Q424" s="21" t="str">
        <f aca="false">IF($A424="","",IF($C424=0,"",_xlfn.MINIFS('Daily tracking'!$A$2:$A$2001,'Daily tracking'!$D$2:$D$2001,$A424)))</f>
        <v/>
      </c>
      <c r="R424" s="6" t="str">
        <f aca="false">IF(OR($A424="",$C424&lt;2),"",($E424-$Q424)/($C424-1))</f>
        <v/>
      </c>
    </row>
    <row r="425" customFormat="false" ht="14.25" hidden="false" customHeight="false" outlineLevel="0" collapsed="false">
      <c r="A425" s="19"/>
      <c r="B425" s="19"/>
      <c r="C425" s="15" t="str">
        <f aca="false">IF($A425="","",COUNTIF('Daily tracking'!$D$2:$D$2001,$A425))</f>
        <v/>
      </c>
      <c r="D425" s="16" t="str">
        <f aca="false">IF($A425="","",SUMIF('Daily tracking'!$D$2:$D$2001,$A425,'Daily tracking'!$G$2:$G$2001))</f>
        <v/>
      </c>
      <c r="E425" s="18" t="str">
        <f aca="false">IF($A425="","",IF($C425=0,"",_xlfn.MAXIFS('Daily tracking'!$A$2:$A$2001,'Daily tracking'!$D$2:$D$2001,$A425)))</f>
        <v/>
      </c>
      <c r="F425" s="6" t="str">
        <f aca="true">IF(OR($A425="",$E425=""),"",TODAY()-$E425)</f>
        <v/>
      </c>
      <c r="G425" s="3" t="str">
        <f aca="false">IF($A425="","",IF($C425=0,"No visits",IF($F425&gt;90,"Lapsed",IF($F425&gt;35,"At risk",IF($C425&gt;=4,"Loyal","Active")))))</f>
        <v/>
      </c>
      <c r="H425" s="9" t="str">
        <f aca="false">IF(OR($A425="",$C425=0),"",$D425/$C425)</f>
        <v/>
      </c>
      <c r="I425" s="20"/>
      <c r="J425" s="20"/>
      <c r="K425" s="19"/>
      <c r="L425" s="19"/>
      <c r="M425" s="19"/>
      <c r="N425" s="15" t="str">
        <f aca="false">IF($A425="","",IF($C425=0,0,(IF($F425&lt;=15,5,IF($F425&lt;=30,4,IF($F425&lt;=45,3,IF($F425&lt;=90,2,1))))+IF($C425&gt;=10,5,IF($C425&gt;=6,4,IF($C425&gt;=4,3,IF($C425&gt;=2,2,1))))+IF($D425&gt;=20000,5,IF($D425&gt;=10000,4,IF($D425&gt;=5000,3,IF($D425&gt;=2000,2,1)))))))</f>
        <v/>
      </c>
      <c r="O425" s="3" t="str">
        <f aca="false">IF($A425="","",IF($C425=0,"No visits",IF($N425&gt;=13,"VIP",IF($N425&gt;=10,"High value",IF($N425&gt;=7,"Regular",IF($N425&gt;=4,"Occasional","Low"))))))</f>
        <v/>
      </c>
      <c r="P425" s="6" t="str">
        <f aca="true">IF(OR($A425="",$I425=""),"",IF(MONTH($I425)=MONTH(TODAY()),"Yes",""))</f>
        <v/>
      </c>
      <c r="Q425" s="21" t="str">
        <f aca="false">IF($A425="","",IF($C425=0,"",_xlfn.MINIFS('Daily tracking'!$A$2:$A$2001,'Daily tracking'!$D$2:$D$2001,$A425)))</f>
        <v/>
      </c>
      <c r="R425" s="6" t="str">
        <f aca="false">IF(OR($A425="",$C425&lt;2),"",($E425-$Q425)/($C425-1))</f>
        <v/>
      </c>
    </row>
    <row r="426" customFormat="false" ht="14.25" hidden="false" customHeight="false" outlineLevel="0" collapsed="false">
      <c r="A426" s="19"/>
      <c r="B426" s="19"/>
      <c r="C426" s="15" t="str">
        <f aca="false">IF($A426="","",COUNTIF('Daily tracking'!$D$2:$D$2001,$A426))</f>
        <v/>
      </c>
      <c r="D426" s="16" t="str">
        <f aca="false">IF($A426="","",SUMIF('Daily tracking'!$D$2:$D$2001,$A426,'Daily tracking'!$G$2:$G$2001))</f>
        <v/>
      </c>
      <c r="E426" s="18" t="str">
        <f aca="false">IF($A426="","",IF($C426=0,"",_xlfn.MAXIFS('Daily tracking'!$A$2:$A$2001,'Daily tracking'!$D$2:$D$2001,$A426)))</f>
        <v/>
      </c>
      <c r="F426" s="6" t="str">
        <f aca="true">IF(OR($A426="",$E426=""),"",TODAY()-$E426)</f>
        <v/>
      </c>
      <c r="G426" s="3" t="str">
        <f aca="false">IF($A426="","",IF($C426=0,"No visits",IF($F426&gt;90,"Lapsed",IF($F426&gt;35,"At risk",IF($C426&gt;=4,"Loyal","Active")))))</f>
        <v/>
      </c>
      <c r="H426" s="9" t="str">
        <f aca="false">IF(OR($A426="",$C426=0),"",$D426/$C426)</f>
        <v/>
      </c>
      <c r="I426" s="20"/>
      <c r="J426" s="20"/>
      <c r="K426" s="19"/>
      <c r="L426" s="19"/>
      <c r="M426" s="19"/>
      <c r="N426" s="15" t="str">
        <f aca="false">IF($A426="","",IF($C426=0,0,(IF($F426&lt;=15,5,IF($F426&lt;=30,4,IF($F426&lt;=45,3,IF($F426&lt;=90,2,1))))+IF($C426&gt;=10,5,IF($C426&gt;=6,4,IF($C426&gt;=4,3,IF($C426&gt;=2,2,1))))+IF($D426&gt;=20000,5,IF($D426&gt;=10000,4,IF($D426&gt;=5000,3,IF($D426&gt;=2000,2,1)))))))</f>
        <v/>
      </c>
      <c r="O426" s="3" t="str">
        <f aca="false">IF($A426="","",IF($C426=0,"No visits",IF($N426&gt;=13,"VIP",IF($N426&gt;=10,"High value",IF($N426&gt;=7,"Regular",IF($N426&gt;=4,"Occasional","Low"))))))</f>
        <v/>
      </c>
      <c r="P426" s="6" t="str">
        <f aca="true">IF(OR($A426="",$I426=""),"",IF(MONTH($I426)=MONTH(TODAY()),"Yes",""))</f>
        <v/>
      </c>
      <c r="Q426" s="21" t="str">
        <f aca="false">IF($A426="","",IF($C426=0,"",_xlfn.MINIFS('Daily tracking'!$A$2:$A$2001,'Daily tracking'!$D$2:$D$2001,$A426)))</f>
        <v/>
      </c>
      <c r="R426" s="6" t="str">
        <f aca="false">IF(OR($A426="",$C426&lt;2),"",($E426-$Q426)/($C426-1))</f>
        <v/>
      </c>
    </row>
    <row r="427" customFormat="false" ht="14.25" hidden="false" customHeight="false" outlineLevel="0" collapsed="false">
      <c r="A427" s="19"/>
      <c r="B427" s="19"/>
      <c r="C427" s="15" t="str">
        <f aca="false">IF($A427="","",COUNTIF('Daily tracking'!$D$2:$D$2001,$A427))</f>
        <v/>
      </c>
      <c r="D427" s="16" t="str">
        <f aca="false">IF($A427="","",SUMIF('Daily tracking'!$D$2:$D$2001,$A427,'Daily tracking'!$G$2:$G$2001))</f>
        <v/>
      </c>
      <c r="E427" s="18" t="str">
        <f aca="false">IF($A427="","",IF($C427=0,"",_xlfn.MAXIFS('Daily tracking'!$A$2:$A$2001,'Daily tracking'!$D$2:$D$2001,$A427)))</f>
        <v/>
      </c>
      <c r="F427" s="6" t="str">
        <f aca="true">IF(OR($A427="",$E427=""),"",TODAY()-$E427)</f>
        <v/>
      </c>
      <c r="G427" s="3" t="str">
        <f aca="false">IF($A427="","",IF($C427=0,"No visits",IF($F427&gt;90,"Lapsed",IF($F427&gt;35,"At risk",IF($C427&gt;=4,"Loyal","Active")))))</f>
        <v/>
      </c>
      <c r="H427" s="9" t="str">
        <f aca="false">IF(OR($A427="",$C427=0),"",$D427/$C427)</f>
        <v/>
      </c>
      <c r="I427" s="20"/>
      <c r="J427" s="20"/>
      <c r="K427" s="19"/>
      <c r="L427" s="19"/>
      <c r="M427" s="19"/>
      <c r="N427" s="15" t="str">
        <f aca="false">IF($A427="","",IF($C427=0,0,(IF($F427&lt;=15,5,IF($F427&lt;=30,4,IF($F427&lt;=45,3,IF($F427&lt;=90,2,1))))+IF($C427&gt;=10,5,IF($C427&gt;=6,4,IF($C427&gt;=4,3,IF($C427&gt;=2,2,1))))+IF($D427&gt;=20000,5,IF($D427&gt;=10000,4,IF($D427&gt;=5000,3,IF($D427&gt;=2000,2,1)))))))</f>
        <v/>
      </c>
      <c r="O427" s="3" t="str">
        <f aca="false">IF($A427="","",IF($C427=0,"No visits",IF($N427&gt;=13,"VIP",IF($N427&gt;=10,"High value",IF($N427&gt;=7,"Regular",IF($N427&gt;=4,"Occasional","Low"))))))</f>
        <v/>
      </c>
      <c r="P427" s="6" t="str">
        <f aca="true">IF(OR($A427="",$I427=""),"",IF(MONTH($I427)=MONTH(TODAY()),"Yes",""))</f>
        <v/>
      </c>
      <c r="Q427" s="21" t="str">
        <f aca="false">IF($A427="","",IF($C427=0,"",_xlfn.MINIFS('Daily tracking'!$A$2:$A$2001,'Daily tracking'!$D$2:$D$2001,$A427)))</f>
        <v/>
      </c>
      <c r="R427" s="6" t="str">
        <f aca="false">IF(OR($A427="",$C427&lt;2),"",($E427-$Q427)/($C427-1))</f>
        <v/>
      </c>
    </row>
    <row r="428" customFormat="false" ht="14.25" hidden="false" customHeight="false" outlineLevel="0" collapsed="false">
      <c r="A428" s="19"/>
      <c r="B428" s="19"/>
      <c r="C428" s="15" t="str">
        <f aca="false">IF($A428="","",COUNTIF('Daily tracking'!$D$2:$D$2001,$A428))</f>
        <v/>
      </c>
      <c r="D428" s="16" t="str">
        <f aca="false">IF($A428="","",SUMIF('Daily tracking'!$D$2:$D$2001,$A428,'Daily tracking'!$G$2:$G$2001))</f>
        <v/>
      </c>
      <c r="E428" s="18" t="str">
        <f aca="false">IF($A428="","",IF($C428=0,"",_xlfn.MAXIFS('Daily tracking'!$A$2:$A$2001,'Daily tracking'!$D$2:$D$2001,$A428)))</f>
        <v/>
      </c>
      <c r="F428" s="6" t="str">
        <f aca="true">IF(OR($A428="",$E428=""),"",TODAY()-$E428)</f>
        <v/>
      </c>
      <c r="G428" s="3" t="str">
        <f aca="false">IF($A428="","",IF($C428=0,"No visits",IF($F428&gt;90,"Lapsed",IF($F428&gt;35,"At risk",IF($C428&gt;=4,"Loyal","Active")))))</f>
        <v/>
      </c>
      <c r="H428" s="9" t="str">
        <f aca="false">IF(OR($A428="",$C428=0),"",$D428/$C428)</f>
        <v/>
      </c>
      <c r="I428" s="20"/>
      <c r="J428" s="20"/>
      <c r="K428" s="19"/>
      <c r="L428" s="19"/>
      <c r="M428" s="19"/>
      <c r="N428" s="15" t="str">
        <f aca="false">IF($A428="","",IF($C428=0,0,(IF($F428&lt;=15,5,IF($F428&lt;=30,4,IF($F428&lt;=45,3,IF($F428&lt;=90,2,1))))+IF($C428&gt;=10,5,IF($C428&gt;=6,4,IF($C428&gt;=4,3,IF($C428&gt;=2,2,1))))+IF($D428&gt;=20000,5,IF($D428&gt;=10000,4,IF($D428&gt;=5000,3,IF($D428&gt;=2000,2,1)))))))</f>
        <v/>
      </c>
      <c r="O428" s="3" t="str">
        <f aca="false">IF($A428="","",IF($C428=0,"No visits",IF($N428&gt;=13,"VIP",IF($N428&gt;=10,"High value",IF($N428&gt;=7,"Regular",IF($N428&gt;=4,"Occasional","Low"))))))</f>
        <v/>
      </c>
      <c r="P428" s="6" t="str">
        <f aca="true">IF(OR($A428="",$I428=""),"",IF(MONTH($I428)=MONTH(TODAY()),"Yes",""))</f>
        <v/>
      </c>
      <c r="Q428" s="21" t="str">
        <f aca="false">IF($A428="","",IF($C428=0,"",_xlfn.MINIFS('Daily tracking'!$A$2:$A$2001,'Daily tracking'!$D$2:$D$2001,$A428)))</f>
        <v/>
      </c>
      <c r="R428" s="6" t="str">
        <f aca="false">IF(OR($A428="",$C428&lt;2),"",($E428-$Q428)/($C428-1))</f>
        <v/>
      </c>
    </row>
    <row r="429" customFormat="false" ht="14.25" hidden="false" customHeight="false" outlineLevel="0" collapsed="false">
      <c r="A429" s="19"/>
      <c r="B429" s="19"/>
      <c r="C429" s="15" t="str">
        <f aca="false">IF($A429="","",COUNTIF('Daily tracking'!$D$2:$D$2001,$A429))</f>
        <v/>
      </c>
      <c r="D429" s="16" t="str">
        <f aca="false">IF($A429="","",SUMIF('Daily tracking'!$D$2:$D$2001,$A429,'Daily tracking'!$G$2:$G$2001))</f>
        <v/>
      </c>
      <c r="E429" s="18" t="str">
        <f aca="false">IF($A429="","",IF($C429=0,"",_xlfn.MAXIFS('Daily tracking'!$A$2:$A$2001,'Daily tracking'!$D$2:$D$2001,$A429)))</f>
        <v/>
      </c>
      <c r="F429" s="6" t="str">
        <f aca="true">IF(OR($A429="",$E429=""),"",TODAY()-$E429)</f>
        <v/>
      </c>
      <c r="G429" s="3" t="str">
        <f aca="false">IF($A429="","",IF($C429=0,"No visits",IF($F429&gt;90,"Lapsed",IF($F429&gt;35,"At risk",IF($C429&gt;=4,"Loyal","Active")))))</f>
        <v/>
      </c>
      <c r="H429" s="9" t="str">
        <f aca="false">IF(OR($A429="",$C429=0),"",$D429/$C429)</f>
        <v/>
      </c>
      <c r="I429" s="20"/>
      <c r="J429" s="20"/>
      <c r="K429" s="19"/>
      <c r="L429" s="19"/>
      <c r="M429" s="19"/>
      <c r="N429" s="15" t="str">
        <f aca="false">IF($A429="","",IF($C429=0,0,(IF($F429&lt;=15,5,IF($F429&lt;=30,4,IF($F429&lt;=45,3,IF($F429&lt;=90,2,1))))+IF($C429&gt;=10,5,IF($C429&gt;=6,4,IF($C429&gt;=4,3,IF($C429&gt;=2,2,1))))+IF($D429&gt;=20000,5,IF($D429&gt;=10000,4,IF($D429&gt;=5000,3,IF($D429&gt;=2000,2,1)))))))</f>
        <v/>
      </c>
      <c r="O429" s="3" t="str">
        <f aca="false">IF($A429="","",IF($C429=0,"No visits",IF($N429&gt;=13,"VIP",IF($N429&gt;=10,"High value",IF($N429&gt;=7,"Regular",IF($N429&gt;=4,"Occasional","Low"))))))</f>
        <v/>
      </c>
      <c r="P429" s="6" t="str">
        <f aca="true">IF(OR($A429="",$I429=""),"",IF(MONTH($I429)=MONTH(TODAY()),"Yes",""))</f>
        <v/>
      </c>
      <c r="Q429" s="21" t="str">
        <f aca="false">IF($A429="","",IF($C429=0,"",_xlfn.MINIFS('Daily tracking'!$A$2:$A$2001,'Daily tracking'!$D$2:$D$2001,$A429)))</f>
        <v/>
      </c>
      <c r="R429" s="6" t="str">
        <f aca="false">IF(OR($A429="",$C429&lt;2),"",($E429-$Q429)/($C429-1))</f>
        <v/>
      </c>
    </row>
    <row r="430" customFormat="false" ht="14.25" hidden="false" customHeight="false" outlineLevel="0" collapsed="false">
      <c r="A430" s="19"/>
      <c r="B430" s="19"/>
      <c r="C430" s="15" t="str">
        <f aca="false">IF($A430="","",COUNTIF('Daily tracking'!$D$2:$D$2001,$A430))</f>
        <v/>
      </c>
      <c r="D430" s="16" t="str">
        <f aca="false">IF($A430="","",SUMIF('Daily tracking'!$D$2:$D$2001,$A430,'Daily tracking'!$G$2:$G$2001))</f>
        <v/>
      </c>
      <c r="E430" s="18" t="str">
        <f aca="false">IF($A430="","",IF($C430=0,"",_xlfn.MAXIFS('Daily tracking'!$A$2:$A$2001,'Daily tracking'!$D$2:$D$2001,$A430)))</f>
        <v/>
      </c>
      <c r="F430" s="6" t="str">
        <f aca="true">IF(OR($A430="",$E430=""),"",TODAY()-$E430)</f>
        <v/>
      </c>
      <c r="G430" s="3" t="str">
        <f aca="false">IF($A430="","",IF($C430=0,"No visits",IF($F430&gt;90,"Lapsed",IF($F430&gt;35,"At risk",IF($C430&gt;=4,"Loyal","Active")))))</f>
        <v/>
      </c>
      <c r="H430" s="9" t="str">
        <f aca="false">IF(OR($A430="",$C430=0),"",$D430/$C430)</f>
        <v/>
      </c>
      <c r="I430" s="20"/>
      <c r="J430" s="20"/>
      <c r="K430" s="19"/>
      <c r="L430" s="19"/>
      <c r="M430" s="19"/>
      <c r="N430" s="15" t="str">
        <f aca="false">IF($A430="","",IF($C430=0,0,(IF($F430&lt;=15,5,IF($F430&lt;=30,4,IF($F430&lt;=45,3,IF($F430&lt;=90,2,1))))+IF($C430&gt;=10,5,IF($C430&gt;=6,4,IF($C430&gt;=4,3,IF($C430&gt;=2,2,1))))+IF($D430&gt;=20000,5,IF($D430&gt;=10000,4,IF($D430&gt;=5000,3,IF($D430&gt;=2000,2,1)))))))</f>
        <v/>
      </c>
      <c r="O430" s="3" t="str">
        <f aca="false">IF($A430="","",IF($C430=0,"No visits",IF($N430&gt;=13,"VIP",IF($N430&gt;=10,"High value",IF($N430&gt;=7,"Regular",IF($N430&gt;=4,"Occasional","Low"))))))</f>
        <v/>
      </c>
      <c r="P430" s="6" t="str">
        <f aca="true">IF(OR($A430="",$I430=""),"",IF(MONTH($I430)=MONTH(TODAY()),"Yes",""))</f>
        <v/>
      </c>
      <c r="Q430" s="21" t="str">
        <f aca="false">IF($A430="","",IF($C430=0,"",_xlfn.MINIFS('Daily tracking'!$A$2:$A$2001,'Daily tracking'!$D$2:$D$2001,$A430)))</f>
        <v/>
      </c>
      <c r="R430" s="6" t="str">
        <f aca="false">IF(OR($A430="",$C430&lt;2),"",($E430-$Q430)/($C430-1))</f>
        <v/>
      </c>
    </row>
    <row r="431" customFormat="false" ht="14.25" hidden="false" customHeight="false" outlineLevel="0" collapsed="false">
      <c r="A431" s="19"/>
      <c r="B431" s="19"/>
      <c r="C431" s="15" t="str">
        <f aca="false">IF($A431="","",COUNTIF('Daily tracking'!$D$2:$D$2001,$A431))</f>
        <v/>
      </c>
      <c r="D431" s="16" t="str">
        <f aca="false">IF($A431="","",SUMIF('Daily tracking'!$D$2:$D$2001,$A431,'Daily tracking'!$G$2:$G$2001))</f>
        <v/>
      </c>
      <c r="E431" s="18" t="str">
        <f aca="false">IF($A431="","",IF($C431=0,"",_xlfn.MAXIFS('Daily tracking'!$A$2:$A$2001,'Daily tracking'!$D$2:$D$2001,$A431)))</f>
        <v/>
      </c>
      <c r="F431" s="6" t="str">
        <f aca="true">IF(OR($A431="",$E431=""),"",TODAY()-$E431)</f>
        <v/>
      </c>
      <c r="G431" s="3" t="str">
        <f aca="false">IF($A431="","",IF($C431=0,"No visits",IF($F431&gt;90,"Lapsed",IF($F431&gt;35,"At risk",IF($C431&gt;=4,"Loyal","Active")))))</f>
        <v/>
      </c>
      <c r="H431" s="9" t="str">
        <f aca="false">IF(OR($A431="",$C431=0),"",$D431/$C431)</f>
        <v/>
      </c>
      <c r="I431" s="20"/>
      <c r="J431" s="20"/>
      <c r="K431" s="19"/>
      <c r="L431" s="19"/>
      <c r="M431" s="19"/>
      <c r="N431" s="15" t="str">
        <f aca="false">IF($A431="","",IF($C431=0,0,(IF($F431&lt;=15,5,IF($F431&lt;=30,4,IF($F431&lt;=45,3,IF($F431&lt;=90,2,1))))+IF($C431&gt;=10,5,IF($C431&gt;=6,4,IF($C431&gt;=4,3,IF($C431&gt;=2,2,1))))+IF($D431&gt;=20000,5,IF($D431&gt;=10000,4,IF($D431&gt;=5000,3,IF($D431&gt;=2000,2,1)))))))</f>
        <v/>
      </c>
      <c r="O431" s="3" t="str">
        <f aca="false">IF($A431="","",IF($C431=0,"No visits",IF($N431&gt;=13,"VIP",IF($N431&gt;=10,"High value",IF($N431&gt;=7,"Regular",IF($N431&gt;=4,"Occasional","Low"))))))</f>
        <v/>
      </c>
      <c r="P431" s="6" t="str">
        <f aca="true">IF(OR($A431="",$I431=""),"",IF(MONTH($I431)=MONTH(TODAY()),"Yes",""))</f>
        <v/>
      </c>
      <c r="Q431" s="21" t="str">
        <f aca="false">IF($A431="","",IF($C431=0,"",_xlfn.MINIFS('Daily tracking'!$A$2:$A$2001,'Daily tracking'!$D$2:$D$2001,$A431)))</f>
        <v/>
      </c>
      <c r="R431" s="6" t="str">
        <f aca="false">IF(OR($A431="",$C431&lt;2),"",($E431-$Q431)/($C431-1))</f>
        <v/>
      </c>
    </row>
    <row r="432" customFormat="false" ht="14.25" hidden="false" customHeight="false" outlineLevel="0" collapsed="false">
      <c r="A432" s="19"/>
      <c r="B432" s="19"/>
      <c r="C432" s="15" t="str">
        <f aca="false">IF($A432="","",COUNTIF('Daily tracking'!$D$2:$D$2001,$A432))</f>
        <v/>
      </c>
      <c r="D432" s="16" t="str">
        <f aca="false">IF($A432="","",SUMIF('Daily tracking'!$D$2:$D$2001,$A432,'Daily tracking'!$G$2:$G$2001))</f>
        <v/>
      </c>
      <c r="E432" s="18" t="str">
        <f aca="false">IF($A432="","",IF($C432=0,"",_xlfn.MAXIFS('Daily tracking'!$A$2:$A$2001,'Daily tracking'!$D$2:$D$2001,$A432)))</f>
        <v/>
      </c>
      <c r="F432" s="6" t="str">
        <f aca="true">IF(OR($A432="",$E432=""),"",TODAY()-$E432)</f>
        <v/>
      </c>
      <c r="G432" s="3" t="str">
        <f aca="false">IF($A432="","",IF($C432=0,"No visits",IF($F432&gt;90,"Lapsed",IF($F432&gt;35,"At risk",IF($C432&gt;=4,"Loyal","Active")))))</f>
        <v/>
      </c>
      <c r="H432" s="9" t="str">
        <f aca="false">IF(OR($A432="",$C432=0),"",$D432/$C432)</f>
        <v/>
      </c>
      <c r="I432" s="20"/>
      <c r="J432" s="20"/>
      <c r="K432" s="19"/>
      <c r="L432" s="19"/>
      <c r="M432" s="19"/>
      <c r="N432" s="15" t="str">
        <f aca="false">IF($A432="","",IF($C432=0,0,(IF($F432&lt;=15,5,IF($F432&lt;=30,4,IF($F432&lt;=45,3,IF($F432&lt;=90,2,1))))+IF($C432&gt;=10,5,IF($C432&gt;=6,4,IF($C432&gt;=4,3,IF($C432&gt;=2,2,1))))+IF($D432&gt;=20000,5,IF($D432&gt;=10000,4,IF($D432&gt;=5000,3,IF($D432&gt;=2000,2,1)))))))</f>
        <v/>
      </c>
      <c r="O432" s="3" t="str">
        <f aca="false">IF($A432="","",IF($C432=0,"No visits",IF($N432&gt;=13,"VIP",IF($N432&gt;=10,"High value",IF($N432&gt;=7,"Regular",IF($N432&gt;=4,"Occasional","Low"))))))</f>
        <v/>
      </c>
      <c r="P432" s="6" t="str">
        <f aca="true">IF(OR($A432="",$I432=""),"",IF(MONTH($I432)=MONTH(TODAY()),"Yes",""))</f>
        <v/>
      </c>
      <c r="Q432" s="21" t="str">
        <f aca="false">IF($A432="","",IF($C432=0,"",_xlfn.MINIFS('Daily tracking'!$A$2:$A$2001,'Daily tracking'!$D$2:$D$2001,$A432)))</f>
        <v/>
      </c>
      <c r="R432" s="6" t="str">
        <f aca="false">IF(OR($A432="",$C432&lt;2),"",($E432-$Q432)/($C432-1))</f>
        <v/>
      </c>
    </row>
    <row r="433" customFormat="false" ht="14.25" hidden="false" customHeight="false" outlineLevel="0" collapsed="false">
      <c r="A433" s="19"/>
      <c r="B433" s="19"/>
      <c r="C433" s="15" t="str">
        <f aca="false">IF($A433="","",COUNTIF('Daily tracking'!$D$2:$D$2001,$A433))</f>
        <v/>
      </c>
      <c r="D433" s="16" t="str">
        <f aca="false">IF($A433="","",SUMIF('Daily tracking'!$D$2:$D$2001,$A433,'Daily tracking'!$G$2:$G$2001))</f>
        <v/>
      </c>
      <c r="E433" s="18" t="str">
        <f aca="false">IF($A433="","",IF($C433=0,"",_xlfn.MAXIFS('Daily tracking'!$A$2:$A$2001,'Daily tracking'!$D$2:$D$2001,$A433)))</f>
        <v/>
      </c>
      <c r="F433" s="6" t="str">
        <f aca="true">IF(OR($A433="",$E433=""),"",TODAY()-$E433)</f>
        <v/>
      </c>
      <c r="G433" s="3" t="str">
        <f aca="false">IF($A433="","",IF($C433=0,"No visits",IF($F433&gt;90,"Lapsed",IF($F433&gt;35,"At risk",IF($C433&gt;=4,"Loyal","Active")))))</f>
        <v/>
      </c>
      <c r="H433" s="9" t="str">
        <f aca="false">IF(OR($A433="",$C433=0),"",$D433/$C433)</f>
        <v/>
      </c>
      <c r="I433" s="20"/>
      <c r="J433" s="20"/>
      <c r="K433" s="19"/>
      <c r="L433" s="19"/>
      <c r="M433" s="19"/>
      <c r="N433" s="15" t="str">
        <f aca="false">IF($A433="","",IF($C433=0,0,(IF($F433&lt;=15,5,IF($F433&lt;=30,4,IF($F433&lt;=45,3,IF($F433&lt;=90,2,1))))+IF($C433&gt;=10,5,IF($C433&gt;=6,4,IF($C433&gt;=4,3,IF($C433&gt;=2,2,1))))+IF($D433&gt;=20000,5,IF($D433&gt;=10000,4,IF($D433&gt;=5000,3,IF($D433&gt;=2000,2,1)))))))</f>
        <v/>
      </c>
      <c r="O433" s="3" t="str">
        <f aca="false">IF($A433="","",IF($C433=0,"No visits",IF($N433&gt;=13,"VIP",IF($N433&gt;=10,"High value",IF($N433&gt;=7,"Regular",IF($N433&gt;=4,"Occasional","Low"))))))</f>
        <v/>
      </c>
      <c r="P433" s="6" t="str">
        <f aca="true">IF(OR($A433="",$I433=""),"",IF(MONTH($I433)=MONTH(TODAY()),"Yes",""))</f>
        <v/>
      </c>
      <c r="Q433" s="21" t="str">
        <f aca="false">IF($A433="","",IF($C433=0,"",_xlfn.MINIFS('Daily tracking'!$A$2:$A$2001,'Daily tracking'!$D$2:$D$2001,$A433)))</f>
        <v/>
      </c>
      <c r="R433" s="6" t="str">
        <f aca="false">IF(OR($A433="",$C433&lt;2),"",($E433-$Q433)/($C433-1))</f>
        <v/>
      </c>
    </row>
    <row r="434" customFormat="false" ht="14.25" hidden="false" customHeight="false" outlineLevel="0" collapsed="false">
      <c r="A434" s="19"/>
      <c r="B434" s="19"/>
      <c r="C434" s="15" t="str">
        <f aca="false">IF($A434="","",COUNTIF('Daily tracking'!$D$2:$D$2001,$A434))</f>
        <v/>
      </c>
      <c r="D434" s="16" t="str">
        <f aca="false">IF($A434="","",SUMIF('Daily tracking'!$D$2:$D$2001,$A434,'Daily tracking'!$G$2:$G$2001))</f>
        <v/>
      </c>
      <c r="E434" s="18" t="str">
        <f aca="false">IF($A434="","",IF($C434=0,"",_xlfn.MAXIFS('Daily tracking'!$A$2:$A$2001,'Daily tracking'!$D$2:$D$2001,$A434)))</f>
        <v/>
      </c>
      <c r="F434" s="6" t="str">
        <f aca="true">IF(OR($A434="",$E434=""),"",TODAY()-$E434)</f>
        <v/>
      </c>
      <c r="G434" s="3" t="str">
        <f aca="false">IF($A434="","",IF($C434=0,"No visits",IF($F434&gt;90,"Lapsed",IF($F434&gt;35,"At risk",IF($C434&gt;=4,"Loyal","Active")))))</f>
        <v/>
      </c>
      <c r="H434" s="9" t="str">
        <f aca="false">IF(OR($A434="",$C434=0),"",$D434/$C434)</f>
        <v/>
      </c>
      <c r="I434" s="20"/>
      <c r="J434" s="20"/>
      <c r="K434" s="19"/>
      <c r="L434" s="19"/>
      <c r="M434" s="19"/>
      <c r="N434" s="15" t="str">
        <f aca="false">IF($A434="","",IF($C434=0,0,(IF($F434&lt;=15,5,IF($F434&lt;=30,4,IF($F434&lt;=45,3,IF($F434&lt;=90,2,1))))+IF($C434&gt;=10,5,IF($C434&gt;=6,4,IF($C434&gt;=4,3,IF($C434&gt;=2,2,1))))+IF($D434&gt;=20000,5,IF($D434&gt;=10000,4,IF($D434&gt;=5000,3,IF($D434&gt;=2000,2,1)))))))</f>
        <v/>
      </c>
      <c r="O434" s="3" t="str">
        <f aca="false">IF($A434="","",IF($C434=0,"No visits",IF($N434&gt;=13,"VIP",IF($N434&gt;=10,"High value",IF($N434&gt;=7,"Regular",IF($N434&gt;=4,"Occasional","Low"))))))</f>
        <v/>
      </c>
      <c r="P434" s="6" t="str">
        <f aca="true">IF(OR($A434="",$I434=""),"",IF(MONTH($I434)=MONTH(TODAY()),"Yes",""))</f>
        <v/>
      </c>
      <c r="Q434" s="21" t="str">
        <f aca="false">IF($A434="","",IF($C434=0,"",_xlfn.MINIFS('Daily tracking'!$A$2:$A$2001,'Daily tracking'!$D$2:$D$2001,$A434)))</f>
        <v/>
      </c>
      <c r="R434" s="6" t="str">
        <f aca="false">IF(OR($A434="",$C434&lt;2),"",($E434-$Q434)/($C434-1))</f>
        <v/>
      </c>
    </row>
    <row r="435" customFormat="false" ht="14.25" hidden="false" customHeight="false" outlineLevel="0" collapsed="false">
      <c r="A435" s="19"/>
      <c r="B435" s="19"/>
      <c r="C435" s="15" t="str">
        <f aca="false">IF($A435="","",COUNTIF('Daily tracking'!$D$2:$D$2001,$A435))</f>
        <v/>
      </c>
      <c r="D435" s="16" t="str">
        <f aca="false">IF($A435="","",SUMIF('Daily tracking'!$D$2:$D$2001,$A435,'Daily tracking'!$G$2:$G$2001))</f>
        <v/>
      </c>
      <c r="E435" s="18" t="str">
        <f aca="false">IF($A435="","",IF($C435=0,"",_xlfn.MAXIFS('Daily tracking'!$A$2:$A$2001,'Daily tracking'!$D$2:$D$2001,$A435)))</f>
        <v/>
      </c>
      <c r="F435" s="6" t="str">
        <f aca="true">IF(OR($A435="",$E435=""),"",TODAY()-$E435)</f>
        <v/>
      </c>
      <c r="G435" s="3" t="str">
        <f aca="false">IF($A435="","",IF($C435=0,"No visits",IF($F435&gt;90,"Lapsed",IF($F435&gt;35,"At risk",IF($C435&gt;=4,"Loyal","Active")))))</f>
        <v/>
      </c>
      <c r="H435" s="9" t="str">
        <f aca="false">IF(OR($A435="",$C435=0),"",$D435/$C435)</f>
        <v/>
      </c>
      <c r="I435" s="20"/>
      <c r="J435" s="20"/>
      <c r="K435" s="19"/>
      <c r="L435" s="19"/>
      <c r="M435" s="19"/>
      <c r="N435" s="15" t="str">
        <f aca="false">IF($A435="","",IF($C435=0,0,(IF($F435&lt;=15,5,IF($F435&lt;=30,4,IF($F435&lt;=45,3,IF($F435&lt;=90,2,1))))+IF($C435&gt;=10,5,IF($C435&gt;=6,4,IF($C435&gt;=4,3,IF($C435&gt;=2,2,1))))+IF($D435&gt;=20000,5,IF($D435&gt;=10000,4,IF($D435&gt;=5000,3,IF($D435&gt;=2000,2,1)))))))</f>
        <v/>
      </c>
      <c r="O435" s="3" t="str">
        <f aca="false">IF($A435="","",IF($C435=0,"No visits",IF($N435&gt;=13,"VIP",IF($N435&gt;=10,"High value",IF($N435&gt;=7,"Regular",IF($N435&gt;=4,"Occasional","Low"))))))</f>
        <v/>
      </c>
      <c r="P435" s="6" t="str">
        <f aca="true">IF(OR($A435="",$I435=""),"",IF(MONTH($I435)=MONTH(TODAY()),"Yes",""))</f>
        <v/>
      </c>
      <c r="Q435" s="21" t="str">
        <f aca="false">IF($A435="","",IF($C435=0,"",_xlfn.MINIFS('Daily tracking'!$A$2:$A$2001,'Daily tracking'!$D$2:$D$2001,$A435)))</f>
        <v/>
      </c>
      <c r="R435" s="6" t="str">
        <f aca="false">IF(OR($A435="",$C435&lt;2),"",($E435-$Q435)/($C435-1))</f>
        <v/>
      </c>
    </row>
    <row r="436" customFormat="false" ht="14.25" hidden="false" customHeight="false" outlineLevel="0" collapsed="false">
      <c r="A436" s="19"/>
      <c r="B436" s="19"/>
      <c r="C436" s="15" t="str">
        <f aca="false">IF($A436="","",COUNTIF('Daily tracking'!$D$2:$D$2001,$A436))</f>
        <v/>
      </c>
      <c r="D436" s="16" t="str">
        <f aca="false">IF($A436="","",SUMIF('Daily tracking'!$D$2:$D$2001,$A436,'Daily tracking'!$G$2:$G$2001))</f>
        <v/>
      </c>
      <c r="E436" s="18" t="str">
        <f aca="false">IF($A436="","",IF($C436=0,"",_xlfn.MAXIFS('Daily tracking'!$A$2:$A$2001,'Daily tracking'!$D$2:$D$2001,$A436)))</f>
        <v/>
      </c>
      <c r="F436" s="6" t="str">
        <f aca="true">IF(OR($A436="",$E436=""),"",TODAY()-$E436)</f>
        <v/>
      </c>
      <c r="G436" s="3" t="str">
        <f aca="false">IF($A436="","",IF($C436=0,"No visits",IF($F436&gt;90,"Lapsed",IF($F436&gt;35,"At risk",IF($C436&gt;=4,"Loyal","Active")))))</f>
        <v/>
      </c>
      <c r="H436" s="9" t="str">
        <f aca="false">IF(OR($A436="",$C436=0),"",$D436/$C436)</f>
        <v/>
      </c>
      <c r="I436" s="20"/>
      <c r="J436" s="20"/>
      <c r="K436" s="19"/>
      <c r="L436" s="19"/>
      <c r="M436" s="19"/>
      <c r="N436" s="15" t="str">
        <f aca="false">IF($A436="","",IF($C436=0,0,(IF($F436&lt;=15,5,IF($F436&lt;=30,4,IF($F436&lt;=45,3,IF($F436&lt;=90,2,1))))+IF($C436&gt;=10,5,IF($C436&gt;=6,4,IF($C436&gt;=4,3,IF($C436&gt;=2,2,1))))+IF($D436&gt;=20000,5,IF($D436&gt;=10000,4,IF($D436&gt;=5000,3,IF($D436&gt;=2000,2,1)))))))</f>
        <v/>
      </c>
      <c r="O436" s="3" t="str">
        <f aca="false">IF($A436="","",IF($C436=0,"No visits",IF($N436&gt;=13,"VIP",IF($N436&gt;=10,"High value",IF($N436&gt;=7,"Regular",IF($N436&gt;=4,"Occasional","Low"))))))</f>
        <v/>
      </c>
      <c r="P436" s="6" t="str">
        <f aca="true">IF(OR($A436="",$I436=""),"",IF(MONTH($I436)=MONTH(TODAY()),"Yes",""))</f>
        <v/>
      </c>
      <c r="Q436" s="21" t="str">
        <f aca="false">IF($A436="","",IF($C436=0,"",_xlfn.MINIFS('Daily tracking'!$A$2:$A$2001,'Daily tracking'!$D$2:$D$2001,$A436)))</f>
        <v/>
      </c>
      <c r="R436" s="6" t="str">
        <f aca="false">IF(OR($A436="",$C436&lt;2),"",($E436-$Q436)/($C436-1))</f>
        <v/>
      </c>
    </row>
    <row r="437" customFormat="false" ht="14.25" hidden="false" customHeight="false" outlineLevel="0" collapsed="false">
      <c r="A437" s="19"/>
      <c r="B437" s="19"/>
      <c r="C437" s="15" t="str">
        <f aca="false">IF($A437="","",COUNTIF('Daily tracking'!$D$2:$D$2001,$A437))</f>
        <v/>
      </c>
      <c r="D437" s="16" t="str">
        <f aca="false">IF($A437="","",SUMIF('Daily tracking'!$D$2:$D$2001,$A437,'Daily tracking'!$G$2:$G$2001))</f>
        <v/>
      </c>
      <c r="E437" s="18" t="str">
        <f aca="false">IF($A437="","",IF($C437=0,"",_xlfn.MAXIFS('Daily tracking'!$A$2:$A$2001,'Daily tracking'!$D$2:$D$2001,$A437)))</f>
        <v/>
      </c>
      <c r="F437" s="6" t="str">
        <f aca="true">IF(OR($A437="",$E437=""),"",TODAY()-$E437)</f>
        <v/>
      </c>
      <c r="G437" s="3" t="str">
        <f aca="false">IF($A437="","",IF($C437=0,"No visits",IF($F437&gt;90,"Lapsed",IF($F437&gt;35,"At risk",IF($C437&gt;=4,"Loyal","Active")))))</f>
        <v/>
      </c>
      <c r="H437" s="9" t="str">
        <f aca="false">IF(OR($A437="",$C437=0),"",$D437/$C437)</f>
        <v/>
      </c>
      <c r="I437" s="20"/>
      <c r="J437" s="20"/>
      <c r="K437" s="19"/>
      <c r="L437" s="19"/>
      <c r="M437" s="19"/>
      <c r="N437" s="15" t="str">
        <f aca="false">IF($A437="","",IF($C437=0,0,(IF($F437&lt;=15,5,IF($F437&lt;=30,4,IF($F437&lt;=45,3,IF($F437&lt;=90,2,1))))+IF($C437&gt;=10,5,IF($C437&gt;=6,4,IF($C437&gt;=4,3,IF($C437&gt;=2,2,1))))+IF($D437&gt;=20000,5,IF($D437&gt;=10000,4,IF($D437&gt;=5000,3,IF($D437&gt;=2000,2,1)))))))</f>
        <v/>
      </c>
      <c r="O437" s="3" t="str">
        <f aca="false">IF($A437="","",IF($C437=0,"No visits",IF($N437&gt;=13,"VIP",IF($N437&gt;=10,"High value",IF($N437&gt;=7,"Regular",IF($N437&gt;=4,"Occasional","Low"))))))</f>
        <v/>
      </c>
      <c r="P437" s="6" t="str">
        <f aca="true">IF(OR($A437="",$I437=""),"",IF(MONTH($I437)=MONTH(TODAY()),"Yes",""))</f>
        <v/>
      </c>
      <c r="Q437" s="21" t="str">
        <f aca="false">IF($A437="","",IF($C437=0,"",_xlfn.MINIFS('Daily tracking'!$A$2:$A$2001,'Daily tracking'!$D$2:$D$2001,$A437)))</f>
        <v/>
      </c>
      <c r="R437" s="6" t="str">
        <f aca="false">IF(OR($A437="",$C437&lt;2),"",($E437-$Q437)/($C437-1))</f>
        <v/>
      </c>
    </row>
    <row r="438" customFormat="false" ht="14.25" hidden="false" customHeight="false" outlineLevel="0" collapsed="false">
      <c r="A438" s="19"/>
      <c r="B438" s="19"/>
      <c r="C438" s="15" t="str">
        <f aca="false">IF($A438="","",COUNTIF('Daily tracking'!$D$2:$D$2001,$A438))</f>
        <v/>
      </c>
      <c r="D438" s="16" t="str">
        <f aca="false">IF($A438="","",SUMIF('Daily tracking'!$D$2:$D$2001,$A438,'Daily tracking'!$G$2:$G$2001))</f>
        <v/>
      </c>
      <c r="E438" s="18" t="str">
        <f aca="false">IF($A438="","",IF($C438=0,"",_xlfn.MAXIFS('Daily tracking'!$A$2:$A$2001,'Daily tracking'!$D$2:$D$2001,$A438)))</f>
        <v/>
      </c>
      <c r="F438" s="6" t="str">
        <f aca="true">IF(OR($A438="",$E438=""),"",TODAY()-$E438)</f>
        <v/>
      </c>
      <c r="G438" s="3" t="str">
        <f aca="false">IF($A438="","",IF($C438=0,"No visits",IF($F438&gt;90,"Lapsed",IF($F438&gt;35,"At risk",IF($C438&gt;=4,"Loyal","Active")))))</f>
        <v/>
      </c>
      <c r="H438" s="9" t="str">
        <f aca="false">IF(OR($A438="",$C438=0),"",$D438/$C438)</f>
        <v/>
      </c>
      <c r="I438" s="20"/>
      <c r="J438" s="20"/>
      <c r="K438" s="19"/>
      <c r="L438" s="19"/>
      <c r="M438" s="19"/>
      <c r="N438" s="15" t="str">
        <f aca="false">IF($A438="","",IF($C438=0,0,(IF($F438&lt;=15,5,IF($F438&lt;=30,4,IF($F438&lt;=45,3,IF($F438&lt;=90,2,1))))+IF($C438&gt;=10,5,IF($C438&gt;=6,4,IF($C438&gt;=4,3,IF($C438&gt;=2,2,1))))+IF($D438&gt;=20000,5,IF($D438&gt;=10000,4,IF($D438&gt;=5000,3,IF($D438&gt;=2000,2,1)))))))</f>
        <v/>
      </c>
      <c r="O438" s="3" t="str">
        <f aca="false">IF($A438="","",IF($C438=0,"No visits",IF($N438&gt;=13,"VIP",IF($N438&gt;=10,"High value",IF($N438&gt;=7,"Regular",IF($N438&gt;=4,"Occasional","Low"))))))</f>
        <v/>
      </c>
      <c r="P438" s="6" t="str">
        <f aca="true">IF(OR($A438="",$I438=""),"",IF(MONTH($I438)=MONTH(TODAY()),"Yes",""))</f>
        <v/>
      </c>
      <c r="Q438" s="21" t="str">
        <f aca="false">IF($A438="","",IF($C438=0,"",_xlfn.MINIFS('Daily tracking'!$A$2:$A$2001,'Daily tracking'!$D$2:$D$2001,$A438)))</f>
        <v/>
      </c>
      <c r="R438" s="6" t="str">
        <f aca="false">IF(OR($A438="",$C438&lt;2),"",($E438-$Q438)/($C438-1))</f>
        <v/>
      </c>
    </row>
    <row r="439" customFormat="false" ht="14.25" hidden="false" customHeight="false" outlineLevel="0" collapsed="false">
      <c r="A439" s="19"/>
      <c r="B439" s="19"/>
      <c r="C439" s="15" t="str">
        <f aca="false">IF($A439="","",COUNTIF('Daily tracking'!$D$2:$D$2001,$A439))</f>
        <v/>
      </c>
      <c r="D439" s="16" t="str">
        <f aca="false">IF($A439="","",SUMIF('Daily tracking'!$D$2:$D$2001,$A439,'Daily tracking'!$G$2:$G$2001))</f>
        <v/>
      </c>
      <c r="E439" s="18" t="str">
        <f aca="false">IF($A439="","",IF($C439=0,"",_xlfn.MAXIFS('Daily tracking'!$A$2:$A$2001,'Daily tracking'!$D$2:$D$2001,$A439)))</f>
        <v/>
      </c>
      <c r="F439" s="6" t="str">
        <f aca="true">IF(OR($A439="",$E439=""),"",TODAY()-$E439)</f>
        <v/>
      </c>
      <c r="G439" s="3" t="str">
        <f aca="false">IF($A439="","",IF($C439=0,"No visits",IF($F439&gt;90,"Lapsed",IF($F439&gt;35,"At risk",IF($C439&gt;=4,"Loyal","Active")))))</f>
        <v/>
      </c>
      <c r="H439" s="9" t="str">
        <f aca="false">IF(OR($A439="",$C439=0),"",$D439/$C439)</f>
        <v/>
      </c>
      <c r="I439" s="20"/>
      <c r="J439" s="20"/>
      <c r="K439" s="19"/>
      <c r="L439" s="19"/>
      <c r="M439" s="19"/>
      <c r="N439" s="15" t="str">
        <f aca="false">IF($A439="","",IF($C439=0,0,(IF($F439&lt;=15,5,IF($F439&lt;=30,4,IF($F439&lt;=45,3,IF($F439&lt;=90,2,1))))+IF($C439&gt;=10,5,IF($C439&gt;=6,4,IF($C439&gt;=4,3,IF($C439&gt;=2,2,1))))+IF($D439&gt;=20000,5,IF($D439&gt;=10000,4,IF($D439&gt;=5000,3,IF($D439&gt;=2000,2,1)))))))</f>
        <v/>
      </c>
      <c r="O439" s="3" t="str">
        <f aca="false">IF($A439="","",IF($C439=0,"No visits",IF($N439&gt;=13,"VIP",IF($N439&gt;=10,"High value",IF($N439&gt;=7,"Regular",IF($N439&gt;=4,"Occasional","Low"))))))</f>
        <v/>
      </c>
      <c r="P439" s="6" t="str">
        <f aca="true">IF(OR($A439="",$I439=""),"",IF(MONTH($I439)=MONTH(TODAY()),"Yes",""))</f>
        <v/>
      </c>
      <c r="Q439" s="21" t="str">
        <f aca="false">IF($A439="","",IF($C439=0,"",_xlfn.MINIFS('Daily tracking'!$A$2:$A$2001,'Daily tracking'!$D$2:$D$2001,$A439)))</f>
        <v/>
      </c>
      <c r="R439" s="6" t="str">
        <f aca="false">IF(OR($A439="",$C439&lt;2),"",($E439-$Q439)/($C439-1))</f>
        <v/>
      </c>
    </row>
    <row r="440" customFormat="false" ht="14.25" hidden="false" customHeight="false" outlineLevel="0" collapsed="false">
      <c r="A440" s="19"/>
      <c r="B440" s="19"/>
      <c r="C440" s="15" t="str">
        <f aca="false">IF($A440="","",COUNTIF('Daily tracking'!$D$2:$D$2001,$A440))</f>
        <v/>
      </c>
      <c r="D440" s="16" t="str">
        <f aca="false">IF($A440="","",SUMIF('Daily tracking'!$D$2:$D$2001,$A440,'Daily tracking'!$G$2:$G$2001))</f>
        <v/>
      </c>
      <c r="E440" s="18" t="str">
        <f aca="false">IF($A440="","",IF($C440=0,"",_xlfn.MAXIFS('Daily tracking'!$A$2:$A$2001,'Daily tracking'!$D$2:$D$2001,$A440)))</f>
        <v/>
      </c>
      <c r="F440" s="6" t="str">
        <f aca="true">IF(OR($A440="",$E440=""),"",TODAY()-$E440)</f>
        <v/>
      </c>
      <c r="G440" s="3" t="str">
        <f aca="false">IF($A440="","",IF($C440=0,"No visits",IF($F440&gt;90,"Lapsed",IF($F440&gt;35,"At risk",IF($C440&gt;=4,"Loyal","Active")))))</f>
        <v/>
      </c>
      <c r="H440" s="9" t="str">
        <f aca="false">IF(OR($A440="",$C440=0),"",$D440/$C440)</f>
        <v/>
      </c>
      <c r="I440" s="20"/>
      <c r="J440" s="20"/>
      <c r="K440" s="19"/>
      <c r="L440" s="19"/>
      <c r="M440" s="19"/>
      <c r="N440" s="15" t="str">
        <f aca="false">IF($A440="","",IF($C440=0,0,(IF($F440&lt;=15,5,IF($F440&lt;=30,4,IF($F440&lt;=45,3,IF($F440&lt;=90,2,1))))+IF($C440&gt;=10,5,IF($C440&gt;=6,4,IF($C440&gt;=4,3,IF($C440&gt;=2,2,1))))+IF($D440&gt;=20000,5,IF($D440&gt;=10000,4,IF($D440&gt;=5000,3,IF($D440&gt;=2000,2,1)))))))</f>
        <v/>
      </c>
      <c r="O440" s="3" t="str">
        <f aca="false">IF($A440="","",IF($C440=0,"No visits",IF($N440&gt;=13,"VIP",IF($N440&gt;=10,"High value",IF($N440&gt;=7,"Regular",IF($N440&gt;=4,"Occasional","Low"))))))</f>
        <v/>
      </c>
      <c r="P440" s="6" t="str">
        <f aca="true">IF(OR($A440="",$I440=""),"",IF(MONTH($I440)=MONTH(TODAY()),"Yes",""))</f>
        <v/>
      </c>
      <c r="Q440" s="21" t="str">
        <f aca="false">IF($A440="","",IF($C440=0,"",_xlfn.MINIFS('Daily tracking'!$A$2:$A$2001,'Daily tracking'!$D$2:$D$2001,$A440)))</f>
        <v/>
      </c>
      <c r="R440" s="6" t="str">
        <f aca="false">IF(OR($A440="",$C440&lt;2),"",($E440-$Q440)/($C440-1))</f>
        <v/>
      </c>
    </row>
    <row r="441" customFormat="false" ht="14.25" hidden="false" customHeight="false" outlineLevel="0" collapsed="false">
      <c r="A441" s="19"/>
      <c r="B441" s="19"/>
      <c r="C441" s="15" t="str">
        <f aca="false">IF($A441="","",COUNTIF('Daily tracking'!$D$2:$D$2001,$A441))</f>
        <v/>
      </c>
      <c r="D441" s="16" t="str">
        <f aca="false">IF($A441="","",SUMIF('Daily tracking'!$D$2:$D$2001,$A441,'Daily tracking'!$G$2:$G$2001))</f>
        <v/>
      </c>
      <c r="E441" s="18" t="str">
        <f aca="false">IF($A441="","",IF($C441=0,"",_xlfn.MAXIFS('Daily tracking'!$A$2:$A$2001,'Daily tracking'!$D$2:$D$2001,$A441)))</f>
        <v/>
      </c>
      <c r="F441" s="6" t="str">
        <f aca="true">IF(OR($A441="",$E441=""),"",TODAY()-$E441)</f>
        <v/>
      </c>
      <c r="G441" s="3" t="str">
        <f aca="false">IF($A441="","",IF($C441=0,"No visits",IF($F441&gt;90,"Lapsed",IF($F441&gt;35,"At risk",IF($C441&gt;=4,"Loyal","Active")))))</f>
        <v/>
      </c>
      <c r="H441" s="9" t="str">
        <f aca="false">IF(OR($A441="",$C441=0),"",$D441/$C441)</f>
        <v/>
      </c>
      <c r="I441" s="20"/>
      <c r="J441" s="20"/>
      <c r="K441" s="19"/>
      <c r="L441" s="19"/>
      <c r="M441" s="19"/>
      <c r="N441" s="15" t="str">
        <f aca="false">IF($A441="","",IF($C441=0,0,(IF($F441&lt;=15,5,IF($F441&lt;=30,4,IF($F441&lt;=45,3,IF($F441&lt;=90,2,1))))+IF($C441&gt;=10,5,IF($C441&gt;=6,4,IF($C441&gt;=4,3,IF($C441&gt;=2,2,1))))+IF($D441&gt;=20000,5,IF($D441&gt;=10000,4,IF($D441&gt;=5000,3,IF($D441&gt;=2000,2,1)))))))</f>
        <v/>
      </c>
      <c r="O441" s="3" t="str">
        <f aca="false">IF($A441="","",IF($C441=0,"No visits",IF($N441&gt;=13,"VIP",IF($N441&gt;=10,"High value",IF($N441&gt;=7,"Regular",IF($N441&gt;=4,"Occasional","Low"))))))</f>
        <v/>
      </c>
      <c r="P441" s="6" t="str">
        <f aca="true">IF(OR($A441="",$I441=""),"",IF(MONTH($I441)=MONTH(TODAY()),"Yes",""))</f>
        <v/>
      </c>
      <c r="Q441" s="21" t="str">
        <f aca="false">IF($A441="","",IF($C441=0,"",_xlfn.MINIFS('Daily tracking'!$A$2:$A$2001,'Daily tracking'!$D$2:$D$2001,$A441)))</f>
        <v/>
      </c>
      <c r="R441" s="6" t="str">
        <f aca="false">IF(OR($A441="",$C441&lt;2),"",($E441-$Q441)/($C441-1))</f>
        <v/>
      </c>
    </row>
    <row r="442" customFormat="false" ht="14.25" hidden="false" customHeight="false" outlineLevel="0" collapsed="false">
      <c r="A442" s="19"/>
      <c r="B442" s="19"/>
      <c r="C442" s="15" t="str">
        <f aca="false">IF($A442="","",COUNTIF('Daily tracking'!$D$2:$D$2001,$A442))</f>
        <v/>
      </c>
      <c r="D442" s="16" t="str">
        <f aca="false">IF($A442="","",SUMIF('Daily tracking'!$D$2:$D$2001,$A442,'Daily tracking'!$G$2:$G$2001))</f>
        <v/>
      </c>
      <c r="E442" s="18" t="str">
        <f aca="false">IF($A442="","",IF($C442=0,"",_xlfn.MAXIFS('Daily tracking'!$A$2:$A$2001,'Daily tracking'!$D$2:$D$2001,$A442)))</f>
        <v/>
      </c>
      <c r="F442" s="6" t="str">
        <f aca="true">IF(OR($A442="",$E442=""),"",TODAY()-$E442)</f>
        <v/>
      </c>
      <c r="G442" s="3" t="str">
        <f aca="false">IF($A442="","",IF($C442=0,"No visits",IF($F442&gt;90,"Lapsed",IF($F442&gt;35,"At risk",IF($C442&gt;=4,"Loyal","Active")))))</f>
        <v/>
      </c>
      <c r="H442" s="9" t="str">
        <f aca="false">IF(OR($A442="",$C442=0),"",$D442/$C442)</f>
        <v/>
      </c>
      <c r="I442" s="20"/>
      <c r="J442" s="20"/>
      <c r="K442" s="19"/>
      <c r="L442" s="19"/>
      <c r="M442" s="19"/>
      <c r="N442" s="15" t="str">
        <f aca="false">IF($A442="","",IF($C442=0,0,(IF($F442&lt;=15,5,IF($F442&lt;=30,4,IF($F442&lt;=45,3,IF($F442&lt;=90,2,1))))+IF($C442&gt;=10,5,IF($C442&gt;=6,4,IF($C442&gt;=4,3,IF($C442&gt;=2,2,1))))+IF($D442&gt;=20000,5,IF($D442&gt;=10000,4,IF($D442&gt;=5000,3,IF($D442&gt;=2000,2,1)))))))</f>
        <v/>
      </c>
      <c r="O442" s="3" t="str">
        <f aca="false">IF($A442="","",IF($C442=0,"No visits",IF($N442&gt;=13,"VIP",IF($N442&gt;=10,"High value",IF($N442&gt;=7,"Regular",IF($N442&gt;=4,"Occasional","Low"))))))</f>
        <v/>
      </c>
      <c r="P442" s="6" t="str">
        <f aca="true">IF(OR($A442="",$I442=""),"",IF(MONTH($I442)=MONTH(TODAY()),"Yes",""))</f>
        <v/>
      </c>
      <c r="Q442" s="21" t="str">
        <f aca="false">IF($A442="","",IF($C442=0,"",_xlfn.MINIFS('Daily tracking'!$A$2:$A$2001,'Daily tracking'!$D$2:$D$2001,$A442)))</f>
        <v/>
      </c>
      <c r="R442" s="6" t="str">
        <f aca="false">IF(OR($A442="",$C442&lt;2),"",($E442-$Q442)/($C442-1))</f>
        <v/>
      </c>
    </row>
    <row r="443" customFormat="false" ht="14.25" hidden="false" customHeight="false" outlineLevel="0" collapsed="false">
      <c r="A443" s="19"/>
      <c r="B443" s="19"/>
      <c r="C443" s="15" t="str">
        <f aca="false">IF($A443="","",COUNTIF('Daily tracking'!$D$2:$D$2001,$A443))</f>
        <v/>
      </c>
      <c r="D443" s="16" t="str">
        <f aca="false">IF($A443="","",SUMIF('Daily tracking'!$D$2:$D$2001,$A443,'Daily tracking'!$G$2:$G$2001))</f>
        <v/>
      </c>
      <c r="E443" s="18" t="str">
        <f aca="false">IF($A443="","",IF($C443=0,"",_xlfn.MAXIFS('Daily tracking'!$A$2:$A$2001,'Daily tracking'!$D$2:$D$2001,$A443)))</f>
        <v/>
      </c>
      <c r="F443" s="6" t="str">
        <f aca="true">IF(OR($A443="",$E443=""),"",TODAY()-$E443)</f>
        <v/>
      </c>
      <c r="G443" s="3" t="str">
        <f aca="false">IF($A443="","",IF($C443=0,"No visits",IF($F443&gt;90,"Lapsed",IF($F443&gt;35,"At risk",IF($C443&gt;=4,"Loyal","Active")))))</f>
        <v/>
      </c>
      <c r="H443" s="9" t="str">
        <f aca="false">IF(OR($A443="",$C443=0),"",$D443/$C443)</f>
        <v/>
      </c>
      <c r="I443" s="20"/>
      <c r="J443" s="20"/>
      <c r="K443" s="19"/>
      <c r="L443" s="19"/>
      <c r="M443" s="19"/>
      <c r="N443" s="15" t="str">
        <f aca="false">IF($A443="","",IF($C443=0,0,(IF($F443&lt;=15,5,IF($F443&lt;=30,4,IF($F443&lt;=45,3,IF($F443&lt;=90,2,1))))+IF($C443&gt;=10,5,IF($C443&gt;=6,4,IF($C443&gt;=4,3,IF($C443&gt;=2,2,1))))+IF($D443&gt;=20000,5,IF($D443&gt;=10000,4,IF($D443&gt;=5000,3,IF($D443&gt;=2000,2,1)))))))</f>
        <v/>
      </c>
      <c r="O443" s="3" t="str">
        <f aca="false">IF($A443="","",IF($C443=0,"No visits",IF($N443&gt;=13,"VIP",IF($N443&gt;=10,"High value",IF($N443&gt;=7,"Regular",IF($N443&gt;=4,"Occasional","Low"))))))</f>
        <v/>
      </c>
      <c r="P443" s="6" t="str">
        <f aca="true">IF(OR($A443="",$I443=""),"",IF(MONTH($I443)=MONTH(TODAY()),"Yes",""))</f>
        <v/>
      </c>
      <c r="Q443" s="21" t="str">
        <f aca="false">IF($A443="","",IF($C443=0,"",_xlfn.MINIFS('Daily tracking'!$A$2:$A$2001,'Daily tracking'!$D$2:$D$2001,$A443)))</f>
        <v/>
      </c>
      <c r="R443" s="6" t="str">
        <f aca="false">IF(OR($A443="",$C443&lt;2),"",($E443-$Q443)/($C443-1))</f>
        <v/>
      </c>
    </row>
    <row r="444" customFormat="false" ht="14.25" hidden="false" customHeight="false" outlineLevel="0" collapsed="false">
      <c r="A444" s="19"/>
      <c r="B444" s="19"/>
      <c r="C444" s="15" t="str">
        <f aca="false">IF($A444="","",COUNTIF('Daily tracking'!$D$2:$D$2001,$A444))</f>
        <v/>
      </c>
      <c r="D444" s="16" t="str">
        <f aca="false">IF($A444="","",SUMIF('Daily tracking'!$D$2:$D$2001,$A444,'Daily tracking'!$G$2:$G$2001))</f>
        <v/>
      </c>
      <c r="E444" s="18" t="str">
        <f aca="false">IF($A444="","",IF($C444=0,"",_xlfn.MAXIFS('Daily tracking'!$A$2:$A$2001,'Daily tracking'!$D$2:$D$2001,$A444)))</f>
        <v/>
      </c>
      <c r="F444" s="6" t="str">
        <f aca="true">IF(OR($A444="",$E444=""),"",TODAY()-$E444)</f>
        <v/>
      </c>
      <c r="G444" s="3" t="str">
        <f aca="false">IF($A444="","",IF($C444=0,"No visits",IF($F444&gt;90,"Lapsed",IF($F444&gt;35,"At risk",IF($C444&gt;=4,"Loyal","Active")))))</f>
        <v/>
      </c>
      <c r="H444" s="9" t="str">
        <f aca="false">IF(OR($A444="",$C444=0),"",$D444/$C444)</f>
        <v/>
      </c>
      <c r="I444" s="20"/>
      <c r="J444" s="20"/>
      <c r="K444" s="19"/>
      <c r="L444" s="19"/>
      <c r="M444" s="19"/>
      <c r="N444" s="15" t="str">
        <f aca="false">IF($A444="","",IF($C444=0,0,(IF($F444&lt;=15,5,IF($F444&lt;=30,4,IF($F444&lt;=45,3,IF($F444&lt;=90,2,1))))+IF($C444&gt;=10,5,IF($C444&gt;=6,4,IF($C444&gt;=4,3,IF($C444&gt;=2,2,1))))+IF($D444&gt;=20000,5,IF($D444&gt;=10000,4,IF($D444&gt;=5000,3,IF($D444&gt;=2000,2,1)))))))</f>
        <v/>
      </c>
      <c r="O444" s="3" t="str">
        <f aca="false">IF($A444="","",IF($C444=0,"No visits",IF($N444&gt;=13,"VIP",IF($N444&gt;=10,"High value",IF($N444&gt;=7,"Regular",IF($N444&gt;=4,"Occasional","Low"))))))</f>
        <v/>
      </c>
      <c r="P444" s="6" t="str">
        <f aca="true">IF(OR($A444="",$I444=""),"",IF(MONTH($I444)=MONTH(TODAY()),"Yes",""))</f>
        <v/>
      </c>
      <c r="Q444" s="21" t="str">
        <f aca="false">IF($A444="","",IF($C444=0,"",_xlfn.MINIFS('Daily tracking'!$A$2:$A$2001,'Daily tracking'!$D$2:$D$2001,$A444)))</f>
        <v/>
      </c>
      <c r="R444" s="6" t="str">
        <f aca="false">IF(OR($A444="",$C444&lt;2),"",($E444-$Q444)/($C444-1))</f>
        <v/>
      </c>
    </row>
    <row r="445" customFormat="false" ht="14.25" hidden="false" customHeight="false" outlineLevel="0" collapsed="false">
      <c r="A445" s="19"/>
      <c r="B445" s="19"/>
      <c r="C445" s="15" t="str">
        <f aca="false">IF($A445="","",COUNTIF('Daily tracking'!$D$2:$D$2001,$A445))</f>
        <v/>
      </c>
      <c r="D445" s="16" t="str">
        <f aca="false">IF($A445="","",SUMIF('Daily tracking'!$D$2:$D$2001,$A445,'Daily tracking'!$G$2:$G$2001))</f>
        <v/>
      </c>
      <c r="E445" s="18" t="str">
        <f aca="false">IF($A445="","",IF($C445=0,"",_xlfn.MAXIFS('Daily tracking'!$A$2:$A$2001,'Daily tracking'!$D$2:$D$2001,$A445)))</f>
        <v/>
      </c>
      <c r="F445" s="6" t="str">
        <f aca="true">IF(OR($A445="",$E445=""),"",TODAY()-$E445)</f>
        <v/>
      </c>
      <c r="G445" s="3" t="str">
        <f aca="false">IF($A445="","",IF($C445=0,"No visits",IF($F445&gt;90,"Lapsed",IF($F445&gt;35,"At risk",IF($C445&gt;=4,"Loyal","Active")))))</f>
        <v/>
      </c>
      <c r="H445" s="9" t="str">
        <f aca="false">IF(OR($A445="",$C445=0),"",$D445/$C445)</f>
        <v/>
      </c>
      <c r="I445" s="20"/>
      <c r="J445" s="20"/>
      <c r="K445" s="19"/>
      <c r="L445" s="19"/>
      <c r="M445" s="19"/>
      <c r="N445" s="15" t="str">
        <f aca="false">IF($A445="","",IF($C445=0,0,(IF($F445&lt;=15,5,IF($F445&lt;=30,4,IF($F445&lt;=45,3,IF($F445&lt;=90,2,1))))+IF($C445&gt;=10,5,IF($C445&gt;=6,4,IF($C445&gt;=4,3,IF($C445&gt;=2,2,1))))+IF($D445&gt;=20000,5,IF($D445&gt;=10000,4,IF($D445&gt;=5000,3,IF($D445&gt;=2000,2,1)))))))</f>
        <v/>
      </c>
      <c r="O445" s="3" t="str">
        <f aca="false">IF($A445="","",IF($C445=0,"No visits",IF($N445&gt;=13,"VIP",IF($N445&gt;=10,"High value",IF($N445&gt;=7,"Regular",IF($N445&gt;=4,"Occasional","Low"))))))</f>
        <v/>
      </c>
      <c r="P445" s="6" t="str">
        <f aca="true">IF(OR($A445="",$I445=""),"",IF(MONTH($I445)=MONTH(TODAY()),"Yes",""))</f>
        <v/>
      </c>
      <c r="Q445" s="21" t="str">
        <f aca="false">IF($A445="","",IF($C445=0,"",_xlfn.MINIFS('Daily tracking'!$A$2:$A$2001,'Daily tracking'!$D$2:$D$2001,$A445)))</f>
        <v/>
      </c>
      <c r="R445" s="6" t="str">
        <f aca="false">IF(OR($A445="",$C445&lt;2),"",($E445-$Q445)/($C445-1))</f>
        <v/>
      </c>
    </row>
    <row r="446" customFormat="false" ht="14.25" hidden="false" customHeight="false" outlineLevel="0" collapsed="false">
      <c r="A446" s="19"/>
      <c r="B446" s="19"/>
      <c r="C446" s="15" t="str">
        <f aca="false">IF($A446="","",COUNTIF('Daily tracking'!$D$2:$D$2001,$A446))</f>
        <v/>
      </c>
      <c r="D446" s="16" t="str">
        <f aca="false">IF($A446="","",SUMIF('Daily tracking'!$D$2:$D$2001,$A446,'Daily tracking'!$G$2:$G$2001))</f>
        <v/>
      </c>
      <c r="E446" s="18" t="str">
        <f aca="false">IF($A446="","",IF($C446=0,"",_xlfn.MAXIFS('Daily tracking'!$A$2:$A$2001,'Daily tracking'!$D$2:$D$2001,$A446)))</f>
        <v/>
      </c>
      <c r="F446" s="6" t="str">
        <f aca="true">IF(OR($A446="",$E446=""),"",TODAY()-$E446)</f>
        <v/>
      </c>
      <c r="G446" s="3" t="str">
        <f aca="false">IF($A446="","",IF($C446=0,"No visits",IF($F446&gt;90,"Lapsed",IF($F446&gt;35,"At risk",IF($C446&gt;=4,"Loyal","Active")))))</f>
        <v/>
      </c>
      <c r="H446" s="9" t="str">
        <f aca="false">IF(OR($A446="",$C446=0),"",$D446/$C446)</f>
        <v/>
      </c>
      <c r="I446" s="20"/>
      <c r="J446" s="20"/>
      <c r="K446" s="19"/>
      <c r="L446" s="19"/>
      <c r="M446" s="19"/>
      <c r="N446" s="15" t="str">
        <f aca="false">IF($A446="","",IF($C446=0,0,(IF($F446&lt;=15,5,IF($F446&lt;=30,4,IF($F446&lt;=45,3,IF($F446&lt;=90,2,1))))+IF($C446&gt;=10,5,IF($C446&gt;=6,4,IF($C446&gt;=4,3,IF($C446&gt;=2,2,1))))+IF($D446&gt;=20000,5,IF($D446&gt;=10000,4,IF($D446&gt;=5000,3,IF($D446&gt;=2000,2,1)))))))</f>
        <v/>
      </c>
      <c r="O446" s="3" t="str">
        <f aca="false">IF($A446="","",IF($C446=0,"No visits",IF($N446&gt;=13,"VIP",IF($N446&gt;=10,"High value",IF($N446&gt;=7,"Regular",IF($N446&gt;=4,"Occasional","Low"))))))</f>
        <v/>
      </c>
      <c r="P446" s="6" t="str">
        <f aca="true">IF(OR($A446="",$I446=""),"",IF(MONTH($I446)=MONTH(TODAY()),"Yes",""))</f>
        <v/>
      </c>
      <c r="Q446" s="21" t="str">
        <f aca="false">IF($A446="","",IF($C446=0,"",_xlfn.MINIFS('Daily tracking'!$A$2:$A$2001,'Daily tracking'!$D$2:$D$2001,$A446)))</f>
        <v/>
      </c>
      <c r="R446" s="6" t="str">
        <f aca="false">IF(OR($A446="",$C446&lt;2),"",($E446-$Q446)/($C446-1))</f>
        <v/>
      </c>
    </row>
    <row r="447" customFormat="false" ht="14.25" hidden="false" customHeight="false" outlineLevel="0" collapsed="false">
      <c r="A447" s="19"/>
      <c r="B447" s="19"/>
      <c r="C447" s="15" t="str">
        <f aca="false">IF($A447="","",COUNTIF('Daily tracking'!$D$2:$D$2001,$A447))</f>
        <v/>
      </c>
      <c r="D447" s="16" t="str">
        <f aca="false">IF($A447="","",SUMIF('Daily tracking'!$D$2:$D$2001,$A447,'Daily tracking'!$G$2:$G$2001))</f>
        <v/>
      </c>
      <c r="E447" s="18" t="str">
        <f aca="false">IF($A447="","",IF($C447=0,"",_xlfn.MAXIFS('Daily tracking'!$A$2:$A$2001,'Daily tracking'!$D$2:$D$2001,$A447)))</f>
        <v/>
      </c>
      <c r="F447" s="6" t="str">
        <f aca="true">IF(OR($A447="",$E447=""),"",TODAY()-$E447)</f>
        <v/>
      </c>
      <c r="G447" s="3" t="str">
        <f aca="false">IF($A447="","",IF($C447=0,"No visits",IF($F447&gt;90,"Lapsed",IF($F447&gt;35,"At risk",IF($C447&gt;=4,"Loyal","Active")))))</f>
        <v/>
      </c>
      <c r="H447" s="9" t="str">
        <f aca="false">IF(OR($A447="",$C447=0),"",$D447/$C447)</f>
        <v/>
      </c>
      <c r="I447" s="20"/>
      <c r="J447" s="20"/>
      <c r="K447" s="19"/>
      <c r="L447" s="19"/>
      <c r="M447" s="19"/>
      <c r="N447" s="15" t="str">
        <f aca="false">IF($A447="","",IF($C447=0,0,(IF($F447&lt;=15,5,IF($F447&lt;=30,4,IF($F447&lt;=45,3,IF($F447&lt;=90,2,1))))+IF($C447&gt;=10,5,IF($C447&gt;=6,4,IF($C447&gt;=4,3,IF($C447&gt;=2,2,1))))+IF($D447&gt;=20000,5,IF($D447&gt;=10000,4,IF($D447&gt;=5000,3,IF($D447&gt;=2000,2,1)))))))</f>
        <v/>
      </c>
      <c r="O447" s="3" t="str">
        <f aca="false">IF($A447="","",IF($C447=0,"No visits",IF($N447&gt;=13,"VIP",IF($N447&gt;=10,"High value",IF($N447&gt;=7,"Regular",IF($N447&gt;=4,"Occasional","Low"))))))</f>
        <v/>
      </c>
      <c r="P447" s="6" t="str">
        <f aca="true">IF(OR($A447="",$I447=""),"",IF(MONTH($I447)=MONTH(TODAY()),"Yes",""))</f>
        <v/>
      </c>
      <c r="Q447" s="21" t="str">
        <f aca="false">IF($A447="","",IF($C447=0,"",_xlfn.MINIFS('Daily tracking'!$A$2:$A$2001,'Daily tracking'!$D$2:$D$2001,$A447)))</f>
        <v/>
      </c>
      <c r="R447" s="6" t="str">
        <f aca="false">IF(OR($A447="",$C447&lt;2),"",($E447-$Q447)/($C447-1))</f>
        <v/>
      </c>
    </row>
    <row r="448" customFormat="false" ht="14.25" hidden="false" customHeight="false" outlineLevel="0" collapsed="false">
      <c r="A448" s="19"/>
      <c r="B448" s="19"/>
      <c r="C448" s="15" t="str">
        <f aca="false">IF($A448="","",COUNTIF('Daily tracking'!$D$2:$D$2001,$A448))</f>
        <v/>
      </c>
      <c r="D448" s="16" t="str">
        <f aca="false">IF($A448="","",SUMIF('Daily tracking'!$D$2:$D$2001,$A448,'Daily tracking'!$G$2:$G$2001))</f>
        <v/>
      </c>
      <c r="E448" s="18" t="str">
        <f aca="false">IF($A448="","",IF($C448=0,"",_xlfn.MAXIFS('Daily tracking'!$A$2:$A$2001,'Daily tracking'!$D$2:$D$2001,$A448)))</f>
        <v/>
      </c>
      <c r="F448" s="6" t="str">
        <f aca="true">IF(OR($A448="",$E448=""),"",TODAY()-$E448)</f>
        <v/>
      </c>
      <c r="G448" s="3" t="str">
        <f aca="false">IF($A448="","",IF($C448=0,"No visits",IF($F448&gt;90,"Lapsed",IF($F448&gt;35,"At risk",IF($C448&gt;=4,"Loyal","Active")))))</f>
        <v/>
      </c>
      <c r="H448" s="9" t="str">
        <f aca="false">IF(OR($A448="",$C448=0),"",$D448/$C448)</f>
        <v/>
      </c>
      <c r="I448" s="20"/>
      <c r="J448" s="20"/>
      <c r="K448" s="19"/>
      <c r="L448" s="19"/>
      <c r="M448" s="19"/>
      <c r="N448" s="15" t="str">
        <f aca="false">IF($A448="","",IF($C448=0,0,(IF($F448&lt;=15,5,IF($F448&lt;=30,4,IF($F448&lt;=45,3,IF($F448&lt;=90,2,1))))+IF($C448&gt;=10,5,IF($C448&gt;=6,4,IF($C448&gt;=4,3,IF($C448&gt;=2,2,1))))+IF($D448&gt;=20000,5,IF($D448&gt;=10000,4,IF($D448&gt;=5000,3,IF($D448&gt;=2000,2,1)))))))</f>
        <v/>
      </c>
      <c r="O448" s="3" t="str">
        <f aca="false">IF($A448="","",IF($C448=0,"No visits",IF($N448&gt;=13,"VIP",IF($N448&gt;=10,"High value",IF($N448&gt;=7,"Regular",IF($N448&gt;=4,"Occasional","Low"))))))</f>
        <v/>
      </c>
      <c r="P448" s="6" t="str">
        <f aca="true">IF(OR($A448="",$I448=""),"",IF(MONTH($I448)=MONTH(TODAY()),"Yes",""))</f>
        <v/>
      </c>
      <c r="Q448" s="21" t="str">
        <f aca="false">IF($A448="","",IF($C448=0,"",_xlfn.MINIFS('Daily tracking'!$A$2:$A$2001,'Daily tracking'!$D$2:$D$2001,$A448)))</f>
        <v/>
      </c>
      <c r="R448" s="6" t="str">
        <f aca="false">IF(OR($A448="",$C448&lt;2),"",($E448-$Q448)/($C448-1))</f>
        <v/>
      </c>
    </row>
    <row r="449" customFormat="false" ht="14.25" hidden="false" customHeight="false" outlineLevel="0" collapsed="false">
      <c r="A449" s="19"/>
      <c r="B449" s="19"/>
      <c r="C449" s="15" t="str">
        <f aca="false">IF($A449="","",COUNTIF('Daily tracking'!$D$2:$D$2001,$A449))</f>
        <v/>
      </c>
      <c r="D449" s="16" t="str">
        <f aca="false">IF($A449="","",SUMIF('Daily tracking'!$D$2:$D$2001,$A449,'Daily tracking'!$G$2:$G$2001))</f>
        <v/>
      </c>
      <c r="E449" s="18" t="str">
        <f aca="false">IF($A449="","",IF($C449=0,"",_xlfn.MAXIFS('Daily tracking'!$A$2:$A$2001,'Daily tracking'!$D$2:$D$2001,$A449)))</f>
        <v/>
      </c>
      <c r="F449" s="6" t="str">
        <f aca="true">IF(OR($A449="",$E449=""),"",TODAY()-$E449)</f>
        <v/>
      </c>
      <c r="G449" s="3" t="str">
        <f aca="false">IF($A449="","",IF($C449=0,"No visits",IF($F449&gt;90,"Lapsed",IF($F449&gt;35,"At risk",IF($C449&gt;=4,"Loyal","Active")))))</f>
        <v/>
      </c>
      <c r="H449" s="9" t="str">
        <f aca="false">IF(OR($A449="",$C449=0),"",$D449/$C449)</f>
        <v/>
      </c>
      <c r="I449" s="20"/>
      <c r="J449" s="20"/>
      <c r="K449" s="19"/>
      <c r="L449" s="19"/>
      <c r="M449" s="19"/>
      <c r="N449" s="15" t="str">
        <f aca="false">IF($A449="","",IF($C449=0,0,(IF($F449&lt;=15,5,IF($F449&lt;=30,4,IF($F449&lt;=45,3,IF($F449&lt;=90,2,1))))+IF($C449&gt;=10,5,IF($C449&gt;=6,4,IF($C449&gt;=4,3,IF($C449&gt;=2,2,1))))+IF($D449&gt;=20000,5,IF($D449&gt;=10000,4,IF($D449&gt;=5000,3,IF($D449&gt;=2000,2,1)))))))</f>
        <v/>
      </c>
      <c r="O449" s="3" t="str">
        <f aca="false">IF($A449="","",IF($C449=0,"No visits",IF($N449&gt;=13,"VIP",IF($N449&gt;=10,"High value",IF($N449&gt;=7,"Regular",IF($N449&gt;=4,"Occasional","Low"))))))</f>
        <v/>
      </c>
      <c r="P449" s="6" t="str">
        <f aca="true">IF(OR($A449="",$I449=""),"",IF(MONTH($I449)=MONTH(TODAY()),"Yes",""))</f>
        <v/>
      </c>
      <c r="Q449" s="21" t="str">
        <f aca="false">IF($A449="","",IF($C449=0,"",_xlfn.MINIFS('Daily tracking'!$A$2:$A$2001,'Daily tracking'!$D$2:$D$2001,$A449)))</f>
        <v/>
      </c>
      <c r="R449" s="6" t="str">
        <f aca="false">IF(OR($A449="",$C449&lt;2),"",($E449-$Q449)/($C449-1))</f>
        <v/>
      </c>
    </row>
    <row r="450" customFormat="false" ht="14.25" hidden="false" customHeight="false" outlineLevel="0" collapsed="false">
      <c r="A450" s="19"/>
      <c r="B450" s="19"/>
      <c r="C450" s="15" t="str">
        <f aca="false">IF($A450="","",COUNTIF('Daily tracking'!$D$2:$D$2001,$A450))</f>
        <v/>
      </c>
      <c r="D450" s="16" t="str">
        <f aca="false">IF($A450="","",SUMIF('Daily tracking'!$D$2:$D$2001,$A450,'Daily tracking'!$G$2:$G$2001))</f>
        <v/>
      </c>
      <c r="E450" s="18" t="str">
        <f aca="false">IF($A450="","",IF($C450=0,"",_xlfn.MAXIFS('Daily tracking'!$A$2:$A$2001,'Daily tracking'!$D$2:$D$2001,$A450)))</f>
        <v/>
      </c>
      <c r="F450" s="6" t="str">
        <f aca="true">IF(OR($A450="",$E450=""),"",TODAY()-$E450)</f>
        <v/>
      </c>
      <c r="G450" s="3" t="str">
        <f aca="false">IF($A450="","",IF($C450=0,"No visits",IF($F450&gt;90,"Lapsed",IF($F450&gt;35,"At risk",IF($C450&gt;=4,"Loyal","Active")))))</f>
        <v/>
      </c>
      <c r="H450" s="9" t="str">
        <f aca="false">IF(OR($A450="",$C450=0),"",$D450/$C450)</f>
        <v/>
      </c>
      <c r="I450" s="20"/>
      <c r="J450" s="20"/>
      <c r="K450" s="19"/>
      <c r="L450" s="19"/>
      <c r="M450" s="19"/>
      <c r="N450" s="15" t="str">
        <f aca="false">IF($A450="","",IF($C450=0,0,(IF($F450&lt;=15,5,IF($F450&lt;=30,4,IF($F450&lt;=45,3,IF($F450&lt;=90,2,1))))+IF($C450&gt;=10,5,IF($C450&gt;=6,4,IF($C450&gt;=4,3,IF($C450&gt;=2,2,1))))+IF($D450&gt;=20000,5,IF($D450&gt;=10000,4,IF($D450&gt;=5000,3,IF($D450&gt;=2000,2,1)))))))</f>
        <v/>
      </c>
      <c r="O450" s="3" t="str">
        <f aca="false">IF($A450="","",IF($C450=0,"No visits",IF($N450&gt;=13,"VIP",IF($N450&gt;=10,"High value",IF($N450&gt;=7,"Regular",IF($N450&gt;=4,"Occasional","Low"))))))</f>
        <v/>
      </c>
      <c r="P450" s="6" t="str">
        <f aca="true">IF(OR($A450="",$I450=""),"",IF(MONTH($I450)=MONTH(TODAY()),"Yes",""))</f>
        <v/>
      </c>
      <c r="Q450" s="21" t="str">
        <f aca="false">IF($A450="","",IF($C450=0,"",_xlfn.MINIFS('Daily tracking'!$A$2:$A$2001,'Daily tracking'!$D$2:$D$2001,$A450)))</f>
        <v/>
      </c>
      <c r="R450" s="6" t="str">
        <f aca="false">IF(OR($A450="",$C450&lt;2),"",($E450-$Q450)/($C450-1))</f>
        <v/>
      </c>
    </row>
    <row r="451" customFormat="false" ht="14.25" hidden="false" customHeight="false" outlineLevel="0" collapsed="false">
      <c r="A451" s="19"/>
      <c r="B451" s="19"/>
      <c r="C451" s="15" t="str">
        <f aca="false">IF($A451="","",COUNTIF('Daily tracking'!$D$2:$D$2001,$A451))</f>
        <v/>
      </c>
      <c r="D451" s="16" t="str">
        <f aca="false">IF($A451="","",SUMIF('Daily tracking'!$D$2:$D$2001,$A451,'Daily tracking'!$G$2:$G$2001))</f>
        <v/>
      </c>
      <c r="E451" s="18" t="str">
        <f aca="false">IF($A451="","",IF($C451=0,"",_xlfn.MAXIFS('Daily tracking'!$A$2:$A$2001,'Daily tracking'!$D$2:$D$2001,$A451)))</f>
        <v/>
      </c>
      <c r="F451" s="6" t="str">
        <f aca="true">IF(OR($A451="",$E451=""),"",TODAY()-$E451)</f>
        <v/>
      </c>
      <c r="G451" s="3" t="str">
        <f aca="false">IF($A451="","",IF($C451=0,"No visits",IF($F451&gt;90,"Lapsed",IF($F451&gt;35,"At risk",IF($C451&gt;=4,"Loyal","Active")))))</f>
        <v/>
      </c>
      <c r="H451" s="9" t="str">
        <f aca="false">IF(OR($A451="",$C451=0),"",$D451/$C451)</f>
        <v/>
      </c>
      <c r="I451" s="20"/>
      <c r="J451" s="20"/>
      <c r="K451" s="19"/>
      <c r="L451" s="19"/>
      <c r="M451" s="19"/>
      <c r="N451" s="15" t="str">
        <f aca="false">IF($A451="","",IF($C451=0,0,(IF($F451&lt;=15,5,IF($F451&lt;=30,4,IF($F451&lt;=45,3,IF($F451&lt;=90,2,1))))+IF($C451&gt;=10,5,IF($C451&gt;=6,4,IF($C451&gt;=4,3,IF($C451&gt;=2,2,1))))+IF($D451&gt;=20000,5,IF($D451&gt;=10000,4,IF($D451&gt;=5000,3,IF($D451&gt;=2000,2,1)))))))</f>
        <v/>
      </c>
      <c r="O451" s="3" t="str">
        <f aca="false">IF($A451="","",IF($C451=0,"No visits",IF($N451&gt;=13,"VIP",IF($N451&gt;=10,"High value",IF($N451&gt;=7,"Regular",IF($N451&gt;=4,"Occasional","Low"))))))</f>
        <v/>
      </c>
      <c r="P451" s="6" t="str">
        <f aca="true">IF(OR($A451="",$I451=""),"",IF(MONTH($I451)=MONTH(TODAY()),"Yes",""))</f>
        <v/>
      </c>
      <c r="Q451" s="21" t="str">
        <f aca="false">IF($A451="","",IF($C451=0,"",_xlfn.MINIFS('Daily tracking'!$A$2:$A$2001,'Daily tracking'!$D$2:$D$2001,$A451)))</f>
        <v/>
      </c>
      <c r="R451" s="6" t="str">
        <f aca="false">IF(OR($A451="",$C451&lt;2),"",($E451-$Q451)/($C451-1))</f>
        <v/>
      </c>
    </row>
    <row r="452" customFormat="false" ht="14.25" hidden="false" customHeight="false" outlineLevel="0" collapsed="false">
      <c r="A452" s="19"/>
      <c r="B452" s="19"/>
      <c r="C452" s="15" t="str">
        <f aca="false">IF($A452="","",COUNTIF('Daily tracking'!$D$2:$D$2001,$A452))</f>
        <v/>
      </c>
      <c r="D452" s="16" t="str">
        <f aca="false">IF($A452="","",SUMIF('Daily tracking'!$D$2:$D$2001,$A452,'Daily tracking'!$G$2:$G$2001))</f>
        <v/>
      </c>
      <c r="E452" s="18" t="str">
        <f aca="false">IF($A452="","",IF($C452=0,"",_xlfn.MAXIFS('Daily tracking'!$A$2:$A$2001,'Daily tracking'!$D$2:$D$2001,$A452)))</f>
        <v/>
      </c>
      <c r="F452" s="6" t="str">
        <f aca="true">IF(OR($A452="",$E452=""),"",TODAY()-$E452)</f>
        <v/>
      </c>
      <c r="G452" s="3" t="str">
        <f aca="false">IF($A452="","",IF($C452=0,"No visits",IF($F452&gt;90,"Lapsed",IF($F452&gt;35,"At risk",IF($C452&gt;=4,"Loyal","Active")))))</f>
        <v/>
      </c>
      <c r="H452" s="9" t="str">
        <f aca="false">IF(OR($A452="",$C452=0),"",$D452/$C452)</f>
        <v/>
      </c>
      <c r="I452" s="20"/>
      <c r="J452" s="20"/>
      <c r="K452" s="19"/>
      <c r="L452" s="19"/>
      <c r="M452" s="19"/>
      <c r="N452" s="15" t="str">
        <f aca="false">IF($A452="","",IF($C452=0,0,(IF($F452&lt;=15,5,IF($F452&lt;=30,4,IF($F452&lt;=45,3,IF($F452&lt;=90,2,1))))+IF($C452&gt;=10,5,IF($C452&gt;=6,4,IF($C452&gt;=4,3,IF($C452&gt;=2,2,1))))+IF($D452&gt;=20000,5,IF($D452&gt;=10000,4,IF($D452&gt;=5000,3,IF($D452&gt;=2000,2,1)))))))</f>
        <v/>
      </c>
      <c r="O452" s="3" t="str">
        <f aca="false">IF($A452="","",IF($C452=0,"No visits",IF($N452&gt;=13,"VIP",IF($N452&gt;=10,"High value",IF($N452&gt;=7,"Regular",IF($N452&gt;=4,"Occasional","Low"))))))</f>
        <v/>
      </c>
      <c r="P452" s="6" t="str">
        <f aca="true">IF(OR($A452="",$I452=""),"",IF(MONTH($I452)=MONTH(TODAY()),"Yes",""))</f>
        <v/>
      </c>
      <c r="Q452" s="21" t="str">
        <f aca="false">IF($A452="","",IF($C452=0,"",_xlfn.MINIFS('Daily tracking'!$A$2:$A$2001,'Daily tracking'!$D$2:$D$2001,$A452)))</f>
        <v/>
      </c>
      <c r="R452" s="6" t="str">
        <f aca="false">IF(OR($A452="",$C452&lt;2),"",($E452-$Q452)/($C452-1))</f>
        <v/>
      </c>
    </row>
    <row r="453" customFormat="false" ht="14.25" hidden="false" customHeight="false" outlineLevel="0" collapsed="false">
      <c r="A453" s="19"/>
      <c r="B453" s="19"/>
      <c r="C453" s="15" t="str">
        <f aca="false">IF($A453="","",COUNTIF('Daily tracking'!$D$2:$D$2001,$A453))</f>
        <v/>
      </c>
      <c r="D453" s="16" t="str">
        <f aca="false">IF($A453="","",SUMIF('Daily tracking'!$D$2:$D$2001,$A453,'Daily tracking'!$G$2:$G$2001))</f>
        <v/>
      </c>
      <c r="E453" s="18" t="str">
        <f aca="false">IF($A453="","",IF($C453=0,"",_xlfn.MAXIFS('Daily tracking'!$A$2:$A$2001,'Daily tracking'!$D$2:$D$2001,$A453)))</f>
        <v/>
      </c>
      <c r="F453" s="6" t="str">
        <f aca="true">IF(OR($A453="",$E453=""),"",TODAY()-$E453)</f>
        <v/>
      </c>
      <c r="G453" s="3" t="str">
        <f aca="false">IF($A453="","",IF($C453=0,"No visits",IF($F453&gt;90,"Lapsed",IF($F453&gt;35,"At risk",IF($C453&gt;=4,"Loyal","Active")))))</f>
        <v/>
      </c>
      <c r="H453" s="9" t="str">
        <f aca="false">IF(OR($A453="",$C453=0),"",$D453/$C453)</f>
        <v/>
      </c>
      <c r="I453" s="20"/>
      <c r="J453" s="20"/>
      <c r="K453" s="19"/>
      <c r="L453" s="19"/>
      <c r="M453" s="19"/>
      <c r="N453" s="15" t="str">
        <f aca="false">IF($A453="","",IF($C453=0,0,(IF($F453&lt;=15,5,IF($F453&lt;=30,4,IF($F453&lt;=45,3,IF($F453&lt;=90,2,1))))+IF($C453&gt;=10,5,IF($C453&gt;=6,4,IF($C453&gt;=4,3,IF($C453&gt;=2,2,1))))+IF($D453&gt;=20000,5,IF($D453&gt;=10000,4,IF($D453&gt;=5000,3,IF($D453&gt;=2000,2,1)))))))</f>
        <v/>
      </c>
      <c r="O453" s="3" t="str">
        <f aca="false">IF($A453="","",IF($C453=0,"No visits",IF($N453&gt;=13,"VIP",IF($N453&gt;=10,"High value",IF($N453&gt;=7,"Regular",IF($N453&gt;=4,"Occasional","Low"))))))</f>
        <v/>
      </c>
      <c r="P453" s="6" t="str">
        <f aca="true">IF(OR($A453="",$I453=""),"",IF(MONTH($I453)=MONTH(TODAY()),"Yes",""))</f>
        <v/>
      </c>
      <c r="Q453" s="21" t="str">
        <f aca="false">IF($A453="","",IF($C453=0,"",_xlfn.MINIFS('Daily tracking'!$A$2:$A$2001,'Daily tracking'!$D$2:$D$2001,$A453)))</f>
        <v/>
      </c>
      <c r="R453" s="6" t="str">
        <f aca="false">IF(OR($A453="",$C453&lt;2),"",($E453-$Q453)/($C453-1))</f>
        <v/>
      </c>
    </row>
    <row r="454" customFormat="false" ht="14.25" hidden="false" customHeight="false" outlineLevel="0" collapsed="false">
      <c r="A454" s="19"/>
      <c r="B454" s="19"/>
      <c r="C454" s="15" t="str">
        <f aca="false">IF($A454="","",COUNTIF('Daily tracking'!$D$2:$D$2001,$A454))</f>
        <v/>
      </c>
      <c r="D454" s="16" t="str">
        <f aca="false">IF($A454="","",SUMIF('Daily tracking'!$D$2:$D$2001,$A454,'Daily tracking'!$G$2:$G$2001))</f>
        <v/>
      </c>
      <c r="E454" s="18" t="str">
        <f aca="false">IF($A454="","",IF($C454=0,"",_xlfn.MAXIFS('Daily tracking'!$A$2:$A$2001,'Daily tracking'!$D$2:$D$2001,$A454)))</f>
        <v/>
      </c>
      <c r="F454" s="6" t="str">
        <f aca="true">IF(OR($A454="",$E454=""),"",TODAY()-$E454)</f>
        <v/>
      </c>
      <c r="G454" s="3" t="str">
        <f aca="false">IF($A454="","",IF($C454=0,"No visits",IF($F454&gt;90,"Lapsed",IF($F454&gt;35,"At risk",IF($C454&gt;=4,"Loyal","Active")))))</f>
        <v/>
      </c>
      <c r="H454" s="9" t="str">
        <f aca="false">IF(OR($A454="",$C454=0),"",$D454/$C454)</f>
        <v/>
      </c>
      <c r="I454" s="20"/>
      <c r="J454" s="20"/>
      <c r="K454" s="19"/>
      <c r="L454" s="19"/>
      <c r="M454" s="19"/>
      <c r="N454" s="15" t="str">
        <f aca="false">IF($A454="","",IF($C454=0,0,(IF($F454&lt;=15,5,IF($F454&lt;=30,4,IF($F454&lt;=45,3,IF($F454&lt;=90,2,1))))+IF($C454&gt;=10,5,IF($C454&gt;=6,4,IF($C454&gt;=4,3,IF($C454&gt;=2,2,1))))+IF($D454&gt;=20000,5,IF($D454&gt;=10000,4,IF($D454&gt;=5000,3,IF($D454&gt;=2000,2,1)))))))</f>
        <v/>
      </c>
      <c r="O454" s="3" t="str">
        <f aca="false">IF($A454="","",IF($C454=0,"No visits",IF($N454&gt;=13,"VIP",IF($N454&gt;=10,"High value",IF($N454&gt;=7,"Regular",IF($N454&gt;=4,"Occasional","Low"))))))</f>
        <v/>
      </c>
      <c r="P454" s="6" t="str">
        <f aca="true">IF(OR($A454="",$I454=""),"",IF(MONTH($I454)=MONTH(TODAY()),"Yes",""))</f>
        <v/>
      </c>
      <c r="Q454" s="21" t="str">
        <f aca="false">IF($A454="","",IF($C454=0,"",_xlfn.MINIFS('Daily tracking'!$A$2:$A$2001,'Daily tracking'!$D$2:$D$2001,$A454)))</f>
        <v/>
      </c>
      <c r="R454" s="6" t="str">
        <f aca="false">IF(OR($A454="",$C454&lt;2),"",($E454-$Q454)/($C454-1))</f>
        <v/>
      </c>
    </row>
    <row r="455" customFormat="false" ht="14.25" hidden="false" customHeight="false" outlineLevel="0" collapsed="false">
      <c r="A455" s="19"/>
      <c r="B455" s="19"/>
      <c r="C455" s="15" t="str">
        <f aca="false">IF($A455="","",COUNTIF('Daily tracking'!$D$2:$D$2001,$A455))</f>
        <v/>
      </c>
      <c r="D455" s="16" t="str">
        <f aca="false">IF($A455="","",SUMIF('Daily tracking'!$D$2:$D$2001,$A455,'Daily tracking'!$G$2:$G$2001))</f>
        <v/>
      </c>
      <c r="E455" s="18" t="str">
        <f aca="false">IF($A455="","",IF($C455=0,"",_xlfn.MAXIFS('Daily tracking'!$A$2:$A$2001,'Daily tracking'!$D$2:$D$2001,$A455)))</f>
        <v/>
      </c>
      <c r="F455" s="6" t="str">
        <f aca="true">IF(OR($A455="",$E455=""),"",TODAY()-$E455)</f>
        <v/>
      </c>
      <c r="G455" s="3" t="str">
        <f aca="false">IF($A455="","",IF($C455=0,"No visits",IF($F455&gt;90,"Lapsed",IF($F455&gt;35,"At risk",IF($C455&gt;=4,"Loyal","Active")))))</f>
        <v/>
      </c>
      <c r="H455" s="9" t="str">
        <f aca="false">IF(OR($A455="",$C455=0),"",$D455/$C455)</f>
        <v/>
      </c>
      <c r="I455" s="20"/>
      <c r="J455" s="20"/>
      <c r="K455" s="19"/>
      <c r="L455" s="19"/>
      <c r="M455" s="19"/>
      <c r="N455" s="15" t="str">
        <f aca="false">IF($A455="","",IF($C455=0,0,(IF($F455&lt;=15,5,IF($F455&lt;=30,4,IF($F455&lt;=45,3,IF($F455&lt;=90,2,1))))+IF($C455&gt;=10,5,IF($C455&gt;=6,4,IF($C455&gt;=4,3,IF($C455&gt;=2,2,1))))+IF($D455&gt;=20000,5,IF($D455&gt;=10000,4,IF($D455&gt;=5000,3,IF($D455&gt;=2000,2,1)))))))</f>
        <v/>
      </c>
      <c r="O455" s="3" t="str">
        <f aca="false">IF($A455="","",IF($C455=0,"No visits",IF($N455&gt;=13,"VIP",IF($N455&gt;=10,"High value",IF($N455&gt;=7,"Regular",IF($N455&gt;=4,"Occasional","Low"))))))</f>
        <v/>
      </c>
      <c r="P455" s="6" t="str">
        <f aca="true">IF(OR($A455="",$I455=""),"",IF(MONTH($I455)=MONTH(TODAY()),"Yes",""))</f>
        <v/>
      </c>
      <c r="Q455" s="21" t="str">
        <f aca="false">IF($A455="","",IF($C455=0,"",_xlfn.MINIFS('Daily tracking'!$A$2:$A$2001,'Daily tracking'!$D$2:$D$2001,$A455)))</f>
        <v/>
      </c>
      <c r="R455" s="6" t="str">
        <f aca="false">IF(OR($A455="",$C455&lt;2),"",($E455-$Q455)/($C455-1))</f>
        <v/>
      </c>
    </row>
    <row r="456" customFormat="false" ht="14.25" hidden="false" customHeight="false" outlineLevel="0" collapsed="false">
      <c r="A456" s="19"/>
      <c r="B456" s="19"/>
      <c r="C456" s="15" t="str">
        <f aca="false">IF($A456="","",COUNTIF('Daily tracking'!$D$2:$D$2001,$A456))</f>
        <v/>
      </c>
      <c r="D456" s="16" t="str">
        <f aca="false">IF($A456="","",SUMIF('Daily tracking'!$D$2:$D$2001,$A456,'Daily tracking'!$G$2:$G$2001))</f>
        <v/>
      </c>
      <c r="E456" s="18" t="str">
        <f aca="false">IF($A456="","",IF($C456=0,"",_xlfn.MAXIFS('Daily tracking'!$A$2:$A$2001,'Daily tracking'!$D$2:$D$2001,$A456)))</f>
        <v/>
      </c>
      <c r="F456" s="6" t="str">
        <f aca="true">IF(OR($A456="",$E456=""),"",TODAY()-$E456)</f>
        <v/>
      </c>
      <c r="G456" s="3" t="str">
        <f aca="false">IF($A456="","",IF($C456=0,"No visits",IF($F456&gt;90,"Lapsed",IF($F456&gt;35,"At risk",IF($C456&gt;=4,"Loyal","Active")))))</f>
        <v/>
      </c>
      <c r="H456" s="9" t="str">
        <f aca="false">IF(OR($A456="",$C456=0),"",$D456/$C456)</f>
        <v/>
      </c>
      <c r="I456" s="20"/>
      <c r="J456" s="20"/>
      <c r="K456" s="19"/>
      <c r="L456" s="19"/>
      <c r="M456" s="19"/>
      <c r="N456" s="15" t="str">
        <f aca="false">IF($A456="","",IF($C456=0,0,(IF($F456&lt;=15,5,IF($F456&lt;=30,4,IF($F456&lt;=45,3,IF($F456&lt;=90,2,1))))+IF($C456&gt;=10,5,IF($C456&gt;=6,4,IF($C456&gt;=4,3,IF($C456&gt;=2,2,1))))+IF($D456&gt;=20000,5,IF($D456&gt;=10000,4,IF($D456&gt;=5000,3,IF($D456&gt;=2000,2,1)))))))</f>
        <v/>
      </c>
      <c r="O456" s="3" t="str">
        <f aca="false">IF($A456="","",IF($C456=0,"No visits",IF($N456&gt;=13,"VIP",IF($N456&gt;=10,"High value",IF($N456&gt;=7,"Regular",IF($N456&gt;=4,"Occasional","Low"))))))</f>
        <v/>
      </c>
      <c r="P456" s="6" t="str">
        <f aca="true">IF(OR($A456="",$I456=""),"",IF(MONTH($I456)=MONTH(TODAY()),"Yes",""))</f>
        <v/>
      </c>
      <c r="Q456" s="21" t="str">
        <f aca="false">IF($A456="","",IF($C456=0,"",_xlfn.MINIFS('Daily tracking'!$A$2:$A$2001,'Daily tracking'!$D$2:$D$2001,$A456)))</f>
        <v/>
      </c>
      <c r="R456" s="6" t="str">
        <f aca="false">IF(OR($A456="",$C456&lt;2),"",($E456-$Q456)/($C456-1))</f>
        <v/>
      </c>
    </row>
    <row r="457" customFormat="false" ht="14.25" hidden="false" customHeight="false" outlineLevel="0" collapsed="false">
      <c r="A457" s="19"/>
      <c r="B457" s="19"/>
      <c r="C457" s="15" t="str">
        <f aca="false">IF($A457="","",COUNTIF('Daily tracking'!$D$2:$D$2001,$A457))</f>
        <v/>
      </c>
      <c r="D457" s="16" t="str">
        <f aca="false">IF($A457="","",SUMIF('Daily tracking'!$D$2:$D$2001,$A457,'Daily tracking'!$G$2:$G$2001))</f>
        <v/>
      </c>
      <c r="E457" s="18" t="str">
        <f aca="false">IF($A457="","",IF($C457=0,"",_xlfn.MAXIFS('Daily tracking'!$A$2:$A$2001,'Daily tracking'!$D$2:$D$2001,$A457)))</f>
        <v/>
      </c>
      <c r="F457" s="6" t="str">
        <f aca="true">IF(OR($A457="",$E457=""),"",TODAY()-$E457)</f>
        <v/>
      </c>
      <c r="G457" s="3" t="str">
        <f aca="false">IF($A457="","",IF($C457=0,"No visits",IF($F457&gt;90,"Lapsed",IF($F457&gt;35,"At risk",IF($C457&gt;=4,"Loyal","Active")))))</f>
        <v/>
      </c>
      <c r="H457" s="9" t="str">
        <f aca="false">IF(OR($A457="",$C457=0),"",$D457/$C457)</f>
        <v/>
      </c>
      <c r="I457" s="20"/>
      <c r="J457" s="20"/>
      <c r="K457" s="19"/>
      <c r="L457" s="19"/>
      <c r="M457" s="19"/>
      <c r="N457" s="15" t="str">
        <f aca="false">IF($A457="","",IF($C457=0,0,(IF($F457&lt;=15,5,IF($F457&lt;=30,4,IF($F457&lt;=45,3,IF($F457&lt;=90,2,1))))+IF($C457&gt;=10,5,IF($C457&gt;=6,4,IF($C457&gt;=4,3,IF($C457&gt;=2,2,1))))+IF($D457&gt;=20000,5,IF($D457&gt;=10000,4,IF($D457&gt;=5000,3,IF($D457&gt;=2000,2,1)))))))</f>
        <v/>
      </c>
      <c r="O457" s="3" t="str">
        <f aca="false">IF($A457="","",IF($C457=0,"No visits",IF($N457&gt;=13,"VIP",IF($N457&gt;=10,"High value",IF($N457&gt;=7,"Regular",IF($N457&gt;=4,"Occasional","Low"))))))</f>
        <v/>
      </c>
      <c r="P457" s="6" t="str">
        <f aca="true">IF(OR($A457="",$I457=""),"",IF(MONTH($I457)=MONTH(TODAY()),"Yes",""))</f>
        <v/>
      </c>
      <c r="Q457" s="21" t="str">
        <f aca="false">IF($A457="","",IF($C457=0,"",_xlfn.MINIFS('Daily tracking'!$A$2:$A$2001,'Daily tracking'!$D$2:$D$2001,$A457)))</f>
        <v/>
      </c>
      <c r="R457" s="6" t="str">
        <f aca="false">IF(OR($A457="",$C457&lt;2),"",($E457-$Q457)/($C457-1))</f>
        <v/>
      </c>
    </row>
    <row r="458" customFormat="false" ht="14.25" hidden="false" customHeight="false" outlineLevel="0" collapsed="false">
      <c r="A458" s="19"/>
      <c r="B458" s="19"/>
      <c r="C458" s="15" t="str">
        <f aca="false">IF($A458="","",COUNTIF('Daily tracking'!$D$2:$D$2001,$A458))</f>
        <v/>
      </c>
      <c r="D458" s="16" t="str">
        <f aca="false">IF($A458="","",SUMIF('Daily tracking'!$D$2:$D$2001,$A458,'Daily tracking'!$G$2:$G$2001))</f>
        <v/>
      </c>
      <c r="E458" s="18" t="str">
        <f aca="false">IF($A458="","",IF($C458=0,"",_xlfn.MAXIFS('Daily tracking'!$A$2:$A$2001,'Daily tracking'!$D$2:$D$2001,$A458)))</f>
        <v/>
      </c>
      <c r="F458" s="6" t="str">
        <f aca="true">IF(OR($A458="",$E458=""),"",TODAY()-$E458)</f>
        <v/>
      </c>
      <c r="G458" s="3" t="str">
        <f aca="false">IF($A458="","",IF($C458=0,"No visits",IF($F458&gt;90,"Lapsed",IF($F458&gt;35,"At risk",IF($C458&gt;=4,"Loyal","Active")))))</f>
        <v/>
      </c>
      <c r="H458" s="9" t="str">
        <f aca="false">IF(OR($A458="",$C458=0),"",$D458/$C458)</f>
        <v/>
      </c>
      <c r="I458" s="20"/>
      <c r="J458" s="20"/>
      <c r="K458" s="19"/>
      <c r="L458" s="19"/>
      <c r="M458" s="19"/>
      <c r="N458" s="15" t="str">
        <f aca="false">IF($A458="","",IF($C458=0,0,(IF($F458&lt;=15,5,IF($F458&lt;=30,4,IF($F458&lt;=45,3,IF($F458&lt;=90,2,1))))+IF($C458&gt;=10,5,IF($C458&gt;=6,4,IF($C458&gt;=4,3,IF($C458&gt;=2,2,1))))+IF($D458&gt;=20000,5,IF($D458&gt;=10000,4,IF($D458&gt;=5000,3,IF($D458&gt;=2000,2,1)))))))</f>
        <v/>
      </c>
      <c r="O458" s="3" t="str">
        <f aca="false">IF($A458="","",IF($C458=0,"No visits",IF($N458&gt;=13,"VIP",IF($N458&gt;=10,"High value",IF($N458&gt;=7,"Regular",IF($N458&gt;=4,"Occasional","Low"))))))</f>
        <v/>
      </c>
      <c r="P458" s="6" t="str">
        <f aca="true">IF(OR($A458="",$I458=""),"",IF(MONTH($I458)=MONTH(TODAY()),"Yes",""))</f>
        <v/>
      </c>
      <c r="Q458" s="21" t="str">
        <f aca="false">IF($A458="","",IF($C458=0,"",_xlfn.MINIFS('Daily tracking'!$A$2:$A$2001,'Daily tracking'!$D$2:$D$2001,$A458)))</f>
        <v/>
      </c>
      <c r="R458" s="6" t="str">
        <f aca="false">IF(OR($A458="",$C458&lt;2),"",($E458-$Q458)/($C458-1))</f>
        <v/>
      </c>
    </row>
    <row r="459" customFormat="false" ht="14.25" hidden="false" customHeight="false" outlineLevel="0" collapsed="false">
      <c r="A459" s="19"/>
      <c r="B459" s="19"/>
      <c r="C459" s="15" t="str">
        <f aca="false">IF($A459="","",COUNTIF('Daily tracking'!$D$2:$D$2001,$A459))</f>
        <v/>
      </c>
      <c r="D459" s="16" t="str">
        <f aca="false">IF($A459="","",SUMIF('Daily tracking'!$D$2:$D$2001,$A459,'Daily tracking'!$G$2:$G$2001))</f>
        <v/>
      </c>
      <c r="E459" s="18" t="str">
        <f aca="false">IF($A459="","",IF($C459=0,"",_xlfn.MAXIFS('Daily tracking'!$A$2:$A$2001,'Daily tracking'!$D$2:$D$2001,$A459)))</f>
        <v/>
      </c>
      <c r="F459" s="6" t="str">
        <f aca="true">IF(OR($A459="",$E459=""),"",TODAY()-$E459)</f>
        <v/>
      </c>
      <c r="G459" s="3" t="str">
        <f aca="false">IF($A459="","",IF($C459=0,"No visits",IF($F459&gt;90,"Lapsed",IF($F459&gt;35,"At risk",IF($C459&gt;=4,"Loyal","Active")))))</f>
        <v/>
      </c>
      <c r="H459" s="9" t="str">
        <f aca="false">IF(OR($A459="",$C459=0),"",$D459/$C459)</f>
        <v/>
      </c>
      <c r="I459" s="20"/>
      <c r="J459" s="20"/>
      <c r="K459" s="19"/>
      <c r="L459" s="19"/>
      <c r="M459" s="19"/>
      <c r="N459" s="15" t="str">
        <f aca="false">IF($A459="","",IF($C459=0,0,(IF($F459&lt;=15,5,IF($F459&lt;=30,4,IF($F459&lt;=45,3,IF($F459&lt;=90,2,1))))+IF($C459&gt;=10,5,IF($C459&gt;=6,4,IF($C459&gt;=4,3,IF($C459&gt;=2,2,1))))+IF($D459&gt;=20000,5,IF($D459&gt;=10000,4,IF($D459&gt;=5000,3,IF($D459&gt;=2000,2,1)))))))</f>
        <v/>
      </c>
      <c r="O459" s="3" t="str">
        <f aca="false">IF($A459="","",IF($C459=0,"No visits",IF($N459&gt;=13,"VIP",IF($N459&gt;=10,"High value",IF($N459&gt;=7,"Regular",IF($N459&gt;=4,"Occasional","Low"))))))</f>
        <v/>
      </c>
      <c r="P459" s="6" t="str">
        <f aca="true">IF(OR($A459="",$I459=""),"",IF(MONTH($I459)=MONTH(TODAY()),"Yes",""))</f>
        <v/>
      </c>
      <c r="Q459" s="21" t="str">
        <f aca="false">IF($A459="","",IF($C459=0,"",_xlfn.MINIFS('Daily tracking'!$A$2:$A$2001,'Daily tracking'!$D$2:$D$2001,$A459)))</f>
        <v/>
      </c>
      <c r="R459" s="6" t="str">
        <f aca="false">IF(OR($A459="",$C459&lt;2),"",($E459-$Q459)/($C459-1))</f>
        <v/>
      </c>
    </row>
    <row r="460" customFormat="false" ht="14.25" hidden="false" customHeight="false" outlineLevel="0" collapsed="false">
      <c r="A460" s="19"/>
      <c r="B460" s="19"/>
      <c r="C460" s="15" t="str">
        <f aca="false">IF($A460="","",COUNTIF('Daily tracking'!$D$2:$D$2001,$A460))</f>
        <v/>
      </c>
      <c r="D460" s="16" t="str">
        <f aca="false">IF($A460="","",SUMIF('Daily tracking'!$D$2:$D$2001,$A460,'Daily tracking'!$G$2:$G$2001))</f>
        <v/>
      </c>
      <c r="E460" s="18" t="str">
        <f aca="false">IF($A460="","",IF($C460=0,"",_xlfn.MAXIFS('Daily tracking'!$A$2:$A$2001,'Daily tracking'!$D$2:$D$2001,$A460)))</f>
        <v/>
      </c>
      <c r="F460" s="6" t="str">
        <f aca="true">IF(OR($A460="",$E460=""),"",TODAY()-$E460)</f>
        <v/>
      </c>
      <c r="G460" s="3" t="str">
        <f aca="false">IF($A460="","",IF($C460=0,"No visits",IF($F460&gt;90,"Lapsed",IF($F460&gt;35,"At risk",IF($C460&gt;=4,"Loyal","Active")))))</f>
        <v/>
      </c>
      <c r="H460" s="9" t="str">
        <f aca="false">IF(OR($A460="",$C460=0),"",$D460/$C460)</f>
        <v/>
      </c>
      <c r="I460" s="20"/>
      <c r="J460" s="20"/>
      <c r="K460" s="19"/>
      <c r="L460" s="19"/>
      <c r="M460" s="19"/>
      <c r="N460" s="15" t="str">
        <f aca="false">IF($A460="","",IF($C460=0,0,(IF($F460&lt;=15,5,IF($F460&lt;=30,4,IF($F460&lt;=45,3,IF($F460&lt;=90,2,1))))+IF($C460&gt;=10,5,IF($C460&gt;=6,4,IF($C460&gt;=4,3,IF($C460&gt;=2,2,1))))+IF($D460&gt;=20000,5,IF($D460&gt;=10000,4,IF($D460&gt;=5000,3,IF($D460&gt;=2000,2,1)))))))</f>
        <v/>
      </c>
      <c r="O460" s="3" t="str">
        <f aca="false">IF($A460="","",IF($C460=0,"No visits",IF($N460&gt;=13,"VIP",IF($N460&gt;=10,"High value",IF($N460&gt;=7,"Regular",IF($N460&gt;=4,"Occasional","Low"))))))</f>
        <v/>
      </c>
      <c r="P460" s="6" t="str">
        <f aca="true">IF(OR($A460="",$I460=""),"",IF(MONTH($I460)=MONTH(TODAY()),"Yes",""))</f>
        <v/>
      </c>
      <c r="Q460" s="21" t="str">
        <f aca="false">IF($A460="","",IF($C460=0,"",_xlfn.MINIFS('Daily tracking'!$A$2:$A$2001,'Daily tracking'!$D$2:$D$2001,$A460)))</f>
        <v/>
      </c>
      <c r="R460" s="6" t="str">
        <f aca="false">IF(OR($A460="",$C460&lt;2),"",($E460-$Q460)/($C460-1))</f>
        <v/>
      </c>
    </row>
    <row r="461" customFormat="false" ht="14.25" hidden="false" customHeight="false" outlineLevel="0" collapsed="false">
      <c r="A461" s="19"/>
      <c r="B461" s="19"/>
      <c r="C461" s="15" t="str">
        <f aca="false">IF($A461="","",COUNTIF('Daily tracking'!$D$2:$D$2001,$A461))</f>
        <v/>
      </c>
      <c r="D461" s="16" t="str">
        <f aca="false">IF($A461="","",SUMIF('Daily tracking'!$D$2:$D$2001,$A461,'Daily tracking'!$G$2:$G$2001))</f>
        <v/>
      </c>
      <c r="E461" s="18" t="str">
        <f aca="false">IF($A461="","",IF($C461=0,"",_xlfn.MAXIFS('Daily tracking'!$A$2:$A$2001,'Daily tracking'!$D$2:$D$2001,$A461)))</f>
        <v/>
      </c>
      <c r="F461" s="6" t="str">
        <f aca="true">IF(OR($A461="",$E461=""),"",TODAY()-$E461)</f>
        <v/>
      </c>
      <c r="G461" s="3" t="str">
        <f aca="false">IF($A461="","",IF($C461=0,"No visits",IF($F461&gt;90,"Lapsed",IF($F461&gt;35,"At risk",IF($C461&gt;=4,"Loyal","Active")))))</f>
        <v/>
      </c>
      <c r="H461" s="9" t="str">
        <f aca="false">IF(OR($A461="",$C461=0),"",$D461/$C461)</f>
        <v/>
      </c>
      <c r="I461" s="20"/>
      <c r="J461" s="20"/>
      <c r="K461" s="19"/>
      <c r="L461" s="19"/>
      <c r="M461" s="19"/>
      <c r="N461" s="15" t="str">
        <f aca="false">IF($A461="","",IF($C461=0,0,(IF($F461&lt;=15,5,IF($F461&lt;=30,4,IF($F461&lt;=45,3,IF($F461&lt;=90,2,1))))+IF($C461&gt;=10,5,IF($C461&gt;=6,4,IF($C461&gt;=4,3,IF($C461&gt;=2,2,1))))+IF($D461&gt;=20000,5,IF($D461&gt;=10000,4,IF($D461&gt;=5000,3,IF($D461&gt;=2000,2,1)))))))</f>
        <v/>
      </c>
      <c r="O461" s="3" t="str">
        <f aca="false">IF($A461="","",IF($C461=0,"No visits",IF($N461&gt;=13,"VIP",IF($N461&gt;=10,"High value",IF($N461&gt;=7,"Regular",IF($N461&gt;=4,"Occasional","Low"))))))</f>
        <v/>
      </c>
      <c r="P461" s="6" t="str">
        <f aca="true">IF(OR($A461="",$I461=""),"",IF(MONTH($I461)=MONTH(TODAY()),"Yes",""))</f>
        <v/>
      </c>
      <c r="Q461" s="21" t="str">
        <f aca="false">IF($A461="","",IF($C461=0,"",_xlfn.MINIFS('Daily tracking'!$A$2:$A$2001,'Daily tracking'!$D$2:$D$2001,$A461)))</f>
        <v/>
      </c>
      <c r="R461" s="6" t="str">
        <f aca="false">IF(OR($A461="",$C461&lt;2),"",($E461-$Q461)/($C461-1))</f>
        <v/>
      </c>
    </row>
    <row r="462" customFormat="false" ht="14.25" hidden="false" customHeight="false" outlineLevel="0" collapsed="false">
      <c r="A462" s="19"/>
      <c r="B462" s="19"/>
      <c r="C462" s="15" t="str">
        <f aca="false">IF($A462="","",COUNTIF('Daily tracking'!$D$2:$D$2001,$A462))</f>
        <v/>
      </c>
      <c r="D462" s="16" t="str">
        <f aca="false">IF($A462="","",SUMIF('Daily tracking'!$D$2:$D$2001,$A462,'Daily tracking'!$G$2:$G$2001))</f>
        <v/>
      </c>
      <c r="E462" s="18" t="str">
        <f aca="false">IF($A462="","",IF($C462=0,"",_xlfn.MAXIFS('Daily tracking'!$A$2:$A$2001,'Daily tracking'!$D$2:$D$2001,$A462)))</f>
        <v/>
      </c>
      <c r="F462" s="6" t="str">
        <f aca="true">IF(OR($A462="",$E462=""),"",TODAY()-$E462)</f>
        <v/>
      </c>
      <c r="G462" s="3" t="str">
        <f aca="false">IF($A462="","",IF($C462=0,"No visits",IF($F462&gt;90,"Lapsed",IF($F462&gt;35,"At risk",IF($C462&gt;=4,"Loyal","Active")))))</f>
        <v/>
      </c>
      <c r="H462" s="9" t="str">
        <f aca="false">IF(OR($A462="",$C462=0),"",$D462/$C462)</f>
        <v/>
      </c>
      <c r="I462" s="20"/>
      <c r="J462" s="20"/>
      <c r="K462" s="19"/>
      <c r="L462" s="19"/>
      <c r="M462" s="19"/>
      <c r="N462" s="15" t="str">
        <f aca="false">IF($A462="","",IF($C462=0,0,(IF($F462&lt;=15,5,IF($F462&lt;=30,4,IF($F462&lt;=45,3,IF($F462&lt;=90,2,1))))+IF($C462&gt;=10,5,IF($C462&gt;=6,4,IF($C462&gt;=4,3,IF($C462&gt;=2,2,1))))+IF($D462&gt;=20000,5,IF($D462&gt;=10000,4,IF($D462&gt;=5000,3,IF($D462&gt;=2000,2,1)))))))</f>
        <v/>
      </c>
      <c r="O462" s="3" t="str">
        <f aca="false">IF($A462="","",IF($C462=0,"No visits",IF($N462&gt;=13,"VIP",IF($N462&gt;=10,"High value",IF($N462&gt;=7,"Regular",IF($N462&gt;=4,"Occasional","Low"))))))</f>
        <v/>
      </c>
      <c r="P462" s="6" t="str">
        <f aca="true">IF(OR($A462="",$I462=""),"",IF(MONTH($I462)=MONTH(TODAY()),"Yes",""))</f>
        <v/>
      </c>
      <c r="Q462" s="21" t="str">
        <f aca="false">IF($A462="","",IF($C462=0,"",_xlfn.MINIFS('Daily tracking'!$A$2:$A$2001,'Daily tracking'!$D$2:$D$2001,$A462)))</f>
        <v/>
      </c>
      <c r="R462" s="6" t="str">
        <f aca="false">IF(OR($A462="",$C462&lt;2),"",($E462-$Q462)/($C462-1))</f>
        <v/>
      </c>
    </row>
    <row r="463" customFormat="false" ht="14.25" hidden="false" customHeight="false" outlineLevel="0" collapsed="false">
      <c r="A463" s="19"/>
      <c r="B463" s="19"/>
      <c r="C463" s="15" t="str">
        <f aca="false">IF($A463="","",COUNTIF('Daily tracking'!$D$2:$D$2001,$A463))</f>
        <v/>
      </c>
      <c r="D463" s="16" t="str">
        <f aca="false">IF($A463="","",SUMIF('Daily tracking'!$D$2:$D$2001,$A463,'Daily tracking'!$G$2:$G$2001))</f>
        <v/>
      </c>
      <c r="E463" s="18" t="str">
        <f aca="false">IF($A463="","",IF($C463=0,"",_xlfn.MAXIFS('Daily tracking'!$A$2:$A$2001,'Daily tracking'!$D$2:$D$2001,$A463)))</f>
        <v/>
      </c>
      <c r="F463" s="6" t="str">
        <f aca="true">IF(OR($A463="",$E463=""),"",TODAY()-$E463)</f>
        <v/>
      </c>
      <c r="G463" s="3" t="str">
        <f aca="false">IF($A463="","",IF($C463=0,"No visits",IF($F463&gt;90,"Lapsed",IF($F463&gt;35,"At risk",IF($C463&gt;=4,"Loyal","Active")))))</f>
        <v/>
      </c>
      <c r="H463" s="9" t="str">
        <f aca="false">IF(OR($A463="",$C463=0),"",$D463/$C463)</f>
        <v/>
      </c>
      <c r="I463" s="20"/>
      <c r="J463" s="20"/>
      <c r="K463" s="19"/>
      <c r="L463" s="19"/>
      <c r="M463" s="19"/>
      <c r="N463" s="15" t="str">
        <f aca="false">IF($A463="","",IF($C463=0,0,(IF($F463&lt;=15,5,IF($F463&lt;=30,4,IF($F463&lt;=45,3,IF($F463&lt;=90,2,1))))+IF($C463&gt;=10,5,IF($C463&gt;=6,4,IF($C463&gt;=4,3,IF($C463&gt;=2,2,1))))+IF($D463&gt;=20000,5,IF($D463&gt;=10000,4,IF($D463&gt;=5000,3,IF($D463&gt;=2000,2,1)))))))</f>
        <v/>
      </c>
      <c r="O463" s="3" t="str">
        <f aca="false">IF($A463="","",IF($C463=0,"No visits",IF($N463&gt;=13,"VIP",IF($N463&gt;=10,"High value",IF($N463&gt;=7,"Regular",IF($N463&gt;=4,"Occasional","Low"))))))</f>
        <v/>
      </c>
      <c r="P463" s="6" t="str">
        <f aca="true">IF(OR($A463="",$I463=""),"",IF(MONTH($I463)=MONTH(TODAY()),"Yes",""))</f>
        <v/>
      </c>
      <c r="Q463" s="21" t="str">
        <f aca="false">IF($A463="","",IF($C463=0,"",_xlfn.MINIFS('Daily tracking'!$A$2:$A$2001,'Daily tracking'!$D$2:$D$2001,$A463)))</f>
        <v/>
      </c>
      <c r="R463" s="6" t="str">
        <f aca="false">IF(OR($A463="",$C463&lt;2),"",($E463-$Q463)/($C463-1))</f>
        <v/>
      </c>
    </row>
    <row r="464" customFormat="false" ht="14.25" hidden="false" customHeight="false" outlineLevel="0" collapsed="false">
      <c r="A464" s="19"/>
      <c r="B464" s="19"/>
      <c r="C464" s="15" t="str">
        <f aca="false">IF($A464="","",COUNTIF('Daily tracking'!$D$2:$D$2001,$A464))</f>
        <v/>
      </c>
      <c r="D464" s="16" t="str">
        <f aca="false">IF($A464="","",SUMIF('Daily tracking'!$D$2:$D$2001,$A464,'Daily tracking'!$G$2:$G$2001))</f>
        <v/>
      </c>
      <c r="E464" s="18" t="str">
        <f aca="false">IF($A464="","",IF($C464=0,"",_xlfn.MAXIFS('Daily tracking'!$A$2:$A$2001,'Daily tracking'!$D$2:$D$2001,$A464)))</f>
        <v/>
      </c>
      <c r="F464" s="6" t="str">
        <f aca="true">IF(OR($A464="",$E464=""),"",TODAY()-$E464)</f>
        <v/>
      </c>
      <c r="G464" s="3" t="str">
        <f aca="false">IF($A464="","",IF($C464=0,"No visits",IF($F464&gt;90,"Lapsed",IF($F464&gt;35,"At risk",IF($C464&gt;=4,"Loyal","Active")))))</f>
        <v/>
      </c>
      <c r="H464" s="9" t="str">
        <f aca="false">IF(OR($A464="",$C464=0),"",$D464/$C464)</f>
        <v/>
      </c>
      <c r="I464" s="20"/>
      <c r="J464" s="20"/>
      <c r="K464" s="19"/>
      <c r="L464" s="19"/>
      <c r="M464" s="19"/>
      <c r="N464" s="15" t="str">
        <f aca="false">IF($A464="","",IF($C464=0,0,(IF($F464&lt;=15,5,IF($F464&lt;=30,4,IF($F464&lt;=45,3,IF($F464&lt;=90,2,1))))+IF($C464&gt;=10,5,IF($C464&gt;=6,4,IF($C464&gt;=4,3,IF($C464&gt;=2,2,1))))+IF($D464&gt;=20000,5,IF($D464&gt;=10000,4,IF($D464&gt;=5000,3,IF($D464&gt;=2000,2,1)))))))</f>
        <v/>
      </c>
      <c r="O464" s="3" t="str">
        <f aca="false">IF($A464="","",IF($C464=0,"No visits",IF($N464&gt;=13,"VIP",IF($N464&gt;=10,"High value",IF($N464&gt;=7,"Regular",IF($N464&gt;=4,"Occasional","Low"))))))</f>
        <v/>
      </c>
      <c r="P464" s="6" t="str">
        <f aca="true">IF(OR($A464="",$I464=""),"",IF(MONTH($I464)=MONTH(TODAY()),"Yes",""))</f>
        <v/>
      </c>
      <c r="Q464" s="21" t="str">
        <f aca="false">IF($A464="","",IF($C464=0,"",_xlfn.MINIFS('Daily tracking'!$A$2:$A$2001,'Daily tracking'!$D$2:$D$2001,$A464)))</f>
        <v/>
      </c>
      <c r="R464" s="6" t="str">
        <f aca="false">IF(OR($A464="",$C464&lt;2),"",($E464-$Q464)/($C464-1))</f>
        <v/>
      </c>
    </row>
    <row r="465" customFormat="false" ht="14.25" hidden="false" customHeight="false" outlineLevel="0" collapsed="false">
      <c r="A465" s="19"/>
      <c r="B465" s="19"/>
      <c r="C465" s="15" t="str">
        <f aca="false">IF($A465="","",COUNTIF('Daily tracking'!$D$2:$D$2001,$A465))</f>
        <v/>
      </c>
      <c r="D465" s="16" t="str">
        <f aca="false">IF($A465="","",SUMIF('Daily tracking'!$D$2:$D$2001,$A465,'Daily tracking'!$G$2:$G$2001))</f>
        <v/>
      </c>
      <c r="E465" s="18" t="str">
        <f aca="false">IF($A465="","",IF($C465=0,"",_xlfn.MAXIFS('Daily tracking'!$A$2:$A$2001,'Daily tracking'!$D$2:$D$2001,$A465)))</f>
        <v/>
      </c>
      <c r="F465" s="6" t="str">
        <f aca="true">IF(OR($A465="",$E465=""),"",TODAY()-$E465)</f>
        <v/>
      </c>
      <c r="G465" s="3" t="str">
        <f aca="false">IF($A465="","",IF($C465=0,"No visits",IF($F465&gt;90,"Lapsed",IF($F465&gt;35,"At risk",IF($C465&gt;=4,"Loyal","Active")))))</f>
        <v/>
      </c>
      <c r="H465" s="9" t="str">
        <f aca="false">IF(OR($A465="",$C465=0),"",$D465/$C465)</f>
        <v/>
      </c>
      <c r="I465" s="20"/>
      <c r="J465" s="20"/>
      <c r="K465" s="19"/>
      <c r="L465" s="19"/>
      <c r="M465" s="19"/>
      <c r="N465" s="15" t="str">
        <f aca="false">IF($A465="","",IF($C465=0,0,(IF($F465&lt;=15,5,IF($F465&lt;=30,4,IF($F465&lt;=45,3,IF($F465&lt;=90,2,1))))+IF($C465&gt;=10,5,IF($C465&gt;=6,4,IF($C465&gt;=4,3,IF($C465&gt;=2,2,1))))+IF($D465&gt;=20000,5,IF($D465&gt;=10000,4,IF($D465&gt;=5000,3,IF($D465&gt;=2000,2,1)))))))</f>
        <v/>
      </c>
      <c r="O465" s="3" t="str">
        <f aca="false">IF($A465="","",IF($C465=0,"No visits",IF($N465&gt;=13,"VIP",IF($N465&gt;=10,"High value",IF($N465&gt;=7,"Regular",IF($N465&gt;=4,"Occasional","Low"))))))</f>
        <v/>
      </c>
      <c r="P465" s="6" t="str">
        <f aca="true">IF(OR($A465="",$I465=""),"",IF(MONTH($I465)=MONTH(TODAY()),"Yes",""))</f>
        <v/>
      </c>
      <c r="Q465" s="21" t="str">
        <f aca="false">IF($A465="","",IF($C465=0,"",_xlfn.MINIFS('Daily tracking'!$A$2:$A$2001,'Daily tracking'!$D$2:$D$2001,$A465)))</f>
        <v/>
      </c>
      <c r="R465" s="6" t="str">
        <f aca="false">IF(OR($A465="",$C465&lt;2),"",($E465-$Q465)/($C465-1))</f>
        <v/>
      </c>
    </row>
    <row r="466" customFormat="false" ht="14.25" hidden="false" customHeight="false" outlineLevel="0" collapsed="false">
      <c r="A466" s="19"/>
      <c r="B466" s="19"/>
      <c r="C466" s="15" t="str">
        <f aca="false">IF($A466="","",COUNTIF('Daily tracking'!$D$2:$D$2001,$A466))</f>
        <v/>
      </c>
      <c r="D466" s="16" t="str">
        <f aca="false">IF($A466="","",SUMIF('Daily tracking'!$D$2:$D$2001,$A466,'Daily tracking'!$G$2:$G$2001))</f>
        <v/>
      </c>
      <c r="E466" s="18" t="str">
        <f aca="false">IF($A466="","",IF($C466=0,"",_xlfn.MAXIFS('Daily tracking'!$A$2:$A$2001,'Daily tracking'!$D$2:$D$2001,$A466)))</f>
        <v/>
      </c>
      <c r="F466" s="6" t="str">
        <f aca="true">IF(OR($A466="",$E466=""),"",TODAY()-$E466)</f>
        <v/>
      </c>
      <c r="G466" s="3" t="str">
        <f aca="false">IF($A466="","",IF($C466=0,"No visits",IF($F466&gt;90,"Lapsed",IF($F466&gt;35,"At risk",IF($C466&gt;=4,"Loyal","Active")))))</f>
        <v/>
      </c>
      <c r="H466" s="9" t="str">
        <f aca="false">IF(OR($A466="",$C466=0),"",$D466/$C466)</f>
        <v/>
      </c>
      <c r="I466" s="20"/>
      <c r="J466" s="20"/>
      <c r="K466" s="19"/>
      <c r="L466" s="19"/>
      <c r="M466" s="19"/>
      <c r="N466" s="15" t="str">
        <f aca="false">IF($A466="","",IF($C466=0,0,(IF($F466&lt;=15,5,IF($F466&lt;=30,4,IF($F466&lt;=45,3,IF($F466&lt;=90,2,1))))+IF($C466&gt;=10,5,IF($C466&gt;=6,4,IF($C466&gt;=4,3,IF($C466&gt;=2,2,1))))+IF($D466&gt;=20000,5,IF($D466&gt;=10000,4,IF($D466&gt;=5000,3,IF($D466&gt;=2000,2,1)))))))</f>
        <v/>
      </c>
      <c r="O466" s="3" t="str">
        <f aca="false">IF($A466="","",IF($C466=0,"No visits",IF($N466&gt;=13,"VIP",IF($N466&gt;=10,"High value",IF($N466&gt;=7,"Regular",IF($N466&gt;=4,"Occasional","Low"))))))</f>
        <v/>
      </c>
      <c r="P466" s="6" t="str">
        <f aca="true">IF(OR($A466="",$I466=""),"",IF(MONTH($I466)=MONTH(TODAY()),"Yes",""))</f>
        <v/>
      </c>
      <c r="Q466" s="21" t="str">
        <f aca="false">IF($A466="","",IF($C466=0,"",_xlfn.MINIFS('Daily tracking'!$A$2:$A$2001,'Daily tracking'!$D$2:$D$2001,$A466)))</f>
        <v/>
      </c>
      <c r="R466" s="6" t="str">
        <f aca="false">IF(OR($A466="",$C466&lt;2),"",($E466-$Q466)/($C466-1))</f>
        <v/>
      </c>
    </row>
    <row r="467" customFormat="false" ht="14.25" hidden="false" customHeight="false" outlineLevel="0" collapsed="false">
      <c r="A467" s="19"/>
      <c r="B467" s="19"/>
      <c r="C467" s="15" t="str">
        <f aca="false">IF($A467="","",COUNTIF('Daily tracking'!$D$2:$D$2001,$A467))</f>
        <v/>
      </c>
      <c r="D467" s="16" t="str">
        <f aca="false">IF($A467="","",SUMIF('Daily tracking'!$D$2:$D$2001,$A467,'Daily tracking'!$G$2:$G$2001))</f>
        <v/>
      </c>
      <c r="E467" s="18" t="str">
        <f aca="false">IF($A467="","",IF($C467=0,"",_xlfn.MAXIFS('Daily tracking'!$A$2:$A$2001,'Daily tracking'!$D$2:$D$2001,$A467)))</f>
        <v/>
      </c>
      <c r="F467" s="6" t="str">
        <f aca="true">IF(OR($A467="",$E467=""),"",TODAY()-$E467)</f>
        <v/>
      </c>
      <c r="G467" s="3" t="str">
        <f aca="false">IF($A467="","",IF($C467=0,"No visits",IF($F467&gt;90,"Lapsed",IF($F467&gt;35,"At risk",IF($C467&gt;=4,"Loyal","Active")))))</f>
        <v/>
      </c>
      <c r="H467" s="9" t="str">
        <f aca="false">IF(OR($A467="",$C467=0),"",$D467/$C467)</f>
        <v/>
      </c>
      <c r="I467" s="20"/>
      <c r="J467" s="20"/>
      <c r="K467" s="19"/>
      <c r="L467" s="19"/>
      <c r="M467" s="19"/>
      <c r="N467" s="15" t="str">
        <f aca="false">IF($A467="","",IF($C467=0,0,(IF($F467&lt;=15,5,IF($F467&lt;=30,4,IF($F467&lt;=45,3,IF($F467&lt;=90,2,1))))+IF($C467&gt;=10,5,IF($C467&gt;=6,4,IF($C467&gt;=4,3,IF($C467&gt;=2,2,1))))+IF($D467&gt;=20000,5,IF($D467&gt;=10000,4,IF($D467&gt;=5000,3,IF($D467&gt;=2000,2,1)))))))</f>
        <v/>
      </c>
      <c r="O467" s="3" t="str">
        <f aca="false">IF($A467="","",IF($C467=0,"No visits",IF($N467&gt;=13,"VIP",IF($N467&gt;=10,"High value",IF($N467&gt;=7,"Regular",IF($N467&gt;=4,"Occasional","Low"))))))</f>
        <v/>
      </c>
      <c r="P467" s="6" t="str">
        <f aca="true">IF(OR($A467="",$I467=""),"",IF(MONTH($I467)=MONTH(TODAY()),"Yes",""))</f>
        <v/>
      </c>
      <c r="Q467" s="21" t="str">
        <f aca="false">IF($A467="","",IF($C467=0,"",_xlfn.MINIFS('Daily tracking'!$A$2:$A$2001,'Daily tracking'!$D$2:$D$2001,$A467)))</f>
        <v/>
      </c>
      <c r="R467" s="6" t="str">
        <f aca="false">IF(OR($A467="",$C467&lt;2),"",($E467-$Q467)/($C467-1))</f>
        <v/>
      </c>
    </row>
    <row r="468" customFormat="false" ht="14.25" hidden="false" customHeight="false" outlineLevel="0" collapsed="false">
      <c r="A468" s="19"/>
      <c r="B468" s="19"/>
      <c r="C468" s="15" t="str">
        <f aca="false">IF($A468="","",COUNTIF('Daily tracking'!$D$2:$D$2001,$A468))</f>
        <v/>
      </c>
      <c r="D468" s="16" t="str">
        <f aca="false">IF($A468="","",SUMIF('Daily tracking'!$D$2:$D$2001,$A468,'Daily tracking'!$G$2:$G$2001))</f>
        <v/>
      </c>
      <c r="E468" s="18" t="str">
        <f aca="false">IF($A468="","",IF($C468=0,"",_xlfn.MAXIFS('Daily tracking'!$A$2:$A$2001,'Daily tracking'!$D$2:$D$2001,$A468)))</f>
        <v/>
      </c>
      <c r="F468" s="6" t="str">
        <f aca="true">IF(OR($A468="",$E468=""),"",TODAY()-$E468)</f>
        <v/>
      </c>
      <c r="G468" s="3" t="str">
        <f aca="false">IF($A468="","",IF($C468=0,"No visits",IF($F468&gt;90,"Lapsed",IF($F468&gt;35,"At risk",IF($C468&gt;=4,"Loyal","Active")))))</f>
        <v/>
      </c>
      <c r="H468" s="9" t="str">
        <f aca="false">IF(OR($A468="",$C468=0),"",$D468/$C468)</f>
        <v/>
      </c>
      <c r="I468" s="20"/>
      <c r="J468" s="20"/>
      <c r="K468" s="19"/>
      <c r="L468" s="19"/>
      <c r="M468" s="19"/>
      <c r="N468" s="15" t="str">
        <f aca="false">IF($A468="","",IF($C468=0,0,(IF($F468&lt;=15,5,IF($F468&lt;=30,4,IF($F468&lt;=45,3,IF($F468&lt;=90,2,1))))+IF($C468&gt;=10,5,IF($C468&gt;=6,4,IF($C468&gt;=4,3,IF($C468&gt;=2,2,1))))+IF($D468&gt;=20000,5,IF($D468&gt;=10000,4,IF($D468&gt;=5000,3,IF($D468&gt;=2000,2,1)))))))</f>
        <v/>
      </c>
      <c r="O468" s="3" t="str">
        <f aca="false">IF($A468="","",IF($C468=0,"No visits",IF($N468&gt;=13,"VIP",IF($N468&gt;=10,"High value",IF($N468&gt;=7,"Regular",IF($N468&gt;=4,"Occasional","Low"))))))</f>
        <v/>
      </c>
      <c r="P468" s="6" t="str">
        <f aca="true">IF(OR($A468="",$I468=""),"",IF(MONTH($I468)=MONTH(TODAY()),"Yes",""))</f>
        <v/>
      </c>
      <c r="Q468" s="21" t="str">
        <f aca="false">IF($A468="","",IF($C468=0,"",_xlfn.MINIFS('Daily tracking'!$A$2:$A$2001,'Daily tracking'!$D$2:$D$2001,$A468)))</f>
        <v/>
      </c>
      <c r="R468" s="6" t="str">
        <f aca="false">IF(OR($A468="",$C468&lt;2),"",($E468-$Q468)/($C468-1))</f>
        <v/>
      </c>
    </row>
    <row r="469" customFormat="false" ht="14.25" hidden="false" customHeight="false" outlineLevel="0" collapsed="false">
      <c r="A469" s="19"/>
      <c r="B469" s="19"/>
      <c r="C469" s="15" t="str">
        <f aca="false">IF($A469="","",COUNTIF('Daily tracking'!$D$2:$D$2001,$A469))</f>
        <v/>
      </c>
      <c r="D469" s="16" t="str">
        <f aca="false">IF($A469="","",SUMIF('Daily tracking'!$D$2:$D$2001,$A469,'Daily tracking'!$G$2:$G$2001))</f>
        <v/>
      </c>
      <c r="E469" s="18" t="str">
        <f aca="false">IF($A469="","",IF($C469=0,"",_xlfn.MAXIFS('Daily tracking'!$A$2:$A$2001,'Daily tracking'!$D$2:$D$2001,$A469)))</f>
        <v/>
      </c>
      <c r="F469" s="6" t="str">
        <f aca="true">IF(OR($A469="",$E469=""),"",TODAY()-$E469)</f>
        <v/>
      </c>
      <c r="G469" s="3" t="str">
        <f aca="false">IF($A469="","",IF($C469=0,"No visits",IF($F469&gt;90,"Lapsed",IF($F469&gt;35,"At risk",IF($C469&gt;=4,"Loyal","Active")))))</f>
        <v/>
      </c>
      <c r="H469" s="9" t="str">
        <f aca="false">IF(OR($A469="",$C469=0),"",$D469/$C469)</f>
        <v/>
      </c>
      <c r="I469" s="20"/>
      <c r="J469" s="20"/>
      <c r="K469" s="19"/>
      <c r="L469" s="19"/>
      <c r="M469" s="19"/>
      <c r="N469" s="15" t="str">
        <f aca="false">IF($A469="","",IF($C469=0,0,(IF($F469&lt;=15,5,IF($F469&lt;=30,4,IF($F469&lt;=45,3,IF($F469&lt;=90,2,1))))+IF($C469&gt;=10,5,IF($C469&gt;=6,4,IF($C469&gt;=4,3,IF($C469&gt;=2,2,1))))+IF($D469&gt;=20000,5,IF($D469&gt;=10000,4,IF($D469&gt;=5000,3,IF($D469&gt;=2000,2,1)))))))</f>
        <v/>
      </c>
      <c r="O469" s="3" t="str">
        <f aca="false">IF($A469="","",IF($C469=0,"No visits",IF($N469&gt;=13,"VIP",IF($N469&gt;=10,"High value",IF($N469&gt;=7,"Regular",IF($N469&gt;=4,"Occasional","Low"))))))</f>
        <v/>
      </c>
      <c r="P469" s="6" t="str">
        <f aca="true">IF(OR($A469="",$I469=""),"",IF(MONTH($I469)=MONTH(TODAY()),"Yes",""))</f>
        <v/>
      </c>
      <c r="Q469" s="21" t="str">
        <f aca="false">IF($A469="","",IF($C469=0,"",_xlfn.MINIFS('Daily tracking'!$A$2:$A$2001,'Daily tracking'!$D$2:$D$2001,$A469)))</f>
        <v/>
      </c>
      <c r="R469" s="6" t="str">
        <f aca="false">IF(OR($A469="",$C469&lt;2),"",($E469-$Q469)/($C469-1))</f>
        <v/>
      </c>
    </row>
    <row r="470" customFormat="false" ht="14.25" hidden="false" customHeight="false" outlineLevel="0" collapsed="false">
      <c r="A470" s="19"/>
      <c r="B470" s="19"/>
      <c r="C470" s="15" t="str">
        <f aca="false">IF($A470="","",COUNTIF('Daily tracking'!$D$2:$D$2001,$A470))</f>
        <v/>
      </c>
      <c r="D470" s="16" t="str">
        <f aca="false">IF($A470="","",SUMIF('Daily tracking'!$D$2:$D$2001,$A470,'Daily tracking'!$G$2:$G$2001))</f>
        <v/>
      </c>
      <c r="E470" s="18" t="str">
        <f aca="false">IF($A470="","",IF($C470=0,"",_xlfn.MAXIFS('Daily tracking'!$A$2:$A$2001,'Daily tracking'!$D$2:$D$2001,$A470)))</f>
        <v/>
      </c>
      <c r="F470" s="6" t="str">
        <f aca="true">IF(OR($A470="",$E470=""),"",TODAY()-$E470)</f>
        <v/>
      </c>
      <c r="G470" s="3" t="str">
        <f aca="false">IF($A470="","",IF($C470=0,"No visits",IF($F470&gt;90,"Lapsed",IF($F470&gt;35,"At risk",IF($C470&gt;=4,"Loyal","Active")))))</f>
        <v/>
      </c>
      <c r="H470" s="9" t="str">
        <f aca="false">IF(OR($A470="",$C470=0),"",$D470/$C470)</f>
        <v/>
      </c>
      <c r="I470" s="20"/>
      <c r="J470" s="20"/>
      <c r="K470" s="19"/>
      <c r="L470" s="19"/>
      <c r="M470" s="19"/>
      <c r="N470" s="15" t="str">
        <f aca="false">IF($A470="","",IF($C470=0,0,(IF($F470&lt;=15,5,IF($F470&lt;=30,4,IF($F470&lt;=45,3,IF($F470&lt;=90,2,1))))+IF($C470&gt;=10,5,IF($C470&gt;=6,4,IF($C470&gt;=4,3,IF($C470&gt;=2,2,1))))+IF($D470&gt;=20000,5,IF($D470&gt;=10000,4,IF($D470&gt;=5000,3,IF($D470&gt;=2000,2,1)))))))</f>
        <v/>
      </c>
      <c r="O470" s="3" t="str">
        <f aca="false">IF($A470="","",IF($C470=0,"No visits",IF($N470&gt;=13,"VIP",IF($N470&gt;=10,"High value",IF($N470&gt;=7,"Regular",IF($N470&gt;=4,"Occasional","Low"))))))</f>
        <v/>
      </c>
      <c r="P470" s="6" t="str">
        <f aca="true">IF(OR($A470="",$I470=""),"",IF(MONTH($I470)=MONTH(TODAY()),"Yes",""))</f>
        <v/>
      </c>
      <c r="Q470" s="21" t="str">
        <f aca="false">IF($A470="","",IF($C470=0,"",_xlfn.MINIFS('Daily tracking'!$A$2:$A$2001,'Daily tracking'!$D$2:$D$2001,$A470)))</f>
        <v/>
      </c>
      <c r="R470" s="6" t="str">
        <f aca="false">IF(OR($A470="",$C470&lt;2),"",($E470-$Q470)/($C470-1))</f>
        <v/>
      </c>
    </row>
    <row r="471" customFormat="false" ht="14.25" hidden="false" customHeight="false" outlineLevel="0" collapsed="false">
      <c r="A471" s="19"/>
      <c r="B471" s="19"/>
      <c r="C471" s="15" t="str">
        <f aca="false">IF($A471="","",COUNTIF('Daily tracking'!$D$2:$D$2001,$A471))</f>
        <v/>
      </c>
      <c r="D471" s="16" t="str">
        <f aca="false">IF($A471="","",SUMIF('Daily tracking'!$D$2:$D$2001,$A471,'Daily tracking'!$G$2:$G$2001))</f>
        <v/>
      </c>
      <c r="E471" s="18" t="str">
        <f aca="false">IF($A471="","",IF($C471=0,"",_xlfn.MAXIFS('Daily tracking'!$A$2:$A$2001,'Daily tracking'!$D$2:$D$2001,$A471)))</f>
        <v/>
      </c>
      <c r="F471" s="6" t="str">
        <f aca="true">IF(OR($A471="",$E471=""),"",TODAY()-$E471)</f>
        <v/>
      </c>
      <c r="G471" s="3" t="str">
        <f aca="false">IF($A471="","",IF($C471=0,"No visits",IF($F471&gt;90,"Lapsed",IF($F471&gt;35,"At risk",IF($C471&gt;=4,"Loyal","Active")))))</f>
        <v/>
      </c>
      <c r="H471" s="9" t="str">
        <f aca="false">IF(OR($A471="",$C471=0),"",$D471/$C471)</f>
        <v/>
      </c>
      <c r="I471" s="20"/>
      <c r="J471" s="20"/>
      <c r="K471" s="19"/>
      <c r="L471" s="19"/>
      <c r="M471" s="19"/>
      <c r="N471" s="15" t="str">
        <f aca="false">IF($A471="","",IF($C471=0,0,(IF($F471&lt;=15,5,IF($F471&lt;=30,4,IF($F471&lt;=45,3,IF($F471&lt;=90,2,1))))+IF($C471&gt;=10,5,IF($C471&gt;=6,4,IF($C471&gt;=4,3,IF($C471&gt;=2,2,1))))+IF($D471&gt;=20000,5,IF($D471&gt;=10000,4,IF($D471&gt;=5000,3,IF($D471&gt;=2000,2,1)))))))</f>
        <v/>
      </c>
      <c r="O471" s="3" t="str">
        <f aca="false">IF($A471="","",IF($C471=0,"No visits",IF($N471&gt;=13,"VIP",IF($N471&gt;=10,"High value",IF($N471&gt;=7,"Regular",IF($N471&gt;=4,"Occasional","Low"))))))</f>
        <v/>
      </c>
      <c r="P471" s="6" t="str">
        <f aca="true">IF(OR($A471="",$I471=""),"",IF(MONTH($I471)=MONTH(TODAY()),"Yes",""))</f>
        <v/>
      </c>
      <c r="Q471" s="21" t="str">
        <f aca="false">IF($A471="","",IF($C471=0,"",_xlfn.MINIFS('Daily tracking'!$A$2:$A$2001,'Daily tracking'!$D$2:$D$2001,$A471)))</f>
        <v/>
      </c>
      <c r="R471" s="6" t="str">
        <f aca="false">IF(OR($A471="",$C471&lt;2),"",($E471-$Q471)/($C471-1))</f>
        <v/>
      </c>
    </row>
    <row r="472" customFormat="false" ht="14.25" hidden="false" customHeight="false" outlineLevel="0" collapsed="false">
      <c r="A472" s="19"/>
      <c r="B472" s="19"/>
      <c r="C472" s="15" t="str">
        <f aca="false">IF($A472="","",COUNTIF('Daily tracking'!$D$2:$D$2001,$A472))</f>
        <v/>
      </c>
      <c r="D472" s="16" t="str">
        <f aca="false">IF($A472="","",SUMIF('Daily tracking'!$D$2:$D$2001,$A472,'Daily tracking'!$G$2:$G$2001))</f>
        <v/>
      </c>
      <c r="E472" s="18" t="str">
        <f aca="false">IF($A472="","",IF($C472=0,"",_xlfn.MAXIFS('Daily tracking'!$A$2:$A$2001,'Daily tracking'!$D$2:$D$2001,$A472)))</f>
        <v/>
      </c>
      <c r="F472" s="6" t="str">
        <f aca="true">IF(OR($A472="",$E472=""),"",TODAY()-$E472)</f>
        <v/>
      </c>
      <c r="G472" s="3" t="str">
        <f aca="false">IF($A472="","",IF($C472=0,"No visits",IF($F472&gt;90,"Lapsed",IF($F472&gt;35,"At risk",IF($C472&gt;=4,"Loyal","Active")))))</f>
        <v/>
      </c>
      <c r="H472" s="9" t="str">
        <f aca="false">IF(OR($A472="",$C472=0),"",$D472/$C472)</f>
        <v/>
      </c>
      <c r="I472" s="20"/>
      <c r="J472" s="20"/>
      <c r="K472" s="19"/>
      <c r="L472" s="19"/>
      <c r="M472" s="19"/>
      <c r="N472" s="15" t="str">
        <f aca="false">IF($A472="","",IF($C472=0,0,(IF($F472&lt;=15,5,IF($F472&lt;=30,4,IF($F472&lt;=45,3,IF($F472&lt;=90,2,1))))+IF($C472&gt;=10,5,IF($C472&gt;=6,4,IF($C472&gt;=4,3,IF($C472&gt;=2,2,1))))+IF($D472&gt;=20000,5,IF($D472&gt;=10000,4,IF($D472&gt;=5000,3,IF($D472&gt;=2000,2,1)))))))</f>
        <v/>
      </c>
      <c r="O472" s="3" t="str">
        <f aca="false">IF($A472="","",IF($C472=0,"No visits",IF($N472&gt;=13,"VIP",IF($N472&gt;=10,"High value",IF($N472&gt;=7,"Regular",IF($N472&gt;=4,"Occasional","Low"))))))</f>
        <v/>
      </c>
      <c r="P472" s="6" t="str">
        <f aca="true">IF(OR($A472="",$I472=""),"",IF(MONTH($I472)=MONTH(TODAY()),"Yes",""))</f>
        <v/>
      </c>
      <c r="Q472" s="21" t="str">
        <f aca="false">IF($A472="","",IF($C472=0,"",_xlfn.MINIFS('Daily tracking'!$A$2:$A$2001,'Daily tracking'!$D$2:$D$2001,$A472)))</f>
        <v/>
      </c>
      <c r="R472" s="6" t="str">
        <f aca="false">IF(OR($A472="",$C472&lt;2),"",($E472-$Q472)/($C472-1))</f>
        <v/>
      </c>
    </row>
    <row r="473" customFormat="false" ht="14.25" hidden="false" customHeight="false" outlineLevel="0" collapsed="false">
      <c r="A473" s="19"/>
      <c r="B473" s="19"/>
      <c r="C473" s="15" t="str">
        <f aca="false">IF($A473="","",COUNTIF('Daily tracking'!$D$2:$D$2001,$A473))</f>
        <v/>
      </c>
      <c r="D473" s="16" t="str">
        <f aca="false">IF($A473="","",SUMIF('Daily tracking'!$D$2:$D$2001,$A473,'Daily tracking'!$G$2:$G$2001))</f>
        <v/>
      </c>
      <c r="E473" s="18" t="str">
        <f aca="false">IF($A473="","",IF($C473=0,"",_xlfn.MAXIFS('Daily tracking'!$A$2:$A$2001,'Daily tracking'!$D$2:$D$2001,$A473)))</f>
        <v/>
      </c>
      <c r="F473" s="6" t="str">
        <f aca="true">IF(OR($A473="",$E473=""),"",TODAY()-$E473)</f>
        <v/>
      </c>
      <c r="G473" s="3" t="str">
        <f aca="false">IF($A473="","",IF($C473=0,"No visits",IF($F473&gt;90,"Lapsed",IF($F473&gt;35,"At risk",IF($C473&gt;=4,"Loyal","Active")))))</f>
        <v/>
      </c>
      <c r="H473" s="9" t="str">
        <f aca="false">IF(OR($A473="",$C473=0),"",$D473/$C473)</f>
        <v/>
      </c>
      <c r="I473" s="20"/>
      <c r="J473" s="20"/>
      <c r="K473" s="19"/>
      <c r="L473" s="19"/>
      <c r="M473" s="19"/>
      <c r="N473" s="15" t="str">
        <f aca="false">IF($A473="","",IF($C473=0,0,(IF($F473&lt;=15,5,IF($F473&lt;=30,4,IF($F473&lt;=45,3,IF($F473&lt;=90,2,1))))+IF($C473&gt;=10,5,IF($C473&gt;=6,4,IF($C473&gt;=4,3,IF($C473&gt;=2,2,1))))+IF($D473&gt;=20000,5,IF($D473&gt;=10000,4,IF($D473&gt;=5000,3,IF($D473&gt;=2000,2,1)))))))</f>
        <v/>
      </c>
      <c r="O473" s="3" t="str">
        <f aca="false">IF($A473="","",IF($C473=0,"No visits",IF($N473&gt;=13,"VIP",IF($N473&gt;=10,"High value",IF($N473&gt;=7,"Regular",IF($N473&gt;=4,"Occasional","Low"))))))</f>
        <v/>
      </c>
      <c r="P473" s="6" t="str">
        <f aca="true">IF(OR($A473="",$I473=""),"",IF(MONTH($I473)=MONTH(TODAY()),"Yes",""))</f>
        <v/>
      </c>
      <c r="Q473" s="21" t="str">
        <f aca="false">IF($A473="","",IF($C473=0,"",_xlfn.MINIFS('Daily tracking'!$A$2:$A$2001,'Daily tracking'!$D$2:$D$2001,$A473)))</f>
        <v/>
      </c>
      <c r="R473" s="6" t="str">
        <f aca="false">IF(OR($A473="",$C473&lt;2),"",($E473-$Q473)/($C473-1))</f>
        <v/>
      </c>
    </row>
    <row r="474" customFormat="false" ht="14.25" hidden="false" customHeight="false" outlineLevel="0" collapsed="false">
      <c r="A474" s="19"/>
      <c r="B474" s="19"/>
      <c r="C474" s="15" t="str">
        <f aca="false">IF($A474="","",COUNTIF('Daily tracking'!$D$2:$D$2001,$A474))</f>
        <v/>
      </c>
      <c r="D474" s="16" t="str">
        <f aca="false">IF($A474="","",SUMIF('Daily tracking'!$D$2:$D$2001,$A474,'Daily tracking'!$G$2:$G$2001))</f>
        <v/>
      </c>
      <c r="E474" s="18" t="str">
        <f aca="false">IF($A474="","",IF($C474=0,"",_xlfn.MAXIFS('Daily tracking'!$A$2:$A$2001,'Daily tracking'!$D$2:$D$2001,$A474)))</f>
        <v/>
      </c>
      <c r="F474" s="6" t="str">
        <f aca="true">IF(OR($A474="",$E474=""),"",TODAY()-$E474)</f>
        <v/>
      </c>
      <c r="G474" s="3" t="str">
        <f aca="false">IF($A474="","",IF($C474=0,"No visits",IF($F474&gt;90,"Lapsed",IF($F474&gt;35,"At risk",IF($C474&gt;=4,"Loyal","Active")))))</f>
        <v/>
      </c>
      <c r="H474" s="9" t="str">
        <f aca="false">IF(OR($A474="",$C474=0),"",$D474/$C474)</f>
        <v/>
      </c>
      <c r="I474" s="20"/>
      <c r="J474" s="20"/>
      <c r="K474" s="19"/>
      <c r="L474" s="19"/>
      <c r="M474" s="19"/>
      <c r="N474" s="15" t="str">
        <f aca="false">IF($A474="","",IF($C474=0,0,(IF($F474&lt;=15,5,IF($F474&lt;=30,4,IF($F474&lt;=45,3,IF($F474&lt;=90,2,1))))+IF($C474&gt;=10,5,IF($C474&gt;=6,4,IF($C474&gt;=4,3,IF($C474&gt;=2,2,1))))+IF($D474&gt;=20000,5,IF($D474&gt;=10000,4,IF($D474&gt;=5000,3,IF($D474&gt;=2000,2,1)))))))</f>
        <v/>
      </c>
      <c r="O474" s="3" t="str">
        <f aca="false">IF($A474="","",IF($C474=0,"No visits",IF($N474&gt;=13,"VIP",IF($N474&gt;=10,"High value",IF($N474&gt;=7,"Regular",IF($N474&gt;=4,"Occasional","Low"))))))</f>
        <v/>
      </c>
      <c r="P474" s="6" t="str">
        <f aca="true">IF(OR($A474="",$I474=""),"",IF(MONTH($I474)=MONTH(TODAY()),"Yes",""))</f>
        <v/>
      </c>
      <c r="Q474" s="21" t="str">
        <f aca="false">IF($A474="","",IF($C474=0,"",_xlfn.MINIFS('Daily tracking'!$A$2:$A$2001,'Daily tracking'!$D$2:$D$2001,$A474)))</f>
        <v/>
      </c>
      <c r="R474" s="6" t="str">
        <f aca="false">IF(OR($A474="",$C474&lt;2),"",($E474-$Q474)/($C474-1))</f>
        <v/>
      </c>
    </row>
    <row r="475" customFormat="false" ht="14.25" hidden="false" customHeight="false" outlineLevel="0" collapsed="false">
      <c r="A475" s="19"/>
      <c r="B475" s="19"/>
      <c r="C475" s="15" t="str">
        <f aca="false">IF($A475="","",COUNTIF('Daily tracking'!$D$2:$D$2001,$A475))</f>
        <v/>
      </c>
      <c r="D475" s="16" t="str">
        <f aca="false">IF($A475="","",SUMIF('Daily tracking'!$D$2:$D$2001,$A475,'Daily tracking'!$G$2:$G$2001))</f>
        <v/>
      </c>
      <c r="E475" s="18" t="str">
        <f aca="false">IF($A475="","",IF($C475=0,"",_xlfn.MAXIFS('Daily tracking'!$A$2:$A$2001,'Daily tracking'!$D$2:$D$2001,$A475)))</f>
        <v/>
      </c>
      <c r="F475" s="6" t="str">
        <f aca="true">IF(OR($A475="",$E475=""),"",TODAY()-$E475)</f>
        <v/>
      </c>
      <c r="G475" s="3" t="str">
        <f aca="false">IF($A475="","",IF($C475=0,"No visits",IF($F475&gt;90,"Lapsed",IF($F475&gt;35,"At risk",IF($C475&gt;=4,"Loyal","Active")))))</f>
        <v/>
      </c>
      <c r="H475" s="9" t="str">
        <f aca="false">IF(OR($A475="",$C475=0),"",$D475/$C475)</f>
        <v/>
      </c>
      <c r="I475" s="20"/>
      <c r="J475" s="20"/>
      <c r="K475" s="19"/>
      <c r="L475" s="19"/>
      <c r="M475" s="19"/>
      <c r="N475" s="15" t="str">
        <f aca="false">IF($A475="","",IF($C475=0,0,(IF($F475&lt;=15,5,IF($F475&lt;=30,4,IF($F475&lt;=45,3,IF($F475&lt;=90,2,1))))+IF($C475&gt;=10,5,IF($C475&gt;=6,4,IF($C475&gt;=4,3,IF($C475&gt;=2,2,1))))+IF($D475&gt;=20000,5,IF($D475&gt;=10000,4,IF($D475&gt;=5000,3,IF($D475&gt;=2000,2,1)))))))</f>
        <v/>
      </c>
      <c r="O475" s="3" t="str">
        <f aca="false">IF($A475="","",IF($C475=0,"No visits",IF($N475&gt;=13,"VIP",IF($N475&gt;=10,"High value",IF($N475&gt;=7,"Regular",IF($N475&gt;=4,"Occasional","Low"))))))</f>
        <v/>
      </c>
      <c r="P475" s="6" t="str">
        <f aca="true">IF(OR($A475="",$I475=""),"",IF(MONTH($I475)=MONTH(TODAY()),"Yes",""))</f>
        <v/>
      </c>
      <c r="Q475" s="21" t="str">
        <f aca="false">IF($A475="","",IF($C475=0,"",_xlfn.MINIFS('Daily tracking'!$A$2:$A$2001,'Daily tracking'!$D$2:$D$2001,$A475)))</f>
        <v/>
      </c>
      <c r="R475" s="6" t="str">
        <f aca="false">IF(OR($A475="",$C475&lt;2),"",($E475-$Q475)/($C475-1))</f>
        <v/>
      </c>
    </row>
    <row r="476" customFormat="false" ht="14.25" hidden="false" customHeight="false" outlineLevel="0" collapsed="false">
      <c r="A476" s="19"/>
      <c r="B476" s="19"/>
      <c r="C476" s="15" t="str">
        <f aca="false">IF($A476="","",COUNTIF('Daily tracking'!$D$2:$D$2001,$A476))</f>
        <v/>
      </c>
      <c r="D476" s="16" t="str">
        <f aca="false">IF($A476="","",SUMIF('Daily tracking'!$D$2:$D$2001,$A476,'Daily tracking'!$G$2:$G$2001))</f>
        <v/>
      </c>
      <c r="E476" s="18" t="str">
        <f aca="false">IF($A476="","",IF($C476=0,"",_xlfn.MAXIFS('Daily tracking'!$A$2:$A$2001,'Daily tracking'!$D$2:$D$2001,$A476)))</f>
        <v/>
      </c>
      <c r="F476" s="6" t="str">
        <f aca="true">IF(OR($A476="",$E476=""),"",TODAY()-$E476)</f>
        <v/>
      </c>
      <c r="G476" s="3" t="str">
        <f aca="false">IF($A476="","",IF($C476=0,"No visits",IF($F476&gt;90,"Lapsed",IF($F476&gt;35,"At risk",IF($C476&gt;=4,"Loyal","Active")))))</f>
        <v/>
      </c>
      <c r="H476" s="9" t="str">
        <f aca="false">IF(OR($A476="",$C476=0),"",$D476/$C476)</f>
        <v/>
      </c>
      <c r="I476" s="20"/>
      <c r="J476" s="20"/>
      <c r="K476" s="19"/>
      <c r="L476" s="19"/>
      <c r="M476" s="19"/>
      <c r="N476" s="15" t="str">
        <f aca="false">IF($A476="","",IF($C476=0,0,(IF($F476&lt;=15,5,IF($F476&lt;=30,4,IF($F476&lt;=45,3,IF($F476&lt;=90,2,1))))+IF($C476&gt;=10,5,IF($C476&gt;=6,4,IF($C476&gt;=4,3,IF($C476&gt;=2,2,1))))+IF($D476&gt;=20000,5,IF($D476&gt;=10000,4,IF($D476&gt;=5000,3,IF($D476&gt;=2000,2,1)))))))</f>
        <v/>
      </c>
      <c r="O476" s="3" t="str">
        <f aca="false">IF($A476="","",IF($C476=0,"No visits",IF($N476&gt;=13,"VIP",IF($N476&gt;=10,"High value",IF($N476&gt;=7,"Regular",IF($N476&gt;=4,"Occasional","Low"))))))</f>
        <v/>
      </c>
      <c r="P476" s="6" t="str">
        <f aca="true">IF(OR($A476="",$I476=""),"",IF(MONTH($I476)=MONTH(TODAY()),"Yes",""))</f>
        <v/>
      </c>
      <c r="Q476" s="21" t="str">
        <f aca="false">IF($A476="","",IF($C476=0,"",_xlfn.MINIFS('Daily tracking'!$A$2:$A$2001,'Daily tracking'!$D$2:$D$2001,$A476)))</f>
        <v/>
      </c>
      <c r="R476" s="6" t="str">
        <f aca="false">IF(OR($A476="",$C476&lt;2),"",($E476-$Q476)/($C476-1))</f>
        <v/>
      </c>
    </row>
    <row r="477" customFormat="false" ht="14.25" hidden="false" customHeight="false" outlineLevel="0" collapsed="false">
      <c r="A477" s="19"/>
      <c r="B477" s="19"/>
      <c r="C477" s="15" t="str">
        <f aca="false">IF($A477="","",COUNTIF('Daily tracking'!$D$2:$D$2001,$A477))</f>
        <v/>
      </c>
      <c r="D477" s="16" t="str">
        <f aca="false">IF($A477="","",SUMIF('Daily tracking'!$D$2:$D$2001,$A477,'Daily tracking'!$G$2:$G$2001))</f>
        <v/>
      </c>
      <c r="E477" s="18" t="str">
        <f aca="false">IF($A477="","",IF($C477=0,"",_xlfn.MAXIFS('Daily tracking'!$A$2:$A$2001,'Daily tracking'!$D$2:$D$2001,$A477)))</f>
        <v/>
      </c>
      <c r="F477" s="6" t="str">
        <f aca="true">IF(OR($A477="",$E477=""),"",TODAY()-$E477)</f>
        <v/>
      </c>
      <c r="G477" s="3" t="str">
        <f aca="false">IF($A477="","",IF($C477=0,"No visits",IF($F477&gt;90,"Lapsed",IF($F477&gt;35,"At risk",IF($C477&gt;=4,"Loyal","Active")))))</f>
        <v/>
      </c>
      <c r="H477" s="9" t="str">
        <f aca="false">IF(OR($A477="",$C477=0),"",$D477/$C477)</f>
        <v/>
      </c>
      <c r="I477" s="20"/>
      <c r="J477" s="20"/>
      <c r="K477" s="19"/>
      <c r="L477" s="19"/>
      <c r="M477" s="19"/>
      <c r="N477" s="15" t="str">
        <f aca="false">IF($A477="","",IF($C477=0,0,(IF($F477&lt;=15,5,IF($F477&lt;=30,4,IF($F477&lt;=45,3,IF($F477&lt;=90,2,1))))+IF($C477&gt;=10,5,IF($C477&gt;=6,4,IF($C477&gt;=4,3,IF($C477&gt;=2,2,1))))+IF($D477&gt;=20000,5,IF($D477&gt;=10000,4,IF($D477&gt;=5000,3,IF($D477&gt;=2000,2,1)))))))</f>
        <v/>
      </c>
      <c r="O477" s="3" t="str">
        <f aca="false">IF($A477="","",IF($C477=0,"No visits",IF($N477&gt;=13,"VIP",IF($N477&gt;=10,"High value",IF($N477&gt;=7,"Regular",IF($N477&gt;=4,"Occasional","Low"))))))</f>
        <v/>
      </c>
      <c r="P477" s="6" t="str">
        <f aca="true">IF(OR($A477="",$I477=""),"",IF(MONTH($I477)=MONTH(TODAY()),"Yes",""))</f>
        <v/>
      </c>
      <c r="Q477" s="21" t="str">
        <f aca="false">IF($A477="","",IF($C477=0,"",_xlfn.MINIFS('Daily tracking'!$A$2:$A$2001,'Daily tracking'!$D$2:$D$2001,$A477)))</f>
        <v/>
      </c>
      <c r="R477" s="6" t="str">
        <f aca="false">IF(OR($A477="",$C477&lt;2),"",($E477-$Q477)/($C477-1))</f>
        <v/>
      </c>
    </row>
    <row r="478" customFormat="false" ht="14.25" hidden="false" customHeight="false" outlineLevel="0" collapsed="false">
      <c r="A478" s="19"/>
      <c r="B478" s="19"/>
      <c r="C478" s="15" t="str">
        <f aca="false">IF($A478="","",COUNTIF('Daily tracking'!$D$2:$D$2001,$A478))</f>
        <v/>
      </c>
      <c r="D478" s="16" t="str">
        <f aca="false">IF($A478="","",SUMIF('Daily tracking'!$D$2:$D$2001,$A478,'Daily tracking'!$G$2:$G$2001))</f>
        <v/>
      </c>
      <c r="E478" s="18" t="str">
        <f aca="false">IF($A478="","",IF($C478=0,"",_xlfn.MAXIFS('Daily tracking'!$A$2:$A$2001,'Daily tracking'!$D$2:$D$2001,$A478)))</f>
        <v/>
      </c>
      <c r="F478" s="6" t="str">
        <f aca="true">IF(OR($A478="",$E478=""),"",TODAY()-$E478)</f>
        <v/>
      </c>
      <c r="G478" s="3" t="str">
        <f aca="false">IF($A478="","",IF($C478=0,"No visits",IF($F478&gt;90,"Lapsed",IF($F478&gt;35,"At risk",IF($C478&gt;=4,"Loyal","Active")))))</f>
        <v/>
      </c>
      <c r="H478" s="9" t="str">
        <f aca="false">IF(OR($A478="",$C478=0),"",$D478/$C478)</f>
        <v/>
      </c>
      <c r="I478" s="20"/>
      <c r="J478" s="20"/>
      <c r="K478" s="19"/>
      <c r="L478" s="19"/>
      <c r="M478" s="19"/>
      <c r="N478" s="15" t="str">
        <f aca="false">IF($A478="","",IF($C478=0,0,(IF($F478&lt;=15,5,IF($F478&lt;=30,4,IF($F478&lt;=45,3,IF($F478&lt;=90,2,1))))+IF($C478&gt;=10,5,IF($C478&gt;=6,4,IF($C478&gt;=4,3,IF($C478&gt;=2,2,1))))+IF($D478&gt;=20000,5,IF($D478&gt;=10000,4,IF($D478&gt;=5000,3,IF($D478&gt;=2000,2,1)))))))</f>
        <v/>
      </c>
      <c r="O478" s="3" t="str">
        <f aca="false">IF($A478="","",IF($C478=0,"No visits",IF($N478&gt;=13,"VIP",IF($N478&gt;=10,"High value",IF($N478&gt;=7,"Regular",IF($N478&gt;=4,"Occasional","Low"))))))</f>
        <v/>
      </c>
      <c r="P478" s="6" t="str">
        <f aca="true">IF(OR($A478="",$I478=""),"",IF(MONTH($I478)=MONTH(TODAY()),"Yes",""))</f>
        <v/>
      </c>
      <c r="Q478" s="21" t="str">
        <f aca="false">IF($A478="","",IF($C478=0,"",_xlfn.MINIFS('Daily tracking'!$A$2:$A$2001,'Daily tracking'!$D$2:$D$2001,$A478)))</f>
        <v/>
      </c>
      <c r="R478" s="6" t="str">
        <f aca="false">IF(OR($A478="",$C478&lt;2),"",($E478-$Q478)/($C478-1))</f>
        <v/>
      </c>
    </row>
    <row r="479" customFormat="false" ht="14.25" hidden="false" customHeight="false" outlineLevel="0" collapsed="false">
      <c r="A479" s="19"/>
      <c r="B479" s="19"/>
      <c r="C479" s="15" t="str">
        <f aca="false">IF($A479="","",COUNTIF('Daily tracking'!$D$2:$D$2001,$A479))</f>
        <v/>
      </c>
      <c r="D479" s="16" t="str">
        <f aca="false">IF($A479="","",SUMIF('Daily tracking'!$D$2:$D$2001,$A479,'Daily tracking'!$G$2:$G$2001))</f>
        <v/>
      </c>
      <c r="E479" s="18" t="str">
        <f aca="false">IF($A479="","",IF($C479=0,"",_xlfn.MAXIFS('Daily tracking'!$A$2:$A$2001,'Daily tracking'!$D$2:$D$2001,$A479)))</f>
        <v/>
      </c>
      <c r="F479" s="6" t="str">
        <f aca="true">IF(OR($A479="",$E479=""),"",TODAY()-$E479)</f>
        <v/>
      </c>
      <c r="G479" s="3" t="str">
        <f aca="false">IF($A479="","",IF($C479=0,"No visits",IF($F479&gt;90,"Lapsed",IF($F479&gt;35,"At risk",IF($C479&gt;=4,"Loyal","Active")))))</f>
        <v/>
      </c>
      <c r="H479" s="9" t="str">
        <f aca="false">IF(OR($A479="",$C479=0),"",$D479/$C479)</f>
        <v/>
      </c>
      <c r="I479" s="20"/>
      <c r="J479" s="20"/>
      <c r="K479" s="19"/>
      <c r="L479" s="19"/>
      <c r="M479" s="19"/>
      <c r="N479" s="15" t="str">
        <f aca="false">IF($A479="","",IF($C479=0,0,(IF($F479&lt;=15,5,IF($F479&lt;=30,4,IF($F479&lt;=45,3,IF($F479&lt;=90,2,1))))+IF($C479&gt;=10,5,IF($C479&gt;=6,4,IF($C479&gt;=4,3,IF($C479&gt;=2,2,1))))+IF($D479&gt;=20000,5,IF($D479&gt;=10000,4,IF($D479&gt;=5000,3,IF($D479&gt;=2000,2,1)))))))</f>
        <v/>
      </c>
      <c r="O479" s="3" t="str">
        <f aca="false">IF($A479="","",IF($C479=0,"No visits",IF($N479&gt;=13,"VIP",IF($N479&gt;=10,"High value",IF($N479&gt;=7,"Regular",IF($N479&gt;=4,"Occasional","Low"))))))</f>
        <v/>
      </c>
      <c r="P479" s="6" t="str">
        <f aca="true">IF(OR($A479="",$I479=""),"",IF(MONTH($I479)=MONTH(TODAY()),"Yes",""))</f>
        <v/>
      </c>
      <c r="Q479" s="21" t="str">
        <f aca="false">IF($A479="","",IF($C479=0,"",_xlfn.MINIFS('Daily tracking'!$A$2:$A$2001,'Daily tracking'!$D$2:$D$2001,$A479)))</f>
        <v/>
      </c>
      <c r="R479" s="6" t="str">
        <f aca="false">IF(OR($A479="",$C479&lt;2),"",($E479-$Q479)/($C479-1))</f>
        <v/>
      </c>
    </row>
    <row r="480" customFormat="false" ht="14.25" hidden="false" customHeight="false" outlineLevel="0" collapsed="false">
      <c r="A480" s="19"/>
      <c r="B480" s="19"/>
      <c r="C480" s="15" t="str">
        <f aca="false">IF($A480="","",COUNTIF('Daily tracking'!$D$2:$D$2001,$A480))</f>
        <v/>
      </c>
      <c r="D480" s="16" t="str">
        <f aca="false">IF($A480="","",SUMIF('Daily tracking'!$D$2:$D$2001,$A480,'Daily tracking'!$G$2:$G$2001))</f>
        <v/>
      </c>
      <c r="E480" s="18" t="str">
        <f aca="false">IF($A480="","",IF($C480=0,"",_xlfn.MAXIFS('Daily tracking'!$A$2:$A$2001,'Daily tracking'!$D$2:$D$2001,$A480)))</f>
        <v/>
      </c>
      <c r="F480" s="6" t="str">
        <f aca="true">IF(OR($A480="",$E480=""),"",TODAY()-$E480)</f>
        <v/>
      </c>
      <c r="G480" s="3" t="str">
        <f aca="false">IF($A480="","",IF($C480=0,"No visits",IF($F480&gt;90,"Lapsed",IF($F480&gt;35,"At risk",IF($C480&gt;=4,"Loyal","Active")))))</f>
        <v/>
      </c>
      <c r="H480" s="9" t="str">
        <f aca="false">IF(OR($A480="",$C480=0),"",$D480/$C480)</f>
        <v/>
      </c>
      <c r="I480" s="20"/>
      <c r="J480" s="20"/>
      <c r="K480" s="19"/>
      <c r="L480" s="19"/>
      <c r="M480" s="19"/>
      <c r="N480" s="15" t="str">
        <f aca="false">IF($A480="","",IF($C480=0,0,(IF($F480&lt;=15,5,IF($F480&lt;=30,4,IF($F480&lt;=45,3,IF($F480&lt;=90,2,1))))+IF($C480&gt;=10,5,IF($C480&gt;=6,4,IF($C480&gt;=4,3,IF($C480&gt;=2,2,1))))+IF($D480&gt;=20000,5,IF($D480&gt;=10000,4,IF($D480&gt;=5000,3,IF($D480&gt;=2000,2,1)))))))</f>
        <v/>
      </c>
      <c r="O480" s="3" t="str">
        <f aca="false">IF($A480="","",IF($C480=0,"No visits",IF($N480&gt;=13,"VIP",IF($N480&gt;=10,"High value",IF($N480&gt;=7,"Regular",IF($N480&gt;=4,"Occasional","Low"))))))</f>
        <v/>
      </c>
      <c r="P480" s="6" t="str">
        <f aca="true">IF(OR($A480="",$I480=""),"",IF(MONTH($I480)=MONTH(TODAY()),"Yes",""))</f>
        <v/>
      </c>
      <c r="Q480" s="21" t="str">
        <f aca="false">IF($A480="","",IF($C480=0,"",_xlfn.MINIFS('Daily tracking'!$A$2:$A$2001,'Daily tracking'!$D$2:$D$2001,$A480)))</f>
        <v/>
      </c>
      <c r="R480" s="6" t="str">
        <f aca="false">IF(OR($A480="",$C480&lt;2),"",($E480-$Q480)/($C480-1))</f>
        <v/>
      </c>
    </row>
    <row r="481" customFormat="false" ht="14.25" hidden="false" customHeight="false" outlineLevel="0" collapsed="false">
      <c r="A481" s="19"/>
      <c r="B481" s="19"/>
      <c r="C481" s="15" t="str">
        <f aca="false">IF($A481="","",COUNTIF('Daily tracking'!$D$2:$D$2001,$A481))</f>
        <v/>
      </c>
      <c r="D481" s="16" t="str">
        <f aca="false">IF($A481="","",SUMIF('Daily tracking'!$D$2:$D$2001,$A481,'Daily tracking'!$G$2:$G$2001))</f>
        <v/>
      </c>
      <c r="E481" s="18" t="str">
        <f aca="false">IF($A481="","",IF($C481=0,"",_xlfn.MAXIFS('Daily tracking'!$A$2:$A$2001,'Daily tracking'!$D$2:$D$2001,$A481)))</f>
        <v/>
      </c>
      <c r="F481" s="6" t="str">
        <f aca="true">IF(OR($A481="",$E481=""),"",TODAY()-$E481)</f>
        <v/>
      </c>
      <c r="G481" s="3" t="str">
        <f aca="false">IF($A481="","",IF($C481=0,"No visits",IF($F481&gt;90,"Lapsed",IF($F481&gt;35,"At risk",IF($C481&gt;=4,"Loyal","Active")))))</f>
        <v/>
      </c>
      <c r="H481" s="9" t="str">
        <f aca="false">IF(OR($A481="",$C481=0),"",$D481/$C481)</f>
        <v/>
      </c>
      <c r="I481" s="20"/>
      <c r="J481" s="20"/>
      <c r="K481" s="19"/>
      <c r="L481" s="19"/>
      <c r="M481" s="19"/>
      <c r="N481" s="15" t="str">
        <f aca="false">IF($A481="","",IF($C481=0,0,(IF($F481&lt;=15,5,IF($F481&lt;=30,4,IF($F481&lt;=45,3,IF($F481&lt;=90,2,1))))+IF($C481&gt;=10,5,IF($C481&gt;=6,4,IF($C481&gt;=4,3,IF($C481&gt;=2,2,1))))+IF($D481&gt;=20000,5,IF($D481&gt;=10000,4,IF($D481&gt;=5000,3,IF($D481&gt;=2000,2,1)))))))</f>
        <v/>
      </c>
      <c r="O481" s="3" t="str">
        <f aca="false">IF($A481="","",IF($C481=0,"No visits",IF($N481&gt;=13,"VIP",IF($N481&gt;=10,"High value",IF($N481&gt;=7,"Regular",IF($N481&gt;=4,"Occasional","Low"))))))</f>
        <v/>
      </c>
      <c r="P481" s="6" t="str">
        <f aca="true">IF(OR($A481="",$I481=""),"",IF(MONTH($I481)=MONTH(TODAY()),"Yes",""))</f>
        <v/>
      </c>
      <c r="Q481" s="21" t="str">
        <f aca="false">IF($A481="","",IF($C481=0,"",_xlfn.MINIFS('Daily tracking'!$A$2:$A$2001,'Daily tracking'!$D$2:$D$2001,$A481)))</f>
        <v/>
      </c>
      <c r="R481" s="6" t="str">
        <f aca="false">IF(OR($A481="",$C481&lt;2),"",($E481-$Q481)/($C481-1))</f>
        <v/>
      </c>
    </row>
    <row r="482" customFormat="false" ht="14.25" hidden="false" customHeight="false" outlineLevel="0" collapsed="false">
      <c r="A482" s="19"/>
      <c r="B482" s="19"/>
      <c r="C482" s="15" t="str">
        <f aca="false">IF($A482="","",COUNTIF('Daily tracking'!$D$2:$D$2001,$A482))</f>
        <v/>
      </c>
      <c r="D482" s="16" t="str">
        <f aca="false">IF($A482="","",SUMIF('Daily tracking'!$D$2:$D$2001,$A482,'Daily tracking'!$G$2:$G$2001))</f>
        <v/>
      </c>
      <c r="E482" s="18" t="str">
        <f aca="false">IF($A482="","",IF($C482=0,"",_xlfn.MAXIFS('Daily tracking'!$A$2:$A$2001,'Daily tracking'!$D$2:$D$2001,$A482)))</f>
        <v/>
      </c>
      <c r="F482" s="6" t="str">
        <f aca="true">IF(OR($A482="",$E482=""),"",TODAY()-$E482)</f>
        <v/>
      </c>
      <c r="G482" s="3" t="str">
        <f aca="false">IF($A482="","",IF($C482=0,"No visits",IF($F482&gt;90,"Lapsed",IF($F482&gt;35,"At risk",IF($C482&gt;=4,"Loyal","Active")))))</f>
        <v/>
      </c>
      <c r="H482" s="9" t="str">
        <f aca="false">IF(OR($A482="",$C482=0),"",$D482/$C482)</f>
        <v/>
      </c>
      <c r="I482" s="20"/>
      <c r="J482" s="20"/>
      <c r="K482" s="19"/>
      <c r="L482" s="19"/>
      <c r="M482" s="19"/>
      <c r="N482" s="15" t="str">
        <f aca="false">IF($A482="","",IF($C482=0,0,(IF($F482&lt;=15,5,IF($F482&lt;=30,4,IF($F482&lt;=45,3,IF($F482&lt;=90,2,1))))+IF($C482&gt;=10,5,IF($C482&gt;=6,4,IF($C482&gt;=4,3,IF($C482&gt;=2,2,1))))+IF($D482&gt;=20000,5,IF($D482&gt;=10000,4,IF($D482&gt;=5000,3,IF($D482&gt;=2000,2,1)))))))</f>
        <v/>
      </c>
      <c r="O482" s="3" t="str">
        <f aca="false">IF($A482="","",IF($C482=0,"No visits",IF($N482&gt;=13,"VIP",IF($N482&gt;=10,"High value",IF($N482&gt;=7,"Regular",IF($N482&gt;=4,"Occasional","Low"))))))</f>
        <v/>
      </c>
      <c r="P482" s="6" t="str">
        <f aca="true">IF(OR($A482="",$I482=""),"",IF(MONTH($I482)=MONTH(TODAY()),"Yes",""))</f>
        <v/>
      </c>
      <c r="Q482" s="21" t="str">
        <f aca="false">IF($A482="","",IF($C482=0,"",_xlfn.MINIFS('Daily tracking'!$A$2:$A$2001,'Daily tracking'!$D$2:$D$2001,$A482)))</f>
        <v/>
      </c>
      <c r="R482" s="6" t="str">
        <f aca="false">IF(OR($A482="",$C482&lt;2),"",($E482-$Q482)/($C482-1))</f>
        <v/>
      </c>
    </row>
    <row r="483" customFormat="false" ht="14.25" hidden="false" customHeight="false" outlineLevel="0" collapsed="false">
      <c r="A483" s="19"/>
      <c r="B483" s="19"/>
      <c r="C483" s="15" t="str">
        <f aca="false">IF($A483="","",COUNTIF('Daily tracking'!$D$2:$D$2001,$A483))</f>
        <v/>
      </c>
      <c r="D483" s="16" t="str">
        <f aca="false">IF($A483="","",SUMIF('Daily tracking'!$D$2:$D$2001,$A483,'Daily tracking'!$G$2:$G$2001))</f>
        <v/>
      </c>
      <c r="E483" s="18" t="str">
        <f aca="false">IF($A483="","",IF($C483=0,"",_xlfn.MAXIFS('Daily tracking'!$A$2:$A$2001,'Daily tracking'!$D$2:$D$2001,$A483)))</f>
        <v/>
      </c>
      <c r="F483" s="6" t="str">
        <f aca="true">IF(OR($A483="",$E483=""),"",TODAY()-$E483)</f>
        <v/>
      </c>
      <c r="G483" s="3" t="str">
        <f aca="false">IF($A483="","",IF($C483=0,"No visits",IF($F483&gt;90,"Lapsed",IF($F483&gt;35,"At risk",IF($C483&gt;=4,"Loyal","Active")))))</f>
        <v/>
      </c>
      <c r="H483" s="9" t="str">
        <f aca="false">IF(OR($A483="",$C483=0),"",$D483/$C483)</f>
        <v/>
      </c>
      <c r="I483" s="20"/>
      <c r="J483" s="20"/>
      <c r="K483" s="19"/>
      <c r="L483" s="19"/>
      <c r="M483" s="19"/>
      <c r="N483" s="15" t="str">
        <f aca="false">IF($A483="","",IF($C483=0,0,(IF($F483&lt;=15,5,IF($F483&lt;=30,4,IF($F483&lt;=45,3,IF($F483&lt;=90,2,1))))+IF($C483&gt;=10,5,IF($C483&gt;=6,4,IF($C483&gt;=4,3,IF($C483&gt;=2,2,1))))+IF($D483&gt;=20000,5,IF($D483&gt;=10000,4,IF($D483&gt;=5000,3,IF($D483&gt;=2000,2,1)))))))</f>
        <v/>
      </c>
      <c r="O483" s="3" t="str">
        <f aca="false">IF($A483="","",IF($C483=0,"No visits",IF($N483&gt;=13,"VIP",IF($N483&gt;=10,"High value",IF($N483&gt;=7,"Regular",IF($N483&gt;=4,"Occasional","Low"))))))</f>
        <v/>
      </c>
      <c r="P483" s="6" t="str">
        <f aca="true">IF(OR($A483="",$I483=""),"",IF(MONTH($I483)=MONTH(TODAY()),"Yes",""))</f>
        <v/>
      </c>
      <c r="Q483" s="21" t="str">
        <f aca="false">IF($A483="","",IF($C483=0,"",_xlfn.MINIFS('Daily tracking'!$A$2:$A$2001,'Daily tracking'!$D$2:$D$2001,$A483)))</f>
        <v/>
      </c>
      <c r="R483" s="6" t="str">
        <f aca="false">IF(OR($A483="",$C483&lt;2),"",($E483-$Q483)/($C483-1))</f>
        <v/>
      </c>
    </row>
    <row r="484" customFormat="false" ht="14.25" hidden="false" customHeight="false" outlineLevel="0" collapsed="false">
      <c r="A484" s="19"/>
      <c r="B484" s="19"/>
      <c r="C484" s="15" t="str">
        <f aca="false">IF($A484="","",COUNTIF('Daily tracking'!$D$2:$D$2001,$A484))</f>
        <v/>
      </c>
      <c r="D484" s="16" t="str">
        <f aca="false">IF($A484="","",SUMIF('Daily tracking'!$D$2:$D$2001,$A484,'Daily tracking'!$G$2:$G$2001))</f>
        <v/>
      </c>
      <c r="E484" s="18" t="str">
        <f aca="false">IF($A484="","",IF($C484=0,"",_xlfn.MAXIFS('Daily tracking'!$A$2:$A$2001,'Daily tracking'!$D$2:$D$2001,$A484)))</f>
        <v/>
      </c>
      <c r="F484" s="6" t="str">
        <f aca="true">IF(OR($A484="",$E484=""),"",TODAY()-$E484)</f>
        <v/>
      </c>
      <c r="G484" s="3" t="str">
        <f aca="false">IF($A484="","",IF($C484=0,"No visits",IF($F484&gt;90,"Lapsed",IF($F484&gt;35,"At risk",IF($C484&gt;=4,"Loyal","Active")))))</f>
        <v/>
      </c>
      <c r="H484" s="9" t="str">
        <f aca="false">IF(OR($A484="",$C484=0),"",$D484/$C484)</f>
        <v/>
      </c>
      <c r="I484" s="20"/>
      <c r="J484" s="20"/>
      <c r="K484" s="19"/>
      <c r="L484" s="19"/>
      <c r="M484" s="19"/>
      <c r="N484" s="15" t="str">
        <f aca="false">IF($A484="","",IF($C484=0,0,(IF($F484&lt;=15,5,IF($F484&lt;=30,4,IF($F484&lt;=45,3,IF($F484&lt;=90,2,1))))+IF($C484&gt;=10,5,IF($C484&gt;=6,4,IF($C484&gt;=4,3,IF($C484&gt;=2,2,1))))+IF($D484&gt;=20000,5,IF($D484&gt;=10000,4,IF($D484&gt;=5000,3,IF($D484&gt;=2000,2,1)))))))</f>
        <v/>
      </c>
      <c r="O484" s="3" t="str">
        <f aca="false">IF($A484="","",IF($C484=0,"No visits",IF($N484&gt;=13,"VIP",IF($N484&gt;=10,"High value",IF($N484&gt;=7,"Regular",IF($N484&gt;=4,"Occasional","Low"))))))</f>
        <v/>
      </c>
      <c r="P484" s="6" t="str">
        <f aca="true">IF(OR($A484="",$I484=""),"",IF(MONTH($I484)=MONTH(TODAY()),"Yes",""))</f>
        <v/>
      </c>
      <c r="Q484" s="21" t="str">
        <f aca="false">IF($A484="","",IF($C484=0,"",_xlfn.MINIFS('Daily tracking'!$A$2:$A$2001,'Daily tracking'!$D$2:$D$2001,$A484)))</f>
        <v/>
      </c>
      <c r="R484" s="6" t="str">
        <f aca="false">IF(OR($A484="",$C484&lt;2),"",($E484-$Q484)/($C484-1))</f>
        <v/>
      </c>
    </row>
    <row r="485" customFormat="false" ht="14.25" hidden="false" customHeight="false" outlineLevel="0" collapsed="false">
      <c r="A485" s="19"/>
      <c r="B485" s="19"/>
      <c r="C485" s="15" t="str">
        <f aca="false">IF($A485="","",COUNTIF('Daily tracking'!$D$2:$D$2001,$A485))</f>
        <v/>
      </c>
      <c r="D485" s="16" t="str">
        <f aca="false">IF($A485="","",SUMIF('Daily tracking'!$D$2:$D$2001,$A485,'Daily tracking'!$G$2:$G$2001))</f>
        <v/>
      </c>
      <c r="E485" s="18" t="str">
        <f aca="false">IF($A485="","",IF($C485=0,"",_xlfn.MAXIFS('Daily tracking'!$A$2:$A$2001,'Daily tracking'!$D$2:$D$2001,$A485)))</f>
        <v/>
      </c>
      <c r="F485" s="6" t="str">
        <f aca="true">IF(OR($A485="",$E485=""),"",TODAY()-$E485)</f>
        <v/>
      </c>
      <c r="G485" s="3" t="str">
        <f aca="false">IF($A485="","",IF($C485=0,"No visits",IF($F485&gt;90,"Lapsed",IF($F485&gt;35,"At risk",IF($C485&gt;=4,"Loyal","Active")))))</f>
        <v/>
      </c>
      <c r="H485" s="9" t="str">
        <f aca="false">IF(OR($A485="",$C485=0),"",$D485/$C485)</f>
        <v/>
      </c>
      <c r="I485" s="20"/>
      <c r="J485" s="20"/>
      <c r="K485" s="19"/>
      <c r="L485" s="19"/>
      <c r="M485" s="19"/>
      <c r="N485" s="15" t="str">
        <f aca="false">IF($A485="","",IF($C485=0,0,(IF($F485&lt;=15,5,IF($F485&lt;=30,4,IF($F485&lt;=45,3,IF($F485&lt;=90,2,1))))+IF($C485&gt;=10,5,IF($C485&gt;=6,4,IF($C485&gt;=4,3,IF($C485&gt;=2,2,1))))+IF($D485&gt;=20000,5,IF($D485&gt;=10000,4,IF($D485&gt;=5000,3,IF($D485&gt;=2000,2,1)))))))</f>
        <v/>
      </c>
      <c r="O485" s="3" t="str">
        <f aca="false">IF($A485="","",IF($C485=0,"No visits",IF($N485&gt;=13,"VIP",IF($N485&gt;=10,"High value",IF($N485&gt;=7,"Regular",IF($N485&gt;=4,"Occasional","Low"))))))</f>
        <v/>
      </c>
      <c r="P485" s="6" t="str">
        <f aca="true">IF(OR($A485="",$I485=""),"",IF(MONTH($I485)=MONTH(TODAY()),"Yes",""))</f>
        <v/>
      </c>
      <c r="Q485" s="21" t="str">
        <f aca="false">IF($A485="","",IF($C485=0,"",_xlfn.MINIFS('Daily tracking'!$A$2:$A$2001,'Daily tracking'!$D$2:$D$2001,$A485)))</f>
        <v/>
      </c>
      <c r="R485" s="6" t="str">
        <f aca="false">IF(OR($A485="",$C485&lt;2),"",($E485-$Q485)/($C485-1))</f>
        <v/>
      </c>
    </row>
    <row r="486" customFormat="false" ht="14.25" hidden="false" customHeight="false" outlineLevel="0" collapsed="false">
      <c r="A486" s="19"/>
      <c r="B486" s="19"/>
      <c r="C486" s="15" t="str">
        <f aca="false">IF($A486="","",COUNTIF('Daily tracking'!$D$2:$D$2001,$A486))</f>
        <v/>
      </c>
      <c r="D486" s="16" t="str">
        <f aca="false">IF($A486="","",SUMIF('Daily tracking'!$D$2:$D$2001,$A486,'Daily tracking'!$G$2:$G$2001))</f>
        <v/>
      </c>
      <c r="E486" s="18" t="str">
        <f aca="false">IF($A486="","",IF($C486=0,"",_xlfn.MAXIFS('Daily tracking'!$A$2:$A$2001,'Daily tracking'!$D$2:$D$2001,$A486)))</f>
        <v/>
      </c>
      <c r="F486" s="6" t="str">
        <f aca="true">IF(OR($A486="",$E486=""),"",TODAY()-$E486)</f>
        <v/>
      </c>
      <c r="G486" s="3" t="str">
        <f aca="false">IF($A486="","",IF($C486=0,"No visits",IF($F486&gt;90,"Lapsed",IF($F486&gt;35,"At risk",IF($C486&gt;=4,"Loyal","Active")))))</f>
        <v/>
      </c>
      <c r="H486" s="9" t="str">
        <f aca="false">IF(OR($A486="",$C486=0),"",$D486/$C486)</f>
        <v/>
      </c>
      <c r="I486" s="20"/>
      <c r="J486" s="20"/>
      <c r="K486" s="19"/>
      <c r="L486" s="19"/>
      <c r="M486" s="19"/>
      <c r="N486" s="15" t="str">
        <f aca="false">IF($A486="","",IF($C486=0,0,(IF($F486&lt;=15,5,IF($F486&lt;=30,4,IF($F486&lt;=45,3,IF($F486&lt;=90,2,1))))+IF($C486&gt;=10,5,IF($C486&gt;=6,4,IF($C486&gt;=4,3,IF($C486&gt;=2,2,1))))+IF($D486&gt;=20000,5,IF($D486&gt;=10000,4,IF($D486&gt;=5000,3,IF($D486&gt;=2000,2,1)))))))</f>
        <v/>
      </c>
      <c r="O486" s="3" t="str">
        <f aca="false">IF($A486="","",IF($C486=0,"No visits",IF($N486&gt;=13,"VIP",IF($N486&gt;=10,"High value",IF($N486&gt;=7,"Regular",IF($N486&gt;=4,"Occasional","Low"))))))</f>
        <v/>
      </c>
      <c r="P486" s="6" t="str">
        <f aca="true">IF(OR($A486="",$I486=""),"",IF(MONTH($I486)=MONTH(TODAY()),"Yes",""))</f>
        <v/>
      </c>
      <c r="Q486" s="21" t="str">
        <f aca="false">IF($A486="","",IF($C486=0,"",_xlfn.MINIFS('Daily tracking'!$A$2:$A$2001,'Daily tracking'!$D$2:$D$2001,$A486)))</f>
        <v/>
      </c>
      <c r="R486" s="6" t="str">
        <f aca="false">IF(OR($A486="",$C486&lt;2),"",($E486-$Q486)/($C486-1))</f>
        <v/>
      </c>
    </row>
    <row r="487" customFormat="false" ht="14.25" hidden="false" customHeight="false" outlineLevel="0" collapsed="false">
      <c r="A487" s="19"/>
      <c r="B487" s="19"/>
      <c r="C487" s="15" t="str">
        <f aca="false">IF($A487="","",COUNTIF('Daily tracking'!$D$2:$D$2001,$A487))</f>
        <v/>
      </c>
      <c r="D487" s="16" t="str">
        <f aca="false">IF($A487="","",SUMIF('Daily tracking'!$D$2:$D$2001,$A487,'Daily tracking'!$G$2:$G$2001))</f>
        <v/>
      </c>
      <c r="E487" s="18" t="str">
        <f aca="false">IF($A487="","",IF($C487=0,"",_xlfn.MAXIFS('Daily tracking'!$A$2:$A$2001,'Daily tracking'!$D$2:$D$2001,$A487)))</f>
        <v/>
      </c>
      <c r="F487" s="6" t="str">
        <f aca="true">IF(OR($A487="",$E487=""),"",TODAY()-$E487)</f>
        <v/>
      </c>
      <c r="G487" s="3" t="str">
        <f aca="false">IF($A487="","",IF($C487=0,"No visits",IF($F487&gt;90,"Lapsed",IF($F487&gt;35,"At risk",IF($C487&gt;=4,"Loyal","Active")))))</f>
        <v/>
      </c>
      <c r="H487" s="9" t="str">
        <f aca="false">IF(OR($A487="",$C487=0),"",$D487/$C487)</f>
        <v/>
      </c>
      <c r="I487" s="20"/>
      <c r="J487" s="20"/>
      <c r="K487" s="19"/>
      <c r="L487" s="19"/>
      <c r="M487" s="19"/>
      <c r="N487" s="15" t="str">
        <f aca="false">IF($A487="","",IF($C487=0,0,(IF($F487&lt;=15,5,IF($F487&lt;=30,4,IF($F487&lt;=45,3,IF($F487&lt;=90,2,1))))+IF($C487&gt;=10,5,IF($C487&gt;=6,4,IF($C487&gt;=4,3,IF($C487&gt;=2,2,1))))+IF($D487&gt;=20000,5,IF($D487&gt;=10000,4,IF($D487&gt;=5000,3,IF($D487&gt;=2000,2,1)))))))</f>
        <v/>
      </c>
      <c r="O487" s="3" t="str">
        <f aca="false">IF($A487="","",IF($C487=0,"No visits",IF($N487&gt;=13,"VIP",IF($N487&gt;=10,"High value",IF($N487&gt;=7,"Regular",IF($N487&gt;=4,"Occasional","Low"))))))</f>
        <v/>
      </c>
      <c r="P487" s="6" t="str">
        <f aca="true">IF(OR($A487="",$I487=""),"",IF(MONTH($I487)=MONTH(TODAY()),"Yes",""))</f>
        <v/>
      </c>
      <c r="Q487" s="21" t="str">
        <f aca="false">IF($A487="","",IF($C487=0,"",_xlfn.MINIFS('Daily tracking'!$A$2:$A$2001,'Daily tracking'!$D$2:$D$2001,$A487)))</f>
        <v/>
      </c>
      <c r="R487" s="6" t="str">
        <f aca="false">IF(OR($A487="",$C487&lt;2),"",($E487-$Q487)/($C487-1))</f>
        <v/>
      </c>
    </row>
    <row r="488" customFormat="false" ht="14.25" hidden="false" customHeight="false" outlineLevel="0" collapsed="false">
      <c r="A488" s="19"/>
      <c r="B488" s="19"/>
      <c r="C488" s="15" t="str">
        <f aca="false">IF($A488="","",COUNTIF('Daily tracking'!$D$2:$D$2001,$A488))</f>
        <v/>
      </c>
      <c r="D488" s="16" t="str">
        <f aca="false">IF($A488="","",SUMIF('Daily tracking'!$D$2:$D$2001,$A488,'Daily tracking'!$G$2:$G$2001))</f>
        <v/>
      </c>
      <c r="E488" s="18" t="str">
        <f aca="false">IF($A488="","",IF($C488=0,"",_xlfn.MAXIFS('Daily tracking'!$A$2:$A$2001,'Daily tracking'!$D$2:$D$2001,$A488)))</f>
        <v/>
      </c>
      <c r="F488" s="6" t="str">
        <f aca="true">IF(OR($A488="",$E488=""),"",TODAY()-$E488)</f>
        <v/>
      </c>
      <c r="G488" s="3" t="str">
        <f aca="false">IF($A488="","",IF($C488=0,"No visits",IF($F488&gt;90,"Lapsed",IF($F488&gt;35,"At risk",IF($C488&gt;=4,"Loyal","Active")))))</f>
        <v/>
      </c>
      <c r="H488" s="9" t="str">
        <f aca="false">IF(OR($A488="",$C488=0),"",$D488/$C488)</f>
        <v/>
      </c>
      <c r="I488" s="20"/>
      <c r="J488" s="20"/>
      <c r="K488" s="19"/>
      <c r="L488" s="19"/>
      <c r="M488" s="19"/>
      <c r="N488" s="15" t="str">
        <f aca="false">IF($A488="","",IF($C488=0,0,(IF($F488&lt;=15,5,IF($F488&lt;=30,4,IF($F488&lt;=45,3,IF($F488&lt;=90,2,1))))+IF($C488&gt;=10,5,IF($C488&gt;=6,4,IF($C488&gt;=4,3,IF($C488&gt;=2,2,1))))+IF($D488&gt;=20000,5,IF($D488&gt;=10000,4,IF($D488&gt;=5000,3,IF($D488&gt;=2000,2,1)))))))</f>
        <v/>
      </c>
      <c r="O488" s="3" t="str">
        <f aca="false">IF($A488="","",IF($C488=0,"No visits",IF($N488&gt;=13,"VIP",IF($N488&gt;=10,"High value",IF($N488&gt;=7,"Regular",IF($N488&gt;=4,"Occasional","Low"))))))</f>
        <v/>
      </c>
      <c r="P488" s="6" t="str">
        <f aca="true">IF(OR($A488="",$I488=""),"",IF(MONTH($I488)=MONTH(TODAY()),"Yes",""))</f>
        <v/>
      </c>
      <c r="Q488" s="21" t="str">
        <f aca="false">IF($A488="","",IF($C488=0,"",_xlfn.MINIFS('Daily tracking'!$A$2:$A$2001,'Daily tracking'!$D$2:$D$2001,$A488)))</f>
        <v/>
      </c>
      <c r="R488" s="6" t="str">
        <f aca="false">IF(OR($A488="",$C488&lt;2),"",($E488-$Q488)/($C488-1))</f>
        <v/>
      </c>
    </row>
    <row r="489" customFormat="false" ht="14.25" hidden="false" customHeight="false" outlineLevel="0" collapsed="false">
      <c r="A489" s="19"/>
      <c r="B489" s="19"/>
      <c r="C489" s="15" t="str">
        <f aca="false">IF($A489="","",COUNTIF('Daily tracking'!$D$2:$D$2001,$A489))</f>
        <v/>
      </c>
      <c r="D489" s="16" t="str">
        <f aca="false">IF($A489="","",SUMIF('Daily tracking'!$D$2:$D$2001,$A489,'Daily tracking'!$G$2:$G$2001))</f>
        <v/>
      </c>
      <c r="E489" s="18" t="str">
        <f aca="false">IF($A489="","",IF($C489=0,"",_xlfn.MAXIFS('Daily tracking'!$A$2:$A$2001,'Daily tracking'!$D$2:$D$2001,$A489)))</f>
        <v/>
      </c>
      <c r="F489" s="6" t="str">
        <f aca="true">IF(OR($A489="",$E489=""),"",TODAY()-$E489)</f>
        <v/>
      </c>
      <c r="G489" s="3" t="str">
        <f aca="false">IF($A489="","",IF($C489=0,"No visits",IF($F489&gt;90,"Lapsed",IF($F489&gt;35,"At risk",IF($C489&gt;=4,"Loyal","Active")))))</f>
        <v/>
      </c>
      <c r="H489" s="9" t="str">
        <f aca="false">IF(OR($A489="",$C489=0),"",$D489/$C489)</f>
        <v/>
      </c>
      <c r="I489" s="20"/>
      <c r="J489" s="20"/>
      <c r="K489" s="19"/>
      <c r="L489" s="19"/>
      <c r="M489" s="19"/>
      <c r="N489" s="15" t="str">
        <f aca="false">IF($A489="","",IF($C489=0,0,(IF($F489&lt;=15,5,IF($F489&lt;=30,4,IF($F489&lt;=45,3,IF($F489&lt;=90,2,1))))+IF($C489&gt;=10,5,IF($C489&gt;=6,4,IF($C489&gt;=4,3,IF($C489&gt;=2,2,1))))+IF($D489&gt;=20000,5,IF($D489&gt;=10000,4,IF($D489&gt;=5000,3,IF($D489&gt;=2000,2,1)))))))</f>
        <v/>
      </c>
      <c r="O489" s="3" t="str">
        <f aca="false">IF($A489="","",IF($C489=0,"No visits",IF($N489&gt;=13,"VIP",IF($N489&gt;=10,"High value",IF($N489&gt;=7,"Regular",IF($N489&gt;=4,"Occasional","Low"))))))</f>
        <v/>
      </c>
      <c r="P489" s="6" t="str">
        <f aca="true">IF(OR($A489="",$I489=""),"",IF(MONTH($I489)=MONTH(TODAY()),"Yes",""))</f>
        <v/>
      </c>
      <c r="Q489" s="21" t="str">
        <f aca="false">IF($A489="","",IF($C489=0,"",_xlfn.MINIFS('Daily tracking'!$A$2:$A$2001,'Daily tracking'!$D$2:$D$2001,$A489)))</f>
        <v/>
      </c>
      <c r="R489" s="6" t="str">
        <f aca="false">IF(OR($A489="",$C489&lt;2),"",($E489-$Q489)/($C489-1))</f>
        <v/>
      </c>
    </row>
    <row r="490" customFormat="false" ht="14.25" hidden="false" customHeight="false" outlineLevel="0" collapsed="false">
      <c r="A490" s="19"/>
      <c r="B490" s="19"/>
      <c r="C490" s="15" t="str">
        <f aca="false">IF($A490="","",COUNTIF('Daily tracking'!$D$2:$D$2001,$A490))</f>
        <v/>
      </c>
      <c r="D490" s="16" t="str">
        <f aca="false">IF($A490="","",SUMIF('Daily tracking'!$D$2:$D$2001,$A490,'Daily tracking'!$G$2:$G$2001))</f>
        <v/>
      </c>
      <c r="E490" s="18" t="str">
        <f aca="false">IF($A490="","",IF($C490=0,"",_xlfn.MAXIFS('Daily tracking'!$A$2:$A$2001,'Daily tracking'!$D$2:$D$2001,$A490)))</f>
        <v/>
      </c>
      <c r="F490" s="6" t="str">
        <f aca="true">IF(OR($A490="",$E490=""),"",TODAY()-$E490)</f>
        <v/>
      </c>
      <c r="G490" s="3" t="str">
        <f aca="false">IF($A490="","",IF($C490=0,"No visits",IF($F490&gt;90,"Lapsed",IF($F490&gt;35,"At risk",IF($C490&gt;=4,"Loyal","Active")))))</f>
        <v/>
      </c>
      <c r="H490" s="9" t="str">
        <f aca="false">IF(OR($A490="",$C490=0),"",$D490/$C490)</f>
        <v/>
      </c>
      <c r="I490" s="20"/>
      <c r="J490" s="20"/>
      <c r="K490" s="19"/>
      <c r="L490" s="19"/>
      <c r="M490" s="19"/>
      <c r="N490" s="15" t="str">
        <f aca="false">IF($A490="","",IF($C490=0,0,(IF($F490&lt;=15,5,IF($F490&lt;=30,4,IF($F490&lt;=45,3,IF($F490&lt;=90,2,1))))+IF($C490&gt;=10,5,IF($C490&gt;=6,4,IF($C490&gt;=4,3,IF($C490&gt;=2,2,1))))+IF($D490&gt;=20000,5,IF($D490&gt;=10000,4,IF($D490&gt;=5000,3,IF($D490&gt;=2000,2,1)))))))</f>
        <v/>
      </c>
      <c r="O490" s="3" t="str">
        <f aca="false">IF($A490="","",IF($C490=0,"No visits",IF($N490&gt;=13,"VIP",IF($N490&gt;=10,"High value",IF($N490&gt;=7,"Regular",IF($N490&gt;=4,"Occasional","Low"))))))</f>
        <v/>
      </c>
      <c r="P490" s="6" t="str">
        <f aca="true">IF(OR($A490="",$I490=""),"",IF(MONTH($I490)=MONTH(TODAY()),"Yes",""))</f>
        <v/>
      </c>
      <c r="Q490" s="21" t="str">
        <f aca="false">IF($A490="","",IF($C490=0,"",_xlfn.MINIFS('Daily tracking'!$A$2:$A$2001,'Daily tracking'!$D$2:$D$2001,$A490)))</f>
        <v/>
      </c>
      <c r="R490" s="6" t="str">
        <f aca="false">IF(OR($A490="",$C490&lt;2),"",($E490-$Q490)/($C490-1))</f>
        <v/>
      </c>
    </row>
    <row r="491" customFormat="false" ht="14.25" hidden="false" customHeight="false" outlineLevel="0" collapsed="false">
      <c r="A491" s="19"/>
      <c r="B491" s="19"/>
      <c r="C491" s="15" t="str">
        <f aca="false">IF($A491="","",COUNTIF('Daily tracking'!$D$2:$D$2001,$A491))</f>
        <v/>
      </c>
      <c r="D491" s="16" t="str">
        <f aca="false">IF($A491="","",SUMIF('Daily tracking'!$D$2:$D$2001,$A491,'Daily tracking'!$G$2:$G$2001))</f>
        <v/>
      </c>
      <c r="E491" s="18" t="str">
        <f aca="false">IF($A491="","",IF($C491=0,"",_xlfn.MAXIFS('Daily tracking'!$A$2:$A$2001,'Daily tracking'!$D$2:$D$2001,$A491)))</f>
        <v/>
      </c>
      <c r="F491" s="6" t="str">
        <f aca="true">IF(OR($A491="",$E491=""),"",TODAY()-$E491)</f>
        <v/>
      </c>
      <c r="G491" s="3" t="str">
        <f aca="false">IF($A491="","",IF($C491=0,"No visits",IF($F491&gt;90,"Lapsed",IF($F491&gt;35,"At risk",IF($C491&gt;=4,"Loyal","Active")))))</f>
        <v/>
      </c>
      <c r="H491" s="9" t="str">
        <f aca="false">IF(OR($A491="",$C491=0),"",$D491/$C491)</f>
        <v/>
      </c>
      <c r="I491" s="20"/>
      <c r="J491" s="20"/>
      <c r="K491" s="19"/>
      <c r="L491" s="19"/>
      <c r="M491" s="19"/>
      <c r="N491" s="15" t="str">
        <f aca="false">IF($A491="","",IF($C491=0,0,(IF($F491&lt;=15,5,IF($F491&lt;=30,4,IF($F491&lt;=45,3,IF($F491&lt;=90,2,1))))+IF($C491&gt;=10,5,IF($C491&gt;=6,4,IF($C491&gt;=4,3,IF($C491&gt;=2,2,1))))+IF($D491&gt;=20000,5,IF($D491&gt;=10000,4,IF($D491&gt;=5000,3,IF($D491&gt;=2000,2,1)))))))</f>
        <v/>
      </c>
      <c r="O491" s="3" t="str">
        <f aca="false">IF($A491="","",IF($C491=0,"No visits",IF($N491&gt;=13,"VIP",IF($N491&gt;=10,"High value",IF($N491&gt;=7,"Regular",IF($N491&gt;=4,"Occasional","Low"))))))</f>
        <v/>
      </c>
      <c r="P491" s="6" t="str">
        <f aca="true">IF(OR($A491="",$I491=""),"",IF(MONTH($I491)=MONTH(TODAY()),"Yes",""))</f>
        <v/>
      </c>
      <c r="Q491" s="21" t="str">
        <f aca="false">IF($A491="","",IF($C491=0,"",_xlfn.MINIFS('Daily tracking'!$A$2:$A$2001,'Daily tracking'!$D$2:$D$2001,$A491)))</f>
        <v/>
      </c>
      <c r="R491" s="6" t="str">
        <f aca="false">IF(OR($A491="",$C491&lt;2),"",($E491-$Q491)/($C491-1))</f>
        <v/>
      </c>
    </row>
    <row r="492" customFormat="false" ht="14.25" hidden="false" customHeight="false" outlineLevel="0" collapsed="false">
      <c r="A492" s="19"/>
      <c r="B492" s="19"/>
      <c r="C492" s="15" t="str">
        <f aca="false">IF($A492="","",COUNTIF('Daily tracking'!$D$2:$D$2001,$A492))</f>
        <v/>
      </c>
      <c r="D492" s="16" t="str">
        <f aca="false">IF($A492="","",SUMIF('Daily tracking'!$D$2:$D$2001,$A492,'Daily tracking'!$G$2:$G$2001))</f>
        <v/>
      </c>
      <c r="E492" s="18" t="str">
        <f aca="false">IF($A492="","",IF($C492=0,"",_xlfn.MAXIFS('Daily tracking'!$A$2:$A$2001,'Daily tracking'!$D$2:$D$2001,$A492)))</f>
        <v/>
      </c>
      <c r="F492" s="6" t="str">
        <f aca="true">IF(OR($A492="",$E492=""),"",TODAY()-$E492)</f>
        <v/>
      </c>
      <c r="G492" s="3" t="str">
        <f aca="false">IF($A492="","",IF($C492=0,"No visits",IF($F492&gt;90,"Lapsed",IF($F492&gt;35,"At risk",IF($C492&gt;=4,"Loyal","Active")))))</f>
        <v/>
      </c>
      <c r="H492" s="9" t="str">
        <f aca="false">IF(OR($A492="",$C492=0),"",$D492/$C492)</f>
        <v/>
      </c>
      <c r="I492" s="20"/>
      <c r="J492" s="20"/>
      <c r="K492" s="19"/>
      <c r="L492" s="19"/>
      <c r="M492" s="19"/>
      <c r="N492" s="15" t="str">
        <f aca="false">IF($A492="","",IF($C492=0,0,(IF($F492&lt;=15,5,IF($F492&lt;=30,4,IF($F492&lt;=45,3,IF($F492&lt;=90,2,1))))+IF($C492&gt;=10,5,IF($C492&gt;=6,4,IF($C492&gt;=4,3,IF($C492&gt;=2,2,1))))+IF($D492&gt;=20000,5,IF($D492&gt;=10000,4,IF($D492&gt;=5000,3,IF($D492&gt;=2000,2,1)))))))</f>
        <v/>
      </c>
      <c r="O492" s="3" t="str">
        <f aca="false">IF($A492="","",IF($C492=0,"No visits",IF($N492&gt;=13,"VIP",IF($N492&gt;=10,"High value",IF($N492&gt;=7,"Regular",IF($N492&gt;=4,"Occasional","Low"))))))</f>
        <v/>
      </c>
      <c r="P492" s="6" t="str">
        <f aca="true">IF(OR($A492="",$I492=""),"",IF(MONTH($I492)=MONTH(TODAY()),"Yes",""))</f>
        <v/>
      </c>
      <c r="Q492" s="21" t="str">
        <f aca="false">IF($A492="","",IF($C492=0,"",_xlfn.MINIFS('Daily tracking'!$A$2:$A$2001,'Daily tracking'!$D$2:$D$2001,$A492)))</f>
        <v/>
      </c>
      <c r="R492" s="6" t="str">
        <f aca="false">IF(OR($A492="",$C492&lt;2),"",($E492-$Q492)/($C492-1))</f>
        <v/>
      </c>
    </row>
    <row r="493" customFormat="false" ht="14.25" hidden="false" customHeight="false" outlineLevel="0" collapsed="false">
      <c r="A493" s="19"/>
      <c r="B493" s="19"/>
      <c r="C493" s="15" t="str">
        <f aca="false">IF($A493="","",COUNTIF('Daily tracking'!$D$2:$D$2001,$A493))</f>
        <v/>
      </c>
      <c r="D493" s="16" t="str">
        <f aca="false">IF($A493="","",SUMIF('Daily tracking'!$D$2:$D$2001,$A493,'Daily tracking'!$G$2:$G$2001))</f>
        <v/>
      </c>
      <c r="E493" s="18" t="str">
        <f aca="false">IF($A493="","",IF($C493=0,"",_xlfn.MAXIFS('Daily tracking'!$A$2:$A$2001,'Daily tracking'!$D$2:$D$2001,$A493)))</f>
        <v/>
      </c>
      <c r="F493" s="6" t="str">
        <f aca="true">IF(OR($A493="",$E493=""),"",TODAY()-$E493)</f>
        <v/>
      </c>
      <c r="G493" s="3" t="str">
        <f aca="false">IF($A493="","",IF($C493=0,"No visits",IF($F493&gt;90,"Lapsed",IF($F493&gt;35,"At risk",IF($C493&gt;=4,"Loyal","Active")))))</f>
        <v/>
      </c>
      <c r="H493" s="9" t="str">
        <f aca="false">IF(OR($A493="",$C493=0),"",$D493/$C493)</f>
        <v/>
      </c>
      <c r="I493" s="20"/>
      <c r="J493" s="20"/>
      <c r="K493" s="19"/>
      <c r="L493" s="19"/>
      <c r="M493" s="19"/>
      <c r="N493" s="15" t="str">
        <f aca="false">IF($A493="","",IF($C493=0,0,(IF($F493&lt;=15,5,IF($F493&lt;=30,4,IF($F493&lt;=45,3,IF($F493&lt;=90,2,1))))+IF($C493&gt;=10,5,IF($C493&gt;=6,4,IF($C493&gt;=4,3,IF($C493&gt;=2,2,1))))+IF($D493&gt;=20000,5,IF($D493&gt;=10000,4,IF($D493&gt;=5000,3,IF($D493&gt;=2000,2,1)))))))</f>
        <v/>
      </c>
      <c r="O493" s="3" t="str">
        <f aca="false">IF($A493="","",IF($C493=0,"No visits",IF($N493&gt;=13,"VIP",IF($N493&gt;=10,"High value",IF($N493&gt;=7,"Regular",IF($N493&gt;=4,"Occasional","Low"))))))</f>
        <v/>
      </c>
      <c r="P493" s="6" t="str">
        <f aca="true">IF(OR($A493="",$I493=""),"",IF(MONTH($I493)=MONTH(TODAY()),"Yes",""))</f>
        <v/>
      </c>
      <c r="Q493" s="21" t="str">
        <f aca="false">IF($A493="","",IF($C493=0,"",_xlfn.MINIFS('Daily tracking'!$A$2:$A$2001,'Daily tracking'!$D$2:$D$2001,$A493)))</f>
        <v/>
      </c>
      <c r="R493" s="6" t="str">
        <f aca="false">IF(OR($A493="",$C493&lt;2),"",($E493-$Q493)/($C493-1))</f>
        <v/>
      </c>
    </row>
    <row r="494" customFormat="false" ht="14.25" hidden="false" customHeight="false" outlineLevel="0" collapsed="false">
      <c r="A494" s="19"/>
      <c r="B494" s="19"/>
      <c r="C494" s="15" t="str">
        <f aca="false">IF($A494="","",COUNTIF('Daily tracking'!$D$2:$D$2001,$A494))</f>
        <v/>
      </c>
      <c r="D494" s="16" t="str">
        <f aca="false">IF($A494="","",SUMIF('Daily tracking'!$D$2:$D$2001,$A494,'Daily tracking'!$G$2:$G$2001))</f>
        <v/>
      </c>
      <c r="E494" s="18" t="str">
        <f aca="false">IF($A494="","",IF($C494=0,"",_xlfn.MAXIFS('Daily tracking'!$A$2:$A$2001,'Daily tracking'!$D$2:$D$2001,$A494)))</f>
        <v/>
      </c>
      <c r="F494" s="6" t="str">
        <f aca="true">IF(OR($A494="",$E494=""),"",TODAY()-$E494)</f>
        <v/>
      </c>
      <c r="G494" s="3" t="str">
        <f aca="false">IF($A494="","",IF($C494=0,"No visits",IF($F494&gt;90,"Lapsed",IF($F494&gt;35,"At risk",IF($C494&gt;=4,"Loyal","Active")))))</f>
        <v/>
      </c>
      <c r="H494" s="9" t="str">
        <f aca="false">IF(OR($A494="",$C494=0),"",$D494/$C494)</f>
        <v/>
      </c>
      <c r="I494" s="20"/>
      <c r="J494" s="20"/>
      <c r="K494" s="19"/>
      <c r="L494" s="19"/>
      <c r="M494" s="19"/>
      <c r="N494" s="15" t="str">
        <f aca="false">IF($A494="","",IF($C494=0,0,(IF($F494&lt;=15,5,IF($F494&lt;=30,4,IF($F494&lt;=45,3,IF($F494&lt;=90,2,1))))+IF($C494&gt;=10,5,IF($C494&gt;=6,4,IF($C494&gt;=4,3,IF($C494&gt;=2,2,1))))+IF($D494&gt;=20000,5,IF($D494&gt;=10000,4,IF($D494&gt;=5000,3,IF($D494&gt;=2000,2,1)))))))</f>
        <v/>
      </c>
      <c r="O494" s="3" t="str">
        <f aca="false">IF($A494="","",IF($C494=0,"No visits",IF($N494&gt;=13,"VIP",IF($N494&gt;=10,"High value",IF($N494&gt;=7,"Regular",IF($N494&gt;=4,"Occasional","Low"))))))</f>
        <v/>
      </c>
      <c r="P494" s="6" t="str">
        <f aca="true">IF(OR($A494="",$I494=""),"",IF(MONTH($I494)=MONTH(TODAY()),"Yes",""))</f>
        <v/>
      </c>
      <c r="Q494" s="21" t="str">
        <f aca="false">IF($A494="","",IF($C494=0,"",_xlfn.MINIFS('Daily tracking'!$A$2:$A$2001,'Daily tracking'!$D$2:$D$2001,$A494)))</f>
        <v/>
      </c>
      <c r="R494" s="6" t="str">
        <f aca="false">IF(OR($A494="",$C494&lt;2),"",($E494-$Q494)/($C494-1))</f>
        <v/>
      </c>
    </row>
    <row r="495" customFormat="false" ht="14.25" hidden="false" customHeight="false" outlineLevel="0" collapsed="false">
      <c r="A495" s="19"/>
      <c r="B495" s="19"/>
      <c r="C495" s="15" t="str">
        <f aca="false">IF($A495="","",COUNTIF('Daily tracking'!$D$2:$D$2001,$A495))</f>
        <v/>
      </c>
      <c r="D495" s="16" t="str">
        <f aca="false">IF($A495="","",SUMIF('Daily tracking'!$D$2:$D$2001,$A495,'Daily tracking'!$G$2:$G$2001))</f>
        <v/>
      </c>
      <c r="E495" s="18" t="str">
        <f aca="false">IF($A495="","",IF($C495=0,"",_xlfn.MAXIFS('Daily tracking'!$A$2:$A$2001,'Daily tracking'!$D$2:$D$2001,$A495)))</f>
        <v/>
      </c>
      <c r="F495" s="6" t="str">
        <f aca="true">IF(OR($A495="",$E495=""),"",TODAY()-$E495)</f>
        <v/>
      </c>
      <c r="G495" s="3" t="str">
        <f aca="false">IF($A495="","",IF($C495=0,"No visits",IF($F495&gt;90,"Lapsed",IF($F495&gt;35,"At risk",IF($C495&gt;=4,"Loyal","Active")))))</f>
        <v/>
      </c>
      <c r="H495" s="9" t="str">
        <f aca="false">IF(OR($A495="",$C495=0),"",$D495/$C495)</f>
        <v/>
      </c>
      <c r="I495" s="20"/>
      <c r="J495" s="20"/>
      <c r="K495" s="19"/>
      <c r="L495" s="19"/>
      <c r="M495" s="19"/>
      <c r="N495" s="15" t="str">
        <f aca="false">IF($A495="","",IF($C495=0,0,(IF($F495&lt;=15,5,IF($F495&lt;=30,4,IF($F495&lt;=45,3,IF($F495&lt;=90,2,1))))+IF($C495&gt;=10,5,IF($C495&gt;=6,4,IF($C495&gt;=4,3,IF($C495&gt;=2,2,1))))+IF($D495&gt;=20000,5,IF($D495&gt;=10000,4,IF($D495&gt;=5000,3,IF($D495&gt;=2000,2,1)))))))</f>
        <v/>
      </c>
      <c r="O495" s="3" t="str">
        <f aca="false">IF($A495="","",IF($C495=0,"No visits",IF($N495&gt;=13,"VIP",IF($N495&gt;=10,"High value",IF($N495&gt;=7,"Regular",IF($N495&gt;=4,"Occasional","Low"))))))</f>
        <v/>
      </c>
      <c r="P495" s="6" t="str">
        <f aca="true">IF(OR($A495="",$I495=""),"",IF(MONTH($I495)=MONTH(TODAY()),"Yes",""))</f>
        <v/>
      </c>
      <c r="Q495" s="21" t="str">
        <f aca="false">IF($A495="","",IF($C495=0,"",_xlfn.MINIFS('Daily tracking'!$A$2:$A$2001,'Daily tracking'!$D$2:$D$2001,$A495)))</f>
        <v/>
      </c>
      <c r="R495" s="6" t="str">
        <f aca="false">IF(OR($A495="",$C495&lt;2),"",($E495-$Q495)/($C495-1))</f>
        <v/>
      </c>
    </row>
    <row r="496" customFormat="false" ht="14.25" hidden="false" customHeight="false" outlineLevel="0" collapsed="false">
      <c r="A496" s="19"/>
      <c r="B496" s="19"/>
      <c r="C496" s="15" t="str">
        <f aca="false">IF($A496="","",COUNTIF('Daily tracking'!$D$2:$D$2001,$A496))</f>
        <v/>
      </c>
      <c r="D496" s="16" t="str">
        <f aca="false">IF($A496="","",SUMIF('Daily tracking'!$D$2:$D$2001,$A496,'Daily tracking'!$G$2:$G$2001))</f>
        <v/>
      </c>
      <c r="E496" s="18" t="str">
        <f aca="false">IF($A496="","",IF($C496=0,"",_xlfn.MAXIFS('Daily tracking'!$A$2:$A$2001,'Daily tracking'!$D$2:$D$2001,$A496)))</f>
        <v/>
      </c>
      <c r="F496" s="6" t="str">
        <f aca="true">IF(OR($A496="",$E496=""),"",TODAY()-$E496)</f>
        <v/>
      </c>
      <c r="G496" s="3" t="str">
        <f aca="false">IF($A496="","",IF($C496=0,"No visits",IF($F496&gt;90,"Lapsed",IF($F496&gt;35,"At risk",IF($C496&gt;=4,"Loyal","Active")))))</f>
        <v/>
      </c>
      <c r="H496" s="9" t="str">
        <f aca="false">IF(OR($A496="",$C496=0),"",$D496/$C496)</f>
        <v/>
      </c>
      <c r="I496" s="20"/>
      <c r="J496" s="20"/>
      <c r="K496" s="19"/>
      <c r="L496" s="19"/>
      <c r="M496" s="19"/>
      <c r="N496" s="15" t="str">
        <f aca="false">IF($A496="","",IF($C496=0,0,(IF($F496&lt;=15,5,IF($F496&lt;=30,4,IF($F496&lt;=45,3,IF($F496&lt;=90,2,1))))+IF($C496&gt;=10,5,IF($C496&gt;=6,4,IF($C496&gt;=4,3,IF($C496&gt;=2,2,1))))+IF($D496&gt;=20000,5,IF($D496&gt;=10000,4,IF($D496&gt;=5000,3,IF($D496&gt;=2000,2,1)))))))</f>
        <v/>
      </c>
      <c r="O496" s="3" t="str">
        <f aca="false">IF($A496="","",IF($C496=0,"No visits",IF($N496&gt;=13,"VIP",IF($N496&gt;=10,"High value",IF($N496&gt;=7,"Regular",IF($N496&gt;=4,"Occasional","Low"))))))</f>
        <v/>
      </c>
      <c r="P496" s="6" t="str">
        <f aca="true">IF(OR($A496="",$I496=""),"",IF(MONTH($I496)=MONTH(TODAY()),"Yes",""))</f>
        <v/>
      </c>
      <c r="Q496" s="21" t="str">
        <f aca="false">IF($A496="","",IF($C496=0,"",_xlfn.MINIFS('Daily tracking'!$A$2:$A$2001,'Daily tracking'!$D$2:$D$2001,$A496)))</f>
        <v/>
      </c>
      <c r="R496" s="6" t="str">
        <f aca="false">IF(OR($A496="",$C496&lt;2),"",($E496-$Q496)/($C496-1))</f>
        <v/>
      </c>
    </row>
    <row r="497" customFormat="false" ht="14.25" hidden="false" customHeight="false" outlineLevel="0" collapsed="false">
      <c r="A497" s="19"/>
      <c r="B497" s="19"/>
      <c r="C497" s="15" t="str">
        <f aca="false">IF($A497="","",COUNTIF('Daily tracking'!$D$2:$D$2001,$A497))</f>
        <v/>
      </c>
      <c r="D497" s="16" t="str">
        <f aca="false">IF($A497="","",SUMIF('Daily tracking'!$D$2:$D$2001,$A497,'Daily tracking'!$G$2:$G$2001))</f>
        <v/>
      </c>
      <c r="E497" s="18" t="str">
        <f aca="false">IF($A497="","",IF($C497=0,"",_xlfn.MAXIFS('Daily tracking'!$A$2:$A$2001,'Daily tracking'!$D$2:$D$2001,$A497)))</f>
        <v/>
      </c>
      <c r="F497" s="6" t="str">
        <f aca="true">IF(OR($A497="",$E497=""),"",TODAY()-$E497)</f>
        <v/>
      </c>
      <c r="G497" s="3" t="str">
        <f aca="false">IF($A497="","",IF($C497=0,"No visits",IF($F497&gt;90,"Lapsed",IF($F497&gt;35,"At risk",IF($C497&gt;=4,"Loyal","Active")))))</f>
        <v/>
      </c>
      <c r="H497" s="9" t="str">
        <f aca="false">IF(OR($A497="",$C497=0),"",$D497/$C497)</f>
        <v/>
      </c>
      <c r="I497" s="20"/>
      <c r="J497" s="20"/>
      <c r="K497" s="19"/>
      <c r="L497" s="19"/>
      <c r="M497" s="19"/>
      <c r="N497" s="15" t="str">
        <f aca="false">IF($A497="","",IF($C497=0,0,(IF($F497&lt;=15,5,IF($F497&lt;=30,4,IF($F497&lt;=45,3,IF($F497&lt;=90,2,1))))+IF($C497&gt;=10,5,IF($C497&gt;=6,4,IF($C497&gt;=4,3,IF($C497&gt;=2,2,1))))+IF($D497&gt;=20000,5,IF($D497&gt;=10000,4,IF($D497&gt;=5000,3,IF($D497&gt;=2000,2,1)))))))</f>
        <v/>
      </c>
      <c r="O497" s="3" t="str">
        <f aca="false">IF($A497="","",IF($C497=0,"No visits",IF($N497&gt;=13,"VIP",IF($N497&gt;=10,"High value",IF($N497&gt;=7,"Regular",IF($N497&gt;=4,"Occasional","Low"))))))</f>
        <v/>
      </c>
      <c r="P497" s="6" t="str">
        <f aca="true">IF(OR($A497="",$I497=""),"",IF(MONTH($I497)=MONTH(TODAY()),"Yes",""))</f>
        <v/>
      </c>
      <c r="Q497" s="21" t="str">
        <f aca="false">IF($A497="","",IF($C497=0,"",_xlfn.MINIFS('Daily tracking'!$A$2:$A$2001,'Daily tracking'!$D$2:$D$2001,$A497)))</f>
        <v/>
      </c>
      <c r="R497" s="6" t="str">
        <f aca="false">IF(OR($A497="",$C497&lt;2),"",($E497-$Q497)/($C497-1))</f>
        <v/>
      </c>
    </row>
    <row r="498" customFormat="false" ht="14.25" hidden="false" customHeight="false" outlineLevel="0" collapsed="false">
      <c r="A498" s="19"/>
      <c r="B498" s="19"/>
      <c r="C498" s="15" t="str">
        <f aca="false">IF($A498="","",COUNTIF('Daily tracking'!$D$2:$D$2001,$A498))</f>
        <v/>
      </c>
      <c r="D498" s="16" t="str">
        <f aca="false">IF($A498="","",SUMIF('Daily tracking'!$D$2:$D$2001,$A498,'Daily tracking'!$G$2:$G$2001))</f>
        <v/>
      </c>
      <c r="E498" s="18" t="str">
        <f aca="false">IF($A498="","",IF($C498=0,"",_xlfn.MAXIFS('Daily tracking'!$A$2:$A$2001,'Daily tracking'!$D$2:$D$2001,$A498)))</f>
        <v/>
      </c>
      <c r="F498" s="6" t="str">
        <f aca="true">IF(OR($A498="",$E498=""),"",TODAY()-$E498)</f>
        <v/>
      </c>
      <c r="G498" s="3" t="str">
        <f aca="false">IF($A498="","",IF($C498=0,"No visits",IF($F498&gt;90,"Lapsed",IF($F498&gt;35,"At risk",IF($C498&gt;=4,"Loyal","Active")))))</f>
        <v/>
      </c>
      <c r="H498" s="9" t="str">
        <f aca="false">IF(OR($A498="",$C498=0),"",$D498/$C498)</f>
        <v/>
      </c>
      <c r="I498" s="20"/>
      <c r="J498" s="20"/>
      <c r="K498" s="19"/>
      <c r="L498" s="19"/>
      <c r="M498" s="19"/>
      <c r="N498" s="15" t="str">
        <f aca="false">IF($A498="","",IF($C498=0,0,(IF($F498&lt;=15,5,IF($F498&lt;=30,4,IF($F498&lt;=45,3,IF($F498&lt;=90,2,1))))+IF($C498&gt;=10,5,IF($C498&gt;=6,4,IF($C498&gt;=4,3,IF($C498&gt;=2,2,1))))+IF($D498&gt;=20000,5,IF($D498&gt;=10000,4,IF($D498&gt;=5000,3,IF($D498&gt;=2000,2,1)))))))</f>
        <v/>
      </c>
      <c r="O498" s="3" t="str">
        <f aca="false">IF($A498="","",IF($C498=0,"No visits",IF($N498&gt;=13,"VIP",IF($N498&gt;=10,"High value",IF($N498&gt;=7,"Regular",IF($N498&gt;=4,"Occasional","Low"))))))</f>
        <v/>
      </c>
      <c r="P498" s="6" t="str">
        <f aca="true">IF(OR($A498="",$I498=""),"",IF(MONTH($I498)=MONTH(TODAY()),"Yes",""))</f>
        <v/>
      </c>
      <c r="Q498" s="21" t="str">
        <f aca="false">IF($A498="","",IF($C498=0,"",_xlfn.MINIFS('Daily tracking'!$A$2:$A$2001,'Daily tracking'!$D$2:$D$2001,$A498)))</f>
        <v/>
      </c>
      <c r="R498" s="6" t="str">
        <f aca="false">IF(OR($A498="",$C498&lt;2),"",($E498-$Q498)/($C498-1))</f>
        <v/>
      </c>
    </row>
    <row r="499" customFormat="false" ht="14.25" hidden="false" customHeight="false" outlineLevel="0" collapsed="false">
      <c r="A499" s="19"/>
      <c r="B499" s="19"/>
      <c r="C499" s="15" t="str">
        <f aca="false">IF($A499="","",COUNTIF('Daily tracking'!$D$2:$D$2001,$A499))</f>
        <v/>
      </c>
      <c r="D499" s="16" t="str">
        <f aca="false">IF($A499="","",SUMIF('Daily tracking'!$D$2:$D$2001,$A499,'Daily tracking'!$G$2:$G$2001))</f>
        <v/>
      </c>
      <c r="E499" s="18" t="str">
        <f aca="false">IF($A499="","",IF($C499=0,"",_xlfn.MAXIFS('Daily tracking'!$A$2:$A$2001,'Daily tracking'!$D$2:$D$2001,$A499)))</f>
        <v/>
      </c>
      <c r="F499" s="6" t="str">
        <f aca="true">IF(OR($A499="",$E499=""),"",TODAY()-$E499)</f>
        <v/>
      </c>
      <c r="G499" s="3" t="str">
        <f aca="false">IF($A499="","",IF($C499=0,"No visits",IF($F499&gt;90,"Lapsed",IF($F499&gt;35,"At risk",IF($C499&gt;=4,"Loyal","Active")))))</f>
        <v/>
      </c>
      <c r="H499" s="9" t="str">
        <f aca="false">IF(OR($A499="",$C499=0),"",$D499/$C499)</f>
        <v/>
      </c>
      <c r="I499" s="20"/>
      <c r="J499" s="20"/>
      <c r="K499" s="19"/>
      <c r="L499" s="19"/>
      <c r="M499" s="19"/>
      <c r="N499" s="15" t="str">
        <f aca="false">IF($A499="","",IF($C499=0,0,(IF($F499&lt;=15,5,IF($F499&lt;=30,4,IF($F499&lt;=45,3,IF($F499&lt;=90,2,1))))+IF($C499&gt;=10,5,IF($C499&gt;=6,4,IF($C499&gt;=4,3,IF($C499&gt;=2,2,1))))+IF($D499&gt;=20000,5,IF($D499&gt;=10000,4,IF($D499&gt;=5000,3,IF($D499&gt;=2000,2,1)))))))</f>
        <v/>
      </c>
      <c r="O499" s="3" t="str">
        <f aca="false">IF($A499="","",IF($C499=0,"No visits",IF($N499&gt;=13,"VIP",IF($N499&gt;=10,"High value",IF($N499&gt;=7,"Regular",IF($N499&gt;=4,"Occasional","Low"))))))</f>
        <v/>
      </c>
      <c r="P499" s="6" t="str">
        <f aca="true">IF(OR($A499="",$I499=""),"",IF(MONTH($I499)=MONTH(TODAY()),"Yes",""))</f>
        <v/>
      </c>
      <c r="Q499" s="21" t="str">
        <f aca="false">IF($A499="","",IF($C499=0,"",_xlfn.MINIFS('Daily tracking'!$A$2:$A$2001,'Daily tracking'!$D$2:$D$2001,$A499)))</f>
        <v/>
      </c>
      <c r="R499" s="6" t="str">
        <f aca="false">IF(OR($A499="",$C499&lt;2),"",($E499-$Q499)/($C499-1))</f>
        <v/>
      </c>
    </row>
    <row r="500" customFormat="false" ht="14.25" hidden="false" customHeight="false" outlineLevel="0" collapsed="false">
      <c r="A500" s="19"/>
      <c r="B500" s="19"/>
      <c r="C500" s="15" t="str">
        <f aca="false">IF($A500="","",COUNTIF('Daily tracking'!$D$2:$D$2001,$A500))</f>
        <v/>
      </c>
      <c r="D500" s="16" t="str">
        <f aca="false">IF($A500="","",SUMIF('Daily tracking'!$D$2:$D$2001,$A500,'Daily tracking'!$G$2:$G$2001))</f>
        <v/>
      </c>
      <c r="E500" s="18" t="str">
        <f aca="false">IF($A500="","",IF($C500=0,"",_xlfn.MAXIFS('Daily tracking'!$A$2:$A$2001,'Daily tracking'!$D$2:$D$2001,$A500)))</f>
        <v/>
      </c>
      <c r="F500" s="6" t="str">
        <f aca="true">IF(OR($A500="",$E500=""),"",TODAY()-$E500)</f>
        <v/>
      </c>
      <c r="G500" s="3" t="str">
        <f aca="false">IF($A500="","",IF($C500=0,"No visits",IF($F500&gt;90,"Lapsed",IF($F500&gt;35,"At risk",IF($C500&gt;=4,"Loyal","Active")))))</f>
        <v/>
      </c>
      <c r="H500" s="9" t="str">
        <f aca="false">IF(OR($A500="",$C500=0),"",$D500/$C500)</f>
        <v/>
      </c>
      <c r="I500" s="20"/>
      <c r="J500" s="20"/>
      <c r="K500" s="19"/>
      <c r="L500" s="19"/>
      <c r="M500" s="19"/>
      <c r="N500" s="15" t="str">
        <f aca="false">IF($A500="","",IF($C500=0,0,(IF($F500&lt;=15,5,IF($F500&lt;=30,4,IF($F500&lt;=45,3,IF($F500&lt;=90,2,1))))+IF($C500&gt;=10,5,IF($C500&gt;=6,4,IF($C500&gt;=4,3,IF($C500&gt;=2,2,1))))+IF($D500&gt;=20000,5,IF($D500&gt;=10000,4,IF($D500&gt;=5000,3,IF($D500&gt;=2000,2,1)))))))</f>
        <v/>
      </c>
      <c r="O500" s="3" t="str">
        <f aca="false">IF($A500="","",IF($C500=0,"No visits",IF($N500&gt;=13,"VIP",IF($N500&gt;=10,"High value",IF($N500&gt;=7,"Regular",IF($N500&gt;=4,"Occasional","Low"))))))</f>
        <v/>
      </c>
      <c r="P500" s="6" t="str">
        <f aca="true">IF(OR($A500="",$I500=""),"",IF(MONTH($I500)=MONTH(TODAY()),"Yes",""))</f>
        <v/>
      </c>
      <c r="Q500" s="21" t="str">
        <f aca="false">IF($A500="","",IF($C500=0,"",_xlfn.MINIFS('Daily tracking'!$A$2:$A$2001,'Daily tracking'!$D$2:$D$2001,$A500)))</f>
        <v/>
      </c>
      <c r="R500" s="6" t="str">
        <f aca="false">IF(OR($A500="",$C500&lt;2),"",($E500-$Q500)/($C500-1))</f>
        <v/>
      </c>
    </row>
    <row r="501" customFormat="false" ht="14.25" hidden="false" customHeight="false" outlineLevel="0" collapsed="false">
      <c r="A501" s="19"/>
      <c r="B501" s="19"/>
      <c r="C501" s="15" t="str">
        <f aca="false">IF($A501="","",COUNTIF('Daily tracking'!$D$2:$D$2001,$A501))</f>
        <v/>
      </c>
      <c r="D501" s="16" t="str">
        <f aca="false">IF($A501="","",SUMIF('Daily tracking'!$D$2:$D$2001,$A501,'Daily tracking'!$G$2:$G$2001))</f>
        <v/>
      </c>
      <c r="E501" s="18" t="str">
        <f aca="false">IF($A501="","",IF($C501=0,"",_xlfn.MAXIFS('Daily tracking'!$A$2:$A$2001,'Daily tracking'!$D$2:$D$2001,$A501)))</f>
        <v/>
      </c>
      <c r="F501" s="6" t="str">
        <f aca="true">IF(OR($A501="",$E501=""),"",TODAY()-$E501)</f>
        <v/>
      </c>
      <c r="G501" s="3" t="str">
        <f aca="false">IF($A501="","",IF($C501=0,"No visits",IF($F501&gt;90,"Lapsed",IF($F501&gt;35,"At risk",IF($C501&gt;=4,"Loyal","Active")))))</f>
        <v/>
      </c>
      <c r="H501" s="9" t="str">
        <f aca="false">IF(OR($A501="",$C501=0),"",$D501/$C501)</f>
        <v/>
      </c>
      <c r="I501" s="20"/>
      <c r="J501" s="20"/>
      <c r="K501" s="19"/>
      <c r="L501" s="19"/>
      <c r="M501" s="19"/>
      <c r="N501" s="15" t="str">
        <f aca="false">IF($A501="","",IF($C501=0,0,(IF($F501&lt;=15,5,IF($F501&lt;=30,4,IF($F501&lt;=45,3,IF($F501&lt;=90,2,1))))+IF($C501&gt;=10,5,IF($C501&gt;=6,4,IF($C501&gt;=4,3,IF($C501&gt;=2,2,1))))+IF($D501&gt;=20000,5,IF($D501&gt;=10000,4,IF($D501&gt;=5000,3,IF($D501&gt;=2000,2,1)))))))</f>
        <v/>
      </c>
      <c r="O501" s="3" t="str">
        <f aca="false">IF($A501="","",IF($C501=0,"No visits",IF($N501&gt;=13,"VIP",IF($N501&gt;=10,"High value",IF($N501&gt;=7,"Regular",IF($N501&gt;=4,"Occasional","Low"))))))</f>
        <v/>
      </c>
      <c r="P501" s="6" t="str">
        <f aca="true">IF(OR($A501="",$I501=""),"",IF(MONTH($I501)=MONTH(TODAY()),"Yes",""))</f>
        <v/>
      </c>
      <c r="Q501" s="21" t="str">
        <f aca="false">IF($A501="","",IF($C501=0,"",_xlfn.MINIFS('Daily tracking'!$A$2:$A$2001,'Daily tracking'!$D$2:$D$2001,$A501)))</f>
        <v/>
      </c>
      <c r="R501" s="6" t="str">
        <f aca="false">IF(OR($A501="",$C501&lt;2),"",($E501-$Q501)/($C501-1))</f>
        <v/>
      </c>
    </row>
  </sheetData>
  <dataValidations count="1">
    <dataValidation allowBlank="true" errorStyle="stop" operator="between" showDropDown="false" showErrorMessage="true" showInputMessage="false" sqref="M2:M501" type="list">
      <formula1>"Walk-in,Instagram,Google,Referral,JustDial,WhatsApp,Facebook,Existing"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6" activeCellId="0" sqref="B16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9"/>
  </cols>
  <sheetData>
    <row r="1" customFormat="false" ht="14.25" hidden="false" customHeight="false" outlineLevel="0" collapsed="false">
      <c r="A1" s="17" t="s">
        <v>7</v>
      </c>
      <c r="B1" s="17" t="s">
        <v>57</v>
      </c>
      <c r="C1" s="17" t="s">
        <v>82</v>
      </c>
      <c r="D1" s="17" t="s">
        <v>83</v>
      </c>
      <c r="E1" s="17" t="s">
        <v>63</v>
      </c>
      <c r="F1" s="17" t="s">
        <v>84</v>
      </c>
      <c r="G1" s="17" t="s">
        <v>8</v>
      </c>
      <c r="H1" s="17" t="s">
        <v>9</v>
      </c>
      <c r="I1" s="17" t="s">
        <v>85</v>
      </c>
      <c r="J1" s="17" t="s">
        <v>86</v>
      </c>
      <c r="K1" s="17" t="s">
        <v>87</v>
      </c>
    </row>
    <row r="2" customFormat="false" ht="14.25" hidden="false" customHeight="false" outlineLevel="0" collapsed="false">
      <c r="A2" s="0" t="s">
        <v>11</v>
      </c>
      <c r="B2" s="0" t="s">
        <v>88</v>
      </c>
      <c r="C2" s="22" t="n">
        <v>30</v>
      </c>
      <c r="D2" s="6" t="str">
        <f aca="false">IF(A2="","",A2&amp;" - "&amp;B2)</f>
        <v>Threading - Eyebrow</v>
      </c>
      <c r="E2" s="19" t="s">
        <v>57</v>
      </c>
      <c r="F2" s="23"/>
      <c r="G2" s="16" t="n">
        <f aca="false">IF($D2="","",SUMIF('Daily tracking'!$B$2:$B$2001,$D2,'Daily tracking'!$G$2:$G$2001))</f>
        <v>0</v>
      </c>
      <c r="H2" s="15" t="n">
        <f aca="false">IF($D2="","",COUNTIF('Daily tracking'!$B$2:$B$2001,$D2))</f>
        <v>0</v>
      </c>
      <c r="I2" s="9" t="n">
        <f aca="false">IF($D2="","",$H2*IF($F2="",0,$F2))</f>
        <v>0</v>
      </c>
      <c r="J2" s="13" t="n">
        <f aca="false">IF($D2="","",$G2-$I2)</f>
        <v>0</v>
      </c>
      <c r="K2" s="14" t="str">
        <f aca="false">IF(OR($D2="",$G2=0),"",$J2/$G2)</f>
        <v/>
      </c>
    </row>
    <row r="3" customFormat="false" ht="14.25" hidden="false" customHeight="false" outlineLevel="0" collapsed="false">
      <c r="A3" s="0" t="s">
        <v>11</v>
      </c>
      <c r="B3" s="0" t="s">
        <v>89</v>
      </c>
      <c r="C3" s="22" t="n">
        <v>30</v>
      </c>
      <c r="D3" s="6" t="str">
        <f aca="false">IF(A3="","",A3&amp;" - "&amp;B3)</f>
        <v>Threading - Forehead</v>
      </c>
      <c r="E3" s="19" t="s">
        <v>57</v>
      </c>
      <c r="F3" s="23"/>
      <c r="G3" s="16" t="n">
        <f aca="false">IF($D3="","",SUMIF('Daily tracking'!$B$2:$B$2001,$D3,'Daily tracking'!$G$2:$G$2001))</f>
        <v>0</v>
      </c>
      <c r="H3" s="15" t="n">
        <f aca="false">IF($D3="","",COUNTIF('Daily tracking'!$B$2:$B$2001,$D3))</f>
        <v>0</v>
      </c>
      <c r="I3" s="9" t="n">
        <f aca="false">IF($D3="","",$H3*IF($F3="",0,$F3))</f>
        <v>0</v>
      </c>
      <c r="J3" s="13" t="n">
        <f aca="false">IF($D3="","",$G3-$I3)</f>
        <v>0</v>
      </c>
      <c r="K3" s="14" t="str">
        <f aca="false">IF(OR($D3="",$G3=0),"",$J3/$G3)</f>
        <v/>
      </c>
    </row>
    <row r="4" customFormat="false" ht="14.25" hidden="false" customHeight="false" outlineLevel="0" collapsed="false">
      <c r="A4" s="0" t="s">
        <v>11</v>
      </c>
      <c r="B4" s="0" t="s">
        <v>90</v>
      </c>
      <c r="C4" s="22" t="n">
        <v>20</v>
      </c>
      <c r="D4" s="6" t="str">
        <f aca="false">IF(A4="","",A4&amp;" - "&amp;B4)</f>
        <v>Threading - Upper lip</v>
      </c>
      <c r="E4" s="19" t="s">
        <v>57</v>
      </c>
      <c r="F4" s="23"/>
      <c r="G4" s="16" t="n">
        <f aca="false">IF($D4="","",SUMIF('Daily tracking'!$B$2:$B$2001,$D4,'Daily tracking'!$G$2:$G$2001))</f>
        <v>0</v>
      </c>
      <c r="H4" s="15" t="n">
        <f aca="false">IF($D4="","",COUNTIF('Daily tracking'!$B$2:$B$2001,$D4))</f>
        <v>0</v>
      </c>
      <c r="I4" s="9" t="n">
        <f aca="false">IF($D4="","",$H4*IF($F4="",0,$F4))</f>
        <v>0</v>
      </c>
      <c r="J4" s="13" t="n">
        <f aca="false">IF($D4="","",$G4-$I4)</f>
        <v>0</v>
      </c>
      <c r="K4" s="14" t="str">
        <f aca="false">IF(OR($D4="",$G4=0),"",$J4/$G4)</f>
        <v/>
      </c>
    </row>
    <row r="5" customFormat="false" ht="14.25" hidden="false" customHeight="false" outlineLevel="0" collapsed="false">
      <c r="A5" s="0" t="s">
        <v>11</v>
      </c>
      <c r="B5" s="0" t="s">
        <v>91</v>
      </c>
      <c r="C5" s="22" t="n">
        <v>20</v>
      </c>
      <c r="D5" s="6" t="str">
        <f aca="false">IF(A5="","",A5&amp;" - "&amp;B5)</f>
        <v>Threading - Chin</v>
      </c>
      <c r="E5" s="19" t="s">
        <v>57</v>
      </c>
      <c r="F5" s="23"/>
      <c r="G5" s="16" t="n">
        <f aca="false">IF($D5="","",SUMIF('Daily tracking'!$B$2:$B$2001,$D5,'Daily tracking'!$G$2:$G$2001))</f>
        <v>0</v>
      </c>
      <c r="H5" s="15" t="n">
        <f aca="false">IF($D5="","",COUNTIF('Daily tracking'!$B$2:$B$2001,$D5))</f>
        <v>0</v>
      </c>
      <c r="I5" s="9" t="n">
        <f aca="false">IF($D5="","",$H5*IF($F5="",0,$F5))</f>
        <v>0</v>
      </c>
      <c r="J5" s="13" t="n">
        <f aca="false">IF($D5="","",$G5-$I5)</f>
        <v>0</v>
      </c>
      <c r="K5" s="14" t="str">
        <f aca="false">IF(OR($D5="",$G5=0),"",$J5/$G5)</f>
        <v/>
      </c>
    </row>
    <row r="6" customFormat="false" ht="14.25" hidden="false" customHeight="false" outlineLevel="0" collapsed="false">
      <c r="A6" s="0" t="s">
        <v>11</v>
      </c>
      <c r="B6" s="0" t="s">
        <v>92</v>
      </c>
      <c r="C6" s="22" t="n">
        <v>160</v>
      </c>
      <c r="D6" s="6" t="str">
        <f aca="false">IF(A6="","",A6&amp;" - "&amp;B6)</f>
        <v>Threading - Full face</v>
      </c>
      <c r="E6" s="19" t="s">
        <v>57</v>
      </c>
      <c r="F6" s="23"/>
      <c r="G6" s="16" t="n">
        <f aca="false">IF($D6="","",SUMIF('Daily tracking'!$B$2:$B$2001,$D6,'Daily tracking'!$G$2:$G$2001))</f>
        <v>0</v>
      </c>
      <c r="H6" s="15" t="n">
        <f aca="false">IF($D6="","",COUNTIF('Daily tracking'!$B$2:$B$2001,$D6))</f>
        <v>0</v>
      </c>
      <c r="I6" s="9" t="n">
        <f aca="false">IF($D6="","",$H6*IF($F6="",0,$F6))</f>
        <v>0</v>
      </c>
      <c r="J6" s="13" t="n">
        <f aca="false">IF($D6="","",$G6-$I6)</f>
        <v>0</v>
      </c>
      <c r="K6" s="14" t="str">
        <f aca="false">IF(OR($D6="",$G6=0),"",$J6/$G6)</f>
        <v/>
      </c>
    </row>
    <row r="7" customFormat="false" ht="14.25" hidden="false" customHeight="false" outlineLevel="0" collapsed="false">
      <c r="A7" s="0" t="s">
        <v>11</v>
      </c>
      <c r="B7" s="0" t="s">
        <v>93</v>
      </c>
      <c r="C7" s="22" t="n">
        <v>50</v>
      </c>
      <c r="D7" s="6" t="str">
        <f aca="false">IF(A7="","",A7&amp;" - "&amp;B7)</f>
        <v>Threading - Sidelocks</v>
      </c>
      <c r="E7" s="19" t="s">
        <v>57</v>
      </c>
      <c r="F7" s="23"/>
      <c r="G7" s="16" t="n">
        <f aca="false">IF($D7="","",SUMIF('Daily tracking'!$B$2:$B$2001,$D7,'Daily tracking'!$G$2:$G$2001))</f>
        <v>0</v>
      </c>
      <c r="H7" s="15" t="n">
        <f aca="false">IF($D7="","",COUNTIF('Daily tracking'!$B$2:$B$2001,$D7))</f>
        <v>0</v>
      </c>
      <c r="I7" s="9" t="n">
        <f aca="false">IF($D7="","",$H7*IF($F7="",0,$F7))</f>
        <v>0</v>
      </c>
      <c r="J7" s="13" t="n">
        <f aca="false">IF($D7="","",$G7-$I7)</f>
        <v>0</v>
      </c>
      <c r="K7" s="14" t="str">
        <f aca="false">IF(OR($D7="",$G7=0),"",$J7/$G7)</f>
        <v/>
      </c>
    </row>
    <row r="8" customFormat="false" ht="14.25" hidden="false" customHeight="false" outlineLevel="0" collapsed="false">
      <c r="A8" s="0" t="s">
        <v>13</v>
      </c>
      <c r="B8" s="0" t="s">
        <v>91</v>
      </c>
      <c r="C8" s="22" t="n">
        <v>80</v>
      </c>
      <c r="D8" s="6" t="str">
        <f aca="false">IF(A8="","",A8&amp;" - "&amp;B8)</f>
        <v>Waxing - Chin</v>
      </c>
      <c r="E8" s="19" t="s">
        <v>57</v>
      </c>
      <c r="F8" s="23"/>
      <c r="G8" s="16" t="n">
        <f aca="false">IF($D8="","",SUMIF('Daily tracking'!$B$2:$B$2001,$D8,'Daily tracking'!$G$2:$G$2001))</f>
        <v>0</v>
      </c>
      <c r="H8" s="15" t="n">
        <f aca="false">IF($D8="","",COUNTIF('Daily tracking'!$B$2:$B$2001,$D8))</f>
        <v>0</v>
      </c>
      <c r="I8" s="9" t="n">
        <f aca="false">IF($D8="","",$H8*IF($F8="",0,$F8))</f>
        <v>0</v>
      </c>
      <c r="J8" s="13" t="n">
        <f aca="false">IF($D8="","",$G8-$I8)</f>
        <v>0</v>
      </c>
      <c r="K8" s="14" t="str">
        <f aca="false">IF(OR($D8="",$G8=0),"",$J8/$G8)</f>
        <v/>
      </c>
    </row>
    <row r="9" customFormat="false" ht="14.25" hidden="false" customHeight="false" outlineLevel="0" collapsed="false">
      <c r="A9" s="0" t="s">
        <v>13</v>
      </c>
      <c r="B9" s="0" t="s">
        <v>90</v>
      </c>
      <c r="C9" s="22" t="n">
        <v>60</v>
      </c>
      <c r="D9" s="6" t="str">
        <f aca="false">IF(A9="","",A9&amp;" - "&amp;B9)</f>
        <v>Waxing - Upper lip</v>
      </c>
      <c r="E9" s="19" t="s">
        <v>57</v>
      </c>
      <c r="F9" s="23"/>
      <c r="G9" s="16" t="n">
        <f aca="false">IF($D9="","",SUMIF('Daily tracking'!$B$2:$B$2001,$D9,'Daily tracking'!$G$2:$G$2001))</f>
        <v>0</v>
      </c>
      <c r="H9" s="15" t="n">
        <f aca="false">IF($D9="","",COUNTIF('Daily tracking'!$B$2:$B$2001,$D9))</f>
        <v>0</v>
      </c>
      <c r="I9" s="9" t="n">
        <f aca="false">IF($D9="","",$H9*IF($F9="",0,$F9))</f>
        <v>0</v>
      </c>
      <c r="J9" s="13" t="n">
        <f aca="false">IF($D9="","",$G9-$I9)</f>
        <v>0</v>
      </c>
      <c r="K9" s="14" t="str">
        <f aca="false">IF(OR($D9="",$G9=0),"",$J9/$G9)</f>
        <v/>
      </c>
    </row>
    <row r="10" customFormat="false" ht="14.25" hidden="false" customHeight="false" outlineLevel="0" collapsed="false">
      <c r="A10" s="0" t="s">
        <v>13</v>
      </c>
      <c r="B10" s="0" t="s">
        <v>93</v>
      </c>
      <c r="C10" s="22" t="n">
        <v>80</v>
      </c>
      <c r="D10" s="6" t="str">
        <f aca="false">IF(A10="","",A10&amp;" - "&amp;B10)</f>
        <v>Waxing - Sidelocks</v>
      </c>
      <c r="E10" s="19" t="s">
        <v>57</v>
      </c>
      <c r="F10" s="23"/>
      <c r="G10" s="16" t="n">
        <f aca="false">IF($D10="","",SUMIF('Daily tracking'!$B$2:$B$2001,$D10,'Daily tracking'!$G$2:$G$2001))</f>
        <v>0</v>
      </c>
      <c r="H10" s="15" t="n">
        <f aca="false">IF($D10="","",COUNTIF('Daily tracking'!$B$2:$B$2001,$D10))</f>
        <v>0</v>
      </c>
      <c r="I10" s="9" t="n">
        <f aca="false">IF($D10="","",$H10*IF($F10="",0,$F10))</f>
        <v>0</v>
      </c>
      <c r="J10" s="13" t="n">
        <f aca="false">IF($D10="","",$G10-$I10)</f>
        <v>0</v>
      </c>
      <c r="K10" s="14" t="str">
        <f aca="false">IF(OR($D10="",$G10=0),"",$J10/$G10)</f>
        <v/>
      </c>
    </row>
    <row r="11" customFormat="false" ht="14.25" hidden="false" customHeight="false" outlineLevel="0" collapsed="false">
      <c r="A11" s="0" t="s">
        <v>13</v>
      </c>
      <c r="B11" s="0" t="s">
        <v>94</v>
      </c>
      <c r="C11" s="22" t="n">
        <v>100</v>
      </c>
      <c r="D11" s="6" t="str">
        <f aca="false">IF(A11="","",A11&amp;" - "&amp;B11)</f>
        <v>Waxing - Neck</v>
      </c>
      <c r="E11" s="19" t="s">
        <v>57</v>
      </c>
      <c r="F11" s="23"/>
      <c r="G11" s="16" t="n">
        <f aca="false">IF($D11="","",SUMIF('Daily tracking'!$B$2:$B$2001,$D11,'Daily tracking'!$G$2:$G$2001))</f>
        <v>0</v>
      </c>
      <c r="H11" s="15" t="n">
        <f aca="false">IF($D11="","",COUNTIF('Daily tracking'!$B$2:$B$2001,$D11))</f>
        <v>0</v>
      </c>
      <c r="I11" s="9" t="n">
        <f aca="false">IF($D11="","",$H11*IF($F11="",0,$F11))</f>
        <v>0</v>
      </c>
      <c r="J11" s="13" t="n">
        <f aca="false">IF($D11="","",$G11-$I11)</f>
        <v>0</v>
      </c>
      <c r="K11" s="14" t="str">
        <f aca="false">IF(OR($D11="",$G11=0),"",$J11/$G11)</f>
        <v/>
      </c>
    </row>
    <row r="12" customFormat="false" ht="14.25" hidden="false" customHeight="false" outlineLevel="0" collapsed="false">
      <c r="A12" s="0" t="s">
        <v>13</v>
      </c>
      <c r="B12" s="0" t="s">
        <v>95</v>
      </c>
      <c r="C12" s="22" t="n">
        <v>80</v>
      </c>
      <c r="D12" s="6" t="str">
        <f aca="false">IF(A12="","",A12&amp;" - "&amp;B12)</f>
        <v>Waxing - Jawline</v>
      </c>
      <c r="E12" s="19" t="s">
        <v>57</v>
      </c>
      <c r="F12" s="23"/>
      <c r="G12" s="16" t="n">
        <f aca="false">IF($D12="","",SUMIF('Daily tracking'!$B$2:$B$2001,$D12,'Daily tracking'!$G$2:$G$2001))</f>
        <v>0</v>
      </c>
      <c r="H12" s="15" t="n">
        <f aca="false">IF($D12="","",COUNTIF('Daily tracking'!$B$2:$B$2001,$D12))</f>
        <v>0</v>
      </c>
      <c r="I12" s="9" t="n">
        <f aca="false">IF($D12="","",$H12*IF($F12="",0,$F12))</f>
        <v>0</v>
      </c>
      <c r="J12" s="13" t="n">
        <f aca="false">IF($D12="","",$G12-$I12)</f>
        <v>0</v>
      </c>
      <c r="K12" s="14" t="str">
        <f aca="false">IF(OR($D12="",$G12=0),"",$J12/$G12)</f>
        <v/>
      </c>
    </row>
    <row r="13" customFormat="false" ht="14.25" hidden="false" customHeight="false" outlineLevel="0" collapsed="false">
      <c r="A13" s="0" t="s">
        <v>13</v>
      </c>
      <c r="B13" s="0" t="s">
        <v>89</v>
      </c>
      <c r="C13" s="22" t="n">
        <v>80</v>
      </c>
      <c r="D13" s="6" t="str">
        <f aca="false">IF(A13="","",A13&amp;" - "&amp;B13)</f>
        <v>Waxing - Forehead</v>
      </c>
      <c r="E13" s="19" t="s">
        <v>57</v>
      </c>
      <c r="F13" s="23"/>
      <c r="G13" s="16" t="n">
        <f aca="false">IF($D13="","",SUMIF('Daily tracking'!$B$2:$B$2001,$D13,'Daily tracking'!$G$2:$G$2001))</f>
        <v>0</v>
      </c>
      <c r="H13" s="15" t="n">
        <f aca="false">IF($D13="","",COUNTIF('Daily tracking'!$B$2:$B$2001,$D13))</f>
        <v>0</v>
      </c>
      <c r="I13" s="9" t="n">
        <f aca="false">IF($D13="","",$H13*IF($F13="",0,$F13))</f>
        <v>0</v>
      </c>
      <c r="J13" s="13" t="n">
        <f aca="false">IF($D13="","",$G13-$I13)</f>
        <v>0</v>
      </c>
      <c r="K13" s="14" t="str">
        <f aca="false">IF(OR($D13="",$G13=0),"",$J13/$G13)</f>
        <v/>
      </c>
    </row>
    <row r="14" customFormat="false" ht="14.25" hidden="false" customHeight="false" outlineLevel="0" collapsed="false">
      <c r="A14" s="0" t="s">
        <v>13</v>
      </c>
      <c r="B14" s="0" t="s">
        <v>92</v>
      </c>
      <c r="C14" s="22" t="n">
        <v>400</v>
      </c>
      <c r="D14" s="6" t="str">
        <f aca="false">IF(A14="","",A14&amp;" - "&amp;B14)</f>
        <v>Waxing - Full face</v>
      </c>
      <c r="E14" s="19" t="s">
        <v>57</v>
      </c>
      <c r="F14" s="23"/>
      <c r="G14" s="16" t="n">
        <f aca="false">IF($D14="","",SUMIF('Daily tracking'!$B$2:$B$2001,$D14,'Daily tracking'!$G$2:$G$2001))</f>
        <v>0</v>
      </c>
      <c r="H14" s="15" t="n">
        <f aca="false">IF($D14="","",COUNTIF('Daily tracking'!$B$2:$B$2001,$D14))</f>
        <v>0</v>
      </c>
      <c r="I14" s="9" t="n">
        <f aca="false">IF($D14="","",$H14*IF($F14="",0,$F14))</f>
        <v>0</v>
      </c>
      <c r="J14" s="13" t="n">
        <f aca="false">IF($D14="","",$G14-$I14)</f>
        <v>0</v>
      </c>
      <c r="K14" s="14" t="str">
        <f aca="false">IF(OR($D14="",$G14=0),"",$J14/$G14)</f>
        <v/>
      </c>
    </row>
    <row r="15" customFormat="false" ht="14.25" hidden="false" customHeight="false" outlineLevel="0" collapsed="false">
      <c r="A15" s="0" t="s">
        <v>15</v>
      </c>
      <c r="B15" s="0" t="s">
        <v>96</v>
      </c>
      <c r="C15" s="22" t="n">
        <v>460</v>
      </c>
      <c r="D15" s="6" t="str">
        <f aca="false">IF(A15="","",A15&amp;" - "&amp;B15)</f>
        <v>Roll on - Wax - Half leg</v>
      </c>
      <c r="E15" s="19" t="s">
        <v>57</v>
      </c>
      <c r="F15" s="23"/>
      <c r="G15" s="16" t="n">
        <f aca="false">IF($D15="","",SUMIF('Daily tracking'!$B$2:$B$2001,$D15,'Daily tracking'!$G$2:$G$2001))</f>
        <v>0</v>
      </c>
      <c r="H15" s="15" t="n">
        <f aca="false">IF($D15="","",COUNTIF('Daily tracking'!$B$2:$B$2001,$D15))</f>
        <v>0</v>
      </c>
      <c r="I15" s="9" t="n">
        <f aca="false">IF($D15="","",$H15*IF($F15="",0,$F15))</f>
        <v>0</v>
      </c>
      <c r="J15" s="13" t="n">
        <f aca="false">IF($D15="","",$G15-$I15)</f>
        <v>0</v>
      </c>
      <c r="K15" s="14" t="str">
        <f aca="false">IF(OR($D15="",$G15=0),"",$J15/$G15)</f>
        <v/>
      </c>
    </row>
    <row r="16" customFormat="false" ht="14.25" hidden="false" customHeight="false" outlineLevel="0" collapsed="false">
      <c r="A16" s="0" t="s">
        <v>15</v>
      </c>
      <c r="B16" s="0" t="s">
        <v>97</v>
      </c>
      <c r="C16" s="22" t="n">
        <v>490</v>
      </c>
      <c r="D16" s="6" t="str">
        <f aca="false">IF(A16="","",A16&amp;" - "&amp;B16)</f>
        <v>Roll on - Wax - Hand</v>
      </c>
      <c r="E16" s="19" t="s">
        <v>57</v>
      </c>
      <c r="F16" s="23"/>
      <c r="G16" s="16" t="n">
        <f aca="false">IF($D16="","",SUMIF('Daily tracking'!$B$2:$B$2001,$D16,'Daily tracking'!$G$2:$G$2001))</f>
        <v>0</v>
      </c>
      <c r="H16" s="15" t="n">
        <f aca="false">IF($D16="","",COUNTIF('Daily tracking'!$B$2:$B$2001,$D16))</f>
        <v>0</v>
      </c>
      <c r="I16" s="9" t="n">
        <f aca="false">IF($D16="","",$H16*IF($F16="",0,$F16))</f>
        <v>0</v>
      </c>
      <c r="J16" s="13" t="n">
        <f aca="false">IF($D16="","",$G16-$I16)</f>
        <v>0</v>
      </c>
      <c r="K16" s="14" t="str">
        <f aca="false">IF(OR($D16="",$G16=0),"",$J16/$G16)</f>
        <v/>
      </c>
    </row>
    <row r="17" customFormat="false" ht="14.25" hidden="false" customHeight="false" outlineLevel="0" collapsed="false">
      <c r="A17" s="0" t="s">
        <v>15</v>
      </c>
      <c r="B17" s="0" t="s">
        <v>98</v>
      </c>
      <c r="C17" s="22" t="n">
        <v>600</v>
      </c>
      <c r="D17" s="6" t="str">
        <f aca="false">IF(A17="","",A17&amp;" - "&amp;B17)</f>
        <v>Roll on - Wax - Full leg</v>
      </c>
      <c r="E17" s="19" t="s">
        <v>57</v>
      </c>
      <c r="F17" s="23"/>
      <c r="G17" s="16" t="n">
        <f aca="false">IF($D17="","",SUMIF('Daily tracking'!$B$2:$B$2001,$D17,'Daily tracking'!$G$2:$G$2001))</f>
        <v>0</v>
      </c>
      <c r="H17" s="15" t="n">
        <f aca="false">IF($D17="","",COUNTIF('Daily tracking'!$B$2:$B$2001,$D17))</f>
        <v>0</v>
      </c>
      <c r="I17" s="9" t="n">
        <f aca="false">IF($D17="","",$H17*IF($F17="",0,$F17))</f>
        <v>0</v>
      </c>
      <c r="J17" s="13" t="n">
        <f aca="false">IF($D17="","",$G17-$I17)</f>
        <v>0</v>
      </c>
      <c r="K17" s="14" t="str">
        <f aca="false">IF(OR($D17="",$G17=0),"",$J17/$G17)</f>
        <v/>
      </c>
    </row>
    <row r="18" customFormat="false" ht="14.25" hidden="false" customHeight="false" outlineLevel="0" collapsed="false">
      <c r="A18" s="0" t="s">
        <v>15</v>
      </c>
      <c r="B18" s="0" t="s">
        <v>99</v>
      </c>
      <c r="C18" s="22" t="n">
        <v>1200</v>
      </c>
      <c r="D18" s="6" t="str">
        <f aca="false">IF(A18="","",A18&amp;" - "&amp;B18)</f>
        <v>Roll on - Wax - Full waxing</v>
      </c>
      <c r="E18" s="19" t="s">
        <v>57</v>
      </c>
      <c r="F18" s="23"/>
      <c r="G18" s="16" t="n">
        <f aca="false">IF($D18="","",SUMIF('Daily tracking'!$B$2:$B$2001,$D18,'Daily tracking'!$G$2:$G$2001))</f>
        <v>0</v>
      </c>
      <c r="H18" s="15" t="n">
        <f aca="false">IF($D18="","",COUNTIF('Daily tracking'!$B$2:$B$2001,$D18))</f>
        <v>0</v>
      </c>
      <c r="I18" s="9" t="n">
        <f aca="false">IF($D18="","",$H18*IF($F18="",0,$F18))</f>
        <v>0</v>
      </c>
      <c r="J18" s="13" t="n">
        <f aca="false">IF($D18="","",$G18-$I18)</f>
        <v>0</v>
      </c>
      <c r="K18" s="14" t="str">
        <f aca="false">IF(OR($D18="",$G18=0),"",$J18/$G18)</f>
        <v/>
      </c>
    </row>
    <row r="19" customFormat="false" ht="14.25" hidden="false" customHeight="false" outlineLevel="0" collapsed="false">
      <c r="A19" s="0" t="s">
        <v>15</v>
      </c>
      <c r="B19" s="0" t="s">
        <v>100</v>
      </c>
      <c r="C19" s="22" t="n">
        <v>550</v>
      </c>
      <c r="D19" s="6" t="str">
        <f aca="false">IF(A19="","",A19&amp;" - "&amp;B19)</f>
        <v>Roll on - Wax - Stomach</v>
      </c>
      <c r="E19" s="19" t="s">
        <v>57</v>
      </c>
      <c r="F19" s="23"/>
      <c r="G19" s="16" t="n">
        <f aca="false">IF($D19="","",SUMIF('Daily tracking'!$B$2:$B$2001,$D19,'Daily tracking'!$G$2:$G$2001))</f>
        <v>0</v>
      </c>
      <c r="H19" s="15" t="n">
        <f aca="false">IF($D19="","",COUNTIF('Daily tracking'!$B$2:$B$2001,$D19))</f>
        <v>0</v>
      </c>
      <c r="I19" s="9" t="n">
        <f aca="false">IF($D19="","",$H19*IF($F19="",0,$F19))</f>
        <v>0</v>
      </c>
      <c r="J19" s="13" t="n">
        <f aca="false">IF($D19="","",$G19-$I19)</f>
        <v>0</v>
      </c>
      <c r="K19" s="14" t="str">
        <f aca="false">IF(OR($D19="",$G19=0),"",$J19/$G19)</f>
        <v/>
      </c>
    </row>
    <row r="20" customFormat="false" ht="14.25" hidden="false" customHeight="false" outlineLevel="0" collapsed="false">
      <c r="A20" s="0" t="s">
        <v>15</v>
      </c>
      <c r="B20" s="0" t="s">
        <v>101</v>
      </c>
      <c r="C20" s="22" t="n">
        <v>2500</v>
      </c>
      <c r="D20" s="6" t="str">
        <f aca="false">IF(A20="","",A20&amp;" - "&amp;B20)</f>
        <v>Roll on - Wax - Full body</v>
      </c>
      <c r="E20" s="19" t="s">
        <v>57</v>
      </c>
      <c r="F20" s="23"/>
      <c r="G20" s="16" t="n">
        <f aca="false">IF($D20="","",SUMIF('Daily tracking'!$B$2:$B$2001,$D20,'Daily tracking'!$G$2:$G$2001))</f>
        <v>0</v>
      </c>
      <c r="H20" s="15" t="n">
        <f aca="false">IF($D20="","",COUNTIF('Daily tracking'!$B$2:$B$2001,$D20))</f>
        <v>0</v>
      </c>
      <c r="I20" s="9" t="n">
        <f aca="false">IF($D20="","",$H20*IF($F20="",0,$F20))</f>
        <v>0</v>
      </c>
      <c r="J20" s="13" t="n">
        <f aca="false">IF($D20="","",$G20-$I20)</f>
        <v>0</v>
      </c>
      <c r="K20" s="14" t="str">
        <f aca="false">IF(OR($D20="",$G20=0),"",$J20/$G20)</f>
        <v/>
      </c>
    </row>
    <row r="21" customFormat="false" ht="14.25" hidden="false" customHeight="false" outlineLevel="0" collapsed="false">
      <c r="A21" s="0" t="s">
        <v>15</v>
      </c>
      <c r="B21" s="0" t="s">
        <v>102</v>
      </c>
      <c r="C21" s="22" t="n">
        <v>550</v>
      </c>
      <c r="D21" s="6" t="str">
        <f aca="false">IF(A21="","",A21&amp;" - "&amp;B21)</f>
        <v>Roll on - Wax - Back</v>
      </c>
      <c r="E21" s="19" t="s">
        <v>57</v>
      </c>
      <c r="F21" s="23"/>
      <c r="G21" s="16" t="n">
        <f aca="false">IF($D21="","",SUMIF('Daily tracking'!$B$2:$B$2001,$D21,'Daily tracking'!$G$2:$G$2001))</f>
        <v>0</v>
      </c>
      <c r="H21" s="15" t="n">
        <f aca="false">IF($D21="","",COUNTIF('Daily tracking'!$B$2:$B$2001,$D21))</f>
        <v>0</v>
      </c>
      <c r="I21" s="9" t="n">
        <f aca="false">IF($D21="","",$H21*IF($F21="",0,$F21))</f>
        <v>0</v>
      </c>
      <c r="J21" s="13" t="n">
        <f aca="false">IF($D21="","",$G21-$I21)</f>
        <v>0</v>
      </c>
      <c r="K21" s="14" t="str">
        <f aca="false">IF(OR($D21="",$G21=0),"",$J21/$G21)</f>
        <v/>
      </c>
    </row>
    <row r="22" customFormat="false" ht="14.25" hidden="false" customHeight="false" outlineLevel="0" collapsed="false">
      <c r="A22" s="0" t="s">
        <v>17</v>
      </c>
      <c r="B22" s="0" t="s">
        <v>99</v>
      </c>
      <c r="C22" s="22" t="n">
        <v>1000</v>
      </c>
      <c r="D22" s="6" t="str">
        <f aca="false">IF(A22="","",A22&amp;" - "&amp;B22)</f>
        <v>Lipo - Wax - Full waxing</v>
      </c>
      <c r="E22" s="19" t="s">
        <v>57</v>
      </c>
      <c r="F22" s="23"/>
      <c r="G22" s="16" t="n">
        <f aca="false">IF($D22="","",SUMIF('Daily tracking'!$B$2:$B$2001,$D22,'Daily tracking'!$G$2:$G$2001))</f>
        <v>0</v>
      </c>
      <c r="H22" s="15" t="n">
        <f aca="false">IF($D22="","",COUNTIF('Daily tracking'!$B$2:$B$2001,$D22))</f>
        <v>0</v>
      </c>
      <c r="I22" s="9" t="n">
        <f aca="false">IF($D22="","",$H22*IF($F22="",0,$F22))</f>
        <v>0</v>
      </c>
      <c r="J22" s="13" t="n">
        <f aca="false">IF($D22="","",$G22-$I22)</f>
        <v>0</v>
      </c>
      <c r="K22" s="14" t="str">
        <f aca="false">IF(OR($D22="",$G22=0),"",$J22/$G22)</f>
        <v/>
      </c>
    </row>
    <row r="23" customFormat="false" ht="14.25" hidden="false" customHeight="false" outlineLevel="0" collapsed="false">
      <c r="A23" s="0" t="s">
        <v>17</v>
      </c>
      <c r="B23" s="0" t="s">
        <v>98</v>
      </c>
      <c r="C23" s="22" t="n">
        <v>550</v>
      </c>
      <c r="D23" s="6" t="str">
        <f aca="false">IF(A23="","",A23&amp;" - "&amp;B23)</f>
        <v>Lipo - Wax - Full leg</v>
      </c>
      <c r="E23" s="19" t="s">
        <v>57</v>
      </c>
      <c r="F23" s="23"/>
      <c r="G23" s="16" t="n">
        <f aca="false">IF($D23="","",SUMIF('Daily tracking'!$B$2:$B$2001,$D23,'Daily tracking'!$G$2:$G$2001))</f>
        <v>0</v>
      </c>
      <c r="H23" s="15" t="n">
        <f aca="false">IF($D23="","",COUNTIF('Daily tracking'!$B$2:$B$2001,$D23))</f>
        <v>0</v>
      </c>
      <c r="I23" s="9" t="n">
        <f aca="false">IF($D23="","",$H23*IF($F23="",0,$F23))</f>
        <v>0</v>
      </c>
      <c r="J23" s="13" t="n">
        <f aca="false">IF($D23="","",$G23-$I23)</f>
        <v>0</v>
      </c>
      <c r="K23" s="14" t="str">
        <f aca="false">IF(OR($D23="",$G23=0),"",$J23/$G23)</f>
        <v/>
      </c>
    </row>
    <row r="24" customFormat="false" ht="14.25" hidden="false" customHeight="false" outlineLevel="0" collapsed="false">
      <c r="A24" s="0" t="s">
        <v>17</v>
      </c>
      <c r="B24" s="0" t="s">
        <v>96</v>
      </c>
      <c r="C24" s="22" t="n">
        <v>440</v>
      </c>
      <c r="D24" s="6" t="str">
        <f aca="false">IF(A24="","",A24&amp;" - "&amp;B24)</f>
        <v>Lipo - Wax - Half leg</v>
      </c>
      <c r="E24" s="19" t="s">
        <v>57</v>
      </c>
      <c r="F24" s="23"/>
      <c r="G24" s="16" t="n">
        <f aca="false">IF($D24="","",SUMIF('Daily tracking'!$B$2:$B$2001,$D24,'Daily tracking'!$G$2:$G$2001))</f>
        <v>0</v>
      </c>
      <c r="H24" s="15" t="n">
        <f aca="false">IF($D24="","",COUNTIF('Daily tracking'!$B$2:$B$2001,$D24))</f>
        <v>0</v>
      </c>
      <c r="I24" s="9" t="n">
        <f aca="false">IF($D24="","",$H24*IF($F24="",0,$F24))</f>
        <v>0</v>
      </c>
      <c r="J24" s="13" t="n">
        <f aca="false">IF($D24="","",$G24-$I24)</f>
        <v>0</v>
      </c>
      <c r="K24" s="14" t="str">
        <f aca="false">IF(OR($D24="",$G24=0),"",$J24/$G24)</f>
        <v/>
      </c>
    </row>
    <row r="25" customFormat="false" ht="14.25" hidden="false" customHeight="false" outlineLevel="0" collapsed="false">
      <c r="A25" s="0" t="s">
        <v>17</v>
      </c>
      <c r="B25" s="0" t="s">
        <v>97</v>
      </c>
      <c r="C25" s="22" t="n">
        <v>440</v>
      </c>
      <c r="D25" s="6" t="str">
        <f aca="false">IF(A25="","",A25&amp;" - "&amp;B25)</f>
        <v>Lipo - Wax - Hand</v>
      </c>
      <c r="E25" s="19" t="s">
        <v>57</v>
      </c>
      <c r="F25" s="23"/>
      <c r="G25" s="16" t="n">
        <f aca="false">IF($D25="","",SUMIF('Daily tracking'!$B$2:$B$2001,$D25,'Daily tracking'!$G$2:$G$2001))</f>
        <v>0</v>
      </c>
      <c r="H25" s="15" t="n">
        <f aca="false">IF($D25="","",COUNTIF('Daily tracking'!$B$2:$B$2001,$D25))</f>
        <v>0</v>
      </c>
      <c r="I25" s="9" t="n">
        <f aca="false">IF($D25="","",$H25*IF($F25="",0,$F25))</f>
        <v>0</v>
      </c>
      <c r="J25" s="13" t="n">
        <f aca="false">IF($D25="","",$G25-$I25)</f>
        <v>0</v>
      </c>
      <c r="K25" s="14" t="str">
        <f aca="false">IF(OR($D25="",$G25=0),"",$J25/$G25)</f>
        <v/>
      </c>
    </row>
    <row r="26" customFormat="false" ht="14.25" hidden="false" customHeight="false" outlineLevel="0" collapsed="false">
      <c r="A26" s="0" t="s">
        <v>17</v>
      </c>
      <c r="B26" s="0" t="s">
        <v>103</v>
      </c>
      <c r="C26" s="22" t="n">
        <v>500</v>
      </c>
      <c r="D26" s="6" t="str">
        <f aca="false">IF(A26="","",A26&amp;" - "&amp;B26)</f>
        <v>Lipo - Wax - stomach</v>
      </c>
      <c r="E26" s="19" t="s">
        <v>57</v>
      </c>
      <c r="F26" s="23"/>
      <c r="G26" s="16" t="n">
        <f aca="false">IF($D26="","",SUMIF('Daily tracking'!$B$2:$B$2001,$D26,'Daily tracking'!$G$2:$G$2001))</f>
        <v>0</v>
      </c>
      <c r="H26" s="15" t="n">
        <f aca="false">IF($D26="","",COUNTIF('Daily tracking'!$B$2:$B$2001,$D26))</f>
        <v>0</v>
      </c>
      <c r="I26" s="9" t="n">
        <f aca="false">IF($D26="","",$H26*IF($F26="",0,$F26))</f>
        <v>0</v>
      </c>
      <c r="J26" s="13" t="n">
        <f aca="false">IF($D26="","",$G26-$I26)</f>
        <v>0</v>
      </c>
      <c r="K26" s="14" t="str">
        <f aca="false">IF(OR($D26="",$G26=0),"",$J26/$G26)</f>
        <v/>
      </c>
    </row>
    <row r="27" customFormat="false" ht="14.25" hidden="false" customHeight="false" outlineLevel="0" collapsed="false">
      <c r="A27" s="0" t="s">
        <v>17</v>
      </c>
      <c r="B27" s="0" t="s">
        <v>102</v>
      </c>
      <c r="C27" s="22" t="n">
        <v>500</v>
      </c>
      <c r="D27" s="6" t="str">
        <f aca="false">IF(A27="","",A27&amp;" - "&amp;B27)</f>
        <v>Lipo - Wax - Back</v>
      </c>
      <c r="E27" s="19" t="s">
        <v>57</v>
      </c>
      <c r="F27" s="23"/>
      <c r="G27" s="16" t="n">
        <f aca="false">IF($D27="","",SUMIF('Daily tracking'!$B$2:$B$2001,$D27,'Daily tracking'!$G$2:$G$2001))</f>
        <v>0</v>
      </c>
      <c r="H27" s="15" t="n">
        <f aca="false">IF($D27="","",COUNTIF('Daily tracking'!$B$2:$B$2001,$D27))</f>
        <v>0</v>
      </c>
      <c r="I27" s="9" t="n">
        <f aca="false">IF($D27="","",$H27*IF($F27="",0,$F27))</f>
        <v>0</v>
      </c>
      <c r="J27" s="13" t="n">
        <f aca="false">IF($D27="","",$G27-$I27)</f>
        <v>0</v>
      </c>
      <c r="K27" s="14" t="str">
        <f aca="false">IF(OR($D27="",$G27=0),"",$J27/$G27)</f>
        <v/>
      </c>
    </row>
    <row r="28" customFormat="false" ht="14.25" hidden="false" customHeight="false" outlineLevel="0" collapsed="false">
      <c r="A28" s="0" t="s">
        <v>17</v>
      </c>
      <c r="B28" s="0" t="s">
        <v>101</v>
      </c>
      <c r="C28" s="22" t="n">
        <v>2400</v>
      </c>
      <c r="D28" s="6" t="str">
        <f aca="false">IF(A28="","",A28&amp;" - "&amp;B28)</f>
        <v>Lipo - Wax - Full body</v>
      </c>
      <c r="E28" s="19" t="s">
        <v>57</v>
      </c>
      <c r="F28" s="23"/>
      <c r="G28" s="16" t="n">
        <f aca="false">IF($D28="","",SUMIF('Daily tracking'!$B$2:$B$2001,$D28,'Daily tracking'!$G$2:$G$2001))</f>
        <v>0</v>
      </c>
      <c r="H28" s="15" t="n">
        <f aca="false">IF($D28="","",COUNTIF('Daily tracking'!$B$2:$B$2001,$D28))</f>
        <v>0</v>
      </c>
      <c r="I28" s="9" t="n">
        <f aca="false">IF($D28="","",$H28*IF($F28="",0,$F28))</f>
        <v>0</v>
      </c>
      <c r="J28" s="13" t="n">
        <f aca="false">IF($D28="","",$G28-$I28)</f>
        <v>0</v>
      </c>
      <c r="K28" s="14" t="str">
        <f aca="false">IF(OR($D28="",$G28=0),"",$J28/$G28)</f>
        <v/>
      </c>
    </row>
    <row r="29" customFormat="false" ht="14.25" hidden="false" customHeight="false" outlineLevel="0" collapsed="false">
      <c r="A29" s="0" t="s">
        <v>17</v>
      </c>
      <c r="B29" s="0" t="s">
        <v>104</v>
      </c>
      <c r="C29" s="22" t="n">
        <v>200</v>
      </c>
      <c r="D29" s="6" t="str">
        <f aca="false">IF(A29="","",A29&amp;" - "&amp;B29)</f>
        <v>Lipo - Wax - Underarm</v>
      </c>
      <c r="E29" s="19" t="s">
        <v>57</v>
      </c>
      <c r="F29" s="23"/>
      <c r="G29" s="16" t="n">
        <f aca="false">IF($D29="","",SUMIF('Daily tracking'!$B$2:$B$2001,$D29,'Daily tracking'!$G$2:$G$2001))</f>
        <v>0</v>
      </c>
      <c r="H29" s="15" t="n">
        <f aca="false">IF($D29="","",COUNTIF('Daily tracking'!$B$2:$B$2001,$D29))</f>
        <v>0</v>
      </c>
      <c r="I29" s="9" t="n">
        <f aca="false">IF($D29="","",$H29*IF($F29="",0,$F29))</f>
        <v>0</v>
      </c>
      <c r="J29" s="13" t="n">
        <f aca="false">IF($D29="","",$G29-$I29)</f>
        <v>0</v>
      </c>
      <c r="K29" s="14" t="str">
        <f aca="false">IF(OR($D29="",$G29=0),"",$J29/$G29)</f>
        <v/>
      </c>
    </row>
    <row r="30" customFormat="false" ht="14.25" hidden="false" customHeight="false" outlineLevel="0" collapsed="false">
      <c r="A30" s="0" t="s">
        <v>19</v>
      </c>
      <c r="B30" s="0" t="s">
        <v>105</v>
      </c>
      <c r="C30" s="22" t="n">
        <v>800</v>
      </c>
      <c r="D30" s="6" t="str">
        <f aca="false">IF(A30="","",A30&amp;" - "&amp;B30)</f>
        <v>Spa - SKP - Spa</v>
      </c>
      <c r="E30" s="19" t="s">
        <v>57</v>
      </c>
      <c r="F30" s="23"/>
      <c r="G30" s="16" t="n">
        <f aca="false">IF($D30="","",SUMIF('Daily tracking'!$B$2:$B$2001,$D30,'Daily tracking'!$G$2:$G$2001))</f>
        <v>0</v>
      </c>
      <c r="H30" s="15" t="n">
        <f aca="false">IF($D30="","",COUNTIF('Daily tracking'!$B$2:$B$2001,$D30))</f>
        <v>0</v>
      </c>
      <c r="I30" s="9" t="n">
        <f aca="false">IF($D30="","",$H30*IF($F30="",0,$F30))</f>
        <v>0</v>
      </c>
      <c r="J30" s="13" t="n">
        <f aca="false">IF($D30="","",$G30-$I30)</f>
        <v>0</v>
      </c>
      <c r="K30" s="14" t="str">
        <f aca="false">IF(OR($D30="",$G30=0),"",$J30/$G30)</f>
        <v/>
      </c>
    </row>
    <row r="31" customFormat="false" ht="14.25" hidden="false" customHeight="false" outlineLevel="0" collapsed="false">
      <c r="A31" s="0" t="s">
        <v>19</v>
      </c>
      <c r="B31" s="0" t="s">
        <v>106</v>
      </c>
      <c r="C31" s="22" t="n">
        <v>1000</v>
      </c>
      <c r="D31" s="6" t="str">
        <f aca="false">IF(A31="","",A31&amp;" - "&amp;B31)</f>
        <v>Spa - Loreal - basic</v>
      </c>
      <c r="E31" s="19" t="s">
        <v>57</v>
      </c>
      <c r="F31" s="23"/>
      <c r="G31" s="16" t="n">
        <f aca="false">IF($D31="","",SUMIF('Daily tracking'!$B$2:$B$2001,$D31,'Daily tracking'!$G$2:$G$2001))</f>
        <v>0</v>
      </c>
      <c r="H31" s="15" t="n">
        <f aca="false">IF($D31="","",COUNTIF('Daily tracking'!$B$2:$B$2001,$D31))</f>
        <v>0</v>
      </c>
      <c r="I31" s="9" t="n">
        <f aca="false">IF($D31="","",$H31*IF($F31="",0,$F31))</f>
        <v>0</v>
      </c>
      <c r="J31" s="13" t="n">
        <f aca="false">IF($D31="","",$G31-$I31)</f>
        <v>0</v>
      </c>
      <c r="K31" s="14" t="str">
        <f aca="false">IF(OR($D31="",$G31=0),"",$J31/$G31)</f>
        <v/>
      </c>
    </row>
    <row r="32" customFormat="false" ht="14.25" hidden="false" customHeight="false" outlineLevel="0" collapsed="false">
      <c r="A32" s="0" t="s">
        <v>19</v>
      </c>
      <c r="B32" s="0" t="s">
        <v>107</v>
      </c>
      <c r="C32" s="22" t="n">
        <v>1500</v>
      </c>
      <c r="D32" s="6" t="str">
        <f aca="false">IF(A32="","",A32&amp;" - "&amp;B32)</f>
        <v>Spa - Loreal - repair</v>
      </c>
      <c r="E32" s="19" t="s">
        <v>57</v>
      </c>
      <c r="F32" s="23"/>
      <c r="G32" s="16" t="n">
        <f aca="false">IF($D32="","",SUMIF('Daily tracking'!$B$2:$B$2001,$D32,'Daily tracking'!$G$2:$G$2001))</f>
        <v>0</v>
      </c>
      <c r="H32" s="15" t="n">
        <f aca="false">IF($D32="","",COUNTIF('Daily tracking'!$B$2:$B$2001,$D32))</f>
        <v>0</v>
      </c>
      <c r="I32" s="9" t="n">
        <f aca="false">IF($D32="","",$H32*IF($F32="",0,$F32))</f>
        <v>0</v>
      </c>
      <c r="J32" s="13" t="n">
        <f aca="false">IF($D32="","",$G32-$I32)</f>
        <v>0</v>
      </c>
      <c r="K32" s="14" t="str">
        <f aca="false">IF(OR($D32="",$G32=0),"",$J32/$G32)</f>
        <v/>
      </c>
    </row>
    <row r="33" customFormat="false" ht="14.25" hidden="false" customHeight="false" outlineLevel="0" collapsed="false">
      <c r="A33" s="0" t="s">
        <v>19</v>
      </c>
      <c r="B33" s="0" t="s">
        <v>108</v>
      </c>
      <c r="C33" s="22" t="n">
        <v>1800</v>
      </c>
      <c r="D33" s="6" t="str">
        <f aca="false">IF(A33="","",A33&amp;" - "&amp;B33)</f>
        <v>Spa - Dfab</v>
      </c>
      <c r="E33" s="19" t="s">
        <v>57</v>
      </c>
      <c r="F33" s="23"/>
      <c r="G33" s="16" t="n">
        <f aca="false">IF($D33="","",SUMIF('Daily tracking'!$B$2:$B$2001,$D33,'Daily tracking'!$G$2:$G$2001))</f>
        <v>0</v>
      </c>
      <c r="H33" s="15" t="n">
        <f aca="false">IF($D33="","",COUNTIF('Daily tracking'!$B$2:$B$2001,$D33))</f>
        <v>0</v>
      </c>
      <c r="I33" s="9" t="n">
        <f aca="false">IF($D33="","",$H33*IF($F33="",0,$F33))</f>
        <v>0</v>
      </c>
      <c r="J33" s="13" t="n">
        <f aca="false">IF($D33="","",$G33-$I33)</f>
        <v>0</v>
      </c>
      <c r="K33" s="14" t="str">
        <f aca="false">IF(OR($D33="",$G33=0),"",$J33/$G33)</f>
        <v/>
      </c>
    </row>
    <row r="34" customFormat="false" ht="14.25" hidden="false" customHeight="false" outlineLevel="0" collapsed="false">
      <c r="A34" s="0" t="s">
        <v>19</v>
      </c>
      <c r="B34" s="0" t="s">
        <v>109</v>
      </c>
      <c r="C34" s="22" t="n">
        <v>2400</v>
      </c>
      <c r="D34" s="6" t="str">
        <f aca="false">IF(A34="","",A34&amp;" - "&amp;B34)</f>
        <v>Spa - Shea</v>
      </c>
      <c r="E34" s="19" t="s">
        <v>57</v>
      </c>
      <c r="F34" s="23"/>
      <c r="G34" s="16" t="n">
        <f aca="false">IF($D34="","",SUMIF('Daily tracking'!$B$2:$B$2001,$D34,'Daily tracking'!$G$2:$G$2001))</f>
        <v>0</v>
      </c>
      <c r="H34" s="15" t="n">
        <f aca="false">IF($D34="","",COUNTIF('Daily tracking'!$B$2:$B$2001,$D34))</f>
        <v>0</v>
      </c>
      <c r="I34" s="9" t="n">
        <f aca="false">IF($D34="","",$H34*IF($F34="",0,$F34))</f>
        <v>0</v>
      </c>
      <c r="J34" s="13" t="n">
        <f aca="false">IF($D34="","",$G34-$I34)</f>
        <v>0</v>
      </c>
      <c r="K34" s="14" t="str">
        <f aca="false">IF(OR($D34="",$G34=0),"",$J34/$G34)</f>
        <v/>
      </c>
    </row>
    <row r="35" customFormat="false" ht="14.25" hidden="false" customHeight="false" outlineLevel="0" collapsed="false">
      <c r="A35" s="0" t="s">
        <v>21</v>
      </c>
      <c r="B35" s="0" t="s">
        <v>110</v>
      </c>
      <c r="C35" s="22" t="n">
        <v>450</v>
      </c>
      <c r="D35" s="6" t="str">
        <f aca="false">IF(A35="","",A35&amp;" - "&amp;B35)</f>
        <v>Pedicure - Basic</v>
      </c>
      <c r="E35" s="19" t="s">
        <v>57</v>
      </c>
      <c r="F35" s="23"/>
      <c r="G35" s="16" t="n">
        <f aca="false">IF($D35="","",SUMIF('Daily tracking'!$B$2:$B$2001,$D35,'Daily tracking'!$G$2:$G$2001))</f>
        <v>0</v>
      </c>
      <c r="H35" s="15" t="n">
        <f aca="false">IF($D35="","",COUNTIF('Daily tracking'!$B$2:$B$2001,$D35))</f>
        <v>0</v>
      </c>
      <c r="I35" s="9" t="n">
        <f aca="false">IF($D35="","",$H35*IF($F35="",0,$F35))</f>
        <v>0</v>
      </c>
      <c r="J35" s="13" t="n">
        <f aca="false">IF($D35="","",$G35-$I35)</f>
        <v>0</v>
      </c>
      <c r="K35" s="14" t="str">
        <f aca="false">IF(OR($D35="",$G35=0),"",$J35/$G35)</f>
        <v/>
      </c>
    </row>
    <row r="36" customFormat="false" ht="14.25" hidden="false" customHeight="false" outlineLevel="0" collapsed="false">
      <c r="A36" s="0" t="s">
        <v>21</v>
      </c>
      <c r="B36" s="0" t="s">
        <v>111</v>
      </c>
      <c r="C36" s="22" t="n">
        <v>800</v>
      </c>
      <c r="D36" s="6" t="str">
        <f aca="false">IF(A36="","",A36&amp;" - "&amp;B36)</f>
        <v>Pedicure - Strawberry burst</v>
      </c>
      <c r="E36" s="19" t="s">
        <v>57</v>
      </c>
      <c r="F36" s="23"/>
      <c r="G36" s="16" t="n">
        <f aca="false">IF($D36="","",SUMIF('Daily tracking'!$B$2:$B$2001,$D36,'Daily tracking'!$G$2:$G$2001))</f>
        <v>0</v>
      </c>
      <c r="H36" s="15" t="n">
        <f aca="false">IF($D36="","",COUNTIF('Daily tracking'!$B$2:$B$2001,$D36))</f>
        <v>0</v>
      </c>
      <c r="I36" s="9" t="n">
        <f aca="false">IF($D36="","",$H36*IF($F36="",0,$F36))</f>
        <v>0</v>
      </c>
      <c r="J36" s="13" t="n">
        <f aca="false">IF($D36="","",$G36-$I36)</f>
        <v>0</v>
      </c>
      <c r="K36" s="14" t="str">
        <f aca="false">IF(OR($D36="",$G36=0),"",$J36/$G36)</f>
        <v/>
      </c>
    </row>
    <row r="37" customFormat="false" ht="14.25" hidden="false" customHeight="false" outlineLevel="0" collapsed="false">
      <c r="A37" s="0" t="s">
        <v>21</v>
      </c>
      <c r="B37" s="0" t="s">
        <v>112</v>
      </c>
      <c r="C37" s="22" t="n">
        <v>650</v>
      </c>
      <c r="D37" s="6" t="str">
        <f aca="false">IF(A37="","",A37&amp;" - "&amp;B37)</f>
        <v>Pedicure - Rose kiss</v>
      </c>
      <c r="E37" s="19" t="s">
        <v>57</v>
      </c>
      <c r="F37" s="23"/>
      <c r="G37" s="16" t="n">
        <f aca="false">IF($D37="","",SUMIF('Daily tracking'!$B$2:$B$2001,$D37,'Daily tracking'!$G$2:$G$2001))</f>
        <v>0</v>
      </c>
      <c r="H37" s="15" t="n">
        <f aca="false">IF($D37="","",COUNTIF('Daily tracking'!$B$2:$B$2001,$D37))</f>
        <v>0</v>
      </c>
      <c r="I37" s="9" t="n">
        <f aca="false">IF($D37="","",$H37*IF($F37="",0,$F37))</f>
        <v>0</v>
      </c>
      <c r="J37" s="13" t="n">
        <f aca="false">IF($D37="","",$G37-$I37)</f>
        <v>0</v>
      </c>
      <c r="K37" s="14" t="str">
        <f aca="false">IF(OR($D37="",$G37=0),"",$J37/$G37)</f>
        <v/>
      </c>
    </row>
    <row r="38" customFormat="false" ht="14.25" hidden="false" customHeight="false" outlineLevel="0" collapsed="false">
      <c r="A38" s="0" t="s">
        <v>21</v>
      </c>
      <c r="B38" s="0" t="s">
        <v>113</v>
      </c>
      <c r="C38" s="22" t="n">
        <v>1300</v>
      </c>
      <c r="D38" s="6" t="str">
        <f aca="false">IF(A38="","",A38&amp;" - "&amp;B38)</f>
        <v>Pedicure - Prism bomb</v>
      </c>
      <c r="E38" s="19" t="s">
        <v>57</v>
      </c>
      <c r="F38" s="23"/>
      <c r="G38" s="16" t="n">
        <f aca="false">IF($D38="","",SUMIF('Daily tracking'!$B$2:$B$2001,$D38,'Daily tracking'!$G$2:$G$2001))</f>
        <v>0</v>
      </c>
      <c r="H38" s="15" t="n">
        <f aca="false">IF($D38="","",COUNTIF('Daily tracking'!$B$2:$B$2001,$D38))</f>
        <v>0</v>
      </c>
      <c r="I38" s="9" t="n">
        <f aca="false">IF($D38="","",$H38*IF($F38="",0,$F38))</f>
        <v>0</v>
      </c>
      <c r="J38" s="13" t="n">
        <f aca="false">IF($D38="","",$G38-$I38)</f>
        <v>0</v>
      </c>
      <c r="K38" s="14" t="str">
        <f aca="false">IF(OR($D38="",$G38=0),"",$J38/$G38)</f>
        <v/>
      </c>
    </row>
    <row r="39" customFormat="false" ht="14.25" hidden="false" customHeight="false" outlineLevel="0" collapsed="false">
      <c r="A39" s="0" t="s">
        <v>23</v>
      </c>
      <c r="B39" s="0" t="s">
        <v>110</v>
      </c>
      <c r="C39" s="22" t="n">
        <v>400</v>
      </c>
      <c r="D39" s="6" t="str">
        <f aca="false">IF(A39="","",A39&amp;" - "&amp;B39)</f>
        <v>Manicure - Basic</v>
      </c>
      <c r="E39" s="19" t="s">
        <v>57</v>
      </c>
      <c r="F39" s="23"/>
      <c r="G39" s="16" t="n">
        <f aca="false">IF($D39="","",SUMIF('Daily tracking'!$B$2:$B$2001,$D39,'Daily tracking'!$G$2:$G$2001))</f>
        <v>0</v>
      </c>
      <c r="H39" s="15" t="n">
        <f aca="false">IF($D39="","",COUNTIF('Daily tracking'!$B$2:$B$2001,$D39))</f>
        <v>0</v>
      </c>
      <c r="I39" s="9" t="n">
        <f aca="false">IF($D39="","",$H39*IF($F39="",0,$F39))</f>
        <v>0</v>
      </c>
      <c r="J39" s="13" t="n">
        <f aca="false">IF($D39="","",$G39-$I39)</f>
        <v>0</v>
      </c>
      <c r="K39" s="14" t="str">
        <f aca="false">IF(OR($D39="",$G39=0),"",$J39/$G39)</f>
        <v/>
      </c>
    </row>
    <row r="40" customFormat="false" ht="14.25" hidden="false" customHeight="false" outlineLevel="0" collapsed="false">
      <c r="A40" s="0" t="s">
        <v>23</v>
      </c>
      <c r="B40" s="0" t="s">
        <v>111</v>
      </c>
      <c r="C40" s="22" t="n">
        <v>750</v>
      </c>
      <c r="D40" s="6" t="str">
        <f aca="false">IF(A40="","",A40&amp;" - "&amp;B40)</f>
        <v>Manicure - Strawberry burst</v>
      </c>
      <c r="E40" s="19" t="s">
        <v>57</v>
      </c>
      <c r="F40" s="23"/>
      <c r="G40" s="16" t="n">
        <f aca="false">IF($D40="","",SUMIF('Daily tracking'!$B$2:$B$2001,$D40,'Daily tracking'!$G$2:$G$2001))</f>
        <v>0</v>
      </c>
      <c r="H40" s="15" t="n">
        <f aca="false">IF($D40="","",COUNTIF('Daily tracking'!$B$2:$B$2001,$D40))</f>
        <v>0</v>
      </c>
      <c r="I40" s="9" t="n">
        <f aca="false">IF($D40="","",$H40*IF($F40="",0,$F40))</f>
        <v>0</v>
      </c>
      <c r="J40" s="13" t="n">
        <f aca="false">IF($D40="","",$G40-$I40)</f>
        <v>0</v>
      </c>
      <c r="K40" s="14" t="str">
        <f aca="false">IF(OR($D40="",$G40=0),"",$J40/$G40)</f>
        <v/>
      </c>
    </row>
    <row r="41" customFormat="false" ht="14.25" hidden="false" customHeight="false" outlineLevel="0" collapsed="false">
      <c r="A41" s="0" t="s">
        <v>23</v>
      </c>
      <c r="B41" s="0" t="s">
        <v>112</v>
      </c>
      <c r="C41" s="22" t="n">
        <v>600</v>
      </c>
      <c r="D41" s="6" t="str">
        <f aca="false">IF(A41="","",A41&amp;" - "&amp;B41)</f>
        <v>Manicure - Rose kiss</v>
      </c>
      <c r="E41" s="19" t="s">
        <v>57</v>
      </c>
      <c r="F41" s="23"/>
      <c r="G41" s="16" t="n">
        <f aca="false">IF($D41="","",SUMIF('Daily tracking'!$B$2:$B$2001,$D41,'Daily tracking'!$G$2:$G$2001))</f>
        <v>0</v>
      </c>
      <c r="H41" s="15" t="n">
        <f aca="false">IF($D41="","",COUNTIF('Daily tracking'!$B$2:$B$2001,$D41))</f>
        <v>0</v>
      </c>
      <c r="I41" s="9" t="n">
        <f aca="false">IF($D41="","",$H41*IF($F41="",0,$F41))</f>
        <v>0</v>
      </c>
      <c r="J41" s="13" t="n">
        <f aca="false">IF($D41="","",$G41-$I41)</f>
        <v>0</v>
      </c>
      <c r="K41" s="14" t="str">
        <f aca="false">IF(OR($D41="",$G41=0),"",$J41/$G41)</f>
        <v/>
      </c>
    </row>
    <row r="42" customFormat="false" ht="14.25" hidden="false" customHeight="false" outlineLevel="0" collapsed="false">
      <c r="A42" s="0" t="s">
        <v>23</v>
      </c>
      <c r="B42" s="0" t="s">
        <v>113</v>
      </c>
      <c r="C42" s="22" t="n">
        <v>1200</v>
      </c>
      <c r="D42" s="6" t="str">
        <f aca="false">IF(A42="","",A42&amp;" - "&amp;B42)</f>
        <v>Manicure - Prism bomb</v>
      </c>
      <c r="E42" s="19" t="s">
        <v>57</v>
      </c>
      <c r="F42" s="23"/>
      <c r="G42" s="16" t="n">
        <f aca="false">IF($D42="","",SUMIF('Daily tracking'!$B$2:$B$2001,$D42,'Daily tracking'!$G$2:$G$2001))</f>
        <v>0</v>
      </c>
      <c r="H42" s="15" t="n">
        <f aca="false">IF($D42="","",COUNTIF('Daily tracking'!$B$2:$B$2001,$D42))</f>
        <v>0</v>
      </c>
      <c r="I42" s="9" t="n">
        <f aca="false">IF($D42="","",$H42*IF($F42="",0,$F42))</f>
        <v>0</v>
      </c>
      <c r="J42" s="13" t="n">
        <f aca="false">IF($D42="","",$G42-$I42)</f>
        <v>0</v>
      </c>
      <c r="K42" s="14" t="str">
        <f aca="false">IF(OR($D42="",$G42=0),"",$J42/$G42)</f>
        <v/>
      </c>
    </row>
    <row r="43" customFormat="false" ht="14.25" hidden="false" customHeight="false" outlineLevel="0" collapsed="false">
      <c r="A43" s="0" t="s">
        <v>25</v>
      </c>
      <c r="B43" s="0" t="s">
        <v>110</v>
      </c>
      <c r="C43" s="22" t="n">
        <v>800</v>
      </c>
      <c r="D43" s="6" t="str">
        <f aca="false">IF(A43="","",A43&amp;" - "&amp;B43)</f>
        <v>Combo - meni &amp; pedi - Basic</v>
      </c>
      <c r="E43" s="19" t="s">
        <v>57</v>
      </c>
      <c r="F43" s="23"/>
      <c r="G43" s="16" t="n">
        <f aca="false">IF($D43="","",SUMIF('Daily tracking'!$B$2:$B$2001,$D43,'Daily tracking'!$G$2:$G$2001))</f>
        <v>0</v>
      </c>
      <c r="H43" s="15" t="n">
        <f aca="false">IF($D43="","",COUNTIF('Daily tracking'!$B$2:$B$2001,$D43))</f>
        <v>0</v>
      </c>
      <c r="I43" s="9" t="n">
        <f aca="false">IF($D43="","",$H43*IF($F43="",0,$F43))</f>
        <v>0</v>
      </c>
      <c r="J43" s="13" t="n">
        <f aca="false">IF($D43="","",$G43-$I43)</f>
        <v>0</v>
      </c>
      <c r="K43" s="14" t="str">
        <f aca="false">IF(OR($D43="",$G43=0),"",$J43/$G43)</f>
        <v/>
      </c>
    </row>
    <row r="44" customFormat="false" ht="14.25" hidden="false" customHeight="false" outlineLevel="0" collapsed="false">
      <c r="A44" s="0" t="s">
        <v>25</v>
      </c>
      <c r="B44" s="0" t="s">
        <v>111</v>
      </c>
      <c r="C44" s="22" t="n">
        <v>1500</v>
      </c>
      <c r="D44" s="6" t="str">
        <f aca="false">IF(A44="","",A44&amp;" - "&amp;B44)</f>
        <v>Combo - meni &amp; pedi - Strawberry burst</v>
      </c>
      <c r="E44" s="19" t="s">
        <v>57</v>
      </c>
      <c r="F44" s="23"/>
      <c r="G44" s="16" t="n">
        <f aca="false">IF($D44="","",SUMIF('Daily tracking'!$B$2:$B$2001,$D44,'Daily tracking'!$G$2:$G$2001))</f>
        <v>0</v>
      </c>
      <c r="H44" s="15" t="n">
        <f aca="false">IF($D44="","",COUNTIF('Daily tracking'!$B$2:$B$2001,$D44))</f>
        <v>0</v>
      </c>
      <c r="I44" s="9" t="n">
        <f aca="false">IF($D44="","",$H44*IF($F44="",0,$F44))</f>
        <v>0</v>
      </c>
      <c r="J44" s="13" t="n">
        <f aca="false">IF($D44="","",$G44-$I44)</f>
        <v>0</v>
      </c>
      <c r="K44" s="14" t="str">
        <f aca="false">IF(OR($D44="",$G44=0),"",$J44/$G44)</f>
        <v/>
      </c>
    </row>
    <row r="45" customFormat="false" ht="14.25" hidden="false" customHeight="false" outlineLevel="0" collapsed="false">
      <c r="A45" s="0" t="s">
        <v>25</v>
      </c>
      <c r="B45" s="0" t="s">
        <v>112</v>
      </c>
      <c r="C45" s="22" t="n">
        <v>1200</v>
      </c>
      <c r="D45" s="6" t="str">
        <f aca="false">IF(A45="","",A45&amp;" - "&amp;B45)</f>
        <v>Combo - meni &amp; pedi - Rose kiss</v>
      </c>
      <c r="E45" s="19" t="s">
        <v>57</v>
      </c>
      <c r="F45" s="23"/>
      <c r="G45" s="16" t="n">
        <f aca="false">IF($D45="","",SUMIF('Daily tracking'!$B$2:$B$2001,$D45,'Daily tracking'!$G$2:$G$2001))</f>
        <v>0</v>
      </c>
      <c r="H45" s="15" t="n">
        <f aca="false">IF($D45="","",COUNTIF('Daily tracking'!$B$2:$B$2001,$D45))</f>
        <v>0</v>
      </c>
      <c r="I45" s="9" t="n">
        <f aca="false">IF($D45="","",$H45*IF($F45="",0,$F45))</f>
        <v>0</v>
      </c>
      <c r="J45" s="13" t="n">
        <f aca="false">IF($D45="","",$G45-$I45)</f>
        <v>0</v>
      </c>
      <c r="K45" s="14" t="str">
        <f aca="false">IF(OR($D45="",$G45=0),"",$J45/$G45)</f>
        <v/>
      </c>
    </row>
    <row r="46" customFormat="false" ht="14.25" hidden="false" customHeight="false" outlineLevel="0" collapsed="false">
      <c r="A46" s="0" t="s">
        <v>25</v>
      </c>
      <c r="B46" s="0" t="s">
        <v>113</v>
      </c>
      <c r="C46" s="22" t="n">
        <v>2400</v>
      </c>
      <c r="D46" s="6" t="str">
        <f aca="false">IF(A46="","",A46&amp;" - "&amp;B46)</f>
        <v>Combo - meni &amp; pedi - Prism bomb</v>
      </c>
      <c r="E46" s="19" t="s">
        <v>57</v>
      </c>
      <c r="F46" s="23"/>
      <c r="G46" s="16" t="n">
        <f aca="false">IF($D46="","",SUMIF('Daily tracking'!$B$2:$B$2001,$D46,'Daily tracking'!$G$2:$G$2001))</f>
        <v>0</v>
      </c>
      <c r="H46" s="15" t="n">
        <f aca="false">IF($D46="","",COUNTIF('Daily tracking'!$B$2:$B$2001,$D46))</f>
        <v>0</v>
      </c>
      <c r="I46" s="9" t="n">
        <f aca="false">IF($D46="","",$H46*IF($F46="",0,$F46))</f>
        <v>0</v>
      </c>
      <c r="J46" s="13" t="n">
        <f aca="false">IF($D46="","",$G46-$I46)</f>
        <v>0</v>
      </c>
      <c r="K46" s="14" t="str">
        <f aca="false">IF(OR($D46="",$G46=0),"",$J46/$G46)</f>
        <v/>
      </c>
    </row>
    <row r="47" customFormat="false" ht="14.25" hidden="false" customHeight="false" outlineLevel="0" collapsed="false">
      <c r="A47" s="0" t="s">
        <v>27</v>
      </c>
      <c r="B47" s="0" t="s">
        <v>114</v>
      </c>
      <c r="C47" s="22" t="n">
        <v>1200</v>
      </c>
      <c r="D47" s="6" t="str">
        <f aca="false">IF(A47="","",A47&amp;" - "&amp;B47)</f>
        <v>Nail extension - Gel polish</v>
      </c>
      <c r="E47" s="19" t="s">
        <v>57</v>
      </c>
      <c r="F47" s="23"/>
      <c r="G47" s="16" t="n">
        <f aca="false">IF($D47="","",SUMIF('Daily tracking'!$B$2:$B$2001,$D47,'Daily tracking'!$G$2:$G$2001))</f>
        <v>0</v>
      </c>
      <c r="H47" s="15" t="n">
        <f aca="false">IF($D47="","",COUNTIF('Daily tracking'!$B$2:$B$2001,$D47))</f>
        <v>0</v>
      </c>
      <c r="I47" s="9" t="n">
        <f aca="false">IF($D47="","",$H47*IF($F47="",0,$F47))</f>
        <v>0</v>
      </c>
      <c r="J47" s="13" t="n">
        <f aca="false">IF($D47="","",$G47-$I47)</f>
        <v>0</v>
      </c>
      <c r="K47" s="14" t="str">
        <f aca="false">IF(OR($D47="",$G47=0),"",$J47/$G47)</f>
        <v/>
      </c>
    </row>
    <row r="48" customFormat="false" ht="14.25" hidden="false" customHeight="false" outlineLevel="0" collapsed="false">
      <c r="A48" s="0" t="s">
        <v>27</v>
      </c>
      <c r="B48" s="0" t="s">
        <v>115</v>
      </c>
      <c r="C48" s="22" t="n">
        <v>1500</v>
      </c>
      <c r="D48" s="6" t="str">
        <f aca="false">IF(A48="","",A48&amp;" - "&amp;B48)</f>
        <v>Nail extension - Gel polish + chrome</v>
      </c>
      <c r="E48" s="19" t="s">
        <v>57</v>
      </c>
      <c r="F48" s="23"/>
      <c r="G48" s="16" t="n">
        <f aca="false">IF($D48="","",SUMIF('Daily tracking'!$B$2:$B$2001,$D48,'Daily tracking'!$G$2:$G$2001))</f>
        <v>0</v>
      </c>
      <c r="H48" s="15" t="n">
        <f aca="false">IF($D48="","",COUNTIF('Daily tracking'!$B$2:$B$2001,$D48))</f>
        <v>0</v>
      </c>
      <c r="I48" s="9" t="n">
        <f aca="false">IF($D48="","",$H48*IF($F48="",0,$F48))</f>
        <v>0</v>
      </c>
      <c r="J48" s="13" t="n">
        <f aca="false">IF($D48="","",$G48-$I48)</f>
        <v>0</v>
      </c>
      <c r="K48" s="14" t="str">
        <f aca="false">IF(OR($D48="",$G48=0),"",$J48/$G48)</f>
        <v/>
      </c>
    </row>
    <row r="49" customFormat="false" ht="14.25" hidden="false" customHeight="false" outlineLevel="0" collapsed="false">
      <c r="A49" s="0" t="s">
        <v>27</v>
      </c>
      <c r="B49" s="0" t="s">
        <v>116</v>
      </c>
      <c r="C49" s="22" t="n">
        <v>1600</v>
      </c>
      <c r="D49" s="6" t="str">
        <f aca="false">IF(A49="","",A49&amp;" - "&amp;B49)</f>
        <v>Nail extension - Gel polish + cat eye</v>
      </c>
      <c r="E49" s="19" t="s">
        <v>57</v>
      </c>
      <c r="F49" s="23"/>
      <c r="G49" s="16" t="n">
        <f aca="false">IF($D49="","",SUMIF('Daily tracking'!$B$2:$B$2001,$D49,'Daily tracking'!$G$2:$G$2001))</f>
        <v>0</v>
      </c>
      <c r="H49" s="15" t="n">
        <f aca="false">IF($D49="","",COUNTIF('Daily tracking'!$B$2:$B$2001,$D49))</f>
        <v>0</v>
      </c>
      <c r="I49" s="9" t="n">
        <f aca="false">IF($D49="","",$H49*IF($F49="",0,$F49))</f>
        <v>0</v>
      </c>
      <c r="J49" s="13" t="n">
        <f aca="false">IF($D49="","",$G49-$I49)</f>
        <v>0</v>
      </c>
      <c r="K49" s="14" t="str">
        <f aca="false">IF(OR($D49="",$G49=0),"",$J49/$G49)</f>
        <v/>
      </c>
    </row>
    <row r="50" customFormat="false" ht="14.25" hidden="false" customHeight="false" outlineLevel="0" collapsed="false">
      <c r="A50" s="0" t="s">
        <v>29</v>
      </c>
      <c r="B50" s="0" t="s">
        <v>114</v>
      </c>
      <c r="C50" s="22" t="n">
        <v>400</v>
      </c>
      <c r="D50" s="6" t="str">
        <f aca="false">IF(A50="","",A50&amp;" - "&amp;B50)</f>
        <v>Nail polish - Gel polish</v>
      </c>
      <c r="E50" s="19" t="s">
        <v>57</v>
      </c>
      <c r="F50" s="23"/>
      <c r="G50" s="16" t="n">
        <f aca="false">IF($D50="","",SUMIF('Daily tracking'!$B$2:$B$2001,$D50,'Daily tracking'!$G$2:$G$2001))</f>
        <v>0</v>
      </c>
      <c r="H50" s="15" t="n">
        <f aca="false">IF($D50="","",COUNTIF('Daily tracking'!$B$2:$B$2001,$D50))</f>
        <v>0</v>
      </c>
      <c r="I50" s="9" t="n">
        <f aca="false">IF($D50="","",$H50*IF($F50="",0,$F50))</f>
        <v>0</v>
      </c>
      <c r="J50" s="13" t="n">
        <f aca="false">IF($D50="","",$G50-$I50)</f>
        <v>0</v>
      </c>
      <c r="K50" s="14" t="str">
        <f aca="false">IF(OR($D50="",$G50=0),"",$J50/$G50)</f>
        <v/>
      </c>
    </row>
    <row r="51" customFormat="false" ht="14.25" hidden="false" customHeight="false" outlineLevel="0" collapsed="false">
      <c r="A51" s="0" t="s">
        <v>29</v>
      </c>
      <c r="B51" s="0" t="s">
        <v>117</v>
      </c>
      <c r="C51" s="22" t="n">
        <v>500</v>
      </c>
      <c r="D51" s="6" t="str">
        <f aca="false">IF(A51="","",A51&amp;" - "&amp;B51)</f>
        <v>Nail polish - Cat eye</v>
      </c>
      <c r="E51" s="19" t="s">
        <v>57</v>
      </c>
      <c r="F51" s="23"/>
      <c r="G51" s="16" t="n">
        <f aca="false">IF($D51="","",SUMIF('Daily tracking'!$B$2:$B$2001,$D51,'Daily tracking'!$G$2:$G$2001))</f>
        <v>0</v>
      </c>
      <c r="H51" s="15" t="n">
        <f aca="false">IF($D51="","",COUNTIF('Daily tracking'!$B$2:$B$2001,$D51))</f>
        <v>0</v>
      </c>
      <c r="I51" s="9" t="n">
        <f aca="false">IF($D51="","",$H51*IF($F51="",0,$F51))</f>
        <v>0</v>
      </c>
      <c r="J51" s="13" t="n">
        <f aca="false">IF($D51="","",$G51-$I51)</f>
        <v>0</v>
      </c>
      <c r="K51" s="14" t="str">
        <f aca="false">IF(OR($D51="",$G51=0),"",$J51/$G51)</f>
        <v/>
      </c>
    </row>
    <row r="52" customFormat="false" ht="14.25" hidden="false" customHeight="false" outlineLevel="0" collapsed="false">
      <c r="A52" s="0" t="s">
        <v>29</v>
      </c>
      <c r="B52" s="0" t="s">
        <v>115</v>
      </c>
      <c r="C52" s="22" t="n">
        <v>700</v>
      </c>
      <c r="D52" s="6" t="str">
        <f aca="false">IF(A52="","",A52&amp;" - "&amp;B52)</f>
        <v>Nail polish - Gel polish + chrome</v>
      </c>
      <c r="E52" s="19" t="s">
        <v>57</v>
      </c>
      <c r="F52" s="23"/>
      <c r="G52" s="16" t="n">
        <f aca="false">IF($D52="","",SUMIF('Daily tracking'!$B$2:$B$2001,$D52,'Daily tracking'!$G$2:$G$2001))</f>
        <v>0</v>
      </c>
      <c r="H52" s="15" t="n">
        <f aca="false">IF($D52="","",COUNTIF('Daily tracking'!$B$2:$B$2001,$D52))</f>
        <v>0</v>
      </c>
      <c r="I52" s="9" t="n">
        <f aca="false">IF($D52="","",$H52*IF($F52="",0,$F52))</f>
        <v>0</v>
      </c>
      <c r="J52" s="13" t="n">
        <f aca="false">IF($D52="","",$G52-$I52)</f>
        <v>0</v>
      </c>
      <c r="K52" s="14" t="str">
        <f aca="false">IF(OR($D52="",$G52=0),"",$J52/$G52)</f>
        <v/>
      </c>
    </row>
    <row r="53" customFormat="false" ht="14.25" hidden="false" customHeight="false" outlineLevel="0" collapsed="false">
      <c r="A53" s="0" t="s">
        <v>29</v>
      </c>
      <c r="B53" s="0" t="s">
        <v>118</v>
      </c>
      <c r="C53" s="22" t="n">
        <v>300</v>
      </c>
      <c r="D53" s="6" t="str">
        <f aca="false">IF(A53="","",A53&amp;" - "&amp;B53)</f>
        <v>Nail polish - Cut + file + polish</v>
      </c>
      <c r="E53" s="19" t="s">
        <v>57</v>
      </c>
      <c r="F53" s="23"/>
      <c r="G53" s="16" t="n">
        <f aca="false">IF($D53="","",SUMIF('Daily tracking'!$B$2:$B$2001,$D53,'Daily tracking'!$G$2:$G$2001))</f>
        <v>0</v>
      </c>
      <c r="H53" s="15" t="n">
        <f aca="false">IF($D53="","",COUNTIF('Daily tracking'!$B$2:$B$2001,$D53))</f>
        <v>0</v>
      </c>
      <c r="I53" s="9" t="n">
        <f aca="false">IF($D53="","",$H53*IF($F53="",0,$F53))</f>
        <v>0</v>
      </c>
      <c r="J53" s="13" t="n">
        <f aca="false">IF($D53="","",$G53-$I53)</f>
        <v>0</v>
      </c>
      <c r="K53" s="14" t="str">
        <f aca="false">IF(OR($D53="",$G53=0),"",$J53/$G53)</f>
        <v/>
      </c>
    </row>
    <row r="54" customFormat="false" ht="14.25" hidden="false" customHeight="false" outlineLevel="0" collapsed="false">
      <c r="A54" s="0" t="s">
        <v>29</v>
      </c>
      <c r="B54" s="0" t="s">
        <v>119</v>
      </c>
      <c r="C54" s="22" t="n">
        <v>500</v>
      </c>
      <c r="D54" s="6" t="str">
        <f aca="false">IF(A54="","",A54&amp;" - "&amp;B54)</f>
        <v>Nail polish - Nail art</v>
      </c>
      <c r="E54" s="19" t="s">
        <v>57</v>
      </c>
      <c r="F54" s="23"/>
      <c r="G54" s="16" t="n">
        <f aca="false">IF($D54="","",SUMIF('Daily tracking'!$B$2:$B$2001,$D54,'Daily tracking'!$G$2:$G$2001))</f>
        <v>0</v>
      </c>
      <c r="H54" s="15" t="n">
        <f aca="false">IF($D54="","",COUNTIF('Daily tracking'!$B$2:$B$2001,$D54))</f>
        <v>0</v>
      </c>
      <c r="I54" s="9" t="n">
        <f aca="false">IF($D54="","",$H54*IF($F54="",0,$F54))</f>
        <v>0</v>
      </c>
      <c r="J54" s="13" t="n">
        <f aca="false">IF($D54="","",$G54-$I54)</f>
        <v>0</v>
      </c>
      <c r="K54" s="14" t="str">
        <f aca="false">IF(OR($D54="",$G54=0),"",$J54/$G54)</f>
        <v/>
      </c>
    </row>
    <row r="55" customFormat="false" ht="14.25" hidden="false" customHeight="false" outlineLevel="0" collapsed="false">
      <c r="A55" s="0" t="s">
        <v>31</v>
      </c>
      <c r="B55" s="0" t="s">
        <v>120</v>
      </c>
      <c r="C55" s="22" t="n">
        <v>550</v>
      </c>
      <c r="D55" s="6" t="str">
        <f aca="false">IF(A55="","",A55&amp;" - "&amp;B55)</f>
        <v>Hair - Hair cut</v>
      </c>
      <c r="E55" s="19" t="s">
        <v>57</v>
      </c>
      <c r="F55" s="23"/>
      <c r="G55" s="16" t="n">
        <f aca="false">IF($D55="","",SUMIF('Daily tracking'!$B$2:$B$2001,$D55,'Daily tracking'!$G$2:$G$2001))</f>
        <v>0</v>
      </c>
      <c r="H55" s="15" t="n">
        <f aca="false">IF($D55="","",COUNTIF('Daily tracking'!$B$2:$B$2001,$D55))</f>
        <v>0</v>
      </c>
      <c r="I55" s="9" t="n">
        <f aca="false">IF($D55="","",$H55*IF($F55="",0,$F55))</f>
        <v>0</v>
      </c>
      <c r="J55" s="13" t="n">
        <f aca="false">IF($D55="","",$G55-$I55)</f>
        <v>0</v>
      </c>
      <c r="K55" s="14" t="str">
        <f aca="false">IF(OR($D55="",$G55=0),"",$J55/$G55)</f>
        <v/>
      </c>
    </row>
    <row r="56" customFormat="false" ht="14.25" hidden="false" customHeight="false" outlineLevel="0" collapsed="false">
      <c r="A56" s="0" t="s">
        <v>31</v>
      </c>
      <c r="B56" s="0" t="s">
        <v>121</v>
      </c>
      <c r="C56" s="22" t="n">
        <v>300</v>
      </c>
      <c r="D56" s="6" t="str">
        <f aca="false">IF(A56="","",A56&amp;" - "&amp;B56)</f>
        <v>Hair - Hair cut - kid</v>
      </c>
      <c r="E56" s="19" t="s">
        <v>57</v>
      </c>
      <c r="F56" s="23"/>
      <c r="G56" s="16" t="n">
        <f aca="false">IF($D56="","",SUMIF('Daily tracking'!$B$2:$B$2001,$D56,'Daily tracking'!$G$2:$G$2001))</f>
        <v>0</v>
      </c>
      <c r="H56" s="15" t="n">
        <f aca="false">IF($D56="","",COUNTIF('Daily tracking'!$B$2:$B$2001,$D56))</f>
        <v>0</v>
      </c>
      <c r="I56" s="9" t="n">
        <f aca="false">IF($D56="","",$H56*IF($F56="",0,$F56))</f>
        <v>0</v>
      </c>
      <c r="J56" s="13" t="n">
        <f aca="false">IF($D56="","",$G56-$I56)</f>
        <v>0</v>
      </c>
      <c r="K56" s="14" t="str">
        <f aca="false">IF(OR($D56="",$G56=0),"",$J56/$G56)</f>
        <v/>
      </c>
    </row>
    <row r="57" customFormat="false" ht="14.25" hidden="false" customHeight="false" outlineLevel="0" collapsed="false">
      <c r="A57" s="0" t="s">
        <v>31</v>
      </c>
      <c r="B57" s="0" t="s">
        <v>122</v>
      </c>
      <c r="C57" s="22" t="n">
        <v>400</v>
      </c>
      <c r="D57" s="6" t="str">
        <f aca="false">IF(A57="","",A57&amp;" - "&amp;B57)</f>
        <v>Hair - Hair oil massage</v>
      </c>
      <c r="E57" s="19" t="s">
        <v>57</v>
      </c>
      <c r="F57" s="23"/>
      <c r="G57" s="16" t="n">
        <f aca="false">IF($D57="","",SUMIF('Daily tracking'!$B$2:$B$2001,$D57,'Daily tracking'!$G$2:$G$2001))</f>
        <v>0</v>
      </c>
      <c r="H57" s="15" t="n">
        <f aca="false">IF($D57="","",COUNTIF('Daily tracking'!$B$2:$B$2001,$D57))</f>
        <v>0</v>
      </c>
      <c r="I57" s="9" t="n">
        <f aca="false">IF($D57="","",$H57*IF($F57="",0,$F57))</f>
        <v>0</v>
      </c>
      <c r="J57" s="13" t="n">
        <f aca="false">IF($D57="","",$G57-$I57)</f>
        <v>0</v>
      </c>
      <c r="K57" s="14" t="str">
        <f aca="false">IF(OR($D57="",$G57=0),"",$J57/$G57)</f>
        <v/>
      </c>
    </row>
    <row r="58" customFormat="false" ht="14.25" hidden="false" customHeight="false" outlineLevel="0" collapsed="false">
      <c r="A58" s="0" t="s">
        <v>31</v>
      </c>
      <c r="B58" s="0" t="s">
        <v>123</v>
      </c>
      <c r="C58" s="22" t="n">
        <v>550</v>
      </c>
      <c r="D58" s="6" t="str">
        <f aca="false">IF(A58="","",A58&amp;" - "&amp;B58)</f>
        <v>Hair - Wash &amp; blow dry</v>
      </c>
      <c r="E58" s="19" t="s">
        <v>57</v>
      </c>
      <c r="F58" s="23"/>
      <c r="G58" s="16" t="n">
        <f aca="false">IF($D58="","",SUMIF('Daily tracking'!$B$2:$B$2001,$D58,'Daily tracking'!$G$2:$G$2001))</f>
        <v>0</v>
      </c>
      <c r="H58" s="15" t="n">
        <f aca="false">IF($D58="","",COUNTIF('Daily tracking'!$B$2:$B$2001,$D58))</f>
        <v>0</v>
      </c>
      <c r="I58" s="9" t="n">
        <f aca="false">IF($D58="","",$H58*IF($F58="",0,$F58))</f>
        <v>0</v>
      </c>
      <c r="J58" s="13" t="n">
        <f aca="false">IF($D58="","",$G58-$I58)</f>
        <v>0</v>
      </c>
      <c r="K58" s="14" t="str">
        <f aca="false">IF(OR($D58="",$G58=0),"",$J58/$G58)</f>
        <v/>
      </c>
    </row>
    <row r="59" customFormat="false" ht="14.25" hidden="false" customHeight="false" outlineLevel="0" collapsed="false">
      <c r="A59" s="0" t="s">
        <v>31</v>
      </c>
      <c r="B59" s="0" t="s">
        <v>124</v>
      </c>
      <c r="C59" s="22" t="n">
        <v>500</v>
      </c>
      <c r="D59" s="6" t="str">
        <f aca="false">IF(A59="","",A59&amp;" - "&amp;B59)</f>
        <v>Hair - Ironing</v>
      </c>
      <c r="E59" s="19" t="s">
        <v>57</v>
      </c>
      <c r="F59" s="23"/>
      <c r="G59" s="16" t="n">
        <f aca="false">IF($D59="","",SUMIF('Daily tracking'!$B$2:$B$2001,$D59,'Daily tracking'!$G$2:$G$2001))</f>
        <v>0</v>
      </c>
      <c r="H59" s="15" t="n">
        <f aca="false">IF($D59="","",COUNTIF('Daily tracking'!$B$2:$B$2001,$D59))</f>
        <v>0</v>
      </c>
      <c r="I59" s="9" t="n">
        <f aca="false">IF($D59="","",$H59*IF($F59="",0,$F59))</f>
        <v>0</v>
      </c>
      <c r="J59" s="13" t="n">
        <f aca="false">IF($D59="","",$G59-$I59)</f>
        <v>0</v>
      </c>
      <c r="K59" s="14" t="str">
        <f aca="false">IF(OR($D59="",$G59=0),"",$J59/$G59)</f>
        <v/>
      </c>
    </row>
    <row r="60" customFormat="false" ht="14.25" hidden="false" customHeight="false" outlineLevel="0" collapsed="false">
      <c r="A60" s="0" t="s">
        <v>31</v>
      </c>
      <c r="B60" s="0" t="s">
        <v>125</v>
      </c>
      <c r="C60" s="22" t="n">
        <v>500</v>
      </c>
      <c r="D60" s="6" t="str">
        <f aca="false">IF(A60="","",A60&amp;" - "&amp;B60)</f>
        <v>Hair - Curling</v>
      </c>
      <c r="E60" s="19" t="s">
        <v>57</v>
      </c>
      <c r="F60" s="23"/>
      <c r="G60" s="16" t="n">
        <f aca="false">IF($D60="","",SUMIF('Daily tracking'!$B$2:$B$2001,$D60,'Daily tracking'!$G$2:$G$2001))</f>
        <v>0</v>
      </c>
      <c r="H60" s="15" t="n">
        <f aca="false">IF($D60="","",COUNTIF('Daily tracking'!$B$2:$B$2001,$D60))</f>
        <v>0</v>
      </c>
      <c r="I60" s="9" t="n">
        <f aca="false">IF($D60="","",$H60*IF($F60="",0,$F60))</f>
        <v>0</v>
      </c>
      <c r="J60" s="13" t="n">
        <f aca="false">IF($D60="","",$G60-$I60)</f>
        <v>0</v>
      </c>
      <c r="K60" s="14" t="str">
        <f aca="false">IF(OR($D60="",$G60=0),"",$J60/$G60)</f>
        <v/>
      </c>
    </row>
    <row r="61" customFormat="false" ht="14.25" hidden="false" customHeight="false" outlineLevel="0" collapsed="false">
      <c r="A61" s="0" t="s">
        <v>31</v>
      </c>
      <c r="B61" s="0" t="s">
        <v>126</v>
      </c>
      <c r="C61" s="22" t="n">
        <v>1299</v>
      </c>
      <c r="D61" s="6" t="str">
        <f aca="false">IF(A61="","",A61&amp;" - "&amp;B61)</f>
        <v>Hair - Dandruff care</v>
      </c>
      <c r="E61" s="19" t="s">
        <v>57</v>
      </c>
      <c r="F61" s="23"/>
      <c r="G61" s="16" t="n">
        <f aca="false">IF($D61="","",SUMIF('Daily tracking'!$B$2:$B$2001,$D61,'Daily tracking'!$G$2:$G$2001))</f>
        <v>0</v>
      </c>
      <c r="H61" s="15" t="n">
        <f aca="false">IF($D61="","",COUNTIF('Daily tracking'!$B$2:$B$2001,$D61))</f>
        <v>0</v>
      </c>
      <c r="I61" s="9" t="n">
        <f aca="false">IF($D61="","",$H61*IF($F61="",0,$F61))</f>
        <v>0</v>
      </c>
      <c r="J61" s="13" t="n">
        <f aca="false">IF($D61="","",$G61-$I61)</f>
        <v>0</v>
      </c>
      <c r="K61" s="14" t="str">
        <f aca="false">IF(OR($D61="",$G61=0),"",$J61/$G61)</f>
        <v/>
      </c>
    </row>
    <row r="62" customFormat="false" ht="14.25" hidden="false" customHeight="false" outlineLevel="0" collapsed="false">
      <c r="A62" s="0" t="s">
        <v>31</v>
      </c>
      <c r="B62" s="0" t="s">
        <v>127</v>
      </c>
      <c r="C62" s="22" t="n">
        <v>1299</v>
      </c>
      <c r="D62" s="6" t="str">
        <f aca="false">IF(A62="","",A62&amp;" - "&amp;B62)</f>
        <v>Hair - Hydra Bliss</v>
      </c>
      <c r="E62" s="19" t="s">
        <v>57</v>
      </c>
      <c r="F62" s="23"/>
      <c r="G62" s="16" t="n">
        <f aca="false">IF($D62="","",SUMIF('Daily tracking'!$B$2:$B$2001,$D62,'Daily tracking'!$G$2:$G$2001))</f>
        <v>0</v>
      </c>
      <c r="H62" s="15" t="n">
        <f aca="false">IF($D62="","",COUNTIF('Daily tracking'!$B$2:$B$2001,$D62))</f>
        <v>0</v>
      </c>
      <c r="I62" s="9" t="n">
        <f aca="false">IF($D62="","",$H62*IF($F62="",0,$F62))</f>
        <v>0</v>
      </c>
      <c r="J62" s="13" t="n">
        <f aca="false">IF($D62="","",$G62-$I62)</f>
        <v>0</v>
      </c>
      <c r="K62" s="14" t="str">
        <f aca="false">IF(OR($D62="",$G62=0),"",$J62/$G62)</f>
        <v/>
      </c>
    </row>
    <row r="63" customFormat="false" ht="14.25" hidden="false" customHeight="false" outlineLevel="0" collapsed="false">
      <c r="A63" s="0" t="s">
        <v>31</v>
      </c>
      <c r="B63" s="0" t="s">
        <v>128</v>
      </c>
      <c r="C63" s="22" t="n">
        <v>1499</v>
      </c>
      <c r="D63" s="6" t="str">
        <f aca="false">IF(A63="","",A63&amp;" - "&amp;B63)</f>
        <v>Hair - Moisture rebirth</v>
      </c>
      <c r="E63" s="19" t="s">
        <v>57</v>
      </c>
      <c r="F63" s="23"/>
      <c r="G63" s="16" t="n">
        <f aca="false">IF($D63="","",SUMIF('Daily tracking'!$B$2:$B$2001,$D63,'Daily tracking'!$G$2:$G$2001))</f>
        <v>0</v>
      </c>
      <c r="H63" s="15" t="n">
        <f aca="false">IF($D63="","",COUNTIF('Daily tracking'!$B$2:$B$2001,$D63))</f>
        <v>0</v>
      </c>
      <c r="I63" s="9" t="n">
        <f aca="false">IF($D63="","",$H63*IF($F63="",0,$F63))</f>
        <v>0</v>
      </c>
      <c r="J63" s="13" t="n">
        <f aca="false">IF($D63="","",$G63-$I63)</f>
        <v>0</v>
      </c>
      <c r="K63" s="14" t="str">
        <f aca="false">IF(OR($D63="",$G63=0),"",$J63/$G63)</f>
        <v/>
      </c>
    </row>
    <row r="64" customFormat="false" ht="14.25" hidden="false" customHeight="false" outlineLevel="0" collapsed="false">
      <c r="A64" s="0" t="s">
        <v>33</v>
      </c>
      <c r="B64" s="0" t="s">
        <v>129</v>
      </c>
      <c r="C64" s="22" t="n">
        <v>3000</v>
      </c>
      <c r="D64" s="6" t="str">
        <f aca="false">IF(A64="","",A64&amp;" - "&amp;B64)</f>
        <v>Hair treatment - Straightening</v>
      </c>
      <c r="E64" s="19" t="s">
        <v>57</v>
      </c>
      <c r="F64" s="23"/>
      <c r="G64" s="16" t="n">
        <f aca="false">IF($D64="","",SUMIF('Daily tracking'!$B$2:$B$2001,$D64,'Daily tracking'!$G$2:$G$2001))</f>
        <v>0</v>
      </c>
      <c r="H64" s="15" t="n">
        <f aca="false">IF($D64="","",COUNTIF('Daily tracking'!$B$2:$B$2001,$D64))</f>
        <v>0</v>
      </c>
      <c r="I64" s="9" t="n">
        <f aca="false">IF($D64="","",$H64*IF($F64="",0,$F64))</f>
        <v>0</v>
      </c>
      <c r="J64" s="13" t="n">
        <f aca="false">IF($D64="","",$G64-$I64)</f>
        <v>0</v>
      </c>
      <c r="K64" s="14" t="str">
        <f aca="false">IF(OR($D64="",$G64=0),"",$J64/$G64)</f>
        <v/>
      </c>
    </row>
    <row r="65" customFormat="false" ht="14.25" hidden="false" customHeight="false" outlineLevel="0" collapsed="false">
      <c r="A65" s="0" t="s">
        <v>33</v>
      </c>
      <c r="B65" s="0" t="s">
        <v>130</v>
      </c>
      <c r="C65" s="22" t="n">
        <v>3500</v>
      </c>
      <c r="D65" s="6" t="str">
        <f aca="false">IF(A65="","",A65&amp;" - "&amp;B65)</f>
        <v>Hair treatment - Smoothening</v>
      </c>
      <c r="E65" s="19" t="s">
        <v>57</v>
      </c>
      <c r="F65" s="23"/>
      <c r="G65" s="16" t="n">
        <f aca="false">IF($D65="","",SUMIF('Daily tracking'!$B$2:$B$2001,$D65,'Daily tracking'!$G$2:$G$2001))</f>
        <v>0</v>
      </c>
      <c r="H65" s="15" t="n">
        <f aca="false">IF($D65="","",COUNTIF('Daily tracking'!$B$2:$B$2001,$D65))</f>
        <v>0</v>
      </c>
      <c r="I65" s="9" t="n">
        <f aca="false">IF($D65="","",$H65*IF($F65="",0,$F65))</f>
        <v>0</v>
      </c>
      <c r="J65" s="13" t="n">
        <f aca="false">IF($D65="","",$G65-$I65)</f>
        <v>0</v>
      </c>
      <c r="K65" s="14" t="str">
        <f aca="false">IF(OR($D65="",$G65=0),"",$J65/$G65)</f>
        <v/>
      </c>
    </row>
    <row r="66" customFormat="false" ht="14.25" hidden="false" customHeight="false" outlineLevel="0" collapsed="false">
      <c r="A66" s="0" t="s">
        <v>33</v>
      </c>
      <c r="B66" s="0" t="s">
        <v>131</v>
      </c>
      <c r="C66" s="22" t="n">
        <v>4999</v>
      </c>
      <c r="D66" s="6" t="str">
        <f aca="false">IF(A66="","",A66&amp;" - "&amp;B66)</f>
        <v>Hair treatment - Botox</v>
      </c>
      <c r="E66" s="19" t="s">
        <v>57</v>
      </c>
      <c r="F66" s="23"/>
      <c r="G66" s="16" t="n">
        <f aca="false">IF($D66="","",SUMIF('Daily tracking'!$B$2:$B$2001,$D66,'Daily tracking'!$G$2:$G$2001))</f>
        <v>0</v>
      </c>
      <c r="H66" s="15" t="n">
        <f aca="false">IF($D66="","",COUNTIF('Daily tracking'!$B$2:$B$2001,$D66))</f>
        <v>0</v>
      </c>
      <c r="I66" s="9" t="n">
        <f aca="false">IF($D66="","",$H66*IF($F66="",0,$F66))</f>
        <v>0</v>
      </c>
      <c r="J66" s="13" t="n">
        <f aca="false">IF($D66="","",$G66-$I66)</f>
        <v>0</v>
      </c>
      <c r="K66" s="14" t="str">
        <f aca="false">IF(OR($D66="",$G66=0),"",$J66/$G66)</f>
        <v/>
      </c>
    </row>
    <row r="67" customFormat="false" ht="14.25" hidden="false" customHeight="false" outlineLevel="0" collapsed="false">
      <c r="A67" s="0" t="s">
        <v>33</v>
      </c>
      <c r="B67" s="0" t="s">
        <v>132</v>
      </c>
      <c r="C67" s="22" t="n">
        <v>5999</v>
      </c>
      <c r="D67" s="6" t="str">
        <f aca="false">IF(A67="","",A67&amp;" - "&amp;B67)</f>
        <v>Hair treatment - Nanoplasty</v>
      </c>
      <c r="E67" s="19" t="s">
        <v>57</v>
      </c>
      <c r="F67" s="23"/>
      <c r="G67" s="16" t="n">
        <f aca="false">IF($D67="","",SUMIF('Daily tracking'!$B$2:$B$2001,$D67,'Daily tracking'!$G$2:$G$2001))</f>
        <v>0</v>
      </c>
      <c r="H67" s="15" t="n">
        <f aca="false">IF($D67="","",COUNTIF('Daily tracking'!$B$2:$B$2001,$D67))</f>
        <v>0</v>
      </c>
      <c r="I67" s="9" t="n">
        <f aca="false">IF($D67="","",$H67*IF($F67="",0,$F67))</f>
        <v>0</v>
      </c>
      <c r="J67" s="13" t="n">
        <f aca="false">IF($D67="","",$G67-$I67)</f>
        <v>0</v>
      </c>
      <c r="K67" s="14" t="str">
        <f aca="false">IF(OR($D67="",$G67=0),"",$J67/$G67)</f>
        <v/>
      </c>
    </row>
    <row r="68" customFormat="false" ht="14.25" hidden="false" customHeight="false" outlineLevel="0" collapsed="false">
      <c r="A68" s="0" t="s">
        <v>34</v>
      </c>
      <c r="B68" s="0" t="s">
        <v>133</v>
      </c>
      <c r="C68" s="22" t="n">
        <v>1000</v>
      </c>
      <c r="D68" s="6" t="str">
        <f aca="false">IF(A68="","",A68&amp;" - "&amp;B68)</f>
        <v>Hair color - Root touch up - streax</v>
      </c>
      <c r="E68" s="19" t="s">
        <v>57</v>
      </c>
      <c r="F68" s="23"/>
      <c r="G68" s="16" t="n">
        <f aca="false">IF($D68="","",SUMIF('Daily tracking'!$B$2:$B$2001,$D68,'Daily tracking'!$G$2:$G$2001))</f>
        <v>0</v>
      </c>
      <c r="H68" s="15" t="n">
        <f aca="false">IF($D68="","",COUNTIF('Daily tracking'!$B$2:$B$2001,$D68))</f>
        <v>0</v>
      </c>
      <c r="I68" s="9" t="n">
        <f aca="false">IF($D68="","",$H68*IF($F68="",0,$F68))</f>
        <v>0</v>
      </c>
      <c r="J68" s="13" t="n">
        <f aca="false">IF($D68="","",$G68-$I68)</f>
        <v>0</v>
      </c>
      <c r="K68" s="14" t="str">
        <f aca="false">IF(OR($D68="",$G68=0),"",$J68/$G68)</f>
        <v/>
      </c>
    </row>
    <row r="69" customFormat="false" ht="14.25" hidden="false" customHeight="false" outlineLevel="0" collapsed="false">
      <c r="A69" s="0" t="s">
        <v>34</v>
      </c>
      <c r="B69" s="0" t="s">
        <v>134</v>
      </c>
      <c r="C69" s="22" t="n">
        <v>1200</v>
      </c>
      <c r="D69" s="6" t="str">
        <f aca="false">IF(A69="","",A69&amp;" - "&amp;B69)</f>
        <v>Hair color - Root touch up - Loreal</v>
      </c>
      <c r="E69" s="19" t="s">
        <v>57</v>
      </c>
      <c r="F69" s="23"/>
      <c r="G69" s="16" t="n">
        <f aca="false">IF($D69="","",SUMIF('Daily tracking'!$B$2:$B$2001,$D69,'Daily tracking'!$G$2:$G$2001))</f>
        <v>0</v>
      </c>
      <c r="H69" s="15" t="n">
        <f aca="false">IF($D69="","",COUNTIF('Daily tracking'!$B$2:$B$2001,$D69))</f>
        <v>0</v>
      </c>
      <c r="I69" s="9" t="n">
        <f aca="false">IF($D69="","",$H69*IF($F69="",0,$F69))</f>
        <v>0</v>
      </c>
      <c r="J69" s="13" t="n">
        <f aca="false">IF($D69="","",$G69-$I69)</f>
        <v>0</v>
      </c>
      <c r="K69" s="14" t="str">
        <f aca="false">IF(OR($D69="",$G69=0),"",$J69/$G69)</f>
        <v/>
      </c>
    </row>
    <row r="70" customFormat="false" ht="14.25" hidden="false" customHeight="false" outlineLevel="0" collapsed="false">
      <c r="A70" s="0" t="s">
        <v>34</v>
      </c>
      <c r="B70" s="0" t="s">
        <v>135</v>
      </c>
      <c r="C70" s="22" t="n">
        <v>1400</v>
      </c>
      <c r="D70" s="6" t="str">
        <f aca="false">IF(A70="","",A70&amp;" - "&amp;B70)</f>
        <v>Hair color - Root touch up - SKP</v>
      </c>
      <c r="E70" s="19" t="s">
        <v>57</v>
      </c>
      <c r="F70" s="23"/>
      <c r="G70" s="16" t="n">
        <f aca="false">IF($D70="","",SUMIF('Daily tracking'!$B$2:$B$2001,$D70,'Daily tracking'!$G$2:$G$2001))</f>
        <v>0</v>
      </c>
      <c r="H70" s="15" t="n">
        <f aca="false">IF($D70="","",COUNTIF('Daily tracking'!$B$2:$B$2001,$D70))</f>
        <v>0</v>
      </c>
      <c r="I70" s="9" t="n">
        <f aca="false">IF($D70="","",$H70*IF($F70="",0,$F70))</f>
        <v>0</v>
      </c>
      <c r="J70" s="13" t="n">
        <f aca="false">IF($D70="","",$G70-$I70)</f>
        <v>0</v>
      </c>
      <c r="K70" s="14" t="str">
        <f aca="false">IF(OR($D70="",$G70=0),"",$J70/$G70)</f>
        <v/>
      </c>
    </row>
    <row r="71" customFormat="false" ht="14.25" hidden="false" customHeight="false" outlineLevel="0" collapsed="false">
      <c r="A71" s="0" t="s">
        <v>34</v>
      </c>
      <c r="B71" s="0" t="s">
        <v>136</v>
      </c>
      <c r="C71" s="22" t="n">
        <v>2500</v>
      </c>
      <c r="D71" s="6" t="str">
        <f aca="false">IF(A71="","",A71&amp;" - "&amp;B71)</f>
        <v>Hair color - Global</v>
      </c>
      <c r="E71" s="19" t="s">
        <v>57</v>
      </c>
      <c r="F71" s="23"/>
      <c r="G71" s="16" t="n">
        <f aca="false">IF($D71="","",SUMIF('Daily tracking'!$B$2:$B$2001,$D71,'Daily tracking'!$G$2:$G$2001))</f>
        <v>0</v>
      </c>
      <c r="H71" s="15" t="n">
        <f aca="false">IF($D71="","",COUNTIF('Daily tracking'!$B$2:$B$2001,$D71))</f>
        <v>0</v>
      </c>
      <c r="I71" s="9" t="n">
        <f aca="false">IF($D71="","",$H71*IF($F71="",0,$F71))</f>
        <v>0</v>
      </c>
      <c r="J71" s="13" t="n">
        <f aca="false">IF($D71="","",$G71-$I71)</f>
        <v>0</v>
      </c>
      <c r="K71" s="14" t="str">
        <f aca="false">IF(OR($D71="",$G71=0),"",$J71/$G71)</f>
        <v/>
      </c>
    </row>
    <row r="72" customFormat="false" ht="14.25" hidden="false" customHeight="false" outlineLevel="0" collapsed="false">
      <c r="A72" s="0" t="s">
        <v>34</v>
      </c>
      <c r="B72" s="0" t="s">
        <v>137</v>
      </c>
      <c r="C72" s="22" t="n">
        <v>6499</v>
      </c>
      <c r="D72" s="6" t="str">
        <f aca="false">IF(A72="","",A72&amp;" - "&amp;B72)</f>
        <v>Hair color - Balayage/Ombre</v>
      </c>
      <c r="E72" s="19" t="s">
        <v>57</v>
      </c>
      <c r="F72" s="23"/>
      <c r="G72" s="16" t="n">
        <f aca="false">IF($D72="","",SUMIF('Daily tracking'!$B$2:$B$2001,$D72,'Daily tracking'!$G$2:$G$2001))</f>
        <v>0</v>
      </c>
      <c r="H72" s="15" t="n">
        <f aca="false">IF($D72="","",COUNTIF('Daily tracking'!$B$2:$B$2001,$D72))</f>
        <v>0</v>
      </c>
      <c r="I72" s="9" t="n">
        <f aca="false">IF($D72="","",$H72*IF($F72="",0,$F72))</f>
        <v>0</v>
      </c>
      <c r="J72" s="13" t="n">
        <f aca="false">IF($D72="","",$G72-$I72)</f>
        <v>0</v>
      </c>
      <c r="K72" s="14" t="str">
        <f aca="false">IF(OR($D72="",$G72=0),"",$J72/$G72)</f>
        <v/>
      </c>
    </row>
    <row r="73" customFormat="false" ht="14.25" hidden="false" customHeight="false" outlineLevel="0" collapsed="false">
      <c r="A73" s="0" t="s">
        <v>34</v>
      </c>
      <c r="B73" s="0" t="s">
        <v>138</v>
      </c>
      <c r="C73" s="22" t="n">
        <v>250</v>
      </c>
      <c r="D73" s="6" t="str">
        <f aca="false">IF(A73="","",A73&amp;" - "&amp;B73)</f>
        <v>Hair color - Highlights/streak</v>
      </c>
      <c r="E73" s="19" t="s">
        <v>57</v>
      </c>
      <c r="F73" s="23"/>
      <c r="G73" s="16" t="n">
        <f aca="false">IF($D73="","",SUMIF('Daily tracking'!$B$2:$B$2001,$D73,'Daily tracking'!$G$2:$G$2001))</f>
        <v>0</v>
      </c>
      <c r="H73" s="15" t="n">
        <f aca="false">IF($D73="","",COUNTIF('Daily tracking'!$B$2:$B$2001,$D73))</f>
        <v>0</v>
      </c>
      <c r="I73" s="9" t="n">
        <f aca="false">IF($D73="","",$H73*IF($F73="",0,$F73))</f>
        <v>0</v>
      </c>
      <c r="J73" s="13" t="n">
        <f aca="false">IF($D73="","",$G73-$I73)</f>
        <v>0</v>
      </c>
      <c r="K73" s="14" t="str">
        <f aca="false">IF(OR($D73="",$G73=0),"",$J73/$G73)</f>
        <v/>
      </c>
    </row>
    <row r="74" customFormat="false" ht="14.25" hidden="false" customHeight="false" outlineLevel="0" collapsed="false">
      <c r="A74" s="0" t="s">
        <v>34</v>
      </c>
      <c r="B74" s="0" t="s">
        <v>139</v>
      </c>
      <c r="C74" s="22" t="n">
        <v>3899</v>
      </c>
      <c r="D74" s="6" t="str">
        <f aca="false">IF(A74="","",A74&amp;" - "&amp;B74)</f>
        <v>Hair color - Global highlights</v>
      </c>
      <c r="E74" s="19" t="s">
        <v>57</v>
      </c>
      <c r="F74" s="23"/>
      <c r="G74" s="16" t="n">
        <f aca="false">IF($D74="","",SUMIF('Daily tracking'!$B$2:$B$2001,$D74,'Daily tracking'!$G$2:$G$2001))</f>
        <v>0</v>
      </c>
      <c r="H74" s="15" t="n">
        <f aca="false">IF($D74="","",COUNTIF('Daily tracking'!$B$2:$B$2001,$D74))</f>
        <v>0</v>
      </c>
      <c r="I74" s="9" t="n">
        <f aca="false">IF($D74="","",$H74*IF($F74="",0,$F74))</f>
        <v>0</v>
      </c>
      <c r="J74" s="13" t="n">
        <f aca="false">IF($D74="","",$G74-$I74)</f>
        <v>0</v>
      </c>
      <c r="K74" s="14" t="str">
        <f aca="false">IF(OR($D74="",$G74=0),"",$J74/$G74)</f>
        <v/>
      </c>
    </row>
    <row r="75" customFormat="false" ht="14.25" hidden="false" customHeight="false" outlineLevel="0" collapsed="false">
      <c r="A75" s="0" t="s">
        <v>36</v>
      </c>
      <c r="B75" s="0" t="s">
        <v>140</v>
      </c>
      <c r="C75" s="22" t="n">
        <v>600</v>
      </c>
      <c r="D75" s="6" t="str">
        <f aca="false">IF(A75="","",A75&amp;" - "&amp;B75)</f>
        <v>Facial - Clean up - Lotus</v>
      </c>
      <c r="E75" s="19" t="s">
        <v>57</v>
      </c>
      <c r="F75" s="23"/>
      <c r="G75" s="16" t="n">
        <f aca="false">IF($D75="","",SUMIF('Daily tracking'!$B$2:$B$2001,$D75,'Daily tracking'!$G$2:$G$2001))</f>
        <v>0</v>
      </c>
      <c r="H75" s="15" t="n">
        <f aca="false">IF($D75="","",COUNTIF('Daily tracking'!$B$2:$B$2001,$D75))</f>
        <v>0</v>
      </c>
      <c r="I75" s="9" t="n">
        <f aca="false">IF($D75="","",$H75*IF($F75="",0,$F75))</f>
        <v>0</v>
      </c>
      <c r="J75" s="13" t="n">
        <f aca="false">IF($D75="","",$G75-$I75)</f>
        <v>0</v>
      </c>
      <c r="K75" s="14" t="str">
        <f aca="false">IF(OR($D75="",$G75=0),"",$J75/$G75)</f>
        <v/>
      </c>
    </row>
    <row r="76" customFormat="false" ht="14.25" hidden="false" customHeight="false" outlineLevel="0" collapsed="false">
      <c r="A76" s="0" t="s">
        <v>36</v>
      </c>
      <c r="B76" s="0" t="s">
        <v>141</v>
      </c>
      <c r="C76" s="22" t="n">
        <v>500</v>
      </c>
      <c r="D76" s="6" t="str">
        <f aca="false">IF(A76="","",A76&amp;" - "&amp;B76)</f>
        <v>Facial - Clean up - Raga</v>
      </c>
      <c r="E76" s="19" t="s">
        <v>57</v>
      </c>
      <c r="F76" s="23"/>
      <c r="G76" s="16" t="n">
        <f aca="false">IF($D76="","",SUMIF('Daily tracking'!$B$2:$B$2001,$D76,'Daily tracking'!$G$2:$G$2001))</f>
        <v>0</v>
      </c>
      <c r="H76" s="15" t="n">
        <f aca="false">IF($D76="","",COUNTIF('Daily tracking'!$B$2:$B$2001,$D76))</f>
        <v>0</v>
      </c>
      <c r="I76" s="9" t="n">
        <f aca="false">IF($D76="","",$H76*IF($F76="",0,$F76))</f>
        <v>0</v>
      </c>
      <c r="J76" s="13" t="n">
        <f aca="false">IF($D76="","",$G76-$I76)</f>
        <v>0</v>
      </c>
      <c r="K76" s="14" t="str">
        <f aca="false">IF(OR($D76="",$G76=0),"",$J76/$G76)</f>
        <v/>
      </c>
    </row>
    <row r="77" customFormat="false" ht="14.25" hidden="false" customHeight="false" outlineLevel="0" collapsed="false">
      <c r="A77" s="0" t="s">
        <v>36</v>
      </c>
      <c r="B77" s="0" t="s">
        <v>142</v>
      </c>
      <c r="C77" s="22" t="n">
        <v>350</v>
      </c>
      <c r="D77" s="6" t="str">
        <f aca="false">IF(A77="","",A77&amp;" - "&amp;B77)</f>
        <v>Facial - Detan</v>
      </c>
      <c r="E77" s="19" t="s">
        <v>57</v>
      </c>
      <c r="F77" s="23"/>
      <c r="G77" s="16" t="n">
        <f aca="false">IF($D77="","",SUMIF('Daily tracking'!$B$2:$B$2001,$D77,'Daily tracking'!$G$2:$G$2001))</f>
        <v>0</v>
      </c>
      <c r="H77" s="15" t="n">
        <f aca="false">IF($D77="","",COUNTIF('Daily tracking'!$B$2:$B$2001,$D77))</f>
        <v>0</v>
      </c>
      <c r="I77" s="9" t="n">
        <f aca="false">IF($D77="","",$H77*IF($F77="",0,$F77))</f>
        <v>0</v>
      </c>
      <c r="J77" s="13" t="n">
        <f aca="false">IF($D77="","",$G77-$I77)</f>
        <v>0</v>
      </c>
      <c r="K77" s="14" t="str">
        <f aca="false">IF(OR($D77="",$G77=0),"",$J77/$G77)</f>
        <v/>
      </c>
    </row>
    <row r="78" customFormat="false" ht="14.25" hidden="false" customHeight="false" outlineLevel="0" collapsed="false">
      <c r="A78" s="0" t="s">
        <v>36</v>
      </c>
      <c r="B78" s="0" t="s">
        <v>143</v>
      </c>
      <c r="C78" s="22" t="n">
        <v>800</v>
      </c>
      <c r="D78" s="6" t="str">
        <f aca="false">IF(A78="","",A78&amp;" - "&amp;B78)</f>
        <v>Facial - Raga</v>
      </c>
      <c r="E78" s="19" t="s">
        <v>57</v>
      </c>
      <c r="F78" s="23"/>
      <c r="G78" s="16" t="n">
        <f aca="false">IF($D78="","",SUMIF('Daily tracking'!$B$2:$B$2001,$D78,'Daily tracking'!$G$2:$G$2001))</f>
        <v>0</v>
      </c>
      <c r="H78" s="15" t="n">
        <f aca="false">IF($D78="","",COUNTIF('Daily tracking'!$B$2:$B$2001,$D78))</f>
        <v>0</v>
      </c>
      <c r="I78" s="9" t="n">
        <f aca="false">IF($D78="","",$H78*IF($F78="",0,$F78))</f>
        <v>0</v>
      </c>
      <c r="J78" s="13" t="n">
        <f aca="false">IF($D78="","",$G78-$I78)</f>
        <v>0</v>
      </c>
      <c r="K78" s="14" t="str">
        <f aca="false">IF(OR($D78="",$G78=0),"",$J78/$G78)</f>
        <v/>
      </c>
    </row>
    <row r="79" customFormat="false" ht="14.25" hidden="false" customHeight="false" outlineLevel="0" collapsed="false">
      <c r="A79" s="0" t="s">
        <v>36</v>
      </c>
      <c r="B79" s="0" t="s">
        <v>144</v>
      </c>
      <c r="C79" s="22" t="n">
        <v>1000</v>
      </c>
      <c r="D79" s="6" t="str">
        <f aca="false">IF(A79="","",A79&amp;" - "&amp;B79)</f>
        <v>Facial - Lotus - Basic</v>
      </c>
      <c r="E79" s="19" t="s">
        <v>57</v>
      </c>
      <c r="F79" s="23"/>
      <c r="G79" s="16" t="n">
        <f aca="false">IF($D79="","",SUMIF('Daily tracking'!$B$2:$B$2001,$D79,'Daily tracking'!$G$2:$G$2001))</f>
        <v>0</v>
      </c>
      <c r="H79" s="15" t="n">
        <f aca="false">IF($D79="","",COUNTIF('Daily tracking'!$B$2:$B$2001,$D79))</f>
        <v>0</v>
      </c>
      <c r="I79" s="9" t="n">
        <f aca="false">IF($D79="","",$H79*IF($F79="",0,$F79))</f>
        <v>0</v>
      </c>
      <c r="J79" s="13" t="n">
        <f aca="false">IF($D79="","",$G79-$I79)</f>
        <v>0</v>
      </c>
      <c r="K79" s="14" t="str">
        <f aca="false">IF(OR($D79="",$G79=0),"",$J79/$G79)</f>
        <v/>
      </c>
    </row>
    <row r="80" customFormat="false" ht="14.25" hidden="false" customHeight="false" outlineLevel="0" collapsed="false">
      <c r="A80" s="0" t="s">
        <v>36</v>
      </c>
      <c r="B80" s="0" t="s">
        <v>145</v>
      </c>
      <c r="C80" s="22" t="n">
        <v>2200</v>
      </c>
      <c r="D80" s="6" t="str">
        <f aca="false">IF(A80="","",A80&amp;" - "&amp;B80)</f>
        <v>Facial - Lotus - Gold</v>
      </c>
      <c r="E80" s="19" t="s">
        <v>57</v>
      </c>
      <c r="F80" s="23"/>
      <c r="G80" s="16" t="n">
        <f aca="false">IF($D80="","",SUMIF('Daily tracking'!$B$2:$B$2001,$D80,'Daily tracking'!$G$2:$G$2001))</f>
        <v>0</v>
      </c>
      <c r="H80" s="15" t="n">
        <f aca="false">IF($D80="","",COUNTIF('Daily tracking'!$B$2:$B$2001,$D80))</f>
        <v>0</v>
      </c>
      <c r="I80" s="9" t="n">
        <f aca="false">IF($D80="","",$H80*IF($F80="",0,$F80))</f>
        <v>0</v>
      </c>
      <c r="J80" s="13" t="n">
        <f aca="false">IF($D80="","",$G80-$I80)</f>
        <v>0</v>
      </c>
      <c r="K80" s="14" t="str">
        <f aca="false">IF(OR($D80="",$G80=0),"",$J80/$G80)</f>
        <v/>
      </c>
    </row>
    <row r="81" customFormat="false" ht="14.25" hidden="false" customHeight="false" outlineLevel="0" collapsed="false">
      <c r="A81" s="0" t="s">
        <v>36</v>
      </c>
      <c r="B81" s="0" t="s">
        <v>146</v>
      </c>
      <c r="C81" s="22" t="n">
        <v>2200</v>
      </c>
      <c r="D81" s="6" t="str">
        <f aca="false">IF(A81="","",A81&amp;" - "&amp;B81)</f>
        <v>Facial - Sara - Diamond</v>
      </c>
      <c r="E81" s="19" t="s">
        <v>57</v>
      </c>
      <c r="F81" s="23"/>
      <c r="G81" s="16" t="n">
        <f aca="false">IF($D81="","",SUMIF('Daily tracking'!$B$2:$B$2001,$D81,'Daily tracking'!$G$2:$G$2001))</f>
        <v>0</v>
      </c>
      <c r="H81" s="15" t="n">
        <f aca="false">IF($D81="","",COUNTIF('Daily tracking'!$B$2:$B$2001,$D81))</f>
        <v>0</v>
      </c>
      <c r="I81" s="9" t="n">
        <f aca="false">IF($D81="","",$H81*IF($F81="",0,$F81))</f>
        <v>0</v>
      </c>
      <c r="J81" s="13" t="n">
        <f aca="false">IF($D81="","",$G81-$I81)</f>
        <v>0</v>
      </c>
      <c r="K81" s="14" t="str">
        <f aca="false">IF(OR($D81="",$G81=0),"",$J81/$G81)</f>
        <v/>
      </c>
    </row>
    <row r="82" customFormat="false" ht="14.25" hidden="false" customHeight="false" outlineLevel="0" collapsed="false">
      <c r="A82" s="0" t="s">
        <v>36</v>
      </c>
      <c r="B82" s="0" t="s">
        <v>147</v>
      </c>
      <c r="C82" s="22" t="n">
        <v>1800</v>
      </c>
      <c r="D82" s="6" t="str">
        <f aca="false">IF(A82="","",A82&amp;" - "&amp;B82)</f>
        <v>Facial - Sara - Gold</v>
      </c>
      <c r="E82" s="19" t="s">
        <v>57</v>
      </c>
      <c r="F82" s="23"/>
      <c r="G82" s="16" t="n">
        <f aca="false">IF($D82="","",SUMIF('Daily tracking'!$B$2:$B$2001,$D82,'Daily tracking'!$G$2:$G$2001))</f>
        <v>0</v>
      </c>
      <c r="H82" s="15" t="n">
        <f aca="false">IF($D82="","",COUNTIF('Daily tracking'!$B$2:$B$2001,$D82))</f>
        <v>0</v>
      </c>
      <c r="I82" s="9" t="n">
        <f aca="false">IF($D82="","",$H82*IF($F82="",0,$F82))</f>
        <v>0</v>
      </c>
      <c r="J82" s="13" t="n">
        <f aca="false">IF($D82="","",$G82-$I82)</f>
        <v>0</v>
      </c>
      <c r="K82" s="14" t="str">
        <f aca="false">IF(OR($D82="",$G82=0),"",$J82/$G82)</f>
        <v/>
      </c>
    </row>
    <row r="83" customFormat="false" ht="14.25" hidden="false" customHeight="false" outlineLevel="0" collapsed="false">
      <c r="A83" s="0" t="s">
        <v>36</v>
      </c>
      <c r="B83" s="0" t="s">
        <v>148</v>
      </c>
      <c r="C83" s="22" t="n">
        <v>1600</v>
      </c>
      <c r="D83" s="6" t="str">
        <f aca="false">IF(A83="","",A83&amp;" - "&amp;B83)</f>
        <v>Facial - O3 detan facial</v>
      </c>
      <c r="E83" s="19" t="s">
        <v>57</v>
      </c>
      <c r="F83" s="23"/>
      <c r="G83" s="16" t="n">
        <f aca="false">IF($D83="","",SUMIF('Daily tracking'!$B$2:$B$2001,$D83,'Daily tracking'!$G$2:$G$2001))</f>
        <v>0</v>
      </c>
      <c r="H83" s="15" t="n">
        <f aca="false">IF($D83="","",COUNTIF('Daily tracking'!$B$2:$B$2001,$D83))</f>
        <v>0</v>
      </c>
      <c r="I83" s="9" t="n">
        <f aca="false">IF($D83="","",$H83*IF($F83="",0,$F83))</f>
        <v>0</v>
      </c>
      <c r="J83" s="13" t="n">
        <f aca="false">IF($D83="","",$G83-$I83)</f>
        <v>0</v>
      </c>
      <c r="K83" s="14" t="str">
        <f aca="false">IF(OR($D83="",$G83=0),"",$J83/$G83)</f>
        <v/>
      </c>
    </row>
    <row r="84" customFormat="false" ht="14.25" hidden="false" customHeight="false" outlineLevel="0" collapsed="false">
      <c r="A84" s="0" t="s">
        <v>36</v>
      </c>
      <c r="B84" s="0" t="s">
        <v>149</v>
      </c>
      <c r="C84" s="22" t="n">
        <v>2000</v>
      </c>
      <c r="D84" s="6" t="str">
        <f aca="false">IF(A84="","",A84&amp;" - "&amp;B84)</f>
        <v>Facial - Hydrating</v>
      </c>
      <c r="E84" s="19" t="s">
        <v>57</v>
      </c>
      <c r="F84" s="23"/>
      <c r="G84" s="16" t="n">
        <f aca="false">IF($D84="","",SUMIF('Daily tracking'!$B$2:$B$2001,$D84,'Daily tracking'!$G$2:$G$2001))</f>
        <v>0</v>
      </c>
      <c r="H84" s="15" t="n">
        <f aca="false">IF($D84="","",COUNTIF('Daily tracking'!$B$2:$B$2001,$D84))</f>
        <v>0</v>
      </c>
      <c r="I84" s="9" t="n">
        <f aca="false">IF($D84="","",$H84*IF($F84="",0,$F84))</f>
        <v>0</v>
      </c>
      <c r="J84" s="13" t="n">
        <f aca="false">IF($D84="","",$G84-$I84)</f>
        <v>0</v>
      </c>
      <c r="K84" s="14" t="str">
        <f aca="false">IF(OR($D84="",$G84=0),"",$J84/$G84)</f>
        <v/>
      </c>
    </row>
    <row r="85" customFormat="false" ht="14.25" hidden="false" customHeight="false" outlineLevel="0" collapsed="false">
      <c r="A85" s="0" t="s">
        <v>36</v>
      </c>
      <c r="B85" s="0" t="s">
        <v>150</v>
      </c>
      <c r="C85" s="22" t="n">
        <v>2000</v>
      </c>
      <c r="D85" s="6" t="str">
        <f aca="false">IF(A85="","",A85&amp;" - "&amp;B85)</f>
        <v>Facial - Brightening</v>
      </c>
      <c r="E85" s="19" t="s">
        <v>57</v>
      </c>
      <c r="F85" s="23"/>
      <c r="G85" s="16" t="n">
        <f aca="false">IF($D85="","",SUMIF('Daily tracking'!$B$2:$B$2001,$D85,'Daily tracking'!$G$2:$G$2001))</f>
        <v>0</v>
      </c>
      <c r="H85" s="15" t="n">
        <f aca="false">IF($D85="","",COUNTIF('Daily tracking'!$B$2:$B$2001,$D85))</f>
        <v>0</v>
      </c>
      <c r="I85" s="9" t="n">
        <f aca="false">IF($D85="","",$H85*IF($F85="",0,$F85))</f>
        <v>0</v>
      </c>
      <c r="J85" s="13" t="n">
        <f aca="false">IF($D85="","",$G85-$I85)</f>
        <v>0</v>
      </c>
      <c r="K85" s="14" t="str">
        <f aca="false">IF(OR($D85="",$G85=0),"",$J85/$G85)</f>
        <v/>
      </c>
    </row>
    <row r="86" customFormat="false" ht="14.25" hidden="false" customHeight="false" outlineLevel="0" collapsed="false">
      <c r="A86" s="0" t="s">
        <v>36</v>
      </c>
      <c r="B86" s="0" t="s">
        <v>151</v>
      </c>
      <c r="C86" s="22" t="n">
        <v>2400</v>
      </c>
      <c r="D86" s="6" t="str">
        <f aca="false">IF(A86="","",A86&amp;" - "&amp;B86)</f>
        <v>Facial - Bridal</v>
      </c>
      <c r="E86" s="19" t="s">
        <v>57</v>
      </c>
      <c r="F86" s="23"/>
      <c r="G86" s="16" t="n">
        <f aca="false">IF($D86="","",SUMIF('Daily tracking'!$B$2:$B$2001,$D86,'Daily tracking'!$G$2:$G$2001))</f>
        <v>0</v>
      </c>
      <c r="H86" s="15" t="n">
        <f aca="false">IF($D86="","",COUNTIF('Daily tracking'!$B$2:$B$2001,$D86))</f>
        <v>0</v>
      </c>
      <c r="I86" s="9" t="n">
        <f aca="false">IF($D86="","",$H86*IF($F86="",0,$F86))</f>
        <v>0</v>
      </c>
      <c r="J86" s="13" t="n">
        <f aca="false">IF($D86="","",$G86-$I86)</f>
        <v>0</v>
      </c>
      <c r="K86" s="14" t="str">
        <f aca="false">IF(OR($D86="",$G86=0),"",$J86/$G86)</f>
        <v/>
      </c>
    </row>
    <row r="87" customFormat="false" ht="14.25" hidden="false" customHeight="false" outlineLevel="0" collapsed="false">
      <c r="C87" s="22"/>
      <c r="D87" s="6" t="str">
        <f aca="false">IF(A87="","",A87&amp;" - "&amp;B87)</f>
        <v/>
      </c>
      <c r="E87" s="19"/>
      <c r="F87" s="23"/>
      <c r="G87" s="16" t="str">
        <f aca="false">IF($D87="","",SUMIF('Daily tracking'!$B$2:$B$2001,$D87,'Daily tracking'!$G$2:$G$2001))</f>
        <v/>
      </c>
      <c r="H87" s="15" t="str">
        <f aca="false">IF($D87="","",COUNTIF('Daily tracking'!$B$2:$B$2001,$D87))</f>
        <v/>
      </c>
      <c r="I87" s="9" t="str">
        <f aca="false">IF($D87="","",$H87*IF($F87="",0,$F87))</f>
        <v/>
      </c>
      <c r="J87" s="13" t="str">
        <f aca="false">IF($D87="","",$G87-$I87)</f>
        <v/>
      </c>
      <c r="K87" s="14" t="str">
        <f aca="false">IF(OR($D87="",$G87=0),"",$J87/$G87)</f>
        <v/>
      </c>
    </row>
    <row r="88" customFormat="false" ht="14.25" hidden="false" customHeight="false" outlineLevel="0" collapsed="false">
      <c r="C88" s="22"/>
      <c r="D88" s="6" t="str">
        <f aca="false">IF(A88="","",A88&amp;" - "&amp;B88)</f>
        <v/>
      </c>
      <c r="E88" s="19"/>
      <c r="F88" s="23"/>
      <c r="G88" s="16" t="str">
        <f aca="false">IF($D88="","",SUMIF('Daily tracking'!$B$2:$B$2001,$D88,'Daily tracking'!$G$2:$G$2001))</f>
        <v/>
      </c>
      <c r="H88" s="15" t="str">
        <f aca="false">IF($D88="","",COUNTIF('Daily tracking'!$B$2:$B$2001,$D88))</f>
        <v/>
      </c>
      <c r="I88" s="9" t="str">
        <f aca="false">IF($D88="","",$H88*IF($F88="",0,$F88))</f>
        <v/>
      </c>
      <c r="J88" s="13" t="str">
        <f aca="false">IF($D88="","",$G88-$I88)</f>
        <v/>
      </c>
      <c r="K88" s="14" t="str">
        <f aca="false">IF(OR($D88="",$G88=0),"",$J88/$G88)</f>
        <v/>
      </c>
    </row>
    <row r="89" customFormat="false" ht="14.25" hidden="false" customHeight="false" outlineLevel="0" collapsed="false">
      <c r="C89" s="22"/>
      <c r="D89" s="6" t="str">
        <f aca="false">IF(A89="","",A89&amp;" - "&amp;B89)</f>
        <v/>
      </c>
      <c r="E89" s="19"/>
      <c r="F89" s="23"/>
      <c r="G89" s="16" t="str">
        <f aca="false">IF($D89="","",SUMIF('Daily tracking'!$B$2:$B$2001,$D89,'Daily tracking'!$G$2:$G$2001))</f>
        <v/>
      </c>
      <c r="H89" s="15" t="str">
        <f aca="false">IF($D89="","",COUNTIF('Daily tracking'!$B$2:$B$2001,$D89))</f>
        <v/>
      </c>
      <c r="I89" s="9" t="str">
        <f aca="false">IF($D89="","",$H89*IF($F89="",0,$F89))</f>
        <v/>
      </c>
      <c r="J89" s="13" t="str">
        <f aca="false">IF($D89="","",$G89-$I89)</f>
        <v/>
      </c>
      <c r="K89" s="14" t="str">
        <f aca="false">IF(OR($D89="",$G89=0),"",$J89/$G89)</f>
        <v/>
      </c>
    </row>
    <row r="90" customFormat="false" ht="14.25" hidden="false" customHeight="false" outlineLevel="0" collapsed="false">
      <c r="C90" s="22"/>
      <c r="D90" s="6" t="str">
        <f aca="false">IF(A90="","",A90&amp;" - "&amp;B90)</f>
        <v/>
      </c>
      <c r="E90" s="19"/>
      <c r="F90" s="23"/>
      <c r="G90" s="16" t="str">
        <f aca="false">IF($D90="","",SUMIF('Daily tracking'!$B$2:$B$2001,$D90,'Daily tracking'!$G$2:$G$2001))</f>
        <v/>
      </c>
      <c r="H90" s="15" t="str">
        <f aca="false">IF($D90="","",COUNTIF('Daily tracking'!$B$2:$B$2001,$D90))</f>
        <v/>
      </c>
      <c r="I90" s="9" t="str">
        <f aca="false">IF($D90="","",$H90*IF($F90="",0,$F90))</f>
        <v/>
      </c>
      <c r="J90" s="13" t="str">
        <f aca="false">IF($D90="","",$G90-$I90)</f>
        <v/>
      </c>
      <c r="K90" s="14" t="str">
        <f aca="false">IF(OR($D90="",$G90=0),"",$J90/$G90)</f>
        <v/>
      </c>
    </row>
    <row r="91" customFormat="false" ht="14.25" hidden="false" customHeight="false" outlineLevel="0" collapsed="false">
      <c r="C91" s="22"/>
      <c r="D91" s="6" t="str">
        <f aca="false">IF(A91="","",A91&amp;" - "&amp;B91)</f>
        <v/>
      </c>
      <c r="E91" s="19"/>
      <c r="F91" s="23"/>
      <c r="G91" s="16" t="str">
        <f aca="false">IF($D91="","",SUMIF('Daily tracking'!$B$2:$B$2001,$D91,'Daily tracking'!$G$2:$G$2001))</f>
        <v/>
      </c>
      <c r="H91" s="15" t="str">
        <f aca="false">IF($D91="","",COUNTIF('Daily tracking'!$B$2:$B$2001,$D91))</f>
        <v/>
      </c>
      <c r="I91" s="9" t="str">
        <f aca="false">IF($D91="","",$H91*IF($F91="",0,$F91))</f>
        <v/>
      </c>
      <c r="J91" s="13" t="str">
        <f aca="false">IF($D91="","",$G91-$I91)</f>
        <v/>
      </c>
      <c r="K91" s="14" t="str">
        <f aca="false">IF(OR($D91="",$G91=0),"",$J91/$G91)</f>
        <v/>
      </c>
    </row>
    <row r="92" customFormat="false" ht="14.25" hidden="false" customHeight="false" outlineLevel="0" collapsed="false">
      <c r="C92" s="22"/>
      <c r="D92" s="6" t="str">
        <f aca="false">IF(A92="","",A92&amp;" - "&amp;B92)</f>
        <v/>
      </c>
      <c r="E92" s="19"/>
      <c r="F92" s="23"/>
      <c r="G92" s="16" t="str">
        <f aca="false">IF($D92="","",SUMIF('Daily tracking'!$B$2:$B$2001,$D92,'Daily tracking'!$G$2:$G$2001))</f>
        <v/>
      </c>
      <c r="H92" s="15" t="str">
        <f aca="false">IF($D92="","",COUNTIF('Daily tracking'!$B$2:$B$2001,$D92))</f>
        <v/>
      </c>
      <c r="I92" s="9" t="str">
        <f aca="false">IF($D92="","",$H92*IF($F92="",0,$F92))</f>
        <v/>
      </c>
      <c r="J92" s="13" t="str">
        <f aca="false">IF($D92="","",$G92-$I92)</f>
        <v/>
      </c>
      <c r="K92" s="14" t="str">
        <f aca="false">IF(OR($D92="",$G92=0),"",$J92/$G92)</f>
        <v/>
      </c>
    </row>
    <row r="93" customFormat="false" ht="14.25" hidden="false" customHeight="false" outlineLevel="0" collapsed="false">
      <c r="C93" s="22"/>
      <c r="D93" s="6" t="str">
        <f aca="false">IF(A93="","",A93&amp;" - "&amp;B93)</f>
        <v/>
      </c>
      <c r="E93" s="19"/>
      <c r="F93" s="23"/>
      <c r="G93" s="16" t="str">
        <f aca="false">IF($D93="","",SUMIF('Daily tracking'!$B$2:$B$2001,$D93,'Daily tracking'!$G$2:$G$2001))</f>
        <v/>
      </c>
      <c r="H93" s="15" t="str">
        <f aca="false">IF($D93="","",COUNTIF('Daily tracking'!$B$2:$B$2001,$D93))</f>
        <v/>
      </c>
      <c r="I93" s="9" t="str">
        <f aca="false">IF($D93="","",$H93*IF($F93="",0,$F93))</f>
        <v/>
      </c>
      <c r="J93" s="13" t="str">
        <f aca="false">IF($D93="","",$G93-$I93)</f>
        <v/>
      </c>
      <c r="K93" s="14" t="str">
        <f aca="false">IF(OR($D93="",$G93=0),"",$J93/$G93)</f>
        <v/>
      </c>
    </row>
    <row r="94" customFormat="false" ht="14.25" hidden="false" customHeight="false" outlineLevel="0" collapsed="false">
      <c r="C94" s="22"/>
      <c r="D94" s="6" t="str">
        <f aca="false">IF(A94="","",A94&amp;" - "&amp;B94)</f>
        <v/>
      </c>
      <c r="E94" s="19"/>
      <c r="F94" s="23"/>
      <c r="G94" s="16" t="str">
        <f aca="false">IF($D94="","",SUMIF('Daily tracking'!$B$2:$B$2001,$D94,'Daily tracking'!$G$2:$G$2001))</f>
        <v/>
      </c>
      <c r="H94" s="15" t="str">
        <f aca="false">IF($D94="","",COUNTIF('Daily tracking'!$B$2:$B$2001,$D94))</f>
        <v/>
      </c>
      <c r="I94" s="9" t="str">
        <f aca="false">IF($D94="","",$H94*IF($F94="",0,$F94))</f>
        <v/>
      </c>
      <c r="J94" s="13" t="str">
        <f aca="false">IF($D94="","",$G94-$I94)</f>
        <v/>
      </c>
      <c r="K94" s="14" t="str">
        <f aca="false">IF(OR($D94="",$G94=0),"",$J94/$G94)</f>
        <v/>
      </c>
    </row>
    <row r="95" customFormat="false" ht="14.25" hidden="false" customHeight="false" outlineLevel="0" collapsed="false">
      <c r="C95" s="22"/>
      <c r="D95" s="6" t="str">
        <f aca="false">IF(A95="","",A95&amp;" - "&amp;B95)</f>
        <v/>
      </c>
      <c r="E95" s="19"/>
      <c r="F95" s="23"/>
      <c r="G95" s="16" t="str">
        <f aca="false">IF($D95="","",SUMIF('Daily tracking'!$B$2:$B$2001,$D95,'Daily tracking'!$G$2:$G$2001))</f>
        <v/>
      </c>
      <c r="H95" s="15" t="str">
        <f aca="false">IF($D95="","",COUNTIF('Daily tracking'!$B$2:$B$2001,$D95))</f>
        <v/>
      </c>
      <c r="I95" s="9" t="str">
        <f aca="false">IF($D95="","",$H95*IF($F95="",0,$F95))</f>
        <v/>
      </c>
      <c r="J95" s="13" t="str">
        <f aca="false">IF($D95="","",$G95-$I95)</f>
        <v/>
      </c>
      <c r="K95" s="14" t="str">
        <f aca="false">IF(OR($D95="",$G95=0),"",$J95/$G95)</f>
        <v/>
      </c>
    </row>
    <row r="96" customFormat="false" ht="14.25" hidden="false" customHeight="false" outlineLevel="0" collapsed="false">
      <c r="C96" s="22"/>
      <c r="D96" s="6" t="str">
        <f aca="false">IF(A96="","",A96&amp;" - "&amp;B96)</f>
        <v/>
      </c>
      <c r="E96" s="19"/>
      <c r="F96" s="23"/>
      <c r="G96" s="16" t="str">
        <f aca="false">IF($D96="","",SUMIF('Daily tracking'!$B$2:$B$2001,$D96,'Daily tracking'!$G$2:$G$2001))</f>
        <v/>
      </c>
      <c r="H96" s="15" t="str">
        <f aca="false">IF($D96="","",COUNTIF('Daily tracking'!$B$2:$B$2001,$D96))</f>
        <v/>
      </c>
      <c r="I96" s="9" t="str">
        <f aca="false">IF($D96="","",$H96*IF($F96="",0,$F96))</f>
        <v/>
      </c>
      <c r="J96" s="13" t="str">
        <f aca="false">IF($D96="","",$G96-$I96)</f>
        <v/>
      </c>
      <c r="K96" s="14" t="str">
        <f aca="false">IF(OR($D96="",$G96=0),"",$J96/$G96)</f>
        <v/>
      </c>
    </row>
    <row r="97" customFormat="false" ht="14.25" hidden="false" customHeight="false" outlineLevel="0" collapsed="false">
      <c r="C97" s="22"/>
      <c r="D97" s="6" t="str">
        <f aca="false">IF(A97="","",A97&amp;" - "&amp;B97)</f>
        <v/>
      </c>
      <c r="E97" s="19"/>
      <c r="F97" s="23"/>
      <c r="G97" s="16" t="str">
        <f aca="false">IF($D97="","",SUMIF('Daily tracking'!$B$2:$B$2001,$D97,'Daily tracking'!$G$2:$G$2001))</f>
        <v/>
      </c>
      <c r="H97" s="15" t="str">
        <f aca="false">IF($D97="","",COUNTIF('Daily tracking'!$B$2:$B$2001,$D97))</f>
        <v/>
      </c>
      <c r="I97" s="9" t="str">
        <f aca="false">IF($D97="","",$H97*IF($F97="",0,$F97))</f>
        <v/>
      </c>
      <c r="J97" s="13" t="str">
        <f aca="false">IF($D97="","",$G97-$I97)</f>
        <v/>
      </c>
      <c r="K97" s="14" t="str">
        <f aca="false">IF(OR($D97="",$G97=0),"",$J97/$G97)</f>
        <v/>
      </c>
    </row>
    <row r="98" customFormat="false" ht="14.25" hidden="false" customHeight="false" outlineLevel="0" collapsed="false">
      <c r="C98" s="22"/>
      <c r="D98" s="6" t="str">
        <f aca="false">IF(A98="","",A98&amp;" - "&amp;B98)</f>
        <v/>
      </c>
      <c r="E98" s="19"/>
      <c r="F98" s="23"/>
      <c r="G98" s="16" t="str">
        <f aca="false">IF($D98="","",SUMIF('Daily tracking'!$B$2:$B$2001,$D98,'Daily tracking'!$G$2:$G$2001))</f>
        <v/>
      </c>
      <c r="H98" s="15" t="str">
        <f aca="false">IF($D98="","",COUNTIF('Daily tracking'!$B$2:$B$2001,$D98))</f>
        <v/>
      </c>
      <c r="I98" s="9" t="str">
        <f aca="false">IF($D98="","",$H98*IF($F98="",0,$F98))</f>
        <v/>
      </c>
      <c r="J98" s="13" t="str">
        <f aca="false">IF($D98="","",$G98-$I98)</f>
        <v/>
      </c>
      <c r="K98" s="14" t="str">
        <f aca="false">IF(OR($D98="",$G98=0),"",$J98/$G98)</f>
        <v/>
      </c>
    </row>
    <row r="99" customFormat="false" ht="14.25" hidden="false" customHeight="false" outlineLevel="0" collapsed="false">
      <c r="C99" s="22"/>
      <c r="D99" s="6" t="str">
        <f aca="false">IF(A99="","",A99&amp;" - "&amp;B99)</f>
        <v/>
      </c>
      <c r="E99" s="19"/>
      <c r="F99" s="23"/>
      <c r="G99" s="16" t="str">
        <f aca="false">IF($D99="","",SUMIF('Daily tracking'!$B$2:$B$2001,$D99,'Daily tracking'!$G$2:$G$2001))</f>
        <v/>
      </c>
      <c r="H99" s="15" t="str">
        <f aca="false">IF($D99="","",COUNTIF('Daily tracking'!$B$2:$B$2001,$D99))</f>
        <v/>
      </c>
      <c r="I99" s="9" t="str">
        <f aca="false">IF($D99="","",$H99*IF($F99="",0,$F99))</f>
        <v/>
      </c>
      <c r="J99" s="13" t="str">
        <f aca="false">IF($D99="","",$G99-$I99)</f>
        <v/>
      </c>
      <c r="K99" s="14" t="str">
        <f aca="false">IF(OR($D99="",$G99=0),"",$J99/$G99)</f>
        <v/>
      </c>
    </row>
    <row r="100" customFormat="false" ht="14.25" hidden="false" customHeight="false" outlineLevel="0" collapsed="false">
      <c r="C100" s="22"/>
      <c r="D100" s="6" t="str">
        <f aca="false">IF(A100="","",A100&amp;" - "&amp;B100)</f>
        <v/>
      </c>
      <c r="E100" s="19"/>
      <c r="F100" s="23"/>
      <c r="G100" s="16" t="str">
        <f aca="false">IF($D100="","",SUMIF('Daily tracking'!$B$2:$B$2001,$D100,'Daily tracking'!$G$2:$G$2001))</f>
        <v/>
      </c>
      <c r="H100" s="15" t="str">
        <f aca="false">IF($D100="","",COUNTIF('Daily tracking'!$B$2:$B$2001,$D100))</f>
        <v/>
      </c>
      <c r="I100" s="9" t="str">
        <f aca="false">IF($D100="","",$H100*IF($F100="",0,$F100))</f>
        <v/>
      </c>
      <c r="J100" s="13" t="str">
        <f aca="false">IF($D100="","",$G100-$I100)</f>
        <v/>
      </c>
      <c r="K100" s="14" t="str">
        <f aca="false">IF(OR($D100="",$G100=0),"",$J100/$G100)</f>
        <v/>
      </c>
    </row>
    <row r="101" customFormat="false" ht="14.25" hidden="false" customHeight="false" outlineLevel="0" collapsed="false">
      <c r="C101" s="22"/>
      <c r="D101" s="6" t="str">
        <f aca="false">IF(A101="","",A101&amp;" - "&amp;B101)</f>
        <v/>
      </c>
      <c r="E101" s="19"/>
      <c r="F101" s="23"/>
      <c r="G101" s="16" t="str">
        <f aca="false">IF($D101="","",SUMIF('Daily tracking'!$B$2:$B$2001,$D101,'Daily tracking'!$G$2:$G$2001))</f>
        <v/>
      </c>
      <c r="H101" s="15" t="str">
        <f aca="false">IF($D101="","",COUNTIF('Daily tracking'!$B$2:$B$2001,$D101))</f>
        <v/>
      </c>
      <c r="I101" s="9" t="str">
        <f aca="false">IF($D101="","",$H101*IF($F101="",0,$F101))</f>
        <v/>
      </c>
      <c r="J101" s="13" t="str">
        <f aca="false">IF($D101="","",$G101-$I101)</f>
        <v/>
      </c>
      <c r="K101" s="14" t="str">
        <f aca="false">IF(OR($D101="",$G101=0),"",$J101/$G101)</f>
        <v/>
      </c>
    </row>
    <row r="102" customFormat="false" ht="14.25" hidden="false" customHeight="false" outlineLevel="0" collapsed="false">
      <c r="C102" s="22"/>
      <c r="D102" s="6" t="str">
        <f aca="false">IF(A102="","",A102&amp;" - "&amp;B102)</f>
        <v/>
      </c>
      <c r="E102" s="19"/>
      <c r="F102" s="23"/>
      <c r="G102" s="16" t="str">
        <f aca="false">IF($D102="","",SUMIF('Daily tracking'!$B$2:$B$2001,$D102,'Daily tracking'!$G$2:$G$2001))</f>
        <v/>
      </c>
      <c r="H102" s="15" t="str">
        <f aca="false">IF($D102="","",COUNTIF('Daily tracking'!$B$2:$B$2001,$D102))</f>
        <v/>
      </c>
      <c r="I102" s="9" t="str">
        <f aca="false">IF($D102="","",$H102*IF($F102="",0,$F102))</f>
        <v/>
      </c>
      <c r="J102" s="13" t="str">
        <f aca="false">IF($D102="","",$G102-$I102)</f>
        <v/>
      </c>
      <c r="K102" s="14" t="str">
        <f aca="false">IF(OR($D102="",$G102=0),"",$J102/$G102)</f>
        <v/>
      </c>
    </row>
    <row r="103" customFormat="false" ht="14.25" hidden="false" customHeight="false" outlineLevel="0" collapsed="false">
      <c r="C103" s="22"/>
      <c r="D103" s="6" t="str">
        <f aca="false">IF(A103="","",A103&amp;" - "&amp;B103)</f>
        <v/>
      </c>
      <c r="E103" s="19"/>
      <c r="F103" s="23"/>
      <c r="G103" s="16" t="str">
        <f aca="false">IF($D103="","",SUMIF('Daily tracking'!$B$2:$B$2001,$D103,'Daily tracking'!$G$2:$G$2001))</f>
        <v/>
      </c>
      <c r="H103" s="15" t="str">
        <f aca="false">IF($D103="","",COUNTIF('Daily tracking'!$B$2:$B$2001,$D103))</f>
        <v/>
      </c>
      <c r="I103" s="9" t="str">
        <f aca="false">IF($D103="","",$H103*IF($F103="",0,$F103))</f>
        <v/>
      </c>
      <c r="J103" s="13" t="str">
        <f aca="false">IF($D103="","",$G103-$I103)</f>
        <v/>
      </c>
      <c r="K103" s="14" t="str">
        <f aca="false">IF(OR($D103="",$G103=0),"",$J103/$G103)</f>
        <v/>
      </c>
    </row>
    <row r="104" customFormat="false" ht="14.25" hidden="false" customHeight="false" outlineLevel="0" collapsed="false">
      <c r="C104" s="22"/>
      <c r="D104" s="6" t="str">
        <f aca="false">IF(A104="","",A104&amp;" - "&amp;B104)</f>
        <v/>
      </c>
      <c r="E104" s="19"/>
      <c r="F104" s="23"/>
      <c r="G104" s="16" t="str">
        <f aca="false">IF($D104="","",SUMIF('Daily tracking'!$B$2:$B$2001,$D104,'Daily tracking'!$G$2:$G$2001))</f>
        <v/>
      </c>
      <c r="H104" s="15" t="str">
        <f aca="false">IF($D104="","",COUNTIF('Daily tracking'!$B$2:$B$2001,$D104))</f>
        <v/>
      </c>
      <c r="I104" s="9" t="str">
        <f aca="false">IF($D104="","",$H104*IF($F104="",0,$F104))</f>
        <v/>
      </c>
      <c r="J104" s="13" t="str">
        <f aca="false">IF($D104="","",$G104-$I104)</f>
        <v/>
      </c>
      <c r="K104" s="14" t="str">
        <f aca="false">IF(OR($D104="",$G104=0),"",$J104/$G104)</f>
        <v/>
      </c>
    </row>
    <row r="105" customFormat="false" ht="14.25" hidden="false" customHeight="false" outlineLevel="0" collapsed="false">
      <c r="C105" s="22"/>
      <c r="D105" s="6" t="str">
        <f aca="false">IF(A105="","",A105&amp;" - "&amp;B105)</f>
        <v/>
      </c>
      <c r="E105" s="19"/>
      <c r="F105" s="23"/>
      <c r="G105" s="16" t="str">
        <f aca="false">IF($D105="","",SUMIF('Daily tracking'!$B$2:$B$2001,$D105,'Daily tracking'!$G$2:$G$2001))</f>
        <v/>
      </c>
      <c r="H105" s="15" t="str">
        <f aca="false">IF($D105="","",COUNTIF('Daily tracking'!$B$2:$B$2001,$D105))</f>
        <v/>
      </c>
      <c r="I105" s="9" t="str">
        <f aca="false">IF($D105="","",$H105*IF($F105="",0,$F105))</f>
        <v/>
      </c>
      <c r="J105" s="13" t="str">
        <f aca="false">IF($D105="","",$G105-$I105)</f>
        <v/>
      </c>
      <c r="K105" s="14" t="str">
        <f aca="false">IF(OR($D105="",$G105=0),"",$J105/$G105)</f>
        <v/>
      </c>
    </row>
    <row r="106" customFormat="false" ht="14.25" hidden="false" customHeight="false" outlineLevel="0" collapsed="false">
      <c r="C106" s="22"/>
      <c r="D106" s="6" t="str">
        <f aca="false">IF(A106="","",A106&amp;" - "&amp;B106)</f>
        <v/>
      </c>
      <c r="E106" s="19"/>
      <c r="F106" s="23"/>
      <c r="G106" s="16" t="str">
        <f aca="false">IF($D106="","",SUMIF('Daily tracking'!$B$2:$B$2001,$D106,'Daily tracking'!$G$2:$G$2001))</f>
        <v/>
      </c>
      <c r="H106" s="15" t="str">
        <f aca="false">IF($D106="","",COUNTIF('Daily tracking'!$B$2:$B$2001,$D106))</f>
        <v/>
      </c>
      <c r="I106" s="9" t="str">
        <f aca="false">IF($D106="","",$H106*IF($F106="",0,$F106))</f>
        <v/>
      </c>
      <c r="J106" s="13" t="str">
        <f aca="false">IF($D106="","",$G106-$I106)</f>
        <v/>
      </c>
      <c r="K106" s="14" t="str">
        <f aca="false">IF(OR($D106="",$G106=0),"",$J106/$G106)</f>
        <v/>
      </c>
    </row>
    <row r="107" customFormat="false" ht="14.25" hidden="false" customHeight="false" outlineLevel="0" collapsed="false">
      <c r="C107" s="22"/>
      <c r="D107" s="6" t="str">
        <f aca="false">IF(A107="","",A107&amp;" - "&amp;B107)</f>
        <v/>
      </c>
      <c r="E107" s="19"/>
      <c r="F107" s="23"/>
      <c r="G107" s="16" t="str">
        <f aca="false">IF($D107="","",SUMIF('Daily tracking'!$B$2:$B$2001,$D107,'Daily tracking'!$G$2:$G$2001))</f>
        <v/>
      </c>
      <c r="H107" s="15" t="str">
        <f aca="false">IF($D107="","",COUNTIF('Daily tracking'!$B$2:$B$2001,$D107))</f>
        <v/>
      </c>
      <c r="I107" s="9" t="str">
        <f aca="false">IF($D107="","",$H107*IF($F107="",0,$F107))</f>
        <v/>
      </c>
      <c r="J107" s="13" t="str">
        <f aca="false">IF($D107="","",$G107-$I107)</f>
        <v/>
      </c>
      <c r="K107" s="14" t="str">
        <f aca="false">IF(OR($D107="",$G107=0),"",$J107/$G107)</f>
        <v/>
      </c>
    </row>
    <row r="108" customFormat="false" ht="14.25" hidden="false" customHeight="false" outlineLevel="0" collapsed="false">
      <c r="C108" s="22"/>
      <c r="D108" s="6" t="str">
        <f aca="false">IF(A108="","",A108&amp;" - "&amp;B108)</f>
        <v/>
      </c>
      <c r="E108" s="19"/>
      <c r="F108" s="23"/>
      <c r="G108" s="16" t="str">
        <f aca="false">IF($D108="","",SUMIF('Daily tracking'!$B$2:$B$2001,$D108,'Daily tracking'!$G$2:$G$2001))</f>
        <v/>
      </c>
      <c r="H108" s="15" t="str">
        <f aca="false">IF($D108="","",COUNTIF('Daily tracking'!$B$2:$B$2001,$D108))</f>
        <v/>
      </c>
      <c r="I108" s="9" t="str">
        <f aca="false">IF($D108="","",$H108*IF($F108="",0,$F108))</f>
        <v/>
      </c>
      <c r="J108" s="13" t="str">
        <f aca="false">IF($D108="","",$G108-$I108)</f>
        <v/>
      </c>
      <c r="K108" s="14" t="str">
        <f aca="false">IF(OR($D108="",$G108=0),"",$J108/$G108)</f>
        <v/>
      </c>
    </row>
    <row r="109" customFormat="false" ht="14.25" hidden="false" customHeight="false" outlineLevel="0" collapsed="false">
      <c r="C109" s="22"/>
      <c r="D109" s="6" t="str">
        <f aca="false">IF(A109="","",A109&amp;" - "&amp;B109)</f>
        <v/>
      </c>
      <c r="E109" s="19"/>
      <c r="F109" s="23"/>
      <c r="G109" s="16" t="str">
        <f aca="false">IF($D109="","",SUMIF('Daily tracking'!$B$2:$B$2001,$D109,'Daily tracking'!$G$2:$G$2001))</f>
        <v/>
      </c>
      <c r="H109" s="15" t="str">
        <f aca="false">IF($D109="","",COUNTIF('Daily tracking'!$B$2:$B$2001,$D109))</f>
        <v/>
      </c>
      <c r="I109" s="9" t="str">
        <f aca="false">IF($D109="","",$H109*IF($F109="",0,$F109))</f>
        <v/>
      </c>
      <c r="J109" s="13" t="str">
        <f aca="false">IF($D109="","",$G109-$I109)</f>
        <v/>
      </c>
      <c r="K109" s="14" t="str">
        <f aca="false">IF(OR($D109="",$G109=0),"",$J109/$G109)</f>
        <v/>
      </c>
    </row>
    <row r="110" customFormat="false" ht="14.25" hidden="false" customHeight="false" outlineLevel="0" collapsed="false">
      <c r="C110" s="22"/>
      <c r="D110" s="6" t="str">
        <f aca="false">IF(A110="","",A110&amp;" - "&amp;B110)</f>
        <v/>
      </c>
      <c r="E110" s="19"/>
      <c r="F110" s="23"/>
      <c r="G110" s="16" t="str">
        <f aca="false">IF($D110="","",SUMIF('Daily tracking'!$B$2:$B$2001,$D110,'Daily tracking'!$G$2:$G$2001))</f>
        <v/>
      </c>
      <c r="H110" s="15" t="str">
        <f aca="false">IF($D110="","",COUNTIF('Daily tracking'!$B$2:$B$2001,$D110))</f>
        <v/>
      </c>
      <c r="I110" s="9" t="str">
        <f aca="false">IF($D110="","",$H110*IF($F110="",0,$F110))</f>
        <v/>
      </c>
      <c r="J110" s="13" t="str">
        <f aca="false">IF($D110="","",$G110-$I110)</f>
        <v/>
      </c>
      <c r="K110" s="14" t="str">
        <f aca="false">IF(OR($D110="",$G110=0),"",$J110/$G110)</f>
        <v/>
      </c>
    </row>
    <row r="111" customFormat="false" ht="14.25" hidden="false" customHeight="false" outlineLevel="0" collapsed="false">
      <c r="C111" s="22"/>
      <c r="D111" s="6" t="str">
        <f aca="false">IF(A111="","",A111&amp;" - "&amp;B111)</f>
        <v/>
      </c>
      <c r="E111" s="19"/>
      <c r="F111" s="23"/>
      <c r="G111" s="16" t="str">
        <f aca="false">IF($D111="","",SUMIF('Daily tracking'!$B$2:$B$2001,$D111,'Daily tracking'!$G$2:$G$2001))</f>
        <v/>
      </c>
      <c r="H111" s="15" t="str">
        <f aca="false">IF($D111="","",COUNTIF('Daily tracking'!$B$2:$B$2001,$D111))</f>
        <v/>
      </c>
      <c r="I111" s="9" t="str">
        <f aca="false">IF($D111="","",$H111*IF($F111="",0,$F111))</f>
        <v/>
      </c>
      <c r="J111" s="13" t="str">
        <f aca="false">IF($D111="","",$G111-$I111)</f>
        <v/>
      </c>
      <c r="K111" s="14" t="str">
        <f aca="false">IF(OR($D111="",$G111=0),"",$J111/$G111)</f>
        <v/>
      </c>
    </row>
    <row r="112" customFormat="false" ht="14.25" hidden="false" customHeight="false" outlineLevel="0" collapsed="false">
      <c r="C112" s="22"/>
      <c r="D112" s="6" t="str">
        <f aca="false">IF(A112="","",A112&amp;" - "&amp;B112)</f>
        <v/>
      </c>
      <c r="E112" s="19"/>
      <c r="F112" s="23"/>
      <c r="G112" s="16" t="str">
        <f aca="false">IF($D112="","",SUMIF('Daily tracking'!$B$2:$B$2001,$D112,'Daily tracking'!$G$2:$G$2001))</f>
        <v/>
      </c>
      <c r="H112" s="15" t="str">
        <f aca="false">IF($D112="","",COUNTIF('Daily tracking'!$B$2:$B$2001,$D112))</f>
        <v/>
      </c>
      <c r="I112" s="9" t="str">
        <f aca="false">IF($D112="","",$H112*IF($F112="",0,$F112))</f>
        <v/>
      </c>
      <c r="J112" s="13" t="str">
        <f aca="false">IF($D112="","",$G112-$I112)</f>
        <v/>
      </c>
      <c r="K112" s="14" t="str">
        <f aca="false">IF(OR($D112="",$G112=0),"",$J112/$G112)</f>
        <v/>
      </c>
    </row>
    <row r="113" customFormat="false" ht="14.25" hidden="false" customHeight="false" outlineLevel="0" collapsed="false">
      <c r="C113" s="22"/>
      <c r="D113" s="6" t="str">
        <f aca="false">IF(A113="","",A113&amp;" - "&amp;B113)</f>
        <v/>
      </c>
      <c r="E113" s="19"/>
      <c r="F113" s="23"/>
      <c r="G113" s="16" t="str">
        <f aca="false">IF($D113="","",SUMIF('Daily tracking'!$B$2:$B$2001,$D113,'Daily tracking'!$G$2:$G$2001))</f>
        <v/>
      </c>
      <c r="H113" s="15" t="str">
        <f aca="false">IF($D113="","",COUNTIF('Daily tracking'!$B$2:$B$2001,$D113))</f>
        <v/>
      </c>
      <c r="I113" s="9" t="str">
        <f aca="false">IF($D113="","",$H113*IF($F113="",0,$F113))</f>
        <v/>
      </c>
      <c r="J113" s="13" t="str">
        <f aca="false">IF($D113="","",$G113-$I113)</f>
        <v/>
      </c>
      <c r="K113" s="14" t="str">
        <f aca="false">IF(OR($D113="",$G113=0),"",$J113/$G113)</f>
        <v/>
      </c>
    </row>
    <row r="114" customFormat="false" ht="14.25" hidden="false" customHeight="false" outlineLevel="0" collapsed="false">
      <c r="C114" s="22"/>
      <c r="D114" s="6" t="str">
        <f aca="false">IF(A114="","",A114&amp;" - "&amp;B114)</f>
        <v/>
      </c>
      <c r="E114" s="19"/>
      <c r="F114" s="23"/>
      <c r="G114" s="16" t="str">
        <f aca="false">IF($D114="","",SUMIF('Daily tracking'!$B$2:$B$2001,$D114,'Daily tracking'!$G$2:$G$2001))</f>
        <v/>
      </c>
      <c r="H114" s="15" t="str">
        <f aca="false">IF($D114="","",COUNTIF('Daily tracking'!$B$2:$B$2001,$D114))</f>
        <v/>
      </c>
      <c r="I114" s="9" t="str">
        <f aca="false">IF($D114="","",$H114*IF($F114="",0,$F114))</f>
        <v/>
      </c>
      <c r="J114" s="13" t="str">
        <f aca="false">IF($D114="","",$G114-$I114)</f>
        <v/>
      </c>
      <c r="K114" s="14" t="str">
        <f aca="false">IF(OR($D114="",$G114=0),"",$J114/$G114)</f>
        <v/>
      </c>
    </row>
    <row r="115" customFormat="false" ht="14.25" hidden="false" customHeight="false" outlineLevel="0" collapsed="false">
      <c r="C115" s="22"/>
      <c r="D115" s="6" t="str">
        <f aca="false">IF(A115="","",A115&amp;" - "&amp;B115)</f>
        <v/>
      </c>
      <c r="E115" s="19"/>
      <c r="F115" s="23"/>
      <c r="G115" s="16" t="str">
        <f aca="false">IF($D115="","",SUMIF('Daily tracking'!$B$2:$B$2001,$D115,'Daily tracking'!$G$2:$G$2001))</f>
        <v/>
      </c>
      <c r="H115" s="15" t="str">
        <f aca="false">IF($D115="","",COUNTIF('Daily tracking'!$B$2:$B$2001,$D115))</f>
        <v/>
      </c>
      <c r="I115" s="9" t="str">
        <f aca="false">IF($D115="","",$H115*IF($F115="",0,$F115))</f>
        <v/>
      </c>
      <c r="J115" s="13" t="str">
        <f aca="false">IF($D115="","",$G115-$I115)</f>
        <v/>
      </c>
      <c r="K115" s="14" t="str">
        <f aca="false">IF(OR($D115="",$G115=0),"",$J115/$G115)</f>
        <v/>
      </c>
    </row>
    <row r="116" customFormat="false" ht="14.25" hidden="false" customHeight="false" outlineLevel="0" collapsed="false">
      <c r="C116" s="22"/>
      <c r="D116" s="6" t="str">
        <f aca="false">IF(A116="","",A116&amp;" - "&amp;B116)</f>
        <v/>
      </c>
      <c r="E116" s="19"/>
      <c r="F116" s="23"/>
      <c r="G116" s="16" t="str">
        <f aca="false">IF($D116="","",SUMIF('Daily tracking'!$B$2:$B$2001,$D116,'Daily tracking'!$G$2:$G$2001))</f>
        <v/>
      </c>
      <c r="H116" s="15" t="str">
        <f aca="false">IF($D116="","",COUNTIF('Daily tracking'!$B$2:$B$2001,$D116))</f>
        <v/>
      </c>
      <c r="I116" s="9" t="str">
        <f aca="false">IF($D116="","",$H116*IF($F116="",0,$F116))</f>
        <v/>
      </c>
      <c r="J116" s="13" t="str">
        <f aca="false">IF($D116="","",$G116-$I116)</f>
        <v/>
      </c>
      <c r="K116" s="14" t="str">
        <f aca="false">IF(OR($D116="",$G116=0),"",$J116/$G116)</f>
        <v/>
      </c>
    </row>
    <row r="117" customFormat="false" ht="14.25" hidden="false" customHeight="false" outlineLevel="0" collapsed="false">
      <c r="C117" s="22"/>
      <c r="D117" s="6" t="str">
        <f aca="false">IF(A117="","",A117&amp;" - "&amp;B117)</f>
        <v/>
      </c>
      <c r="E117" s="19"/>
      <c r="F117" s="23"/>
      <c r="G117" s="16" t="str">
        <f aca="false">IF($D117="","",SUMIF('Daily tracking'!$B$2:$B$2001,$D117,'Daily tracking'!$G$2:$G$2001))</f>
        <v/>
      </c>
      <c r="H117" s="15" t="str">
        <f aca="false">IF($D117="","",COUNTIF('Daily tracking'!$B$2:$B$2001,$D117))</f>
        <v/>
      </c>
      <c r="I117" s="9" t="str">
        <f aca="false">IF($D117="","",$H117*IF($F117="",0,$F117))</f>
        <v/>
      </c>
      <c r="J117" s="13" t="str">
        <f aca="false">IF($D117="","",$G117-$I117)</f>
        <v/>
      </c>
      <c r="K117" s="14" t="str">
        <f aca="false">IF(OR($D117="",$G117=0),"",$J117/$G117)</f>
        <v/>
      </c>
    </row>
    <row r="118" customFormat="false" ht="14.25" hidden="false" customHeight="false" outlineLevel="0" collapsed="false">
      <c r="C118" s="22"/>
      <c r="D118" s="6" t="str">
        <f aca="false">IF(A118="","",A118&amp;" - "&amp;B118)</f>
        <v/>
      </c>
      <c r="E118" s="19"/>
      <c r="F118" s="23"/>
      <c r="G118" s="16" t="str">
        <f aca="false">IF($D118="","",SUMIF('Daily tracking'!$B$2:$B$2001,$D118,'Daily tracking'!$G$2:$G$2001))</f>
        <v/>
      </c>
      <c r="H118" s="15" t="str">
        <f aca="false">IF($D118="","",COUNTIF('Daily tracking'!$B$2:$B$2001,$D118))</f>
        <v/>
      </c>
      <c r="I118" s="9" t="str">
        <f aca="false">IF($D118="","",$H118*IF($F118="",0,$F118))</f>
        <v/>
      </c>
      <c r="J118" s="13" t="str">
        <f aca="false">IF($D118="","",$G118-$I118)</f>
        <v/>
      </c>
      <c r="K118" s="14" t="str">
        <f aca="false">IF(OR($D118="",$G118=0),"",$J118/$G118)</f>
        <v/>
      </c>
    </row>
    <row r="119" customFormat="false" ht="14.25" hidden="false" customHeight="false" outlineLevel="0" collapsed="false">
      <c r="C119" s="22"/>
      <c r="D119" s="6" t="str">
        <f aca="false">IF(A119="","",A119&amp;" - "&amp;B119)</f>
        <v/>
      </c>
      <c r="E119" s="19"/>
      <c r="F119" s="23"/>
      <c r="G119" s="16" t="str">
        <f aca="false">IF($D119="","",SUMIF('Daily tracking'!$B$2:$B$2001,$D119,'Daily tracking'!$G$2:$G$2001))</f>
        <v/>
      </c>
      <c r="H119" s="15" t="str">
        <f aca="false">IF($D119="","",COUNTIF('Daily tracking'!$B$2:$B$2001,$D119))</f>
        <v/>
      </c>
      <c r="I119" s="9" t="str">
        <f aca="false">IF($D119="","",$H119*IF($F119="",0,$F119))</f>
        <v/>
      </c>
      <c r="J119" s="13" t="str">
        <f aca="false">IF($D119="","",$G119-$I119)</f>
        <v/>
      </c>
      <c r="K119" s="14" t="str">
        <f aca="false">IF(OR($D119="",$G119=0),"",$J119/$G119)</f>
        <v/>
      </c>
    </row>
    <row r="120" customFormat="false" ht="14.25" hidden="false" customHeight="false" outlineLevel="0" collapsed="false">
      <c r="C120" s="22"/>
      <c r="D120" s="6" t="str">
        <f aca="false">IF(A120="","",A120&amp;" - "&amp;B120)</f>
        <v/>
      </c>
      <c r="E120" s="19"/>
      <c r="F120" s="23"/>
      <c r="G120" s="16" t="str">
        <f aca="false">IF($D120="","",SUMIF('Daily tracking'!$B$2:$B$2001,$D120,'Daily tracking'!$G$2:$G$2001))</f>
        <v/>
      </c>
      <c r="H120" s="15" t="str">
        <f aca="false">IF($D120="","",COUNTIF('Daily tracking'!$B$2:$B$2001,$D120))</f>
        <v/>
      </c>
      <c r="I120" s="9" t="str">
        <f aca="false">IF($D120="","",$H120*IF($F120="",0,$F120))</f>
        <v/>
      </c>
      <c r="J120" s="13" t="str">
        <f aca="false">IF($D120="","",$G120-$I120)</f>
        <v/>
      </c>
      <c r="K120" s="14" t="str">
        <f aca="false">IF(OR($D120="",$G120=0),"",$J120/$G120)</f>
        <v/>
      </c>
    </row>
  </sheetData>
  <dataValidations count="1">
    <dataValidation allowBlank="true" errorStyle="stop" operator="between" showDropDown="false" showErrorMessage="true" showInputMessage="false" sqref="E2:E120" type="list">
      <formula1>"Service,Retail"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" activeCellId="0" sqref="C1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20"/>
    <col collapsed="false" customWidth="true" hidden="false" outlineLevel="0" max="9" min="9" style="0" width="23"/>
  </cols>
  <sheetData>
    <row r="1" customFormat="false" ht="14.25" hidden="false" customHeight="false" outlineLevel="0" collapsed="false">
      <c r="A1" s="17" t="s">
        <v>64</v>
      </c>
      <c r="B1" s="17" t="s">
        <v>152</v>
      </c>
      <c r="C1" s="17" t="s">
        <v>153</v>
      </c>
      <c r="D1" s="17" t="s">
        <v>154</v>
      </c>
      <c r="E1" s="17" t="s">
        <v>155</v>
      </c>
      <c r="F1" s="17" t="s">
        <v>156</v>
      </c>
      <c r="G1" s="17" t="s">
        <v>157</v>
      </c>
      <c r="H1" s="17" t="s">
        <v>158</v>
      </c>
      <c r="I1" s="17" t="s">
        <v>159</v>
      </c>
    </row>
    <row r="2" customFormat="false" ht="14.25" hidden="false" customHeight="false" outlineLevel="0" collapsed="false">
      <c r="A2" s="19" t="s">
        <v>160</v>
      </c>
      <c r="B2" s="23" t="n">
        <v>15000</v>
      </c>
      <c r="C2" s="15" t="n">
        <f aca="false">IF($A2="","",COUNTIF('Daily tracking'!$C$2:$C$2001,$A2))</f>
        <v>0</v>
      </c>
      <c r="D2" s="16" t="n">
        <f aca="false">IF($A2="","",SUMIF('Daily tracking'!$C$2:$C$2001,$A2,'Daily tracking'!$G$2:$G$2001))</f>
        <v>0</v>
      </c>
      <c r="E2" s="16" t="n">
        <f aca="true">IF($A2="","",SUMIFS('Daily tracking'!$G$2:$G$2001,'Daily tracking'!$C$2:$C$2001,$A2,'Daily tracking'!$A$2:$A$2001,"&gt;="&amp;EOMONTH(TODAY(),-1)+1,'Daily tracking'!$A$2:$A$2001,"&lt;="&amp;EOMONTH(TODAY(),0)))</f>
        <v>0</v>
      </c>
      <c r="F2" s="24" t="n">
        <f aca="false">IF(OR($A2="",$B2=0),"",$D2/$B2)</f>
        <v>0</v>
      </c>
      <c r="G2" s="25"/>
      <c r="H2" s="9" t="n">
        <f aca="false">IF($A2="","",$E2*IF($G2="",0,$G2))</f>
        <v>0</v>
      </c>
      <c r="I2" s="13" t="n">
        <f aca="false">IF($A2="","",IF($B2="",0,$B2)+$H2)</f>
        <v>15000</v>
      </c>
    </row>
    <row r="3" customFormat="false" ht="14.25" hidden="false" customHeight="false" outlineLevel="0" collapsed="false">
      <c r="A3" s="19" t="s">
        <v>161</v>
      </c>
      <c r="B3" s="23" t="n">
        <v>22000</v>
      </c>
      <c r="C3" s="15" t="n">
        <f aca="false">IF($A3="","",COUNTIF('Daily tracking'!$C$2:$C$2001,$A3))</f>
        <v>0</v>
      </c>
      <c r="D3" s="16" t="n">
        <f aca="false">IF($A3="","",SUMIF('Daily tracking'!$C$2:$C$2001,$A3,'Daily tracking'!$G$2:$G$2001))</f>
        <v>0</v>
      </c>
      <c r="E3" s="16" t="n">
        <f aca="true">IF($A3="","",SUMIFS('Daily tracking'!$G$2:$G$2001,'Daily tracking'!$C$2:$C$2001,$A3,'Daily tracking'!$A$2:$A$2001,"&gt;="&amp;EOMONTH(TODAY(),-1)+1,'Daily tracking'!$A$2:$A$2001,"&lt;="&amp;EOMONTH(TODAY(),0)))</f>
        <v>0</v>
      </c>
      <c r="F3" s="24" t="n">
        <f aca="false">IF(OR($A3="",$B3=0),"",$D3/$B3)</f>
        <v>0</v>
      </c>
      <c r="G3" s="25"/>
      <c r="H3" s="9" t="n">
        <f aca="false">IF($A3="","",$E3*IF($G3="",0,$G3))</f>
        <v>0</v>
      </c>
      <c r="I3" s="13" t="n">
        <f aca="false">IF($A3="","",IF($B3="",0,$B3)+$H3)</f>
        <v>22000</v>
      </c>
    </row>
    <row r="4" customFormat="false" ht="14.25" hidden="false" customHeight="false" outlineLevel="0" collapsed="false">
      <c r="A4" s="19" t="s">
        <v>162</v>
      </c>
      <c r="B4" s="23" t="n">
        <v>4000</v>
      </c>
      <c r="C4" s="15" t="n">
        <f aca="false">IF($A4="","",COUNTIF('Daily tracking'!$C$2:$C$2001,$A4))</f>
        <v>0</v>
      </c>
      <c r="D4" s="16" t="n">
        <f aca="false">IF($A4="","",SUMIF('Daily tracking'!$C$2:$C$2001,$A4,'Daily tracking'!$G$2:$G$2001))</f>
        <v>0</v>
      </c>
      <c r="E4" s="16" t="n">
        <f aca="true">IF($A4="","",SUMIFS('Daily tracking'!$G$2:$G$2001,'Daily tracking'!$C$2:$C$2001,$A4,'Daily tracking'!$A$2:$A$2001,"&gt;="&amp;EOMONTH(TODAY(),-1)+1,'Daily tracking'!$A$2:$A$2001,"&lt;="&amp;EOMONTH(TODAY(),0)))</f>
        <v>0</v>
      </c>
      <c r="F4" s="24" t="n">
        <f aca="false">IF(OR($A4="",$B4=0),"",$D4/$B4)</f>
        <v>0</v>
      </c>
      <c r="G4" s="25"/>
      <c r="H4" s="9" t="n">
        <f aca="false">IF($A4="","",$E4*IF($G4="",0,$G4))</f>
        <v>0</v>
      </c>
      <c r="I4" s="13" t="n">
        <f aca="false">IF($A4="","",IF($B4="",0,$B4)+$H4)</f>
        <v>4000</v>
      </c>
    </row>
    <row r="5" customFormat="false" ht="14.25" hidden="false" customHeight="false" outlineLevel="0" collapsed="false">
      <c r="A5" s="19" t="s">
        <v>163</v>
      </c>
      <c r="B5" s="23" t="n">
        <v>7000</v>
      </c>
      <c r="C5" s="15" t="n">
        <f aca="false">IF($A5="","",COUNTIF('Daily tracking'!$C$2:$C$2001,$A5))</f>
        <v>0</v>
      </c>
      <c r="D5" s="16" t="n">
        <f aca="false">IF($A5="","",SUMIF('Daily tracking'!$C$2:$C$2001,$A5,'Daily tracking'!$G$2:$G$2001))</f>
        <v>0</v>
      </c>
      <c r="E5" s="16" t="n">
        <f aca="true">IF($A5="","",SUMIFS('Daily tracking'!$G$2:$G$2001,'Daily tracking'!$C$2:$C$2001,$A5,'Daily tracking'!$A$2:$A$2001,"&gt;="&amp;EOMONTH(TODAY(),-1)+1,'Daily tracking'!$A$2:$A$2001,"&lt;="&amp;EOMONTH(TODAY(),0)))</f>
        <v>0</v>
      </c>
      <c r="F5" s="24" t="n">
        <f aca="false">IF(OR($A5="",$B5=0),"",$D5/$B5)</f>
        <v>0</v>
      </c>
      <c r="G5" s="25"/>
      <c r="H5" s="9" t="n">
        <f aca="false">IF($A5="","",$E5*IF($G5="",0,$G5))</f>
        <v>0</v>
      </c>
      <c r="I5" s="13" t="n">
        <f aca="false">IF($A5="","",IF($B5="",0,$B5)+$H5)</f>
        <v>7000</v>
      </c>
    </row>
    <row r="6" customFormat="false" ht="14.25" hidden="false" customHeight="false" outlineLevel="0" collapsed="false">
      <c r="A6" s="19"/>
      <c r="B6" s="23"/>
      <c r="C6" s="15" t="str">
        <f aca="false">IF($A6="","",COUNTIF('Daily tracking'!$C$2:$C$2001,$A6))</f>
        <v/>
      </c>
      <c r="D6" s="16" t="str">
        <f aca="false">IF($A6="","",SUMIF('Daily tracking'!$C$2:$C$2001,$A6,'Daily tracking'!$G$2:$G$2001))</f>
        <v/>
      </c>
      <c r="E6" s="16" t="str">
        <f aca="true">IF($A6="","",SUMIFS('Daily tracking'!$G$2:$G$2001,'Daily tracking'!$C$2:$C$2001,$A6,'Daily tracking'!$A$2:$A$2001,"&gt;="&amp;EOMONTH(TODAY(),-1)+1,'Daily tracking'!$A$2:$A$2001,"&lt;="&amp;EOMONTH(TODAY(),0)))</f>
        <v/>
      </c>
      <c r="F6" s="24" t="str">
        <f aca="false">IF(OR($A6="",$B6=0),"",$D6/$B6)</f>
        <v/>
      </c>
      <c r="G6" s="25"/>
      <c r="H6" s="9" t="str">
        <f aca="false">IF($A6="","",$E6*IF($G6="",0,$G6))</f>
        <v/>
      </c>
      <c r="I6" s="13" t="str">
        <f aca="false">IF($A6="","",IF($B6="",0,$B6)+$H6)</f>
        <v/>
      </c>
    </row>
    <row r="7" customFormat="false" ht="14.25" hidden="false" customHeight="false" outlineLevel="0" collapsed="false">
      <c r="A7" s="19"/>
      <c r="B7" s="23"/>
      <c r="C7" s="15" t="str">
        <f aca="false">IF($A7="","",COUNTIF('Daily tracking'!$C$2:$C$2001,$A7))</f>
        <v/>
      </c>
      <c r="D7" s="16" t="str">
        <f aca="false">IF($A7="","",SUMIF('Daily tracking'!$C$2:$C$2001,$A7,'Daily tracking'!$G$2:$G$2001))</f>
        <v/>
      </c>
      <c r="E7" s="16" t="str">
        <f aca="true">IF($A7="","",SUMIFS('Daily tracking'!$G$2:$G$2001,'Daily tracking'!$C$2:$C$2001,$A7,'Daily tracking'!$A$2:$A$2001,"&gt;="&amp;EOMONTH(TODAY(),-1)+1,'Daily tracking'!$A$2:$A$2001,"&lt;="&amp;EOMONTH(TODAY(),0)))</f>
        <v/>
      </c>
      <c r="F7" s="24" t="str">
        <f aca="false">IF(OR($A7="",$B7=0),"",$D7/$B7)</f>
        <v/>
      </c>
      <c r="G7" s="25"/>
      <c r="H7" s="9" t="str">
        <f aca="false">IF($A7="","",$E7*IF($G7="",0,$G7))</f>
        <v/>
      </c>
      <c r="I7" s="13" t="str">
        <f aca="false">IF($A7="","",IF($B7="",0,$B7)+$H7)</f>
        <v/>
      </c>
    </row>
    <row r="8" customFormat="false" ht="14.25" hidden="false" customHeight="false" outlineLevel="0" collapsed="false">
      <c r="A8" s="19"/>
      <c r="B8" s="23"/>
      <c r="C8" s="15" t="str">
        <f aca="false">IF($A8="","",COUNTIF('Daily tracking'!$C$2:$C$2001,$A8))</f>
        <v/>
      </c>
      <c r="D8" s="16" t="str">
        <f aca="false">IF($A8="","",SUMIF('Daily tracking'!$C$2:$C$2001,$A8,'Daily tracking'!$G$2:$G$2001))</f>
        <v/>
      </c>
      <c r="E8" s="16" t="str">
        <f aca="true">IF($A8="","",SUMIFS('Daily tracking'!$G$2:$G$2001,'Daily tracking'!$C$2:$C$2001,$A8,'Daily tracking'!$A$2:$A$2001,"&gt;="&amp;EOMONTH(TODAY(),-1)+1,'Daily tracking'!$A$2:$A$2001,"&lt;="&amp;EOMONTH(TODAY(),0)))</f>
        <v/>
      </c>
      <c r="F8" s="24" t="str">
        <f aca="false">IF(OR($A8="",$B8=0),"",$D8/$B8)</f>
        <v/>
      </c>
      <c r="G8" s="25"/>
      <c r="H8" s="9" t="str">
        <f aca="false">IF($A8="","",$E8*IF($G8="",0,$G8))</f>
        <v/>
      </c>
      <c r="I8" s="13" t="str">
        <f aca="false">IF($A8="","",IF($B8="",0,$B8)+$H8)</f>
        <v/>
      </c>
    </row>
    <row r="9" customFormat="false" ht="14.25" hidden="false" customHeight="false" outlineLevel="0" collapsed="false">
      <c r="A9" s="19"/>
      <c r="B9" s="23"/>
      <c r="C9" s="15" t="str">
        <f aca="false">IF($A9="","",COUNTIF('Daily tracking'!$C$2:$C$2001,$A9))</f>
        <v/>
      </c>
      <c r="D9" s="16" t="str">
        <f aca="false">IF($A9="","",SUMIF('Daily tracking'!$C$2:$C$2001,$A9,'Daily tracking'!$G$2:$G$2001))</f>
        <v/>
      </c>
      <c r="E9" s="16" t="str">
        <f aca="true">IF($A9="","",SUMIFS('Daily tracking'!$G$2:$G$2001,'Daily tracking'!$C$2:$C$2001,$A9,'Daily tracking'!$A$2:$A$2001,"&gt;="&amp;EOMONTH(TODAY(),-1)+1,'Daily tracking'!$A$2:$A$2001,"&lt;="&amp;EOMONTH(TODAY(),0)))</f>
        <v/>
      </c>
      <c r="F9" s="24" t="str">
        <f aca="false">IF(OR($A9="",$B9=0),"",$D9/$B9)</f>
        <v/>
      </c>
      <c r="G9" s="25"/>
      <c r="H9" s="9" t="str">
        <f aca="false">IF($A9="","",$E9*IF($G9="",0,$G9))</f>
        <v/>
      </c>
      <c r="I9" s="13" t="str">
        <f aca="false">IF($A9="","",IF($B9="",0,$B9)+$H9)</f>
        <v/>
      </c>
    </row>
    <row r="10" customFormat="false" ht="14.25" hidden="false" customHeight="false" outlineLevel="0" collapsed="false">
      <c r="A10" s="19"/>
      <c r="B10" s="23"/>
      <c r="C10" s="15" t="str">
        <f aca="false">IF($A10="","",COUNTIF('Daily tracking'!$C$2:$C$2001,$A10))</f>
        <v/>
      </c>
      <c r="D10" s="16" t="str">
        <f aca="false">IF($A10="","",SUMIF('Daily tracking'!$C$2:$C$2001,$A10,'Daily tracking'!$G$2:$G$2001))</f>
        <v/>
      </c>
      <c r="E10" s="16" t="str">
        <f aca="true">IF($A10="","",SUMIFS('Daily tracking'!$G$2:$G$2001,'Daily tracking'!$C$2:$C$2001,$A10,'Daily tracking'!$A$2:$A$2001,"&gt;="&amp;EOMONTH(TODAY(),-1)+1,'Daily tracking'!$A$2:$A$2001,"&lt;="&amp;EOMONTH(TODAY(),0)))</f>
        <v/>
      </c>
      <c r="F10" s="24" t="str">
        <f aca="false">IF(OR($A10="",$B10=0),"",$D10/$B10)</f>
        <v/>
      </c>
      <c r="G10" s="25"/>
      <c r="H10" s="9" t="str">
        <f aca="false">IF($A10="","",$E10*IF($G10="",0,$G10))</f>
        <v/>
      </c>
      <c r="I10" s="13" t="str">
        <f aca="false">IF($A10="","",IF($B10="",0,$B10)+$H10)</f>
        <v/>
      </c>
    </row>
    <row r="11" customFormat="false" ht="14.25" hidden="false" customHeight="false" outlineLevel="0" collapsed="false">
      <c r="A11" s="19"/>
      <c r="B11" s="23"/>
      <c r="C11" s="15" t="str">
        <f aca="false">IF($A11="","",COUNTIF('Daily tracking'!$C$2:$C$2001,$A11))</f>
        <v/>
      </c>
      <c r="D11" s="16" t="str">
        <f aca="false">IF($A11="","",SUMIF('Daily tracking'!$C$2:$C$2001,$A11,'Daily tracking'!$G$2:$G$2001))</f>
        <v/>
      </c>
      <c r="E11" s="16" t="str">
        <f aca="true">IF($A11="","",SUMIFS('Daily tracking'!$G$2:$G$2001,'Daily tracking'!$C$2:$C$2001,$A11,'Daily tracking'!$A$2:$A$2001,"&gt;="&amp;EOMONTH(TODAY(),-1)+1,'Daily tracking'!$A$2:$A$2001,"&lt;="&amp;EOMONTH(TODAY(),0)))</f>
        <v/>
      </c>
      <c r="F11" s="24" t="str">
        <f aca="false">IF(OR($A11="",$B11=0),"",$D11/$B11)</f>
        <v/>
      </c>
      <c r="G11" s="25"/>
      <c r="H11" s="9" t="str">
        <f aca="false">IF($A11="","",$E11*IF($G11="",0,$G11))</f>
        <v/>
      </c>
      <c r="I11" s="13" t="str">
        <f aca="false">IF($A11="","",IF($B11="",0,$B11)+$H11)</f>
        <v/>
      </c>
    </row>
    <row r="12" customFormat="false" ht="14.25" hidden="false" customHeight="false" outlineLevel="0" collapsed="false">
      <c r="A12" s="19"/>
      <c r="B12" s="23"/>
      <c r="C12" s="15" t="str">
        <f aca="false">IF($A12="","",COUNTIF('Daily tracking'!$C$2:$C$2001,$A12))</f>
        <v/>
      </c>
      <c r="D12" s="16" t="str">
        <f aca="false">IF($A12="","",SUMIF('Daily tracking'!$C$2:$C$2001,$A12,'Daily tracking'!$G$2:$G$2001))</f>
        <v/>
      </c>
      <c r="E12" s="16" t="str">
        <f aca="true">IF($A12="","",SUMIFS('Daily tracking'!$G$2:$G$2001,'Daily tracking'!$C$2:$C$2001,$A12,'Daily tracking'!$A$2:$A$2001,"&gt;="&amp;EOMONTH(TODAY(),-1)+1,'Daily tracking'!$A$2:$A$2001,"&lt;="&amp;EOMONTH(TODAY(),0)))</f>
        <v/>
      </c>
      <c r="F12" s="24" t="str">
        <f aca="false">IF(OR($A12="",$B12=0),"",$D12/$B12)</f>
        <v/>
      </c>
      <c r="G12" s="25"/>
      <c r="H12" s="9" t="str">
        <f aca="false">IF($A12="","",$E12*IF($G12="",0,$G12))</f>
        <v/>
      </c>
      <c r="I12" s="13" t="str">
        <f aca="false">IF($A12="","",IF($B12="",0,$B12)+$H12)</f>
        <v/>
      </c>
    </row>
    <row r="13" customFormat="false" ht="14.25" hidden="false" customHeight="false" outlineLevel="0" collapsed="false">
      <c r="A13" s="19"/>
      <c r="B13" s="23"/>
      <c r="C13" s="15" t="str">
        <f aca="false">IF($A13="","",COUNTIF('Daily tracking'!$C$2:$C$2001,$A13))</f>
        <v/>
      </c>
      <c r="D13" s="16" t="str">
        <f aca="false">IF($A13="","",SUMIF('Daily tracking'!$C$2:$C$2001,$A13,'Daily tracking'!$G$2:$G$2001))</f>
        <v/>
      </c>
      <c r="E13" s="16" t="str">
        <f aca="true">IF($A13="","",SUMIFS('Daily tracking'!$G$2:$G$2001,'Daily tracking'!$C$2:$C$2001,$A13,'Daily tracking'!$A$2:$A$2001,"&gt;="&amp;EOMONTH(TODAY(),-1)+1,'Daily tracking'!$A$2:$A$2001,"&lt;="&amp;EOMONTH(TODAY(),0)))</f>
        <v/>
      </c>
      <c r="F13" s="24" t="str">
        <f aca="false">IF(OR($A13="",$B13=0),"",$D13/$B13)</f>
        <v/>
      </c>
      <c r="G13" s="25"/>
      <c r="H13" s="9" t="str">
        <f aca="false">IF($A13="","",$E13*IF($G13="",0,$G13))</f>
        <v/>
      </c>
      <c r="I13" s="13" t="str">
        <f aca="false">IF($A13="","",IF($B13="",0,$B13)+$H13)</f>
        <v/>
      </c>
    </row>
    <row r="14" customFormat="false" ht="14.25" hidden="false" customHeight="false" outlineLevel="0" collapsed="false">
      <c r="A14" s="19"/>
      <c r="B14" s="23"/>
      <c r="C14" s="15" t="str">
        <f aca="false">IF($A14="","",COUNTIF('Daily tracking'!$C$2:$C$2001,$A14))</f>
        <v/>
      </c>
      <c r="D14" s="16" t="str">
        <f aca="false">IF($A14="","",SUMIF('Daily tracking'!$C$2:$C$2001,$A14,'Daily tracking'!$G$2:$G$2001))</f>
        <v/>
      </c>
      <c r="E14" s="16" t="str">
        <f aca="true">IF($A14="","",SUMIFS('Daily tracking'!$G$2:$G$2001,'Daily tracking'!$C$2:$C$2001,$A14,'Daily tracking'!$A$2:$A$2001,"&gt;="&amp;EOMONTH(TODAY(),-1)+1,'Daily tracking'!$A$2:$A$2001,"&lt;="&amp;EOMONTH(TODAY(),0)))</f>
        <v/>
      </c>
      <c r="F14" s="24" t="str">
        <f aca="false">IF(OR($A14="",$B14=0),"",$D14/$B14)</f>
        <v/>
      </c>
      <c r="G14" s="25"/>
      <c r="H14" s="9" t="str">
        <f aca="false">IF($A14="","",$E14*IF($G14="",0,$G14))</f>
        <v/>
      </c>
      <c r="I14" s="13" t="str">
        <f aca="false">IF($A14="","",IF($B14="",0,$B14)+$H14)</f>
        <v/>
      </c>
    </row>
    <row r="15" customFormat="false" ht="14.25" hidden="false" customHeight="false" outlineLevel="0" collapsed="false">
      <c r="A15" s="19"/>
      <c r="B15" s="23"/>
      <c r="C15" s="15" t="str">
        <f aca="false">IF($A15="","",COUNTIF('Daily tracking'!$C$2:$C$2001,$A15))</f>
        <v/>
      </c>
      <c r="D15" s="16" t="str">
        <f aca="false">IF($A15="","",SUMIF('Daily tracking'!$C$2:$C$2001,$A15,'Daily tracking'!$G$2:$G$2001))</f>
        <v/>
      </c>
      <c r="E15" s="16" t="str">
        <f aca="true">IF($A15="","",SUMIFS('Daily tracking'!$G$2:$G$2001,'Daily tracking'!$C$2:$C$2001,$A15,'Daily tracking'!$A$2:$A$2001,"&gt;="&amp;EOMONTH(TODAY(),-1)+1,'Daily tracking'!$A$2:$A$2001,"&lt;="&amp;EOMONTH(TODAY(),0)))</f>
        <v/>
      </c>
      <c r="F15" s="24" t="str">
        <f aca="false">IF(OR($A15="",$B15=0),"",$D15/$B15)</f>
        <v/>
      </c>
      <c r="G15" s="25"/>
      <c r="H15" s="9" t="str">
        <f aca="false">IF($A15="","",$E15*IF($G15="",0,$G15))</f>
        <v/>
      </c>
      <c r="I15" s="13" t="str">
        <f aca="false">IF($A15="","",IF($B15="",0,$B15)+$H15)</f>
        <v/>
      </c>
    </row>
    <row r="16" customFormat="false" ht="14.25" hidden="false" customHeight="false" outlineLevel="0" collapsed="false">
      <c r="A16" s="19"/>
      <c r="B16" s="23"/>
      <c r="C16" s="15" t="str">
        <f aca="false">IF($A16="","",COUNTIF('Daily tracking'!$C$2:$C$2001,$A16))</f>
        <v/>
      </c>
      <c r="D16" s="16" t="str">
        <f aca="false">IF($A16="","",SUMIF('Daily tracking'!$C$2:$C$2001,$A16,'Daily tracking'!$G$2:$G$2001))</f>
        <v/>
      </c>
      <c r="E16" s="16" t="str">
        <f aca="true">IF($A16="","",SUMIFS('Daily tracking'!$G$2:$G$2001,'Daily tracking'!$C$2:$C$2001,$A16,'Daily tracking'!$A$2:$A$2001,"&gt;="&amp;EOMONTH(TODAY(),-1)+1,'Daily tracking'!$A$2:$A$2001,"&lt;="&amp;EOMONTH(TODAY(),0)))</f>
        <v/>
      </c>
      <c r="F16" s="24" t="str">
        <f aca="false">IF(OR($A16="",$B16=0),"",$D16/$B16)</f>
        <v/>
      </c>
      <c r="G16" s="25"/>
      <c r="H16" s="9" t="str">
        <f aca="false">IF($A16="","",$E16*IF($G16="",0,$G16))</f>
        <v/>
      </c>
      <c r="I16" s="13" t="str">
        <f aca="false">IF($A16="","",IF($B16="",0,$B16)+$H16)</f>
        <v/>
      </c>
    </row>
    <row r="17" customFormat="false" ht="14.25" hidden="false" customHeight="false" outlineLevel="0" collapsed="false">
      <c r="A17" s="19"/>
      <c r="B17" s="23"/>
      <c r="C17" s="15" t="str">
        <f aca="false">IF($A17="","",COUNTIF('Daily tracking'!$C$2:$C$2001,$A17))</f>
        <v/>
      </c>
      <c r="D17" s="16" t="str">
        <f aca="false">IF($A17="","",SUMIF('Daily tracking'!$C$2:$C$2001,$A17,'Daily tracking'!$G$2:$G$2001))</f>
        <v/>
      </c>
      <c r="E17" s="16" t="str">
        <f aca="true">IF($A17="","",SUMIFS('Daily tracking'!$G$2:$G$2001,'Daily tracking'!$C$2:$C$2001,$A17,'Daily tracking'!$A$2:$A$2001,"&gt;="&amp;EOMONTH(TODAY(),-1)+1,'Daily tracking'!$A$2:$A$2001,"&lt;="&amp;EOMONTH(TODAY(),0)))</f>
        <v/>
      </c>
      <c r="F17" s="24" t="str">
        <f aca="false">IF(OR($A17="",$B17=0),"",$D17/$B17)</f>
        <v/>
      </c>
      <c r="G17" s="25"/>
      <c r="H17" s="9" t="str">
        <f aca="false">IF($A17="","",$E17*IF($G17="",0,$G17))</f>
        <v/>
      </c>
      <c r="I17" s="13" t="str">
        <f aca="false">IF($A17="","",IF($B17="",0,$B17)+$H17)</f>
        <v/>
      </c>
    </row>
    <row r="18" customFormat="false" ht="14.25" hidden="false" customHeight="false" outlineLevel="0" collapsed="false">
      <c r="A18" s="19"/>
      <c r="B18" s="23"/>
      <c r="C18" s="15" t="str">
        <f aca="false">IF($A18="","",COUNTIF('Daily tracking'!$C$2:$C$2001,$A18))</f>
        <v/>
      </c>
      <c r="D18" s="16" t="str">
        <f aca="false">IF($A18="","",SUMIF('Daily tracking'!$C$2:$C$2001,$A18,'Daily tracking'!$G$2:$G$2001))</f>
        <v/>
      </c>
      <c r="E18" s="16" t="str">
        <f aca="true">IF($A18="","",SUMIFS('Daily tracking'!$G$2:$G$2001,'Daily tracking'!$C$2:$C$2001,$A18,'Daily tracking'!$A$2:$A$2001,"&gt;="&amp;EOMONTH(TODAY(),-1)+1,'Daily tracking'!$A$2:$A$2001,"&lt;="&amp;EOMONTH(TODAY(),0)))</f>
        <v/>
      </c>
      <c r="F18" s="24" t="str">
        <f aca="false">IF(OR($A18="",$B18=0),"",$D18/$B18)</f>
        <v/>
      </c>
      <c r="G18" s="25"/>
      <c r="H18" s="9" t="str">
        <f aca="false">IF($A18="","",$E18*IF($G18="",0,$G18))</f>
        <v/>
      </c>
      <c r="I18" s="13" t="str">
        <f aca="false">IF($A18="","",IF($B18="",0,$B18)+$H18)</f>
        <v/>
      </c>
    </row>
    <row r="19" customFormat="false" ht="14.25" hidden="false" customHeight="false" outlineLevel="0" collapsed="false">
      <c r="A19" s="19"/>
      <c r="B19" s="23"/>
      <c r="C19" s="15" t="str">
        <f aca="false">IF($A19="","",COUNTIF('Daily tracking'!$C$2:$C$2001,$A19))</f>
        <v/>
      </c>
      <c r="D19" s="16" t="str">
        <f aca="false">IF($A19="","",SUMIF('Daily tracking'!$C$2:$C$2001,$A19,'Daily tracking'!$G$2:$G$2001))</f>
        <v/>
      </c>
      <c r="E19" s="16" t="str">
        <f aca="true">IF($A19="","",SUMIFS('Daily tracking'!$G$2:$G$2001,'Daily tracking'!$C$2:$C$2001,$A19,'Daily tracking'!$A$2:$A$2001,"&gt;="&amp;EOMONTH(TODAY(),-1)+1,'Daily tracking'!$A$2:$A$2001,"&lt;="&amp;EOMONTH(TODAY(),0)))</f>
        <v/>
      </c>
      <c r="F19" s="24" t="str">
        <f aca="false">IF(OR($A19="",$B19=0),"",$D19/$B19)</f>
        <v/>
      </c>
      <c r="G19" s="25"/>
      <c r="H19" s="9" t="str">
        <f aca="false">IF($A19="","",$E19*IF($G19="",0,$G19))</f>
        <v/>
      </c>
      <c r="I19" s="13" t="str">
        <f aca="false">IF($A19="","",IF($B19="",0,$B19)+$H19)</f>
        <v/>
      </c>
    </row>
    <row r="20" customFormat="false" ht="14.25" hidden="false" customHeight="false" outlineLevel="0" collapsed="false">
      <c r="A20" s="19"/>
      <c r="B20" s="23"/>
      <c r="C20" s="15" t="str">
        <f aca="false">IF($A20="","",COUNTIF('Daily tracking'!$C$2:$C$2001,$A20))</f>
        <v/>
      </c>
      <c r="D20" s="16" t="str">
        <f aca="false">IF($A20="","",SUMIF('Daily tracking'!$C$2:$C$2001,$A20,'Daily tracking'!$G$2:$G$2001))</f>
        <v/>
      </c>
      <c r="E20" s="16" t="str">
        <f aca="true">IF($A20="","",SUMIFS('Daily tracking'!$G$2:$G$2001,'Daily tracking'!$C$2:$C$2001,$A20,'Daily tracking'!$A$2:$A$2001,"&gt;="&amp;EOMONTH(TODAY(),-1)+1,'Daily tracking'!$A$2:$A$2001,"&lt;="&amp;EOMONTH(TODAY(),0)))</f>
        <v/>
      </c>
      <c r="F20" s="24" t="str">
        <f aca="false">IF(OR($A20="",$B20=0),"",$D20/$B20)</f>
        <v/>
      </c>
      <c r="G20" s="25"/>
      <c r="H20" s="9" t="str">
        <f aca="false">IF($A20="","",$E20*IF($G20="",0,$G20))</f>
        <v/>
      </c>
      <c r="I20" s="13" t="str">
        <f aca="false">IF($A20="","",IF($B20="",0,$B20)+$H20)</f>
        <v/>
      </c>
    </row>
    <row r="21" customFormat="false" ht="14.25" hidden="false" customHeight="false" outlineLevel="0" collapsed="false">
      <c r="A21" s="19"/>
      <c r="B21" s="23"/>
      <c r="C21" s="15" t="str">
        <f aca="false">IF($A21="","",COUNTIF('Daily tracking'!$C$2:$C$2001,$A21))</f>
        <v/>
      </c>
      <c r="D21" s="16" t="str">
        <f aca="false">IF($A21="","",SUMIF('Daily tracking'!$C$2:$C$2001,$A21,'Daily tracking'!$G$2:$G$2001))</f>
        <v/>
      </c>
      <c r="E21" s="16" t="str">
        <f aca="true">IF($A21="","",SUMIFS('Daily tracking'!$G$2:$G$2001,'Daily tracking'!$C$2:$C$2001,$A21,'Daily tracking'!$A$2:$A$2001,"&gt;="&amp;EOMONTH(TODAY(),-1)+1,'Daily tracking'!$A$2:$A$2001,"&lt;="&amp;EOMONTH(TODAY(),0)))</f>
        <v/>
      </c>
      <c r="F21" s="24" t="str">
        <f aca="false">IF(OR($A21="",$B21=0),"",$D21/$B21)</f>
        <v/>
      </c>
      <c r="G21" s="25"/>
      <c r="H21" s="9" t="str">
        <f aca="false">IF($A21="","",$E21*IF($G21="",0,$G21))</f>
        <v/>
      </c>
      <c r="I21" s="13" t="str">
        <f aca="false">IF($A21="","",IF($B21="",0,$B21)+$H21)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17" t="s">
        <v>56</v>
      </c>
      <c r="B1" s="17" t="s">
        <v>7</v>
      </c>
      <c r="C1" s="17" t="s">
        <v>164</v>
      </c>
      <c r="D1" s="17" t="s">
        <v>165</v>
      </c>
      <c r="F1" s="2" t="s">
        <v>166</v>
      </c>
    </row>
    <row r="2" customFormat="false" ht="15" hidden="false" customHeight="false" outlineLevel="0" collapsed="false">
      <c r="A2" s="20"/>
      <c r="B2" s="19"/>
      <c r="C2" s="23"/>
      <c r="D2" s="19"/>
    </row>
    <row r="3" customFormat="false" ht="15" hidden="false" customHeight="false" outlineLevel="0" collapsed="false">
      <c r="A3" s="20"/>
      <c r="B3" s="19"/>
      <c r="C3" s="23"/>
      <c r="D3" s="19"/>
    </row>
    <row r="4" customFormat="false" ht="15" hidden="false" customHeight="false" outlineLevel="0" collapsed="false">
      <c r="A4" s="20"/>
      <c r="B4" s="19"/>
      <c r="C4" s="23"/>
      <c r="D4" s="19"/>
    </row>
    <row r="5" customFormat="false" ht="15" hidden="false" customHeight="false" outlineLevel="0" collapsed="false">
      <c r="A5" s="20"/>
      <c r="B5" s="19"/>
      <c r="C5" s="23"/>
      <c r="D5" s="19"/>
    </row>
    <row r="6" customFormat="false" ht="15" hidden="false" customHeight="false" outlineLevel="0" collapsed="false">
      <c r="A6" s="20"/>
      <c r="B6" s="19"/>
      <c r="C6" s="23"/>
      <c r="D6" s="19"/>
    </row>
    <row r="7" customFormat="false" ht="15" hidden="false" customHeight="false" outlineLevel="0" collapsed="false">
      <c r="A7" s="20"/>
      <c r="B7" s="19"/>
      <c r="C7" s="23"/>
      <c r="D7" s="19"/>
    </row>
    <row r="8" customFormat="false" ht="15" hidden="false" customHeight="false" outlineLevel="0" collapsed="false">
      <c r="A8" s="20"/>
      <c r="B8" s="19"/>
      <c r="C8" s="23"/>
      <c r="D8" s="19"/>
    </row>
    <row r="9" customFormat="false" ht="15" hidden="false" customHeight="false" outlineLevel="0" collapsed="false">
      <c r="A9" s="20"/>
      <c r="B9" s="19"/>
      <c r="C9" s="23"/>
      <c r="D9" s="19"/>
    </row>
    <row r="10" customFormat="false" ht="15" hidden="false" customHeight="false" outlineLevel="0" collapsed="false">
      <c r="A10" s="20"/>
      <c r="B10" s="19"/>
      <c r="C10" s="23"/>
      <c r="D10" s="19"/>
    </row>
    <row r="11" customFormat="false" ht="15" hidden="false" customHeight="false" outlineLevel="0" collapsed="false">
      <c r="A11" s="20"/>
      <c r="B11" s="19"/>
      <c r="C11" s="23"/>
      <c r="D11" s="19"/>
    </row>
    <row r="12" customFormat="false" ht="15" hidden="false" customHeight="false" outlineLevel="0" collapsed="false">
      <c r="A12" s="20"/>
      <c r="B12" s="19"/>
      <c r="C12" s="23"/>
      <c r="D12" s="19"/>
    </row>
    <row r="13" customFormat="false" ht="15" hidden="false" customHeight="false" outlineLevel="0" collapsed="false">
      <c r="A13" s="20"/>
      <c r="B13" s="19"/>
      <c r="C13" s="23"/>
      <c r="D13" s="19"/>
    </row>
    <row r="14" customFormat="false" ht="15" hidden="false" customHeight="false" outlineLevel="0" collapsed="false">
      <c r="A14" s="20"/>
      <c r="B14" s="19"/>
      <c r="C14" s="23"/>
      <c r="D14" s="19"/>
    </row>
    <row r="15" customFormat="false" ht="15" hidden="false" customHeight="false" outlineLevel="0" collapsed="false">
      <c r="A15" s="20"/>
      <c r="B15" s="19"/>
      <c r="C15" s="23"/>
      <c r="D15" s="19"/>
    </row>
    <row r="16" customFormat="false" ht="15" hidden="false" customHeight="false" outlineLevel="0" collapsed="false">
      <c r="A16" s="20"/>
      <c r="B16" s="19"/>
      <c r="C16" s="23"/>
      <c r="D16" s="19"/>
    </row>
    <row r="17" customFormat="false" ht="15" hidden="false" customHeight="false" outlineLevel="0" collapsed="false">
      <c r="A17" s="20"/>
      <c r="B17" s="19"/>
      <c r="C17" s="23"/>
      <c r="D17" s="19"/>
    </row>
    <row r="18" customFormat="false" ht="15" hidden="false" customHeight="false" outlineLevel="0" collapsed="false">
      <c r="A18" s="20"/>
      <c r="B18" s="19"/>
      <c r="C18" s="23"/>
      <c r="D18" s="19"/>
    </row>
    <row r="19" customFormat="false" ht="15" hidden="false" customHeight="false" outlineLevel="0" collapsed="false">
      <c r="A19" s="20"/>
      <c r="B19" s="19"/>
      <c r="C19" s="23"/>
      <c r="D19" s="19"/>
    </row>
    <row r="20" customFormat="false" ht="15" hidden="false" customHeight="false" outlineLevel="0" collapsed="false">
      <c r="A20" s="20"/>
      <c r="B20" s="19"/>
      <c r="C20" s="23"/>
      <c r="D20" s="19"/>
    </row>
    <row r="21" customFormat="false" ht="15" hidden="false" customHeight="false" outlineLevel="0" collapsed="false">
      <c r="A21" s="20"/>
      <c r="B21" s="19"/>
      <c r="C21" s="23"/>
      <c r="D21" s="19"/>
    </row>
    <row r="22" customFormat="false" ht="15" hidden="false" customHeight="false" outlineLevel="0" collapsed="false">
      <c r="A22" s="20"/>
      <c r="B22" s="19"/>
      <c r="C22" s="23"/>
      <c r="D22" s="19"/>
    </row>
    <row r="23" customFormat="false" ht="15" hidden="false" customHeight="false" outlineLevel="0" collapsed="false">
      <c r="A23" s="20"/>
      <c r="B23" s="19"/>
      <c r="C23" s="23"/>
      <c r="D23" s="19"/>
    </row>
    <row r="24" customFormat="false" ht="15" hidden="false" customHeight="false" outlineLevel="0" collapsed="false">
      <c r="A24" s="20"/>
      <c r="B24" s="19"/>
      <c r="C24" s="23"/>
      <c r="D24" s="19"/>
    </row>
    <row r="25" customFormat="false" ht="15" hidden="false" customHeight="false" outlineLevel="0" collapsed="false">
      <c r="A25" s="20"/>
      <c r="B25" s="19"/>
      <c r="C25" s="23"/>
      <c r="D25" s="19"/>
    </row>
    <row r="26" customFormat="false" ht="15" hidden="false" customHeight="false" outlineLevel="0" collapsed="false">
      <c r="A26" s="20"/>
      <c r="B26" s="19"/>
      <c r="C26" s="23"/>
      <c r="D26" s="19"/>
    </row>
    <row r="27" customFormat="false" ht="15" hidden="false" customHeight="false" outlineLevel="0" collapsed="false">
      <c r="A27" s="20"/>
      <c r="B27" s="19"/>
      <c r="C27" s="23"/>
      <c r="D27" s="19"/>
    </row>
    <row r="28" customFormat="false" ht="15" hidden="false" customHeight="false" outlineLevel="0" collapsed="false">
      <c r="A28" s="20"/>
      <c r="B28" s="19"/>
      <c r="C28" s="23"/>
      <c r="D28" s="19"/>
    </row>
    <row r="29" customFormat="false" ht="15" hidden="false" customHeight="false" outlineLevel="0" collapsed="false">
      <c r="A29" s="20"/>
      <c r="B29" s="19"/>
      <c r="C29" s="23"/>
      <c r="D29" s="19"/>
    </row>
    <row r="30" customFormat="false" ht="15" hidden="false" customHeight="false" outlineLevel="0" collapsed="false">
      <c r="A30" s="20"/>
      <c r="B30" s="19"/>
      <c r="C30" s="23"/>
      <c r="D30" s="19"/>
    </row>
    <row r="31" customFormat="false" ht="15" hidden="false" customHeight="false" outlineLevel="0" collapsed="false">
      <c r="A31" s="20"/>
      <c r="B31" s="19"/>
      <c r="C31" s="23"/>
      <c r="D31" s="19"/>
    </row>
    <row r="32" customFormat="false" ht="15" hidden="false" customHeight="false" outlineLevel="0" collapsed="false">
      <c r="A32" s="20"/>
      <c r="B32" s="19"/>
      <c r="C32" s="23"/>
      <c r="D32" s="19"/>
    </row>
    <row r="33" customFormat="false" ht="15" hidden="false" customHeight="false" outlineLevel="0" collapsed="false">
      <c r="A33" s="20"/>
      <c r="B33" s="19"/>
      <c r="C33" s="23"/>
      <c r="D33" s="19"/>
    </row>
    <row r="34" customFormat="false" ht="15" hidden="false" customHeight="false" outlineLevel="0" collapsed="false">
      <c r="A34" s="20"/>
      <c r="B34" s="19"/>
      <c r="C34" s="23"/>
      <c r="D34" s="19"/>
    </row>
    <row r="35" customFormat="false" ht="15" hidden="false" customHeight="false" outlineLevel="0" collapsed="false">
      <c r="A35" s="20"/>
      <c r="B35" s="19"/>
      <c r="C35" s="23"/>
      <c r="D35" s="19"/>
    </row>
    <row r="36" customFormat="false" ht="15" hidden="false" customHeight="false" outlineLevel="0" collapsed="false">
      <c r="A36" s="20"/>
      <c r="B36" s="19"/>
      <c r="C36" s="23"/>
      <c r="D36" s="19"/>
    </row>
    <row r="37" customFormat="false" ht="15" hidden="false" customHeight="false" outlineLevel="0" collapsed="false">
      <c r="A37" s="20"/>
      <c r="B37" s="19"/>
      <c r="C37" s="23"/>
      <c r="D37" s="19"/>
    </row>
    <row r="38" customFormat="false" ht="15" hidden="false" customHeight="false" outlineLevel="0" collapsed="false">
      <c r="A38" s="20"/>
      <c r="B38" s="19"/>
      <c r="C38" s="23"/>
      <c r="D38" s="19"/>
    </row>
    <row r="39" customFormat="false" ht="15" hidden="false" customHeight="false" outlineLevel="0" collapsed="false">
      <c r="A39" s="20"/>
      <c r="B39" s="19"/>
      <c r="C39" s="23"/>
      <c r="D39" s="19"/>
    </row>
    <row r="40" customFormat="false" ht="15" hidden="false" customHeight="false" outlineLevel="0" collapsed="false">
      <c r="A40" s="20"/>
      <c r="B40" s="19"/>
      <c r="C40" s="23"/>
      <c r="D40" s="19"/>
    </row>
    <row r="41" customFormat="false" ht="15" hidden="false" customHeight="false" outlineLevel="0" collapsed="false">
      <c r="A41" s="20"/>
      <c r="B41" s="19"/>
      <c r="C41" s="23"/>
      <c r="D41" s="19"/>
    </row>
    <row r="42" customFormat="false" ht="15" hidden="false" customHeight="false" outlineLevel="0" collapsed="false">
      <c r="A42" s="20"/>
      <c r="B42" s="19"/>
      <c r="C42" s="23"/>
      <c r="D42" s="19"/>
    </row>
    <row r="43" customFormat="false" ht="15" hidden="false" customHeight="false" outlineLevel="0" collapsed="false">
      <c r="A43" s="20"/>
      <c r="B43" s="19"/>
      <c r="C43" s="23"/>
      <c r="D43" s="19"/>
    </row>
    <row r="44" customFormat="false" ht="15" hidden="false" customHeight="false" outlineLevel="0" collapsed="false">
      <c r="A44" s="20"/>
      <c r="B44" s="19"/>
      <c r="C44" s="23"/>
      <c r="D44" s="19"/>
    </row>
    <row r="45" customFormat="false" ht="15" hidden="false" customHeight="false" outlineLevel="0" collapsed="false">
      <c r="A45" s="20"/>
      <c r="B45" s="19"/>
      <c r="C45" s="23"/>
      <c r="D45" s="19"/>
    </row>
    <row r="46" customFormat="false" ht="15" hidden="false" customHeight="false" outlineLevel="0" collapsed="false">
      <c r="A46" s="20"/>
      <c r="B46" s="19"/>
      <c r="C46" s="23"/>
      <c r="D46" s="19"/>
    </row>
    <row r="47" customFormat="false" ht="15" hidden="false" customHeight="false" outlineLevel="0" collapsed="false">
      <c r="A47" s="20"/>
      <c r="B47" s="19"/>
      <c r="C47" s="23"/>
      <c r="D47" s="19"/>
    </row>
    <row r="48" customFormat="false" ht="15" hidden="false" customHeight="false" outlineLevel="0" collapsed="false">
      <c r="A48" s="20"/>
      <c r="B48" s="19"/>
      <c r="C48" s="23"/>
      <c r="D48" s="19"/>
    </row>
    <row r="49" customFormat="false" ht="15" hidden="false" customHeight="false" outlineLevel="0" collapsed="false">
      <c r="A49" s="20"/>
      <c r="B49" s="19"/>
      <c r="C49" s="23"/>
      <c r="D49" s="19"/>
    </row>
    <row r="50" customFormat="false" ht="15" hidden="false" customHeight="false" outlineLevel="0" collapsed="false">
      <c r="A50" s="20"/>
      <c r="B50" s="19"/>
      <c r="C50" s="23"/>
      <c r="D50" s="19"/>
    </row>
    <row r="51" customFormat="false" ht="15" hidden="false" customHeight="false" outlineLevel="0" collapsed="false">
      <c r="A51" s="20"/>
      <c r="B51" s="19"/>
      <c r="C51" s="23"/>
      <c r="D51" s="19"/>
    </row>
    <row r="52" customFormat="false" ht="15" hidden="false" customHeight="false" outlineLevel="0" collapsed="false">
      <c r="A52" s="20"/>
      <c r="B52" s="19"/>
      <c r="C52" s="23"/>
      <c r="D52" s="19"/>
    </row>
    <row r="53" customFormat="false" ht="15" hidden="false" customHeight="false" outlineLevel="0" collapsed="false">
      <c r="A53" s="20"/>
      <c r="B53" s="19"/>
      <c r="C53" s="23"/>
      <c r="D53" s="19"/>
    </row>
    <row r="54" customFormat="false" ht="15" hidden="false" customHeight="false" outlineLevel="0" collapsed="false">
      <c r="A54" s="20"/>
      <c r="B54" s="19"/>
      <c r="C54" s="23"/>
      <c r="D54" s="19"/>
    </row>
    <row r="55" customFormat="false" ht="15" hidden="false" customHeight="false" outlineLevel="0" collapsed="false">
      <c r="A55" s="20"/>
      <c r="B55" s="19"/>
      <c r="C55" s="23"/>
      <c r="D55" s="19"/>
    </row>
    <row r="56" customFormat="false" ht="15" hidden="false" customHeight="false" outlineLevel="0" collapsed="false">
      <c r="A56" s="20"/>
      <c r="B56" s="19"/>
      <c r="C56" s="23"/>
      <c r="D56" s="19"/>
    </row>
    <row r="57" customFormat="false" ht="15" hidden="false" customHeight="false" outlineLevel="0" collapsed="false">
      <c r="A57" s="20"/>
      <c r="B57" s="19"/>
      <c r="C57" s="23"/>
      <c r="D57" s="19"/>
    </row>
    <row r="58" customFormat="false" ht="15" hidden="false" customHeight="false" outlineLevel="0" collapsed="false">
      <c r="A58" s="20"/>
      <c r="B58" s="19"/>
      <c r="C58" s="23"/>
      <c r="D58" s="19"/>
    </row>
    <row r="59" customFormat="false" ht="15" hidden="false" customHeight="false" outlineLevel="0" collapsed="false">
      <c r="A59" s="20"/>
      <c r="B59" s="19"/>
      <c r="C59" s="23"/>
      <c r="D59" s="19"/>
    </row>
    <row r="60" customFormat="false" ht="15" hidden="false" customHeight="false" outlineLevel="0" collapsed="false">
      <c r="A60" s="20"/>
      <c r="B60" s="19"/>
      <c r="C60" s="23"/>
      <c r="D60" s="19"/>
    </row>
    <row r="61" customFormat="false" ht="15" hidden="false" customHeight="false" outlineLevel="0" collapsed="false">
      <c r="A61" s="20"/>
      <c r="B61" s="19"/>
      <c r="C61" s="23"/>
      <c r="D61" s="19"/>
    </row>
    <row r="62" customFormat="false" ht="15" hidden="false" customHeight="false" outlineLevel="0" collapsed="false">
      <c r="A62" s="20"/>
      <c r="B62" s="19"/>
      <c r="C62" s="23"/>
      <c r="D62" s="19"/>
    </row>
    <row r="63" customFormat="false" ht="15" hidden="false" customHeight="false" outlineLevel="0" collapsed="false">
      <c r="A63" s="20"/>
      <c r="B63" s="19"/>
      <c r="C63" s="23"/>
      <c r="D63" s="19"/>
    </row>
    <row r="64" customFormat="false" ht="15" hidden="false" customHeight="false" outlineLevel="0" collapsed="false">
      <c r="A64" s="20"/>
      <c r="B64" s="19"/>
      <c r="C64" s="23"/>
      <c r="D64" s="19"/>
    </row>
    <row r="65" customFormat="false" ht="15" hidden="false" customHeight="false" outlineLevel="0" collapsed="false">
      <c r="A65" s="20"/>
      <c r="B65" s="19"/>
      <c r="C65" s="23"/>
      <c r="D65" s="19"/>
    </row>
    <row r="66" customFormat="false" ht="15" hidden="false" customHeight="false" outlineLevel="0" collapsed="false">
      <c r="A66" s="20"/>
      <c r="B66" s="19"/>
      <c r="C66" s="23"/>
      <c r="D66" s="19"/>
    </row>
    <row r="67" customFormat="false" ht="15" hidden="false" customHeight="false" outlineLevel="0" collapsed="false">
      <c r="A67" s="20"/>
      <c r="B67" s="19"/>
      <c r="C67" s="23"/>
      <c r="D67" s="19"/>
    </row>
    <row r="68" customFormat="false" ht="15" hidden="false" customHeight="false" outlineLevel="0" collapsed="false">
      <c r="A68" s="20"/>
      <c r="B68" s="19"/>
      <c r="C68" s="23"/>
      <c r="D68" s="19"/>
    </row>
    <row r="69" customFormat="false" ht="15" hidden="false" customHeight="false" outlineLevel="0" collapsed="false">
      <c r="A69" s="20"/>
      <c r="B69" s="19"/>
      <c r="C69" s="23"/>
      <c r="D69" s="19"/>
    </row>
    <row r="70" customFormat="false" ht="15" hidden="false" customHeight="false" outlineLevel="0" collapsed="false">
      <c r="A70" s="20"/>
      <c r="B70" s="19"/>
      <c r="C70" s="23"/>
      <c r="D70" s="19"/>
    </row>
    <row r="71" customFormat="false" ht="15" hidden="false" customHeight="false" outlineLevel="0" collapsed="false">
      <c r="A71" s="20"/>
      <c r="B71" s="19"/>
      <c r="C71" s="23"/>
      <c r="D71" s="19"/>
    </row>
    <row r="72" customFormat="false" ht="15" hidden="false" customHeight="false" outlineLevel="0" collapsed="false">
      <c r="A72" s="20"/>
      <c r="B72" s="19"/>
      <c r="C72" s="23"/>
      <c r="D72" s="19"/>
    </row>
    <row r="73" customFormat="false" ht="15" hidden="false" customHeight="false" outlineLevel="0" collapsed="false">
      <c r="A73" s="20"/>
      <c r="B73" s="19"/>
      <c r="C73" s="23"/>
      <c r="D73" s="19"/>
    </row>
    <row r="74" customFormat="false" ht="15" hidden="false" customHeight="false" outlineLevel="0" collapsed="false">
      <c r="A74" s="20"/>
      <c r="B74" s="19"/>
      <c r="C74" s="23"/>
      <c r="D74" s="19"/>
    </row>
    <row r="75" customFormat="false" ht="15" hidden="false" customHeight="false" outlineLevel="0" collapsed="false">
      <c r="A75" s="20"/>
      <c r="B75" s="19"/>
      <c r="C75" s="23"/>
      <c r="D75" s="19"/>
    </row>
    <row r="76" customFormat="false" ht="15" hidden="false" customHeight="false" outlineLevel="0" collapsed="false">
      <c r="A76" s="20"/>
      <c r="B76" s="19"/>
      <c r="C76" s="23"/>
      <c r="D76" s="19"/>
    </row>
    <row r="77" customFormat="false" ht="15" hidden="false" customHeight="false" outlineLevel="0" collapsed="false">
      <c r="A77" s="20"/>
      <c r="B77" s="19"/>
      <c r="C77" s="23"/>
      <c r="D77" s="19"/>
    </row>
    <row r="78" customFormat="false" ht="15" hidden="false" customHeight="false" outlineLevel="0" collapsed="false">
      <c r="A78" s="20"/>
      <c r="B78" s="19"/>
      <c r="C78" s="23"/>
      <c r="D78" s="19"/>
    </row>
    <row r="79" customFormat="false" ht="15" hidden="false" customHeight="false" outlineLevel="0" collapsed="false">
      <c r="A79" s="20"/>
      <c r="B79" s="19"/>
      <c r="C79" s="23"/>
      <c r="D79" s="19"/>
    </row>
    <row r="80" customFormat="false" ht="15" hidden="false" customHeight="false" outlineLevel="0" collapsed="false">
      <c r="A80" s="20"/>
      <c r="B80" s="19"/>
      <c r="C80" s="23"/>
      <c r="D80" s="19"/>
    </row>
    <row r="81" customFormat="false" ht="15" hidden="false" customHeight="false" outlineLevel="0" collapsed="false">
      <c r="A81" s="20"/>
      <c r="B81" s="19"/>
      <c r="C81" s="23"/>
      <c r="D81" s="19"/>
    </row>
    <row r="82" customFormat="false" ht="15" hidden="false" customHeight="false" outlineLevel="0" collapsed="false">
      <c r="A82" s="20"/>
      <c r="B82" s="19"/>
      <c r="C82" s="23"/>
      <c r="D82" s="19"/>
    </row>
    <row r="83" customFormat="false" ht="15" hidden="false" customHeight="false" outlineLevel="0" collapsed="false">
      <c r="A83" s="20"/>
      <c r="B83" s="19"/>
      <c r="C83" s="23"/>
      <c r="D83" s="19"/>
    </row>
    <row r="84" customFormat="false" ht="15" hidden="false" customHeight="false" outlineLevel="0" collapsed="false">
      <c r="A84" s="20"/>
      <c r="B84" s="19"/>
      <c r="C84" s="23"/>
      <c r="D84" s="19"/>
    </row>
    <row r="85" customFormat="false" ht="15" hidden="false" customHeight="false" outlineLevel="0" collapsed="false">
      <c r="A85" s="20"/>
      <c r="B85" s="19"/>
      <c r="C85" s="23"/>
      <c r="D85" s="19"/>
    </row>
    <row r="86" customFormat="false" ht="15" hidden="false" customHeight="false" outlineLevel="0" collapsed="false">
      <c r="A86" s="20"/>
      <c r="B86" s="19"/>
      <c r="C86" s="23"/>
      <c r="D86" s="19"/>
    </row>
    <row r="87" customFormat="false" ht="15" hidden="false" customHeight="false" outlineLevel="0" collapsed="false">
      <c r="A87" s="20"/>
      <c r="B87" s="19"/>
      <c r="C87" s="23"/>
      <c r="D87" s="19"/>
    </row>
    <row r="88" customFormat="false" ht="15" hidden="false" customHeight="false" outlineLevel="0" collapsed="false">
      <c r="A88" s="20"/>
      <c r="B88" s="19"/>
      <c r="C88" s="23"/>
      <c r="D88" s="19"/>
    </row>
    <row r="89" customFormat="false" ht="15" hidden="false" customHeight="false" outlineLevel="0" collapsed="false">
      <c r="A89" s="20"/>
      <c r="B89" s="19"/>
      <c r="C89" s="23"/>
      <c r="D89" s="19"/>
    </row>
    <row r="90" customFormat="false" ht="15" hidden="false" customHeight="false" outlineLevel="0" collapsed="false">
      <c r="A90" s="20"/>
      <c r="B90" s="19"/>
      <c r="C90" s="23"/>
      <c r="D90" s="19"/>
    </row>
    <row r="91" customFormat="false" ht="15" hidden="false" customHeight="false" outlineLevel="0" collapsed="false">
      <c r="A91" s="20"/>
      <c r="B91" s="19"/>
      <c r="C91" s="23"/>
      <c r="D91" s="19"/>
    </row>
    <row r="92" customFormat="false" ht="15" hidden="false" customHeight="false" outlineLevel="0" collapsed="false">
      <c r="A92" s="20"/>
      <c r="B92" s="19"/>
      <c r="C92" s="23"/>
      <c r="D92" s="19"/>
    </row>
    <row r="93" customFormat="false" ht="15" hidden="false" customHeight="false" outlineLevel="0" collapsed="false">
      <c r="A93" s="20"/>
      <c r="B93" s="19"/>
      <c r="C93" s="23"/>
      <c r="D93" s="19"/>
    </row>
    <row r="94" customFormat="false" ht="15" hidden="false" customHeight="false" outlineLevel="0" collapsed="false">
      <c r="A94" s="20"/>
      <c r="B94" s="19"/>
      <c r="C94" s="23"/>
      <c r="D94" s="19"/>
    </row>
    <row r="95" customFormat="false" ht="15" hidden="false" customHeight="false" outlineLevel="0" collapsed="false">
      <c r="A95" s="20"/>
      <c r="B95" s="19"/>
      <c r="C95" s="23"/>
      <c r="D95" s="19"/>
    </row>
    <row r="96" customFormat="false" ht="15" hidden="false" customHeight="false" outlineLevel="0" collapsed="false">
      <c r="A96" s="20"/>
      <c r="B96" s="19"/>
      <c r="C96" s="23"/>
      <c r="D96" s="19"/>
    </row>
    <row r="97" customFormat="false" ht="15" hidden="false" customHeight="false" outlineLevel="0" collapsed="false">
      <c r="A97" s="20"/>
      <c r="B97" s="19"/>
      <c r="C97" s="23"/>
      <c r="D97" s="19"/>
    </row>
    <row r="98" customFormat="false" ht="15" hidden="false" customHeight="false" outlineLevel="0" collapsed="false">
      <c r="A98" s="20"/>
      <c r="B98" s="19"/>
      <c r="C98" s="23"/>
      <c r="D98" s="19"/>
    </row>
    <row r="99" customFormat="false" ht="15" hidden="false" customHeight="false" outlineLevel="0" collapsed="false">
      <c r="A99" s="20"/>
      <c r="B99" s="19"/>
      <c r="C99" s="23"/>
      <c r="D99" s="19"/>
    </row>
    <row r="100" customFormat="false" ht="15" hidden="false" customHeight="false" outlineLevel="0" collapsed="false">
      <c r="A100" s="20"/>
      <c r="B100" s="19"/>
      <c r="C100" s="23"/>
      <c r="D100" s="19"/>
    </row>
    <row r="101" customFormat="false" ht="15" hidden="false" customHeight="false" outlineLevel="0" collapsed="false">
      <c r="A101" s="20"/>
      <c r="B101" s="19"/>
      <c r="C101" s="23"/>
      <c r="D101" s="19"/>
    </row>
    <row r="102" customFormat="false" ht="15" hidden="false" customHeight="false" outlineLevel="0" collapsed="false">
      <c r="A102" s="20"/>
      <c r="B102" s="19"/>
      <c r="C102" s="23"/>
      <c r="D102" s="19"/>
    </row>
    <row r="103" customFormat="false" ht="15" hidden="false" customHeight="false" outlineLevel="0" collapsed="false">
      <c r="A103" s="20"/>
      <c r="B103" s="19"/>
      <c r="C103" s="23"/>
      <c r="D103" s="19"/>
    </row>
    <row r="104" customFormat="false" ht="15" hidden="false" customHeight="false" outlineLevel="0" collapsed="false">
      <c r="A104" s="20"/>
      <c r="B104" s="19"/>
      <c r="C104" s="23"/>
      <c r="D104" s="19"/>
    </row>
    <row r="105" customFormat="false" ht="15" hidden="false" customHeight="false" outlineLevel="0" collapsed="false">
      <c r="A105" s="20"/>
      <c r="B105" s="19"/>
      <c r="C105" s="23"/>
      <c r="D105" s="19"/>
    </row>
    <row r="106" customFormat="false" ht="15" hidden="false" customHeight="false" outlineLevel="0" collapsed="false">
      <c r="A106" s="20"/>
      <c r="B106" s="19"/>
      <c r="C106" s="23"/>
      <c r="D106" s="19"/>
    </row>
    <row r="107" customFormat="false" ht="15" hidden="false" customHeight="false" outlineLevel="0" collapsed="false">
      <c r="A107" s="20"/>
      <c r="B107" s="19"/>
      <c r="C107" s="23"/>
      <c r="D107" s="19"/>
    </row>
    <row r="108" customFormat="false" ht="15" hidden="false" customHeight="false" outlineLevel="0" collapsed="false">
      <c r="A108" s="20"/>
      <c r="B108" s="19"/>
      <c r="C108" s="23"/>
      <c r="D108" s="19"/>
    </row>
    <row r="109" customFormat="false" ht="15" hidden="false" customHeight="false" outlineLevel="0" collapsed="false">
      <c r="A109" s="20"/>
      <c r="B109" s="19"/>
      <c r="C109" s="23"/>
      <c r="D109" s="19"/>
    </row>
    <row r="110" customFormat="false" ht="15" hidden="false" customHeight="false" outlineLevel="0" collapsed="false">
      <c r="A110" s="20"/>
      <c r="B110" s="19"/>
      <c r="C110" s="23"/>
      <c r="D110" s="19"/>
    </row>
    <row r="111" customFormat="false" ht="15" hidden="false" customHeight="false" outlineLevel="0" collapsed="false">
      <c r="A111" s="20"/>
      <c r="B111" s="19"/>
      <c r="C111" s="23"/>
      <c r="D111" s="19"/>
    </row>
    <row r="112" customFormat="false" ht="15" hidden="false" customHeight="false" outlineLevel="0" collapsed="false">
      <c r="A112" s="20"/>
      <c r="B112" s="19"/>
      <c r="C112" s="23"/>
      <c r="D112" s="19"/>
    </row>
    <row r="113" customFormat="false" ht="15" hidden="false" customHeight="false" outlineLevel="0" collapsed="false">
      <c r="A113" s="20"/>
      <c r="B113" s="19"/>
      <c r="C113" s="23"/>
      <c r="D113" s="19"/>
    </row>
    <row r="114" customFormat="false" ht="15" hidden="false" customHeight="false" outlineLevel="0" collapsed="false">
      <c r="A114" s="20"/>
      <c r="B114" s="19"/>
      <c r="C114" s="23"/>
      <c r="D114" s="19"/>
    </row>
    <row r="115" customFormat="false" ht="15" hidden="false" customHeight="false" outlineLevel="0" collapsed="false">
      <c r="A115" s="20"/>
      <c r="B115" s="19"/>
      <c r="C115" s="23"/>
      <c r="D115" s="19"/>
    </row>
    <row r="116" customFormat="false" ht="15" hidden="false" customHeight="false" outlineLevel="0" collapsed="false">
      <c r="A116" s="20"/>
      <c r="B116" s="19"/>
      <c r="C116" s="23"/>
      <c r="D116" s="19"/>
    </row>
    <row r="117" customFormat="false" ht="15" hidden="false" customHeight="false" outlineLevel="0" collapsed="false">
      <c r="A117" s="20"/>
      <c r="B117" s="19"/>
      <c r="C117" s="23"/>
      <c r="D117" s="19"/>
    </row>
    <row r="118" customFormat="false" ht="15" hidden="false" customHeight="false" outlineLevel="0" collapsed="false">
      <c r="A118" s="20"/>
      <c r="B118" s="19"/>
      <c r="C118" s="23"/>
      <c r="D118" s="19"/>
    </row>
    <row r="119" customFormat="false" ht="15" hidden="false" customHeight="false" outlineLevel="0" collapsed="false">
      <c r="A119" s="20"/>
      <c r="B119" s="19"/>
      <c r="C119" s="23"/>
      <c r="D119" s="19"/>
    </row>
    <row r="120" customFormat="false" ht="15" hidden="false" customHeight="false" outlineLevel="0" collapsed="false">
      <c r="A120" s="20"/>
      <c r="B120" s="19"/>
      <c r="C120" s="23"/>
      <c r="D120" s="19"/>
    </row>
    <row r="121" customFormat="false" ht="15" hidden="false" customHeight="false" outlineLevel="0" collapsed="false">
      <c r="A121" s="20"/>
      <c r="B121" s="19"/>
      <c r="C121" s="23"/>
      <c r="D121" s="19"/>
    </row>
    <row r="122" customFormat="false" ht="15" hidden="false" customHeight="false" outlineLevel="0" collapsed="false">
      <c r="A122" s="20"/>
      <c r="B122" s="19"/>
      <c r="C122" s="23"/>
      <c r="D122" s="19"/>
    </row>
    <row r="123" customFormat="false" ht="15" hidden="false" customHeight="false" outlineLevel="0" collapsed="false">
      <c r="A123" s="20"/>
      <c r="B123" s="19"/>
      <c r="C123" s="23"/>
      <c r="D123" s="19"/>
    </row>
    <row r="124" customFormat="false" ht="15" hidden="false" customHeight="false" outlineLevel="0" collapsed="false">
      <c r="A124" s="20"/>
      <c r="B124" s="19"/>
      <c r="C124" s="23"/>
      <c r="D124" s="19"/>
    </row>
    <row r="125" customFormat="false" ht="15" hidden="false" customHeight="false" outlineLevel="0" collapsed="false">
      <c r="A125" s="20"/>
      <c r="B125" s="19"/>
      <c r="C125" s="23"/>
      <c r="D125" s="19"/>
    </row>
    <row r="126" customFormat="false" ht="15" hidden="false" customHeight="false" outlineLevel="0" collapsed="false">
      <c r="A126" s="20"/>
      <c r="B126" s="19"/>
      <c r="C126" s="23"/>
      <c r="D126" s="19"/>
    </row>
    <row r="127" customFormat="false" ht="15" hidden="false" customHeight="false" outlineLevel="0" collapsed="false">
      <c r="A127" s="20"/>
      <c r="B127" s="19"/>
      <c r="C127" s="23"/>
      <c r="D127" s="19"/>
    </row>
    <row r="128" customFormat="false" ht="15" hidden="false" customHeight="false" outlineLevel="0" collapsed="false">
      <c r="A128" s="20"/>
      <c r="B128" s="19"/>
      <c r="C128" s="23"/>
      <c r="D128" s="19"/>
    </row>
    <row r="129" customFormat="false" ht="15" hidden="false" customHeight="false" outlineLevel="0" collapsed="false">
      <c r="A129" s="20"/>
      <c r="B129" s="19"/>
      <c r="C129" s="23"/>
      <c r="D129" s="19"/>
    </row>
    <row r="130" customFormat="false" ht="15" hidden="false" customHeight="false" outlineLevel="0" collapsed="false">
      <c r="A130" s="20"/>
      <c r="B130" s="19"/>
      <c r="C130" s="23"/>
      <c r="D130" s="19"/>
    </row>
    <row r="131" customFormat="false" ht="15" hidden="false" customHeight="false" outlineLevel="0" collapsed="false">
      <c r="A131" s="20"/>
      <c r="B131" s="19"/>
      <c r="C131" s="23"/>
      <c r="D131" s="19"/>
    </row>
    <row r="132" customFormat="false" ht="15" hidden="false" customHeight="false" outlineLevel="0" collapsed="false">
      <c r="A132" s="20"/>
      <c r="B132" s="19"/>
      <c r="C132" s="23"/>
      <c r="D132" s="19"/>
    </row>
    <row r="133" customFormat="false" ht="15" hidden="false" customHeight="false" outlineLevel="0" collapsed="false">
      <c r="A133" s="20"/>
      <c r="B133" s="19"/>
      <c r="C133" s="23"/>
      <c r="D133" s="19"/>
    </row>
    <row r="134" customFormat="false" ht="15" hidden="false" customHeight="false" outlineLevel="0" collapsed="false">
      <c r="A134" s="20"/>
      <c r="B134" s="19"/>
      <c r="C134" s="23"/>
      <c r="D134" s="19"/>
    </row>
    <row r="135" customFormat="false" ht="15" hidden="false" customHeight="false" outlineLevel="0" collapsed="false">
      <c r="A135" s="20"/>
      <c r="B135" s="19"/>
      <c r="C135" s="23"/>
      <c r="D135" s="19"/>
    </row>
    <row r="136" customFormat="false" ht="15" hidden="false" customHeight="false" outlineLevel="0" collapsed="false">
      <c r="A136" s="20"/>
      <c r="B136" s="19"/>
      <c r="C136" s="23"/>
      <c r="D136" s="19"/>
    </row>
    <row r="137" customFormat="false" ht="15" hidden="false" customHeight="false" outlineLevel="0" collapsed="false">
      <c r="A137" s="20"/>
      <c r="B137" s="19"/>
      <c r="C137" s="23"/>
      <c r="D137" s="19"/>
    </row>
    <row r="138" customFormat="false" ht="15" hidden="false" customHeight="false" outlineLevel="0" collapsed="false">
      <c r="A138" s="20"/>
      <c r="B138" s="19"/>
      <c r="C138" s="23"/>
      <c r="D138" s="19"/>
    </row>
    <row r="139" customFormat="false" ht="15" hidden="false" customHeight="false" outlineLevel="0" collapsed="false">
      <c r="A139" s="20"/>
      <c r="B139" s="19"/>
      <c r="C139" s="23"/>
      <c r="D139" s="19"/>
    </row>
    <row r="140" customFormat="false" ht="15" hidden="false" customHeight="false" outlineLevel="0" collapsed="false">
      <c r="A140" s="20"/>
      <c r="B140" s="19"/>
      <c r="C140" s="23"/>
      <c r="D140" s="19"/>
    </row>
    <row r="141" customFormat="false" ht="15" hidden="false" customHeight="false" outlineLevel="0" collapsed="false">
      <c r="A141" s="20"/>
      <c r="B141" s="19"/>
      <c r="C141" s="23"/>
      <c r="D141" s="19"/>
    </row>
    <row r="142" customFormat="false" ht="15" hidden="false" customHeight="false" outlineLevel="0" collapsed="false">
      <c r="A142" s="20"/>
      <c r="B142" s="19"/>
      <c r="C142" s="23"/>
      <c r="D142" s="19"/>
    </row>
    <row r="143" customFormat="false" ht="15" hidden="false" customHeight="false" outlineLevel="0" collapsed="false">
      <c r="A143" s="20"/>
      <c r="B143" s="19"/>
      <c r="C143" s="23"/>
      <c r="D143" s="19"/>
    </row>
    <row r="144" customFormat="false" ht="15" hidden="false" customHeight="false" outlineLevel="0" collapsed="false">
      <c r="A144" s="20"/>
      <c r="B144" s="19"/>
      <c r="C144" s="23"/>
      <c r="D144" s="19"/>
    </row>
    <row r="145" customFormat="false" ht="15" hidden="false" customHeight="false" outlineLevel="0" collapsed="false">
      <c r="A145" s="20"/>
      <c r="B145" s="19"/>
      <c r="C145" s="23"/>
      <c r="D145" s="19"/>
    </row>
    <row r="146" customFormat="false" ht="15" hidden="false" customHeight="false" outlineLevel="0" collapsed="false">
      <c r="A146" s="20"/>
      <c r="B146" s="19"/>
      <c r="C146" s="23"/>
      <c r="D146" s="19"/>
    </row>
    <row r="147" customFormat="false" ht="15" hidden="false" customHeight="false" outlineLevel="0" collapsed="false">
      <c r="A147" s="20"/>
      <c r="B147" s="19"/>
      <c r="C147" s="23"/>
      <c r="D147" s="19"/>
    </row>
    <row r="148" customFormat="false" ht="15" hidden="false" customHeight="false" outlineLevel="0" collapsed="false">
      <c r="A148" s="20"/>
      <c r="B148" s="19"/>
      <c r="C148" s="23"/>
      <c r="D148" s="19"/>
    </row>
    <row r="149" customFormat="false" ht="15" hidden="false" customHeight="false" outlineLevel="0" collapsed="false">
      <c r="A149" s="20"/>
      <c r="B149" s="19"/>
      <c r="C149" s="23"/>
      <c r="D149" s="19"/>
    </row>
    <row r="150" customFormat="false" ht="15" hidden="false" customHeight="false" outlineLevel="0" collapsed="false">
      <c r="A150" s="20"/>
      <c r="B150" s="19"/>
      <c r="C150" s="23"/>
      <c r="D150" s="19"/>
    </row>
    <row r="151" customFormat="false" ht="15" hidden="false" customHeight="false" outlineLevel="0" collapsed="false">
      <c r="A151" s="20"/>
      <c r="B151" s="19"/>
      <c r="C151" s="23"/>
      <c r="D151" s="19"/>
    </row>
    <row r="152" customFormat="false" ht="15" hidden="false" customHeight="false" outlineLevel="0" collapsed="false">
      <c r="A152" s="20"/>
      <c r="B152" s="19"/>
      <c r="C152" s="23"/>
      <c r="D152" s="19"/>
    </row>
    <row r="153" customFormat="false" ht="15" hidden="false" customHeight="false" outlineLevel="0" collapsed="false">
      <c r="A153" s="20"/>
      <c r="B153" s="19"/>
      <c r="C153" s="23"/>
      <c r="D153" s="19"/>
    </row>
    <row r="154" customFormat="false" ht="15" hidden="false" customHeight="false" outlineLevel="0" collapsed="false">
      <c r="A154" s="20"/>
      <c r="B154" s="19"/>
      <c r="C154" s="23"/>
      <c r="D154" s="19"/>
    </row>
    <row r="155" customFormat="false" ht="15" hidden="false" customHeight="false" outlineLevel="0" collapsed="false">
      <c r="A155" s="20"/>
      <c r="B155" s="19"/>
      <c r="C155" s="23"/>
      <c r="D155" s="19"/>
    </row>
    <row r="156" customFormat="false" ht="15" hidden="false" customHeight="false" outlineLevel="0" collapsed="false">
      <c r="A156" s="20"/>
      <c r="B156" s="19"/>
      <c r="C156" s="23"/>
      <c r="D156" s="19"/>
    </row>
    <row r="157" customFormat="false" ht="15" hidden="false" customHeight="false" outlineLevel="0" collapsed="false">
      <c r="A157" s="20"/>
      <c r="B157" s="19"/>
      <c r="C157" s="23"/>
      <c r="D157" s="19"/>
    </row>
    <row r="158" customFormat="false" ht="15" hidden="false" customHeight="false" outlineLevel="0" collapsed="false">
      <c r="A158" s="20"/>
      <c r="B158" s="19"/>
      <c r="C158" s="23"/>
      <c r="D158" s="19"/>
    </row>
    <row r="159" customFormat="false" ht="15" hidden="false" customHeight="false" outlineLevel="0" collapsed="false">
      <c r="A159" s="20"/>
      <c r="B159" s="19"/>
      <c r="C159" s="23"/>
      <c r="D159" s="19"/>
    </row>
    <row r="160" customFormat="false" ht="15" hidden="false" customHeight="false" outlineLevel="0" collapsed="false">
      <c r="A160" s="20"/>
      <c r="B160" s="19"/>
      <c r="C160" s="23"/>
      <c r="D160" s="19"/>
    </row>
    <row r="161" customFormat="false" ht="15" hidden="false" customHeight="false" outlineLevel="0" collapsed="false">
      <c r="A161" s="20"/>
      <c r="B161" s="19"/>
      <c r="C161" s="23"/>
      <c r="D161" s="19"/>
    </row>
    <row r="162" customFormat="false" ht="15" hidden="false" customHeight="false" outlineLevel="0" collapsed="false">
      <c r="A162" s="20"/>
      <c r="B162" s="19"/>
      <c r="C162" s="23"/>
      <c r="D162" s="19"/>
    </row>
    <row r="163" customFormat="false" ht="15" hidden="false" customHeight="false" outlineLevel="0" collapsed="false">
      <c r="A163" s="20"/>
      <c r="B163" s="19"/>
      <c r="C163" s="23"/>
      <c r="D163" s="19"/>
    </row>
    <row r="164" customFormat="false" ht="15" hidden="false" customHeight="false" outlineLevel="0" collapsed="false">
      <c r="A164" s="20"/>
      <c r="B164" s="19"/>
      <c r="C164" s="23"/>
      <c r="D164" s="19"/>
    </row>
    <row r="165" customFormat="false" ht="15" hidden="false" customHeight="false" outlineLevel="0" collapsed="false">
      <c r="A165" s="20"/>
      <c r="B165" s="19"/>
      <c r="C165" s="23"/>
      <c r="D165" s="19"/>
    </row>
    <row r="166" customFormat="false" ht="15" hidden="false" customHeight="false" outlineLevel="0" collapsed="false">
      <c r="A166" s="20"/>
      <c r="B166" s="19"/>
      <c r="C166" s="23"/>
      <c r="D166" s="19"/>
    </row>
    <row r="167" customFormat="false" ht="15" hidden="false" customHeight="false" outlineLevel="0" collapsed="false">
      <c r="A167" s="20"/>
      <c r="B167" s="19"/>
      <c r="C167" s="23"/>
      <c r="D167" s="19"/>
    </row>
    <row r="168" customFormat="false" ht="15" hidden="false" customHeight="false" outlineLevel="0" collapsed="false">
      <c r="A168" s="20"/>
      <c r="B168" s="19"/>
      <c r="C168" s="23"/>
      <c r="D168" s="19"/>
    </row>
    <row r="169" customFormat="false" ht="15" hidden="false" customHeight="false" outlineLevel="0" collapsed="false">
      <c r="A169" s="20"/>
      <c r="B169" s="19"/>
      <c r="C169" s="23"/>
      <c r="D169" s="19"/>
    </row>
    <row r="170" customFormat="false" ht="15" hidden="false" customHeight="false" outlineLevel="0" collapsed="false">
      <c r="A170" s="20"/>
      <c r="B170" s="19"/>
      <c r="C170" s="23"/>
      <c r="D170" s="19"/>
    </row>
    <row r="171" customFormat="false" ht="15" hidden="false" customHeight="false" outlineLevel="0" collapsed="false">
      <c r="A171" s="20"/>
      <c r="B171" s="19"/>
      <c r="C171" s="23"/>
      <c r="D171" s="19"/>
    </row>
    <row r="172" customFormat="false" ht="15" hidden="false" customHeight="false" outlineLevel="0" collapsed="false">
      <c r="A172" s="20"/>
      <c r="B172" s="19"/>
      <c r="C172" s="23"/>
      <c r="D172" s="19"/>
    </row>
    <row r="173" customFormat="false" ht="15" hidden="false" customHeight="false" outlineLevel="0" collapsed="false">
      <c r="A173" s="20"/>
      <c r="B173" s="19"/>
      <c r="C173" s="23"/>
      <c r="D173" s="19"/>
    </row>
    <row r="174" customFormat="false" ht="15" hidden="false" customHeight="false" outlineLevel="0" collapsed="false">
      <c r="A174" s="20"/>
      <c r="B174" s="19"/>
      <c r="C174" s="23"/>
      <c r="D174" s="19"/>
    </row>
    <row r="175" customFormat="false" ht="15" hidden="false" customHeight="false" outlineLevel="0" collapsed="false">
      <c r="A175" s="20"/>
      <c r="B175" s="19"/>
      <c r="C175" s="23"/>
      <c r="D175" s="19"/>
    </row>
    <row r="176" customFormat="false" ht="15" hidden="false" customHeight="false" outlineLevel="0" collapsed="false">
      <c r="A176" s="20"/>
      <c r="B176" s="19"/>
      <c r="C176" s="23"/>
      <c r="D176" s="19"/>
    </row>
    <row r="177" customFormat="false" ht="15" hidden="false" customHeight="false" outlineLevel="0" collapsed="false">
      <c r="A177" s="20"/>
      <c r="B177" s="19"/>
      <c r="C177" s="23"/>
      <c r="D177" s="19"/>
    </row>
    <row r="178" customFormat="false" ht="15" hidden="false" customHeight="false" outlineLevel="0" collapsed="false">
      <c r="A178" s="20"/>
      <c r="B178" s="19"/>
      <c r="C178" s="23"/>
      <c r="D178" s="19"/>
    </row>
    <row r="179" customFormat="false" ht="15" hidden="false" customHeight="false" outlineLevel="0" collapsed="false">
      <c r="A179" s="20"/>
      <c r="B179" s="19"/>
      <c r="C179" s="23"/>
      <c r="D179" s="19"/>
    </row>
    <row r="180" customFormat="false" ht="15" hidden="false" customHeight="false" outlineLevel="0" collapsed="false">
      <c r="A180" s="20"/>
      <c r="B180" s="19"/>
      <c r="C180" s="23"/>
      <c r="D180" s="19"/>
    </row>
    <row r="181" customFormat="false" ht="15" hidden="false" customHeight="false" outlineLevel="0" collapsed="false">
      <c r="A181" s="20"/>
      <c r="B181" s="19"/>
      <c r="C181" s="23"/>
      <c r="D181" s="19"/>
    </row>
    <row r="182" customFormat="false" ht="15" hidden="false" customHeight="false" outlineLevel="0" collapsed="false">
      <c r="A182" s="20"/>
      <c r="B182" s="19"/>
      <c r="C182" s="23"/>
      <c r="D182" s="19"/>
    </row>
    <row r="183" customFormat="false" ht="15" hidden="false" customHeight="false" outlineLevel="0" collapsed="false">
      <c r="A183" s="20"/>
      <c r="B183" s="19"/>
      <c r="C183" s="23"/>
      <c r="D183" s="19"/>
    </row>
    <row r="184" customFormat="false" ht="15" hidden="false" customHeight="false" outlineLevel="0" collapsed="false">
      <c r="A184" s="20"/>
      <c r="B184" s="19"/>
      <c r="C184" s="23"/>
      <c r="D184" s="19"/>
    </row>
    <row r="185" customFormat="false" ht="15" hidden="false" customHeight="false" outlineLevel="0" collapsed="false">
      <c r="A185" s="20"/>
      <c r="B185" s="19"/>
      <c r="C185" s="23"/>
      <c r="D185" s="19"/>
    </row>
    <row r="186" customFormat="false" ht="15" hidden="false" customHeight="false" outlineLevel="0" collapsed="false">
      <c r="A186" s="20"/>
      <c r="B186" s="19"/>
      <c r="C186" s="23"/>
      <c r="D186" s="19"/>
    </row>
    <row r="187" customFormat="false" ht="15" hidden="false" customHeight="false" outlineLevel="0" collapsed="false">
      <c r="A187" s="20"/>
      <c r="B187" s="19"/>
      <c r="C187" s="23"/>
      <c r="D187" s="19"/>
    </row>
    <row r="188" customFormat="false" ht="15" hidden="false" customHeight="false" outlineLevel="0" collapsed="false">
      <c r="A188" s="20"/>
      <c r="B188" s="19"/>
      <c r="C188" s="23"/>
      <c r="D188" s="19"/>
    </row>
    <row r="189" customFormat="false" ht="15" hidden="false" customHeight="false" outlineLevel="0" collapsed="false">
      <c r="A189" s="20"/>
      <c r="B189" s="19"/>
      <c r="C189" s="23"/>
      <c r="D189" s="19"/>
    </row>
    <row r="190" customFormat="false" ht="15" hidden="false" customHeight="false" outlineLevel="0" collapsed="false">
      <c r="A190" s="20"/>
      <c r="B190" s="19"/>
      <c r="C190" s="23"/>
      <c r="D190" s="19"/>
    </row>
    <row r="191" customFormat="false" ht="15" hidden="false" customHeight="false" outlineLevel="0" collapsed="false">
      <c r="A191" s="20"/>
      <c r="B191" s="19"/>
      <c r="C191" s="23"/>
      <c r="D191" s="19"/>
    </row>
    <row r="192" customFormat="false" ht="15" hidden="false" customHeight="false" outlineLevel="0" collapsed="false">
      <c r="A192" s="20"/>
      <c r="B192" s="19"/>
      <c r="C192" s="23"/>
      <c r="D192" s="19"/>
    </row>
    <row r="193" customFormat="false" ht="15" hidden="false" customHeight="false" outlineLevel="0" collapsed="false">
      <c r="A193" s="20"/>
      <c r="B193" s="19"/>
      <c r="C193" s="23"/>
      <c r="D193" s="19"/>
    </row>
    <row r="194" customFormat="false" ht="15" hidden="false" customHeight="false" outlineLevel="0" collapsed="false">
      <c r="A194" s="20"/>
      <c r="B194" s="19"/>
      <c r="C194" s="23"/>
      <c r="D194" s="19"/>
    </row>
    <row r="195" customFormat="false" ht="15" hidden="false" customHeight="false" outlineLevel="0" collapsed="false">
      <c r="A195" s="20"/>
      <c r="B195" s="19"/>
      <c r="C195" s="23"/>
      <c r="D195" s="19"/>
    </row>
    <row r="196" customFormat="false" ht="15" hidden="false" customHeight="false" outlineLevel="0" collapsed="false">
      <c r="A196" s="20"/>
      <c r="B196" s="19"/>
      <c r="C196" s="23"/>
      <c r="D196" s="19"/>
    </row>
    <row r="197" customFormat="false" ht="15" hidden="false" customHeight="false" outlineLevel="0" collapsed="false">
      <c r="A197" s="20"/>
      <c r="B197" s="19"/>
      <c r="C197" s="23"/>
      <c r="D197" s="19"/>
    </row>
    <row r="198" customFormat="false" ht="15" hidden="false" customHeight="false" outlineLevel="0" collapsed="false">
      <c r="A198" s="20"/>
      <c r="B198" s="19"/>
      <c r="C198" s="23"/>
      <c r="D198" s="19"/>
    </row>
    <row r="199" customFormat="false" ht="15" hidden="false" customHeight="false" outlineLevel="0" collapsed="false">
      <c r="A199" s="20"/>
      <c r="B199" s="19"/>
      <c r="C199" s="23"/>
      <c r="D199" s="19"/>
    </row>
    <row r="200" customFormat="false" ht="15" hidden="false" customHeight="false" outlineLevel="0" collapsed="false">
      <c r="A200" s="20"/>
      <c r="B200" s="19"/>
      <c r="C200" s="23"/>
      <c r="D200" s="19"/>
    </row>
    <row r="201" customFormat="false" ht="15" hidden="false" customHeight="false" outlineLevel="0" collapsed="false">
      <c r="A201" s="20"/>
      <c r="B201" s="19"/>
      <c r="C201" s="23"/>
      <c r="D201" s="19"/>
    </row>
    <row r="202" customFormat="false" ht="15" hidden="false" customHeight="false" outlineLevel="0" collapsed="false">
      <c r="A202" s="20"/>
      <c r="B202" s="19"/>
      <c r="C202" s="23"/>
      <c r="D202" s="19"/>
    </row>
    <row r="203" customFormat="false" ht="15" hidden="false" customHeight="false" outlineLevel="0" collapsed="false">
      <c r="A203" s="20"/>
      <c r="B203" s="19"/>
      <c r="C203" s="23"/>
      <c r="D203" s="19"/>
    </row>
    <row r="204" customFormat="false" ht="15" hidden="false" customHeight="false" outlineLevel="0" collapsed="false">
      <c r="A204" s="20"/>
      <c r="B204" s="19"/>
      <c r="C204" s="23"/>
      <c r="D204" s="19"/>
    </row>
    <row r="205" customFormat="false" ht="15" hidden="false" customHeight="false" outlineLevel="0" collapsed="false">
      <c r="A205" s="20"/>
      <c r="B205" s="19"/>
      <c r="C205" s="23"/>
      <c r="D205" s="19"/>
    </row>
    <row r="206" customFormat="false" ht="15" hidden="false" customHeight="false" outlineLevel="0" collapsed="false">
      <c r="A206" s="20"/>
      <c r="B206" s="19"/>
      <c r="C206" s="23"/>
      <c r="D206" s="19"/>
    </row>
    <row r="207" customFormat="false" ht="15" hidden="false" customHeight="false" outlineLevel="0" collapsed="false">
      <c r="A207" s="20"/>
      <c r="B207" s="19"/>
      <c r="C207" s="23"/>
      <c r="D207" s="19"/>
    </row>
    <row r="208" customFormat="false" ht="15" hidden="false" customHeight="false" outlineLevel="0" collapsed="false">
      <c r="A208" s="20"/>
      <c r="B208" s="19"/>
      <c r="C208" s="23"/>
      <c r="D208" s="19"/>
    </row>
    <row r="209" customFormat="false" ht="15" hidden="false" customHeight="false" outlineLevel="0" collapsed="false">
      <c r="A209" s="20"/>
      <c r="B209" s="19"/>
      <c r="C209" s="23"/>
      <c r="D209" s="19"/>
    </row>
    <row r="210" customFormat="false" ht="15" hidden="false" customHeight="false" outlineLevel="0" collapsed="false">
      <c r="A210" s="20"/>
      <c r="B210" s="19"/>
      <c r="C210" s="23"/>
      <c r="D210" s="19"/>
    </row>
    <row r="211" customFormat="false" ht="15" hidden="false" customHeight="false" outlineLevel="0" collapsed="false">
      <c r="A211" s="20"/>
      <c r="B211" s="19"/>
      <c r="C211" s="23"/>
      <c r="D211" s="19"/>
    </row>
    <row r="212" customFormat="false" ht="15" hidden="false" customHeight="false" outlineLevel="0" collapsed="false">
      <c r="A212" s="20"/>
      <c r="B212" s="19"/>
      <c r="C212" s="23"/>
      <c r="D212" s="19"/>
    </row>
    <row r="213" customFormat="false" ht="15" hidden="false" customHeight="false" outlineLevel="0" collapsed="false">
      <c r="A213" s="20"/>
      <c r="B213" s="19"/>
      <c r="C213" s="23"/>
      <c r="D213" s="19"/>
    </row>
    <row r="214" customFormat="false" ht="15" hidden="false" customHeight="false" outlineLevel="0" collapsed="false">
      <c r="A214" s="20"/>
      <c r="B214" s="19"/>
      <c r="C214" s="23"/>
      <c r="D214" s="19"/>
    </row>
    <row r="215" customFormat="false" ht="15" hidden="false" customHeight="false" outlineLevel="0" collapsed="false">
      <c r="A215" s="20"/>
      <c r="B215" s="19"/>
      <c r="C215" s="23"/>
      <c r="D215" s="19"/>
    </row>
    <row r="216" customFormat="false" ht="15" hidden="false" customHeight="false" outlineLevel="0" collapsed="false">
      <c r="A216" s="20"/>
      <c r="B216" s="19"/>
      <c r="C216" s="23"/>
      <c r="D216" s="19"/>
    </row>
    <row r="217" customFormat="false" ht="15" hidden="false" customHeight="false" outlineLevel="0" collapsed="false">
      <c r="A217" s="20"/>
      <c r="B217" s="19"/>
      <c r="C217" s="23"/>
      <c r="D217" s="19"/>
    </row>
    <row r="218" customFormat="false" ht="15" hidden="false" customHeight="false" outlineLevel="0" collapsed="false">
      <c r="A218" s="20"/>
      <c r="B218" s="19"/>
      <c r="C218" s="23"/>
      <c r="D218" s="19"/>
    </row>
    <row r="219" customFormat="false" ht="15" hidden="false" customHeight="false" outlineLevel="0" collapsed="false">
      <c r="A219" s="20"/>
      <c r="B219" s="19"/>
      <c r="C219" s="23"/>
      <c r="D219" s="19"/>
    </row>
    <row r="220" customFormat="false" ht="15" hidden="false" customHeight="false" outlineLevel="0" collapsed="false">
      <c r="A220" s="20"/>
      <c r="B220" s="19"/>
      <c r="C220" s="23"/>
      <c r="D220" s="19"/>
    </row>
    <row r="221" customFormat="false" ht="15" hidden="false" customHeight="false" outlineLevel="0" collapsed="false">
      <c r="A221" s="20"/>
      <c r="B221" s="19"/>
      <c r="C221" s="23"/>
      <c r="D221" s="19"/>
    </row>
    <row r="222" customFormat="false" ht="15" hidden="false" customHeight="false" outlineLevel="0" collapsed="false">
      <c r="A222" s="20"/>
      <c r="B222" s="19"/>
      <c r="C222" s="23"/>
      <c r="D222" s="19"/>
    </row>
    <row r="223" customFormat="false" ht="15" hidden="false" customHeight="false" outlineLevel="0" collapsed="false">
      <c r="A223" s="20"/>
      <c r="B223" s="19"/>
      <c r="C223" s="23"/>
      <c r="D223" s="19"/>
    </row>
    <row r="224" customFormat="false" ht="15" hidden="false" customHeight="false" outlineLevel="0" collapsed="false">
      <c r="A224" s="20"/>
      <c r="B224" s="19"/>
      <c r="C224" s="23"/>
      <c r="D224" s="19"/>
    </row>
    <row r="225" customFormat="false" ht="15" hidden="false" customHeight="false" outlineLevel="0" collapsed="false">
      <c r="A225" s="20"/>
      <c r="B225" s="19"/>
      <c r="C225" s="23"/>
      <c r="D225" s="19"/>
    </row>
    <row r="226" customFormat="false" ht="15" hidden="false" customHeight="false" outlineLevel="0" collapsed="false">
      <c r="A226" s="20"/>
      <c r="B226" s="19"/>
      <c r="C226" s="23"/>
      <c r="D226" s="19"/>
    </row>
    <row r="227" customFormat="false" ht="15" hidden="false" customHeight="false" outlineLevel="0" collapsed="false">
      <c r="A227" s="20"/>
      <c r="B227" s="19"/>
      <c r="C227" s="23"/>
      <c r="D227" s="19"/>
    </row>
    <row r="228" customFormat="false" ht="15" hidden="false" customHeight="false" outlineLevel="0" collapsed="false">
      <c r="A228" s="20"/>
      <c r="B228" s="19"/>
      <c r="C228" s="23"/>
      <c r="D228" s="19"/>
    </row>
    <row r="229" customFormat="false" ht="15" hidden="false" customHeight="false" outlineLevel="0" collapsed="false">
      <c r="A229" s="20"/>
      <c r="B229" s="19"/>
      <c r="C229" s="23"/>
      <c r="D229" s="19"/>
    </row>
    <row r="230" customFormat="false" ht="15" hidden="false" customHeight="false" outlineLevel="0" collapsed="false">
      <c r="A230" s="20"/>
      <c r="B230" s="19"/>
      <c r="C230" s="23"/>
      <c r="D230" s="19"/>
    </row>
    <row r="231" customFormat="false" ht="15" hidden="false" customHeight="false" outlineLevel="0" collapsed="false">
      <c r="A231" s="20"/>
      <c r="B231" s="19"/>
      <c r="C231" s="23"/>
      <c r="D231" s="19"/>
    </row>
    <row r="232" customFormat="false" ht="15" hidden="false" customHeight="false" outlineLevel="0" collapsed="false">
      <c r="A232" s="20"/>
      <c r="B232" s="19"/>
      <c r="C232" s="23"/>
      <c r="D232" s="19"/>
    </row>
    <row r="233" customFormat="false" ht="15" hidden="false" customHeight="false" outlineLevel="0" collapsed="false">
      <c r="A233" s="20"/>
      <c r="B233" s="19"/>
      <c r="C233" s="23"/>
      <c r="D233" s="19"/>
    </row>
    <row r="234" customFormat="false" ht="15" hidden="false" customHeight="false" outlineLevel="0" collapsed="false">
      <c r="A234" s="20"/>
      <c r="B234" s="19"/>
      <c r="C234" s="23"/>
      <c r="D234" s="19"/>
    </row>
    <row r="235" customFormat="false" ht="15" hidden="false" customHeight="false" outlineLevel="0" collapsed="false">
      <c r="A235" s="20"/>
      <c r="B235" s="19"/>
      <c r="C235" s="23"/>
      <c r="D235" s="19"/>
    </row>
    <row r="236" customFormat="false" ht="15" hidden="false" customHeight="false" outlineLevel="0" collapsed="false">
      <c r="A236" s="20"/>
      <c r="B236" s="19"/>
      <c r="C236" s="23"/>
      <c r="D236" s="19"/>
    </row>
    <row r="237" customFormat="false" ht="15" hidden="false" customHeight="false" outlineLevel="0" collapsed="false">
      <c r="A237" s="20"/>
      <c r="B237" s="19"/>
      <c r="C237" s="23"/>
      <c r="D237" s="19"/>
    </row>
    <row r="238" customFormat="false" ht="15" hidden="false" customHeight="false" outlineLevel="0" collapsed="false">
      <c r="A238" s="20"/>
      <c r="B238" s="19"/>
      <c r="C238" s="23"/>
      <c r="D238" s="19"/>
    </row>
    <row r="239" customFormat="false" ht="15" hidden="false" customHeight="false" outlineLevel="0" collapsed="false">
      <c r="A239" s="20"/>
      <c r="B239" s="19"/>
      <c r="C239" s="23"/>
      <c r="D239" s="19"/>
    </row>
    <row r="240" customFormat="false" ht="15" hidden="false" customHeight="false" outlineLevel="0" collapsed="false">
      <c r="A240" s="20"/>
      <c r="B240" s="19"/>
      <c r="C240" s="23"/>
      <c r="D240" s="19"/>
    </row>
    <row r="241" customFormat="false" ht="15" hidden="false" customHeight="false" outlineLevel="0" collapsed="false">
      <c r="A241" s="20"/>
      <c r="B241" s="19"/>
      <c r="C241" s="23"/>
      <c r="D241" s="19"/>
    </row>
    <row r="242" customFormat="false" ht="15" hidden="false" customHeight="false" outlineLevel="0" collapsed="false">
      <c r="A242" s="20"/>
      <c r="B242" s="19"/>
      <c r="C242" s="23"/>
      <c r="D242" s="19"/>
    </row>
    <row r="243" customFormat="false" ht="15" hidden="false" customHeight="false" outlineLevel="0" collapsed="false">
      <c r="A243" s="20"/>
      <c r="B243" s="19"/>
      <c r="C243" s="23"/>
      <c r="D243" s="19"/>
    </row>
    <row r="244" customFormat="false" ht="15" hidden="false" customHeight="false" outlineLevel="0" collapsed="false">
      <c r="A244" s="20"/>
      <c r="B244" s="19"/>
      <c r="C244" s="23"/>
      <c r="D244" s="19"/>
    </row>
    <row r="245" customFormat="false" ht="15" hidden="false" customHeight="false" outlineLevel="0" collapsed="false">
      <c r="A245" s="20"/>
      <c r="B245" s="19"/>
      <c r="C245" s="23"/>
      <c r="D245" s="19"/>
    </row>
    <row r="246" customFormat="false" ht="15" hidden="false" customHeight="false" outlineLevel="0" collapsed="false">
      <c r="A246" s="20"/>
      <c r="B246" s="19"/>
      <c r="C246" s="23"/>
      <c r="D246" s="19"/>
    </row>
    <row r="247" customFormat="false" ht="15" hidden="false" customHeight="false" outlineLevel="0" collapsed="false">
      <c r="A247" s="20"/>
      <c r="B247" s="19"/>
      <c r="C247" s="23"/>
      <c r="D247" s="19"/>
    </row>
    <row r="248" customFormat="false" ht="15" hidden="false" customHeight="false" outlineLevel="0" collapsed="false">
      <c r="A248" s="20"/>
      <c r="B248" s="19"/>
      <c r="C248" s="23"/>
      <c r="D248" s="19"/>
    </row>
    <row r="249" customFormat="false" ht="15" hidden="false" customHeight="false" outlineLevel="0" collapsed="false">
      <c r="A249" s="20"/>
      <c r="B249" s="19"/>
      <c r="C249" s="23"/>
      <c r="D249" s="19"/>
    </row>
    <row r="250" customFormat="false" ht="15" hidden="false" customHeight="false" outlineLevel="0" collapsed="false">
      <c r="A250" s="20"/>
      <c r="B250" s="19"/>
      <c r="C250" s="23"/>
      <c r="D250" s="19"/>
    </row>
    <row r="251" customFormat="false" ht="15" hidden="false" customHeight="false" outlineLevel="0" collapsed="false">
      <c r="A251" s="20"/>
      <c r="B251" s="19"/>
      <c r="C251" s="23"/>
      <c r="D251" s="19"/>
    </row>
    <row r="252" customFormat="false" ht="15" hidden="false" customHeight="false" outlineLevel="0" collapsed="false">
      <c r="A252" s="20"/>
      <c r="B252" s="19"/>
      <c r="C252" s="23"/>
      <c r="D252" s="19"/>
    </row>
    <row r="253" customFormat="false" ht="15" hidden="false" customHeight="false" outlineLevel="0" collapsed="false">
      <c r="A253" s="20"/>
      <c r="B253" s="19"/>
      <c r="C253" s="23"/>
      <c r="D253" s="19"/>
    </row>
    <row r="254" customFormat="false" ht="15" hidden="false" customHeight="false" outlineLevel="0" collapsed="false">
      <c r="A254" s="20"/>
      <c r="B254" s="19"/>
      <c r="C254" s="23"/>
      <c r="D254" s="19"/>
    </row>
    <row r="255" customFormat="false" ht="15" hidden="false" customHeight="false" outlineLevel="0" collapsed="false">
      <c r="A255" s="20"/>
      <c r="B255" s="19"/>
      <c r="C255" s="23"/>
      <c r="D255" s="19"/>
    </row>
    <row r="256" customFormat="false" ht="15" hidden="false" customHeight="false" outlineLevel="0" collapsed="false">
      <c r="A256" s="20"/>
      <c r="B256" s="19"/>
      <c r="C256" s="23"/>
      <c r="D256" s="19"/>
    </row>
    <row r="257" customFormat="false" ht="15" hidden="false" customHeight="false" outlineLevel="0" collapsed="false">
      <c r="A257" s="20"/>
      <c r="B257" s="19"/>
      <c r="C257" s="23"/>
      <c r="D257" s="19"/>
    </row>
    <row r="258" customFormat="false" ht="15" hidden="false" customHeight="false" outlineLevel="0" collapsed="false">
      <c r="A258" s="20"/>
      <c r="B258" s="19"/>
      <c r="C258" s="23"/>
      <c r="D258" s="19"/>
    </row>
    <row r="259" customFormat="false" ht="15" hidden="false" customHeight="false" outlineLevel="0" collapsed="false">
      <c r="A259" s="20"/>
      <c r="B259" s="19"/>
      <c r="C259" s="23"/>
      <c r="D259" s="19"/>
    </row>
    <row r="260" customFormat="false" ht="15" hidden="false" customHeight="false" outlineLevel="0" collapsed="false">
      <c r="A260" s="20"/>
      <c r="B260" s="19"/>
      <c r="C260" s="23"/>
      <c r="D260" s="19"/>
    </row>
    <row r="261" customFormat="false" ht="15" hidden="false" customHeight="false" outlineLevel="0" collapsed="false">
      <c r="A261" s="20"/>
      <c r="B261" s="19"/>
      <c r="C261" s="23"/>
      <c r="D261" s="19"/>
    </row>
    <row r="262" customFormat="false" ht="15" hidden="false" customHeight="false" outlineLevel="0" collapsed="false">
      <c r="A262" s="20"/>
      <c r="B262" s="19"/>
      <c r="C262" s="23"/>
      <c r="D262" s="19"/>
    </row>
    <row r="263" customFormat="false" ht="15" hidden="false" customHeight="false" outlineLevel="0" collapsed="false">
      <c r="A263" s="20"/>
      <c r="B263" s="19"/>
      <c r="C263" s="23"/>
      <c r="D263" s="19"/>
    </row>
    <row r="264" customFormat="false" ht="15" hidden="false" customHeight="false" outlineLevel="0" collapsed="false">
      <c r="A264" s="20"/>
      <c r="B264" s="19"/>
      <c r="C264" s="23"/>
      <c r="D264" s="19"/>
    </row>
    <row r="265" customFormat="false" ht="15" hidden="false" customHeight="false" outlineLevel="0" collapsed="false">
      <c r="A265" s="20"/>
      <c r="B265" s="19"/>
      <c r="C265" s="23"/>
      <c r="D265" s="19"/>
    </row>
    <row r="266" customFormat="false" ht="15" hidden="false" customHeight="false" outlineLevel="0" collapsed="false">
      <c r="A266" s="20"/>
      <c r="B266" s="19"/>
      <c r="C266" s="23"/>
      <c r="D266" s="19"/>
    </row>
    <row r="267" customFormat="false" ht="15" hidden="false" customHeight="false" outlineLevel="0" collapsed="false">
      <c r="A267" s="20"/>
      <c r="B267" s="19"/>
      <c r="C267" s="23"/>
      <c r="D267" s="19"/>
    </row>
    <row r="268" customFormat="false" ht="15" hidden="false" customHeight="false" outlineLevel="0" collapsed="false">
      <c r="A268" s="20"/>
      <c r="B268" s="19"/>
      <c r="C268" s="23"/>
      <c r="D268" s="19"/>
    </row>
    <row r="269" customFormat="false" ht="15" hidden="false" customHeight="false" outlineLevel="0" collapsed="false">
      <c r="A269" s="20"/>
      <c r="B269" s="19"/>
      <c r="C269" s="23"/>
      <c r="D269" s="19"/>
    </row>
    <row r="270" customFormat="false" ht="15" hidden="false" customHeight="false" outlineLevel="0" collapsed="false">
      <c r="A270" s="20"/>
      <c r="B270" s="19"/>
      <c r="C270" s="23"/>
      <c r="D270" s="19"/>
    </row>
    <row r="271" customFormat="false" ht="15" hidden="false" customHeight="false" outlineLevel="0" collapsed="false">
      <c r="A271" s="20"/>
      <c r="B271" s="19"/>
      <c r="C271" s="23"/>
      <c r="D271" s="19"/>
    </row>
    <row r="272" customFormat="false" ht="15" hidden="false" customHeight="false" outlineLevel="0" collapsed="false">
      <c r="A272" s="20"/>
      <c r="B272" s="19"/>
      <c r="C272" s="23"/>
      <c r="D272" s="19"/>
    </row>
    <row r="273" customFormat="false" ht="15" hidden="false" customHeight="false" outlineLevel="0" collapsed="false">
      <c r="A273" s="20"/>
      <c r="B273" s="19"/>
      <c r="C273" s="23"/>
      <c r="D273" s="19"/>
    </row>
    <row r="274" customFormat="false" ht="15" hidden="false" customHeight="false" outlineLevel="0" collapsed="false">
      <c r="A274" s="20"/>
      <c r="B274" s="19"/>
      <c r="C274" s="23"/>
      <c r="D274" s="19"/>
    </row>
    <row r="275" customFormat="false" ht="15" hidden="false" customHeight="false" outlineLevel="0" collapsed="false">
      <c r="A275" s="20"/>
      <c r="B275" s="19"/>
      <c r="C275" s="23"/>
      <c r="D275" s="19"/>
    </row>
    <row r="276" customFormat="false" ht="15" hidden="false" customHeight="false" outlineLevel="0" collapsed="false">
      <c r="A276" s="20"/>
      <c r="B276" s="19"/>
      <c r="C276" s="23"/>
      <c r="D276" s="19"/>
    </row>
    <row r="277" customFormat="false" ht="15" hidden="false" customHeight="false" outlineLevel="0" collapsed="false">
      <c r="A277" s="20"/>
      <c r="B277" s="19"/>
      <c r="C277" s="23"/>
      <c r="D277" s="19"/>
    </row>
    <row r="278" customFormat="false" ht="15" hidden="false" customHeight="false" outlineLevel="0" collapsed="false">
      <c r="A278" s="20"/>
      <c r="B278" s="19"/>
      <c r="C278" s="23"/>
      <c r="D278" s="19"/>
    </row>
    <row r="279" customFormat="false" ht="15" hidden="false" customHeight="false" outlineLevel="0" collapsed="false">
      <c r="A279" s="20"/>
      <c r="B279" s="19"/>
      <c r="C279" s="23"/>
      <c r="D279" s="19"/>
    </row>
    <row r="280" customFormat="false" ht="15" hidden="false" customHeight="false" outlineLevel="0" collapsed="false">
      <c r="A280" s="20"/>
      <c r="B280" s="19"/>
      <c r="C280" s="23"/>
      <c r="D280" s="19"/>
    </row>
    <row r="281" customFormat="false" ht="15" hidden="false" customHeight="false" outlineLevel="0" collapsed="false">
      <c r="A281" s="20"/>
      <c r="B281" s="19"/>
      <c r="C281" s="23"/>
      <c r="D281" s="19"/>
    </row>
    <row r="282" customFormat="false" ht="15" hidden="false" customHeight="false" outlineLevel="0" collapsed="false">
      <c r="A282" s="20"/>
      <c r="B282" s="19"/>
      <c r="C282" s="23"/>
      <c r="D282" s="19"/>
    </row>
    <row r="283" customFormat="false" ht="15" hidden="false" customHeight="false" outlineLevel="0" collapsed="false">
      <c r="A283" s="20"/>
      <c r="B283" s="19"/>
      <c r="C283" s="23"/>
      <c r="D283" s="19"/>
    </row>
    <row r="284" customFormat="false" ht="15" hidden="false" customHeight="false" outlineLevel="0" collapsed="false">
      <c r="A284" s="20"/>
      <c r="B284" s="19"/>
      <c r="C284" s="23"/>
      <c r="D284" s="19"/>
    </row>
    <row r="285" customFormat="false" ht="15" hidden="false" customHeight="false" outlineLevel="0" collapsed="false">
      <c r="A285" s="20"/>
      <c r="B285" s="19"/>
      <c r="C285" s="23"/>
      <c r="D285" s="19"/>
    </row>
    <row r="286" customFormat="false" ht="15" hidden="false" customHeight="false" outlineLevel="0" collapsed="false">
      <c r="A286" s="20"/>
      <c r="B286" s="19"/>
      <c r="C286" s="23"/>
      <c r="D286" s="19"/>
    </row>
    <row r="287" customFormat="false" ht="15" hidden="false" customHeight="false" outlineLevel="0" collapsed="false">
      <c r="A287" s="20"/>
      <c r="B287" s="19"/>
      <c r="C287" s="23"/>
      <c r="D287" s="19"/>
    </row>
    <row r="288" customFormat="false" ht="15" hidden="false" customHeight="false" outlineLevel="0" collapsed="false">
      <c r="A288" s="20"/>
      <c r="B288" s="19"/>
      <c r="C288" s="23"/>
      <c r="D288" s="19"/>
    </row>
    <row r="289" customFormat="false" ht="15" hidden="false" customHeight="false" outlineLevel="0" collapsed="false">
      <c r="A289" s="20"/>
      <c r="B289" s="19"/>
      <c r="C289" s="23"/>
      <c r="D289" s="19"/>
    </row>
    <row r="290" customFormat="false" ht="15" hidden="false" customHeight="false" outlineLevel="0" collapsed="false">
      <c r="A290" s="20"/>
      <c r="B290" s="19"/>
      <c r="C290" s="23"/>
      <c r="D290" s="19"/>
    </row>
    <row r="291" customFormat="false" ht="15" hidden="false" customHeight="false" outlineLevel="0" collapsed="false">
      <c r="A291" s="20"/>
      <c r="B291" s="19"/>
      <c r="C291" s="23"/>
      <c r="D291" s="19"/>
    </row>
    <row r="292" customFormat="false" ht="15" hidden="false" customHeight="false" outlineLevel="0" collapsed="false">
      <c r="A292" s="20"/>
      <c r="B292" s="19"/>
      <c r="C292" s="23"/>
      <c r="D292" s="19"/>
    </row>
    <row r="293" customFormat="false" ht="15" hidden="false" customHeight="false" outlineLevel="0" collapsed="false">
      <c r="A293" s="20"/>
      <c r="B293" s="19"/>
      <c r="C293" s="23"/>
      <c r="D293" s="19"/>
    </row>
    <row r="294" customFormat="false" ht="15" hidden="false" customHeight="false" outlineLevel="0" collapsed="false">
      <c r="A294" s="20"/>
      <c r="B294" s="19"/>
      <c r="C294" s="23"/>
      <c r="D294" s="19"/>
    </row>
    <row r="295" customFormat="false" ht="15" hidden="false" customHeight="false" outlineLevel="0" collapsed="false">
      <c r="A295" s="20"/>
      <c r="B295" s="19"/>
      <c r="C295" s="23"/>
      <c r="D295" s="19"/>
    </row>
    <row r="296" customFormat="false" ht="15" hidden="false" customHeight="false" outlineLevel="0" collapsed="false">
      <c r="A296" s="20"/>
      <c r="B296" s="19"/>
      <c r="C296" s="23"/>
      <c r="D296" s="19"/>
    </row>
    <row r="297" customFormat="false" ht="15" hidden="false" customHeight="false" outlineLevel="0" collapsed="false">
      <c r="A297" s="20"/>
      <c r="B297" s="19"/>
      <c r="C297" s="23"/>
      <c r="D297" s="19"/>
    </row>
    <row r="298" customFormat="false" ht="15" hidden="false" customHeight="false" outlineLevel="0" collapsed="false">
      <c r="A298" s="20"/>
      <c r="B298" s="19"/>
      <c r="C298" s="23"/>
      <c r="D298" s="19"/>
    </row>
    <row r="299" customFormat="false" ht="15" hidden="false" customHeight="false" outlineLevel="0" collapsed="false">
      <c r="A299" s="20"/>
      <c r="B299" s="19"/>
      <c r="C299" s="23"/>
      <c r="D299" s="19"/>
    </row>
    <row r="300" customFormat="false" ht="15" hidden="false" customHeight="false" outlineLevel="0" collapsed="false">
      <c r="A300" s="20"/>
      <c r="B300" s="19"/>
      <c r="C300" s="23"/>
      <c r="D300" s="19"/>
    </row>
    <row r="301" customFormat="false" ht="15" hidden="false" customHeight="false" outlineLevel="0" collapsed="false">
      <c r="A301" s="20"/>
      <c r="B301" s="19"/>
      <c r="C301" s="23"/>
      <c r="D301" s="19"/>
    </row>
    <row r="302" customFormat="false" ht="15" hidden="false" customHeight="false" outlineLevel="0" collapsed="false">
      <c r="A302" s="20"/>
      <c r="B302" s="19"/>
      <c r="C302" s="23"/>
      <c r="D302" s="19"/>
    </row>
    <row r="303" customFormat="false" ht="15" hidden="false" customHeight="false" outlineLevel="0" collapsed="false">
      <c r="A303" s="20"/>
      <c r="B303" s="19"/>
      <c r="C303" s="23"/>
      <c r="D303" s="19"/>
    </row>
    <row r="304" customFormat="false" ht="15" hidden="false" customHeight="false" outlineLevel="0" collapsed="false">
      <c r="A304" s="20"/>
      <c r="B304" s="19"/>
      <c r="C304" s="23"/>
      <c r="D304" s="19"/>
    </row>
    <row r="305" customFormat="false" ht="15" hidden="false" customHeight="false" outlineLevel="0" collapsed="false">
      <c r="A305" s="20"/>
      <c r="B305" s="19"/>
      <c r="C305" s="23"/>
      <c r="D305" s="19"/>
    </row>
    <row r="306" customFormat="false" ht="15" hidden="false" customHeight="false" outlineLevel="0" collapsed="false">
      <c r="A306" s="20"/>
      <c r="B306" s="19"/>
      <c r="C306" s="23"/>
      <c r="D306" s="19"/>
    </row>
    <row r="307" customFormat="false" ht="15" hidden="false" customHeight="false" outlineLevel="0" collapsed="false">
      <c r="A307" s="20"/>
      <c r="B307" s="19"/>
      <c r="C307" s="23"/>
      <c r="D307" s="19"/>
    </row>
    <row r="308" customFormat="false" ht="15" hidden="false" customHeight="false" outlineLevel="0" collapsed="false">
      <c r="A308" s="20"/>
      <c r="B308" s="19"/>
      <c r="C308" s="23"/>
      <c r="D308" s="19"/>
    </row>
    <row r="309" customFormat="false" ht="15" hidden="false" customHeight="false" outlineLevel="0" collapsed="false">
      <c r="A309" s="20"/>
      <c r="B309" s="19"/>
      <c r="C309" s="23"/>
      <c r="D309" s="19"/>
    </row>
    <row r="310" customFormat="false" ht="15" hidden="false" customHeight="false" outlineLevel="0" collapsed="false">
      <c r="A310" s="20"/>
      <c r="B310" s="19"/>
      <c r="C310" s="23"/>
      <c r="D310" s="19"/>
    </row>
    <row r="311" customFormat="false" ht="15" hidden="false" customHeight="false" outlineLevel="0" collapsed="false">
      <c r="A311" s="20"/>
      <c r="B311" s="19"/>
      <c r="C311" s="23"/>
      <c r="D311" s="19"/>
    </row>
    <row r="312" customFormat="false" ht="15" hidden="false" customHeight="false" outlineLevel="0" collapsed="false">
      <c r="A312" s="20"/>
      <c r="B312" s="19"/>
      <c r="C312" s="23"/>
      <c r="D312" s="19"/>
    </row>
    <row r="313" customFormat="false" ht="15" hidden="false" customHeight="false" outlineLevel="0" collapsed="false">
      <c r="A313" s="20"/>
      <c r="B313" s="19"/>
      <c r="C313" s="23"/>
      <c r="D313" s="19"/>
    </row>
    <row r="314" customFormat="false" ht="15" hidden="false" customHeight="false" outlineLevel="0" collapsed="false">
      <c r="A314" s="20"/>
      <c r="B314" s="19"/>
      <c r="C314" s="23"/>
      <c r="D314" s="19"/>
    </row>
    <row r="315" customFormat="false" ht="15" hidden="false" customHeight="false" outlineLevel="0" collapsed="false">
      <c r="A315" s="20"/>
      <c r="B315" s="19"/>
      <c r="C315" s="23"/>
      <c r="D315" s="19"/>
    </row>
    <row r="316" customFormat="false" ht="15" hidden="false" customHeight="false" outlineLevel="0" collapsed="false">
      <c r="A316" s="20"/>
      <c r="B316" s="19"/>
      <c r="C316" s="23"/>
      <c r="D316" s="19"/>
    </row>
    <row r="317" customFormat="false" ht="15" hidden="false" customHeight="false" outlineLevel="0" collapsed="false">
      <c r="A317" s="20"/>
      <c r="B317" s="19"/>
      <c r="C317" s="23"/>
      <c r="D317" s="19"/>
    </row>
    <row r="318" customFormat="false" ht="15" hidden="false" customHeight="false" outlineLevel="0" collapsed="false">
      <c r="A318" s="20"/>
      <c r="B318" s="19"/>
      <c r="C318" s="23"/>
      <c r="D318" s="19"/>
    </row>
    <row r="319" customFormat="false" ht="15" hidden="false" customHeight="false" outlineLevel="0" collapsed="false">
      <c r="A319" s="20"/>
      <c r="B319" s="19"/>
      <c r="C319" s="23"/>
      <c r="D319" s="19"/>
    </row>
    <row r="320" customFormat="false" ht="15" hidden="false" customHeight="false" outlineLevel="0" collapsed="false">
      <c r="A320" s="20"/>
      <c r="B320" s="19"/>
      <c r="C320" s="23"/>
      <c r="D320" s="19"/>
    </row>
    <row r="321" customFormat="false" ht="15" hidden="false" customHeight="false" outlineLevel="0" collapsed="false">
      <c r="A321" s="20"/>
      <c r="B321" s="19"/>
      <c r="C321" s="23"/>
      <c r="D321" s="19"/>
    </row>
    <row r="322" customFormat="false" ht="15" hidden="false" customHeight="false" outlineLevel="0" collapsed="false">
      <c r="A322" s="20"/>
      <c r="B322" s="19"/>
      <c r="C322" s="23"/>
      <c r="D322" s="19"/>
    </row>
    <row r="323" customFormat="false" ht="15" hidden="false" customHeight="false" outlineLevel="0" collapsed="false">
      <c r="A323" s="20"/>
      <c r="B323" s="19"/>
      <c r="C323" s="23"/>
      <c r="D323" s="19"/>
    </row>
    <row r="324" customFormat="false" ht="15" hidden="false" customHeight="false" outlineLevel="0" collapsed="false">
      <c r="A324" s="20"/>
      <c r="B324" s="19"/>
      <c r="C324" s="23"/>
      <c r="D324" s="19"/>
    </row>
    <row r="325" customFormat="false" ht="15" hidden="false" customHeight="false" outlineLevel="0" collapsed="false">
      <c r="A325" s="20"/>
      <c r="B325" s="19"/>
      <c r="C325" s="23"/>
      <c r="D325" s="19"/>
    </row>
    <row r="326" customFormat="false" ht="15" hidden="false" customHeight="false" outlineLevel="0" collapsed="false">
      <c r="A326" s="20"/>
      <c r="B326" s="19"/>
      <c r="C326" s="23"/>
      <c r="D326" s="19"/>
    </row>
    <row r="327" customFormat="false" ht="15" hidden="false" customHeight="false" outlineLevel="0" collapsed="false">
      <c r="A327" s="20"/>
      <c r="B327" s="19"/>
      <c r="C327" s="23"/>
      <c r="D327" s="19"/>
    </row>
    <row r="328" customFormat="false" ht="15" hidden="false" customHeight="false" outlineLevel="0" collapsed="false">
      <c r="A328" s="20"/>
      <c r="B328" s="19"/>
      <c r="C328" s="23"/>
      <c r="D328" s="19"/>
    </row>
    <row r="329" customFormat="false" ht="15" hidden="false" customHeight="false" outlineLevel="0" collapsed="false">
      <c r="A329" s="20"/>
      <c r="B329" s="19"/>
      <c r="C329" s="23"/>
      <c r="D329" s="19"/>
    </row>
    <row r="330" customFormat="false" ht="15" hidden="false" customHeight="false" outlineLevel="0" collapsed="false">
      <c r="A330" s="20"/>
      <c r="B330" s="19"/>
      <c r="C330" s="23"/>
      <c r="D330" s="19"/>
    </row>
    <row r="331" customFormat="false" ht="15" hidden="false" customHeight="false" outlineLevel="0" collapsed="false">
      <c r="A331" s="20"/>
      <c r="B331" s="19"/>
      <c r="C331" s="23"/>
      <c r="D331" s="19"/>
    </row>
    <row r="332" customFormat="false" ht="15" hidden="false" customHeight="false" outlineLevel="0" collapsed="false">
      <c r="A332" s="20"/>
      <c r="B332" s="19"/>
      <c r="C332" s="23"/>
      <c r="D332" s="19"/>
    </row>
    <row r="333" customFormat="false" ht="15" hidden="false" customHeight="false" outlineLevel="0" collapsed="false">
      <c r="A333" s="20"/>
      <c r="B333" s="19"/>
      <c r="C333" s="23"/>
      <c r="D333" s="19"/>
    </row>
    <row r="334" customFormat="false" ht="15" hidden="false" customHeight="false" outlineLevel="0" collapsed="false">
      <c r="A334" s="20"/>
      <c r="B334" s="19"/>
      <c r="C334" s="23"/>
      <c r="D334" s="19"/>
    </row>
    <row r="335" customFormat="false" ht="15" hidden="false" customHeight="false" outlineLevel="0" collapsed="false">
      <c r="A335" s="20"/>
      <c r="B335" s="19"/>
      <c r="C335" s="23"/>
      <c r="D335" s="19"/>
    </row>
    <row r="336" customFormat="false" ht="15" hidden="false" customHeight="false" outlineLevel="0" collapsed="false">
      <c r="A336" s="20"/>
      <c r="B336" s="19"/>
      <c r="C336" s="23"/>
      <c r="D336" s="19"/>
    </row>
    <row r="337" customFormat="false" ht="15" hidden="false" customHeight="false" outlineLevel="0" collapsed="false">
      <c r="A337" s="20"/>
      <c r="B337" s="19"/>
      <c r="C337" s="23"/>
      <c r="D337" s="19"/>
    </row>
    <row r="338" customFormat="false" ht="15" hidden="false" customHeight="false" outlineLevel="0" collapsed="false">
      <c r="A338" s="20"/>
      <c r="B338" s="19"/>
      <c r="C338" s="23"/>
      <c r="D338" s="19"/>
    </row>
    <row r="339" customFormat="false" ht="15" hidden="false" customHeight="false" outlineLevel="0" collapsed="false">
      <c r="A339" s="20"/>
      <c r="B339" s="19"/>
      <c r="C339" s="23"/>
      <c r="D339" s="19"/>
    </row>
    <row r="340" customFormat="false" ht="15" hidden="false" customHeight="false" outlineLevel="0" collapsed="false">
      <c r="A340" s="20"/>
      <c r="B340" s="19"/>
      <c r="C340" s="23"/>
      <c r="D340" s="19"/>
    </row>
    <row r="341" customFormat="false" ht="15" hidden="false" customHeight="false" outlineLevel="0" collapsed="false">
      <c r="A341" s="20"/>
      <c r="B341" s="19"/>
      <c r="C341" s="23"/>
      <c r="D341" s="19"/>
    </row>
    <row r="342" customFormat="false" ht="15" hidden="false" customHeight="false" outlineLevel="0" collapsed="false">
      <c r="A342" s="20"/>
      <c r="B342" s="19"/>
      <c r="C342" s="23"/>
      <c r="D342" s="19"/>
    </row>
    <row r="343" customFormat="false" ht="15" hidden="false" customHeight="false" outlineLevel="0" collapsed="false">
      <c r="A343" s="20"/>
      <c r="B343" s="19"/>
      <c r="C343" s="23"/>
      <c r="D343" s="19"/>
    </row>
    <row r="344" customFormat="false" ht="15" hidden="false" customHeight="false" outlineLevel="0" collapsed="false">
      <c r="A344" s="20"/>
      <c r="B344" s="19"/>
      <c r="C344" s="23"/>
      <c r="D344" s="19"/>
    </row>
    <row r="345" customFormat="false" ht="15" hidden="false" customHeight="false" outlineLevel="0" collapsed="false">
      <c r="A345" s="20"/>
      <c r="B345" s="19"/>
      <c r="C345" s="23"/>
      <c r="D345" s="19"/>
    </row>
    <row r="346" customFormat="false" ht="15" hidden="false" customHeight="false" outlineLevel="0" collapsed="false">
      <c r="A346" s="20"/>
      <c r="B346" s="19"/>
      <c r="C346" s="23"/>
      <c r="D346" s="19"/>
    </row>
    <row r="347" customFormat="false" ht="15" hidden="false" customHeight="false" outlineLevel="0" collapsed="false">
      <c r="A347" s="20"/>
      <c r="B347" s="19"/>
      <c r="C347" s="23"/>
      <c r="D347" s="19"/>
    </row>
    <row r="348" customFormat="false" ht="15" hidden="false" customHeight="false" outlineLevel="0" collapsed="false">
      <c r="A348" s="20"/>
      <c r="B348" s="19"/>
      <c r="C348" s="23"/>
      <c r="D348" s="19"/>
    </row>
    <row r="349" customFormat="false" ht="15" hidden="false" customHeight="false" outlineLevel="0" collapsed="false">
      <c r="A349" s="20"/>
      <c r="B349" s="19"/>
      <c r="C349" s="23"/>
      <c r="D349" s="19"/>
    </row>
    <row r="350" customFormat="false" ht="15" hidden="false" customHeight="false" outlineLevel="0" collapsed="false">
      <c r="A350" s="20"/>
      <c r="B350" s="19"/>
      <c r="C350" s="23"/>
      <c r="D350" s="19"/>
    </row>
    <row r="351" customFormat="false" ht="15" hidden="false" customHeight="false" outlineLevel="0" collapsed="false">
      <c r="A351" s="20"/>
      <c r="B351" s="19"/>
      <c r="C351" s="23"/>
      <c r="D351" s="19"/>
    </row>
    <row r="352" customFormat="false" ht="15" hidden="false" customHeight="false" outlineLevel="0" collapsed="false">
      <c r="A352" s="20"/>
      <c r="B352" s="19"/>
      <c r="C352" s="23"/>
      <c r="D352" s="19"/>
    </row>
    <row r="353" customFormat="false" ht="15" hidden="false" customHeight="false" outlineLevel="0" collapsed="false">
      <c r="A353" s="20"/>
      <c r="B353" s="19"/>
      <c r="C353" s="23"/>
      <c r="D353" s="19"/>
    </row>
    <row r="354" customFormat="false" ht="15" hidden="false" customHeight="false" outlineLevel="0" collapsed="false">
      <c r="A354" s="20"/>
      <c r="B354" s="19"/>
      <c r="C354" s="23"/>
      <c r="D354" s="19"/>
    </row>
    <row r="355" customFormat="false" ht="15" hidden="false" customHeight="false" outlineLevel="0" collapsed="false">
      <c r="A355" s="20"/>
      <c r="B355" s="19"/>
      <c r="C355" s="23"/>
      <c r="D355" s="19"/>
    </row>
    <row r="356" customFormat="false" ht="15" hidden="false" customHeight="false" outlineLevel="0" collapsed="false">
      <c r="A356" s="20"/>
      <c r="B356" s="19"/>
      <c r="C356" s="23"/>
      <c r="D356" s="19"/>
    </row>
    <row r="357" customFormat="false" ht="15" hidden="false" customHeight="false" outlineLevel="0" collapsed="false">
      <c r="A357" s="20"/>
      <c r="B357" s="19"/>
      <c r="C357" s="23"/>
      <c r="D357" s="19"/>
    </row>
    <row r="358" customFormat="false" ht="15" hidden="false" customHeight="false" outlineLevel="0" collapsed="false">
      <c r="A358" s="20"/>
      <c r="B358" s="19"/>
      <c r="C358" s="23"/>
      <c r="D358" s="19"/>
    </row>
    <row r="359" customFormat="false" ht="15" hidden="false" customHeight="false" outlineLevel="0" collapsed="false">
      <c r="A359" s="20"/>
      <c r="B359" s="19"/>
      <c r="C359" s="23"/>
      <c r="D359" s="19"/>
    </row>
    <row r="360" customFormat="false" ht="15" hidden="false" customHeight="false" outlineLevel="0" collapsed="false">
      <c r="A360" s="20"/>
      <c r="B360" s="19"/>
      <c r="C360" s="23"/>
      <c r="D360" s="19"/>
    </row>
    <row r="361" customFormat="false" ht="15" hidden="false" customHeight="false" outlineLevel="0" collapsed="false">
      <c r="A361" s="20"/>
      <c r="B361" s="19"/>
      <c r="C361" s="23"/>
      <c r="D361" s="19"/>
    </row>
    <row r="362" customFormat="false" ht="15" hidden="false" customHeight="false" outlineLevel="0" collapsed="false">
      <c r="A362" s="20"/>
      <c r="B362" s="19"/>
      <c r="C362" s="23"/>
      <c r="D362" s="19"/>
    </row>
    <row r="363" customFormat="false" ht="15" hidden="false" customHeight="false" outlineLevel="0" collapsed="false">
      <c r="A363" s="20"/>
      <c r="B363" s="19"/>
      <c r="C363" s="23"/>
      <c r="D363" s="19"/>
    </row>
    <row r="364" customFormat="false" ht="15" hidden="false" customHeight="false" outlineLevel="0" collapsed="false">
      <c r="A364" s="20"/>
      <c r="B364" s="19"/>
      <c r="C364" s="23"/>
      <c r="D364" s="19"/>
    </row>
    <row r="365" customFormat="false" ht="15" hidden="false" customHeight="false" outlineLevel="0" collapsed="false">
      <c r="A365" s="20"/>
      <c r="B365" s="19"/>
      <c r="C365" s="23"/>
      <c r="D365" s="19"/>
    </row>
    <row r="366" customFormat="false" ht="15" hidden="false" customHeight="false" outlineLevel="0" collapsed="false">
      <c r="A366" s="20"/>
      <c r="B366" s="19"/>
      <c r="C366" s="23"/>
      <c r="D366" s="19"/>
    </row>
    <row r="367" customFormat="false" ht="15" hidden="false" customHeight="false" outlineLevel="0" collapsed="false">
      <c r="A367" s="20"/>
      <c r="B367" s="19"/>
      <c r="C367" s="23"/>
      <c r="D367" s="19"/>
    </row>
    <row r="368" customFormat="false" ht="15" hidden="false" customHeight="false" outlineLevel="0" collapsed="false">
      <c r="A368" s="20"/>
      <c r="B368" s="19"/>
      <c r="C368" s="23"/>
      <c r="D368" s="19"/>
    </row>
    <row r="369" customFormat="false" ht="15" hidden="false" customHeight="false" outlineLevel="0" collapsed="false">
      <c r="A369" s="20"/>
      <c r="B369" s="19"/>
      <c r="C369" s="23"/>
      <c r="D369" s="19"/>
    </row>
    <row r="370" customFormat="false" ht="15" hidden="false" customHeight="false" outlineLevel="0" collapsed="false">
      <c r="A370" s="20"/>
      <c r="B370" s="19"/>
      <c r="C370" s="23"/>
      <c r="D370" s="19"/>
    </row>
    <row r="371" customFormat="false" ht="15" hidden="false" customHeight="false" outlineLevel="0" collapsed="false">
      <c r="A371" s="20"/>
      <c r="B371" s="19"/>
      <c r="C371" s="23"/>
      <c r="D371" s="19"/>
    </row>
    <row r="372" customFormat="false" ht="15" hidden="false" customHeight="false" outlineLevel="0" collapsed="false">
      <c r="A372" s="20"/>
      <c r="B372" s="19"/>
      <c r="C372" s="23"/>
      <c r="D372" s="19"/>
    </row>
    <row r="373" customFormat="false" ht="15" hidden="false" customHeight="false" outlineLevel="0" collapsed="false">
      <c r="A373" s="20"/>
      <c r="B373" s="19"/>
      <c r="C373" s="23"/>
      <c r="D373" s="19"/>
    </row>
    <row r="374" customFormat="false" ht="15" hidden="false" customHeight="false" outlineLevel="0" collapsed="false">
      <c r="A374" s="20"/>
      <c r="B374" s="19"/>
      <c r="C374" s="23"/>
      <c r="D374" s="19"/>
    </row>
    <row r="375" customFormat="false" ht="15" hidden="false" customHeight="false" outlineLevel="0" collapsed="false">
      <c r="A375" s="20"/>
      <c r="B375" s="19"/>
      <c r="C375" s="23"/>
      <c r="D375" s="19"/>
    </row>
    <row r="376" customFormat="false" ht="15" hidden="false" customHeight="false" outlineLevel="0" collapsed="false">
      <c r="A376" s="20"/>
      <c r="B376" s="19"/>
      <c r="C376" s="23"/>
      <c r="D376" s="19"/>
    </row>
    <row r="377" customFormat="false" ht="15" hidden="false" customHeight="false" outlineLevel="0" collapsed="false">
      <c r="A377" s="20"/>
      <c r="B377" s="19"/>
      <c r="C377" s="23"/>
      <c r="D377" s="19"/>
    </row>
    <row r="378" customFormat="false" ht="15" hidden="false" customHeight="false" outlineLevel="0" collapsed="false">
      <c r="A378" s="20"/>
      <c r="B378" s="19"/>
      <c r="C378" s="23"/>
      <c r="D378" s="19"/>
    </row>
    <row r="379" customFormat="false" ht="15" hidden="false" customHeight="false" outlineLevel="0" collapsed="false">
      <c r="A379" s="20"/>
      <c r="B379" s="19"/>
      <c r="C379" s="23"/>
      <c r="D379" s="19"/>
    </row>
    <row r="380" customFormat="false" ht="15" hidden="false" customHeight="false" outlineLevel="0" collapsed="false">
      <c r="A380" s="20"/>
      <c r="B380" s="19"/>
      <c r="C380" s="23"/>
      <c r="D380" s="19"/>
    </row>
    <row r="381" customFormat="false" ht="15" hidden="false" customHeight="false" outlineLevel="0" collapsed="false">
      <c r="A381" s="20"/>
      <c r="B381" s="19"/>
      <c r="C381" s="23"/>
      <c r="D381" s="19"/>
    </row>
    <row r="382" customFormat="false" ht="15" hidden="false" customHeight="false" outlineLevel="0" collapsed="false">
      <c r="A382" s="20"/>
      <c r="B382" s="19"/>
      <c r="C382" s="23"/>
      <c r="D382" s="19"/>
    </row>
    <row r="383" customFormat="false" ht="15" hidden="false" customHeight="false" outlineLevel="0" collapsed="false">
      <c r="A383" s="20"/>
      <c r="B383" s="19"/>
      <c r="C383" s="23"/>
      <c r="D383" s="19"/>
    </row>
    <row r="384" customFormat="false" ht="15" hidden="false" customHeight="false" outlineLevel="0" collapsed="false">
      <c r="A384" s="20"/>
      <c r="B384" s="19"/>
      <c r="C384" s="23"/>
      <c r="D384" s="19"/>
    </row>
    <row r="385" customFormat="false" ht="15" hidden="false" customHeight="false" outlineLevel="0" collapsed="false">
      <c r="A385" s="20"/>
      <c r="B385" s="19"/>
      <c r="C385" s="23"/>
      <c r="D385" s="19"/>
    </row>
    <row r="386" customFormat="false" ht="15" hidden="false" customHeight="false" outlineLevel="0" collapsed="false">
      <c r="A386" s="20"/>
      <c r="B386" s="19"/>
      <c r="C386" s="23"/>
      <c r="D386" s="19"/>
    </row>
    <row r="387" customFormat="false" ht="15" hidden="false" customHeight="false" outlineLevel="0" collapsed="false">
      <c r="A387" s="20"/>
      <c r="B387" s="19"/>
      <c r="C387" s="23"/>
      <c r="D387" s="19"/>
    </row>
    <row r="388" customFormat="false" ht="15" hidden="false" customHeight="false" outlineLevel="0" collapsed="false">
      <c r="A388" s="20"/>
      <c r="B388" s="19"/>
      <c r="C388" s="23"/>
      <c r="D388" s="19"/>
    </row>
    <row r="389" customFormat="false" ht="15" hidden="false" customHeight="false" outlineLevel="0" collapsed="false">
      <c r="A389" s="20"/>
      <c r="B389" s="19"/>
      <c r="C389" s="23"/>
      <c r="D389" s="19"/>
    </row>
    <row r="390" customFormat="false" ht="15" hidden="false" customHeight="false" outlineLevel="0" collapsed="false">
      <c r="A390" s="20"/>
      <c r="B390" s="19"/>
      <c r="C390" s="23"/>
      <c r="D390" s="19"/>
    </row>
    <row r="391" customFormat="false" ht="15" hidden="false" customHeight="false" outlineLevel="0" collapsed="false">
      <c r="A391" s="20"/>
      <c r="B391" s="19"/>
      <c r="C391" s="23"/>
      <c r="D391" s="19"/>
    </row>
    <row r="392" customFormat="false" ht="15" hidden="false" customHeight="false" outlineLevel="0" collapsed="false">
      <c r="A392" s="20"/>
      <c r="B392" s="19"/>
      <c r="C392" s="23"/>
      <c r="D392" s="19"/>
    </row>
    <row r="393" customFormat="false" ht="15" hidden="false" customHeight="false" outlineLevel="0" collapsed="false">
      <c r="A393" s="20"/>
      <c r="B393" s="19"/>
      <c r="C393" s="23"/>
      <c r="D393" s="19"/>
    </row>
    <row r="394" customFormat="false" ht="15" hidden="false" customHeight="false" outlineLevel="0" collapsed="false">
      <c r="A394" s="20"/>
      <c r="B394" s="19"/>
      <c r="C394" s="23"/>
      <c r="D394" s="19"/>
    </row>
    <row r="395" customFormat="false" ht="15" hidden="false" customHeight="false" outlineLevel="0" collapsed="false">
      <c r="A395" s="20"/>
      <c r="B395" s="19"/>
      <c r="C395" s="23"/>
      <c r="D395" s="19"/>
    </row>
    <row r="396" customFormat="false" ht="15" hidden="false" customHeight="false" outlineLevel="0" collapsed="false">
      <c r="A396" s="20"/>
      <c r="B396" s="19"/>
      <c r="C396" s="23"/>
      <c r="D396" s="19"/>
    </row>
    <row r="397" customFormat="false" ht="15" hidden="false" customHeight="false" outlineLevel="0" collapsed="false">
      <c r="A397" s="20"/>
      <c r="B397" s="19"/>
      <c r="C397" s="23"/>
      <c r="D397" s="19"/>
    </row>
    <row r="398" customFormat="false" ht="15" hidden="false" customHeight="false" outlineLevel="0" collapsed="false">
      <c r="A398" s="20"/>
      <c r="B398" s="19"/>
      <c r="C398" s="23"/>
      <c r="D398" s="19"/>
    </row>
    <row r="399" customFormat="false" ht="15" hidden="false" customHeight="false" outlineLevel="0" collapsed="false">
      <c r="A399" s="20"/>
      <c r="B399" s="19"/>
      <c r="C399" s="23"/>
      <c r="D399" s="19"/>
    </row>
    <row r="400" customFormat="false" ht="15" hidden="false" customHeight="false" outlineLevel="0" collapsed="false">
      <c r="A400" s="20"/>
      <c r="B400" s="19"/>
      <c r="C400" s="23"/>
      <c r="D400" s="19"/>
    </row>
    <row r="401" customFormat="false" ht="15" hidden="false" customHeight="false" outlineLevel="0" collapsed="false">
      <c r="A401" s="20"/>
      <c r="B401" s="19"/>
      <c r="C401" s="23"/>
      <c r="D401" s="19"/>
    </row>
    <row r="402" customFormat="false" ht="15" hidden="false" customHeight="false" outlineLevel="0" collapsed="false">
      <c r="A402" s="20"/>
      <c r="B402" s="19"/>
      <c r="C402" s="23"/>
      <c r="D402" s="19"/>
    </row>
    <row r="403" customFormat="false" ht="15" hidden="false" customHeight="false" outlineLevel="0" collapsed="false">
      <c r="A403" s="20"/>
      <c r="B403" s="19"/>
      <c r="C403" s="23"/>
      <c r="D403" s="19"/>
    </row>
    <row r="404" customFormat="false" ht="15" hidden="false" customHeight="false" outlineLevel="0" collapsed="false">
      <c r="A404" s="20"/>
      <c r="B404" s="19"/>
      <c r="C404" s="23"/>
      <c r="D404" s="19"/>
    </row>
    <row r="405" customFormat="false" ht="15" hidden="false" customHeight="false" outlineLevel="0" collapsed="false">
      <c r="A405" s="20"/>
      <c r="B405" s="19"/>
      <c r="C405" s="23"/>
      <c r="D405" s="19"/>
    </row>
    <row r="406" customFormat="false" ht="15" hidden="false" customHeight="false" outlineLevel="0" collapsed="false">
      <c r="A406" s="20"/>
      <c r="B406" s="19"/>
      <c r="C406" s="23"/>
      <c r="D406" s="19"/>
    </row>
    <row r="407" customFormat="false" ht="15" hidden="false" customHeight="false" outlineLevel="0" collapsed="false">
      <c r="A407" s="20"/>
      <c r="B407" s="19"/>
      <c r="C407" s="23"/>
      <c r="D407" s="19"/>
    </row>
    <row r="408" customFormat="false" ht="15" hidden="false" customHeight="false" outlineLevel="0" collapsed="false">
      <c r="A408" s="20"/>
      <c r="B408" s="19"/>
      <c r="C408" s="23"/>
      <c r="D408" s="19"/>
    </row>
    <row r="409" customFormat="false" ht="15" hidden="false" customHeight="false" outlineLevel="0" collapsed="false">
      <c r="A409" s="20"/>
      <c r="B409" s="19"/>
      <c r="C409" s="23"/>
      <c r="D409" s="19"/>
    </row>
    <row r="410" customFormat="false" ht="15" hidden="false" customHeight="false" outlineLevel="0" collapsed="false">
      <c r="A410" s="20"/>
      <c r="B410" s="19"/>
      <c r="C410" s="23"/>
      <c r="D410" s="19"/>
    </row>
    <row r="411" customFormat="false" ht="15" hidden="false" customHeight="false" outlineLevel="0" collapsed="false">
      <c r="A411" s="20"/>
      <c r="B411" s="19"/>
      <c r="C411" s="23"/>
      <c r="D411" s="19"/>
    </row>
    <row r="412" customFormat="false" ht="15" hidden="false" customHeight="false" outlineLevel="0" collapsed="false">
      <c r="A412" s="20"/>
      <c r="B412" s="19"/>
      <c r="C412" s="23"/>
      <c r="D412" s="19"/>
    </row>
    <row r="413" customFormat="false" ht="15" hidden="false" customHeight="false" outlineLevel="0" collapsed="false">
      <c r="A413" s="20"/>
      <c r="B413" s="19"/>
      <c r="C413" s="23"/>
      <c r="D413" s="19"/>
    </row>
    <row r="414" customFormat="false" ht="15" hidden="false" customHeight="false" outlineLevel="0" collapsed="false">
      <c r="A414" s="20"/>
      <c r="B414" s="19"/>
      <c r="C414" s="23"/>
      <c r="D414" s="19"/>
    </row>
    <row r="415" customFormat="false" ht="15" hidden="false" customHeight="false" outlineLevel="0" collapsed="false">
      <c r="A415" s="20"/>
      <c r="B415" s="19"/>
      <c r="C415" s="23"/>
      <c r="D415" s="19"/>
    </row>
    <row r="416" customFormat="false" ht="15" hidden="false" customHeight="false" outlineLevel="0" collapsed="false">
      <c r="A416" s="20"/>
      <c r="B416" s="19"/>
      <c r="C416" s="23"/>
      <c r="D416" s="19"/>
    </row>
    <row r="417" customFormat="false" ht="15" hidden="false" customHeight="false" outlineLevel="0" collapsed="false">
      <c r="A417" s="20"/>
      <c r="B417" s="19"/>
      <c r="C417" s="23"/>
      <c r="D417" s="19"/>
    </row>
    <row r="418" customFormat="false" ht="15" hidden="false" customHeight="false" outlineLevel="0" collapsed="false">
      <c r="A418" s="20"/>
      <c r="B418" s="19"/>
      <c r="C418" s="23"/>
      <c r="D418" s="19"/>
    </row>
    <row r="419" customFormat="false" ht="15" hidden="false" customHeight="false" outlineLevel="0" collapsed="false">
      <c r="A419" s="20"/>
      <c r="B419" s="19"/>
      <c r="C419" s="23"/>
      <c r="D419" s="19"/>
    </row>
    <row r="420" customFormat="false" ht="15" hidden="false" customHeight="false" outlineLevel="0" collapsed="false">
      <c r="A420" s="20"/>
      <c r="B420" s="19"/>
      <c r="C420" s="23"/>
      <c r="D420" s="19"/>
    </row>
    <row r="421" customFormat="false" ht="15" hidden="false" customHeight="false" outlineLevel="0" collapsed="false">
      <c r="A421" s="20"/>
      <c r="B421" s="19"/>
      <c r="C421" s="23"/>
      <c r="D421" s="19"/>
    </row>
    <row r="422" customFormat="false" ht="15" hidden="false" customHeight="false" outlineLevel="0" collapsed="false">
      <c r="A422" s="20"/>
      <c r="B422" s="19"/>
      <c r="C422" s="23"/>
      <c r="D422" s="19"/>
    </row>
    <row r="423" customFormat="false" ht="15" hidden="false" customHeight="false" outlineLevel="0" collapsed="false">
      <c r="A423" s="20"/>
      <c r="B423" s="19"/>
      <c r="C423" s="23"/>
      <c r="D423" s="19"/>
    </row>
    <row r="424" customFormat="false" ht="15" hidden="false" customHeight="false" outlineLevel="0" collapsed="false">
      <c r="A424" s="20"/>
      <c r="B424" s="19"/>
      <c r="C424" s="23"/>
      <c r="D424" s="19"/>
    </row>
    <row r="425" customFormat="false" ht="15" hidden="false" customHeight="false" outlineLevel="0" collapsed="false">
      <c r="A425" s="20"/>
      <c r="B425" s="19"/>
      <c r="C425" s="23"/>
      <c r="D425" s="19"/>
    </row>
    <row r="426" customFormat="false" ht="15" hidden="false" customHeight="false" outlineLevel="0" collapsed="false">
      <c r="A426" s="20"/>
      <c r="B426" s="19"/>
      <c r="C426" s="23"/>
      <c r="D426" s="19"/>
    </row>
    <row r="427" customFormat="false" ht="15" hidden="false" customHeight="false" outlineLevel="0" collapsed="false">
      <c r="A427" s="20"/>
      <c r="B427" s="19"/>
      <c r="C427" s="23"/>
      <c r="D427" s="19"/>
    </row>
    <row r="428" customFormat="false" ht="15" hidden="false" customHeight="false" outlineLevel="0" collapsed="false">
      <c r="A428" s="20"/>
      <c r="B428" s="19"/>
      <c r="C428" s="23"/>
      <c r="D428" s="19"/>
    </row>
    <row r="429" customFormat="false" ht="15" hidden="false" customHeight="false" outlineLevel="0" collapsed="false">
      <c r="A429" s="20"/>
      <c r="B429" s="19"/>
      <c r="C429" s="23"/>
      <c r="D429" s="19"/>
    </row>
    <row r="430" customFormat="false" ht="15" hidden="false" customHeight="false" outlineLevel="0" collapsed="false">
      <c r="A430" s="20"/>
      <c r="B430" s="19"/>
      <c r="C430" s="23"/>
      <c r="D430" s="19"/>
    </row>
    <row r="431" customFormat="false" ht="15" hidden="false" customHeight="false" outlineLevel="0" collapsed="false">
      <c r="A431" s="20"/>
      <c r="B431" s="19"/>
      <c r="C431" s="23"/>
      <c r="D431" s="19"/>
    </row>
    <row r="432" customFormat="false" ht="15" hidden="false" customHeight="false" outlineLevel="0" collapsed="false">
      <c r="A432" s="20"/>
      <c r="B432" s="19"/>
      <c r="C432" s="23"/>
      <c r="D432" s="19"/>
    </row>
    <row r="433" customFormat="false" ht="15" hidden="false" customHeight="false" outlineLevel="0" collapsed="false">
      <c r="A433" s="20"/>
      <c r="B433" s="19"/>
      <c r="C433" s="23"/>
      <c r="D433" s="19"/>
    </row>
    <row r="434" customFormat="false" ht="15" hidden="false" customHeight="false" outlineLevel="0" collapsed="false">
      <c r="A434" s="20"/>
      <c r="B434" s="19"/>
      <c r="C434" s="23"/>
      <c r="D434" s="19"/>
    </row>
    <row r="435" customFormat="false" ht="15" hidden="false" customHeight="false" outlineLevel="0" collapsed="false">
      <c r="A435" s="20"/>
      <c r="B435" s="19"/>
      <c r="C435" s="23"/>
      <c r="D435" s="19"/>
    </row>
    <row r="436" customFormat="false" ht="15" hidden="false" customHeight="false" outlineLevel="0" collapsed="false">
      <c r="A436" s="20"/>
      <c r="B436" s="19"/>
      <c r="C436" s="23"/>
      <c r="D436" s="19"/>
    </row>
    <row r="437" customFormat="false" ht="15" hidden="false" customHeight="false" outlineLevel="0" collapsed="false">
      <c r="A437" s="20"/>
      <c r="B437" s="19"/>
      <c r="C437" s="23"/>
      <c r="D437" s="19"/>
    </row>
    <row r="438" customFormat="false" ht="15" hidden="false" customHeight="false" outlineLevel="0" collapsed="false">
      <c r="A438" s="20"/>
      <c r="B438" s="19"/>
      <c r="C438" s="23"/>
      <c r="D438" s="19"/>
    </row>
    <row r="439" customFormat="false" ht="15" hidden="false" customHeight="false" outlineLevel="0" collapsed="false">
      <c r="A439" s="20"/>
      <c r="B439" s="19"/>
      <c r="C439" s="23"/>
      <c r="D439" s="19"/>
    </row>
    <row r="440" customFormat="false" ht="15" hidden="false" customHeight="false" outlineLevel="0" collapsed="false">
      <c r="A440" s="20"/>
      <c r="B440" s="19"/>
      <c r="C440" s="23"/>
      <c r="D440" s="19"/>
    </row>
    <row r="441" customFormat="false" ht="15" hidden="false" customHeight="false" outlineLevel="0" collapsed="false">
      <c r="A441" s="20"/>
      <c r="B441" s="19"/>
      <c r="C441" s="23"/>
      <c r="D441" s="19"/>
    </row>
    <row r="442" customFormat="false" ht="15" hidden="false" customHeight="false" outlineLevel="0" collapsed="false">
      <c r="A442" s="20"/>
      <c r="B442" s="19"/>
      <c r="C442" s="23"/>
      <c r="D442" s="19"/>
    </row>
    <row r="443" customFormat="false" ht="15" hidden="false" customHeight="false" outlineLevel="0" collapsed="false">
      <c r="A443" s="20"/>
      <c r="B443" s="19"/>
      <c r="C443" s="23"/>
      <c r="D443" s="19"/>
    </row>
    <row r="444" customFormat="false" ht="15" hidden="false" customHeight="false" outlineLevel="0" collapsed="false">
      <c r="A444" s="20"/>
      <c r="B444" s="19"/>
      <c r="C444" s="23"/>
      <c r="D444" s="19"/>
    </row>
    <row r="445" customFormat="false" ht="15" hidden="false" customHeight="false" outlineLevel="0" collapsed="false">
      <c r="A445" s="20"/>
      <c r="B445" s="19"/>
      <c r="C445" s="23"/>
      <c r="D445" s="19"/>
    </row>
    <row r="446" customFormat="false" ht="15" hidden="false" customHeight="false" outlineLevel="0" collapsed="false">
      <c r="A446" s="20"/>
      <c r="B446" s="19"/>
      <c r="C446" s="23"/>
      <c r="D446" s="19"/>
    </row>
    <row r="447" customFormat="false" ht="15" hidden="false" customHeight="false" outlineLevel="0" collapsed="false">
      <c r="A447" s="20"/>
      <c r="B447" s="19"/>
      <c r="C447" s="23"/>
      <c r="D447" s="19"/>
    </row>
    <row r="448" customFormat="false" ht="15" hidden="false" customHeight="false" outlineLevel="0" collapsed="false">
      <c r="A448" s="20"/>
      <c r="B448" s="19"/>
      <c r="C448" s="23"/>
      <c r="D448" s="19"/>
    </row>
    <row r="449" customFormat="false" ht="15" hidden="false" customHeight="false" outlineLevel="0" collapsed="false">
      <c r="A449" s="20"/>
      <c r="B449" s="19"/>
      <c r="C449" s="23"/>
      <c r="D449" s="19"/>
    </row>
    <row r="450" customFormat="false" ht="15" hidden="false" customHeight="false" outlineLevel="0" collapsed="false">
      <c r="A450" s="20"/>
      <c r="B450" s="19"/>
      <c r="C450" s="23"/>
      <c r="D450" s="19"/>
    </row>
    <row r="451" customFormat="false" ht="15" hidden="false" customHeight="false" outlineLevel="0" collapsed="false">
      <c r="A451" s="20"/>
      <c r="B451" s="19"/>
      <c r="C451" s="23"/>
      <c r="D451" s="19"/>
    </row>
    <row r="452" customFormat="false" ht="15" hidden="false" customHeight="false" outlineLevel="0" collapsed="false">
      <c r="A452" s="20"/>
      <c r="B452" s="19"/>
      <c r="C452" s="23"/>
      <c r="D452" s="19"/>
    </row>
    <row r="453" customFormat="false" ht="15" hidden="false" customHeight="false" outlineLevel="0" collapsed="false">
      <c r="A453" s="20"/>
      <c r="B453" s="19"/>
      <c r="C453" s="23"/>
      <c r="D453" s="19"/>
    </row>
    <row r="454" customFormat="false" ht="15" hidden="false" customHeight="false" outlineLevel="0" collapsed="false">
      <c r="A454" s="20"/>
      <c r="B454" s="19"/>
      <c r="C454" s="23"/>
      <c r="D454" s="19"/>
    </row>
    <row r="455" customFormat="false" ht="15" hidden="false" customHeight="false" outlineLevel="0" collapsed="false">
      <c r="A455" s="20"/>
      <c r="B455" s="19"/>
      <c r="C455" s="23"/>
      <c r="D455" s="19"/>
    </row>
    <row r="456" customFormat="false" ht="15" hidden="false" customHeight="false" outlineLevel="0" collapsed="false">
      <c r="A456" s="20"/>
      <c r="B456" s="19"/>
      <c r="C456" s="23"/>
      <c r="D456" s="19"/>
    </row>
    <row r="457" customFormat="false" ht="15" hidden="false" customHeight="false" outlineLevel="0" collapsed="false">
      <c r="A457" s="20"/>
      <c r="B457" s="19"/>
      <c r="C457" s="23"/>
      <c r="D457" s="19"/>
    </row>
    <row r="458" customFormat="false" ht="15" hidden="false" customHeight="false" outlineLevel="0" collapsed="false">
      <c r="A458" s="20"/>
      <c r="B458" s="19"/>
      <c r="C458" s="23"/>
      <c r="D458" s="19"/>
    </row>
    <row r="459" customFormat="false" ht="15" hidden="false" customHeight="false" outlineLevel="0" collapsed="false">
      <c r="A459" s="20"/>
      <c r="B459" s="19"/>
      <c r="C459" s="23"/>
      <c r="D459" s="19"/>
    </row>
    <row r="460" customFormat="false" ht="15" hidden="false" customHeight="false" outlineLevel="0" collapsed="false">
      <c r="A460" s="20"/>
      <c r="B460" s="19"/>
      <c r="C460" s="23"/>
      <c r="D460" s="19"/>
    </row>
    <row r="461" customFormat="false" ht="15" hidden="false" customHeight="false" outlineLevel="0" collapsed="false">
      <c r="A461" s="20"/>
      <c r="B461" s="19"/>
      <c r="C461" s="23"/>
      <c r="D461" s="19"/>
    </row>
    <row r="462" customFormat="false" ht="15" hidden="false" customHeight="false" outlineLevel="0" collapsed="false">
      <c r="A462" s="20"/>
      <c r="B462" s="19"/>
      <c r="C462" s="23"/>
      <c r="D462" s="19"/>
    </row>
    <row r="463" customFormat="false" ht="15" hidden="false" customHeight="false" outlineLevel="0" collapsed="false">
      <c r="A463" s="20"/>
      <c r="B463" s="19"/>
      <c r="C463" s="23"/>
      <c r="D463" s="19"/>
    </row>
    <row r="464" customFormat="false" ht="15" hidden="false" customHeight="false" outlineLevel="0" collapsed="false">
      <c r="A464" s="20"/>
      <c r="B464" s="19"/>
      <c r="C464" s="23"/>
      <c r="D464" s="19"/>
    </row>
    <row r="465" customFormat="false" ht="15" hidden="false" customHeight="false" outlineLevel="0" collapsed="false">
      <c r="A465" s="20"/>
      <c r="B465" s="19"/>
      <c r="C465" s="23"/>
      <c r="D465" s="19"/>
    </row>
    <row r="466" customFormat="false" ht="15" hidden="false" customHeight="false" outlineLevel="0" collapsed="false">
      <c r="A466" s="20"/>
      <c r="B466" s="19"/>
      <c r="C466" s="23"/>
      <c r="D466" s="19"/>
    </row>
    <row r="467" customFormat="false" ht="15" hidden="false" customHeight="false" outlineLevel="0" collapsed="false">
      <c r="A467" s="20"/>
      <c r="B467" s="19"/>
      <c r="C467" s="23"/>
      <c r="D467" s="19"/>
    </row>
    <row r="468" customFormat="false" ht="15" hidden="false" customHeight="false" outlineLevel="0" collapsed="false">
      <c r="A468" s="20"/>
      <c r="B468" s="19"/>
      <c r="C468" s="23"/>
      <c r="D468" s="19"/>
    </row>
    <row r="469" customFormat="false" ht="15" hidden="false" customHeight="false" outlineLevel="0" collapsed="false">
      <c r="A469" s="20"/>
      <c r="B469" s="19"/>
      <c r="C469" s="23"/>
      <c r="D469" s="19"/>
    </row>
    <row r="470" customFormat="false" ht="15" hidden="false" customHeight="false" outlineLevel="0" collapsed="false">
      <c r="A470" s="20"/>
      <c r="B470" s="19"/>
      <c r="C470" s="23"/>
      <c r="D470" s="19"/>
    </row>
    <row r="471" customFormat="false" ht="15" hidden="false" customHeight="false" outlineLevel="0" collapsed="false">
      <c r="A471" s="20"/>
      <c r="B471" s="19"/>
      <c r="C471" s="23"/>
      <c r="D471" s="19"/>
    </row>
    <row r="472" customFormat="false" ht="15" hidden="false" customHeight="false" outlineLevel="0" collapsed="false">
      <c r="A472" s="20"/>
      <c r="B472" s="19"/>
      <c r="C472" s="23"/>
      <c r="D472" s="19"/>
    </row>
    <row r="473" customFormat="false" ht="15" hidden="false" customHeight="false" outlineLevel="0" collapsed="false">
      <c r="A473" s="20"/>
      <c r="B473" s="19"/>
      <c r="C473" s="23"/>
      <c r="D473" s="19"/>
    </row>
    <row r="474" customFormat="false" ht="15" hidden="false" customHeight="false" outlineLevel="0" collapsed="false">
      <c r="A474" s="20"/>
      <c r="B474" s="19"/>
      <c r="C474" s="23"/>
      <c r="D474" s="19"/>
    </row>
    <row r="475" customFormat="false" ht="15" hidden="false" customHeight="false" outlineLevel="0" collapsed="false">
      <c r="A475" s="20"/>
      <c r="B475" s="19"/>
      <c r="C475" s="23"/>
      <c r="D475" s="19"/>
    </row>
    <row r="476" customFormat="false" ht="15" hidden="false" customHeight="false" outlineLevel="0" collapsed="false">
      <c r="A476" s="20"/>
      <c r="B476" s="19"/>
      <c r="C476" s="23"/>
      <c r="D476" s="19"/>
    </row>
    <row r="477" customFormat="false" ht="15" hidden="false" customHeight="false" outlineLevel="0" collapsed="false">
      <c r="A477" s="20"/>
      <c r="B477" s="19"/>
      <c r="C477" s="23"/>
      <c r="D477" s="19"/>
    </row>
    <row r="478" customFormat="false" ht="15" hidden="false" customHeight="false" outlineLevel="0" collapsed="false">
      <c r="A478" s="20"/>
      <c r="B478" s="19"/>
      <c r="C478" s="23"/>
      <c r="D478" s="19"/>
    </row>
    <row r="479" customFormat="false" ht="15" hidden="false" customHeight="false" outlineLevel="0" collapsed="false">
      <c r="A479" s="20"/>
      <c r="B479" s="19"/>
      <c r="C479" s="23"/>
      <c r="D479" s="19"/>
    </row>
    <row r="480" customFormat="false" ht="15" hidden="false" customHeight="false" outlineLevel="0" collapsed="false">
      <c r="A480" s="20"/>
      <c r="B480" s="19"/>
      <c r="C480" s="23"/>
      <c r="D480" s="19"/>
    </row>
    <row r="481" customFormat="false" ht="15" hidden="false" customHeight="false" outlineLevel="0" collapsed="false">
      <c r="A481" s="20"/>
      <c r="B481" s="19"/>
      <c r="C481" s="23"/>
      <c r="D481" s="19"/>
    </row>
    <row r="482" customFormat="false" ht="15" hidden="false" customHeight="false" outlineLevel="0" collapsed="false">
      <c r="A482" s="20"/>
      <c r="B482" s="19"/>
      <c r="C482" s="23"/>
      <c r="D482" s="19"/>
    </row>
    <row r="483" customFormat="false" ht="15" hidden="false" customHeight="false" outlineLevel="0" collapsed="false">
      <c r="A483" s="20"/>
      <c r="B483" s="19"/>
      <c r="C483" s="23"/>
      <c r="D483" s="19"/>
    </row>
    <row r="484" customFormat="false" ht="15" hidden="false" customHeight="false" outlineLevel="0" collapsed="false">
      <c r="A484" s="20"/>
      <c r="B484" s="19"/>
      <c r="C484" s="23"/>
      <c r="D484" s="19"/>
    </row>
    <row r="485" customFormat="false" ht="15" hidden="false" customHeight="false" outlineLevel="0" collapsed="false">
      <c r="A485" s="20"/>
      <c r="B485" s="19"/>
      <c r="C485" s="23"/>
      <c r="D485" s="19"/>
    </row>
    <row r="486" customFormat="false" ht="15" hidden="false" customHeight="false" outlineLevel="0" collapsed="false">
      <c r="A486" s="20"/>
      <c r="B486" s="19"/>
      <c r="C486" s="23"/>
      <c r="D486" s="19"/>
    </row>
    <row r="487" customFormat="false" ht="15" hidden="false" customHeight="false" outlineLevel="0" collapsed="false">
      <c r="A487" s="20"/>
      <c r="B487" s="19"/>
      <c r="C487" s="23"/>
      <c r="D487" s="19"/>
    </row>
    <row r="488" customFormat="false" ht="15" hidden="false" customHeight="false" outlineLevel="0" collapsed="false">
      <c r="A488" s="20"/>
      <c r="B488" s="19"/>
      <c r="C488" s="23"/>
      <c r="D488" s="19"/>
    </row>
    <row r="489" customFormat="false" ht="15" hidden="false" customHeight="false" outlineLevel="0" collapsed="false">
      <c r="A489" s="20"/>
      <c r="B489" s="19"/>
      <c r="C489" s="23"/>
      <c r="D489" s="19"/>
    </row>
    <row r="490" customFormat="false" ht="15" hidden="false" customHeight="false" outlineLevel="0" collapsed="false">
      <c r="A490" s="20"/>
      <c r="B490" s="19"/>
      <c r="C490" s="23"/>
      <c r="D490" s="19"/>
    </row>
    <row r="491" customFormat="false" ht="15" hidden="false" customHeight="false" outlineLevel="0" collapsed="false">
      <c r="A491" s="20"/>
      <c r="B491" s="19"/>
      <c r="C491" s="23"/>
      <c r="D491" s="19"/>
    </row>
    <row r="492" customFormat="false" ht="15" hidden="false" customHeight="false" outlineLevel="0" collapsed="false">
      <c r="A492" s="20"/>
      <c r="B492" s="19"/>
      <c r="C492" s="23"/>
      <c r="D492" s="19"/>
    </row>
    <row r="493" customFormat="false" ht="15" hidden="false" customHeight="false" outlineLevel="0" collapsed="false">
      <c r="A493" s="20"/>
      <c r="B493" s="19"/>
      <c r="C493" s="23"/>
      <c r="D493" s="19"/>
    </row>
    <row r="494" customFormat="false" ht="15" hidden="false" customHeight="false" outlineLevel="0" collapsed="false">
      <c r="A494" s="20"/>
      <c r="B494" s="19"/>
      <c r="C494" s="23"/>
      <c r="D494" s="19"/>
    </row>
    <row r="495" customFormat="false" ht="15" hidden="false" customHeight="false" outlineLevel="0" collapsed="false">
      <c r="A495" s="20"/>
      <c r="B495" s="19"/>
      <c r="C495" s="23"/>
      <c r="D495" s="19"/>
    </row>
    <row r="496" customFormat="false" ht="15" hidden="false" customHeight="false" outlineLevel="0" collapsed="false">
      <c r="A496" s="20"/>
      <c r="B496" s="19"/>
      <c r="C496" s="23"/>
      <c r="D496" s="19"/>
    </row>
    <row r="497" customFormat="false" ht="15" hidden="false" customHeight="false" outlineLevel="0" collapsed="false">
      <c r="A497" s="20"/>
      <c r="B497" s="19"/>
      <c r="C497" s="23"/>
      <c r="D497" s="19"/>
    </row>
    <row r="498" customFormat="false" ht="15" hidden="false" customHeight="false" outlineLevel="0" collapsed="false">
      <c r="A498" s="20"/>
      <c r="B498" s="19"/>
      <c r="C498" s="23"/>
      <c r="D498" s="19"/>
    </row>
    <row r="499" customFormat="false" ht="15" hidden="false" customHeight="false" outlineLevel="0" collapsed="false">
      <c r="A499" s="20"/>
      <c r="B499" s="19"/>
      <c r="C499" s="23"/>
      <c r="D499" s="19"/>
    </row>
    <row r="500" customFormat="false" ht="15" hidden="false" customHeight="false" outlineLevel="0" collapsed="false">
      <c r="A500" s="20"/>
      <c r="B500" s="19"/>
      <c r="C500" s="23"/>
      <c r="D500" s="19"/>
    </row>
    <row r="501" customFormat="false" ht="15" hidden="false" customHeight="false" outlineLevel="0" collapsed="false">
      <c r="A501" s="20"/>
      <c r="B501" s="19"/>
      <c r="C501" s="23"/>
      <c r="D501" s="19"/>
    </row>
  </sheetData>
  <dataValidations count="1">
    <dataValidation allowBlank="true" errorStyle="stop" operator="between" showDropDown="false" showErrorMessage="true" showInputMessage="false" sqref="B2:B501" type="list">
      <formula1>"Rent,Electricity,Internet,Utilities,Marketing,Maintenance,Misc"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24"/>
  </cols>
  <sheetData>
    <row r="1" customFormat="false" ht="15" hidden="false" customHeight="false" outlineLevel="0" collapsed="false">
      <c r="A1" s="17" t="s">
        <v>56</v>
      </c>
      <c r="B1" s="17" t="s">
        <v>167</v>
      </c>
      <c r="C1" s="17" t="s">
        <v>168</v>
      </c>
      <c r="D1" s="17" t="s">
        <v>84</v>
      </c>
      <c r="E1" s="17" t="s">
        <v>85</v>
      </c>
      <c r="F1" s="17" t="s">
        <v>169</v>
      </c>
      <c r="G1" s="17" t="s">
        <v>165</v>
      </c>
    </row>
    <row r="2" customFormat="false" ht="15" hidden="false" customHeight="false" outlineLevel="0" collapsed="false">
      <c r="A2" s="20"/>
      <c r="B2" s="6"/>
      <c r="C2" s="19"/>
      <c r="D2" s="23"/>
      <c r="E2" s="9" t="str">
        <f aca="false">IF($B2="","",$C2*$D2)</f>
        <v/>
      </c>
      <c r="F2" s="19"/>
      <c r="G2" s="19"/>
    </row>
    <row r="3" customFormat="false" ht="15" hidden="false" customHeight="false" outlineLevel="0" collapsed="false">
      <c r="A3" s="20"/>
      <c r="B3" s="6"/>
      <c r="C3" s="19"/>
      <c r="D3" s="23"/>
      <c r="E3" s="9" t="str">
        <f aca="false">IF($B3="","",$C3*$D3)</f>
        <v/>
      </c>
      <c r="F3" s="19"/>
      <c r="G3" s="19"/>
    </row>
    <row r="4" customFormat="false" ht="15" hidden="false" customHeight="false" outlineLevel="0" collapsed="false">
      <c r="A4" s="20"/>
      <c r="B4" s="6"/>
      <c r="C4" s="19"/>
      <c r="D4" s="23"/>
      <c r="E4" s="9" t="str">
        <f aca="false">IF($B4="","",$C4*$D4)</f>
        <v/>
      </c>
      <c r="F4" s="19"/>
      <c r="G4" s="19"/>
    </row>
    <row r="5" customFormat="false" ht="15" hidden="false" customHeight="false" outlineLevel="0" collapsed="false">
      <c r="A5" s="20"/>
      <c r="B5" s="6"/>
      <c r="C5" s="19"/>
      <c r="D5" s="23"/>
      <c r="E5" s="9" t="str">
        <f aca="false">IF($B5="","",$C5*$D5)</f>
        <v/>
      </c>
      <c r="F5" s="19"/>
      <c r="G5" s="19"/>
    </row>
    <row r="6" customFormat="false" ht="15" hidden="false" customHeight="false" outlineLevel="0" collapsed="false">
      <c r="A6" s="20"/>
      <c r="B6" s="6"/>
      <c r="C6" s="19"/>
      <c r="D6" s="23"/>
      <c r="E6" s="9" t="str">
        <f aca="false">IF($B6="","",$C6*$D6)</f>
        <v/>
      </c>
      <c r="F6" s="19"/>
      <c r="G6" s="19"/>
    </row>
    <row r="7" customFormat="false" ht="15" hidden="false" customHeight="false" outlineLevel="0" collapsed="false">
      <c r="A7" s="20"/>
      <c r="B7" s="6"/>
      <c r="C7" s="19"/>
      <c r="D7" s="23"/>
      <c r="E7" s="9" t="str">
        <f aca="false">IF($B7="","",$C7*$D7)</f>
        <v/>
      </c>
      <c r="F7" s="19"/>
      <c r="G7" s="19"/>
    </row>
    <row r="8" customFormat="false" ht="15" hidden="false" customHeight="false" outlineLevel="0" collapsed="false">
      <c r="A8" s="20"/>
      <c r="B8" s="6"/>
      <c r="C8" s="19"/>
      <c r="D8" s="23"/>
      <c r="E8" s="9" t="str">
        <f aca="false">IF($B8="","",$C8*$D8)</f>
        <v/>
      </c>
      <c r="F8" s="19"/>
      <c r="G8" s="19"/>
    </row>
    <row r="9" customFormat="false" ht="15" hidden="false" customHeight="false" outlineLevel="0" collapsed="false">
      <c r="A9" s="20"/>
      <c r="B9" s="6"/>
      <c r="C9" s="19"/>
      <c r="D9" s="23"/>
      <c r="E9" s="9" t="str">
        <f aca="false">IF($B9="","",$C9*$D9)</f>
        <v/>
      </c>
      <c r="F9" s="19"/>
      <c r="G9" s="19"/>
    </row>
    <row r="10" customFormat="false" ht="15" hidden="false" customHeight="false" outlineLevel="0" collapsed="false">
      <c r="A10" s="20"/>
      <c r="B10" s="6"/>
      <c r="C10" s="19"/>
      <c r="D10" s="23"/>
      <c r="E10" s="9" t="str">
        <f aca="false">IF($B10="","",$C10*$D10)</f>
        <v/>
      </c>
      <c r="F10" s="19"/>
      <c r="G10" s="19"/>
    </row>
    <row r="11" customFormat="false" ht="15" hidden="false" customHeight="false" outlineLevel="0" collapsed="false">
      <c r="A11" s="20"/>
      <c r="B11" s="6"/>
      <c r="C11" s="19"/>
      <c r="D11" s="23"/>
      <c r="E11" s="9" t="str">
        <f aca="false">IF($B11="","",$C11*$D11)</f>
        <v/>
      </c>
      <c r="F11" s="19"/>
      <c r="G11" s="19"/>
    </row>
    <row r="12" customFormat="false" ht="15" hidden="false" customHeight="false" outlineLevel="0" collapsed="false">
      <c r="A12" s="20"/>
      <c r="B12" s="6"/>
      <c r="C12" s="19"/>
      <c r="D12" s="23"/>
      <c r="E12" s="9" t="str">
        <f aca="false">IF($B12="","",$C12*$D12)</f>
        <v/>
      </c>
      <c r="F12" s="19"/>
      <c r="G12" s="19"/>
    </row>
    <row r="13" customFormat="false" ht="15" hidden="false" customHeight="false" outlineLevel="0" collapsed="false">
      <c r="A13" s="20"/>
      <c r="B13" s="6"/>
      <c r="C13" s="19"/>
      <c r="D13" s="23"/>
      <c r="E13" s="9" t="str">
        <f aca="false">IF($B13="","",$C13*$D13)</f>
        <v/>
      </c>
      <c r="F13" s="19"/>
      <c r="G13" s="19"/>
    </row>
    <row r="14" customFormat="false" ht="15" hidden="false" customHeight="false" outlineLevel="0" collapsed="false">
      <c r="A14" s="20"/>
      <c r="B14" s="6"/>
      <c r="C14" s="19"/>
      <c r="D14" s="23"/>
      <c r="E14" s="9" t="str">
        <f aca="false">IF($B14="","",$C14*$D14)</f>
        <v/>
      </c>
      <c r="F14" s="19"/>
      <c r="G14" s="19"/>
    </row>
    <row r="15" customFormat="false" ht="15" hidden="false" customHeight="false" outlineLevel="0" collapsed="false">
      <c r="A15" s="20"/>
      <c r="B15" s="6"/>
      <c r="C15" s="19"/>
      <c r="D15" s="23"/>
      <c r="E15" s="9" t="str">
        <f aca="false">IF($B15="","",$C15*$D15)</f>
        <v/>
      </c>
      <c r="F15" s="19"/>
      <c r="G15" s="19"/>
    </row>
    <row r="16" customFormat="false" ht="15" hidden="false" customHeight="false" outlineLevel="0" collapsed="false">
      <c r="A16" s="20"/>
      <c r="B16" s="6"/>
      <c r="C16" s="19"/>
      <c r="D16" s="23"/>
      <c r="E16" s="9" t="str">
        <f aca="false">IF($B16="","",$C16*$D16)</f>
        <v/>
      </c>
      <c r="F16" s="19"/>
      <c r="G16" s="19"/>
    </row>
    <row r="17" customFormat="false" ht="15" hidden="false" customHeight="false" outlineLevel="0" collapsed="false">
      <c r="A17" s="20"/>
      <c r="B17" s="6"/>
      <c r="C17" s="19"/>
      <c r="D17" s="23"/>
      <c r="E17" s="9" t="str">
        <f aca="false">IF($B17="","",$C17*$D17)</f>
        <v/>
      </c>
      <c r="F17" s="19"/>
      <c r="G17" s="19"/>
    </row>
    <row r="18" customFormat="false" ht="15" hidden="false" customHeight="false" outlineLevel="0" collapsed="false">
      <c r="A18" s="20"/>
      <c r="B18" s="6"/>
      <c r="C18" s="19"/>
      <c r="D18" s="23"/>
      <c r="E18" s="9" t="str">
        <f aca="false">IF($B18="","",$C18*$D18)</f>
        <v/>
      </c>
      <c r="F18" s="19"/>
      <c r="G18" s="19"/>
    </row>
    <row r="19" customFormat="false" ht="15" hidden="false" customHeight="false" outlineLevel="0" collapsed="false">
      <c r="A19" s="20"/>
      <c r="B19" s="6"/>
      <c r="C19" s="19"/>
      <c r="D19" s="23"/>
      <c r="E19" s="9" t="str">
        <f aca="false">IF($B19="","",$C19*$D19)</f>
        <v/>
      </c>
      <c r="F19" s="19"/>
      <c r="G19" s="19"/>
    </row>
    <row r="20" customFormat="false" ht="15" hidden="false" customHeight="false" outlineLevel="0" collapsed="false">
      <c r="A20" s="20"/>
      <c r="B20" s="6"/>
      <c r="C20" s="19"/>
      <c r="D20" s="23"/>
      <c r="E20" s="9" t="str">
        <f aca="false">IF($B20="","",$C20*$D20)</f>
        <v/>
      </c>
      <c r="F20" s="19"/>
      <c r="G20" s="19"/>
    </row>
    <row r="21" customFormat="false" ht="15" hidden="false" customHeight="false" outlineLevel="0" collapsed="false">
      <c r="A21" s="20"/>
      <c r="B21" s="6"/>
      <c r="C21" s="19"/>
      <c r="D21" s="23"/>
      <c r="E21" s="9" t="str">
        <f aca="false">IF($B21="","",$C21*$D21)</f>
        <v/>
      </c>
      <c r="F21" s="19"/>
      <c r="G21" s="19"/>
    </row>
    <row r="22" customFormat="false" ht="15" hidden="false" customHeight="false" outlineLevel="0" collapsed="false">
      <c r="A22" s="20"/>
      <c r="B22" s="6"/>
      <c r="C22" s="19"/>
      <c r="D22" s="23"/>
      <c r="E22" s="9" t="str">
        <f aca="false">IF($B22="","",$C22*$D22)</f>
        <v/>
      </c>
      <c r="F22" s="19"/>
      <c r="G22" s="19"/>
    </row>
    <row r="23" customFormat="false" ht="15" hidden="false" customHeight="false" outlineLevel="0" collapsed="false">
      <c r="A23" s="20"/>
      <c r="B23" s="6"/>
      <c r="C23" s="19"/>
      <c r="D23" s="23"/>
      <c r="E23" s="9" t="str">
        <f aca="false">IF($B23="","",$C23*$D23)</f>
        <v/>
      </c>
      <c r="F23" s="19"/>
      <c r="G23" s="19"/>
    </row>
    <row r="24" customFormat="false" ht="15" hidden="false" customHeight="false" outlineLevel="0" collapsed="false">
      <c r="A24" s="20"/>
      <c r="B24" s="6"/>
      <c r="C24" s="19"/>
      <c r="D24" s="23"/>
      <c r="E24" s="9" t="str">
        <f aca="false">IF($B24="","",$C24*$D24)</f>
        <v/>
      </c>
      <c r="F24" s="19"/>
      <c r="G24" s="19"/>
    </row>
    <row r="25" customFormat="false" ht="15" hidden="false" customHeight="false" outlineLevel="0" collapsed="false">
      <c r="A25" s="20"/>
      <c r="B25" s="6"/>
      <c r="C25" s="19"/>
      <c r="D25" s="23"/>
      <c r="E25" s="9" t="str">
        <f aca="false">IF($B25="","",$C25*$D25)</f>
        <v/>
      </c>
      <c r="F25" s="19"/>
      <c r="G25" s="19"/>
    </row>
    <row r="26" customFormat="false" ht="15" hidden="false" customHeight="false" outlineLevel="0" collapsed="false">
      <c r="A26" s="20"/>
      <c r="B26" s="6"/>
      <c r="C26" s="19"/>
      <c r="D26" s="23"/>
      <c r="E26" s="9" t="str">
        <f aca="false">IF($B26="","",$C26*$D26)</f>
        <v/>
      </c>
      <c r="F26" s="19"/>
      <c r="G26" s="19"/>
    </row>
    <row r="27" customFormat="false" ht="15" hidden="false" customHeight="false" outlineLevel="0" collapsed="false">
      <c r="A27" s="20"/>
      <c r="B27" s="6"/>
      <c r="C27" s="19"/>
      <c r="D27" s="23"/>
      <c r="E27" s="9" t="str">
        <f aca="false">IF($B27="","",$C27*$D27)</f>
        <v/>
      </c>
      <c r="F27" s="19"/>
      <c r="G27" s="19"/>
    </row>
    <row r="28" customFormat="false" ht="15" hidden="false" customHeight="false" outlineLevel="0" collapsed="false">
      <c r="A28" s="20"/>
      <c r="B28" s="6"/>
      <c r="C28" s="19"/>
      <c r="D28" s="23"/>
      <c r="E28" s="9" t="str">
        <f aca="false">IF($B28="","",$C28*$D28)</f>
        <v/>
      </c>
      <c r="F28" s="19"/>
      <c r="G28" s="19"/>
    </row>
    <row r="29" customFormat="false" ht="15" hidden="false" customHeight="false" outlineLevel="0" collapsed="false">
      <c r="A29" s="20"/>
      <c r="B29" s="6"/>
      <c r="C29" s="19"/>
      <c r="D29" s="23"/>
      <c r="E29" s="9" t="str">
        <f aca="false">IF($B29="","",$C29*$D29)</f>
        <v/>
      </c>
      <c r="F29" s="19"/>
      <c r="G29" s="19"/>
    </row>
    <row r="30" customFormat="false" ht="15" hidden="false" customHeight="false" outlineLevel="0" collapsed="false">
      <c r="A30" s="20"/>
      <c r="B30" s="6"/>
      <c r="C30" s="19"/>
      <c r="D30" s="23"/>
      <c r="E30" s="9" t="str">
        <f aca="false">IF($B30="","",$C30*$D30)</f>
        <v/>
      </c>
      <c r="F30" s="19"/>
      <c r="G30" s="19"/>
    </row>
    <row r="31" customFormat="false" ht="15" hidden="false" customHeight="false" outlineLevel="0" collapsed="false">
      <c r="A31" s="20"/>
      <c r="B31" s="6"/>
      <c r="C31" s="19"/>
      <c r="D31" s="23"/>
      <c r="E31" s="9" t="str">
        <f aca="false">IF($B31="","",$C31*$D31)</f>
        <v/>
      </c>
      <c r="F31" s="19"/>
      <c r="G31" s="19"/>
    </row>
    <row r="32" customFormat="false" ht="15" hidden="false" customHeight="false" outlineLevel="0" collapsed="false">
      <c r="A32" s="20"/>
      <c r="B32" s="6"/>
      <c r="C32" s="19"/>
      <c r="D32" s="23"/>
      <c r="E32" s="9" t="str">
        <f aca="false">IF($B32="","",$C32*$D32)</f>
        <v/>
      </c>
      <c r="F32" s="19"/>
      <c r="G32" s="19"/>
    </row>
    <row r="33" customFormat="false" ht="15" hidden="false" customHeight="false" outlineLevel="0" collapsed="false">
      <c r="A33" s="20"/>
      <c r="B33" s="6"/>
      <c r="C33" s="19"/>
      <c r="D33" s="23"/>
      <c r="E33" s="9" t="str">
        <f aca="false">IF($B33="","",$C33*$D33)</f>
        <v/>
      </c>
      <c r="F33" s="19"/>
      <c r="G33" s="19"/>
    </row>
    <row r="34" customFormat="false" ht="15" hidden="false" customHeight="false" outlineLevel="0" collapsed="false">
      <c r="A34" s="20"/>
      <c r="B34" s="6"/>
      <c r="C34" s="19"/>
      <c r="D34" s="23"/>
      <c r="E34" s="9" t="str">
        <f aca="false">IF($B34="","",$C34*$D34)</f>
        <v/>
      </c>
      <c r="F34" s="19"/>
      <c r="G34" s="19"/>
    </row>
    <row r="35" customFormat="false" ht="15" hidden="false" customHeight="false" outlineLevel="0" collapsed="false">
      <c r="A35" s="20"/>
      <c r="B35" s="6"/>
      <c r="C35" s="19"/>
      <c r="D35" s="23"/>
      <c r="E35" s="9" t="str">
        <f aca="false">IF($B35="","",$C35*$D35)</f>
        <v/>
      </c>
      <c r="F35" s="19"/>
      <c r="G35" s="19"/>
    </row>
    <row r="36" customFormat="false" ht="15" hidden="false" customHeight="false" outlineLevel="0" collapsed="false">
      <c r="A36" s="20"/>
      <c r="B36" s="6"/>
      <c r="C36" s="19"/>
      <c r="D36" s="23"/>
      <c r="E36" s="9" t="str">
        <f aca="false">IF($B36="","",$C36*$D36)</f>
        <v/>
      </c>
      <c r="F36" s="19"/>
      <c r="G36" s="19"/>
    </row>
    <row r="37" customFormat="false" ht="15" hidden="false" customHeight="false" outlineLevel="0" collapsed="false">
      <c r="A37" s="20"/>
      <c r="B37" s="6"/>
      <c r="C37" s="19"/>
      <c r="D37" s="23"/>
      <c r="E37" s="9" t="str">
        <f aca="false">IF($B37="","",$C37*$D37)</f>
        <v/>
      </c>
      <c r="F37" s="19"/>
      <c r="G37" s="19"/>
    </row>
    <row r="38" customFormat="false" ht="15" hidden="false" customHeight="false" outlineLevel="0" collapsed="false">
      <c r="A38" s="20"/>
      <c r="B38" s="6"/>
      <c r="C38" s="19"/>
      <c r="D38" s="23"/>
      <c r="E38" s="9" t="str">
        <f aca="false">IF($B38="","",$C38*$D38)</f>
        <v/>
      </c>
      <c r="F38" s="19"/>
      <c r="G38" s="19"/>
    </row>
    <row r="39" customFormat="false" ht="15" hidden="false" customHeight="false" outlineLevel="0" collapsed="false">
      <c r="A39" s="20"/>
      <c r="B39" s="6"/>
      <c r="C39" s="19"/>
      <c r="D39" s="23"/>
      <c r="E39" s="9" t="str">
        <f aca="false">IF($B39="","",$C39*$D39)</f>
        <v/>
      </c>
      <c r="F39" s="19"/>
      <c r="G39" s="19"/>
    </row>
    <row r="40" customFormat="false" ht="15" hidden="false" customHeight="false" outlineLevel="0" collapsed="false">
      <c r="A40" s="20"/>
      <c r="B40" s="6"/>
      <c r="C40" s="19"/>
      <c r="D40" s="23"/>
      <c r="E40" s="9" t="str">
        <f aca="false">IF($B40="","",$C40*$D40)</f>
        <v/>
      </c>
      <c r="F40" s="19"/>
      <c r="G40" s="19"/>
    </row>
    <row r="41" customFormat="false" ht="15" hidden="false" customHeight="false" outlineLevel="0" collapsed="false">
      <c r="A41" s="20"/>
      <c r="B41" s="6"/>
      <c r="C41" s="19"/>
      <c r="D41" s="23"/>
      <c r="E41" s="9" t="str">
        <f aca="false">IF($B41="","",$C41*$D41)</f>
        <v/>
      </c>
      <c r="F41" s="19"/>
      <c r="G41" s="19"/>
    </row>
    <row r="42" customFormat="false" ht="15" hidden="false" customHeight="false" outlineLevel="0" collapsed="false">
      <c r="A42" s="20"/>
      <c r="B42" s="6"/>
      <c r="C42" s="19"/>
      <c r="D42" s="23"/>
      <c r="E42" s="9" t="str">
        <f aca="false">IF($B42="","",$C42*$D42)</f>
        <v/>
      </c>
      <c r="F42" s="19"/>
      <c r="G42" s="19"/>
    </row>
    <row r="43" customFormat="false" ht="15" hidden="false" customHeight="false" outlineLevel="0" collapsed="false">
      <c r="A43" s="20"/>
      <c r="B43" s="6"/>
      <c r="C43" s="19"/>
      <c r="D43" s="23"/>
      <c r="E43" s="9" t="str">
        <f aca="false">IF($B43="","",$C43*$D43)</f>
        <v/>
      </c>
      <c r="F43" s="19"/>
      <c r="G43" s="19"/>
    </row>
    <row r="44" customFormat="false" ht="15" hidden="false" customHeight="false" outlineLevel="0" collapsed="false">
      <c r="A44" s="20"/>
      <c r="B44" s="6"/>
      <c r="C44" s="19"/>
      <c r="D44" s="23"/>
      <c r="E44" s="9" t="str">
        <f aca="false">IF($B44="","",$C44*$D44)</f>
        <v/>
      </c>
      <c r="F44" s="19"/>
      <c r="G44" s="19"/>
    </row>
    <row r="45" customFormat="false" ht="15" hidden="false" customHeight="false" outlineLevel="0" collapsed="false">
      <c r="A45" s="20"/>
      <c r="B45" s="6"/>
      <c r="C45" s="19"/>
      <c r="D45" s="23"/>
      <c r="E45" s="9" t="str">
        <f aca="false">IF($B45="","",$C45*$D45)</f>
        <v/>
      </c>
      <c r="F45" s="19"/>
      <c r="G45" s="19"/>
    </row>
    <row r="46" customFormat="false" ht="15" hidden="false" customHeight="false" outlineLevel="0" collapsed="false">
      <c r="A46" s="20"/>
      <c r="B46" s="6"/>
      <c r="C46" s="19"/>
      <c r="D46" s="23"/>
      <c r="E46" s="9" t="str">
        <f aca="false">IF($B46="","",$C46*$D46)</f>
        <v/>
      </c>
      <c r="F46" s="19"/>
      <c r="G46" s="19"/>
    </row>
    <row r="47" customFormat="false" ht="15" hidden="false" customHeight="false" outlineLevel="0" collapsed="false">
      <c r="A47" s="20"/>
      <c r="B47" s="6"/>
      <c r="C47" s="19"/>
      <c r="D47" s="23"/>
      <c r="E47" s="9" t="str">
        <f aca="false">IF($B47="","",$C47*$D47)</f>
        <v/>
      </c>
      <c r="F47" s="19"/>
      <c r="G47" s="19"/>
    </row>
    <row r="48" customFormat="false" ht="15" hidden="false" customHeight="false" outlineLevel="0" collapsed="false">
      <c r="A48" s="20"/>
      <c r="B48" s="6"/>
      <c r="C48" s="19"/>
      <c r="D48" s="23"/>
      <c r="E48" s="9" t="str">
        <f aca="false">IF($B48="","",$C48*$D48)</f>
        <v/>
      </c>
      <c r="F48" s="19"/>
      <c r="G48" s="19"/>
    </row>
    <row r="49" customFormat="false" ht="15" hidden="false" customHeight="false" outlineLevel="0" collapsed="false">
      <c r="A49" s="20"/>
      <c r="B49" s="6"/>
      <c r="C49" s="19"/>
      <c r="D49" s="23"/>
      <c r="E49" s="9" t="str">
        <f aca="false">IF($B49="","",$C49*$D49)</f>
        <v/>
      </c>
      <c r="F49" s="19"/>
      <c r="G49" s="19"/>
    </row>
    <row r="50" customFormat="false" ht="15" hidden="false" customHeight="false" outlineLevel="0" collapsed="false">
      <c r="A50" s="20"/>
      <c r="B50" s="6"/>
      <c r="C50" s="19"/>
      <c r="D50" s="23"/>
      <c r="E50" s="9" t="str">
        <f aca="false">IF($B50="","",$C50*$D50)</f>
        <v/>
      </c>
      <c r="F50" s="19"/>
      <c r="G50" s="19"/>
    </row>
    <row r="51" customFormat="false" ht="15" hidden="false" customHeight="false" outlineLevel="0" collapsed="false">
      <c r="A51" s="20"/>
      <c r="B51" s="6"/>
      <c r="C51" s="19"/>
      <c r="D51" s="23"/>
      <c r="E51" s="9" t="str">
        <f aca="false">IF($B51="","",$C51*$D51)</f>
        <v/>
      </c>
      <c r="F51" s="19"/>
      <c r="G51" s="19"/>
    </row>
    <row r="52" customFormat="false" ht="15" hidden="false" customHeight="false" outlineLevel="0" collapsed="false">
      <c r="A52" s="20"/>
      <c r="B52" s="6"/>
      <c r="C52" s="19"/>
      <c r="D52" s="23"/>
      <c r="E52" s="9" t="str">
        <f aca="false">IF($B52="","",$C52*$D52)</f>
        <v/>
      </c>
      <c r="F52" s="19"/>
      <c r="G52" s="19"/>
    </row>
    <row r="53" customFormat="false" ht="15" hidden="false" customHeight="false" outlineLevel="0" collapsed="false">
      <c r="A53" s="20"/>
      <c r="B53" s="6"/>
      <c r="C53" s="19"/>
      <c r="D53" s="23"/>
      <c r="E53" s="9" t="str">
        <f aca="false">IF($B53="","",$C53*$D53)</f>
        <v/>
      </c>
      <c r="F53" s="19"/>
      <c r="G53" s="19"/>
    </row>
    <row r="54" customFormat="false" ht="15" hidden="false" customHeight="false" outlineLevel="0" collapsed="false">
      <c r="A54" s="20"/>
      <c r="B54" s="6"/>
      <c r="C54" s="19"/>
      <c r="D54" s="23"/>
      <c r="E54" s="9" t="str">
        <f aca="false">IF($B54="","",$C54*$D54)</f>
        <v/>
      </c>
      <c r="F54" s="19"/>
      <c r="G54" s="19"/>
    </row>
    <row r="55" customFormat="false" ht="15" hidden="false" customHeight="false" outlineLevel="0" collapsed="false">
      <c r="A55" s="20"/>
      <c r="B55" s="6"/>
      <c r="C55" s="19"/>
      <c r="D55" s="23"/>
      <c r="E55" s="9" t="str">
        <f aca="false">IF($B55="","",$C55*$D55)</f>
        <v/>
      </c>
      <c r="F55" s="19"/>
      <c r="G55" s="19"/>
    </row>
    <row r="56" customFormat="false" ht="15" hidden="false" customHeight="false" outlineLevel="0" collapsed="false">
      <c r="A56" s="20"/>
      <c r="B56" s="6"/>
      <c r="C56" s="19"/>
      <c r="D56" s="23"/>
      <c r="E56" s="9" t="str">
        <f aca="false">IF($B56="","",$C56*$D56)</f>
        <v/>
      </c>
      <c r="F56" s="19"/>
      <c r="G56" s="19"/>
    </row>
    <row r="57" customFormat="false" ht="15" hidden="false" customHeight="false" outlineLevel="0" collapsed="false">
      <c r="A57" s="20"/>
      <c r="B57" s="6"/>
      <c r="C57" s="19"/>
      <c r="D57" s="23"/>
      <c r="E57" s="9" t="str">
        <f aca="false">IF($B57="","",$C57*$D57)</f>
        <v/>
      </c>
      <c r="F57" s="19"/>
      <c r="G57" s="19"/>
    </row>
    <row r="58" customFormat="false" ht="15" hidden="false" customHeight="false" outlineLevel="0" collapsed="false">
      <c r="A58" s="20"/>
      <c r="B58" s="6"/>
      <c r="C58" s="19"/>
      <c r="D58" s="23"/>
      <c r="E58" s="9" t="str">
        <f aca="false">IF($B58="","",$C58*$D58)</f>
        <v/>
      </c>
      <c r="F58" s="19"/>
      <c r="G58" s="19"/>
    </row>
    <row r="59" customFormat="false" ht="15" hidden="false" customHeight="false" outlineLevel="0" collapsed="false">
      <c r="A59" s="20"/>
      <c r="B59" s="6"/>
      <c r="C59" s="19"/>
      <c r="D59" s="23"/>
      <c r="E59" s="9" t="str">
        <f aca="false">IF($B59="","",$C59*$D59)</f>
        <v/>
      </c>
      <c r="F59" s="19"/>
      <c r="G59" s="19"/>
    </row>
    <row r="60" customFormat="false" ht="15" hidden="false" customHeight="false" outlineLevel="0" collapsed="false">
      <c r="A60" s="20"/>
      <c r="B60" s="6"/>
      <c r="C60" s="19"/>
      <c r="D60" s="23"/>
      <c r="E60" s="9" t="str">
        <f aca="false">IF($B60="","",$C60*$D60)</f>
        <v/>
      </c>
      <c r="F60" s="19"/>
      <c r="G60" s="19"/>
    </row>
    <row r="61" customFormat="false" ht="15" hidden="false" customHeight="false" outlineLevel="0" collapsed="false">
      <c r="A61" s="20"/>
      <c r="B61" s="6"/>
      <c r="C61" s="19"/>
      <c r="D61" s="23"/>
      <c r="E61" s="9" t="str">
        <f aca="false">IF($B61="","",$C61*$D61)</f>
        <v/>
      </c>
      <c r="F61" s="19"/>
      <c r="G61" s="19"/>
    </row>
    <row r="62" customFormat="false" ht="15" hidden="false" customHeight="false" outlineLevel="0" collapsed="false">
      <c r="A62" s="20"/>
      <c r="B62" s="6"/>
      <c r="C62" s="19"/>
      <c r="D62" s="23"/>
      <c r="E62" s="9" t="str">
        <f aca="false">IF($B62="","",$C62*$D62)</f>
        <v/>
      </c>
      <c r="F62" s="19"/>
      <c r="G62" s="19"/>
    </row>
    <row r="63" customFormat="false" ht="15" hidden="false" customHeight="false" outlineLevel="0" collapsed="false">
      <c r="A63" s="20"/>
      <c r="B63" s="6"/>
      <c r="C63" s="19"/>
      <c r="D63" s="23"/>
      <c r="E63" s="9" t="str">
        <f aca="false">IF($B63="","",$C63*$D63)</f>
        <v/>
      </c>
      <c r="F63" s="19"/>
      <c r="G63" s="19"/>
    </row>
    <row r="64" customFormat="false" ht="15" hidden="false" customHeight="false" outlineLevel="0" collapsed="false">
      <c r="A64" s="20"/>
      <c r="B64" s="6"/>
      <c r="C64" s="19"/>
      <c r="D64" s="23"/>
      <c r="E64" s="9" t="str">
        <f aca="false">IF($B64="","",$C64*$D64)</f>
        <v/>
      </c>
      <c r="F64" s="19"/>
      <c r="G64" s="19"/>
    </row>
    <row r="65" customFormat="false" ht="15" hidden="false" customHeight="false" outlineLevel="0" collapsed="false">
      <c r="A65" s="20"/>
      <c r="B65" s="6"/>
      <c r="C65" s="19"/>
      <c r="D65" s="23"/>
      <c r="E65" s="9" t="str">
        <f aca="false">IF($B65="","",$C65*$D65)</f>
        <v/>
      </c>
      <c r="F65" s="19"/>
      <c r="G65" s="19"/>
    </row>
    <row r="66" customFormat="false" ht="15" hidden="false" customHeight="false" outlineLevel="0" collapsed="false">
      <c r="A66" s="20"/>
      <c r="B66" s="6"/>
      <c r="C66" s="19"/>
      <c r="D66" s="23"/>
      <c r="E66" s="9" t="str">
        <f aca="false">IF($B66="","",$C66*$D66)</f>
        <v/>
      </c>
      <c r="F66" s="19"/>
      <c r="G66" s="19"/>
    </row>
    <row r="67" customFormat="false" ht="15" hidden="false" customHeight="false" outlineLevel="0" collapsed="false">
      <c r="A67" s="20"/>
      <c r="B67" s="6"/>
      <c r="C67" s="19"/>
      <c r="D67" s="23"/>
      <c r="E67" s="9" t="str">
        <f aca="false">IF($B67="","",$C67*$D67)</f>
        <v/>
      </c>
      <c r="F67" s="19"/>
      <c r="G67" s="19"/>
    </row>
    <row r="68" customFormat="false" ht="15" hidden="false" customHeight="false" outlineLevel="0" collapsed="false">
      <c r="A68" s="20"/>
      <c r="B68" s="6"/>
      <c r="C68" s="19"/>
      <c r="D68" s="23"/>
      <c r="E68" s="9" t="str">
        <f aca="false">IF($B68="","",$C68*$D68)</f>
        <v/>
      </c>
      <c r="F68" s="19"/>
      <c r="G68" s="19"/>
    </row>
    <row r="69" customFormat="false" ht="15" hidden="false" customHeight="false" outlineLevel="0" collapsed="false">
      <c r="A69" s="20"/>
      <c r="B69" s="6"/>
      <c r="C69" s="19"/>
      <c r="D69" s="23"/>
      <c r="E69" s="9" t="str">
        <f aca="false">IF($B69="","",$C69*$D69)</f>
        <v/>
      </c>
      <c r="F69" s="19"/>
      <c r="G69" s="19"/>
    </row>
    <row r="70" customFormat="false" ht="15" hidden="false" customHeight="false" outlineLevel="0" collapsed="false">
      <c r="A70" s="20"/>
      <c r="B70" s="6"/>
      <c r="C70" s="19"/>
      <c r="D70" s="23"/>
      <c r="E70" s="9" t="str">
        <f aca="false">IF($B70="","",$C70*$D70)</f>
        <v/>
      </c>
      <c r="F70" s="19"/>
      <c r="G70" s="19"/>
    </row>
    <row r="71" customFormat="false" ht="15" hidden="false" customHeight="false" outlineLevel="0" collapsed="false">
      <c r="A71" s="20"/>
      <c r="B71" s="6"/>
      <c r="C71" s="19"/>
      <c r="D71" s="23"/>
      <c r="E71" s="9" t="str">
        <f aca="false">IF($B71="","",$C71*$D71)</f>
        <v/>
      </c>
      <c r="F71" s="19"/>
      <c r="G71" s="19"/>
    </row>
    <row r="72" customFormat="false" ht="15" hidden="false" customHeight="false" outlineLevel="0" collapsed="false">
      <c r="A72" s="20"/>
      <c r="B72" s="6"/>
      <c r="C72" s="19"/>
      <c r="D72" s="23"/>
      <c r="E72" s="9" t="str">
        <f aca="false">IF($B72="","",$C72*$D72)</f>
        <v/>
      </c>
      <c r="F72" s="19"/>
      <c r="G72" s="19"/>
    </row>
    <row r="73" customFormat="false" ht="15" hidden="false" customHeight="false" outlineLevel="0" collapsed="false">
      <c r="A73" s="20"/>
      <c r="B73" s="6"/>
      <c r="C73" s="19"/>
      <c r="D73" s="23"/>
      <c r="E73" s="9" t="str">
        <f aca="false">IF($B73="","",$C73*$D73)</f>
        <v/>
      </c>
      <c r="F73" s="19"/>
      <c r="G73" s="19"/>
    </row>
    <row r="74" customFormat="false" ht="15" hidden="false" customHeight="false" outlineLevel="0" collapsed="false">
      <c r="A74" s="20"/>
      <c r="B74" s="6"/>
      <c r="C74" s="19"/>
      <c r="D74" s="23"/>
      <c r="E74" s="9" t="str">
        <f aca="false">IF($B74="","",$C74*$D74)</f>
        <v/>
      </c>
      <c r="F74" s="19"/>
      <c r="G74" s="19"/>
    </row>
    <row r="75" customFormat="false" ht="15" hidden="false" customHeight="false" outlineLevel="0" collapsed="false">
      <c r="A75" s="20"/>
      <c r="B75" s="6"/>
      <c r="C75" s="19"/>
      <c r="D75" s="23"/>
      <c r="E75" s="9" t="str">
        <f aca="false">IF($B75="","",$C75*$D75)</f>
        <v/>
      </c>
      <c r="F75" s="19"/>
      <c r="G75" s="19"/>
    </row>
    <row r="76" customFormat="false" ht="15" hidden="false" customHeight="false" outlineLevel="0" collapsed="false">
      <c r="A76" s="20"/>
      <c r="B76" s="6"/>
      <c r="C76" s="19"/>
      <c r="D76" s="23"/>
      <c r="E76" s="9" t="str">
        <f aca="false">IF($B76="","",$C76*$D76)</f>
        <v/>
      </c>
      <c r="F76" s="19"/>
      <c r="G76" s="19"/>
    </row>
    <row r="77" customFormat="false" ht="15" hidden="false" customHeight="false" outlineLevel="0" collapsed="false">
      <c r="A77" s="20"/>
      <c r="B77" s="6"/>
      <c r="C77" s="19"/>
      <c r="D77" s="23"/>
      <c r="E77" s="9" t="str">
        <f aca="false">IF($B77="","",$C77*$D77)</f>
        <v/>
      </c>
      <c r="F77" s="19"/>
      <c r="G77" s="19"/>
    </row>
    <row r="78" customFormat="false" ht="15" hidden="false" customHeight="false" outlineLevel="0" collapsed="false">
      <c r="A78" s="20"/>
      <c r="B78" s="6"/>
      <c r="C78" s="19"/>
      <c r="D78" s="23"/>
      <c r="E78" s="9" t="str">
        <f aca="false">IF($B78="","",$C78*$D78)</f>
        <v/>
      </c>
      <c r="F78" s="19"/>
      <c r="G78" s="19"/>
    </row>
    <row r="79" customFormat="false" ht="15" hidden="false" customHeight="false" outlineLevel="0" collapsed="false">
      <c r="A79" s="20"/>
      <c r="B79" s="6"/>
      <c r="C79" s="19"/>
      <c r="D79" s="23"/>
      <c r="E79" s="9" t="str">
        <f aca="false">IF($B79="","",$C79*$D79)</f>
        <v/>
      </c>
      <c r="F79" s="19"/>
      <c r="G79" s="19"/>
    </row>
    <row r="80" customFormat="false" ht="15" hidden="false" customHeight="false" outlineLevel="0" collapsed="false">
      <c r="A80" s="20"/>
      <c r="B80" s="6"/>
      <c r="C80" s="19"/>
      <c r="D80" s="23"/>
      <c r="E80" s="9" t="str">
        <f aca="false">IF($B80="","",$C80*$D80)</f>
        <v/>
      </c>
      <c r="F80" s="19"/>
      <c r="G80" s="19"/>
    </row>
    <row r="81" customFormat="false" ht="15" hidden="false" customHeight="false" outlineLevel="0" collapsed="false">
      <c r="A81" s="20"/>
      <c r="B81" s="6"/>
      <c r="C81" s="19"/>
      <c r="D81" s="23"/>
      <c r="E81" s="9" t="str">
        <f aca="false">IF($B81="","",$C81*$D81)</f>
        <v/>
      </c>
      <c r="F81" s="19"/>
      <c r="G81" s="19"/>
    </row>
    <row r="82" customFormat="false" ht="15" hidden="false" customHeight="false" outlineLevel="0" collapsed="false">
      <c r="A82" s="20"/>
      <c r="B82" s="6"/>
      <c r="C82" s="19"/>
      <c r="D82" s="23"/>
      <c r="E82" s="9" t="str">
        <f aca="false">IF($B82="","",$C82*$D82)</f>
        <v/>
      </c>
      <c r="F82" s="19"/>
      <c r="G82" s="19"/>
    </row>
    <row r="83" customFormat="false" ht="15" hidden="false" customHeight="false" outlineLevel="0" collapsed="false">
      <c r="A83" s="20"/>
      <c r="B83" s="6"/>
      <c r="C83" s="19"/>
      <c r="D83" s="23"/>
      <c r="E83" s="9" t="str">
        <f aca="false">IF($B83="","",$C83*$D83)</f>
        <v/>
      </c>
      <c r="F83" s="19"/>
      <c r="G83" s="19"/>
    </row>
    <row r="84" customFormat="false" ht="15" hidden="false" customHeight="false" outlineLevel="0" collapsed="false">
      <c r="A84" s="20"/>
      <c r="B84" s="6"/>
      <c r="C84" s="19"/>
      <c r="D84" s="23"/>
      <c r="E84" s="9" t="str">
        <f aca="false">IF($B84="","",$C84*$D84)</f>
        <v/>
      </c>
      <c r="F84" s="19"/>
      <c r="G84" s="19"/>
    </row>
    <row r="85" customFormat="false" ht="15" hidden="false" customHeight="false" outlineLevel="0" collapsed="false">
      <c r="A85" s="20"/>
      <c r="B85" s="6"/>
      <c r="C85" s="19"/>
      <c r="D85" s="23"/>
      <c r="E85" s="9" t="str">
        <f aca="false">IF($B85="","",$C85*$D85)</f>
        <v/>
      </c>
      <c r="F85" s="19"/>
      <c r="G85" s="19"/>
    </row>
    <row r="86" customFormat="false" ht="15" hidden="false" customHeight="false" outlineLevel="0" collapsed="false">
      <c r="A86" s="20"/>
      <c r="B86" s="6"/>
      <c r="C86" s="19"/>
      <c r="D86" s="23"/>
      <c r="E86" s="9" t="str">
        <f aca="false">IF($B86="","",$C86*$D86)</f>
        <v/>
      </c>
      <c r="F86" s="19"/>
      <c r="G86" s="19"/>
    </row>
    <row r="87" customFormat="false" ht="15" hidden="false" customHeight="false" outlineLevel="0" collapsed="false">
      <c r="A87" s="20"/>
      <c r="B87" s="6"/>
      <c r="C87" s="19"/>
      <c r="D87" s="23"/>
      <c r="E87" s="9" t="str">
        <f aca="false">IF($B87="","",$C87*$D87)</f>
        <v/>
      </c>
      <c r="F87" s="19"/>
      <c r="G87" s="19"/>
    </row>
    <row r="88" customFormat="false" ht="15" hidden="false" customHeight="false" outlineLevel="0" collapsed="false">
      <c r="A88" s="20"/>
      <c r="B88" s="6"/>
      <c r="C88" s="19"/>
      <c r="D88" s="23"/>
      <c r="E88" s="9" t="str">
        <f aca="false">IF($B88="","",$C88*$D88)</f>
        <v/>
      </c>
      <c r="F88" s="19"/>
      <c r="G88" s="19"/>
    </row>
    <row r="89" customFormat="false" ht="15" hidden="false" customHeight="false" outlineLevel="0" collapsed="false">
      <c r="A89" s="20"/>
      <c r="B89" s="6"/>
      <c r="C89" s="19"/>
      <c r="D89" s="23"/>
      <c r="E89" s="9" t="str">
        <f aca="false">IF($B89="","",$C89*$D89)</f>
        <v/>
      </c>
      <c r="F89" s="19"/>
      <c r="G89" s="19"/>
    </row>
    <row r="90" customFormat="false" ht="15" hidden="false" customHeight="false" outlineLevel="0" collapsed="false">
      <c r="A90" s="20"/>
      <c r="B90" s="6"/>
      <c r="C90" s="19"/>
      <c r="D90" s="23"/>
      <c r="E90" s="9" t="str">
        <f aca="false">IF($B90="","",$C90*$D90)</f>
        <v/>
      </c>
      <c r="F90" s="19"/>
      <c r="G90" s="19"/>
    </row>
    <row r="91" customFormat="false" ht="15" hidden="false" customHeight="false" outlineLevel="0" collapsed="false">
      <c r="A91" s="20"/>
      <c r="B91" s="6"/>
      <c r="C91" s="19"/>
      <c r="D91" s="23"/>
      <c r="E91" s="9" t="str">
        <f aca="false">IF($B91="","",$C91*$D91)</f>
        <v/>
      </c>
      <c r="F91" s="19"/>
      <c r="G91" s="19"/>
    </row>
    <row r="92" customFormat="false" ht="15" hidden="false" customHeight="false" outlineLevel="0" collapsed="false">
      <c r="A92" s="20"/>
      <c r="B92" s="6"/>
      <c r="C92" s="19"/>
      <c r="D92" s="23"/>
      <c r="E92" s="9" t="str">
        <f aca="false">IF($B92="","",$C92*$D92)</f>
        <v/>
      </c>
      <c r="F92" s="19"/>
      <c r="G92" s="19"/>
    </row>
    <row r="93" customFormat="false" ht="15" hidden="false" customHeight="false" outlineLevel="0" collapsed="false">
      <c r="A93" s="20"/>
      <c r="B93" s="6"/>
      <c r="C93" s="19"/>
      <c r="D93" s="23"/>
      <c r="E93" s="9" t="str">
        <f aca="false">IF($B93="","",$C93*$D93)</f>
        <v/>
      </c>
      <c r="F93" s="19"/>
      <c r="G93" s="19"/>
    </row>
    <row r="94" customFormat="false" ht="15" hidden="false" customHeight="false" outlineLevel="0" collapsed="false">
      <c r="A94" s="20"/>
      <c r="B94" s="6"/>
      <c r="C94" s="19"/>
      <c r="D94" s="23"/>
      <c r="E94" s="9" t="str">
        <f aca="false">IF($B94="","",$C94*$D94)</f>
        <v/>
      </c>
      <c r="F94" s="19"/>
      <c r="G94" s="19"/>
    </row>
    <row r="95" customFormat="false" ht="15" hidden="false" customHeight="false" outlineLevel="0" collapsed="false">
      <c r="A95" s="20"/>
      <c r="B95" s="6"/>
      <c r="C95" s="19"/>
      <c r="D95" s="23"/>
      <c r="E95" s="9" t="str">
        <f aca="false">IF($B95="","",$C95*$D95)</f>
        <v/>
      </c>
      <c r="F95" s="19"/>
      <c r="G95" s="19"/>
    </row>
    <row r="96" customFormat="false" ht="15" hidden="false" customHeight="false" outlineLevel="0" collapsed="false">
      <c r="A96" s="20"/>
      <c r="B96" s="6"/>
      <c r="C96" s="19"/>
      <c r="D96" s="23"/>
      <c r="E96" s="9" t="str">
        <f aca="false">IF($B96="","",$C96*$D96)</f>
        <v/>
      </c>
      <c r="F96" s="19"/>
      <c r="G96" s="19"/>
    </row>
    <row r="97" customFormat="false" ht="15" hidden="false" customHeight="false" outlineLevel="0" collapsed="false">
      <c r="A97" s="20"/>
      <c r="B97" s="6"/>
      <c r="C97" s="19"/>
      <c r="D97" s="23"/>
      <c r="E97" s="9" t="str">
        <f aca="false">IF($B97="","",$C97*$D97)</f>
        <v/>
      </c>
      <c r="F97" s="19"/>
      <c r="G97" s="19"/>
    </row>
    <row r="98" customFormat="false" ht="15" hidden="false" customHeight="false" outlineLevel="0" collapsed="false">
      <c r="A98" s="20"/>
      <c r="B98" s="6"/>
      <c r="C98" s="19"/>
      <c r="D98" s="23"/>
      <c r="E98" s="9" t="str">
        <f aca="false">IF($B98="","",$C98*$D98)</f>
        <v/>
      </c>
      <c r="F98" s="19"/>
      <c r="G98" s="19"/>
    </row>
    <row r="99" customFormat="false" ht="15" hidden="false" customHeight="false" outlineLevel="0" collapsed="false">
      <c r="A99" s="20"/>
      <c r="B99" s="6"/>
      <c r="C99" s="19"/>
      <c r="D99" s="23"/>
      <c r="E99" s="9" t="str">
        <f aca="false">IF($B99="","",$C99*$D99)</f>
        <v/>
      </c>
      <c r="F99" s="19"/>
      <c r="G99" s="19"/>
    </row>
    <row r="100" customFormat="false" ht="15" hidden="false" customHeight="false" outlineLevel="0" collapsed="false">
      <c r="A100" s="20"/>
      <c r="B100" s="6"/>
      <c r="C100" s="19"/>
      <c r="D100" s="23"/>
      <c r="E100" s="9" t="str">
        <f aca="false">IF($B100="","",$C100*$D100)</f>
        <v/>
      </c>
      <c r="F100" s="19"/>
      <c r="G100" s="19"/>
    </row>
    <row r="101" customFormat="false" ht="15" hidden="false" customHeight="false" outlineLevel="0" collapsed="false">
      <c r="A101" s="20"/>
      <c r="B101" s="6"/>
      <c r="C101" s="19"/>
      <c r="D101" s="23"/>
      <c r="E101" s="9" t="str">
        <f aca="false">IF($B101="","",$C101*$D101)</f>
        <v/>
      </c>
      <c r="F101" s="19"/>
      <c r="G101" s="19"/>
    </row>
    <row r="102" customFormat="false" ht="15" hidden="false" customHeight="false" outlineLevel="0" collapsed="false">
      <c r="A102" s="20"/>
      <c r="B102" s="6"/>
      <c r="C102" s="19"/>
      <c r="D102" s="23"/>
      <c r="E102" s="9" t="str">
        <f aca="false">IF($B102="","",$C102*$D102)</f>
        <v/>
      </c>
      <c r="F102" s="19"/>
      <c r="G102" s="19"/>
    </row>
    <row r="103" customFormat="false" ht="15" hidden="false" customHeight="false" outlineLevel="0" collapsed="false">
      <c r="A103" s="20"/>
      <c r="B103" s="6"/>
      <c r="C103" s="19"/>
      <c r="D103" s="23"/>
      <c r="E103" s="9" t="str">
        <f aca="false">IF($B103="","",$C103*$D103)</f>
        <v/>
      </c>
      <c r="F103" s="19"/>
      <c r="G103" s="19"/>
    </row>
    <row r="104" customFormat="false" ht="15" hidden="false" customHeight="false" outlineLevel="0" collapsed="false">
      <c r="A104" s="20"/>
      <c r="B104" s="6"/>
      <c r="C104" s="19"/>
      <c r="D104" s="23"/>
      <c r="E104" s="9" t="str">
        <f aca="false">IF($B104="","",$C104*$D104)</f>
        <v/>
      </c>
      <c r="F104" s="19"/>
      <c r="G104" s="19"/>
    </row>
    <row r="105" customFormat="false" ht="15" hidden="false" customHeight="false" outlineLevel="0" collapsed="false">
      <c r="A105" s="20"/>
      <c r="B105" s="6"/>
      <c r="C105" s="19"/>
      <c r="D105" s="23"/>
      <c r="E105" s="9" t="str">
        <f aca="false">IF($B105="","",$C105*$D105)</f>
        <v/>
      </c>
      <c r="F105" s="19"/>
      <c r="G105" s="19"/>
    </row>
    <row r="106" customFormat="false" ht="15" hidden="false" customHeight="false" outlineLevel="0" collapsed="false">
      <c r="A106" s="20"/>
      <c r="B106" s="6"/>
      <c r="C106" s="19"/>
      <c r="D106" s="23"/>
      <c r="E106" s="9" t="str">
        <f aca="false">IF($B106="","",$C106*$D106)</f>
        <v/>
      </c>
      <c r="F106" s="19"/>
      <c r="G106" s="19"/>
    </row>
    <row r="107" customFormat="false" ht="15" hidden="false" customHeight="false" outlineLevel="0" collapsed="false">
      <c r="A107" s="20"/>
      <c r="B107" s="6"/>
      <c r="C107" s="19"/>
      <c r="D107" s="23"/>
      <c r="E107" s="9" t="str">
        <f aca="false">IF($B107="","",$C107*$D107)</f>
        <v/>
      </c>
      <c r="F107" s="19"/>
      <c r="G107" s="19"/>
    </row>
    <row r="108" customFormat="false" ht="15" hidden="false" customHeight="false" outlineLevel="0" collapsed="false">
      <c r="A108" s="20"/>
      <c r="B108" s="6"/>
      <c r="C108" s="19"/>
      <c r="D108" s="23"/>
      <c r="E108" s="9" t="str">
        <f aca="false">IF($B108="","",$C108*$D108)</f>
        <v/>
      </c>
      <c r="F108" s="19"/>
      <c r="G108" s="19"/>
    </row>
    <row r="109" customFormat="false" ht="15" hidden="false" customHeight="false" outlineLevel="0" collapsed="false">
      <c r="A109" s="20"/>
      <c r="B109" s="6"/>
      <c r="C109" s="19"/>
      <c r="D109" s="23"/>
      <c r="E109" s="9" t="str">
        <f aca="false">IF($B109="","",$C109*$D109)</f>
        <v/>
      </c>
      <c r="F109" s="19"/>
      <c r="G109" s="19"/>
    </row>
    <row r="110" customFormat="false" ht="15" hidden="false" customHeight="false" outlineLevel="0" collapsed="false">
      <c r="A110" s="20"/>
      <c r="B110" s="6"/>
      <c r="C110" s="19"/>
      <c r="D110" s="23"/>
      <c r="E110" s="9" t="str">
        <f aca="false">IF($B110="","",$C110*$D110)</f>
        <v/>
      </c>
      <c r="F110" s="19"/>
      <c r="G110" s="19"/>
    </row>
    <row r="111" customFormat="false" ht="15" hidden="false" customHeight="false" outlineLevel="0" collapsed="false">
      <c r="A111" s="20"/>
      <c r="B111" s="6"/>
      <c r="C111" s="19"/>
      <c r="D111" s="23"/>
      <c r="E111" s="9" t="str">
        <f aca="false">IF($B111="","",$C111*$D111)</f>
        <v/>
      </c>
      <c r="F111" s="19"/>
      <c r="G111" s="19"/>
    </row>
    <row r="112" customFormat="false" ht="15" hidden="false" customHeight="false" outlineLevel="0" collapsed="false">
      <c r="A112" s="20"/>
      <c r="B112" s="6"/>
      <c r="C112" s="19"/>
      <c r="D112" s="23"/>
      <c r="E112" s="9" t="str">
        <f aca="false">IF($B112="","",$C112*$D112)</f>
        <v/>
      </c>
      <c r="F112" s="19"/>
      <c r="G112" s="19"/>
    </row>
    <row r="113" customFormat="false" ht="15" hidden="false" customHeight="false" outlineLevel="0" collapsed="false">
      <c r="A113" s="20"/>
      <c r="B113" s="6"/>
      <c r="C113" s="19"/>
      <c r="D113" s="23"/>
      <c r="E113" s="9" t="str">
        <f aca="false">IF($B113="","",$C113*$D113)</f>
        <v/>
      </c>
      <c r="F113" s="19"/>
      <c r="G113" s="19"/>
    </row>
    <row r="114" customFormat="false" ht="15" hidden="false" customHeight="false" outlineLevel="0" collapsed="false">
      <c r="A114" s="20"/>
      <c r="B114" s="6"/>
      <c r="C114" s="19"/>
      <c r="D114" s="23"/>
      <c r="E114" s="9" t="str">
        <f aca="false">IF($B114="","",$C114*$D114)</f>
        <v/>
      </c>
      <c r="F114" s="19"/>
      <c r="G114" s="19"/>
    </row>
    <row r="115" customFormat="false" ht="15" hidden="false" customHeight="false" outlineLevel="0" collapsed="false">
      <c r="A115" s="20"/>
      <c r="B115" s="6"/>
      <c r="C115" s="19"/>
      <c r="D115" s="23"/>
      <c r="E115" s="9" t="str">
        <f aca="false">IF($B115="","",$C115*$D115)</f>
        <v/>
      </c>
      <c r="F115" s="19"/>
      <c r="G115" s="19"/>
    </row>
    <row r="116" customFormat="false" ht="15" hidden="false" customHeight="false" outlineLevel="0" collapsed="false">
      <c r="A116" s="20"/>
      <c r="B116" s="6"/>
      <c r="C116" s="19"/>
      <c r="D116" s="23"/>
      <c r="E116" s="9" t="str">
        <f aca="false">IF($B116="","",$C116*$D116)</f>
        <v/>
      </c>
      <c r="F116" s="19"/>
      <c r="G116" s="19"/>
    </row>
    <row r="117" customFormat="false" ht="15" hidden="false" customHeight="false" outlineLevel="0" collapsed="false">
      <c r="A117" s="20"/>
      <c r="B117" s="6"/>
      <c r="C117" s="19"/>
      <c r="D117" s="23"/>
      <c r="E117" s="9" t="str">
        <f aca="false">IF($B117="","",$C117*$D117)</f>
        <v/>
      </c>
      <c r="F117" s="19"/>
      <c r="G117" s="19"/>
    </row>
    <row r="118" customFormat="false" ht="15" hidden="false" customHeight="false" outlineLevel="0" collapsed="false">
      <c r="A118" s="20"/>
      <c r="B118" s="6"/>
      <c r="C118" s="19"/>
      <c r="D118" s="23"/>
      <c r="E118" s="9" t="str">
        <f aca="false">IF($B118="","",$C118*$D118)</f>
        <v/>
      </c>
      <c r="F118" s="19"/>
      <c r="G118" s="19"/>
    </row>
    <row r="119" customFormat="false" ht="15" hidden="false" customHeight="false" outlineLevel="0" collapsed="false">
      <c r="A119" s="20"/>
      <c r="B119" s="6"/>
      <c r="C119" s="19"/>
      <c r="D119" s="23"/>
      <c r="E119" s="9" t="str">
        <f aca="false">IF($B119="","",$C119*$D119)</f>
        <v/>
      </c>
      <c r="F119" s="19"/>
      <c r="G119" s="19"/>
    </row>
    <row r="120" customFormat="false" ht="15" hidden="false" customHeight="false" outlineLevel="0" collapsed="false">
      <c r="A120" s="20"/>
      <c r="B120" s="6"/>
      <c r="C120" s="19"/>
      <c r="D120" s="23"/>
      <c r="E120" s="9" t="str">
        <f aca="false">IF($B120="","",$C120*$D120)</f>
        <v/>
      </c>
      <c r="F120" s="19"/>
      <c r="G120" s="19"/>
    </row>
    <row r="121" customFormat="false" ht="15" hidden="false" customHeight="false" outlineLevel="0" collapsed="false">
      <c r="A121" s="20"/>
      <c r="B121" s="6"/>
      <c r="C121" s="19"/>
      <c r="D121" s="23"/>
      <c r="E121" s="9" t="str">
        <f aca="false">IF($B121="","",$C121*$D121)</f>
        <v/>
      </c>
      <c r="F121" s="19"/>
      <c r="G121" s="19"/>
    </row>
    <row r="122" customFormat="false" ht="15" hidden="false" customHeight="false" outlineLevel="0" collapsed="false">
      <c r="A122" s="20"/>
      <c r="B122" s="6"/>
      <c r="C122" s="19"/>
      <c r="D122" s="23"/>
      <c r="E122" s="9" t="str">
        <f aca="false">IF($B122="","",$C122*$D122)</f>
        <v/>
      </c>
      <c r="F122" s="19"/>
      <c r="G122" s="19"/>
    </row>
    <row r="123" customFormat="false" ht="15" hidden="false" customHeight="false" outlineLevel="0" collapsed="false">
      <c r="A123" s="20"/>
      <c r="B123" s="6"/>
      <c r="C123" s="19"/>
      <c r="D123" s="23"/>
      <c r="E123" s="9" t="str">
        <f aca="false">IF($B123="","",$C123*$D123)</f>
        <v/>
      </c>
      <c r="F123" s="19"/>
      <c r="G123" s="19"/>
    </row>
    <row r="124" customFormat="false" ht="15" hidden="false" customHeight="false" outlineLevel="0" collapsed="false">
      <c r="A124" s="20"/>
      <c r="B124" s="6"/>
      <c r="C124" s="19"/>
      <c r="D124" s="23"/>
      <c r="E124" s="9" t="str">
        <f aca="false">IF($B124="","",$C124*$D124)</f>
        <v/>
      </c>
      <c r="F124" s="19"/>
      <c r="G124" s="19"/>
    </row>
    <row r="125" customFormat="false" ht="15" hidden="false" customHeight="false" outlineLevel="0" collapsed="false">
      <c r="A125" s="20"/>
      <c r="B125" s="6"/>
      <c r="C125" s="19"/>
      <c r="D125" s="23"/>
      <c r="E125" s="9" t="str">
        <f aca="false">IF($B125="","",$C125*$D125)</f>
        <v/>
      </c>
      <c r="F125" s="19"/>
      <c r="G125" s="19"/>
    </row>
    <row r="126" customFormat="false" ht="15" hidden="false" customHeight="false" outlineLevel="0" collapsed="false">
      <c r="A126" s="20"/>
      <c r="B126" s="6"/>
      <c r="C126" s="19"/>
      <c r="D126" s="23"/>
      <c r="E126" s="9" t="str">
        <f aca="false">IF($B126="","",$C126*$D126)</f>
        <v/>
      </c>
      <c r="F126" s="19"/>
      <c r="G126" s="19"/>
    </row>
    <row r="127" customFormat="false" ht="15" hidden="false" customHeight="false" outlineLevel="0" collapsed="false">
      <c r="A127" s="20"/>
      <c r="B127" s="6"/>
      <c r="C127" s="19"/>
      <c r="D127" s="23"/>
      <c r="E127" s="9" t="str">
        <f aca="false">IF($B127="","",$C127*$D127)</f>
        <v/>
      </c>
      <c r="F127" s="19"/>
      <c r="G127" s="19"/>
    </row>
    <row r="128" customFormat="false" ht="15" hidden="false" customHeight="false" outlineLevel="0" collapsed="false">
      <c r="A128" s="20"/>
      <c r="B128" s="6"/>
      <c r="C128" s="19"/>
      <c r="D128" s="23"/>
      <c r="E128" s="9" t="str">
        <f aca="false">IF($B128="","",$C128*$D128)</f>
        <v/>
      </c>
      <c r="F128" s="19"/>
      <c r="G128" s="19"/>
    </row>
    <row r="129" customFormat="false" ht="15" hidden="false" customHeight="false" outlineLevel="0" collapsed="false">
      <c r="A129" s="20"/>
      <c r="B129" s="6"/>
      <c r="C129" s="19"/>
      <c r="D129" s="23"/>
      <c r="E129" s="9" t="str">
        <f aca="false">IF($B129="","",$C129*$D129)</f>
        <v/>
      </c>
      <c r="F129" s="19"/>
      <c r="G129" s="19"/>
    </row>
    <row r="130" customFormat="false" ht="15" hidden="false" customHeight="false" outlineLevel="0" collapsed="false">
      <c r="A130" s="20"/>
      <c r="B130" s="6"/>
      <c r="C130" s="19"/>
      <c r="D130" s="23"/>
      <c r="E130" s="9" t="str">
        <f aca="false">IF($B130="","",$C130*$D130)</f>
        <v/>
      </c>
      <c r="F130" s="19"/>
      <c r="G130" s="19"/>
    </row>
    <row r="131" customFormat="false" ht="15" hidden="false" customHeight="false" outlineLevel="0" collapsed="false">
      <c r="A131" s="20"/>
      <c r="B131" s="6"/>
      <c r="C131" s="19"/>
      <c r="D131" s="23"/>
      <c r="E131" s="9" t="str">
        <f aca="false">IF($B131="","",$C131*$D131)</f>
        <v/>
      </c>
      <c r="F131" s="19"/>
      <c r="G131" s="19"/>
    </row>
    <row r="132" customFormat="false" ht="15" hidden="false" customHeight="false" outlineLevel="0" collapsed="false">
      <c r="A132" s="20"/>
      <c r="B132" s="6"/>
      <c r="C132" s="19"/>
      <c r="D132" s="23"/>
      <c r="E132" s="9" t="str">
        <f aca="false">IF($B132="","",$C132*$D132)</f>
        <v/>
      </c>
      <c r="F132" s="19"/>
      <c r="G132" s="19"/>
    </row>
    <row r="133" customFormat="false" ht="15" hidden="false" customHeight="false" outlineLevel="0" collapsed="false">
      <c r="A133" s="20"/>
      <c r="B133" s="6"/>
      <c r="C133" s="19"/>
      <c r="D133" s="23"/>
      <c r="E133" s="9" t="str">
        <f aca="false">IF($B133="","",$C133*$D133)</f>
        <v/>
      </c>
      <c r="F133" s="19"/>
      <c r="G133" s="19"/>
    </row>
    <row r="134" customFormat="false" ht="15" hidden="false" customHeight="false" outlineLevel="0" collapsed="false">
      <c r="A134" s="20"/>
      <c r="B134" s="6"/>
      <c r="C134" s="19"/>
      <c r="D134" s="23"/>
      <c r="E134" s="9" t="str">
        <f aca="false">IF($B134="","",$C134*$D134)</f>
        <v/>
      </c>
      <c r="F134" s="19"/>
      <c r="G134" s="19"/>
    </row>
    <row r="135" customFormat="false" ht="15" hidden="false" customHeight="false" outlineLevel="0" collapsed="false">
      <c r="A135" s="20"/>
      <c r="B135" s="6"/>
      <c r="C135" s="19"/>
      <c r="D135" s="23"/>
      <c r="E135" s="9" t="str">
        <f aca="false">IF($B135="","",$C135*$D135)</f>
        <v/>
      </c>
      <c r="F135" s="19"/>
      <c r="G135" s="19"/>
    </row>
    <row r="136" customFormat="false" ht="15" hidden="false" customHeight="false" outlineLevel="0" collapsed="false">
      <c r="A136" s="20"/>
      <c r="B136" s="6"/>
      <c r="C136" s="19"/>
      <c r="D136" s="23"/>
      <c r="E136" s="9" t="str">
        <f aca="false">IF($B136="","",$C136*$D136)</f>
        <v/>
      </c>
      <c r="F136" s="19"/>
      <c r="G136" s="19"/>
    </row>
    <row r="137" customFormat="false" ht="15" hidden="false" customHeight="false" outlineLevel="0" collapsed="false">
      <c r="A137" s="20"/>
      <c r="B137" s="6"/>
      <c r="C137" s="19"/>
      <c r="D137" s="23"/>
      <c r="E137" s="9" t="str">
        <f aca="false">IF($B137="","",$C137*$D137)</f>
        <v/>
      </c>
      <c r="F137" s="19"/>
      <c r="G137" s="19"/>
    </row>
    <row r="138" customFormat="false" ht="15" hidden="false" customHeight="false" outlineLevel="0" collapsed="false">
      <c r="A138" s="20"/>
      <c r="B138" s="6"/>
      <c r="C138" s="19"/>
      <c r="D138" s="23"/>
      <c r="E138" s="9" t="str">
        <f aca="false">IF($B138="","",$C138*$D138)</f>
        <v/>
      </c>
      <c r="F138" s="19"/>
      <c r="G138" s="19"/>
    </row>
    <row r="139" customFormat="false" ht="15" hidden="false" customHeight="false" outlineLevel="0" collapsed="false">
      <c r="A139" s="20"/>
      <c r="B139" s="6"/>
      <c r="C139" s="19"/>
      <c r="D139" s="23"/>
      <c r="E139" s="9" t="str">
        <f aca="false">IF($B139="","",$C139*$D139)</f>
        <v/>
      </c>
      <c r="F139" s="19"/>
      <c r="G139" s="19"/>
    </row>
    <row r="140" customFormat="false" ht="15" hidden="false" customHeight="false" outlineLevel="0" collapsed="false">
      <c r="A140" s="20"/>
      <c r="B140" s="6"/>
      <c r="C140" s="19"/>
      <c r="D140" s="23"/>
      <c r="E140" s="9" t="str">
        <f aca="false">IF($B140="","",$C140*$D140)</f>
        <v/>
      </c>
      <c r="F140" s="19"/>
      <c r="G140" s="19"/>
    </row>
    <row r="141" customFormat="false" ht="15" hidden="false" customHeight="false" outlineLevel="0" collapsed="false">
      <c r="A141" s="20"/>
      <c r="B141" s="6"/>
      <c r="C141" s="19"/>
      <c r="D141" s="23"/>
      <c r="E141" s="9" t="str">
        <f aca="false">IF($B141="","",$C141*$D141)</f>
        <v/>
      </c>
      <c r="F141" s="19"/>
      <c r="G141" s="19"/>
    </row>
    <row r="142" customFormat="false" ht="15" hidden="false" customHeight="false" outlineLevel="0" collapsed="false">
      <c r="A142" s="20"/>
      <c r="B142" s="6"/>
      <c r="C142" s="19"/>
      <c r="D142" s="23"/>
      <c r="E142" s="9" t="str">
        <f aca="false">IF($B142="","",$C142*$D142)</f>
        <v/>
      </c>
      <c r="F142" s="19"/>
      <c r="G142" s="19"/>
    </row>
    <row r="143" customFormat="false" ht="15" hidden="false" customHeight="false" outlineLevel="0" collapsed="false">
      <c r="A143" s="20"/>
      <c r="B143" s="6"/>
      <c r="C143" s="19"/>
      <c r="D143" s="23"/>
      <c r="E143" s="9" t="str">
        <f aca="false">IF($B143="","",$C143*$D143)</f>
        <v/>
      </c>
      <c r="F143" s="19"/>
      <c r="G143" s="19"/>
    </row>
    <row r="144" customFormat="false" ht="15" hidden="false" customHeight="false" outlineLevel="0" collapsed="false">
      <c r="A144" s="20"/>
      <c r="B144" s="6"/>
      <c r="C144" s="19"/>
      <c r="D144" s="23"/>
      <c r="E144" s="9" t="str">
        <f aca="false">IF($B144="","",$C144*$D144)</f>
        <v/>
      </c>
      <c r="F144" s="19"/>
      <c r="G144" s="19"/>
    </row>
    <row r="145" customFormat="false" ht="15" hidden="false" customHeight="false" outlineLevel="0" collapsed="false">
      <c r="A145" s="20"/>
      <c r="B145" s="6"/>
      <c r="C145" s="19"/>
      <c r="D145" s="23"/>
      <c r="E145" s="9" t="str">
        <f aca="false">IF($B145="","",$C145*$D145)</f>
        <v/>
      </c>
      <c r="F145" s="19"/>
      <c r="G145" s="19"/>
    </row>
    <row r="146" customFormat="false" ht="15" hidden="false" customHeight="false" outlineLevel="0" collapsed="false">
      <c r="A146" s="20"/>
      <c r="B146" s="6"/>
      <c r="C146" s="19"/>
      <c r="D146" s="23"/>
      <c r="E146" s="9" t="str">
        <f aca="false">IF($B146="","",$C146*$D146)</f>
        <v/>
      </c>
      <c r="F146" s="19"/>
      <c r="G146" s="19"/>
    </row>
    <row r="147" customFormat="false" ht="15" hidden="false" customHeight="false" outlineLevel="0" collapsed="false">
      <c r="A147" s="20"/>
      <c r="B147" s="6"/>
      <c r="C147" s="19"/>
      <c r="D147" s="23"/>
      <c r="E147" s="9" t="str">
        <f aca="false">IF($B147="","",$C147*$D147)</f>
        <v/>
      </c>
      <c r="F147" s="19"/>
      <c r="G147" s="19"/>
    </row>
    <row r="148" customFormat="false" ht="15" hidden="false" customHeight="false" outlineLevel="0" collapsed="false">
      <c r="A148" s="20"/>
      <c r="B148" s="6"/>
      <c r="C148" s="19"/>
      <c r="D148" s="23"/>
      <c r="E148" s="9" t="str">
        <f aca="false">IF($B148="","",$C148*$D148)</f>
        <v/>
      </c>
      <c r="F148" s="19"/>
      <c r="G148" s="19"/>
    </row>
    <row r="149" customFormat="false" ht="15" hidden="false" customHeight="false" outlineLevel="0" collapsed="false">
      <c r="A149" s="20"/>
      <c r="B149" s="6"/>
      <c r="C149" s="19"/>
      <c r="D149" s="23"/>
      <c r="E149" s="9" t="str">
        <f aca="false">IF($B149="","",$C149*$D149)</f>
        <v/>
      </c>
      <c r="F149" s="19"/>
      <c r="G149" s="19"/>
    </row>
    <row r="150" customFormat="false" ht="15" hidden="false" customHeight="false" outlineLevel="0" collapsed="false">
      <c r="A150" s="20"/>
      <c r="B150" s="6"/>
      <c r="C150" s="19"/>
      <c r="D150" s="23"/>
      <c r="E150" s="9" t="str">
        <f aca="false">IF($B150="","",$C150*$D150)</f>
        <v/>
      </c>
      <c r="F150" s="19"/>
      <c r="G150" s="19"/>
    </row>
    <row r="151" customFormat="false" ht="15" hidden="false" customHeight="false" outlineLevel="0" collapsed="false">
      <c r="A151" s="20"/>
      <c r="B151" s="6"/>
      <c r="C151" s="19"/>
      <c r="D151" s="23"/>
      <c r="E151" s="9" t="str">
        <f aca="false">IF($B151="","",$C151*$D151)</f>
        <v/>
      </c>
      <c r="F151" s="19"/>
      <c r="G151" s="19"/>
    </row>
    <row r="152" customFormat="false" ht="15" hidden="false" customHeight="false" outlineLevel="0" collapsed="false">
      <c r="A152" s="20"/>
      <c r="B152" s="6"/>
      <c r="C152" s="19"/>
      <c r="D152" s="23"/>
      <c r="E152" s="9" t="str">
        <f aca="false">IF($B152="","",$C152*$D152)</f>
        <v/>
      </c>
      <c r="F152" s="19"/>
      <c r="G152" s="19"/>
    </row>
    <row r="153" customFormat="false" ht="15" hidden="false" customHeight="false" outlineLevel="0" collapsed="false">
      <c r="A153" s="20"/>
      <c r="B153" s="6"/>
      <c r="C153" s="19"/>
      <c r="D153" s="23"/>
      <c r="E153" s="9" t="str">
        <f aca="false">IF($B153="","",$C153*$D153)</f>
        <v/>
      </c>
      <c r="F153" s="19"/>
      <c r="G153" s="19"/>
    </row>
    <row r="154" customFormat="false" ht="15" hidden="false" customHeight="false" outlineLevel="0" collapsed="false">
      <c r="A154" s="20"/>
      <c r="B154" s="6"/>
      <c r="C154" s="19"/>
      <c r="D154" s="23"/>
      <c r="E154" s="9" t="str">
        <f aca="false">IF($B154="","",$C154*$D154)</f>
        <v/>
      </c>
      <c r="F154" s="19"/>
      <c r="G154" s="19"/>
    </row>
    <row r="155" customFormat="false" ht="15" hidden="false" customHeight="false" outlineLevel="0" collapsed="false">
      <c r="A155" s="20"/>
      <c r="B155" s="6"/>
      <c r="C155" s="19"/>
      <c r="D155" s="23"/>
      <c r="E155" s="9" t="str">
        <f aca="false">IF($B155="","",$C155*$D155)</f>
        <v/>
      </c>
      <c r="F155" s="19"/>
      <c r="G155" s="19"/>
    </row>
    <row r="156" customFormat="false" ht="15" hidden="false" customHeight="false" outlineLevel="0" collapsed="false">
      <c r="A156" s="20"/>
      <c r="B156" s="6"/>
      <c r="C156" s="19"/>
      <c r="D156" s="23"/>
      <c r="E156" s="9" t="str">
        <f aca="false">IF($B156="","",$C156*$D156)</f>
        <v/>
      </c>
      <c r="F156" s="19"/>
      <c r="G156" s="19"/>
    </row>
    <row r="157" customFormat="false" ht="15" hidden="false" customHeight="false" outlineLevel="0" collapsed="false">
      <c r="A157" s="20"/>
      <c r="B157" s="6"/>
      <c r="C157" s="19"/>
      <c r="D157" s="23"/>
      <c r="E157" s="9" t="str">
        <f aca="false">IF($B157="","",$C157*$D157)</f>
        <v/>
      </c>
      <c r="F157" s="19"/>
      <c r="G157" s="19"/>
    </row>
    <row r="158" customFormat="false" ht="15" hidden="false" customHeight="false" outlineLevel="0" collapsed="false">
      <c r="A158" s="20"/>
      <c r="B158" s="6"/>
      <c r="C158" s="19"/>
      <c r="D158" s="23"/>
      <c r="E158" s="9" t="str">
        <f aca="false">IF($B158="","",$C158*$D158)</f>
        <v/>
      </c>
      <c r="F158" s="19"/>
      <c r="G158" s="19"/>
    </row>
    <row r="159" customFormat="false" ht="15" hidden="false" customHeight="false" outlineLevel="0" collapsed="false">
      <c r="A159" s="20"/>
      <c r="B159" s="6"/>
      <c r="C159" s="19"/>
      <c r="D159" s="23"/>
      <c r="E159" s="9" t="str">
        <f aca="false">IF($B159="","",$C159*$D159)</f>
        <v/>
      </c>
      <c r="F159" s="19"/>
      <c r="G159" s="19"/>
    </row>
    <row r="160" customFormat="false" ht="15" hidden="false" customHeight="false" outlineLevel="0" collapsed="false">
      <c r="A160" s="20"/>
      <c r="B160" s="6"/>
      <c r="C160" s="19"/>
      <c r="D160" s="23"/>
      <c r="E160" s="9" t="str">
        <f aca="false">IF($B160="","",$C160*$D160)</f>
        <v/>
      </c>
      <c r="F160" s="19"/>
      <c r="G160" s="19"/>
    </row>
    <row r="161" customFormat="false" ht="15" hidden="false" customHeight="false" outlineLevel="0" collapsed="false">
      <c r="A161" s="20"/>
      <c r="B161" s="6"/>
      <c r="C161" s="19"/>
      <c r="D161" s="23"/>
      <c r="E161" s="9" t="str">
        <f aca="false">IF($B161="","",$C161*$D161)</f>
        <v/>
      </c>
      <c r="F161" s="19"/>
      <c r="G161" s="19"/>
    </row>
    <row r="162" customFormat="false" ht="15" hidden="false" customHeight="false" outlineLevel="0" collapsed="false">
      <c r="A162" s="20"/>
      <c r="B162" s="6"/>
      <c r="C162" s="19"/>
      <c r="D162" s="23"/>
      <c r="E162" s="9" t="str">
        <f aca="false">IF($B162="","",$C162*$D162)</f>
        <v/>
      </c>
      <c r="F162" s="19"/>
      <c r="G162" s="19"/>
    </row>
    <row r="163" customFormat="false" ht="15" hidden="false" customHeight="false" outlineLevel="0" collapsed="false">
      <c r="A163" s="20"/>
      <c r="B163" s="6"/>
      <c r="C163" s="19"/>
      <c r="D163" s="23"/>
      <c r="E163" s="9" t="str">
        <f aca="false">IF($B163="","",$C163*$D163)</f>
        <v/>
      </c>
      <c r="F163" s="19"/>
      <c r="G163" s="19"/>
    </row>
    <row r="164" customFormat="false" ht="15" hidden="false" customHeight="false" outlineLevel="0" collapsed="false">
      <c r="A164" s="20"/>
      <c r="B164" s="6"/>
      <c r="C164" s="19"/>
      <c r="D164" s="23"/>
      <c r="E164" s="9" t="str">
        <f aca="false">IF($B164="","",$C164*$D164)</f>
        <v/>
      </c>
      <c r="F164" s="19"/>
      <c r="G164" s="19"/>
    </row>
    <row r="165" customFormat="false" ht="15" hidden="false" customHeight="false" outlineLevel="0" collapsed="false">
      <c r="A165" s="20"/>
      <c r="B165" s="6"/>
      <c r="C165" s="19"/>
      <c r="D165" s="23"/>
      <c r="E165" s="9" t="str">
        <f aca="false">IF($B165="","",$C165*$D165)</f>
        <v/>
      </c>
      <c r="F165" s="19"/>
      <c r="G165" s="19"/>
    </row>
    <row r="166" customFormat="false" ht="15" hidden="false" customHeight="false" outlineLevel="0" collapsed="false">
      <c r="A166" s="20"/>
      <c r="B166" s="6"/>
      <c r="C166" s="19"/>
      <c r="D166" s="23"/>
      <c r="E166" s="9" t="str">
        <f aca="false">IF($B166="","",$C166*$D166)</f>
        <v/>
      </c>
      <c r="F166" s="19"/>
      <c r="G166" s="19"/>
    </row>
    <row r="167" customFormat="false" ht="15" hidden="false" customHeight="false" outlineLevel="0" collapsed="false">
      <c r="A167" s="20"/>
      <c r="B167" s="6"/>
      <c r="C167" s="19"/>
      <c r="D167" s="23"/>
      <c r="E167" s="9" t="str">
        <f aca="false">IF($B167="","",$C167*$D167)</f>
        <v/>
      </c>
      <c r="F167" s="19"/>
      <c r="G167" s="19"/>
    </row>
    <row r="168" customFormat="false" ht="15" hidden="false" customHeight="false" outlineLevel="0" collapsed="false">
      <c r="A168" s="20"/>
      <c r="B168" s="6"/>
      <c r="C168" s="19"/>
      <c r="D168" s="23"/>
      <c r="E168" s="9" t="str">
        <f aca="false">IF($B168="","",$C168*$D168)</f>
        <v/>
      </c>
      <c r="F168" s="19"/>
      <c r="G168" s="19"/>
    </row>
    <row r="169" customFormat="false" ht="15" hidden="false" customHeight="false" outlineLevel="0" collapsed="false">
      <c r="A169" s="20"/>
      <c r="B169" s="6"/>
      <c r="C169" s="19"/>
      <c r="D169" s="23"/>
      <c r="E169" s="9" t="str">
        <f aca="false">IF($B169="","",$C169*$D169)</f>
        <v/>
      </c>
      <c r="F169" s="19"/>
      <c r="G169" s="19"/>
    </row>
    <row r="170" customFormat="false" ht="15" hidden="false" customHeight="false" outlineLevel="0" collapsed="false">
      <c r="A170" s="20"/>
      <c r="B170" s="6"/>
      <c r="C170" s="19"/>
      <c r="D170" s="23"/>
      <c r="E170" s="9" t="str">
        <f aca="false">IF($B170="","",$C170*$D170)</f>
        <v/>
      </c>
      <c r="F170" s="19"/>
      <c r="G170" s="19"/>
    </row>
    <row r="171" customFormat="false" ht="15" hidden="false" customHeight="false" outlineLevel="0" collapsed="false">
      <c r="A171" s="20"/>
      <c r="B171" s="6"/>
      <c r="C171" s="19"/>
      <c r="D171" s="23"/>
      <c r="E171" s="9" t="str">
        <f aca="false">IF($B171="","",$C171*$D171)</f>
        <v/>
      </c>
      <c r="F171" s="19"/>
      <c r="G171" s="19"/>
    </row>
    <row r="172" customFormat="false" ht="15" hidden="false" customHeight="false" outlineLevel="0" collapsed="false">
      <c r="A172" s="20"/>
      <c r="B172" s="6"/>
      <c r="C172" s="19"/>
      <c r="D172" s="23"/>
      <c r="E172" s="9" t="str">
        <f aca="false">IF($B172="","",$C172*$D172)</f>
        <v/>
      </c>
      <c r="F172" s="19"/>
      <c r="G172" s="19"/>
    </row>
    <row r="173" customFormat="false" ht="15" hidden="false" customHeight="false" outlineLevel="0" collapsed="false">
      <c r="A173" s="20"/>
      <c r="B173" s="6"/>
      <c r="C173" s="19"/>
      <c r="D173" s="23"/>
      <c r="E173" s="9" t="str">
        <f aca="false">IF($B173="","",$C173*$D173)</f>
        <v/>
      </c>
      <c r="F173" s="19"/>
      <c r="G173" s="19"/>
    </row>
    <row r="174" customFormat="false" ht="15" hidden="false" customHeight="false" outlineLevel="0" collapsed="false">
      <c r="A174" s="20"/>
      <c r="B174" s="6"/>
      <c r="C174" s="19"/>
      <c r="D174" s="23"/>
      <c r="E174" s="9" t="str">
        <f aca="false">IF($B174="","",$C174*$D174)</f>
        <v/>
      </c>
      <c r="F174" s="19"/>
      <c r="G174" s="19"/>
    </row>
    <row r="175" customFormat="false" ht="15" hidden="false" customHeight="false" outlineLevel="0" collapsed="false">
      <c r="A175" s="20"/>
      <c r="B175" s="6"/>
      <c r="C175" s="19"/>
      <c r="D175" s="23"/>
      <c r="E175" s="9" t="str">
        <f aca="false">IF($B175="","",$C175*$D175)</f>
        <v/>
      </c>
      <c r="F175" s="19"/>
      <c r="G175" s="19"/>
    </row>
    <row r="176" customFormat="false" ht="15" hidden="false" customHeight="false" outlineLevel="0" collapsed="false">
      <c r="A176" s="20"/>
      <c r="B176" s="6"/>
      <c r="C176" s="19"/>
      <c r="D176" s="23"/>
      <c r="E176" s="9" t="str">
        <f aca="false">IF($B176="","",$C176*$D176)</f>
        <v/>
      </c>
      <c r="F176" s="19"/>
      <c r="G176" s="19"/>
    </row>
    <row r="177" customFormat="false" ht="15" hidden="false" customHeight="false" outlineLevel="0" collapsed="false">
      <c r="A177" s="20"/>
      <c r="B177" s="6"/>
      <c r="C177" s="19"/>
      <c r="D177" s="23"/>
      <c r="E177" s="9" t="str">
        <f aca="false">IF($B177="","",$C177*$D177)</f>
        <v/>
      </c>
      <c r="F177" s="19"/>
      <c r="G177" s="19"/>
    </row>
    <row r="178" customFormat="false" ht="15" hidden="false" customHeight="false" outlineLevel="0" collapsed="false">
      <c r="A178" s="20"/>
      <c r="B178" s="6"/>
      <c r="C178" s="19"/>
      <c r="D178" s="23"/>
      <c r="E178" s="9" t="str">
        <f aca="false">IF($B178="","",$C178*$D178)</f>
        <v/>
      </c>
      <c r="F178" s="19"/>
      <c r="G178" s="19"/>
    </row>
    <row r="179" customFormat="false" ht="15" hidden="false" customHeight="false" outlineLevel="0" collapsed="false">
      <c r="A179" s="20"/>
      <c r="B179" s="6"/>
      <c r="C179" s="19"/>
      <c r="D179" s="23"/>
      <c r="E179" s="9" t="str">
        <f aca="false">IF($B179="","",$C179*$D179)</f>
        <v/>
      </c>
      <c r="F179" s="19"/>
      <c r="G179" s="19"/>
    </row>
    <row r="180" customFormat="false" ht="15" hidden="false" customHeight="false" outlineLevel="0" collapsed="false">
      <c r="A180" s="20"/>
      <c r="B180" s="6"/>
      <c r="C180" s="19"/>
      <c r="D180" s="23"/>
      <c r="E180" s="9" t="str">
        <f aca="false">IF($B180="","",$C180*$D180)</f>
        <v/>
      </c>
      <c r="F180" s="19"/>
      <c r="G180" s="19"/>
    </row>
    <row r="181" customFormat="false" ht="15" hidden="false" customHeight="false" outlineLevel="0" collapsed="false">
      <c r="A181" s="20"/>
      <c r="B181" s="6"/>
      <c r="C181" s="19"/>
      <c r="D181" s="23"/>
      <c r="E181" s="9" t="str">
        <f aca="false">IF($B181="","",$C181*$D181)</f>
        <v/>
      </c>
      <c r="F181" s="19"/>
      <c r="G181" s="19"/>
    </row>
    <row r="182" customFormat="false" ht="15" hidden="false" customHeight="false" outlineLevel="0" collapsed="false">
      <c r="A182" s="20"/>
      <c r="B182" s="6"/>
      <c r="C182" s="19"/>
      <c r="D182" s="23"/>
      <c r="E182" s="9" t="str">
        <f aca="false">IF($B182="","",$C182*$D182)</f>
        <v/>
      </c>
      <c r="F182" s="19"/>
      <c r="G182" s="19"/>
    </row>
    <row r="183" customFormat="false" ht="15" hidden="false" customHeight="false" outlineLevel="0" collapsed="false">
      <c r="A183" s="20"/>
      <c r="B183" s="6"/>
      <c r="C183" s="19"/>
      <c r="D183" s="23"/>
      <c r="E183" s="9" t="str">
        <f aca="false">IF($B183="","",$C183*$D183)</f>
        <v/>
      </c>
      <c r="F183" s="19"/>
      <c r="G183" s="19"/>
    </row>
    <row r="184" customFormat="false" ht="15" hidden="false" customHeight="false" outlineLevel="0" collapsed="false">
      <c r="A184" s="20"/>
      <c r="B184" s="6"/>
      <c r="C184" s="19"/>
      <c r="D184" s="23"/>
      <c r="E184" s="9" t="str">
        <f aca="false">IF($B184="","",$C184*$D184)</f>
        <v/>
      </c>
      <c r="F184" s="19"/>
      <c r="G184" s="19"/>
    </row>
    <row r="185" customFormat="false" ht="15" hidden="false" customHeight="false" outlineLevel="0" collapsed="false">
      <c r="A185" s="20"/>
      <c r="B185" s="6"/>
      <c r="C185" s="19"/>
      <c r="D185" s="23"/>
      <c r="E185" s="9" t="str">
        <f aca="false">IF($B185="","",$C185*$D185)</f>
        <v/>
      </c>
      <c r="F185" s="19"/>
      <c r="G185" s="19"/>
    </row>
    <row r="186" customFormat="false" ht="15" hidden="false" customHeight="false" outlineLevel="0" collapsed="false">
      <c r="A186" s="20"/>
      <c r="B186" s="6"/>
      <c r="C186" s="19"/>
      <c r="D186" s="23"/>
      <c r="E186" s="9" t="str">
        <f aca="false">IF($B186="","",$C186*$D186)</f>
        <v/>
      </c>
      <c r="F186" s="19"/>
      <c r="G186" s="19"/>
    </row>
    <row r="187" customFormat="false" ht="15" hidden="false" customHeight="false" outlineLevel="0" collapsed="false">
      <c r="A187" s="20"/>
      <c r="B187" s="6"/>
      <c r="C187" s="19"/>
      <c r="D187" s="23"/>
      <c r="E187" s="9" t="str">
        <f aca="false">IF($B187="","",$C187*$D187)</f>
        <v/>
      </c>
      <c r="F187" s="19"/>
      <c r="G187" s="19"/>
    </row>
    <row r="188" customFormat="false" ht="15" hidden="false" customHeight="false" outlineLevel="0" collapsed="false">
      <c r="A188" s="20"/>
      <c r="B188" s="6"/>
      <c r="C188" s="19"/>
      <c r="D188" s="23"/>
      <c r="E188" s="9" t="str">
        <f aca="false">IF($B188="","",$C188*$D188)</f>
        <v/>
      </c>
      <c r="F188" s="19"/>
      <c r="G188" s="19"/>
    </row>
    <row r="189" customFormat="false" ht="15" hidden="false" customHeight="false" outlineLevel="0" collapsed="false">
      <c r="A189" s="20"/>
      <c r="B189" s="6"/>
      <c r="C189" s="19"/>
      <c r="D189" s="23"/>
      <c r="E189" s="9" t="str">
        <f aca="false">IF($B189="","",$C189*$D189)</f>
        <v/>
      </c>
      <c r="F189" s="19"/>
      <c r="G189" s="19"/>
    </row>
    <row r="190" customFormat="false" ht="15" hidden="false" customHeight="false" outlineLevel="0" collapsed="false">
      <c r="A190" s="20"/>
      <c r="B190" s="6"/>
      <c r="C190" s="19"/>
      <c r="D190" s="23"/>
      <c r="E190" s="9" t="str">
        <f aca="false">IF($B190="","",$C190*$D190)</f>
        <v/>
      </c>
      <c r="F190" s="19"/>
      <c r="G190" s="19"/>
    </row>
    <row r="191" customFormat="false" ht="15" hidden="false" customHeight="false" outlineLevel="0" collapsed="false">
      <c r="A191" s="20"/>
      <c r="B191" s="6"/>
      <c r="C191" s="19"/>
      <c r="D191" s="23"/>
      <c r="E191" s="9" t="str">
        <f aca="false">IF($B191="","",$C191*$D191)</f>
        <v/>
      </c>
      <c r="F191" s="19"/>
      <c r="G191" s="19"/>
    </row>
    <row r="192" customFormat="false" ht="15" hidden="false" customHeight="false" outlineLevel="0" collapsed="false">
      <c r="A192" s="20"/>
      <c r="B192" s="6"/>
      <c r="C192" s="19"/>
      <c r="D192" s="23"/>
      <c r="E192" s="9" t="str">
        <f aca="false">IF($B192="","",$C192*$D192)</f>
        <v/>
      </c>
      <c r="F192" s="19"/>
      <c r="G192" s="19"/>
    </row>
    <row r="193" customFormat="false" ht="15" hidden="false" customHeight="false" outlineLevel="0" collapsed="false">
      <c r="A193" s="20"/>
      <c r="B193" s="6"/>
      <c r="C193" s="19"/>
      <c r="D193" s="23"/>
      <c r="E193" s="9" t="str">
        <f aca="false">IF($B193="","",$C193*$D193)</f>
        <v/>
      </c>
      <c r="F193" s="19"/>
      <c r="G193" s="19"/>
    </row>
    <row r="194" customFormat="false" ht="15" hidden="false" customHeight="false" outlineLevel="0" collapsed="false">
      <c r="A194" s="20"/>
      <c r="B194" s="6"/>
      <c r="C194" s="19"/>
      <c r="D194" s="23"/>
      <c r="E194" s="9" t="str">
        <f aca="false">IF($B194="","",$C194*$D194)</f>
        <v/>
      </c>
      <c r="F194" s="19"/>
      <c r="G194" s="19"/>
    </row>
    <row r="195" customFormat="false" ht="15" hidden="false" customHeight="false" outlineLevel="0" collapsed="false">
      <c r="A195" s="20"/>
      <c r="B195" s="6"/>
      <c r="C195" s="19"/>
      <c r="D195" s="23"/>
      <c r="E195" s="9" t="str">
        <f aca="false">IF($B195="","",$C195*$D195)</f>
        <v/>
      </c>
      <c r="F195" s="19"/>
      <c r="G195" s="19"/>
    </row>
    <row r="196" customFormat="false" ht="15" hidden="false" customHeight="false" outlineLevel="0" collapsed="false">
      <c r="A196" s="20"/>
      <c r="B196" s="6"/>
      <c r="C196" s="19"/>
      <c r="D196" s="23"/>
      <c r="E196" s="9" t="str">
        <f aca="false">IF($B196="","",$C196*$D196)</f>
        <v/>
      </c>
      <c r="F196" s="19"/>
      <c r="G196" s="19"/>
    </row>
    <row r="197" customFormat="false" ht="15" hidden="false" customHeight="false" outlineLevel="0" collapsed="false">
      <c r="A197" s="20"/>
      <c r="B197" s="6"/>
      <c r="C197" s="19"/>
      <c r="D197" s="23"/>
      <c r="E197" s="9" t="str">
        <f aca="false">IF($B197="","",$C197*$D197)</f>
        <v/>
      </c>
      <c r="F197" s="19"/>
      <c r="G197" s="19"/>
    </row>
    <row r="198" customFormat="false" ht="15" hidden="false" customHeight="false" outlineLevel="0" collapsed="false">
      <c r="A198" s="20"/>
      <c r="B198" s="6"/>
      <c r="C198" s="19"/>
      <c r="D198" s="23"/>
      <c r="E198" s="9" t="str">
        <f aca="false">IF($B198="","",$C198*$D198)</f>
        <v/>
      </c>
      <c r="F198" s="19"/>
      <c r="G198" s="19"/>
    </row>
    <row r="199" customFormat="false" ht="15" hidden="false" customHeight="false" outlineLevel="0" collapsed="false">
      <c r="A199" s="20"/>
      <c r="B199" s="6"/>
      <c r="C199" s="19"/>
      <c r="D199" s="23"/>
      <c r="E199" s="9" t="str">
        <f aca="false">IF($B199="","",$C199*$D199)</f>
        <v/>
      </c>
      <c r="F199" s="19"/>
      <c r="G199" s="19"/>
    </row>
    <row r="200" customFormat="false" ht="15" hidden="false" customHeight="false" outlineLevel="0" collapsed="false">
      <c r="A200" s="20"/>
      <c r="B200" s="6"/>
      <c r="C200" s="19"/>
      <c r="D200" s="23"/>
      <c r="E200" s="9" t="str">
        <f aca="false">IF($B200="","",$C200*$D200)</f>
        <v/>
      </c>
      <c r="F200" s="19"/>
      <c r="G200" s="19"/>
    </row>
    <row r="201" customFormat="false" ht="15" hidden="false" customHeight="false" outlineLevel="0" collapsed="false">
      <c r="A201" s="20"/>
      <c r="B201" s="6"/>
      <c r="C201" s="19"/>
      <c r="D201" s="23"/>
      <c r="E201" s="9" t="str">
        <f aca="false">IF($B201="","",$C201*$D201)</f>
        <v/>
      </c>
      <c r="F201" s="19"/>
      <c r="G201" s="19"/>
    </row>
    <row r="202" customFormat="false" ht="15" hidden="false" customHeight="false" outlineLevel="0" collapsed="false">
      <c r="A202" s="20"/>
      <c r="B202" s="6"/>
      <c r="C202" s="19"/>
      <c r="D202" s="23"/>
      <c r="E202" s="9" t="str">
        <f aca="false">IF($B202="","",$C202*$D202)</f>
        <v/>
      </c>
      <c r="F202" s="19"/>
      <c r="G202" s="19"/>
    </row>
    <row r="203" customFormat="false" ht="15" hidden="false" customHeight="false" outlineLevel="0" collapsed="false">
      <c r="A203" s="20"/>
      <c r="B203" s="6"/>
      <c r="C203" s="19"/>
      <c r="D203" s="23"/>
      <c r="E203" s="9" t="str">
        <f aca="false">IF($B203="","",$C203*$D203)</f>
        <v/>
      </c>
      <c r="F203" s="19"/>
      <c r="G203" s="19"/>
    </row>
    <row r="204" customFormat="false" ht="15" hidden="false" customHeight="false" outlineLevel="0" collapsed="false">
      <c r="A204" s="20"/>
      <c r="B204" s="6"/>
      <c r="C204" s="19"/>
      <c r="D204" s="23"/>
      <c r="E204" s="9" t="str">
        <f aca="false">IF($B204="","",$C204*$D204)</f>
        <v/>
      </c>
      <c r="F204" s="19"/>
      <c r="G204" s="19"/>
    </row>
    <row r="205" customFormat="false" ht="15" hidden="false" customHeight="false" outlineLevel="0" collapsed="false">
      <c r="A205" s="20"/>
      <c r="B205" s="6"/>
      <c r="C205" s="19"/>
      <c r="D205" s="23"/>
      <c r="E205" s="9" t="str">
        <f aca="false">IF($B205="","",$C205*$D205)</f>
        <v/>
      </c>
      <c r="F205" s="19"/>
      <c r="G205" s="19"/>
    </row>
    <row r="206" customFormat="false" ht="15" hidden="false" customHeight="false" outlineLevel="0" collapsed="false">
      <c r="A206" s="20"/>
      <c r="B206" s="6"/>
      <c r="C206" s="19"/>
      <c r="D206" s="23"/>
      <c r="E206" s="9" t="str">
        <f aca="false">IF($B206="","",$C206*$D206)</f>
        <v/>
      </c>
      <c r="F206" s="19"/>
      <c r="G206" s="19"/>
    </row>
    <row r="207" customFormat="false" ht="15" hidden="false" customHeight="false" outlineLevel="0" collapsed="false">
      <c r="A207" s="20"/>
      <c r="B207" s="6"/>
      <c r="C207" s="19"/>
      <c r="D207" s="23"/>
      <c r="E207" s="9" t="str">
        <f aca="false">IF($B207="","",$C207*$D207)</f>
        <v/>
      </c>
      <c r="F207" s="19"/>
      <c r="G207" s="19"/>
    </row>
    <row r="208" customFormat="false" ht="15" hidden="false" customHeight="false" outlineLevel="0" collapsed="false">
      <c r="A208" s="20"/>
      <c r="B208" s="6"/>
      <c r="C208" s="19"/>
      <c r="D208" s="23"/>
      <c r="E208" s="9" t="str">
        <f aca="false">IF($B208="","",$C208*$D208)</f>
        <v/>
      </c>
      <c r="F208" s="19"/>
      <c r="G208" s="19"/>
    </row>
    <row r="209" customFormat="false" ht="15" hidden="false" customHeight="false" outlineLevel="0" collapsed="false">
      <c r="A209" s="20"/>
      <c r="B209" s="6"/>
      <c r="C209" s="19"/>
      <c r="D209" s="23"/>
      <c r="E209" s="9" t="str">
        <f aca="false">IF($B209="","",$C209*$D209)</f>
        <v/>
      </c>
      <c r="F209" s="19"/>
      <c r="G209" s="19"/>
    </row>
    <row r="210" customFormat="false" ht="15" hidden="false" customHeight="false" outlineLevel="0" collapsed="false">
      <c r="A210" s="20"/>
      <c r="B210" s="6"/>
      <c r="C210" s="19"/>
      <c r="D210" s="23"/>
      <c r="E210" s="9" t="str">
        <f aca="false">IF($B210="","",$C210*$D210)</f>
        <v/>
      </c>
      <c r="F210" s="19"/>
      <c r="G210" s="19"/>
    </row>
    <row r="211" customFormat="false" ht="15" hidden="false" customHeight="false" outlineLevel="0" collapsed="false">
      <c r="A211" s="20"/>
      <c r="B211" s="6"/>
      <c r="C211" s="19"/>
      <c r="D211" s="23"/>
      <c r="E211" s="9" t="str">
        <f aca="false">IF($B211="","",$C211*$D211)</f>
        <v/>
      </c>
      <c r="F211" s="19"/>
      <c r="G211" s="19"/>
    </row>
    <row r="212" customFormat="false" ht="15" hidden="false" customHeight="false" outlineLevel="0" collapsed="false">
      <c r="A212" s="20"/>
      <c r="B212" s="6"/>
      <c r="C212" s="19"/>
      <c r="D212" s="23"/>
      <c r="E212" s="9" t="str">
        <f aca="false">IF($B212="","",$C212*$D212)</f>
        <v/>
      </c>
      <c r="F212" s="19"/>
      <c r="G212" s="19"/>
    </row>
    <row r="213" customFormat="false" ht="15" hidden="false" customHeight="false" outlineLevel="0" collapsed="false">
      <c r="A213" s="20"/>
      <c r="B213" s="6"/>
      <c r="C213" s="19"/>
      <c r="D213" s="23"/>
      <c r="E213" s="9" t="str">
        <f aca="false">IF($B213="","",$C213*$D213)</f>
        <v/>
      </c>
      <c r="F213" s="19"/>
      <c r="G213" s="19"/>
    </row>
    <row r="214" customFormat="false" ht="15" hidden="false" customHeight="false" outlineLevel="0" collapsed="false">
      <c r="A214" s="20"/>
      <c r="B214" s="6"/>
      <c r="C214" s="19"/>
      <c r="D214" s="23"/>
      <c r="E214" s="9" t="str">
        <f aca="false">IF($B214="","",$C214*$D214)</f>
        <v/>
      </c>
      <c r="F214" s="19"/>
      <c r="G214" s="19"/>
    </row>
    <row r="215" customFormat="false" ht="15" hidden="false" customHeight="false" outlineLevel="0" collapsed="false">
      <c r="A215" s="20"/>
      <c r="B215" s="6"/>
      <c r="C215" s="19"/>
      <c r="D215" s="23"/>
      <c r="E215" s="9" t="str">
        <f aca="false">IF($B215="","",$C215*$D215)</f>
        <v/>
      </c>
      <c r="F215" s="19"/>
      <c r="G215" s="19"/>
    </row>
    <row r="216" customFormat="false" ht="15" hidden="false" customHeight="false" outlineLevel="0" collapsed="false">
      <c r="A216" s="20"/>
      <c r="B216" s="6"/>
      <c r="C216" s="19"/>
      <c r="D216" s="23"/>
      <c r="E216" s="9" t="str">
        <f aca="false">IF($B216="","",$C216*$D216)</f>
        <v/>
      </c>
      <c r="F216" s="19"/>
      <c r="G216" s="19"/>
    </row>
    <row r="217" customFormat="false" ht="15" hidden="false" customHeight="false" outlineLevel="0" collapsed="false">
      <c r="A217" s="20"/>
      <c r="B217" s="6"/>
      <c r="C217" s="19"/>
      <c r="D217" s="23"/>
      <c r="E217" s="9" t="str">
        <f aca="false">IF($B217="","",$C217*$D217)</f>
        <v/>
      </c>
      <c r="F217" s="19"/>
      <c r="G217" s="19"/>
    </row>
    <row r="218" customFormat="false" ht="15" hidden="false" customHeight="false" outlineLevel="0" collapsed="false">
      <c r="A218" s="20"/>
      <c r="B218" s="6"/>
      <c r="C218" s="19"/>
      <c r="D218" s="23"/>
      <c r="E218" s="9" t="str">
        <f aca="false">IF($B218="","",$C218*$D218)</f>
        <v/>
      </c>
      <c r="F218" s="19"/>
      <c r="G218" s="19"/>
    </row>
    <row r="219" customFormat="false" ht="15" hidden="false" customHeight="false" outlineLevel="0" collapsed="false">
      <c r="A219" s="20"/>
      <c r="B219" s="6"/>
      <c r="C219" s="19"/>
      <c r="D219" s="23"/>
      <c r="E219" s="9" t="str">
        <f aca="false">IF($B219="","",$C219*$D219)</f>
        <v/>
      </c>
      <c r="F219" s="19"/>
      <c r="G219" s="19"/>
    </row>
    <row r="220" customFormat="false" ht="15" hidden="false" customHeight="false" outlineLevel="0" collapsed="false">
      <c r="A220" s="20"/>
      <c r="B220" s="6"/>
      <c r="C220" s="19"/>
      <c r="D220" s="23"/>
      <c r="E220" s="9" t="str">
        <f aca="false">IF($B220="","",$C220*$D220)</f>
        <v/>
      </c>
      <c r="F220" s="19"/>
      <c r="G220" s="19"/>
    </row>
    <row r="221" customFormat="false" ht="15" hidden="false" customHeight="false" outlineLevel="0" collapsed="false">
      <c r="A221" s="20"/>
      <c r="B221" s="6"/>
      <c r="C221" s="19"/>
      <c r="D221" s="23"/>
      <c r="E221" s="9" t="str">
        <f aca="false">IF($B221="","",$C221*$D221)</f>
        <v/>
      </c>
      <c r="F221" s="19"/>
      <c r="G221" s="19"/>
    </row>
    <row r="222" customFormat="false" ht="15" hidden="false" customHeight="false" outlineLevel="0" collapsed="false">
      <c r="A222" s="20"/>
      <c r="B222" s="6"/>
      <c r="C222" s="19"/>
      <c r="D222" s="23"/>
      <c r="E222" s="9" t="str">
        <f aca="false">IF($B222="","",$C222*$D222)</f>
        <v/>
      </c>
      <c r="F222" s="19"/>
      <c r="G222" s="19"/>
    </row>
    <row r="223" customFormat="false" ht="15" hidden="false" customHeight="false" outlineLevel="0" collapsed="false">
      <c r="A223" s="20"/>
      <c r="B223" s="6"/>
      <c r="C223" s="19"/>
      <c r="D223" s="23"/>
      <c r="E223" s="9" t="str">
        <f aca="false">IF($B223="","",$C223*$D223)</f>
        <v/>
      </c>
      <c r="F223" s="19"/>
      <c r="G223" s="19"/>
    </row>
    <row r="224" customFormat="false" ht="15" hidden="false" customHeight="false" outlineLevel="0" collapsed="false">
      <c r="A224" s="20"/>
      <c r="B224" s="6"/>
      <c r="C224" s="19"/>
      <c r="D224" s="23"/>
      <c r="E224" s="9" t="str">
        <f aca="false">IF($B224="","",$C224*$D224)</f>
        <v/>
      </c>
      <c r="F224" s="19"/>
      <c r="G224" s="19"/>
    </row>
    <row r="225" customFormat="false" ht="15" hidden="false" customHeight="false" outlineLevel="0" collapsed="false">
      <c r="A225" s="20"/>
      <c r="B225" s="6"/>
      <c r="C225" s="19"/>
      <c r="D225" s="23"/>
      <c r="E225" s="9" t="str">
        <f aca="false">IF($B225="","",$C225*$D225)</f>
        <v/>
      </c>
      <c r="F225" s="19"/>
      <c r="G225" s="19"/>
    </row>
    <row r="226" customFormat="false" ht="15" hidden="false" customHeight="false" outlineLevel="0" collapsed="false">
      <c r="A226" s="20"/>
      <c r="B226" s="6"/>
      <c r="C226" s="19"/>
      <c r="D226" s="23"/>
      <c r="E226" s="9" t="str">
        <f aca="false">IF($B226="","",$C226*$D226)</f>
        <v/>
      </c>
      <c r="F226" s="19"/>
      <c r="G226" s="19"/>
    </row>
    <row r="227" customFormat="false" ht="15" hidden="false" customHeight="false" outlineLevel="0" collapsed="false">
      <c r="A227" s="20"/>
      <c r="B227" s="6"/>
      <c r="C227" s="19"/>
      <c r="D227" s="23"/>
      <c r="E227" s="9" t="str">
        <f aca="false">IF($B227="","",$C227*$D227)</f>
        <v/>
      </c>
      <c r="F227" s="19"/>
      <c r="G227" s="19"/>
    </row>
    <row r="228" customFormat="false" ht="15" hidden="false" customHeight="false" outlineLevel="0" collapsed="false">
      <c r="A228" s="20"/>
      <c r="B228" s="6"/>
      <c r="C228" s="19"/>
      <c r="D228" s="23"/>
      <c r="E228" s="9" t="str">
        <f aca="false">IF($B228="","",$C228*$D228)</f>
        <v/>
      </c>
      <c r="F228" s="19"/>
      <c r="G228" s="19"/>
    </row>
    <row r="229" customFormat="false" ht="15" hidden="false" customHeight="false" outlineLevel="0" collapsed="false">
      <c r="A229" s="20"/>
      <c r="B229" s="6"/>
      <c r="C229" s="19"/>
      <c r="D229" s="23"/>
      <c r="E229" s="9" t="str">
        <f aca="false">IF($B229="","",$C229*$D229)</f>
        <v/>
      </c>
      <c r="F229" s="19"/>
      <c r="G229" s="19"/>
    </row>
    <row r="230" customFormat="false" ht="15" hidden="false" customHeight="false" outlineLevel="0" collapsed="false">
      <c r="A230" s="20"/>
      <c r="B230" s="6"/>
      <c r="C230" s="19"/>
      <c r="D230" s="23"/>
      <c r="E230" s="9" t="str">
        <f aca="false">IF($B230="","",$C230*$D230)</f>
        <v/>
      </c>
      <c r="F230" s="19"/>
      <c r="G230" s="19"/>
    </row>
    <row r="231" customFormat="false" ht="15" hidden="false" customHeight="false" outlineLevel="0" collapsed="false">
      <c r="A231" s="20"/>
      <c r="B231" s="6"/>
      <c r="C231" s="19"/>
      <c r="D231" s="23"/>
      <c r="E231" s="9" t="str">
        <f aca="false">IF($B231="","",$C231*$D231)</f>
        <v/>
      </c>
      <c r="F231" s="19"/>
      <c r="G231" s="19"/>
    </row>
    <row r="232" customFormat="false" ht="15" hidden="false" customHeight="false" outlineLevel="0" collapsed="false">
      <c r="A232" s="20"/>
      <c r="B232" s="6"/>
      <c r="C232" s="19"/>
      <c r="D232" s="23"/>
      <c r="E232" s="9" t="str">
        <f aca="false">IF($B232="","",$C232*$D232)</f>
        <v/>
      </c>
      <c r="F232" s="19"/>
      <c r="G232" s="19"/>
    </row>
    <row r="233" customFormat="false" ht="15" hidden="false" customHeight="false" outlineLevel="0" collapsed="false">
      <c r="A233" s="20"/>
      <c r="B233" s="6"/>
      <c r="C233" s="19"/>
      <c r="D233" s="23"/>
      <c r="E233" s="9" t="str">
        <f aca="false">IF($B233="","",$C233*$D233)</f>
        <v/>
      </c>
      <c r="F233" s="19"/>
      <c r="G233" s="19"/>
    </row>
    <row r="234" customFormat="false" ht="15" hidden="false" customHeight="false" outlineLevel="0" collapsed="false">
      <c r="A234" s="20"/>
      <c r="B234" s="6"/>
      <c r="C234" s="19"/>
      <c r="D234" s="23"/>
      <c r="E234" s="9" t="str">
        <f aca="false">IF($B234="","",$C234*$D234)</f>
        <v/>
      </c>
      <c r="F234" s="19"/>
      <c r="G234" s="19"/>
    </row>
    <row r="235" customFormat="false" ht="15" hidden="false" customHeight="false" outlineLevel="0" collapsed="false">
      <c r="A235" s="20"/>
      <c r="B235" s="6"/>
      <c r="C235" s="19"/>
      <c r="D235" s="23"/>
      <c r="E235" s="9" t="str">
        <f aca="false">IF($B235="","",$C235*$D235)</f>
        <v/>
      </c>
      <c r="F235" s="19"/>
      <c r="G235" s="19"/>
    </row>
    <row r="236" customFormat="false" ht="15" hidden="false" customHeight="false" outlineLevel="0" collapsed="false">
      <c r="A236" s="20"/>
      <c r="B236" s="6"/>
      <c r="C236" s="19"/>
      <c r="D236" s="23"/>
      <c r="E236" s="9" t="str">
        <f aca="false">IF($B236="","",$C236*$D236)</f>
        <v/>
      </c>
      <c r="F236" s="19"/>
      <c r="G236" s="19"/>
    </row>
    <row r="237" customFormat="false" ht="15" hidden="false" customHeight="false" outlineLevel="0" collapsed="false">
      <c r="A237" s="20"/>
      <c r="B237" s="6"/>
      <c r="C237" s="19"/>
      <c r="D237" s="23"/>
      <c r="E237" s="9" t="str">
        <f aca="false">IF($B237="","",$C237*$D237)</f>
        <v/>
      </c>
      <c r="F237" s="19"/>
      <c r="G237" s="19"/>
    </row>
    <row r="238" customFormat="false" ht="15" hidden="false" customHeight="false" outlineLevel="0" collapsed="false">
      <c r="A238" s="20"/>
      <c r="B238" s="6"/>
      <c r="C238" s="19"/>
      <c r="D238" s="23"/>
      <c r="E238" s="9" t="str">
        <f aca="false">IF($B238="","",$C238*$D238)</f>
        <v/>
      </c>
      <c r="F238" s="19"/>
      <c r="G238" s="19"/>
    </row>
    <row r="239" customFormat="false" ht="15" hidden="false" customHeight="false" outlineLevel="0" collapsed="false">
      <c r="A239" s="20"/>
      <c r="B239" s="6"/>
      <c r="C239" s="19"/>
      <c r="D239" s="23"/>
      <c r="E239" s="9" t="str">
        <f aca="false">IF($B239="","",$C239*$D239)</f>
        <v/>
      </c>
      <c r="F239" s="19"/>
      <c r="G239" s="19"/>
    </row>
    <row r="240" customFormat="false" ht="15" hidden="false" customHeight="false" outlineLevel="0" collapsed="false">
      <c r="A240" s="20"/>
      <c r="B240" s="6"/>
      <c r="C240" s="19"/>
      <c r="D240" s="23"/>
      <c r="E240" s="9" t="str">
        <f aca="false">IF($B240="","",$C240*$D240)</f>
        <v/>
      </c>
      <c r="F240" s="19"/>
      <c r="G240" s="19"/>
    </row>
    <row r="241" customFormat="false" ht="15" hidden="false" customHeight="false" outlineLevel="0" collapsed="false">
      <c r="A241" s="20"/>
      <c r="B241" s="6"/>
      <c r="C241" s="19"/>
      <c r="D241" s="23"/>
      <c r="E241" s="9" t="str">
        <f aca="false">IF($B241="","",$C241*$D241)</f>
        <v/>
      </c>
      <c r="F241" s="19"/>
      <c r="G241" s="19"/>
    </row>
    <row r="242" customFormat="false" ht="15" hidden="false" customHeight="false" outlineLevel="0" collapsed="false">
      <c r="A242" s="20"/>
      <c r="B242" s="6"/>
      <c r="C242" s="19"/>
      <c r="D242" s="23"/>
      <c r="E242" s="9" t="str">
        <f aca="false">IF($B242="","",$C242*$D242)</f>
        <v/>
      </c>
      <c r="F242" s="19"/>
      <c r="G242" s="19"/>
    </row>
    <row r="243" customFormat="false" ht="15" hidden="false" customHeight="false" outlineLevel="0" collapsed="false">
      <c r="A243" s="20"/>
      <c r="B243" s="6"/>
      <c r="C243" s="19"/>
      <c r="D243" s="23"/>
      <c r="E243" s="9" t="str">
        <f aca="false">IF($B243="","",$C243*$D243)</f>
        <v/>
      </c>
      <c r="F243" s="19"/>
      <c r="G243" s="19"/>
    </row>
    <row r="244" customFormat="false" ht="15" hidden="false" customHeight="false" outlineLevel="0" collapsed="false">
      <c r="A244" s="20"/>
      <c r="B244" s="6"/>
      <c r="C244" s="19"/>
      <c r="D244" s="23"/>
      <c r="E244" s="9" t="str">
        <f aca="false">IF($B244="","",$C244*$D244)</f>
        <v/>
      </c>
      <c r="F244" s="19"/>
      <c r="G244" s="19"/>
    </row>
    <row r="245" customFormat="false" ht="15" hidden="false" customHeight="false" outlineLevel="0" collapsed="false">
      <c r="A245" s="20"/>
      <c r="B245" s="6"/>
      <c r="C245" s="19"/>
      <c r="D245" s="23"/>
      <c r="E245" s="9" t="str">
        <f aca="false">IF($B245="","",$C245*$D245)</f>
        <v/>
      </c>
      <c r="F245" s="19"/>
      <c r="G245" s="19"/>
    </row>
    <row r="246" customFormat="false" ht="15" hidden="false" customHeight="false" outlineLevel="0" collapsed="false">
      <c r="A246" s="20"/>
      <c r="B246" s="6"/>
      <c r="C246" s="19"/>
      <c r="D246" s="23"/>
      <c r="E246" s="9" t="str">
        <f aca="false">IF($B246="","",$C246*$D246)</f>
        <v/>
      </c>
      <c r="F246" s="19"/>
      <c r="G246" s="19"/>
    </row>
    <row r="247" customFormat="false" ht="15" hidden="false" customHeight="false" outlineLevel="0" collapsed="false">
      <c r="A247" s="20"/>
      <c r="B247" s="6"/>
      <c r="C247" s="19"/>
      <c r="D247" s="23"/>
      <c r="E247" s="9" t="str">
        <f aca="false">IF($B247="","",$C247*$D247)</f>
        <v/>
      </c>
      <c r="F247" s="19"/>
      <c r="G247" s="19"/>
    </row>
    <row r="248" customFormat="false" ht="15" hidden="false" customHeight="false" outlineLevel="0" collapsed="false">
      <c r="A248" s="20"/>
      <c r="B248" s="6"/>
      <c r="C248" s="19"/>
      <c r="D248" s="23"/>
      <c r="E248" s="9" t="str">
        <f aca="false">IF($B248="","",$C248*$D248)</f>
        <v/>
      </c>
      <c r="F248" s="19"/>
      <c r="G248" s="19"/>
    </row>
    <row r="249" customFormat="false" ht="15" hidden="false" customHeight="false" outlineLevel="0" collapsed="false">
      <c r="A249" s="20"/>
      <c r="B249" s="6"/>
      <c r="C249" s="19"/>
      <c r="D249" s="23"/>
      <c r="E249" s="9" t="str">
        <f aca="false">IF($B249="","",$C249*$D249)</f>
        <v/>
      </c>
      <c r="F249" s="19"/>
      <c r="G249" s="19"/>
    </row>
    <row r="250" customFormat="false" ht="15" hidden="false" customHeight="false" outlineLevel="0" collapsed="false">
      <c r="A250" s="20"/>
      <c r="B250" s="6"/>
      <c r="C250" s="19"/>
      <c r="D250" s="23"/>
      <c r="E250" s="9" t="str">
        <f aca="false">IF($B250="","",$C250*$D250)</f>
        <v/>
      </c>
      <c r="F250" s="19"/>
      <c r="G250" s="19"/>
    </row>
    <row r="251" customFormat="false" ht="15" hidden="false" customHeight="false" outlineLevel="0" collapsed="false">
      <c r="A251" s="20"/>
      <c r="B251" s="6"/>
      <c r="C251" s="19"/>
      <c r="D251" s="23"/>
      <c r="E251" s="9" t="str">
        <f aca="false">IF($B251="","",$C251*$D251)</f>
        <v/>
      </c>
      <c r="F251" s="19"/>
      <c r="G251" s="19"/>
    </row>
    <row r="252" customFormat="false" ht="15" hidden="false" customHeight="false" outlineLevel="0" collapsed="false">
      <c r="A252" s="20"/>
      <c r="B252" s="6"/>
      <c r="C252" s="19"/>
      <c r="D252" s="23"/>
      <c r="E252" s="9" t="str">
        <f aca="false">IF($B252="","",$C252*$D252)</f>
        <v/>
      </c>
      <c r="F252" s="19"/>
      <c r="G252" s="19"/>
    </row>
    <row r="253" customFormat="false" ht="15" hidden="false" customHeight="false" outlineLevel="0" collapsed="false">
      <c r="A253" s="20"/>
      <c r="B253" s="6"/>
      <c r="C253" s="19"/>
      <c r="D253" s="23"/>
      <c r="E253" s="9" t="str">
        <f aca="false">IF($B253="","",$C253*$D253)</f>
        <v/>
      </c>
      <c r="F253" s="19"/>
      <c r="G253" s="19"/>
    </row>
    <row r="254" customFormat="false" ht="15" hidden="false" customHeight="false" outlineLevel="0" collapsed="false">
      <c r="A254" s="20"/>
      <c r="B254" s="6"/>
      <c r="C254" s="19"/>
      <c r="D254" s="23"/>
      <c r="E254" s="9" t="str">
        <f aca="false">IF($B254="","",$C254*$D254)</f>
        <v/>
      </c>
      <c r="F254" s="19"/>
      <c r="G254" s="19"/>
    </row>
    <row r="255" customFormat="false" ht="15" hidden="false" customHeight="false" outlineLevel="0" collapsed="false">
      <c r="A255" s="20"/>
      <c r="B255" s="6"/>
      <c r="C255" s="19"/>
      <c r="D255" s="23"/>
      <c r="E255" s="9" t="str">
        <f aca="false">IF($B255="","",$C255*$D255)</f>
        <v/>
      </c>
      <c r="F255" s="19"/>
      <c r="G255" s="19"/>
    </row>
    <row r="256" customFormat="false" ht="15" hidden="false" customHeight="false" outlineLevel="0" collapsed="false">
      <c r="A256" s="20"/>
      <c r="B256" s="6"/>
      <c r="C256" s="19"/>
      <c r="D256" s="23"/>
      <c r="E256" s="9" t="str">
        <f aca="false">IF($B256="","",$C256*$D256)</f>
        <v/>
      </c>
      <c r="F256" s="19"/>
      <c r="G256" s="19"/>
    </row>
    <row r="257" customFormat="false" ht="15" hidden="false" customHeight="false" outlineLevel="0" collapsed="false">
      <c r="A257" s="20"/>
      <c r="B257" s="6"/>
      <c r="C257" s="19"/>
      <c r="D257" s="23"/>
      <c r="E257" s="9" t="str">
        <f aca="false">IF($B257="","",$C257*$D257)</f>
        <v/>
      </c>
      <c r="F257" s="19"/>
      <c r="G257" s="19"/>
    </row>
    <row r="258" customFormat="false" ht="15" hidden="false" customHeight="false" outlineLevel="0" collapsed="false">
      <c r="A258" s="20"/>
      <c r="B258" s="6"/>
      <c r="C258" s="19"/>
      <c r="D258" s="23"/>
      <c r="E258" s="9" t="str">
        <f aca="false">IF($B258="","",$C258*$D258)</f>
        <v/>
      </c>
      <c r="F258" s="19"/>
      <c r="G258" s="19"/>
    </row>
    <row r="259" customFormat="false" ht="15" hidden="false" customHeight="false" outlineLevel="0" collapsed="false">
      <c r="A259" s="20"/>
      <c r="B259" s="6"/>
      <c r="C259" s="19"/>
      <c r="D259" s="23"/>
      <c r="E259" s="9" t="str">
        <f aca="false">IF($B259="","",$C259*$D259)</f>
        <v/>
      </c>
      <c r="F259" s="19"/>
      <c r="G259" s="19"/>
    </row>
    <row r="260" customFormat="false" ht="15" hidden="false" customHeight="false" outlineLevel="0" collapsed="false">
      <c r="A260" s="20"/>
      <c r="B260" s="6"/>
      <c r="C260" s="19"/>
      <c r="D260" s="23"/>
      <c r="E260" s="9" t="str">
        <f aca="false">IF($B260="","",$C260*$D260)</f>
        <v/>
      </c>
      <c r="F260" s="19"/>
      <c r="G260" s="19"/>
    </row>
    <row r="261" customFormat="false" ht="15" hidden="false" customHeight="false" outlineLevel="0" collapsed="false">
      <c r="A261" s="20"/>
      <c r="B261" s="6"/>
      <c r="C261" s="19"/>
      <c r="D261" s="23"/>
      <c r="E261" s="9" t="str">
        <f aca="false">IF($B261="","",$C261*$D261)</f>
        <v/>
      </c>
      <c r="F261" s="19"/>
      <c r="G261" s="19"/>
    </row>
    <row r="262" customFormat="false" ht="15" hidden="false" customHeight="false" outlineLevel="0" collapsed="false">
      <c r="A262" s="20"/>
      <c r="B262" s="6"/>
      <c r="C262" s="19"/>
      <c r="D262" s="23"/>
      <c r="E262" s="9" t="str">
        <f aca="false">IF($B262="","",$C262*$D262)</f>
        <v/>
      </c>
      <c r="F262" s="19"/>
      <c r="G262" s="19"/>
    </row>
    <row r="263" customFormat="false" ht="15" hidden="false" customHeight="false" outlineLevel="0" collapsed="false">
      <c r="A263" s="20"/>
      <c r="B263" s="6"/>
      <c r="C263" s="19"/>
      <c r="D263" s="23"/>
      <c r="E263" s="9" t="str">
        <f aca="false">IF($B263="","",$C263*$D263)</f>
        <v/>
      </c>
      <c r="F263" s="19"/>
      <c r="G263" s="19"/>
    </row>
    <row r="264" customFormat="false" ht="15" hidden="false" customHeight="false" outlineLevel="0" collapsed="false">
      <c r="A264" s="20"/>
      <c r="B264" s="6"/>
      <c r="C264" s="19"/>
      <c r="D264" s="23"/>
      <c r="E264" s="9" t="str">
        <f aca="false">IF($B264="","",$C264*$D264)</f>
        <v/>
      </c>
      <c r="F264" s="19"/>
      <c r="G264" s="19"/>
    </row>
    <row r="265" customFormat="false" ht="15" hidden="false" customHeight="false" outlineLevel="0" collapsed="false">
      <c r="A265" s="20"/>
      <c r="B265" s="6"/>
      <c r="C265" s="19"/>
      <c r="D265" s="23"/>
      <c r="E265" s="9" t="str">
        <f aca="false">IF($B265="","",$C265*$D265)</f>
        <v/>
      </c>
      <c r="F265" s="19"/>
      <c r="G265" s="19"/>
    </row>
    <row r="266" customFormat="false" ht="15" hidden="false" customHeight="false" outlineLevel="0" collapsed="false">
      <c r="A266" s="20"/>
      <c r="B266" s="6"/>
      <c r="C266" s="19"/>
      <c r="D266" s="23"/>
      <c r="E266" s="9" t="str">
        <f aca="false">IF($B266="","",$C266*$D266)</f>
        <v/>
      </c>
      <c r="F266" s="19"/>
      <c r="G266" s="19"/>
    </row>
    <row r="267" customFormat="false" ht="15" hidden="false" customHeight="false" outlineLevel="0" collapsed="false">
      <c r="A267" s="20"/>
      <c r="B267" s="6"/>
      <c r="C267" s="19"/>
      <c r="D267" s="23"/>
      <c r="E267" s="9" t="str">
        <f aca="false">IF($B267="","",$C267*$D267)</f>
        <v/>
      </c>
      <c r="F267" s="19"/>
      <c r="G267" s="19"/>
    </row>
    <row r="268" customFormat="false" ht="15" hidden="false" customHeight="false" outlineLevel="0" collapsed="false">
      <c r="A268" s="20"/>
      <c r="B268" s="6"/>
      <c r="C268" s="19"/>
      <c r="D268" s="23"/>
      <c r="E268" s="9" t="str">
        <f aca="false">IF($B268="","",$C268*$D268)</f>
        <v/>
      </c>
      <c r="F268" s="19"/>
      <c r="G268" s="19"/>
    </row>
    <row r="269" customFormat="false" ht="15" hidden="false" customHeight="false" outlineLevel="0" collapsed="false">
      <c r="A269" s="20"/>
      <c r="B269" s="6"/>
      <c r="C269" s="19"/>
      <c r="D269" s="23"/>
      <c r="E269" s="9" t="str">
        <f aca="false">IF($B269="","",$C269*$D269)</f>
        <v/>
      </c>
      <c r="F269" s="19"/>
      <c r="G269" s="19"/>
    </row>
    <row r="270" customFormat="false" ht="15" hidden="false" customHeight="false" outlineLevel="0" collapsed="false">
      <c r="A270" s="20"/>
      <c r="B270" s="6"/>
      <c r="C270" s="19"/>
      <c r="D270" s="23"/>
      <c r="E270" s="9" t="str">
        <f aca="false">IF($B270="","",$C270*$D270)</f>
        <v/>
      </c>
      <c r="F270" s="19"/>
      <c r="G270" s="19"/>
    </row>
    <row r="271" customFormat="false" ht="15" hidden="false" customHeight="false" outlineLevel="0" collapsed="false">
      <c r="A271" s="20"/>
      <c r="B271" s="6"/>
      <c r="C271" s="19"/>
      <c r="D271" s="23"/>
      <c r="E271" s="9" t="str">
        <f aca="false">IF($B271="","",$C271*$D271)</f>
        <v/>
      </c>
      <c r="F271" s="19"/>
      <c r="G271" s="19"/>
    </row>
    <row r="272" customFormat="false" ht="15" hidden="false" customHeight="false" outlineLevel="0" collapsed="false">
      <c r="A272" s="20"/>
      <c r="B272" s="6"/>
      <c r="C272" s="19"/>
      <c r="D272" s="23"/>
      <c r="E272" s="9" t="str">
        <f aca="false">IF($B272="","",$C272*$D272)</f>
        <v/>
      </c>
      <c r="F272" s="19"/>
      <c r="G272" s="19"/>
    </row>
    <row r="273" customFormat="false" ht="15" hidden="false" customHeight="false" outlineLevel="0" collapsed="false">
      <c r="A273" s="20"/>
      <c r="B273" s="6"/>
      <c r="C273" s="19"/>
      <c r="D273" s="23"/>
      <c r="E273" s="9" t="str">
        <f aca="false">IF($B273="","",$C273*$D273)</f>
        <v/>
      </c>
      <c r="F273" s="19"/>
      <c r="G273" s="19"/>
    </row>
    <row r="274" customFormat="false" ht="15" hidden="false" customHeight="false" outlineLevel="0" collapsed="false">
      <c r="A274" s="20"/>
      <c r="B274" s="6"/>
      <c r="C274" s="19"/>
      <c r="D274" s="23"/>
      <c r="E274" s="9" t="str">
        <f aca="false">IF($B274="","",$C274*$D274)</f>
        <v/>
      </c>
      <c r="F274" s="19"/>
      <c r="G274" s="19"/>
    </row>
    <row r="275" customFormat="false" ht="15" hidden="false" customHeight="false" outlineLevel="0" collapsed="false">
      <c r="A275" s="20"/>
      <c r="B275" s="6"/>
      <c r="C275" s="19"/>
      <c r="D275" s="23"/>
      <c r="E275" s="9" t="str">
        <f aca="false">IF($B275="","",$C275*$D275)</f>
        <v/>
      </c>
      <c r="F275" s="19"/>
      <c r="G275" s="19"/>
    </row>
    <row r="276" customFormat="false" ht="15" hidden="false" customHeight="false" outlineLevel="0" collapsed="false">
      <c r="A276" s="20"/>
      <c r="B276" s="6"/>
      <c r="C276" s="19"/>
      <c r="D276" s="23"/>
      <c r="E276" s="9" t="str">
        <f aca="false">IF($B276="","",$C276*$D276)</f>
        <v/>
      </c>
      <c r="F276" s="19"/>
      <c r="G276" s="19"/>
    </row>
    <row r="277" customFormat="false" ht="15" hidden="false" customHeight="false" outlineLevel="0" collapsed="false">
      <c r="A277" s="20"/>
      <c r="B277" s="6"/>
      <c r="C277" s="19"/>
      <c r="D277" s="23"/>
      <c r="E277" s="9" t="str">
        <f aca="false">IF($B277="","",$C277*$D277)</f>
        <v/>
      </c>
      <c r="F277" s="19"/>
      <c r="G277" s="19"/>
    </row>
    <row r="278" customFormat="false" ht="15" hidden="false" customHeight="false" outlineLevel="0" collapsed="false">
      <c r="A278" s="20"/>
      <c r="B278" s="6"/>
      <c r="C278" s="19"/>
      <c r="D278" s="23"/>
      <c r="E278" s="9" t="str">
        <f aca="false">IF($B278="","",$C278*$D278)</f>
        <v/>
      </c>
      <c r="F278" s="19"/>
      <c r="G278" s="19"/>
    </row>
    <row r="279" customFormat="false" ht="15" hidden="false" customHeight="false" outlineLevel="0" collapsed="false">
      <c r="A279" s="20"/>
      <c r="B279" s="6"/>
      <c r="C279" s="19"/>
      <c r="D279" s="23"/>
      <c r="E279" s="9" t="str">
        <f aca="false">IF($B279="","",$C279*$D279)</f>
        <v/>
      </c>
      <c r="F279" s="19"/>
      <c r="G279" s="19"/>
    </row>
    <row r="280" customFormat="false" ht="15" hidden="false" customHeight="false" outlineLevel="0" collapsed="false">
      <c r="A280" s="20"/>
      <c r="B280" s="6"/>
      <c r="C280" s="19"/>
      <c r="D280" s="23"/>
      <c r="E280" s="9" t="str">
        <f aca="false">IF($B280="","",$C280*$D280)</f>
        <v/>
      </c>
      <c r="F280" s="19"/>
      <c r="G280" s="19"/>
    </row>
    <row r="281" customFormat="false" ht="15" hidden="false" customHeight="false" outlineLevel="0" collapsed="false">
      <c r="A281" s="20"/>
      <c r="B281" s="6"/>
      <c r="C281" s="19"/>
      <c r="D281" s="23"/>
      <c r="E281" s="9" t="str">
        <f aca="false">IF($B281="","",$C281*$D281)</f>
        <v/>
      </c>
      <c r="F281" s="19"/>
      <c r="G281" s="19"/>
    </row>
    <row r="282" customFormat="false" ht="15" hidden="false" customHeight="false" outlineLevel="0" collapsed="false">
      <c r="A282" s="20"/>
      <c r="B282" s="6"/>
      <c r="C282" s="19"/>
      <c r="D282" s="23"/>
      <c r="E282" s="9" t="str">
        <f aca="false">IF($B282="","",$C282*$D282)</f>
        <v/>
      </c>
      <c r="F282" s="19"/>
      <c r="G282" s="19"/>
    </row>
    <row r="283" customFormat="false" ht="15" hidden="false" customHeight="false" outlineLevel="0" collapsed="false">
      <c r="A283" s="20"/>
      <c r="B283" s="6"/>
      <c r="C283" s="19"/>
      <c r="D283" s="23"/>
      <c r="E283" s="9" t="str">
        <f aca="false">IF($B283="","",$C283*$D283)</f>
        <v/>
      </c>
      <c r="F283" s="19"/>
      <c r="G283" s="19"/>
    </row>
    <row r="284" customFormat="false" ht="15" hidden="false" customHeight="false" outlineLevel="0" collapsed="false">
      <c r="A284" s="20"/>
      <c r="B284" s="6"/>
      <c r="C284" s="19"/>
      <c r="D284" s="23"/>
      <c r="E284" s="9" t="str">
        <f aca="false">IF($B284="","",$C284*$D284)</f>
        <v/>
      </c>
      <c r="F284" s="19"/>
      <c r="G284" s="19"/>
    </row>
    <row r="285" customFormat="false" ht="15" hidden="false" customHeight="false" outlineLevel="0" collapsed="false">
      <c r="A285" s="20"/>
      <c r="B285" s="6"/>
      <c r="C285" s="19"/>
      <c r="D285" s="23"/>
      <c r="E285" s="9" t="str">
        <f aca="false">IF($B285="","",$C285*$D285)</f>
        <v/>
      </c>
      <c r="F285" s="19"/>
      <c r="G285" s="19"/>
    </row>
    <row r="286" customFormat="false" ht="15" hidden="false" customHeight="false" outlineLevel="0" collapsed="false">
      <c r="A286" s="20"/>
      <c r="B286" s="6"/>
      <c r="C286" s="19"/>
      <c r="D286" s="23"/>
      <c r="E286" s="9" t="str">
        <f aca="false">IF($B286="","",$C286*$D286)</f>
        <v/>
      </c>
      <c r="F286" s="19"/>
      <c r="G286" s="19"/>
    </row>
    <row r="287" customFormat="false" ht="15" hidden="false" customHeight="false" outlineLevel="0" collapsed="false">
      <c r="A287" s="20"/>
      <c r="B287" s="6"/>
      <c r="C287" s="19"/>
      <c r="D287" s="23"/>
      <c r="E287" s="9" t="str">
        <f aca="false">IF($B287="","",$C287*$D287)</f>
        <v/>
      </c>
      <c r="F287" s="19"/>
      <c r="G287" s="19"/>
    </row>
    <row r="288" customFormat="false" ht="15" hidden="false" customHeight="false" outlineLevel="0" collapsed="false">
      <c r="A288" s="20"/>
      <c r="B288" s="6"/>
      <c r="C288" s="19"/>
      <c r="D288" s="23"/>
      <c r="E288" s="9" t="str">
        <f aca="false">IF($B288="","",$C288*$D288)</f>
        <v/>
      </c>
      <c r="F288" s="19"/>
      <c r="G288" s="19"/>
    </row>
    <row r="289" customFormat="false" ht="15" hidden="false" customHeight="false" outlineLevel="0" collapsed="false">
      <c r="A289" s="20"/>
      <c r="B289" s="6"/>
      <c r="C289" s="19"/>
      <c r="D289" s="23"/>
      <c r="E289" s="9" t="str">
        <f aca="false">IF($B289="","",$C289*$D289)</f>
        <v/>
      </c>
      <c r="F289" s="19"/>
      <c r="G289" s="19"/>
    </row>
    <row r="290" customFormat="false" ht="15" hidden="false" customHeight="false" outlineLevel="0" collapsed="false">
      <c r="A290" s="20"/>
      <c r="B290" s="6"/>
      <c r="C290" s="19"/>
      <c r="D290" s="23"/>
      <c r="E290" s="9" t="str">
        <f aca="false">IF($B290="","",$C290*$D290)</f>
        <v/>
      </c>
      <c r="F290" s="19"/>
      <c r="G290" s="19"/>
    </row>
    <row r="291" customFormat="false" ht="15" hidden="false" customHeight="false" outlineLevel="0" collapsed="false">
      <c r="A291" s="20"/>
      <c r="B291" s="6"/>
      <c r="C291" s="19"/>
      <c r="D291" s="23"/>
      <c r="E291" s="9" t="str">
        <f aca="false">IF($B291="","",$C291*$D291)</f>
        <v/>
      </c>
      <c r="F291" s="19"/>
      <c r="G291" s="19"/>
    </row>
    <row r="292" customFormat="false" ht="15" hidden="false" customHeight="false" outlineLevel="0" collapsed="false">
      <c r="A292" s="20"/>
      <c r="B292" s="6"/>
      <c r="C292" s="19"/>
      <c r="D292" s="23"/>
      <c r="E292" s="9" t="str">
        <f aca="false">IF($B292="","",$C292*$D292)</f>
        <v/>
      </c>
      <c r="F292" s="19"/>
      <c r="G292" s="19"/>
    </row>
    <row r="293" customFormat="false" ht="15" hidden="false" customHeight="false" outlineLevel="0" collapsed="false">
      <c r="A293" s="20"/>
      <c r="B293" s="6"/>
      <c r="C293" s="19"/>
      <c r="D293" s="23"/>
      <c r="E293" s="9" t="str">
        <f aca="false">IF($B293="","",$C293*$D293)</f>
        <v/>
      </c>
      <c r="F293" s="19"/>
      <c r="G293" s="19"/>
    </row>
    <row r="294" customFormat="false" ht="15" hidden="false" customHeight="false" outlineLevel="0" collapsed="false">
      <c r="A294" s="20"/>
      <c r="B294" s="6"/>
      <c r="C294" s="19"/>
      <c r="D294" s="23"/>
      <c r="E294" s="9" t="str">
        <f aca="false">IF($B294="","",$C294*$D294)</f>
        <v/>
      </c>
      <c r="F294" s="19"/>
      <c r="G294" s="19"/>
    </row>
    <row r="295" customFormat="false" ht="15" hidden="false" customHeight="false" outlineLevel="0" collapsed="false">
      <c r="A295" s="20"/>
      <c r="B295" s="6"/>
      <c r="C295" s="19"/>
      <c r="D295" s="23"/>
      <c r="E295" s="9" t="str">
        <f aca="false">IF($B295="","",$C295*$D295)</f>
        <v/>
      </c>
      <c r="F295" s="19"/>
      <c r="G295" s="19"/>
    </row>
    <row r="296" customFormat="false" ht="15" hidden="false" customHeight="false" outlineLevel="0" collapsed="false">
      <c r="A296" s="20"/>
      <c r="B296" s="6"/>
      <c r="C296" s="19"/>
      <c r="D296" s="23"/>
      <c r="E296" s="9" t="str">
        <f aca="false">IF($B296="","",$C296*$D296)</f>
        <v/>
      </c>
      <c r="F296" s="19"/>
      <c r="G296" s="19"/>
    </row>
    <row r="297" customFormat="false" ht="15" hidden="false" customHeight="false" outlineLevel="0" collapsed="false">
      <c r="A297" s="20"/>
      <c r="B297" s="6"/>
      <c r="C297" s="19"/>
      <c r="D297" s="23"/>
      <c r="E297" s="9" t="str">
        <f aca="false">IF($B297="","",$C297*$D297)</f>
        <v/>
      </c>
      <c r="F297" s="19"/>
      <c r="G297" s="19"/>
    </row>
    <row r="298" customFormat="false" ht="15" hidden="false" customHeight="false" outlineLevel="0" collapsed="false">
      <c r="A298" s="20"/>
      <c r="B298" s="6"/>
      <c r="C298" s="19"/>
      <c r="D298" s="23"/>
      <c r="E298" s="9" t="str">
        <f aca="false">IF($B298="","",$C298*$D298)</f>
        <v/>
      </c>
      <c r="F298" s="19"/>
      <c r="G298" s="19"/>
    </row>
    <row r="299" customFormat="false" ht="15" hidden="false" customHeight="false" outlineLevel="0" collapsed="false">
      <c r="A299" s="20"/>
      <c r="B299" s="6"/>
      <c r="C299" s="19"/>
      <c r="D299" s="23"/>
      <c r="E299" s="9" t="str">
        <f aca="false">IF($B299="","",$C299*$D299)</f>
        <v/>
      </c>
      <c r="F299" s="19"/>
      <c r="G299" s="19"/>
    </row>
    <row r="300" customFormat="false" ht="15" hidden="false" customHeight="false" outlineLevel="0" collapsed="false">
      <c r="A300" s="20"/>
      <c r="B300" s="6"/>
      <c r="C300" s="19"/>
      <c r="D300" s="23"/>
      <c r="E300" s="9" t="str">
        <f aca="false">IF($B300="","",$C300*$D300)</f>
        <v/>
      </c>
      <c r="F300" s="19"/>
      <c r="G300" s="19"/>
    </row>
    <row r="301" customFormat="false" ht="15" hidden="false" customHeight="false" outlineLevel="0" collapsed="false">
      <c r="A301" s="20"/>
      <c r="B301" s="6"/>
      <c r="C301" s="19"/>
      <c r="D301" s="23"/>
      <c r="E301" s="9" t="str">
        <f aca="false">IF($B301="","",$C301*$D301)</f>
        <v/>
      </c>
      <c r="F301" s="19"/>
      <c r="G301" s="19"/>
    </row>
    <row r="302" customFormat="false" ht="15" hidden="false" customHeight="false" outlineLevel="0" collapsed="false">
      <c r="A302" s="20"/>
      <c r="B302" s="6"/>
      <c r="C302" s="19"/>
      <c r="D302" s="23"/>
      <c r="E302" s="9" t="str">
        <f aca="false">IF($B302="","",$C302*$D302)</f>
        <v/>
      </c>
      <c r="F302" s="19"/>
      <c r="G302" s="19"/>
    </row>
    <row r="303" customFormat="false" ht="15" hidden="false" customHeight="false" outlineLevel="0" collapsed="false">
      <c r="A303" s="20"/>
      <c r="B303" s="6"/>
      <c r="C303" s="19"/>
      <c r="D303" s="23"/>
      <c r="E303" s="9" t="str">
        <f aca="false">IF($B303="","",$C303*$D303)</f>
        <v/>
      </c>
      <c r="F303" s="19"/>
      <c r="G303" s="19"/>
    </row>
    <row r="304" customFormat="false" ht="15" hidden="false" customHeight="false" outlineLevel="0" collapsed="false">
      <c r="A304" s="20"/>
      <c r="B304" s="6"/>
      <c r="C304" s="19"/>
      <c r="D304" s="23"/>
      <c r="E304" s="9" t="str">
        <f aca="false">IF($B304="","",$C304*$D304)</f>
        <v/>
      </c>
      <c r="F304" s="19"/>
      <c r="G304" s="19"/>
    </row>
    <row r="305" customFormat="false" ht="15" hidden="false" customHeight="false" outlineLevel="0" collapsed="false">
      <c r="A305" s="20"/>
      <c r="B305" s="6"/>
      <c r="C305" s="19"/>
      <c r="D305" s="23"/>
      <c r="E305" s="9" t="str">
        <f aca="false">IF($B305="","",$C305*$D305)</f>
        <v/>
      </c>
      <c r="F305" s="19"/>
      <c r="G305" s="19"/>
    </row>
    <row r="306" customFormat="false" ht="15" hidden="false" customHeight="false" outlineLevel="0" collapsed="false">
      <c r="A306" s="20"/>
      <c r="B306" s="6"/>
      <c r="C306" s="19"/>
      <c r="D306" s="23"/>
      <c r="E306" s="9" t="str">
        <f aca="false">IF($B306="","",$C306*$D306)</f>
        <v/>
      </c>
      <c r="F306" s="19"/>
      <c r="G306" s="19"/>
    </row>
    <row r="307" customFormat="false" ht="15" hidden="false" customHeight="false" outlineLevel="0" collapsed="false">
      <c r="A307" s="20"/>
      <c r="B307" s="6"/>
      <c r="C307" s="19"/>
      <c r="D307" s="23"/>
      <c r="E307" s="9" t="str">
        <f aca="false">IF($B307="","",$C307*$D307)</f>
        <v/>
      </c>
      <c r="F307" s="19"/>
      <c r="G307" s="19"/>
    </row>
    <row r="308" customFormat="false" ht="15" hidden="false" customHeight="false" outlineLevel="0" collapsed="false">
      <c r="A308" s="20"/>
      <c r="B308" s="6"/>
      <c r="C308" s="19"/>
      <c r="D308" s="23"/>
      <c r="E308" s="9" t="str">
        <f aca="false">IF($B308="","",$C308*$D308)</f>
        <v/>
      </c>
      <c r="F308" s="19"/>
      <c r="G308" s="19"/>
    </row>
    <row r="309" customFormat="false" ht="15" hidden="false" customHeight="false" outlineLevel="0" collapsed="false">
      <c r="A309" s="20"/>
      <c r="B309" s="6"/>
      <c r="C309" s="19"/>
      <c r="D309" s="23"/>
      <c r="E309" s="9" t="str">
        <f aca="false">IF($B309="","",$C309*$D309)</f>
        <v/>
      </c>
      <c r="F309" s="19"/>
      <c r="G309" s="19"/>
    </row>
    <row r="310" customFormat="false" ht="15" hidden="false" customHeight="false" outlineLevel="0" collapsed="false">
      <c r="A310" s="20"/>
      <c r="B310" s="6"/>
      <c r="C310" s="19"/>
      <c r="D310" s="23"/>
      <c r="E310" s="9" t="str">
        <f aca="false">IF($B310="","",$C310*$D310)</f>
        <v/>
      </c>
      <c r="F310" s="19"/>
      <c r="G310" s="19"/>
    </row>
    <row r="311" customFormat="false" ht="15" hidden="false" customHeight="false" outlineLevel="0" collapsed="false">
      <c r="A311" s="20"/>
      <c r="B311" s="6"/>
      <c r="C311" s="19"/>
      <c r="D311" s="23"/>
      <c r="E311" s="9" t="str">
        <f aca="false">IF($B311="","",$C311*$D311)</f>
        <v/>
      </c>
      <c r="F311" s="19"/>
      <c r="G311" s="19"/>
    </row>
    <row r="312" customFormat="false" ht="15" hidden="false" customHeight="false" outlineLevel="0" collapsed="false">
      <c r="A312" s="20"/>
      <c r="B312" s="6"/>
      <c r="C312" s="19"/>
      <c r="D312" s="23"/>
      <c r="E312" s="9" t="str">
        <f aca="false">IF($B312="","",$C312*$D312)</f>
        <v/>
      </c>
      <c r="F312" s="19"/>
      <c r="G312" s="19"/>
    </row>
    <row r="313" customFormat="false" ht="15" hidden="false" customHeight="false" outlineLevel="0" collapsed="false">
      <c r="A313" s="20"/>
      <c r="B313" s="6"/>
      <c r="C313" s="19"/>
      <c r="D313" s="23"/>
      <c r="E313" s="9" t="str">
        <f aca="false">IF($B313="","",$C313*$D313)</f>
        <v/>
      </c>
      <c r="F313" s="19"/>
      <c r="G313" s="19"/>
    </row>
    <row r="314" customFormat="false" ht="15" hidden="false" customHeight="false" outlineLevel="0" collapsed="false">
      <c r="A314" s="20"/>
      <c r="B314" s="6"/>
      <c r="C314" s="19"/>
      <c r="D314" s="23"/>
      <c r="E314" s="9" t="str">
        <f aca="false">IF($B314="","",$C314*$D314)</f>
        <v/>
      </c>
      <c r="F314" s="19"/>
      <c r="G314" s="19"/>
    </row>
    <row r="315" customFormat="false" ht="15" hidden="false" customHeight="false" outlineLevel="0" collapsed="false">
      <c r="A315" s="20"/>
      <c r="B315" s="6"/>
      <c r="C315" s="19"/>
      <c r="D315" s="23"/>
      <c r="E315" s="9" t="str">
        <f aca="false">IF($B315="","",$C315*$D315)</f>
        <v/>
      </c>
      <c r="F315" s="19"/>
      <c r="G315" s="19"/>
    </row>
    <row r="316" customFormat="false" ht="15" hidden="false" customHeight="false" outlineLevel="0" collapsed="false">
      <c r="A316" s="20"/>
      <c r="B316" s="6"/>
      <c r="C316" s="19"/>
      <c r="D316" s="23"/>
      <c r="E316" s="9" t="str">
        <f aca="false">IF($B316="","",$C316*$D316)</f>
        <v/>
      </c>
      <c r="F316" s="19"/>
      <c r="G316" s="19"/>
    </row>
    <row r="317" customFormat="false" ht="15" hidden="false" customHeight="false" outlineLevel="0" collapsed="false">
      <c r="A317" s="20"/>
      <c r="B317" s="6"/>
      <c r="C317" s="19"/>
      <c r="D317" s="23"/>
      <c r="E317" s="9" t="str">
        <f aca="false">IF($B317="","",$C317*$D317)</f>
        <v/>
      </c>
      <c r="F317" s="19"/>
      <c r="G317" s="19"/>
    </row>
    <row r="318" customFormat="false" ht="15" hidden="false" customHeight="false" outlineLevel="0" collapsed="false">
      <c r="A318" s="20"/>
      <c r="B318" s="6"/>
      <c r="C318" s="19"/>
      <c r="D318" s="23"/>
      <c r="E318" s="9" t="str">
        <f aca="false">IF($B318="","",$C318*$D318)</f>
        <v/>
      </c>
      <c r="F318" s="19"/>
      <c r="G318" s="19"/>
    </row>
    <row r="319" customFormat="false" ht="15" hidden="false" customHeight="false" outlineLevel="0" collapsed="false">
      <c r="A319" s="20"/>
      <c r="B319" s="6"/>
      <c r="C319" s="19"/>
      <c r="D319" s="23"/>
      <c r="E319" s="9" t="str">
        <f aca="false">IF($B319="","",$C319*$D319)</f>
        <v/>
      </c>
      <c r="F319" s="19"/>
      <c r="G319" s="19"/>
    </row>
    <row r="320" customFormat="false" ht="15" hidden="false" customHeight="false" outlineLevel="0" collapsed="false">
      <c r="A320" s="20"/>
      <c r="B320" s="6"/>
      <c r="C320" s="19"/>
      <c r="D320" s="23"/>
      <c r="E320" s="9" t="str">
        <f aca="false">IF($B320="","",$C320*$D320)</f>
        <v/>
      </c>
      <c r="F320" s="19"/>
      <c r="G320" s="19"/>
    </row>
    <row r="321" customFormat="false" ht="15" hidden="false" customHeight="false" outlineLevel="0" collapsed="false">
      <c r="A321" s="20"/>
      <c r="B321" s="6"/>
      <c r="C321" s="19"/>
      <c r="D321" s="23"/>
      <c r="E321" s="9" t="str">
        <f aca="false">IF($B321="","",$C321*$D321)</f>
        <v/>
      </c>
      <c r="F321" s="19"/>
      <c r="G321" s="19"/>
    </row>
    <row r="322" customFormat="false" ht="15" hidden="false" customHeight="false" outlineLevel="0" collapsed="false">
      <c r="A322" s="20"/>
      <c r="B322" s="6"/>
      <c r="C322" s="19"/>
      <c r="D322" s="23"/>
      <c r="E322" s="9" t="str">
        <f aca="false">IF($B322="","",$C322*$D322)</f>
        <v/>
      </c>
      <c r="F322" s="19"/>
      <c r="G322" s="19"/>
    </row>
    <row r="323" customFormat="false" ht="15" hidden="false" customHeight="false" outlineLevel="0" collapsed="false">
      <c r="A323" s="20"/>
      <c r="B323" s="6"/>
      <c r="C323" s="19"/>
      <c r="D323" s="23"/>
      <c r="E323" s="9" t="str">
        <f aca="false">IF($B323="","",$C323*$D323)</f>
        <v/>
      </c>
      <c r="F323" s="19"/>
      <c r="G323" s="19"/>
    </row>
    <row r="324" customFormat="false" ht="15" hidden="false" customHeight="false" outlineLevel="0" collapsed="false">
      <c r="A324" s="20"/>
      <c r="B324" s="6"/>
      <c r="C324" s="19"/>
      <c r="D324" s="23"/>
      <c r="E324" s="9" t="str">
        <f aca="false">IF($B324="","",$C324*$D324)</f>
        <v/>
      </c>
      <c r="F324" s="19"/>
      <c r="G324" s="19"/>
    </row>
    <row r="325" customFormat="false" ht="15" hidden="false" customHeight="false" outlineLevel="0" collapsed="false">
      <c r="A325" s="20"/>
      <c r="B325" s="6"/>
      <c r="C325" s="19"/>
      <c r="D325" s="23"/>
      <c r="E325" s="9" t="str">
        <f aca="false">IF($B325="","",$C325*$D325)</f>
        <v/>
      </c>
      <c r="F325" s="19"/>
      <c r="G325" s="19"/>
    </row>
    <row r="326" customFormat="false" ht="15" hidden="false" customHeight="false" outlineLevel="0" collapsed="false">
      <c r="A326" s="20"/>
      <c r="B326" s="6"/>
      <c r="C326" s="19"/>
      <c r="D326" s="23"/>
      <c r="E326" s="9" t="str">
        <f aca="false">IF($B326="","",$C326*$D326)</f>
        <v/>
      </c>
      <c r="F326" s="19"/>
      <c r="G326" s="19"/>
    </row>
    <row r="327" customFormat="false" ht="15" hidden="false" customHeight="false" outlineLevel="0" collapsed="false">
      <c r="A327" s="20"/>
      <c r="B327" s="6"/>
      <c r="C327" s="19"/>
      <c r="D327" s="23"/>
      <c r="E327" s="9" t="str">
        <f aca="false">IF($B327="","",$C327*$D327)</f>
        <v/>
      </c>
      <c r="F327" s="19"/>
      <c r="G327" s="19"/>
    </row>
    <row r="328" customFormat="false" ht="15" hidden="false" customHeight="false" outlineLevel="0" collapsed="false">
      <c r="A328" s="20"/>
      <c r="B328" s="6"/>
      <c r="C328" s="19"/>
      <c r="D328" s="23"/>
      <c r="E328" s="9" t="str">
        <f aca="false">IF($B328="","",$C328*$D328)</f>
        <v/>
      </c>
      <c r="F328" s="19"/>
      <c r="G328" s="19"/>
    </row>
    <row r="329" customFormat="false" ht="15" hidden="false" customHeight="false" outlineLevel="0" collapsed="false">
      <c r="A329" s="20"/>
      <c r="B329" s="6"/>
      <c r="C329" s="19"/>
      <c r="D329" s="23"/>
      <c r="E329" s="9" t="str">
        <f aca="false">IF($B329="","",$C329*$D329)</f>
        <v/>
      </c>
      <c r="F329" s="19"/>
      <c r="G329" s="19"/>
    </row>
    <row r="330" customFormat="false" ht="15" hidden="false" customHeight="false" outlineLevel="0" collapsed="false">
      <c r="A330" s="20"/>
      <c r="B330" s="6"/>
      <c r="C330" s="19"/>
      <c r="D330" s="23"/>
      <c r="E330" s="9" t="str">
        <f aca="false">IF($B330="","",$C330*$D330)</f>
        <v/>
      </c>
      <c r="F330" s="19"/>
      <c r="G330" s="19"/>
    </row>
    <row r="331" customFormat="false" ht="15" hidden="false" customHeight="false" outlineLevel="0" collapsed="false">
      <c r="A331" s="20"/>
      <c r="B331" s="6"/>
      <c r="C331" s="19"/>
      <c r="D331" s="23"/>
      <c r="E331" s="9" t="str">
        <f aca="false">IF($B331="","",$C331*$D331)</f>
        <v/>
      </c>
      <c r="F331" s="19"/>
      <c r="G331" s="19"/>
    </row>
    <row r="332" customFormat="false" ht="15" hidden="false" customHeight="false" outlineLevel="0" collapsed="false">
      <c r="A332" s="20"/>
      <c r="B332" s="6"/>
      <c r="C332" s="19"/>
      <c r="D332" s="23"/>
      <c r="E332" s="9" t="str">
        <f aca="false">IF($B332="","",$C332*$D332)</f>
        <v/>
      </c>
      <c r="F332" s="19"/>
      <c r="G332" s="19"/>
    </row>
    <row r="333" customFormat="false" ht="15" hidden="false" customHeight="false" outlineLevel="0" collapsed="false">
      <c r="A333" s="20"/>
      <c r="B333" s="6"/>
      <c r="C333" s="19"/>
      <c r="D333" s="23"/>
      <c r="E333" s="9" t="str">
        <f aca="false">IF($B333="","",$C333*$D333)</f>
        <v/>
      </c>
      <c r="F333" s="19"/>
      <c r="G333" s="19"/>
    </row>
    <row r="334" customFormat="false" ht="15" hidden="false" customHeight="false" outlineLevel="0" collapsed="false">
      <c r="A334" s="20"/>
      <c r="B334" s="6"/>
      <c r="C334" s="19"/>
      <c r="D334" s="23"/>
      <c r="E334" s="9" t="str">
        <f aca="false">IF($B334="","",$C334*$D334)</f>
        <v/>
      </c>
      <c r="F334" s="19"/>
      <c r="G334" s="19"/>
    </row>
    <row r="335" customFormat="false" ht="15" hidden="false" customHeight="false" outlineLevel="0" collapsed="false">
      <c r="A335" s="20"/>
      <c r="B335" s="6"/>
      <c r="C335" s="19"/>
      <c r="D335" s="23"/>
      <c r="E335" s="9" t="str">
        <f aca="false">IF($B335="","",$C335*$D335)</f>
        <v/>
      </c>
      <c r="F335" s="19"/>
      <c r="G335" s="19"/>
    </row>
    <row r="336" customFormat="false" ht="15" hidden="false" customHeight="false" outlineLevel="0" collapsed="false">
      <c r="A336" s="20"/>
      <c r="B336" s="6"/>
      <c r="C336" s="19"/>
      <c r="D336" s="23"/>
      <c r="E336" s="9" t="str">
        <f aca="false">IF($B336="","",$C336*$D336)</f>
        <v/>
      </c>
      <c r="F336" s="19"/>
      <c r="G336" s="19"/>
    </row>
    <row r="337" customFormat="false" ht="15" hidden="false" customHeight="false" outlineLevel="0" collapsed="false">
      <c r="A337" s="20"/>
      <c r="B337" s="6"/>
      <c r="C337" s="19"/>
      <c r="D337" s="23"/>
      <c r="E337" s="9" t="str">
        <f aca="false">IF($B337="","",$C337*$D337)</f>
        <v/>
      </c>
      <c r="F337" s="19"/>
      <c r="G337" s="19"/>
    </row>
    <row r="338" customFormat="false" ht="15" hidden="false" customHeight="false" outlineLevel="0" collapsed="false">
      <c r="A338" s="20"/>
      <c r="B338" s="6"/>
      <c r="C338" s="19"/>
      <c r="D338" s="23"/>
      <c r="E338" s="9" t="str">
        <f aca="false">IF($B338="","",$C338*$D338)</f>
        <v/>
      </c>
      <c r="F338" s="19"/>
      <c r="G338" s="19"/>
    </row>
    <row r="339" customFormat="false" ht="15" hidden="false" customHeight="false" outlineLevel="0" collapsed="false">
      <c r="A339" s="20"/>
      <c r="B339" s="6"/>
      <c r="C339" s="19"/>
      <c r="D339" s="23"/>
      <c r="E339" s="9" t="str">
        <f aca="false">IF($B339="","",$C339*$D339)</f>
        <v/>
      </c>
      <c r="F339" s="19"/>
      <c r="G339" s="19"/>
    </row>
    <row r="340" customFormat="false" ht="15" hidden="false" customHeight="false" outlineLevel="0" collapsed="false">
      <c r="A340" s="20"/>
      <c r="B340" s="6"/>
      <c r="C340" s="19"/>
      <c r="D340" s="23"/>
      <c r="E340" s="9" t="str">
        <f aca="false">IF($B340="","",$C340*$D340)</f>
        <v/>
      </c>
      <c r="F340" s="19"/>
      <c r="G340" s="19"/>
    </row>
    <row r="341" customFormat="false" ht="15" hidden="false" customHeight="false" outlineLevel="0" collapsed="false">
      <c r="A341" s="20"/>
      <c r="B341" s="6"/>
      <c r="C341" s="19"/>
      <c r="D341" s="23"/>
      <c r="E341" s="9" t="str">
        <f aca="false">IF($B341="","",$C341*$D341)</f>
        <v/>
      </c>
      <c r="F341" s="19"/>
      <c r="G341" s="19"/>
    </row>
    <row r="342" customFormat="false" ht="15" hidden="false" customHeight="false" outlineLevel="0" collapsed="false">
      <c r="A342" s="20"/>
      <c r="B342" s="6"/>
      <c r="C342" s="19"/>
      <c r="D342" s="23"/>
      <c r="E342" s="9" t="str">
        <f aca="false">IF($B342="","",$C342*$D342)</f>
        <v/>
      </c>
      <c r="F342" s="19"/>
      <c r="G342" s="19"/>
    </row>
    <row r="343" customFormat="false" ht="15" hidden="false" customHeight="false" outlineLevel="0" collapsed="false">
      <c r="A343" s="20"/>
      <c r="B343" s="6"/>
      <c r="C343" s="19"/>
      <c r="D343" s="23"/>
      <c r="E343" s="9" t="str">
        <f aca="false">IF($B343="","",$C343*$D343)</f>
        <v/>
      </c>
      <c r="F343" s="19"/>
      <c r="G343" s="19"/>
    </row>
    <row r="344" customFormat="false" ht="15" hidden="false" customHeight="false" outlineLevel="0" collapsed="false">
      <c r="A344" s="20"/>
      <c r="B344" s="6"/>
      <c r="C344" s="19"/>
      <c r="D344" s="23"/>
      <c r="E344" s="9" t="str">
        <f aca="false">IF($B344="","",$C344*$D344)</f>
        <v/>
      </c>
      <c r="F344" s="19"/>
      <c r="G344" s="19"/>
    </row>
    <row r="345" customFormat="false" ht="15" hidden="false" customHeight="false" outlineLevel="0" collapsed="false">
      <c r="A345" s="20"/>
      <c r="B345" s="6"/>
      <c r="C345" s="19"/>
      <c r="D345" s="23"/>
      <c r="E345" s="9" t="str">
        <f aca="false">IF($B345="","",$C345*$D345)</f>
        <v/>
      </c>
      <c r="F345" s="19"/>
      <c r="G345" s="19"/>
    </row>
    <row r="346" customFormat="false" ht="15" hidden="false" customHeight="false" outlineLevel="0" collapsed="false">
      <c r="A346" s="20"/>
      <c r="B346" s="6"/>
      <c r="C346" s="19"/>
      <c r="D346" s="23"/>
      <c r="E346" s="9" t="str">
        <f aca="false">IF($B346="","",$C346*$D346)</f>
        <v/>
      </c>
      <c r="F346" s="19"/>
      <c r="G346" s="19"/>
    </row>
    <row r="347" customFormat="false" ht="15" hidden="false" customHeight="false" outlineLevel="0" collapsed="false">
      <c r="A347" s="20"/>
      <c r="B347" s="6"/>
      <c r="C347" s="19"/>
      <c r="D347" s="23"/>
      <c r="E347" s="9" t="str">
        <f aca="false">IF($B347="","",$C347*$D347)</f>
        <v/>
      </c>
      <c r="F347" s="19"/>
      <c r="G347" s="19"/>
    </row>
    <row r="348" customFormat="false" ht="15" hidden="false" customHeight="false" outlineLevel="0" collapsed="false">
      <c r="A348" s="20"/>
      <c r="B348" s="6"/>
      <c r="C348" s="19"/>
      <c r="D348" s="23"/>
      <c r="E348" s="9" t="str">
        <f aca="false">IF($B348="","",$C348*$D348)</f>
        <v/>
      </c>
      <c r="F348" s="19"/>
      <c r="G348" s="19"/>
    </row>
    <row r="349" customFormat="false" ht="15" hidden="false" customHeight="false" outlineLevel="0" collapsed="false">
      <c r="A349" s="20"/>
      <c r="B349" s="6"/>
      <c r="C349" s="19"/>
      <c r="D349" s="23"/>
      <c r="E349" s="9" t="str">
        <f aca="false">IF($B349="","",$C349*$D349)</f>
        <v/>
      </c>
      <c r="F349" s="19"/>
      <c r="G349" s="19"/>
    </row>
    <row r="350" customFormat="false" ht="15" hidden="false" customHeight="false" outlineLevel="0" collapsed="false">
      <c r="A350" s="20"/>
      <c r="B350" s="6"/>
      <c r="C350" s="19"/>
      <c r="D350" s="23"/>
      <c r="E350" s="9" t="str">
        <f aca="false">IF($B350="","",$C350*$D350)</f>
        <v/>
      </c>
      <c r="F350" s="19"/>
      <c r="G350" s="19"/>
    </row>
    <row r="351" customFormat="false" ht="15" hidden="false" customHeight="false" outlineLevel="0" collapsed="false">
      <c r="A351" s="20"/>
      <c r="B351" s="6"/>
      <c r="C351" s="19"/>
      <c r="D351" s="23"/>
      <c r="E351" s="9" t="str">
        <f aca="false">IF($B351="","",$C351*$D351)</f>
        <v/>
      </c>
      <c r="F351" s="19"/>
      <c r="G351" s="19"/>
    </row>
    <row r="352" customFormat="false" ht="15" hidden="false" customHeight="false" outlineLevel="0" collapsed="false">
      <c r="A352" s="20"/>
      <c r="B352" s="6"/>
      <c r="C352" s="19"/>
      <c r="D352" s="23"/>
      <c r="E352" s="9" t="str">
        <f aca="false">IF($B352="","",$C352*$D352)</f>
        <v/>
      </c>
      <c r="F352" s="19"/>
      <c r="G352" s="19"/>
    </row>
    <row r="353" customFormat="false" ht="15" hidden="false" customHeight="false" outlineLevel="0" collapsed="false">
      <c r="A353" s="20"/>
      <c r="B353" s="6"/>
      <c r="C353" s="19"/>
      <c r="D353" s="23"/>
      <c r="E353" s="9" t="str">
        <f aca="false">IF($B353="","",$C353*$D353)</f>
        <v/>
      </c>
      <c r="F353" s="19"/>
      <c r="G353" s="19"/>
    </row>
    <row r="354" customFormat="false" ht="15" hidden="false" customHeight="false" outlineLevel="0" collapsed="false">
      <c r="A354" s="20"/>
      <c r="B354" s="6"/>
      <c r="C354" s="19"/>
      <c r="D354" s="23"/>
      <c r="E354" s="9" t="str">
        <f aca="false">IF($B354="","",$C354*$D354)</f>
        <v/>
      </c>
      <c r="F354" s="19"/>
      <c r="G354" s="19"/>
    </row>
    <row r="355" customFormat="false" ht="15" hidden="false" customHeight="false" outlineLevel="0" collapsed="false">
      <c r="A355" s="20"/>
      <c r="B355" s="6"/>
      <c r="C355" s="19"/>
      <c r="D355" s="23"/>
      <c r="E355" s="9" t="str">
        <f aca="false">IF($B355="","",$C355*$D355)</f>
        <v/>
      </c>
      <c r="F355" s="19"/>
      <c r="G355" s="19"/>
    </row>
    <row r="356" customFormat="false" ht="15" hidden="false" customHeight="false" outlineLevel="0" collapsed="false">
      <c r="A356" s="20"/>
      <c r="B356" s="6"/>
      <c r="C356" s="19"/>
      <c r="D356" s="23"/>
      <c r="E356" s="9" t="str">
        <f aca="false">IF($B356="","",$C356*$D356)</f>
        <v/>
      </c>
      <c r="F356" s="19"/>
      <c r="G356" s="19"/>
    </row>
    <row r="357" customFormat="false" ht="15" hidden="false" customHeight="false" outlineLevel="0" collapsed="false">
      <c r="A357" s="20"/>
      <c r="B357" s="6"/>
      <c r="C357" s="19"/>
      <c r="D357" s="23"/>
      <c r="E357" s="9" t="str">
        <f aca="false">IF($B357="","",$C357*$D357)</f>
        <v/>
      </c>
      <c r="F357" s="19"/>
      <c r="G357" s="19"/>
    </row>
    <row r="358" customFormat="false" ht="15" hidden="false" customHeight="false" outlineLevel="0" collapsed="false">
      <c r="A358" s="20"/>
      <c r="B358" s="6"/>
      <c r="C358" s="19"/>
      <c r="D358" s="23"/>
      <c r="E358" s="9" t="str">
        <f aca="false">IF($B358="","",$C358*$D358)</f>
        <v/>
      </c>
      <c r="F358" s="19"/>
      <c r="G358" s="19"/>
    </row>
    <row r="359" customFormat="false" ht="15" hidden="false" customHeight="false" outlineLevel="0" collapsed="false">
      <c r="A359" s="20"/>
      <c r="B359" s="6"/>
      <c r="C359" s="19"/>
      <c r="D359" s="23"/>
      <c r="E359" s="9" t="str">
        <f aca="false">IF($B359="","",$C359*$D359)</f>
        <v/>
      </c>
      <c r="F359" s="19"/>
      <c r="G359" s="19"/>
    </row>
    <row r="360" customFormat="false" ht="15" hidden="false" customHeight="false" outlineLevel="0" collapsed="false">
      <c r="A360" s="20"/>
      <c r="B360" s="6"/>
      <c r="C360" s="19"/>
      <c r="D360" s="23"/>
      <c r="E360" s="9" t="str">
        <f aca="false">IF($B360="","",$C360*$D360)</f>
        <v/>
      </c>
      <c r="F360" s="19"/>
      <c r="G360" s="19"/>
    </row>
    <row r="361" customFormat="false" ht="15" hidden="false" customHeight="false" outlineLevel="0" collapsed="false">
      <c r="A361" s="20"/>
      <c r="B361" s="6"/>
      <c r="C361" s="19"/>
      <c r="D361" s="23"/>
      <c r="E361" s="9" t="str">
        <f aca="false">IF($B361="","",$C361*$D361)</f>
        <v/>
      </c>
      <c r="F361" s="19"/>
      <c r="G361" s="19"/>
    </row>
    <row r="362" customFormat="false" ht="15" hidden="false" customHeight="false" outlineLevel="0" collapsed="false">
      <c r="A362" s="20"/>
      <c r="B362" s="6"/>
      <c r="C362" s="19"/>
      <c r="D362" s="23"/>
      <c r="E362" s="9" t="str">
        <f aca="false">IF($B362="","",$C362*$D362)</f>
        <v/>
      </c>
      <c r="F362" s="19"/>
      <c r="G362" s="19"/>
    </row>
    <row r="363" customFormat="false" ht="15" hidden="false" customHeight="false" outlineLevel="0" collapsed="false">
      <c r="A363" s="20"/>
      <c r="B363" s="6"/>
      <c r="C363" s="19"/>
      <c r="D363" s="23"/>
      <c r="E363" s="9" t="str">
        <f aca="false">IF($B363="","",$C363*$D363)</f>
        <v/>
      </c>
      <c r="F363" s="19"/>
      <c r="G363" s="19"/>
    </row>
    <row r="364" customFormat="false" ht="15" hidden="false" customHeight="false" outlineLevel="0" collapsed="false">
      <c r="A364" s="20"/>
      <c r="B364" s="6"/>
      <c r="C364" s="19"/>
      <c r="D364" s="23"/>
      <c r="E364" s="9" t="str">
        <f aca="false">IF($B364="","",$C364*$D364)</f>
        <v/>
      </c>
      <c r="F364" s="19"/>
      <c r="G364" s="19"/>
    </row>
    <row r="365" customFormat="false" ht="15" hidden="false" customHeight="false" outlineLevel="0" collapsed="false">
      <c r="A365" s="20"/>
      <c r="B365" s="6"/>
      <c r="C365" s="19"/>
      <c r="D365" s="23"/>
      <c r="E365" s="9" t="str">
        <f aca="false">IF($B365="","",$C365*$D365)</f>
        <v/>
      </c>
      <c r="F365" s="19"/>
      <c r="G365" s="19"/>
    </row>
    <row r="366" customFormat="false" ht="15" hidden="false" customHeight="false" outlineLevel="0" collapsed="false">
      <c r="A366" s="20"/>
      <c r="B366" s="6"/>
      <c r="C366" s="19"/>
      <c r="D366" s="23"/>
      <c r="E366" s="9" t="str">
        <f aca="false">IF($B366="","",$C366*$D366)</f>
        <v/>
      </c>
      <c r="F366" s="19"/>
      <c r="G366" s="19"/>
    </row>
    <row r="367" customFormat="false" ht="15" hidden="false" customHeight="false" outlineLevel="0" collapsed="false">
      <c r="A367" s="20"/>
      <c r="B367" s="6"/>
      <c r="C367" s="19"/>
      <c r="D367" s="23"/>
      <c r="E367" s="9" t="str">
        <f aca="false">IF($B367="","",$C367*$D367)</f>
        <v/>
      </c>
      <c r="F367" s="19"/>
      <c r="G367" s="19"/>
    </row>
    <row r="368" customFormat="false" ht="15" hidden="false" customHeight="false" outlineLevel="0" collapsed="false">
      <c r="A368" s="20"/>
      <c r="B368" s="6"/>
      <c r="C368" s="19"/>
      <c r="D368" s="23"/>
      <c r="E368" s="9" t="str">
        <f aca="false">IF($B368="","",$C368*$D368)</f>
        <v/>
      </c>
      <c r="F368" s="19"/>
      <c r="G368" s="19"/>
    </row>
    <row r="369" customFormat="false" ht="15" hidden="false" customHeight="false" outlineLevel="0" collapsed="false">
      <c r="A369" s="20"/>
      <c r="B369" s="6"/>
      <c r="C369" s="19"/>
      <c r="D369" s="23"/>
      <c r="E369" s="9" t="str">
        <f aca="false">IF($B369="","",$C369*$D369)</f>
        <v/>
      </c>
      <c r="F369" s="19"/>
      <c r="G369" s="19"/>
    </row>
    <row r="370" customFormat="false" ht="15" hidden="false" customHeight="false" outlineLevel="0" collapsed="false">
      <c r="A370" s="20"/>
      <c r="B370" s="6"/>
      <c r="C370" s="19"/>
      <c r="D370" s="23"/>
      <c r="E370" s="9" t="str">
        <f aca="false">IF($B370="","",$C370*$D370)</f>
        <v/>
      </c>
      <c r="F370" s="19"/>
      <c r="G370" s="19"/>
    </row>
    <row r="371" customFormat="false" ht="15" hidden="false" customHeight="false" outlineLevel="0" collapsed="false">
      <c r="A371" s="20"/>
      <c r="B371" s="6"/>
      <c r="C371" s="19"/>
      <c r="D371" s="23"/>
      <c r="E371" s="9" t="str">
        <f aca="false">IF($B371="","",$C371*$D371)</f>
        <v/>
      </c>
      <c r="F371" s="19"/>
      <c r="G371" s="19"/>
    </row>
    <row r="372" customFormat="false" ht="15" hidden="false" customHeight="false" outlineLevel="0" collapsed="false">
      <c r="A372" s="20"/>
      <c r="B372" s="6"/>
      <c r="C372" s="19"/>
      <c r="D372" s="23"/>
      <c r="E372" s="9" t="str">
        <f aca="false">IF($B372="","",$C372*$D372)</f>
        <v/>
      </c>
      <c r="F372" s="19"/>
      <c r="G372" s="19"/>
    </row>
    <row r="373" customFormat="false" ht="15" hidden="false" customHeight="false" outlineLevel="0" collapsed="false">
      <c r="A373" s="20"/>
      <c r="B373" s="6"/>
      <c r="C373" s="19"/>
      <c r="D373" s="23"/>
      <c r="E373" s="9" t="str">
        <f aca="false">IF($B373="","",$C373*$D373)</f>
        <v/>
      </c>
      <c r="F373" s="19"/>
      <c r="G373" s="19"/>
    </row>
    <row r="374" customFormat="false" ht="15" hidden="false" customHeight="false" outlineLevel="0" collapsed="false">
      <c r="A374" s="20"/>
      <c r="B374" s="6"/>
      <c r="C374" s="19"/>
      <c r="D374" s="23"/>
      <c r="E374" s="9" t="str">
        <f aca="false">IF($B374="","",$C374*$D374)</f>
        <v/>
      </c>
      <c r="F374" s="19"/>
      <c r="G374" s="19"/>
    </row>
    <row r="375" customFormat="false" ht="15" hidden="false" customHeight="false" outlineLevel="0" collapsed="false">
      <c r="A375" s="20"/>
      <c r="B375" s="6"/>
      <c r="C375" s="19"/>
      <c r="D375" s="23"/>
      <c r="E375" s="9" t="str">
        <f aca="false">IF($B375="","",$C375*$D375)</f>
        <v/>
      </c>
      <c r="F375" s="19"/>
      <c r="G375" s="19"/>
    </row>
    <row r="376" customFormat="false" ht="15" hidden="false" customHeight="false" outlineLevel="0" collapsed="false">
      <c r="A376" s="20"/>
      <c r="B376" s="6"/>
      <c r="C376" s="19"/>
      <c r="D376" s="23"/>
      <c r="E376" s="9" t="str">
        <f aca="false">IF($B376="","",$C376*$D376)</f>
        <v/>
      </c>
      <c r="F376" s="19"/>
      <c r="G376" s="19"/>
    </row>
    <row r="377" customFormat="false" ht="15" hidden="false" customHeight="false" outlineLevel="0" collapsed="false">
      <c r="A377" s="20"/>
      <c r="B377" s="6"/>
      <c r="C377" s="19"/>
      <c r="D377" s="23"/>
      <c r="E377" s="9" t="str">
        <f aca="false">IF($B377="","",$C377*$D377)</f>
        <v/>
      </c>
      <c r="F377" s="19"/>
      <c r="G377" s="19"/>
    </row>
    <row r="378" customFormat="false" ht="15" hidden="false" customHeight="false" outlineLevel="0" collapsed="false">
      <c r="A378" s="20"/>
      <c r="B378" s="6"/>
      <c r="C378" s="19"/>
      <c r="D378" s="23"/>
      <c r="E378" s="9" t="str">
        <f aca="false">IF($B378="","",$C378*$D378)</f>
        <v/>
      </c>
      <c r="F378" s="19"/>
      <c r="G378" s="19"/>
    </row>
    <row r="379" customFormat="false" ht="15" hidden="false" customHeight="false" outlineLevel="0" collapsed="false">
      <c r="A379" s="20"/>
      <c r="B379" s="6"/>
      <c r="C379" s="19"/>
      <c r="D379" s="23"/>
      <c r="E379" s="9" t="str">
        <f aca="false">IF($B379="","",$C379*$D379)</f>
        <v/>
      </c>
      <c r="F379" s="19"/>
      <c r="G379" s="19"/>
    </row>
    <row r="380" customFormat="false" ht="15" hidden="false" customHeight="false" outlineLevel="0" collapsed="false">
      <c r="A380" s="20"/>
      <c r="B380" s="6"/>
      <c r="C380" s="19"/>
      <c r="D380" s="23"/>
      <c r="E380" s="9" t="str">
        <f aca="false">IF($B380="","",$C380*$D380)</f>
        <v/>
      </c>
      <c r="F380" s="19"/>
      <c r="G380" s="19"/>
    </row>
    <row r="381" customFormat="false" ht="15" hidden="false" customHeight="false" outlineLevel="0" collapsed="false">
      <c r="A381" s="20"/>
      <c r="B381" s="6"/>
      <c r="C381" s="19"/>
      <c r="D381" s="23"/>
      <c r="E381" s="9" t="str">
        <f aca="false">IF($B381="","",$C381*$D381)</f>
        <v/>
      </c>
      <c r="F381" s="19"/>
      <c r="G381" s="19"/>
    </row>
    <row r="382" customFormat="false" ht="15" hidden="false" customHeight="false" outlineLevel="0" collapsed="false">
      <c r="A382" s="20"/>
      <c r="B382" s="6"/>
      <c r="C382" s="19"/>
      <c r="D382" s="23"/>
      <c r="E382" s="9" t="str">
        <f aca="false">IF($B382="","",$C382*$D382)</f>
        <v/>
      </c>
      <c r="F382" s="19"/>
      <c r="G382" s="19"/>
    </row>
    <row r="383" customFormat="false" ht="15" hidden="false" customHeight="false" outlineLevel="0" collapsed="false">
      <c r="A383" s="20"/>
      <c r="B383" s="6"/>
      <c r="C383" s="19"/>
      <c r="D383" s="23"/>
      <c r="E383" s="9" t="str">
        <f aca="false">IF($B383="","",$C383*$D383)</f>
        <v/>
      </c>
      <c r="F383" s="19"/>
      <c r="G383" s="19"/>
    </row>
    <row r="384" customFormat="false" ht="15" hidden="false" customHeight="false" outlineLevel="0" collapsed="false">
      <c r="A384" s="20"/>
      <c r="B384" s="6"/>
      <c r="C384" s="19"/>
      <c r="D384" s="23"/>
      <c r="E384" s="9" t="str">
        <f aca="false">IF($B384="","",$C384*$D384)</f>
        <v/>
      </c>
      <c r="F384" s="19"/>
      <c r="G384" s="19"/>
    </row>
    <row r="385" customFormat="false" ht="15" hidden="false" customHeight="false" outlineLevel="0" collapsed="false">
      <c r="A385" s="20"/>
      <c r="B385" s="6"/>
      <c r="C385" s="19"/>
      <c r="D385" s="23"/>
      <c r="E385" s="9" t="str">
        <f aca="false">IF($B385="","",$C385*$D385)</f>
        <v/>
      </c>
      <c r="F385" s="19"/>
      <c r="G385" s="19"/>
    </row>
    <row r="386" customFormat="false" ht="15" hidden="false" customHeight="false" outlineLevel="0" collapsed="false">
      <c r="A386" s="20"/>
      <c r="B386" s="6"/>
      <c r="C386" s="19"/>
      <c r="D386" s="23"/>
      <c r="E386" s="9" t="str">
        <f aca="false">IF($B386="","",$C386*$D386)</f>
        <v/>
      </c>
      <c r="F386" s="19"/>
      <c r="G386" s="19"/>
    </row>
    <row r="387" customFormat="false" ht="15" hidden="false" customHeight="false" outlineLevel="0" collapsed="false">
      <c r="A387" s="20"/>
      <c r="B387" s="6"/>
      <c r="C387" s="19"/>
      <c r="D387" s="23"/>
      <c r="E387" s="9" t="str">
        <f aca="false">IF($B387="","",$C387*$D387)</f>
        <v/>
      </c>
      <c r="F387" s="19"/>
      <c r="G387" s="19"/>
    </row>
    <row r="388" customFormat="false" ht="15" hidden="false" customHeight="false" outlineLevel="0" collapsed="false">
      <c r="A388" s="20"/>
      <c r="B388" s="6"/>
      <c r="C388" s="19"/>
      <c r="D388" s="23"/>
      <c r="E388" s="9" t="str">
        <f aca="false">IF($B388="","",$C388*$D388)</f>
        <v/>
      </c>
      <c r="F388" s="19"/>
      <c r="G388" s="19"/>
    </row>
    <row r="389" customFormat="false" ht="15" hidden="false" customHeight="false" outlineLevel="0" collapsed="false">
      <c r="A389" s="20"/>
      <c r="B389" s="6"/>
      <c r="C389" s="19"/>
      <c r="D389" s="23"/>
      <c r="E389" s="9" t="str">
        <f aca="false">IF($B389="","",$C389*$D389)</f>
        <v/>
      </c>
      <c r="F389" s="19"/>
      <c r="G389" s="19"/>
    </row>
    <row r="390" customFormat="false" ht="15" hidden="false" customHeight="false" outlineLevel="0" collapsed="false">
      <c r="A390" s="20"/>
      <c r="B390" s="6"/>
      <c r="C390" s="19"/>
      <c r="D390" s="23"/>
      <c r="E390" s="9" t="str">
        <f aca="false">IF($B390="","",$C390*$D390)</f>
        <v/>
      </c>
      <c r="F390" s="19"/>
      <c r="G390" s="19"/>
    </row>
    <row r="391" customFormat="false" ht="15" hidden="false" customHeight="false" outlineLevel="0" collapsed="false">
      <c r="A391" s="20"/>
      <c r="B391" s="6"/>
      <c r="C391" s="19"/>
      <c r="D391" s="23"/>
      <c r="E391" s="9" t="str">
        <f aca="false">IF($B391="","",$C391*$D391)</f>
        <v/>
      </c>
      <c r="F391" s="19"/>
      <c r="G391" s="19"/>
    </row>
    <row r="392" customFormat="false" ht="15" hidden="false" customHeight="false" outlineLevel="0" collapsed="false">
      <c r="A392" s="20"/>
      <c r="B392" s="6"/>
      <c r="C392" s="19"/>
      <c r="D392" s="23"/>
      <c r="E392" s="9" t="str">
        <f aca="false">IF($B392="","",$C392*$D392)</f>
        <v/>
      </c>
      <c r="F392" s="19"/>
      <c r="G392" s="19"/>
    </row>
    <row r="393" customFormat="false" ht="15" hidden="false" customHeight="false" outlineLevel="0" collapsed="false">
      <c r="A393" s="20"/>
      <c r="B393" s="6"/>
      <c r="C393" s="19"/>
      <c r="D393" s="23"/>
      <c r="E393" s="9" t="str">
        <f aca="false">IF($B393="","",$C393*$D393)</f>
        <v/>
      </c>
      <c r="F393" s="19"/>
      <c r="G393" s="19"/>
    </row>
    <row r="394" customFormat="false" ht="15" hidden="false" customHeight="false" outlineLevel="0" collapsed="false">
      <c r="A394" s="20"/>
      <c r="B394" s="6"/>
      <c r="C394" s="19"/>
      <c r="D394" s="23"/>
      <c r="E394" s="9" t="str">
        <f aca="false">IF($B394="","",$C394*$D394)</f>
        <v/>
      </c>
      <c r="F394" s="19"/>
      <c r="G394" s="19"/>
    </row>
    <row r="395" customFormat="false" ht="15" hidden="false" customHeight="false" outlineLevel="0" collapsed="false">
      <c r="A395" s="20"/>
      <c r="B395" s="6"/>
      <c r="C395" s="19"/>
      <c r="D395" s="23"/>
      <c r="E395" s="9" t="str">
        <f aca="false">IF($B395="","",$C395*$D395)</f>
        <v/>
      </c>
      <c r="F395" s="19"/>
      <c r="G395" s="19"/>
    </row>
    <row r="396" customFormat="false" ht="15" hidden="false" customHeight="false" outlineLevel="0" collapsed="false">
      <c r="A396" s="20"/>
      <c r="B396" s="6"/>
      <c r="C396" s="19"/>
      <c r="D396" s="23"/>
      <c r="E396" s="9" t="str">
        <f aca="false">IF($B396="","",$C396*$D396)</f>
        <v/>
      </c>
      <c r="F396" s="19"/>
      <c r="G396" s="19"/>
    </row>
    <row r="397" customFormat="false" ht="15" hidden="false" customHeight="false" outlineLevel="0" collapsed="false">
      <c r="A397" s="20"/>
      <c r="B397" s="6"/>
      <c r="C397" s="19"/>
      <c r="D397" s="23"/>
      <c r="E397" s="9" t="str">
        <f aca="false">IF($B397="","",$C397*$D397)</f>
        <v/>
      </c>
      <c r="F397" s="19"/>
      <c r="G397" s="19"/>
    </row>
    <row r="398" customFormat="false" ht="15" hidden="false" customHeight="false" outlineLevel="0" collapsed="false">
      <c r="A398" s="20"/>
      <c r="B398" s="6"/>
      <c r="C398" s="19"/>
      <c r="D398" s="23"/>
      <c r="E398" s="9" t="str">
        <f aca="false">IF($B398="","",$C398*$D398)</f>
        <v/>
      </c>
      <c r="F398" s="19"/>
      <c r="G398" s="19"/>
    </row>
    <row r="399" customFormat="false" ht="15" hidden="false" customHeight="false" outlineLevel="0" collapsed="false">
      <c r="A399" s="20"/>
      <c r="B399" s="6"/>
      <c r="C399" s="19"/>
      <c r="D399" s="23"/>
      <c r="E399" s="9" t="str">
        <f aca="false">IF($B399="","",$C399*$D399)</f>
        <v/>
      </c>
      <c r="F399" s="19"/>
      <c r="G399" s="19"/>
    </row>
    <row r="400" customFormat="false" ht="15" hidden="false" customHeight="false" outlineLevel="0" collapsed="false">
      <c r="A400" s="20"/>
      <c r="B400" s="6"/>
      <c r="C400" s="19"/>
      <c r="D400" s="23"/>
      <c r="E400" s="9" t="str">
        <f aca="false">IF($B400="","",$C400*$D400)</f>
        <v/>
      </c>
      <c r="F400" s="19"/>
      <c r="G400" s="19"/>
    </row>
    <row r="401" customFormat="false" ht="15" hidden="false" customHeight="false" outlineLevel="0" collapsed="false">
      <c r="A401" s="20"/>
      <c r="B401" s="6"/>
      <c r="C401" s="19"/>
      <c r="D401" s="23"/>
      <c r="E401" s="9" t="str">
        <f aca="false">IF($B401="","",$C401*$D401)</f>
        <v/>
      </c>
      <c r="F401" s="19"/>
      <c r="G401" s="19"/>
    </row>
    <row r="402" customFormat="false" ht="15" hidden="false" customHeight="false" outlineLevel="0" collapsed="false">
      <c r="A402" s="20"/>
      <c r="B402" s="6"/>
      <c r="C402" s="19"/>
      <c r="D402" s="23"/>
      <c r="E402" s="9" t="str">
        <f aca="false">IF($B402="","",$C402*$D402)</f>
        <v/>
      </c>
      <c r="F402" s="19"/>
      <c r="G402" s="19"/>
    </row>
    <row r="403" customFormat="false" ht="15" hidden="false" customHeight="false" outlineLevel="0" collapsed="false">
      <c r="A403" s="20"/>
      <c r="B403" s="6"/>
      <c r="C403" s="19"/>
      <c r="D403" s="23"/>
      <c r="E403" s="9" t="str">
        <f aca="false">IF($B403="","",$C403*$D403)</f>
        <v/>
      </c>
      <c r="F403" s="19"/>
      <c r="G403" s="19"/>
    </row>
    <row r="404" customFormat="false" ht="15" hidden="false" customHeight="false" outlineLevel="0" collapsed="false">
      <c r="A404" s="20"/>
      <c r="B404" s="6"/>
      <c r="C404" s="19"/>
      <c r="D404" s="23"/>
      <c r="E404" s="9" t="str">
        <f aca="false">IF($B404="","",$C404*$D404)</f>
        <v/>
      </c>
      <c r="F404" s="19"/>
      <c r="G404" s="19"/>
    </row>
    <row r="405" customFormat="false" ht="15" hidden="false" customHeight="false" outlineLevel="0" collapsed="false">
      <c r="A405" s="20"/>
      <c r="B405" s="6"/>
      <c r="C405" s="19"/>
      <c r="D405" s="23"/>
      <c r="E405" s="9" t="str">
        <f aca="false">IF($B405="","",$C405*$D405)</f>
        <v/>
      </c>
      <c r="F405" s="19"/>
      <c r="G405" s="19"/>
    </row>
    <row r="406" customFormat="false" ht="15" hidden="false" customHeight="false" outlineLevel="0" collapsed="false">
      <c r="A406" s="20"/>
      <c r="B406" s="6"/>
      <c r="C406" s="19"/>
      <c r="D406" s="23"/>
      <c r="E406" s="9" t="str">
        <f aca="false">IF($B406="","",$C406*$D406)</f>
        <v/>
      </c>
      <c r="F406" s="19"/>
      <c r="G406" s="19"/>
    </row>
    <row r="407" customFormat="false" ht="15" hidden="false" customHeight="false" outlineLevel="0" collapsed="false">
      <c r="A407" s="20"/>
      <c r="B407" s="6"/>
      <c r="C407" s="19"/>
      <c r="D407" s="23"/>
      <c r="E407" s="9" t="str">
        <f aca="false">IF($B407="","",$C407*$D407)</f>
        <v/>
      </c>
      <c r="F407" s="19"/>
      <c r="G407" s="19"/>
    </row>
    <row r="408" customFormat="false" ht="15" hidden="false" customHeight="false" outlineLevel="0" collapsed="false">
      <c r="A408" s="20"/>
      <c r="B408" s="6"/>
      <c r="C408" s="19"/>
      <c r="D408" s="23"/>
      <c r="E408" s="9" t="str">
        <f aca="false">IF($B408="","",$C408*$D408)</f>
        <v/>
      </c>
      <c r="F408" s="19"/>
      <c r="G408" s="19"/>
    </row>
    <row r="409" customFormat="false" ht="15" hidden="false" customHeight="false" outlineLevel="0" collapsed="false">
      <c r="A409" s="20"/>
      <c r="B409" s="6"/>
      <c r="C409" s="19"/>
      <c r="D409" s="23"/>
      <c r="E409" s="9" t="str">
        <f aca="false">IF($B409="","",$C409*$D409)</f>
        <v/>
      </c>
      <c r="F409" s="19"/>
      <c r="G409" s="19"/>
    </row>
    <row r="410" customFormat="false" ht="15" hidden="false" customHeight="false" outlineLevel="0" collapsed="false">
      <c r="A410" s="20"/>
      <c r="B410" s="6"/>
      <c r="C410" s="19"/>
      <c r="D410" s="23"/>
      <c r="E410" s="9" t="str">
        <f aca="false">IF($B410="","",$C410*$D410)</f>
        <v/>
      </c>
      <c r="F410" s="19"/>
      <c r="G410" s="19"/>
    </row>
    <row r="411" customFormat="false" ht="15" hidden="false" customHeight="false" outlineLevel="0" collapsed="false">
      <c r="A411" s="20"/>
      <c r="B411" s="6"/>
      <c r="C411" s="19"/>
      <c r="D411" s="23"/>
      <c r="E411" s="9" t="str">
        <f aca="false">IF($B411="","",$C411*$D411)</f>
        <v/>
      </c>
      <c r="F411" s="19"/>
      <c r="G411" s="19"/>
    </row>
    <row r="412" customFormat="false" ht="15" hidden="false" customHeight="false" outlineLevel="0" collapsed="false">
      <c r="A412" s="20"/>
      <c r="B412" s="6"/>
      <c r="C412" s="19"/>
      <c r="D412" s="23"/>
      <c r="E412" s="9" t="str">
        <f aca="false">IF($B412="","",$C412*$D412)</f>
        <v/>
      </c>
      <c r="F412" s="19"/>
      <c r="G412" s="19"/>
    </row>
    <row r="413" customFormat="false" ht="15" hidden="false" customHeight="false" outlineLevel="0" collapsed="false">
      <c r="A413" s="20"/>
      <c r="B413" s="6"/>
      <c r="C413" s="19"/>
      <c r="D413" s="23"/>
      <c r="E413" s="9" t="str">
        <f aca="false">IF($B413="","",$C413*$D413)</f>
        <v/>
      </c>
      <c r="F413" s="19"/>
      <c r="G413" s="19"/>
    </row>
    <row r="414" customFormat="false" ht="15" hidden="false" customHeight="false" outlineLevel="0" collapsed="false">
      <c r="A414" s="20"/>
      <c r="B414" s="6"/>
      <c r="C414" s="19"/>
      <c r="D414" s="23"/>
      <c r="E414" s="9" t="str">
        <f aca="false">IF($B414="","",$C414*$D414)</f>
        <v/>
      </c>
      <c r="F414" s="19"/>
      <c r="G414" s="19"/>
    </row>
    <row r="415" customFormat="false" ht="15" hidden="false" customHeight="false" outlineLevel="0" collapsed="false">
      <c r="A415" s="20"/>
      <c r="B415" s="6"/>
      <c r="C415" s="19"/>
      <c r="D415" s="23"/>
      <c r="E415" s="9" t="str">
        <f aca="false">IF($B415="","",$C415*$D415)</f>
        <v/>
      </c>
      <c r="F415" s="19"/>
      <c r="G415" s="19"/>
    </row>
    <row r="416" customFormat="false" ht="15" hidden="false" customHeight="false" outlineLevel="0" collapsed="false">
      <c r="A416" s="20"/>
      <c r="B416" s="6"/>
      <c r="C416" s="19"/>
      <c r="D416" s="23"/>
      <c r="E416" s="9" t="str">
        <f aca="false">IF($B416="","",$C416*$D416)</f>
        <v/>
      </c>
      <c r="F416" s="19"/>
      <c r="G416" s="19"/>
    </row>
    <row r="417" customFormat="false" ht="15" hidden="false" customHeight="false" outlineLevel="0" collapsed="false">
      <c r="A417" s="20"/>
      <c r="B417" s="6"/>
      <c r="C417" s="19"/>
      <c r="D417" s="23"/>
      <c r="E417" s="9" t="str">
        <f aca="false">IF($B417="","",$C417*$D417)</f>
        <v/>
      </c>
      <c r="F417" s="19"/>
      <c r="G417" s="19"/>
    </row>
    <row r="418" customFormat="false" ht="15" hidden="false" customHeight="false" outlineLevel="0" collapsed="false">
      <c r="A418" s="20"/>
      <c r="B418" s="6"/>
      <c r="C418" s="19"/>
      <c r="D418" s="23"/>
      <c r="E418" s="9" t="str">
        <f aca="false">IF($B418="","",$C418*$D418)</f>
        <v/>
      </c>
      <c r="F418" s="19"/>
      <c r="G418" s="19"/>
    </row>
    <row r="419" customFormat="false" ht="15" hidden="false" customHeight="false" outlineLevel="0" collapsed="false">
      <c r="A419" s="20"/>
      <c r="B419" s="6"/>
      <c r="C419" s="19"/>
      <c r="D419" s="23"/>
      <c r="E419" s="9" t="str">
        <f aca="false">IF($B419="","",$C419*$D419)</f>
        <v/>
      </c>
      <c r="F419" s="19"/>
      <c r="G419" s="19"/>
    </row>
    <row r="420" customFormat="false" ht="15" hidden="false" customHeight="false" outlineLevel="0" collapsed="false">
      <c r="A420" s="20"/>
      <c r="B420" s="6"/>
      <c r="C420" s="19"/>
      <c r="D420" s="23"/>
      <c r="E420" s="9" t="str">
        <f aca="false">IF($B420="","",$C420*$D420)</f>
        <v/>
      </c>
      <c r="F420" s="19"/>
      <c r="G420" s="19"/>
    </row>
    <row r="421" customFormat="false" ht="15" hidden="false" customHeight="false" outlineLevel="0" collapsed="false">
      <c r="A421" s="20"/>
      <c r="B421" s="6"/>
      <c r="C421" s="19"/>
      <c r="D421" s="23"/>
      <c r="E421" s="9" t="str">
        <f aca="false">IF($B421="","",$C421*$D421)</f>
        <v/>
      </c>
      <c r="F421" s="19"/>
      <c r="G421" s="19"/>
    </row>
    <row r="422" customFormat="false" ht="15" hidden="false" customHeight="false" outlineLevel="0" collapsed="false">
      <c r="A422" s="20"/>
      <c r="B422" s="6"/>
      <c r="C422" s="19"/>
      <c r="D422" s="23"/>
      <c r="E422" s="9" t="str">
        <f aca="false">IF($B422="","",$C422*$D422)</f>
        <v/>
      </c>
      <c r="F422" s="19"/>
      <c r="G422" s="19"/>
    </row>
    <row r="423" customFormat="false" ht="15" hidden="false" customHeight="false" outlineLevel="0" collapsed="false">
      <c r="A423" s="20"/>
      <c r="B423" s="6"/>
      <c r="C423" s="19"/>
      <c r="D423" s="23"/>
      <c r="E423" s="9" t="str">
        <f aca="false">IF($B423="","",$C423*$D423)</f>
        <v/>
      </c>
      <c r="F423" s="19"/>
      <c r="G423" s="19"/>
    </row>
    <row r="424" customFormat="false" ht="15" hidden="false" customHeight="false" outlineLevel="0" collapsed="false">
      <c r="A424" s="20"/>
      <c r="B424" s="6"/>
      <c r="C424" s="19"/>
      <c r="D424" s="23"/>
      <c r="E424" s="9" t="str">
        <f aca="false">IF($B424="","",$C424*$D424)</f>
        <v/>
      </c>
      <c r="F424" s="19"/>
      <c r="G424" s="19"/>
    </row>
    <row r="425" customFormat="false" ht="15" hidden="false" customHeight="false" outlineLevel="0" collapsed="false">
      <c r="A425" s="20"/>
      <c r="B425" s="6"/>
      <c r="C425" s="19"/>
      <c r="D425" s="23"/>
      <c r="E425" s="9" t="str">
        <f aca="false">IF($B425="","",$C425*$D425)</f>
        <v/>
      </c>
      <c r="F425" s="19"/>
      <c r="G425" s="19"/>
    </row>
    <row r="426" customFormat="false" ht="15" hidden="false" customHeight="false" outlineLevel="0" collapsed="false">
      <c r="A426" s="20"/>
      <c r="B426" s="6"/>
      <c r="C426" s="19"/>
      <c r="D426" s="23"/>
      <c r="E426" s="9" t="str">
        <f aca="false">IF($B426="","",$C426*$D426)</f>
        <v/>
      </c>
      <c r="F426" s="19"/>
      <c r="G426" s="19"/>
    </row>
    <row r="427" customFormat="false" ht="15" hidden="false" customHeight="false" outlineLevel="0" collapsed="false">
      <c r="A427" s="20"/>
      <c r="B427" s="6"/>
      <c r="C427" s="19"/>
      <c r="D427" s="23"/>
      <c r="E427" s="9" t="str">
        <f aca="false">IF($B427="","",$C427*$D427)</f>
        <v/>
      </c>
      <c r="F427" s="19"/>
      <c r="G427" s="19"/>
    </row>
    <row r="428" customFormat="false" ht="15" hidden="false" customHeight="false" outlineLevel="0" collapsed="false">
      <c r="A428" s="20"/>
      <c r="B428" s="6"/>
      <c r="C428" s="19"/>
      <c r="D428" s="23"/>
      <c r="E428" s="9" t="str">
        <f aca="false">IF($B428="","",$C428*$D428)</f>
        <v/>
      </c>
      <c r="F428" s="19"/>
      <c r="G428" s="19"/>
    </row>
    <row r="429" customFormat="false" ht="15" hidden="false" customHeight="false" outlineLevel="0" collapsed="false">
      <c r="A429" s="20"/>
      <c r="B429" s="6"/>
      <c r="C429" s="19"/>
      <c r="D429" s="23"/>
      <c r="E429" s="9" t="str">
        <f aca="false">IF($B429="","",$C429*$D429)</f>
        <v/>
      </c>
      <c r="F429" s="19"/>
      <c r="G429" s="19"/>
    </row>
    <row r="430" customFormat="false" ht="15" hidden="false" customHeight="false" outlineLevel="0" collapsed="false">
      <c r="A430" s="20"/>
      <c r="B430" s="6"/>
      <c r="C430" s="19"/>
      <c r="D430" s="23"/>
      <c r="E430" s="9" t="str">
        <f aca="false">IF($B430="","",$C430*$D430)</f>
        <v/>
      </c>
      <c r="F430" s="19"/>
      <c r="G430" s="19"/>
    </row>
    <row r="431" customFormat="false" ht="15" hidden="false" customHeight="false" outlineLevel="0" collapsed="false">
      <c r="A431" s="20"/>
      <c r="B431" s="6"/>
      <c r="C431" s="19"/>
      <c r="D431" s="23"/>
      <c r="E431" s="9" t="str">
        <f aca="false">IF($B431="","",$C431*$D431)</f>
        <v/>
      </c>
      <c r="F431" s="19"/>
      <c r="G431" s="19"/>
    </row>
    <row r="432" customFormat="false" ht="15" hidden="false" customHeight="false" outlineLevel="0" collapsed="false">
      <c r="A432" s="20"/>
      <c r="B432" s="6"/>
      <c r="C432" s="19"/>
      <c r="D432" s="23"/>
      <c r="E432" s="9" t="str">
        <f aca="false">IF($B432="","",$C432*$D432)</f>
        <v/>
      </c>
      <c r="F432" s="19"/>
      <c r="G432" s="19"/>
    </row>
    <row r="433" customFormat="false" ht="15" hidden="false" customHeight="false" outlineLevel="0" collapsed="false">
      <c r="A433" s="20"/>
      <c r="B433" s="6"/>
      <c r="C433" s="19"/>
      <c r="D433" s="23"/>
      <c r="E433" s="9" t="str">
        <f aca="false">IF($B433="","",$C433*$D433)</f>
        <v/>
      </c>
      <c r="F433" s="19"/>
      <c r="G433" s="19"/>
    </row>
    <row r="434" customFormat="false" ht="15" hidden="false" customHeight="false" outlineLevel="0" collapsed="false">
      <c r="A434" s="20"/>
      <c r="B434" s="6"/>
      <c r="C434" s="19"/>
      <c r="D434" s="23"/>
      <c r="E434" s="9" t="str">
        <f aca="false">IF($B434="","",$C434*$D434)</f>
        <v/>
      </c>
      <c r="F434" s="19"/>
      <c r="G434" s="19"/>
    </row>
    <row r="435" customFormat="false" ht="15" hidden="false" customHeight="false" outlineLevel="0" collapsed="false">
      <c r="A435" s="20"/>
      <c r="B435" s="6"/>
      <c r="C435" s="19"/>
      <c r="D435" s="23"/>
      <c r="E435" s="9" t="str">
        <f aca="false">IF($B435="","",$C435*$D435)</f>
        <v/>
      </c>
      <c r="F435" s="19"/>
      <c r="G435" s="19"/>
    </row>
    <row r="436" customFormat="false" ht="15" hidden="false" customHeight="false" outlineLevel="0" collapsed="false">
      <c r="A436" s="20"/>
      <c r="B436" s="6"/>
      <c r="C436" s="19"/>
      <c r="D436" s="23"/>
      <c r="E436" s="9" t="str">
        <f aca="false">IF($B436="","",$C436*$D436)</f>
        <v/>
      </c>
      <c r="F436" s="19"/>
      <c r="G436" s="19"/>
    </row>
    <row r="437" customFormat="false" ht="15" hidden="false" customHeight="false" outlineLevel="0" collapsed="false">
      <c r="A437" s="20"/>
      <c r="B437" s="6"/>
      <c r="C437" s="19"/>
      <c r="D437" s="23"/>
      <c r="E437" s="9" t="str">
        <f aca="false">IF($B437="","",$C437*$D437)</f>
        <v/>
      </c>
      <c r="F437" s="19"/>
      <c r="G437" s="19"/>
    </row>
    <row r="438" customFormat="false" ht="15" hidden="false" customHeight="false" outlineLevel="0" collapsed="false">
      <c r="A438" s="20"/>
      <c r="B438" s="6"/>
      <c r="C438" s="19"/>
      <c r="D438" s="23"/>
      <c r="E438" s="9" t="str">
        <f aca="false">IF($B438="","",$C438*$D438)</f>
        <v/>
      </c>
      <c r="F438" s="19"/>
      <c r="G438" s="19"/>
    </row>
    <row r="439" customFormat="false" ht="15" hidden="false" customHeight="false" outlineLevel="0" collapsed="false">
      <c r="A439" s="20"/>
      <c r="B439" s="6"/>
      <c r="C439" s="19"/>
      <c r="D439" s="23"/>
      <c r="E439" s="9" t="str">
        <f aca="false">IF($B439="","",$C439*$D439)</f>
        <v/>
      </c>
      <c r="F439" s="19"/>
      <c r="G439" s="19"/>
    </row>
    <row r="440" customFormat="false" ht="15" hidden="false" customHeight="false" outlineLevel="0" collapsed="false">
      <c r="A440" s="20"/>
      <c r="B440" s="6"/>
      <c r="C440" s="19"/>
      <c r="D440" s="23"/>
      <c r="E440" s="9" t="str">
        <f aca="false">IF($B440="","",$C440*$D440)</f>
        <v/>
      </c>
      <c r="F440" s="19"/>
      <c r="G440" s="19"/>
    </row>
    <row r="441" customFormat="false" ht="15" hidden="false" customHeight="false" outlineLevel="0" collapsed="false">
      <c r="A441" s="20"/>
      <c r="B441" s="6"/>
      <c r="C441" s="19"/>
      <c r="D441" s="23"/>
      <c r="E441" s="9" t="str">
        <f aca="false">IF($B441="","",$C441*$D441)</f>
        <v/>
      </c>
      <c r="F441" s="19"/>
      <c r="G441" s="19"/>
    </row>
    <row r="442" customFormat="false" ht="15" hidden="false" customHeight="false" outlineLevel="0" collapsed="false">
      <c r="A442" s="20"/>
      <c r="B442" s="6"/>
      <c r="C442" s="19"/>
      <c r="D442" s="23"/>
      <c r="E442" s="9" t="str">
        <f aca="false">IF($B442="","",$C442*$D442)</f>
        <v/>
      </c>
      <c r="F442" s="19"/>
      <c r="G442" s="19"/>
    </row>
    <row r="443" customFormat="false" ht="15" hidden="false" customHeight="false" outlineLevel="0" collapsed="false">
      <c r="A443" s="20"/>
      <c r="B443" s="6"/>
      <c r="C443" s="19"/>
      <c r="D443" s="23"/>
      <c r="E443" s="9" t="str">
        <f aca="false">IF($B443="","",$C443*$D443)</f>
        <v/>
      </c>
      <c r="F443" s="19"/>
      <c r="G443" s="19"/>
    </row>
    <row r="444" customFormat="false" ht="15" hidden="false" customHeight="false" outlineLevel="0" collapsed="false">
      <c r="A444" s="20"/>
      <c r="B444" s="6"/>
      <c r="C444" s="19"/>
      <c r="D444" s="23"/>
      <c r="E444" s="9" t="str">
        <f aca="false">IF($B444="","",$C444*$D444)</f>
        <v/>
      </c>
      <c r="F444" s="19"/>
      <c r="G444" s="19"/>
    </row>
    <row r="445" customFormat="false" ht="15" hidden="false" customHeight="false" outlineLevel="0" collapsed="false">
      <c r="A445" s="20"/>
      <c r="B445" s="6"/>
      <c r="C445" s="19"/>
      <c r="D445" s="23"/>
      <c r="E445" s="9" t="str">
        <f aca="false">IF($B445="","",$C445*$D445)</f>
        <v/>
      </c>
      <c r="F445" s="19"/>
      <c r="G445" s="19"/>
    </row>
    <row r="446" customFormat="false" ht="15" hidden="false" customHeight="false" outlineLevel="0" collapsed="false">
      <c r="A446" s="20"/>
      <c r="B446" s="6"/>
      <c r="C446" s="19"/>
      <c r="D446" s="23"/>
      <c r="E446" s="9" t="str">
        <f aca="false">IF($B446="","",$C446*$D446)</f>
        <v/>
      </c>
      <c r="F446" s="19"/>
      <c r="G446" s="19"/>
    </row>
    <row r="447" customFormat="false" ht="15" hidden="false" customHeight="false" outlineLevel="0" collapsed="false">
      <c r="A447" s="20"/>
      <c r="B447" s="6"/>
      <c r="C447" s="19"/>
      <c r="D447" s="23"/>
      <c r="E447" s="9" t="str">
        <f aca="false">IF($B447="","",$C447*$D447)</f>
        <v/>
      </c>
      <c r="F447" s="19"/>
      <c r="G447" s="19"/>
    </row>
    <row r="448" customFormat="false" ht="15" hidden="false" customHeight="false" outlineLevel="0" collapsed="false">
      <c r="A448" s="20"/>
      <c r="B448" s="6"/>
      <c r="C448" s="19"/>
      <c r="D448" s="23"/>
      <c r="E448" s="9" t="str">
        <f aca="false">IF($B448="","",$C448*$D448)</f>
        <v/>
      </c>
      <c r="F448" s="19"/>
      <c r="G448" s="19"/>
    </row>
    <row r="449" customFormat="false" ht="15" hidden="false" customHeight="false" outlineLevel="0" collapsed="false">
      <c r="A449" s="20"/>
      <c r="B449" s="6"/>
      <c r="C449" s="19"/>
      <c r="D449" s="23"/>
      <c r="E449" s="9" t="str">
        <f aca="false">IF($B449="","",$C449*$D449)</f>
        <v/>
      </c>
      <c r="F449" s="19"/>
      <c r="G449" s="19"/>
    </row>
    <row r="450" customFormat="false" ht="15" hidden="false" customHeight="false" outlineLevel="0" collapsed="false">
      <c r="A450" s="20"/>
      <c r="B450" s="6"/>
      <c r="C450" s="19"/>
      <c r="D450" s="23"/>
      <c r="E450" s="9" t="str">
        <f aca="false">IF($B450="","",$C450*$D450)</f>
        <v/>
      </c>
      <c r="F450" s="19"/>
      <c r="G450" s="19"/>
    </row>
    <row r="451" customFormat="false" ht="15" hidden="false" customHeight="false" outlineLevel="0" collapsed="false">
      <c r="A451" s="20"/>
      <c r="B451" s="6"/>
      <c r="C451" s="19"/>
      <c r="D451" s="23"/>
      <c r="E451" s="9" t="str">
        <f aca="false">IF($B451="","",$C451*$D451)</f>
        <v/>
      </c>
      <c r="F451" s="19"/>
      <c r="G451" s="19"/>
    </row>
    <row r="452" customFormat="false" ht="15" hidden="false" customHeight="false" outlineLevel="0" collapsed="false">
      <c r="A452" s="20"/>
      <c r="B452" s="6"/>
      <c r="C452" s="19"/>
      <c r="D452" s="23"/>
      <c r="E452" s="9" t="str">
        <f aca="false">IF($B452="","",$C452*$D452)</f>
        <v/>
      </c>
      <c r="F452" s="19"/>
      <c r="G452" s="19"/>
    </row>
    <row r="453" customFormat="false" ht="15" hidden="false" customHeight="false" outlineLevel="0" collapsed="false">
      <c r="A453" s="20"/>
      <c r="B453" s="6"/>
      <c r="C453" s="19"/>
      <c r="D453" s="23"/>
      <c r="E453" s="9" t="str">
        <f aca="false">IF($B453="","",$C453*$D453)</f>
        <v/>
      </c>
      <c r="F453" s="19"/>
      <c r="G453" s="19"/>
    </row>
    <row r="454" customFormat="false" ht="15" hidden="false" customHeight="false" outlineLevel="0" collapsed="false">
      <c r="A454" s="20"/>
      <c r="B454" s="6"/>
      <c r="C454" s="19"/>
      <c r="D454" s="23"/>
      <c r="E454" s="9" t="str">
        <f aca="false">IF($B454="","",$C454*$D454)</f>
        <v/>
      </c>
      <c r="F454" s="19"/>
      <c r="G454" s="19"/>
    </row>
    <row r="455" customFormat="false" ht="15" hidden="false" customHeight="false" outlineLevel="0" collapsed="false">
      <c r="A455" s="20"/>
      <c r="B455" s="6"/>
      <c r="C455" s="19"/>
      <c r="D455" s="23"/>
      <c r="E455" s="9" t="str">
        <f aca="false">IF($B455="","",$C455*$D455)</f>
        <v/>
      </c>
      <c r="F455" s="19"/>
      <c r="G455" s="19"/>
    </row>
    <row r="456" customFormat="false" ht="15" hidden="false" customHeight="false" outlineLevel="0" collapsed="false">
      <c r="A456" s="20"/>
      <c r="B456" s="6"/>
      <c r="C456" s="19"/>
      <c r="D456" s="23"/>
      <c r="E456" s="9" t="str">
        <f aca="false">IF($B456="","",$C456*$D456)</f>
        <v/>
      </c>
      <c r="F456" s="19"/>
      <c r="G456" s="19"/>
    </row>
    <row r="457" customFormat="false" ht="15" hidden="false" customHeight="false" outlineLevel="0" collapsed="false">
      <c r="A457" s="20"/>
      <c r="B457" s="6"/>
      <c r="C457" s="19"/>
      <c r="D457" s="23"/>
      <c r="E457" s="9" t="str">
        <f aca="false">IF($B457="","",$C457*$D457)</f>
        <v/>
      </c>
      <c r="F457" s="19"/>
      <c r="G457" s="19"/>
    </row>
    <row r="458" customFormat="false" ht="15" hidden="false" customHeight="false" outlineLevel="0" collapsed="false">
      <c r="A458" s="20"/>
      <c r="B458" s="6"/>
      <c r="C458" s="19"/>
      <c r="D458" s="23"/>
      <c r="E458" s="9" t="str">
        <f aca="false">IF($B458="","",$C458*$D458)</f>
        <v/>
      </c>
      <c r="F458" s="19"/>
      <c r="G458" s="19"/>
    </row>
    <row r="459" customFormat="false" ht="15" hidden="false" customHeight="false" outlineLevel="0" collapsed="false">
      <c r="A459" s="20"/>
      <c r="B459" s="6"/>
      <c r="C459" s="19"/>
      <c r="D459" s="23"/>
      <c r="E459" s="9" t="str">
        <f aca="false">IF($B459="","",$C459*$D459)</f>
        <v/>
      </c>
      <c r="F459" s="19"/>
      <c r="G459" s="19"/>
    </row>
    <row r="460" customFormat="false" ht="15" hidden="false" customHeight="false" outlineLevel="0" collapsed="false">
      <c r="A460" s="20"/>
      <c r="B460" s="6"/>
      <c r="C460" s="19"/>
      <c r="D460" s="23"/>
      <c r="E460" s="9" t="str">
        <f aca="false">IF($B460="","",$C460*$D460)</f>
        <v/>
      </c>
      <c r="F460" s="19"/>
      <c r="G460" s="19"/>
    </row>
    <row r="461" customFormat="false" ht="15" hidden="false" customHeight="false" outlineLevel="0" collapsed="false">
      <c r="A461" s="20"/>
      <c r="B461" s="6"/>
      <c r="C461" s="19"/>
      <c r="D461" s="23"/>
      <c r="E461" s="9" t="str">
        <f aca="false">IF($B461="","",$C461*$D461)</f>
        <v/>
      </c>
      <c r="F461" s="19"/>
      <c r="G461" s="19"/>
    </row>
    <row r="462" customFormat="false" ht="15" hidden="false" customHeight="false" outlineLevel="0" collapsed="false">
      <c r="A462" s="20"/>
      <c r="B462" s="6"/>
      <c r="C462" s="19"/>
      <c r="D462" s="23"/>
      <c r="E462" s="9" t="str">
        <f aca="false">IF($B462="","",$C462*$D462)</f>
        <v/>
      </c>
      <c r="F462" s="19"/>
      <c r="G462" s="19"/>
    </row>
    <row r="463" customFormat="false" ht="15" hidden="false" customHeight="false" outlineLevel="0" collapsed="false">
      <c r="A463" s="20"/>
      <c r="B463" s="6"/>
      <c r="C463" s="19"/>
      <c r="D463" s="23"/>
      <c r="E463" s="9" t="str">
        <f aca="false">IF($B463="","",$C463*$D463)</f>
        <v/>
      </c>
      <c r="F463" s="19"/>
      <c r="G463" s="19"/>
    </row>
    <row r="464" customFormat="false" ht="15" hidden="false" customHeight="false" outlineLevel="0" collapsed="false">
      <c r="A464" s="20"/>
      <c r="B464" s="6"/>
      <c r="C464" s="19"/>
      <c r="D464" s="23"/>
      <c r="E464" s="9" t="str">
        <f aca="false">IF($B464="","",$C464*$D464)</f>
        <v/>
      </c>
      <c r="F464" s="19"/>
      <c r="G464" s="19"/>
    </row>
    <row r="465" customFormat="false" ht="15" hidden="false" customHeight="false" outlineLevel="0" collapsed="false">
      <c r="A465" s="20"/>
      <c r="B465" s="6"/>
      <c r="C465" s="19"/>
      <c r="D465" s="23"/>
      <c r="E465" s="9" t="str">
        <f aca="false">IF($B465="","",$C465*$D465)</f>
        <v/>
      </c>
      <c r="F465" s="19"/>
      <c r="G465" s="19"/>
    </row>
    <row r="466" customFormat="false" ht="15" hidden="false" customHeight="false" outlineLevel="0" collapsed="false">
      <c r="A466" s="20"/>
      <c r="B466" s="6"/>
      <c r="C466" s="19"/>
      <c r="D466" s="23"/>
      <c r="E466" s="9" t="str">
        <f aca="false">IF($B466="","",$C466*$D466)</f>
        <v/>
      </c>
      <c r="F466" s="19"/>
      <c r="G466" s="19"/>
    </row>
    <row r="467" customFormat="false" ht="15" hidden="false" customHeight="false" outlineLevel="0" collapsed="false">
      <c r="A467" s="20"/>
      <c r="B467" s="6"/>
      <c r="C467" s="19"/>
      <c r="D467" s="23"/>
      <c r="E467" s="9" t="str">
        <f aca="false">IF($B467="","",$C467*$D467)</f>
        <v/>
      </c>
      <c r="F467" s="19"/>
      <c r="G467" s="19"/>
    </row>
    <row r="468" customFormat="false" ht="15" hidden="false" customHeight="false" outlineLevel="0" collapsed="false">
      <c r="A468" s="20"/>
      <c r="B468" s="6"/>
      <c r="C468" s="19"/>
      <c r="D468" s="23"/>
      <c r="E468" s="9" t="str">
        <f aca="false">IF($B468="","",$C468*$D468)</f>
        <v/>
      </c>
      <c r="F468" s="19"/>
      <c r="G468" s="19"/>
    </row>
    <row r="469" customFormat="false" ht="15" hidden="false" customHeight="false" outlineLevel="0" collapsed="false">
      <c r="A469" s="20"/>
      <c r="B469" s="6"/>
      <c r="C469" s="19"/>
      <c r="D469" s="23"/>
      <c r="E469" s="9" t="str">
        <f aca="false">IF($B469="","",$C469*$D469)</f>
        <v/>
      </c>
      <c r="F469" s="19"/>
      <c r="G469" s="19"/>
    </row>
    <row r="470" customFormat="false" ht="15" hidden="false" customHeight="false" outlineLevel="0" collapsed="false">
      <c r="A470" s="20"/>
      <c r="B470" s="6"/>
      <c r="C470" s="19"/>
      <c r="D470" s="23"/>
      <c r="E470" s="9" t="str">
        <f aca="false">IF($B470="","",$C470*$D470)</f>
        <v/>
      </c>
      <c r="F470" s="19"/>
      <c r="G470" s="19"/>
    </row>
    <row r="471" customFormat="false" ht="15" hidden="false" customHeight="false" outlineLevel="0" collapsed="false">
      <c r="A471" s="20"/>
      <c r="B471" s="6"/>
      <c r="C471" s="19"/>
      <c r="D471" s="23"/>
      <c r="E471" s="9" t="str">
        <f aca="false">IF($B471="","",$C471*$D471)</f>
        <v/>
      </c>
      <c r="F471" s="19"/>
      <c r="G471" s="19"/>
    </row>
    <row r="472" customFormat="false" ht="15" hidden="false" customHeight="false" outlineLevel="0" collapsed="false">
      <c r="A472" s="20"/>
      <c r="B472" s="6"/>
      <c r="C472" s="19"/>
      <c r="D472" s="23"/>
      <c r="E472" s="9" t="str">
        <f aca="false">IF($B472="","",$C472*$D472)</f>
        <v/>
      </c>
      <c r="F472" s="19"/>
      <c r="G472" s="19"/>
    </row>
    <row r="473" customFormat="false" ht="15" hidden="false" customHeight="false" outlineLevel="0" collapsed="false">
      <c r="A473" s="20"/>
      <c r="B473" s="6"/>
      <c r="C473" s="19"/>
      <c r="D473" s="23"/>
      <c r="E473" s="9" t="str">
        <f aca="false">IF($B473="","",$C473*$D473)</f>
        <v/>
      </c>
      <c r="F473" s="19"/>
      <c r="G473" s="19"/>
    </row>
    <row r="474" customFormat="false" ht="15" hidden="false" customHeight="false" outlineLevel="0" collapsed="false">
      <c r="A474" s="20"/>
      <c r="B474" s="6"/>
      <c r="C474" s="19"/>
      <c r="D474" s="23"/>
      <c r="E474" s="9" t="str">
        <f aca="false">IF($B474="","",$C474*$D474)</f>
        <v/>
      </c>
      <c r="F474" s="19"/>
      <c r="G474" s="19"/>
    </row>
    <row r="475" customFormat="false" ht="15" hidden="false" customHeight="false" outlineLevel="0" collapsed="false">
      <c r="A475" s="20"/>
      <c r="B475" s="6"/>
      <c r="C475" s="19"/>
      <c r="D475" s="23"/>
      <c r="E475" s="9" t="str">
        <f aca="false">IF($B475="","",$C475*$D475)</f>
        <v/>
      </c>
      <c r="F475" s="19"/>
      <c r="G475" s="19"/>
    </row>
    <row r="476" customFormat="false" ht="15" hidden="false" customHeight="false" outlineLevel="0" collapsed="false">
      <c r="A476" s="20"/>
      <c r="B476" s="6"/>
      <c r="C476" s="19"/>
      <c r="D476" s="23"/>
      <c r="E476" s="9" t="str">
        <f aca="false">IF($B476="","",$C476*$D476)</f>
        <v/>
      </c>
      <c r="F476" s="19"/>
      <c r="G476" s="19"/>
    </row>
    <row r="477" customFormat="false" ht="15" hidden="false" customHeight="false" outlineLevel="0" collapsed="false">
      <c r="A477" s="20"/>
      <c r="B477" s="6"/>
      <c r="C477" s="19"/>
      <c r="D477" s="23"/>
      <c r="E477" s="9" t="str">
        <f aca="false">IF($B477="","",$C477*$D477)</f>
        <v/>
      </c>
      <c r="F477" s="19"/>
      <c r="G477" s="19"/>
    </row>
    <row r="478" customFormat="false" ht="15" hidden="false" customHeight="false" outlineLevel="0" collapsed="false">
      <c r="A478" s="20"/>
      <c r="B478" s="6"/>
      <c r="C478" s="19"/>
      <c r="D478" s="23"/>
      <c r="E478" s="9" t="str">
        <f aca="false">IF($B478="","",$C478*$D478)</f>
        <v/>
      </c>
      <c r="F478" s="19"/>
      <c r="G478" s="19"/>
    </row>
    <row r="479" customFormat="false" ht="15" hidden="false" customHeight="false" outlineLevel="0" collapsed="false">
      <c r="A479" s="20"/>
      <c r="B479" s="6"/>
      <c r="C479" s="19"/>
      <c r="D479" s="23"/>
      <c r="E479" s="9" t="str">
        <f aca="false">IF($B479="","",$C479*$D479)</f>
        <v/>
      </c>
      <c r="F479" s="19"/>
      <c r="G479" s="19"/>
    </row>
    <row r="480" customFormat="false" ht="15" hidden="false" customHeight="false" outlineLevel="0" collapsed="false">
      <c r="A480" s="20"/>
      <c r="B480" s="6"/>
      <c r="C480" s="19"/>
      <c r="D480" s="23"/>
      <c r="E480" s="9" t="str">
        <f aca="false">IF($B480="","",$C480*$D480)</f>
        <v/>
      </c>
      <c r="F480" s="19"/>
      <c r="G480" s="19"/>
    </row>
    <row r="481" customFormat="false" ht="15" hidden="false" customHeight="false" outlineLevel="0" collapsed="false">
      <c r="A481" s="20"/>
      <c r="B481" s="6"/>
      <c r="C481" s="19"/>
      <c r="D481" s="23"/>
      <c r="E481" s="9" t="str">
        <f aca="false">IF($B481="","",$C481*$D481)</f>
        <v/>
      </c>
      <c r="F481" s="19"/>
      <c r="G481" s="19"/>
    </row>
    <row r="482" customFormat="false" ht="15" hidden="false" customHeight="false" outlineLevel="0" collapsed="false">
      <c r="A482" s="20"/>
      <c r="B482" s="6"/>
      <c r="C482" s="19"/>
      <c r="D482" s="23"/>
      <c r="E482" s="9" t="str">
        <f aca="false">IF($B482="","",$C482*$D482)</f>
        <v/>
      </c>
      <c r="F482" s="19"/>
      <c r="G482" s="19"/>
    </row>
    <row r="483" customFormat="false" ht="15" hidden="false" customHeight="false" outlineLevel="0" collapsed="false">
      <c r="A483" s="20"/>
      <c r="B483" s="6"/>
      <c r="C483" s="19"/>
      <c r="D483" s="23"/>
      <c r="E483" s="9" t="str">
        <f aca="false">IF($B483="","",$C483*$D483)</f>
        <v/>
      </c>
      <c r="F483" s="19"/>
      <c r="G483" s="19"/>
    </row>
    <row r="484" customFormat="false" ht="15" hidden="false" customHeight="false" outlineLevel="0" collapsed="false">
      <c r="A484" s="20"/>
      <c r="B484" s="6"/>
      <c r="C484" s="19"/>
      <c r="D484" s="23"/>
      <c r="E484" s="9" t="str">
        <f aca="false">IF($B484="","",$C484*$D484)</f>
        <v/>
      </c>
      <c r="F484" s="19"/>
      <c r="G484" s="19"/>
    </row>
    <row r="485" customFormat="false" ht="15" hidden="false" customHeight="false" outlineLevel="0" collapsed="false">
      <c r="A485" s="20"/>
      <c r="B485" s="6"/>
      <c r="C485" s="19"/>
      <c r="D485" s="23"/>
      <c r="E485" s="9" t="str">
        <f aca="false">IF($B485="","",$C485*$D485)</f>
        <v/>
      </c>
      <c r="F485" s="19"/>
      <c r="G485" s="19"/>
    </row>
    <row r="486" customFormat="false" ht="15" hidden="false" customHeight="false" outlineLevel="0" collapsed="false">
      <c r="A486" s="20"/>
      <c r="B486" s="6"/>
      <c r="C486" s="19"/>
      <c r="D486" s="23"/>
      <c r="E486" s="9" t="str">
        <f aca="false">IF($B486="","",$C486*$D486)</f>
        <v/>
      </c>
      <c r="F486" s="19"/>
      <c r="G486" s="19"/>
    </row>
    <row r="487" customFormat="false" ht="15" hidden="false" customHeight="false" outlineLevel="0" collapsed="false">
      <c r="A487" s="20"/>
      <c r="B487" s="6"/>
      <c r="C487" s="19"/>
      <c r="D487" s="23"/>
      <c r="E487" s="9" t="str">
        <f aca="false">IF($B487="","",$C487*$D487)</f>
        <v/>
      </c>
      <c r="F487" s="19"/>
      <c r="G487" s="19"/>
    </row>
    <row r="488" customFormat="false" ht="15" hidden="false" customHeight="false" outlineLevel="0" collapsed="false">
      <c r="A488" s="20"/>
      <c r="B488" s="6"/>
      <c r="C488" s="19"/>
      <c r="D488" s="23"/>
      <c r="E488" s="9" t="str">
        <f aca="false">IF($B488="","",$C488*$D488)</f>
        <v/>
      </c>
      <c r="F488" s="19"/>
      <c r="G488" s="19"/>
    </row>
    <row r="489" customFormat="false" ht="15" hidden="false" customHeight="false" outlineLevel="0" collapsed="false">
      <c r="A489" s="20"/>
      <c r="B489" s="6"/>
      <c r="C489" s="19"/>
      <c r="D489" s="23"/>
      <c r="E489" s="9" t="str">
        <f aca="false">IF($B489="","",$C489*$D489)</f>
        <v/>
      </c>
      <c r="F489" s="19"/>
      <c r="G489" s="19"/>
    </row>
    <row r="490" customFormat="false" ht="15" hidden="false" customHeight="false" outlineLevel="0" collapsed="false">
      <c r="A490" s="20"/>
      <c r="B490" s="6"/>
      <c r="C490" s="19"/>
      <c r="D490" s="23"/>
      <c r="E490" s="9" t="str">
        <f aca="false">IF($B490="","",$C490*$D490)</f>
        <v/>
      </c>
      <c r="F490" s="19"/>
      <c r="G490" s="19"/>
    </row>
    <row r="491" customFormat="false" ht="15" hidden="false" customHeight="false" outlineLevel="0" collapsed="false">
      <c r="A491" s="20"/>
      <c r="B491" s="6"/>
      <c r="C491" s="19"/>
      <c r="D491" s="23"/>
      <c r="E491" s="9" t="str">
        <f aca="false">IF($B491="","",$C491*$D491)</f>
        <v/>
      </c>
      <c r="F491" s="19"/>
      <c r="G491" s="19"/>
    </row>
    <row r="492" customFormat="false" ht="15" hidden="false" customHeight="false" outlineLevel="0" collapsed="false">
      <c r="A492" s="20"/>
      <c r="B492" s="6"/>
      <c r="C492" s="19"/>
      <c r="D492" s="23"/>
      <c r="E492" s="9" t="str">
        <f aca="false">IF($B492="","",$C492*$D492)</f>
        <v/>
      </c>
      <c r="F492" s="19"/>
      <c r="G492" s="19"/>
    </row>
    <row r="493" customFormat="false" ht="15" hidden="false" customHeight="false" outlineLevel="0" collapsed="false">
      <c r="A493" s="20"/>
      <c r="B493" s="6"/>
      <c r="C493" s="19"/>
      <c r="D493" s="23"/>
      <c r="E493" s="9" t="str">
        <f aca="false">IF($B493="","",$C493*$D493)</f>
        <v/>
      </c>
      <c r="F493" s="19"/>
      <c r="G493" s="19"/>
    </row>
    <row r="494" customFormat="false" ht="15" hidden="false" customHeight="false" outlineLevel="0" collapsed="false">
      <c r="A494" s="20"/>
      <c r="B494" s="6"/>
      <c r="C494" s="19"/>
      <c r="D494" s="23"/>
      <c r="E494" s="9" t="str">
        <f aca="false">IF($B494="","",$C494*$D494)</f>
        <v/>
      </c>
      <c r="F494" s="19"/>
      <c r="G494" s="19"/>
    </row>
    <row r="495" customFormat="false" ht="15" hidden="false" customHeight="false" outlineLevel="0" collapsed="false">
      <c r="A495" s="20"/>
      <c r="B495" s="6"/>
      <c r="C495" s="19"/>
      <c r="D495" s="23"/>
      <c r="E495" s="9" t="str">
        <f aca="false">IF($B495="","",$C495*$D495)</f>
        <v/>
      </c>
      <c r="F495" s="19"/>
      <c r="G495" s="19"/>
    </row>
    <row r="496" customFormat="false" ht="15" hidden="false" customHeight="false" outlineLevel="0" collapsed="false">
      <c r="A496" s="20"/>
      <c r="B496" s="6"/>
      <c r="C496" s="19"/>
      <c r="D496" s="23"/>
      <c r="E496" s="9" t="str">
        <f aca="false">IF($B496="","",$C496*$D496)</f>
        <v/>
      </c>
      <c r="F496" s="19"/>
      <c r="G496" s="19"/>
    </row>
    <row r="497" customFormat="false" ht="15" hidden="false" customHeight="false" outlineLevel="0" collapsed="false">
      <c r="A497" s="20"/>
      <c r="B497" s="6"/>
      <c r="C497" s="19"/>
      <c r="D497" s="23"/>
      <c r="E497" s="9" t="str">
        <f aca="false">IF($B497="","",$C497*$D497)</f>
        <v/>
      </c>
      <c r="F497" s="19"/>
      <c r="G497" s="19"/>
    </row>
    <row r="498" customFormat="false" ht="15" hidden="false" customHeight="false" outlineLevel="0" collapsed="false">
      <c r="A498" s="20"/>
      <c r="B498" s="6"/>
      <c r="C498" s="19"/>
      <c r="D498" s="23"/>
      <c r="E498" s="9" t="str">
        <f aca="false">IF($B498="","",$C498*$D498)</f>
        <v/>
      </c>
      <c r="F498" s="19"/>
      <c r="G498" s="19"/>
    </row>
    <row r="499" customFormat="false" ht="15" hidden="false" customHeight="false" outlineLevel="0" collapsed="false">
      <c r="A499" s="20"/>
      <c r="B499" s="6"/>
      <c r="C499" s="19"/>
      <c r="D499" s="23"/>
      <c r="E499" s="9" t="str">
        <f aca="false">IF($B499="","",$C499*$D499)</f>
        <v/>
      </c>
      <c r="F499" s="19"/>
      <c r="G499" s="19"/>
    </row>
    <row r="500" customFormat="false" ht="15" hidden="false" customHeight="false" outlineLevel="0" collapsed="false">
      <c r="A500" s="20"/>
      <c r="B500" s="6"/>
      <c r="C500" s="19"/>
      <c r="D500" s="23"/>
      <c r="E500" s="9" t="str">
        <f aca="false">IF($B500="","",$C500*$D500)</f>
        <v/>
      </c>
      <c r="F500" s="19"/>
      <c r="G500" s="19"/>
    </row>
    <row r="501" customFormat="false" ht="15" hidden="false" customHeight="false" outlineLevel="0" collapsed="false">
      <c r="A501" s="20"/>
      <c r="B501" s="6"/>
      <c r="C501" s="19"/>
      <c r="D501" s="23"/>
      <c r="E501" s="9" t="str">
        <f aca="false">IF($B501="","",$C501*$D501)</f>
        <v/>
      </c>
      <c r="F501" s="19"/>
      <c r="G501" s="19"/>
    </row>
    <row r="502" customFormat="false" ht="15" hidden="false" customHeight="false" outlineLevel="0" collapsed="false">
      <c r="A502" s="20"/>
      <c r="B502" s="6"/>
      <c r="C502" s="19"/>
      <c r="D502" s="23"/>
      <c r="E502" s="9" t="str">
        <f aca="false">IF($B502="","",$C502*$D502)</f>
        <v/>
      </c>
      <c r="F502" s="19"/>
      <c r="G502" s="19"/>
    </row>
    <row r="503" customFormat="false" ht="15" hidden="false" customHeight="false" outlineLevel="0" collapsed="false">
      <c r="A503" s="20"/>
      <c r="B503" s="6"/>
      <c r="C503" s="19"/>
      <c r="D503" s="23"/>
      <c r="E503" s="9" t="str">
        <f aca="false">IF($B503="","",$C503*$D503)</f>
        <v/>
      </c>
      <c r="F503" s="19"/>
      <c r="G503" s="19"/>
    </row>
    <row r="504" customFormat="false" ht="15" hidden="false" customHeight="false" outlineLevel="0" collapsed="false">
      <c r="A504" s="20"/>
      <c r="B504" s="6"/>
      <c r="C504" s="19"/>
      <c r="D504" s="23"/>
      <c r="E504" s="9" t="str">
        <f aca="false">IF($B504="","",$C504*$D504)</f>
        <v/>
      </c>
      <c r="F504" s="19"/>
      <c r="G504" s="19"/>
    </row>
    <row r="505" customFormat="false" ht="15" hidden="false" customHeight="false" outlineLevel="0" collapsed="false">
      <c r="A505" s="20"/>
      <c r="B505" s="6"/>
      <c r="C505" s="19"/>
      <c r="D505" s="23"/>
      <c r="E505" s="9" t="str">
        <f aca="false">IF($B505="","",$C505*$D505)</f>
        <v/>
      </c>
      <c r="F505" s="19"/>
      <c r="G505" s="19"/>
    </row>
    <row r="506" customFormat="false" ht="15" hidden="false" customHeight="false" outlineLevel="0" collapsed="false">
      <c r="A506" s="20"/>
      <c r="B506" s="6"/>
      <c r="C506" s="19"/>
      <c r="D506" s="23"/>
      <c r="E506" s="9" t="str">
        <f aca="false">IF($B506="","",$C506*$D506)</f>
        <v/>
      </c>
      <c r="F506" s="19"/>
      <c r="G506" s="19"/>
    </row>
    <row r="507" customFormat="false" ht="15" hidden="false" customHeight="false" outlineLevel="0" collapsed="false">
      <c r="A507" s="20"/>
      <c r="B507" s="6"/>
      <c r="C507" s="19"/>
      <c r="D507" s="23"/>
      <c r="E507" s="9" t="str">
        <f aca="false">IF($B507="","",$C507*$D507)</f>
        <v/>
      </c>
      <c r="F507" s="19"/>
      <c r="G507" s="19"/>
    </row>
    <row r="508" customFormat="false" ht="15" hidden="false" customHeight="false" outlineLevel="0" collapsed="false">
      <c r="A508" s="20"/>
      <c r="B508" s="6"/>
      <c r="C508" s="19"/>
      <c r="D508" s="23"/>
      <c r="E508" s="9" t="str">
        <f aca="false">IF($B508="","",$C508*$D508)</f>
        <v/>
      </c>
      <c r="F508" s="19"/>
      <c r="G508" s="19"/>
    </row>
    <row r="509" customFormat="false" ht="15" hidden="false" customHeight="false" outlineLevel="0" collapsed="false">
      <c r="A509" s="20"/>
      <c r="B509" s="6"/>
      <c r="C509" s="19"/>
      <c r="D509" s="23"/>
      <c r="E509" s="9" t="str">
        <f aca="false">IF($B509="","",$C509*$D509)</f>
        <v/>
      </c>
      <c r="F509" s="19"/>
      <c r="G509" s="19"/>
    </row>
    <row r="510" customFormat="false" ht="15" hidden="false" customHeight="false" outlineLevel="0" collapsed="false">
      <c r="A510" s="20"/>
      <c r="B510" s="6"/>
      <c r="C510" s="19"/>
      <c r="D510" s="23"/>
      <c r="E510" s="9" t="str">
        <f aca="false">IF($B510="","",$C510*$D510)</f>
        <v/>
      </c>
      <c r="F510" s="19"/>
      <c r="G510" s="19"/>
    </row>
    <row r="511" customFormat="false" ht="15" hidden="false" customHeight="false" outlineLevel="0" collapsed="false">
      <c r="A511" s="20"/>
      <c r="B511" s="6"/>
      <c r="C511" s="19"/>
      <c r="D511" s="23"/>
      <c r="E511" s="9" t="str">
        <f aca="false">IF($B511="","",$C511*$D511)</f>
        <v/>
      </c>
      <c r="F511" s="19"/>
      <c r="G511" s="19"/>
    </row>
    <row r="512" customFormat="false" ht="15" hidden="false" customHeight="false" outlineLevel="0" collapsed="false">
      <c r="A512" s="20"/>
      <c r="B512" s="6"/>
      <c r="C512" s="19"/>
      <c r="D512" s="23"/>
      <c r="E512" s="9" t="str">
        <f aca="false">IF($B512="","",$C512*$D512)</f>
        <v/>
      </c>
      <c r="F512" s="19"/>
      <c r="G512" s="19"/>
    </row>
    <row r="513" customFormat="false" ht="15" hidden="false" customHeight="false" outlineLevel="0" collapsed="false">
      <c r="A513" s="20"/>
      <c r="B513" s="6"/>
      <c r="C513" s="19"/>
      <c r="D513" s="23"/>
      <c r="E513" s="9" t="str">
        <f aca="false">IF($B513="","",$C513*$D513)</f>
        <v/>
      </c>
      <c r="F513" s="19"/>
      <c r="G513" s="19"/>
    </row>
    <row r="514" customFormat="false" ht="15" hidden="false" customHeight="false" outlineLevel="0" collapsed="false">
      <c r="A514" s="20"/>
      <c r="B514" s="6"/>
      <c r="C514" s="19"/>
      <c r="D514" s="23"/>
      <c r="E514" s="9" t="str">
        <f aca="false">IF($B514="","",$C514*$D514)</f>
        <v/>
      </c>
      <c r="F514" s="19"/>
      <c r="G514" s="19"/>
    </row>
    <row r="515" customFormat="false" ht="15" hidden="false" customHeight="false" outlineLevel="0" collapsed="false">
      <c r="A515" s="20"/>
      <c r="B515" s="6"/>
      <c r="C515" s="19"/>
      <c r="D515" s="23"/>
      <c r="E515" s="9" t="str">
        <f aca="false">IF($B515="","",$C515*$D515)</f>
        <v/>
      </c>
      <c r="F515" s="19"/>
      <c r="G515" s="19"/>
    </row>
    <row r="516" customFormat="false" ht="15" hidden="false" customHeight="false" outlineLevel="0" collapsed="false">
      <c r="A516" s="20"/>
      <c r="B516" s="6"/>
      <c r="C516" s="19"/>
      <c r="D516" s="23"/>
      <c r="E516" s="9" t="str">
        <f aca="false">IF($B516="","",$C516*$D516)</f>
        <v/>
      </c>
      <c r="F516" s="19"/>
      <c r="G516" s="19"/>
    </row>
    <row r="517" customFormat="false" ht="15" hidden="false" customHeight="false" outlineLevel="0" collapsed="false">
      <c r="A517" s="20"/>
      <c r="B517" s="6"/>
      <c r="C517" s="19"/>
      <c r="D517" s="23"/>
      <c r="E517" s="9" t="str">
        <f aca="false">IF($B517="","",$C517*$D517)</f>
        <v/>
      </c>
      <c r="F517" s="19"/>
      <c r="G517" s="19"/>
    </row>
    <row r="518" customFormat="false" ht="15" hidden="false" customHeight="false" outlineLevel="0" collapsed="false">
      <c r="A518" s="20"/>
      <c r="B518" s="6"/>
      <c r="C518" s="19"/>
      <c r="D518" s="23"/>
      <c r="E518" s="9" t="str">
        <f aca="false">IF($B518="","",$C518*$D518)</f>
        <v/>
      </c>
      <c r="F518" s="19"/>
      <c r="G518" s="19"/>
    </row>
    <row r="519" customFormat="false" ht="15" hidden="false" customHeight="false" outlineLevel="0" collapsed="false">
      <c r="A519" s="20"/>
      <c r="B519" s="6"/>
      <c r="C519" s="19"/>
      <c r="D519" s="23"/>
      <c r="E519" s="9" t="str">
        <f aca="false">IF($B519="","",$C519*$D519)</f>
        <v/>
      </c>
      <c r="F519" s="19"/>
      <c r="G519" s="19"/>
    </row>
    <row r="520" customFormat="false" ht="15" hidden="false" customHeight="false" outlineLevel="0" collapsed="false">
      <c r="A520" s="20"/>
      <c r="B520" s="6"/>
      <c r="C520" s="19"/>
      <c r="D520" s="23"/>
      <c r="E520" s="9" t="str">
        <f aca="false">IF($B520="","",$C520*$D520)</f>
        <v/>
      </c>
      <c r="F520" s="19"/>
      <c r="G520" s="19"/>
    </row>
    <row r="521" customFormat="false" ht="15" hidden="false" customHeight="false" outlineLevel="0" collapsed="false">
      <c r="A521" s="20"/>
      <c r="B521" s="6"/>
      <c r="C521" s="19"/>
      <c r="D521" s="23"/>
      <c r="E521" s="9" t="str">
        <f aca="false">IF($B521="","",$C521*$D521)</f>
        <v/>
      </c>
      <c r="F521" s="19"/>
      <c r="G521" s="19"/>
    </row>
    <row r="522" customFormat="false" ht="15" hidden="false" customHeight="false" outlineLevel="0" collapsed="false">
      <c r="A522" s="20"/>
      <c r="B522" s="6"/>
      <c r="C522" s="19"/>
      <c r="D522" s="23"/>
      <c r="E522" s="9" t="str">
        <f aca="false">IF($B522="","",$C522*$D522)</f>
        <v/>
      </c>
      <c r="F522" s="19"/>
      <c r="G522" s="19"/>
    </row>
    <row r="523" customFormat="false" ht="15" hidden="false" customHeight="false" outlineLevel="0" collapsed="false">
      <c r="A523" s="20"/>
      <c r="B523" s="6"/>
      <c r="C523" s="19"/>
      <c r="D523" s="23"/>
      <c r="E523" s="9" t="str">
        <f aca="false">IF($B523="","",$C523*$D523)</f>
        <v/>
      </c>
      <c r="F523" s="19"/>
      <c r="G523" s="19"/>
    </row>
    <row r="524" customFormat="false" ht="15" hidden="false" customHeight="false" outlineLevel="0" collapsed="false">
      <c r="A524" s="20"/>
      <c r="B524" s="6"/>
      <c r="C524" s="19"/>
      <c r="D524" s="23"/>
      <c r="E524" s="9" t="str">
        <f aca="false">IF($B524="","",$C524*$D524)</f>
        <v/>
      </c>
      <c r="F524" s="19"/>
      <c r="G524" s="19"/>
    </row>
    <row r="525" customFormat="false" ht="15" hidden="false" customHeight="false" outlineLevel="0" collapsed="false">
      <c r="A525" s="20"/>
      <c r="B525" s="6"/>
      <c r="C525" s="19"/>
      <c r="D525" s="23"/>
      <c r="E525" s="9" t="str">
        <f aca="false">IF($B525="","",$C525*$D525)</f>
        <v/>
      </c>
      <c r="F525" s="19"/>
      <c r="G525" s="19"/>
    </row>
    <row r="526" customFormat="false" ht="15" hidden="false" customHeight="false" outlineLevel="0" collapsed="false">
      <c r="A526" s="20"/>
      <c r="B526" s="6"/>
      <c r="C526" s="19"/>
      <c r="D526" s="23"/>
      <c r="E526" s="9" t="str">
        <f aca="false">IF($B526="","",$C526*$D526)</f>
        <v/>
      </c>
      <c r="F526" s="19"/>
      <c r="G526" s="19"/>
    </row>
    <row r="527" customFormat="false" ht="15" hidden="false" customHeight="false" outlineLevel="0" collapsed="false">
      <c r="A527" s="20"/>
      <c r="B527" s="6"/>
      <c r="C527" s="19"/>
      <c r="D527" s="23"/>
      <c r="E527" s="9" t="str">
        <f aca="false">IF($B527="","",$C527*$D527)</f>
        <v/>
      </c>
      <c r="F527" s="19"/>
      <c r="G527" s="19"/>
    </row>
    <row r="528" customFormat="false" ht="15" hidden="false" customHeight="false" outlineLevel="0" collapsed="false">
      <c r="A528" s="20"/>
      <c r="B528" s="6"/>
      <c r="C528" s="19"/>
      <c r="D528" s="23"/>
      <c r="E528" s="9" t="str">
        <f aca="false">IF($B528="","",$C528*$D528)</f>
        <v/>
      </c>
      <c r="F528" s="19"/>
      <c r="G528" s="19"/>
    </row>
    <row r="529" customFormat="false" ht="15" hidden="false" customHeight="false" outlineLevel="0" collapsed="false">
      <c r="A529" s="20"/>
      <c r="B529" s="6"/>
      <c r="C529" s="19"/>
      <c r="D529" s="23"/>
      <c r="E529" s="9" t="str">
        <f aca="false">IF($B529="","",$C529*$D529)</f>
        <v/>
      </c>
      <c r="F529" s="19"/>
      <c r="G529" s="19"/>
    </row>
    <row r="530" customFormat="false" ht="15" hidden="false" customHeight="false" outlineLevel="0" collapsed="false">
      <c r="A530" s="20"/>
      <c r="B530" s="6"/>
      <c r="C530" s="19"/>
      <c r="D530" s="23"/>
      <c r="E530" s="9" t="str">
        <f aca="false">IF($B530="","",$C530*$D530)</f>
        <v/>
      </c>
      <c r="F530" s="19"/>
      <c r="G530" s="19"/>
    </row>
    <row r="531" customFormat="false" ht="15" hidden="false" customHeight="false" outlineLevel="0" collapsed="false">
      <c r="A531" s="20"/>
      <c r="B531" s="6"/>
      <c r="C531" s="19"/>
      <c r="D531" s="23"/>
      <c r="E531" s="9" t="str">
        <f aca="false">IF($B531="","",$C531*$D531)</f>
        <v/>
      </c>
      <c r="F531" s="19"/>
      <c r="G531" s="19"/>
    </row>
    <row r="532" customFormat="false" ht="15" hidden="false" customHeight="false" outlineLevel="0" collapsed="false">
      <c r="A532" s="20"/>
      <c r="B532" s="6"/>
      <c r="C532" s="19"/>
      <c r="D532" s="23"/>
      <c r="E532" s="9" t="str">
        <f aca="false">IF($B532="","",$C532*$D532)</f>
        <v/>
      </c>
      <c r="F532" s="19"/>
      <c r="G532" s="19"/>
    </row>
    <row r="533" customFormat="false" ht="15" hidden="false" customHeight="false" outlineLevel="0" collapsed="false">
      <c r="A533" s="20"/>
      <c r="B533" s="6"/>
      <c r="C533" s="19"/>
      <c r="D533" s="23"/>
      <c r="E533" s="9" t="str">
        <f aca="false">IF($B533="","",$C533*$D533)</f>
        <v/>
      </c>
      <c r="F533" s="19"/>
      <c r="G533" s="19"/>
    </row>
    <row r="534" customFormat="false" ht="15" hidden="false" customHeight="false" outlineLevel="0" collapsed="false">
      <c r="A534" s="20"/>
      <c r="B534" s="6"/>
      <c r="C534" s="19"/>
      <c r="D534" s="23"/>
      <c r="E534" s="9" t="str">
        <f aca="false">IF($B534="","",$C534*$D534)</f>
        <v/>
      </c>
      <c r="F534" s="19"/>
      <c r="G534" s="19"/>
    </row>
    <row r="535" customFormat="false" ht="15" hidden="false" customHeight="false" outlineLevel="0" collapsed="false">
      <c r="A535" s="20"/>
      <c r="B535" s="6"/>
      <c r="C535" s="19"/>
      <c r="D535" s="23"/>
      <c r="E535" s="9" t="str">
        <f aca="false">IF($B535="","",$C535*$D535)</f>
        <v/>
      </c>
      <c r="F535" s="19"/>
      <c r="G535" s="19"/>
    </row>
    <row r="536" customFormat="false" ht="15" hidden="false" customHeight="false" outlineLevel="0" collapsed="false">
      <c r="A536" s="20"/>
      <c r="B536" s="6"/>
      <c r="C536" s="19"/>
      <c r="D536" s="23"/>
      <c r="E536" s="9" t="str">
        <f aca="false">IF($B536="","",$C536*$D536)</f>
        <v/>
      </c>
      <c r="F536" s="19"/>
      <c r="G536" s="19"/>
    </row>
    <row r="537" customFormat="false" ht="15" hidden="false" customHeight="false" outlineLevel="0" collapsed="false">
      <c r="A537" s="20"/>
      <c r="B537" s="6"/>
      <c r="C537" s="19"/>
      <c r="D537" s="23"/>
      <c r="E537" s="9" t="str">
        <f aca="false">IF($B537="","",$C537*$D537)</f>
        <v/>
      </c>
      <c r="F537" s="19"/>
      <c r="G537" s="19"/>
    </row>
    <row r="538" customFormat="false" ht="15" hidden="false" customHeight="false" outlineLevel="0" collapsed="false">
      <c r="A538" s="20"/>
      <c r="B538" s="6"/>
      <c r="C538" s="19"/>
      <c r="D538" s="23"/>
      <c r="E538" s="9" t="str">
        <f aca="false">IF($B538="","",$C538*$D538)</f>
        <v/>
      </c>
      <c r="F538" s="19"/>
      <c r="G538" s="19"/>
    </row>
    <row r="539" customFormat="false" ht="15" hidden="false" customHeight="false" outlineLevel="0" collapsed="false">
      <c r="A539" s="20"/>
      <c r="B539" s="6"/>
      <c r="C539" s="19"/>
      <c r="D539" s="23"/>
      <c r="E539" s="9" t="str">
        <f aca="false">IF($B539="","",$C539*$D539)</f>
        <v/>
      </c>
      <c r="F539" s="19"/>
      <c r="G539" s="19"/>
    </row>
    <row r="540" customFormat="false" ht="15" hidden="false" customHeight="false" outlineLevel="0" collapsed="false">
      <c r="A540" s="20"/>
      <c r="B540" s="6"/>
      <c r="C540" s="19"/>
      <c r="D540" s="23"/>
      <c r="E540" s="9" t="str">
        <f aca="false">IF($B540="","",$C540*$D540)</f>
        <v/>
      </c>
      <c r="F540" s="19"/>
      <c r="G540" s="19"/>
    </row>
    <row r="541" customFormat="false" ht="15" hidden="false" customHeight="false" outlineLevel="0" collapsed="false">
      <c r="A541" s="20"/>
      <c r="B541" s="6"/>
      <c r="C541" s="19"/>
      <c r="D541" s="23"/>
      <c r="E541" s="9" t="str">
        <f aca="false">IF($B541="","",$C541*$D541)</f>
        <v/>
      </c>
      <c r="F541" s="19"/>
      <c r="G541" s="19"/>
    </row>
    <row r="542" customFormat="false" ht="15" hidden="false" customHeight="false" outlineLevel="0" collapsed="false">
      <c r="A542" s="20"/>
      <c r="B542" s="6"/>
      <c r="C542" s="19"/>
      <c r="D542" s="23"/>
      <c r="E542" s="9" t="str">
        <f aca="false">IF($B542="","",$C542*$D542)</f>
        <v/>
      </c>
      <c r="F542" s="19"/>
      <c r="G542" s="19"/>
    </row>
    <row r="543" customFormat="false" ht="15" hidden="false" customHeight="false" outlineLevel="0" collapsed="false">
      <c r="A543" s="20"/>
      <c r="B543" s="6"/>
      <c r="C543" s="19"/>
      <c r="D543" s="23"/>
      <c r="E543" s="9" t="str">
        <f aca="false">IF($B543="","",$C543*$D543)</f>
        <v/>
      </c>
      <c r="F543" s="19"/>
      <c r="G543" s="19"/>
    </row>
    <row r="544" customFormat="false" ht="15" hidden="false" customHeight="false" outlineLevel="0" collapsed="false">
      <c r="A544" s="20"/>
      <c r="B544" s="6"/>
      <c r="C544" s="19"/>
      <c r="D544" s="23"/>
      <c r="E544" s="9" t="str">
        <f aca="false">IF($B544="","",$C544*$D544)</f>
        <v/>
      </c>
      <c r="F544" s="19"/>
      <c r="G544" s="19"/>
    </row>
    <row r="545" customFormat="false" ht="15" hidden="false" customHeight="false" outlineLevel="0" collapsed="false">
      <c r="A545" s="20"/>
      <c r="B545" s="6"/>
      <c r="C545" s="19"/>
      <c r="D545" s="23"/>
      <c r="E545" s="9" t="str">
        <f aca="false">IF($B545="","",$C545*$D545)</f>
        <v/>
      </c>
      <c r="F545" s="19"/>
      <c r="G545" s="19"/>
    </row>
    <row r="546" customFormat="false" ht="15" hidden="false" customHeight="false" outlineLevel="0" collapsed="false">
      <c r="A546" s="20"/>
      <c r="B546" s="6"/>
      <c r="C546" s="19"/>
      <c r="D546" s="23"/>
      <c r="E546" s="9" t="str">
        <f aca="false">IF($B546="","",$C546*$D546)</f>
        <v/>
      </c>
      <c r="F546" s="19"/>
      <c r="G546" s="19"/>
    </row>
    <row r="547" customFormat="false" ht="15" hidden="false" customHeight="false" outlineLevel="0" collapsed="false">
      <c r="A547" s="20"/>
      <c r="B547" s="6"/>
      <c r="C547" s="19"/>
      <c r="D547" s="23"/>
      <c r="E547" s="9" t="str">
        <f aca="false">IF($B547="","",$C547*$D547)</f>
        <v/>
      </c>
      <c r="F547" s="19"/>
      <c r="G547" s="19"/>
    </row>
    <row r="548" customFormat="false" ht="15" hidden="false" customHeight="false" outlineLevel="0" collapsed="false">
      <c r="A548" s="20"/>
      <c r="B548" s="6"/>
      <c r="C548" s="19"/>
      <c r="D548" s="23"/>
      <c r="E548" s="9" t="str">
        <f aca="false">IF($B548="","",$C548*$D548)</f>
        <v/>
      </c>
      <c r="F548" s="19"/>
      <c r="G548" s="19"/>
    </row>
    <row r="549" customFormat="false" ht="15" hidden="false" customHeight="false" outlineLevel="0" collapsed="false">
      <c r="A549" s="20"/>
      <c r="B549" s="6"/>
      <c r="C549" s="19"/>
      <c r="D549" s="23"/>
      <c r="E549" s="9" t="str">
        <f aca="false">IF($B549="","",$C549*$D549)</f>
        <v/>
      </c>
      <c r="F549" s="19"/>
      <c r="G549" s="19"/>
    </row>
    <row r="550" customFormat="false" ht="15" hidden="false" customHeight="false" outlineLevel="0" collapsed="false">
      <c r="A550" s="20"/>
      <c r="B550" s="6"/>
      <c r="C550" s="19"/>
      <c r="D550" s="23"/>
      <c r="E550" s="9" t="str">
        <f aca="false">IF($B550="","",$C550*$D550)</f>
        <v/>
      </c>
      <c r="F550" s="19"/>
      <c r="G550" s="19"/>
    </row>
    <row r="551" customFormat="false" ht="15" hidden="false" customHeight="false" outlineLevel="0" collapsed="false">
      <c r="A551" s="20"/>
      <c r="B551" s="6"/>
      <c r="C551" s="19"/>
      <c r="D551" s="23"/>
      <c r="E551" s="9" t="str">
        <f aca="false">IF($B551="","",$C551*$D551)</f>
        <v/>
      </c>
      <c r="F551" s="19"/>
      <c r="G551" s="19"/>
    </row>
    <row r="552" customFormat="false" ht="15" hidden="false" customHeight="false" outlineLevel="0" collapsed="false">
      <c r="A552" s="20"/>
      <c r="B552" s="6"/>
      <c r="C552" s="19"/>
      <c r="D552" s="23"/>
      <c r="E552" s="9" t="str">
        <f aca="false">IF($B552="","",$C552*$D552)</f>
        <v/>
      </c>
      <c r="F552" s="19"/>
      <c r="G552" s="19"/>
    </row>
    <row r="553" customFormat="false" ht="15" hidden="false" customHeight="false" outlineLevel="0" collapsed="false">
      <c r="A553" s="20"/>
      <c r="B553" s="6"/>
      <c r="C553" s="19"/>
      <c r="D553" s="23"/>
      <c r="E553" s="9" t="str">
        <f aca="false">IF($B553="","",$C553*$D553)</f>
        <v/>
      </c>
      <c r="F553" s="19"/>
      <c r="G553" s="19"/>
    </row>
    <row r="554" customFormat="false" ht="15" hidden="false" customHeight="false" outlineLevel="0" collapsed="false">
      <c r="A554" s="20"/>
      <c r="B554" s="6"/>
      <c r="C554" s="19"/>
      <c r="D554" s="23"/>
      <c r="E554" s="9" t="str">
        <f aca="false">IF($B554="","",$C554*$D554)</f>
        <v/>
      </c>
      <c r="F554" s="19"/>
      <c r="G554" s="19"/>
    </row>
    <row r="555" customFormat="false" ht="15" hidden="false" customHeight="false" outlineLevel="0" collapsed="false">
      <c r="A555" s="20"/>
      <c r="B555" s="6"/>
      <c r="C555" s="19"/>
      <c r="D555" s="23"/>
      <c r="E555" s="9" t="str">
        <f aca="false">IF($B555="","",$C555*$D555)</f>
        <v/>
      </c>
      <c r="F555" s="19"/>
      <c r="G555" s="19"/>
    </row>
    <row r="556" customFormat="false" ht="15" hidden="false" customHeight="false" outlineLevel="0" collapsed="false">
      <c r="A556" s="20"/>
      <c r="B556" s="6"/>
      <c r="C556" s="19"/>
      <c r="D556" s="23"/>
      <c r="E556" s="9" t="str">
        <f aca="false">IF($B556="","",$C556*$D556)</f>
        <v/>
      </c>
      <c r="F556" s="19"/>
      <c r="G556" s="19"/>
    </row>
    <row r="557" customFormat="false" ht="15" hidden="false" customHeight="false" outlineLevel="0" collapsed="false">
      <c r="A557" s="20"/>
      <c r="B557" s="6"/>
      <c r="C557" s="19"/>
      <c r="D557" s="23"/>
      <c r="E557" s="9" t="str">
        <f aca="false">IF($B557="","",$C557*$D557)</f>
        <v/>
      </c>
      <c r="F557" s="19"/>
      <c r="G557" s="19"/>
    </row>
    <row r="558" customFormat="false" ht="15" hidden="false" customHeight="false" outlineLevel="0" collapsed="false">
      <c r="A558" s="20"/>
      <c r="B558" s="6"/>
      <c r="C558" s="19"/>
      <c r="D558" s="23"/>
      <c r="E558" s="9" t="str">
        <f aca="false">IF($B558="","",$C558*$D558)</f>
        <v/>
      </c>
      <c r="F558" s="19"/>
      <c r="G558" s="19"/>
    </row>
    <row r="559" customFormat="false" ht="15" hidden="false" customHeight="false" outlineLevel="0" collapsed="false">
      <c r="A559" s="20"/>
      <c r="B559" s="6"/>
      <c r="C559" s="19"/>
      <c r="D559" s="23"/>
      <c r="E559" s="9" t="str">
        <f aca="false">IF($B559="","",$C559*$D559)</f>
        <v/>
      </c>
      <c r="F559" s="19"/>
      <c r="G559" s="19"/>
    </row>
    <row r="560" customFormat="false" ht="15" hidden="false" customHeight="false" outlineLevel="0" collapsed="false">
      <c r="A560" s="20"/>
      <c r="B560" s="6"/>
      <c r="C560" s="19"/>
      <c r="D560" s="23"/>
      <c r="E560" s="9" t="str">
        <f aca="false">IF($B560="","",$C560*$D560)</f>
        <v/>
      </c>
      <c r="F560" s="19"/>
      <c r="G560" s="19"/>
    </row>
    <row r="561" customFormat="false" ht="15" hidden="false" customHeight="false" outlineLevel="0" collapsed="false">
      <c r="A561" s="20"/>
      <c r="B561" s="6"/>
      <c r="C561" s="19"/>
      <c r="D561" s="23"/>
      <c r="E561" s="9" t="str">
        <f aca="false">IF($B561="","",$C561*$D561)</f>
        <v/>
      </c>
      <c r="F561" s="19"/>
      <c r="G561" s="19"/>
    </row>
    <row r="562" customFormat="false" ht="15" hidden="false" customHeight="false" outlineLevel="0" collapsed="false">
      <c r="A562" s="20"/>
      <c r="B562" s="6"/>
      <c r="C562" s="19"/>
      <c r="D562" s="23"/>
      <c r="E562" s="9" t="str">
        <f aca="false">IF($B562="","",$C562*$D562)</f>
        <v/>
      </c>
      <c r="F562" s="19"/>
      <c r="G562" s="19"/>
    </row>
    <row r="563" customFormat="false" ht="15" hidden="false" customHeight="false" outlineLevel="0" collapsed="false">
      <c r="A563" s="20"/>
      <c r="B563" s="6"/>
      <c r="C563" s="19"/>
      <c r="D563" s="23"/>
      <c r="E563" s="9" t="str">
        <f aca="false">IF($B563="","",$C563*$D563)</f>
        <v/>
      </c>
      <c r="F563" s="19"/>
      <c r="G563" s="19"/>
    </row>
    <row r="564" customFormat="false" ht="15" hidden="false" customHeight="false" outlineLevel="0" collapsed="false">
      <c r="A564" s="20"/>
      <c r="B564" s="6"/>
      <c r="C564" s="19"/>
      <c r="D564" s="23"/>
      <c r="E564" s="9" t="str">
        <f aca="false">IF($B564="","",$C564*$D564)</f>
        <v/>
      </c>
      <c r="F564" s="19"/>
      <c r="G564" s="19"/>
    </row>
    <row r="565" customFormat="false" ht="15" hidden="false" customHeight="false" outlineLevel="0" collapsed="false">
      <c r="A565" s="20"/>
      <c r="B565" s="6"/>
      <c r="C565" s="19"/>
      <c r="D565" s="23"/>
      <c r="E565" s="9" t="str">
        <f aca="false">IF($B565="","",$C565*$D565)</f>
        <v/>
      </c>
      <c r="F565" s="19"/>
      <c r="G565" s="19"/>
    </row>
    <row r="566" customFormat="false" ht="15" hidden="false" customHeight="false" outlineLevel="0" collapsed="false">
      <c r="A566" s="20"/>
      <c r="B566" s="6"/>
      <c r="C566" s="19"/>
      <c r="D566" s="23"/>
      <c r="E566" s="9" t="str">
        <f aca="false">IF($B566="","",$C566*$D566)</f>
        <v/>
      </c>
      <c r="F566" s="19"/>
      <c r="G566" s="19"/>
    </row>
    <row r="567" customFormat="false" ht="15" hidden="false" customHeight="false" outlineLevel="0" collapsed="false">
      <c r="A567" s="20"/>
      <c r="B567" s="6"/>
      <c r="C567" s="19"/>
      <c r="D567" s="23"/>
      <c r="E567" s="9" t="str">
        <f aca="false">IF($B567="","",$C567*$D567)</f>
        <v/>
      </c>
      <c r="F567" s="19"/>
      <c r="G567" s="19"/>
    </row>
    <row r="568" customFormat="false" ht="15" hidden="false" customHeight="false" outlineLevel="0" collapsed="false">
      <c r="A568" s="20"/>
      <c r="B568" s="6"/>
      <c r="C568" s="19"/>
      <c r="D568" s="23"/>
      <c r="E568" s="9" t="str">
        <f aca="false">IF($B568="","",$C568*$D568)</f>
        <v/>
      </c>
      <c r="F568" s="19"/>
      <c r="G568" s="19"/>
    </row>
    <row r="569" customFormat="false" ht="15" hidden="false" customHeight="false" outlineLevel="0" collapsed="false">
      <c r="A569" s="20"/>
      <c r="B569" s="6"/>
      <c r="C569" s="19"/>
      <c r="D569" s="23"/>
      <c r="E569" s="9" t="str">
        <f aca="false">IF($B569="","",$C569*$D569)</f>
        <v/>
      </c>
      <c r="F569" s="19"/>
      <c r="G569" s="19"/>
    </row>
    <row r="570" customFormat="false" ht="15" hidden="false" customHeight="false" outlineLevel="0" collapsed="false">
      <c r="A570" s="20"/>
      <c r="B570" s="6"/>
      <c r="C570" s="19"/>
      <c r="D570" s="23"/>
      <c r="E570" s="9" t="str">
        <f aca="false">IF($B570="","",$C570*$D570)</f>
        <v/>
      </c>
      <c r="F570" s="19"/>
      <c r="G570" s="19"/>
    </row>
    <row r="571" customFormat="false" ht="15" hidden="false" customHeight="false" outlineLevel="0" collapsed="false">
      <c r="A571" s="20"/>
      <c r="B571" s="6"/>
      <c r="C571" s="19"/>
      <c r="D571" s="23"/>
      <c r="E571" s="9" t="str">
        <f aca="false">IF($B571="","",$C571*$D571)</f>
        <v/>
      </c>
      <c r="F571" s="19"/>
      <c r="G571" s="19"/>
    </row>
    <row r="572" customFormat="false" ht="15" hidden="false" customHeight="false" outlineLevel="0" collapsed="false">
      <c r="A572" s="20"/>
      <c r="B572" s="6"/>
      <c r="C572" s="19"/>
      <c r="D572" s="23"/>
      <c r="E572" s="9" t="str">
        <f aca="false">IF($B572="","",$C572*$D572)</f>
        <v/>
      </c>
      <c r="F572" s="19"/>
      <c r="G572" s="19"/>
    </row>
    <row r="573" customFormat="false" ht="15" hidden="false" customHeight="false" outlineLevel="0" collapsed="false">
      <c r="A573" s="20"/>
      <c r="B573" s="6"/>
      <c r="C573" s="19"/>
      <c r="D573" s="23"/>
      <c r="E573" s="9" t="str">
        <f aca="false">IF($B573="","",$C573*$D573)</f>
        <v/>
      </c>
      <c r="F573" s="19"/>
      <c r="G573" s="19"/>
    </row>
    <row r="574" customFormat="false" ht="15" hidden="false" customHeight="false" outlineLevel="0" collapsed="false">
      <c r="A574" s="20"/>
      <c r="B574" s="6"/>
      <c r="C574" s="19"/>
      <c r="D574" s="23"/>
      <c r="E574" s="9" t="str">
        <f aca="false">IF($B574="","",$C574*$D574)</f>
        <v/>
      </c>
      <c r="F574" s="19"/>
      <c r="G574" s="19"/>
    </row>
    <row r="575" customFormat="false" ht="15" hidden="false" customHeight="false" outlineLevel="0" collapsed="false">
      <c r="A575" s="20"/>
      <c r="B575" s="6"/>
      <c r="C575" s="19"/>
      <c r="D575" s="23"/>
      <c r="E575" s="9" t="str">
        <f aca="false">IF($B575="","",$C575*$D575)</f>
        <v/>
      </c>
      <c r="F575" s="19"/>
      <c r="G575" s="19"/>
    </row>
    <row r="576" customFormat="false" ht="15" hidden="false" customHeight="false" outlineLevel="0" collapsed="false">
      <c r="A576" s="20"/>
      <c r="B576" s="6"/>
      <c r="C576" s="19"/>
      <c r="D576" s="23"/>
      <c r="E576" s="9" t="str">
        <f aca="false">IF($B576="","",$C576*$D576)</f>
        <v/>
      </c>
      <c r="F576" s="19"/>
      <c r="G576" s="19"/>
    </row>
    <row r="577" customFormat="false" ht="15" hidden="false" customHeight="false" outlineLevel="0" collapsed="false">
      <c r="A577" s="20"/>
      <c r="B577" s="6"/>
      <c r="C577" s="19"/>
      <c r="D577" s="23"/>
      <c r="E577" s="9" t="str">
        <f aca="false">IF($B577="","",$C577*$D577)</f>
        <v/>
      </c>
      <c r="F577" s="19"/>
      <c r="G577" s="19"/>
    </row>
    <row r="578" customFormat="false" ht="15" hidden="false" customHeight="false" outlineLevel="0" collapsed="false">
      <c r="A578" s="20"/>
      <c r="B578" s="6"/>
      <c r="C578" s="19"/>
      <c r="D578" s="23"/>
      <c r="E578" s="9" t="str">
        <f aca="false">IF($B578="","",$C578*$D578)</f>
        <v/>
      </c>
      <c r="F578" s="19"/>
      <c r="G578" s="19"/>
    </row>
    <row r="579" customFormat="false" ht="15" hidden="false" customHeight="false" outlineLevel="0" collapsed="false">
      <c r="A579" s="20"/>
      <c r="B579" s="6"/>
      <c r="C579" s="19"/>
      <c r="D579" s="23"/>
      <c r="E579" s="9" t="str">
        <f aca="false">IF($B579="","",$C579*$D579)</f>
        <v/>
      </c>
      <c r="F579" s="19"/>
      <c r="G579" s="19"/>
    </row>
    <row r="580" customFormat="false" ht="15" hidden="false" customHeight="false" outlineLevel="0" collapsed="false">
      <c r="A580" s="20"/>
      <c r="B580" s="6"/>
      <c r="C580" s="19"/>
      <c r="D580" s="23"/>
      <c r="E580" s="9" t="str">
        <f aca="false">IF($B580="","",$C580*$D580)</f>
        <v/>
      </c>
      <c r="F580" s="19"/>
      <c r="G580" s="19"/>
    </row>
    <row r="581" customFormat="false" ht="15" hidden="false" customHeight="false" outlineLevel="0" collapsed="false">
      <c r="A581" s="20"/>
      <c r="B581" s="6"/>
      <c r="C581" s="19"/>
      <c r="D581" s="23"/>
      <c r="E581" s="9" t="str">
        <f aca="false">IF($B581="","",$C581*$D581)</f>
        <v/>
      </c>
      <c r="F581" s="19"/>
      <c r="G581" s="19"/>
    </row>
    <row r="582" customFormat="false" ht="15" hidden="false" customHeight="false" outlineLevel="0" collapsed="false">
      <c r="A582" s="20"/>
      <c r="B582" s="6"/>
      <c r="C582" s="19"/>
      <c r="D582" s="23"/>
      <c r="E582" s="9" t="str">
        <f aca="false">IF($B582="","",$C582*$D582)</f>
        <v/>
      </c>
      <c r="F582" s="19"/>
      <c r="G582" s="19"/>
    </row>
    <row r="583" customFormat="false" ht="15" hidden="false" customHeight="false" outlineLevel="0" collapsed="false">
      <c r="A583" s="20"/>
      <c r="B583" s="6"/>
      <c r="C583" s="19"/>
      <c r="D583" s="23"/>
      <c r="E583" s="9" t="str">
        <f aca="false">IF($B583="","",$C583*$D583)</f>
        <v/>
      </c>
      <c r="F583" s="19"/>
      <c r="G583" s="19"/>
    </row>
    <row r="584" customFormat="false" ht="15" hidden="false" customHeight="false" outlineLevel="0" collapsed="false">
      <c r="A584" s="20"/>
      <c r="B584" s="6"/>
      <c r="C584" s="19"/>
      <c r="D584" s="23"/>
      <c r="E584" s="9" t="str">
        <f aca="false">IF($B584="","",$C584*$D584)</f>
        <v/>
      </c>
      <c r="F584" s="19"/>
      <c r="G584" s="19"/>
    </row>
    <row r="585" customFormat="false" ht="15" hidden="false" customHeight="false" outlineLevel="0" collapsed="false">
      <c r="A585" s="20"/>
      <c r="B585" s="6"/>
      <c r="C585" s="19"/>
      <c r="D585" s="23"/>
      <c r="E585" s="9" t="str">
        <f aca="false">IF($B585="","",$C585*$D585)</f>
        <v/>
      </c>
      <c r="F585" s="19"/>
      <c r="G585" s="19"/>
    </row>
    <row r="586" customFormat="false" ht="15" hidden="false" customHeight="false" outlineLevel="0" collapsed="false">
      <c r="A586" s="20"/>
      <c r="B586" s="6"/>
      <c r="C586" s="19"/>
      <c r="D586" s="23"/>
      <c r="E586" s="9" t="str">
        <f aca="false">IF($B586="","",$C586*$D586)</f>
        <v/>
      </c>
      <c r="F586" s="19"/>
      <c r="G586" s="19"/>
    </row>
    <row r="587" customFormat="false" ht="15" hidden="false" customHeight="false" outlineLevel="0" collapsed="false">
      <c r="A587" s="20"/>
      <c r="B587" s="6"/>
      <c r="C587" s="19"/>
      <c r="D587" s="23"/>
      <c r="E587" s="9" t="str">
        <f aca="false">IF($B587="","",$C587*$D587)</f>
        <v/>
      </c>
      <c r="F587" s="19"/>
      <c r="G587" s="19"/>
    </row>
    <row r="588" customFormat="false" ht="15" hidden="false" customHeight="false" outlineLevel="0" collapsed="false">
      <c r="A588" s="20"/>
      <c r="B588" s="6"/>
      <c r="C588" s="19"/>
      <c r="D588" s="23"/>
      <c r="E588" s="9" t="str">
        <f aca="false">IF($B588="","",$C588*$D588)</f>
        <v/>
      </c>
      <c r="F588" s="19"/>
      <c r="G588" s="19"/>
    </row>
    <row r="589" customFormat="false" ht="15" hidden="false" customHeight="false" outlineLevel="0" collapsed="false">
      <c r="A589" s="20"/>
      <c r="B589" s="6"/>
      <c r="C589" s="19"/>
      <c r="D589" s="23"/>
      <c r="E589" s="9" t="str">
        <f aca="false">IF($B589="","",$C589*$D589)</f>
        <v/>
      </c>
      <c r="F589" s="19"/>
      <c r="G589" s="19"/>
    </row>
    <row r="590" customFormat="false" ht="15" hidden="false" customHeight="false" outlineLevel="0" collapsed="false">
      <c r="A590" s="20"/>
      <c r="B590" s="6"/>
      <c r="C590" s="19"/>
      <c r="D590" s="23"/>
      <c r="E590" s="9" t="str">
        <f aca="false">IF($B590="","",$C590*$D590)</f>
        <v/>
      </c>
      <c r="F590" s="19"/>
      <c r="G590" s="19"/>
    </row>
    <row r="591" customFormat="false" ht="15" hidden="false" customHeight="false" outlineLevel="0" collapsed="false">
      <c r="A591" s="20"/>
      <c r="B591" s="6"/>
      <c r="C591" s="19"/>
      <c r="D591" s="23"/>
      <c r="E591" s="9" t="str">
        <f aca="false">IF($B591="","",$C591*$D591)</f>
        <v/>
      </c>
      <c r="F591" s="19"/>
      <c r="G591" s="19"/>
    </row>
    <row r="592" customFormat="false" ht="15" hidden="false" customHeight="false" outlineLevel="0" collapsed="false">
      <c r="A592" s="20"/>
      <c r="B592" s="6"/>
      <c r="C592" s="19"/>
      <c r="D592" s="23"/>
      <c r="E592" s="9" t="str">
        <f aca="false">IF($B592="","",$C592*$D592)</f>
        <v/>
      </c>
      <c r="F592" s="19"/>
      <c r="G592" s="19"/>
    </row>
    <row r="593" customFormat="false" ht="15" hidden="false" customHeight="false" outlineLevel="0" collapsed="false">
      <c r="A593" s="20"/>
      <c r="B593" s="6"/>
      <c r="C593" s="19"/>
      <c r="D593" s="23"/>
      <c r="E593" s="9" t="str">
        <f aca="false">IF($B593="","",$C593*$D593)</f>
        <v/>
      </c>
      <c r="F593" s="19"/>
      <c r="G593" s="19"/>
    </row>
    <row r="594" customFormat="false" ht="15" hidden="false" customHeight="false" outlineLevel="0" collapsed="false">
      <c r="A594" s="20"/>
      <c r="B594" s="6"/>
      <c r="C594" s="19"/>
      <c r="D594" s="23"/>
      <c r="E594" s="9" t="str">
        <f aca="false">IF($B594="","",$C594*$D594)</f>
        <v/>
      </c>
      <c r="F594" s="19"/>
      <c r="G594" s="19"/>
    </row>
    <row r="595" customFormat="false" ht="15" hidden="false" customHeight="false" outlineLevel="0" collapsed="false">
      <c r="A595" s="20"/>
      <c r="B595" s="6"/>
      <c r="C595" s="19"/>
      <c r="D595" s="23"/>
      <c r="E595" s="9" t="str">
        <f aca="false">IF($B595="","",$C595*$D595)</f>
        <v/>
      </c>
      <c r="F595" s="19"/>
      <c r="G595" s="19"/>
    </row>
    <row r="596" customFormat="false" ht="15" hidden="false" customHeight="false" outlineLevel="0" collapsed="false">
      <c r="A596" s="20"/>
      <c r="B596" s="6"/>
      <c r="C596" s="19"/>
      <c r="D596" s="23"/>
      <c r="E596" s="9" t="str">
        <f aca="false">IF($B596="","",$C596*$D596)</f>
        <v/>
      </c>
      <c r="F596" s="19"/>
      <c r="G596" s="19"/>
    </row>
    <row r="597" customFormat="false" ht="15" hidden="false" customHeight="false" outlineLevel="0" collapsed="false">
      <c r="A597" s="20"/>
      <c r="B597" s="6"/>
      <c r="C597" s="19"/>
      <c r="D597" s="23"/>
      <c r="E597" s="9" t="str">
        <f aca="false">IF($B597="","",$C597*$D597)</f>
        <v/>
      </c>
      <c r="F597" s="19"/>
      <c r="G597" s="19"/>
    </row>
    <row r="598" customFormat="false" ht="15" hidden="false" customHeight="false" outlineLevel="0" collapsed="false">
      <c r="A598" s="20"/>
      <c r="B598" s="6"/>
      <c r="C598" s="19"/>
      <c r="D598" s="23"/>
      <c r="E598" s="9" t="str">
        <f aca="false">IF($B598="","",$C598*$D598)</f>
        <v/>
      </c>
      <c r="F598" s="19"/>
      <c r="G598" s="19"/>
    </row>
    <row r="599" customFormat="false" ht="15" hidden="false" customHeight="false" outlineLevel="0" collapsed="false">
      <c r="A599" s="20"/>
      <c r="B599" s="6"/>
      <c r="C599" s="19"/>
      <c r="D599" s="23"/>
      <c r="E599" s="9" t="str">
        <f aca="false">IF($B599="","",$C599*$D599)</f>
        <v/>
      </c>
      <c r="F599" s="19"/>
      <c r="G599" s="19"/>
    </row>
    <row r="600" customFormat="false" ht="15" hidden="false" customHeight="false" outlineLevel="0" collapsed="false">
      <c r="A600" s="20"/>
      <c r="B600" s="6"/>
      <c r="C600" s="19"/>
      <c r="D600" s="23"/>
      <c r="E600" s="9" t="str">
        <f aca="false">IF($B600="","",$C600*$D600)</f>
        <v/>
      </c>
      <c r="F600" s="19"/>
      <c r="G600" s="19"/>
    </row>
    <row r="601" customFormat="false" ht="15" hidden="false" customHeight="false" outlineLevel="0" collapsed="false">
      <c r="A601" s="20"/>
      <c r="B601" s="6"/>
      <c r="C601" s="19"/>
      <c r="D601" s="23"/>
      <c r="E601" s="9" t="str">
        <f aca="false">IF($B601="","",$C601*$D601)</f>
        <v/>
      </c>
      <c r="F601" s="19"/>
      <c r="G601" s="19"/>
    </row>
    <row r="602" customFormat="false" ht="15" hidden="false" customHeight="false" outlineLevel="0" collapsed="false">
      <c r="A602" s="20"/>
      <c r="B602" s="6"/>
      <c r="C602" s="19"/>
      <c r="D602" s="23"/>
      <c r="E602" s="9" t="str">
        <f aca="false">IF($B602="","",$C602*$D602)</f>
        <v/>
      </c>
      <c r="F602" s="19"/>
      <c r="G602" s="19"/>
    </row>
    <row r="603" customFormat="false" ht="15" hidden="false" customHeight="false" outlineLevel="0" collapsed="false">
      <c r="A603" s="20"/>
      <c r="B603" s="6"/>
      <c r="C603" s="19"/>
      <c r="D603" s="23"/>
      <c r="E603" s="9" t="str">
        <f aca="false">IF($B603="","",$C603*$D603)</f>
        <v/>
      </c>
      <c r="F603" s="19"/>
      <c r="G603" s="19"/>
    </row>
    <row r="604" customFormat="false" ht="15" hidden="false" customHeight="false" outlineLevel="0" collapsed="false">
      <c r="A604" s="20"/>
      <c r="B604" s="6"/>
      <c r="C604" s="19"/>
      <c r="D604" s="23"/>
      <c r="E604" s="9" t="str">
        <f aca="false">IF($B604="","",$C604*$D604)</f>
        <v/>
      </c>
      <c r="F604" s="19"/>
      <c r="G604" s="19"/>
    </row>
    <row r="605" customFormat="false" ht="15" hidden="false" customHeight="false" outlineLevel="0" collapsed="false">
      <c r="A605" s="20"/>
      <c r="B605" s="6"/>
      <c r="C605" s="19"/>
      <c r="D605" s="23"/>
      <c r="E605" s="9" t="str">
        <f aca="false">IF($B605="","",$C605*$D605)</f>
        <v/>
      </c>
      <c r="F605" s="19"/>
      <c r="G605" s="19"/>
    </row>
    <row r="606" customFormat="false" ht="15" hidden="false" customHeight="false" outlineLevel="0" collapsed="false">
      <c r="A606" s="20"/>
      <c r="B606" s="6"/>
      <c r="C606" s="19"/>
      <c r="D606" s="23"/>
      <c r="E606" s="9" t="str">
        <f aca="false">IF($B606="","",$C606*$D606)</f>
        <v/>
      </c>
      <c r="F606" s="19"/>
      <c r="G606" s="19"/>
    </row>
    <row r="607" customFormat="false" ht="15" hidden="false" customHeight="false" outlineLevel="0" collapsed="false">
      <c r="A607" s="20"/>
      <c r="B607" s="6"/>
      <c r="C607" s="19"/>
      <c r="D607" s="23"/>
      <c r="E607" s="9" t="str">
        <f aca="false">IF($B607="","",$C607*$D607)</f>
        <v/>
      </c>
      <c r="F607" s="19"/>
      <c r="G607" s="19"/>
    </row>
    <row r="608" customFormat="false" ht="15" hidden="false" customHeight="false" outlineLevel="0" collapsed="false">
      <c r="A608" s="20"/>
      <c r="B608" s="6"/>
      <c r="C608" s="19"/>
      <c r="D608" s="23"/>
      <c r="E608" s="9" t="str">
        <f aca="false">IF($B608="","",$C608*$D608)</f>
        <v/>
      </c>
      <c r="F608" s="19"/>
      <c r="G608" s="19"/>
    </row>
    <row r="609" customFormat="false" ht="15" hidden="false" customHeight="false" outlineLevel="0" collapsed="false">
      <c r="A609" s="20"/>
      <c r="B609" s="6"/>
      <c r="C609" s="19"/>
      <c r="D609" s="23"/>
      <c r="E609" s="9" t="str">
        <f aca="false">IF($B609="","",$C609*$D609)</f>
        <v/>
      </c>
      <c r="F609" s="19"/>
      <c r="G609" s="19"/>
    </row>
    <row r="610" customFormat="false" ht="15" hidden="false" customHeight="false" outlineLevel="0" collapsed="false">
      <c r="A610" s="20"/>
      <c r="B610" s="6"/>
      <c r="C610" s="19"/>
      <c r="D610" s="23"/>
      <c r="E610" s="9" t="str">
        <f aca="false">IF($B610="","",$C610*$D610)</f>
        <v/>
      </c>
      <c r="F610" s="19"/>
      <c r="G610" s="19"/>
    </row>
    <row r="611" customFormat="false" ht="15" hidden="false" customHeight="false" outlineLevel="0" collapsed="false">
      <c r="A611" s="20"/>
      <c r="B611" s="6"/>
      <c r="C611" s="19"/>
      <c r="D611" s="23"/>
      <c r="E611" s="9" t="str">
        <f aca="false">IF($B611="","",$C611*$D611)</f>
        <v/>
      </c>
      <c r="F611" s="19"/>
      <c r="G611" s="19"/>
    </row>
    <row r="612" customFormat="false" ht="15" hidden="false" customHeight="false" outlineLevel="0" collapsed="false">
      <c r="A612" s="20"/>
      <c r="B612" s="6"/>
      <c r="C612" s="19"/>
      <c r="D612" s="23"/>
      <c r="E612" s="9" t="str">
        <f aca="false">IF($B612="","",$C612*$D612)</f>
        <v/>
      </c>
      <c r="F612" s="19"/>
      <c r="G612" s="19"/>
    </row>
    <row r="613" customFormat="false" ht="15" hidden="false" customHeight="false" outlineLevel="0" collapsed="false">
      <c r="A613" s="20"/>
      <c r="B613" s="6"/>
      <c r="C613" s="19"/>
      <c r="D613" s="23"/>
      <c r="E613" s="9" t="str">
        <f aca="false">IF($B613="","",$C613*$D613)</f>
        <v/>
      </c>
      <c r="F613" s="19"/>
      <c r="G613" s="19"/>
    </row>
    <row r="614" customFormat="false" ht="15" hidden="false" customHeight="false" outlineLevel="0" collapsed="false">
      <c r="A614" s="20"/>
      <c r="B614" s="6"/>
      <c r="C614" s="19"/>
      <c r="D614" s="23"/>
      <c r="E614" s="9" t="str">
        <f aca="false">IF($B614="","",$C614*$D614)</f>
        <v/>
      </c>
      <c r="F614" s="19"/>
      <c r="G614" s="19"/>
    </row>
    <row r="615" customFormat="false" ht="15" hidden="false" customHeight="false" outlineLevel="0" collapsed="false">
      <c r="A615" s="20"/>
      <c r="B615" s="6"/>
      <c r="C615" s="19"/>
      <c r="D615" s="23"/>
      <c r="E615" s="9" t="str">
        <f aca="false">IF($B615="","",$C615*$D615)</f>
        <v/>
      </c>
      <c r="F615" s="19"/>
      <c r="G615" s="19"/>
    </row>
    <row r="616" customFormat="false" ht="15" hidden="false" customHeight="false" outlineLevel="0" collapsed="false">
      <c r="A616" s="20"/>
      <c r="B616" s="6"/>
      <c r="C616" s="19"/>
      <c r="D616" s="23"/>
      <c r="E616" s="9" t="str">
        <f aca="false">IF($B616="","",$C616*$D616)</f>
        <v/>
      </c>
      <c r="F616" s="19"/>
      <c r="G616" s="19"/>
    </row>
    <row r="617" customFormat="false" ht="15" hidden="false" customHeight="false" outlineLevel="0" collapsed="false">
      <c r="A617" s="20"/>
      <c r="B617" s="6"/>
      <c r="C617" s="19"/>
      <c r="D617" s="23"/>
      <c r="E617" s="9" t="str">
        <f aca="false">IF($B617="","",$C617*$D617)</f>
        <v/>
      </c>
      <c r="F617" s="19"/>
      <c r="G617" s="19"/>
    </row>
    <row r="618" customFormat="false" ht="15" hidden="false" customHeight="false" outlineLevel="0" collapsed="false">
      <c r="A618" s="20"/>
      <c r="B618" s="6"/>
      <c r="C618" s="19"/>
      <c r="D618" s="23"/>
      <c r="E618" s="9" t="str">
        <f aca="false">IF($B618="","",$C618*$D618)</f>
        <v/>
      </c>
      <c r="F618" s="19"/>
      <c r="G618" s="19"/>
    </row>
    <row r="619" customFormat="false" ht="15" hidden="false" customHeight="false" outlineLevel="0" collapsed="false">
      <c r="A619" s="20"/>
      <c r="B619" s="6"/>
      <c r="C619" s="19"/>
      <c r="D619" s="23"/>
      <c r="E619" s="9" t="str">
        <f aca="false">IF($B619="","",$C619*$D619)</f>
        <v/>
      </c>
      <c r="F619" s="19"/>
      <c r="G619" s="19"/>
    </row>
    <row r="620" customFormat="false" ht="15" hidden="false" customHeight="false" outlineLevel="0" collapsed="false">
      <c r="A620" s="20"/>
      <c r="B620" s="6"/>
      <c r="C620" s="19"/>
      <c r="D620" s="23"/>
      <c r="E620" s="9" t="str">
        <f aca="false">IF($B620="","",$C620*$D620)</f>
        <v/>
      </c>
      <c r="F620" s="19"/>
      <c r="G620" s="19"/>
    </row>
    <row r="621" customFormat="false" ht="15" hidden="false" customHeight="false" outlineLevel="0" collapsed="false">
      <c r="A621" s="20"/>
      <c r="B621" s="6"/>
      <c r="C621" s="19"/>
      <c r="D621" s="23"/>
      <c r="E621" s="9" t="str">
        <f aca="false">IF($B621="","",$C621*$D621)</f>
        <v/>
      </c>
      <c r="F621" s="19"/>
      <c r="G621" s="19"/>
    </row>
    <row r="622" customFormat="false" ht="15" hidden="false" customHeight="false" outlineLevel="0" collapsed="false">
      <c r="A622" s="20"/>
      <c r="B622" s="6"/>
      <c r="C622" s="19"/>
      <c r="D622" s="23"/>
      <c r="E622" s="9" t="str">
        <f aca="false">IF($B622="","",$C622*$D622)</f>
        <v/>
      </c>
      <c r="F622" s="19"/>
      <c r="G622" s="19"/>
    </row>
    <row r="623" customFormat="false" ht="15" hidden="false" customHeight="false" outlineLevel="0" collapsed="false">
      <c r="A623" s="20"/>
      <c r="B623" s="6"/>
      <c r="C623" s="19"/>
      <c r="D623" s="23"/>
      <c r="E623" s="9" t="str">
        <f aca="false">IF($B623="","",$C623*$D623)</f>
        <v/>
      </c>
      <c r="F623" s="19"/>
      <c r="G623" s="19"/>
    </row>
    <row r="624" customFormat="false" ht="15" hidden="false" customHeight="false" outlineLevel="0" collapsed="false">
      <c r="A624" s="20"/>
      <c r="B624" s="6"/>
      <c r="C624" s="19"/>
      <c r="D624" s="23"/>
      <c r="E624" s="9" t="str">
        <f aca="false">IF($B624="","",$C624*$D624)</f>
        <v/>
      </c>
      <c r="F624" s="19"/>
      <c r="G624" s="19"/>
    </row>
    <row r="625" customFormat="false" ht="15" hidden="false" customHeight="false" outlineLevel="0" collapsed="false">
      <c r="A625" s="20"/>
      <c r="B625" s="6"/>
      <c r="C625" s="19"/>
      <c r="D625" s="23"/>
      <c r="E625" s="9" t="str">
        <f aca="false">IF($B625="","",$C625*$D625)</f>
        <v/>
      </c>
      <c r="F625" s="19"/>
      <c r="G625" s="19"/>
    </row>
    <row r="626" customFormat="false" ht="15" hidden="false" customHeight="false" outlineLevel="0" collapsed="false">
      <c r="A626" s="20"/>
      <c r="B626" s="6"/>
      <c r="C626" s="19"/>
      <c r="D626" s="23"/>
      <c r="E626" s="9" t="str">
        <f aca="false">IF($B626="","",$C626*$D626)</f>
        <v/>
      </c>
      <c r="F626" s="19"/>
      <c r="G626" s="19"/>
    </row>
    <row r="627" customFormat="false" ht="15" hidden="false" customHeight="false" outlineLevel="0" collapsed="false">
      <c r="A627" s="20"/>
      <c r="B627" s="6"/>
      <c r="C627" s="19"/>
      <c r="D627" s="23"/>
      <c r="E627" s="9" t="str">
        <f aca="false">IF($B627="","",$C627*$D627)</f>
        <v/>
      </c>
      <c r="F627" s="19"/>
      <c r="G627" s="19"/>
    </row>
    <row r="628" customFormat="false" ht="15" hidden="false" customHeight="false" outlineLevel="0" collapsed="false">
      <c r="A628" s="20"/>
      <c r="B628" s="6"/>
      <c r="C628" s="19"/>
      <c r="D628" s="23"/>
      <c r="E628" s="9" t="str">
        <f aca="false">IF($B628="","",$C628*$D628)</f>
        <v/>
      </c>
      <c r="F628" s="19"/>
      <c r="G628" s="19"/>
    </row>
    <row r="629" customFormat="false" ht="15" hidden="false" customHeight="false" outlineLevel="0" collapsed="false">
      <c r="A629" s="20"/>
      <c r="B629" s="6"/>
      <c r="C629" s="19"/>
      <c r="D629" s="23"/>
      <c r="E629" s="9" t="str">
        <f aca="false">IF($B629="","",$C629*$D629)</f>
        <v/>
      </c>
      <c r="F629" s="19"/>
      <c r="G629" s="19"/>
    </row>
    <row r="630" customFormat="false" ht="15" hidden="false" customHeight="false" outlineLevel="0" collapsed="false">
      <c r="A630" s="20"/>
      <c r="B630" s="6"/>
      <c r="C630" s="19"/>
      <c r="D630" s="23"/>
      <c r="E630" s="9" t="str">
        <f aca="false">IF($B630="","",$C630*$D630)</f>
        <v/>
      </c>
      <c r="F630" s="19"/>
      <c r="G630" s="19"/>
    </row>
    <row r="631" customFormat="false" ht="15" hidden="false" customHeight="false" outlineLevel="0" collapsed="false">
      <c r="A631" s="20"/>
      <c r="B631" s="6"/>
      <c r="C631" s="19"/>
      <c r="D631" s="23"/>
      <c r="E631" s="9" t="str">
        <f aca="false">IF($B631="","",$C631*$D631)</f>
        <v/>
      </c>
      <c r="F631" s="19"/>
      <c r="G631" s="19"/>
    </row>
    <row r="632" customFormat="false" ht="15" hidden="false" customHeight="false" outlineLevel="0" collapsed="false">
      <c r="A632" s="20"/>
      <c r="B632" s="6"/>
      <c r="C632" s="19"/>
      <c r="D632" s="23"/>
      <c r="E632" s="9" t="str">
        <f aca="false">IF($B632="","",$C632*$D632)</f>
        <v/>
      </c>
      <c r="F632" s="19"/>
      <c r="G632" s="19"/>
    </row>
    <row r="633" customFormat="false" ht="15" hidden="false" customHeight="false" outlineLevel="0" collapsed="false">
      <c r="A633" s="20"/>
      <c r="B633" s="6"/>
      <c r="C633" s="19"/>
      <c r="D633" s="23"/>
      <c r="E633" s="9" t="str">
        <f aca="false">IF($B633="","",$C633*$D633)</f>
        <v/>
      </c>
      <c r="F633" s="19"/>
      <c r="G633" s="19"/>
    </row>
    <row r="634" customFormat="false" ht="15" hidden="false" customHeight="false" outlineLevel="0" collapsed="false">
      <c r="A634" s="20"/>
      <c r="B634" s="6"/>
      <c r="C634" s="19"/>
      <c r="D634" s="23"/>
      <c r="E634" s="9" t="str">
        <f aca="false">IF($B634="","",$C634*$D634)</f>
        <v/>
      </c>
      <c r="F634" s="19"/>
      <c r="G634" s="19"/>
    </row>
    <row r="635" customFormat="false" ht="15" hidden="false" customHeight="false" outlineLevel="0" collapsed="false">
      <c r="A635" s="20"/>
      <c r="B635" s="6"/>
      <c r="C635" s="19"/>
      <c r="D635" s="23"/>
      <c r="E635" s="9" t="str">
        <f aca="false">IF($B635="","",$C635*$D635)</f>
        <v/>
      </c>
      <c r="F635" s="19"/>
      <c r="G635" s="19"/>
    </row>
    <row r="636" customFormat="false" ht="15" hidden="false" customHeight="false" outlineLevel="0" collapsed="false">
      <c r="A636" s="20"/>
      <c r="B636" s="6"/>
      <c r="C636" s="19"/>
      <c r="D636" s="23"/>
      <c r="E636" s="9" t="str">
        <f aca="false">IF($B636="","",$C636*$D636)</f>
        <v/>
      </c>
      <c r="F636" s="19"/>
      <c r="G636" s="19"/>
    </row>
    <row r="637" customFormat="false" ht="15" hidden="false" customHeight="false" outlineLevel="0" collapsed="false">
      <c r="A637" s="20"/>
      <c r="B637" s="6"/>
      <c r="C637" s="19"/>
      <c r="D637" s="23"/>
      <c r="E637" s="9" t="str">
        <f aca="false">IF($B637="","",$C637*$D637)</f>
        <v/>
      </c>
      <c r="F637" s="19"/>
      <c r="G637" s="19"/>
    </row>
    <row r="638" customFormat="false" ht="15" hidden="false" customHeight="false" outlineLevel="0" collapsed="false">
      <c r="A638" s="20"/>
      <c r="B638" s="6"/>
      <c r="C638" s="19"/>
      <c r="D638" s="23"/>
      <c r="E638" s="9" t="str">
        <f aca="false">IF($B638="","",$C638*$D638)</f>
        <v/>
      </c>
      <c r="F638" s="19"/>
      <c r="G638" s="19"/>
    </row>
    <row r="639" customFormat="false" ht="15" hidden="false" customHeight="false" outlineLevel="0" collapsed="false">
      <c r="A639" s="20"/>
      <c r="B639" s="6"/>
      <c r="C639" s="19"/>
      <c r="D639" s="23"/>
      <c r="E639" s="9" t="str">
        <f aca="false">IF($B639="","",$C639*$D639)</f>
        <v/>
      </c>
      <c r="F639" s="19"/>
      <c r="G639" s="19"/>
    </row>
    <row r="640" customFormat="false" ht="15" hidden="false" customHeight="false" outlineLevel="0" collapsed="false">
      <c r="A640" s="20"/>
      <c r="B640" s="6"/>
      <c r="C640" s="19"/>
      <c r="D640" s="23"/>
      <c r="E640" s="9" t="str">
        <f aca="false">IF($B640="","",$C640*$D640)</f>
        <v/>
      </c>
      <c r="F640" s="19"/>
      <c r="G640" s="19"/>
    </row>
    <row r="641" customFormat="false" ht="15" hidden="false" customHeight="false" outlineLevel="0" collapsed="false">
      <c r="A641" s="20"/>
      <c r="B641" s="6"/>
      <c r="C641" s="19"/>
      <c r="D641" s="23"/>
      <c r="E641" s="9" t="str">
        <f aca="false">IF($B641="","",$C641*$D641)</f>
        <v/>
      </c>
      <c r="F641" s="19"/>
      <c r="G641" s="19"/>
    </row>
    <row r="642" customFormat="false" ht="15" hidden="false" customHeight="false" outlineLevel="0" collapsed="false">
      <c r="A642" s="20"/>
      <c r="B642" s="6"/>
      <c r="C642" s="19"/>
      <c r="D642" s="23"/>
      <c r="E642" s="9" t="str">
        <f aca="false">IF($B642="","",$C642*$D642)</f>
        <v/>
      </c>
      <c r="F642" s="19"/>
      <c r="G642" s="19"/>
    </row>
    <row r="643" customFormat="false" ht="15" hidden="false" customHeight="false" outlineLevel="0" collapsed="false">
      <c r="A643" s="20"/>
      <c r="B643" s="6"/>
      <c r="C643" s="19"/>
      <c r="D643" s="23"/>
      <c r="E643" s="9" t="str">
        <f aca="false">IF($B643="","",$C643*$D643)</f>
        <v/>
      </c>
      <c r="F643" s="19"/>
      <c r="G643" s="19"/>
    </row>
    <row r="644" customFormat="false" ht="15" hidden="false" customHeight="false" outlineLevel="0" collapsed="false">
      <c r="A644" s="20"/>
      <c r="B644" s="6"/>
      <c r="C644" s="19"/>
      <c r="D644" s="23"/>
      <c r="E644" s="9" t="str">
        <f aca="false">IF($B644="","",$C644*$D644)</f>
        <v/>
      </c>
      <c r="F644" s="19"/>
      <c r="G644" s="19"/>
    </row>
    <row r="645" customFormat="false" ht="15" hidden="false" customHeight="false" outlineLevel="0" collapsed="false">
      <c r="A645" s="20"/>
      <c r="B645" s="6"/>
      <c r="C645" s="19"/>
      <c r="D645" s="23"/>
      <c r="E645" s="9" t="str">
        <f aca="false">IF($B645="","",$C645*$D645)</f>
        <v/>
      </c>
      <c r="F645" s="19"/>
      <c r="G645" s="19"/>
    </row>
    <row r="646" customFormat="false" ht="15" hidden="false" customHeight="false" outlineLevel="0" collapsed="false">
      <c r="A646" s="20"/>
      <c r="B646" s="6"/>
      <c r="C646" s="19"/>
      <c r="D646" s="23"/>
      <c r="E646" s="9" t="str">
        <f aca="false">IF($B646="","",$C646*$D646)</f>
        <v/>
      </c>
      <c r="F646" s="19"/>
      <c r="G646" s="19"/>
    </row>
    <row r="647" customFormat="false" ht="15" hidden="false" customHeight="false" outlineLevel="0" collapsed="false">
      <c r="A647" s="20"/>
      <c r="B647" s="6"/>
      <c r="C647" s="19"/>
      <c r="D647" s="23"/>
      <c r="E647" s="9" t="str">
        <f aca="false">IF($B647="","",$C647*$D647)</f>
        <v/>
      </c>
      <c r="F647" s="19"/>
      <c r="G647" s="19"/>
    </row>
    <row r="648" customFormat="false" ht="15" hidden="false" customHeight="false" outlineLevel="0" collapsed="false">
      <c r="A648" s="20"/>
      <c r="B648" s="6"/>
      <c r="C648" s="19"/>
      <c r="D648" s="23"/>
      <c r="E648" s="9" t="str">
        <f aca="false">IF($B648="","",$C648*$D648)</f>
        <v/>
      </c>
      <c r="F648" s="19"/>
      <c r="G648" s="19"/>
    </row>
    <row r="649" customFormat="false" ht="15" hidden="false" customHeight="false" outlineLevel="0" collapsed="false">
      <c r="A649" s="20"/>
      <c r="B649" s="6"/>
      <c r="C649" s="19"/>
      <c r="D649" s="23"/>
      <c r="E649" s="9" t="str">
        <f aca="false">IF($B649="","",$C649*$D649)</f>
        <v/>
      </c>
      <c r="F649" s="19"/>
      <c r="G649" s="19"/>
    </row>
    <row r="650" customFormat="false" ht="15" hidden="false" customHeight="false" outlineLevel="0" collapsed="false">
      <c r="A650" s="20"/>
      <c r="B650" s="6"/>
      <c r="C650" s="19"/>
      <c r="D650" s="23"/>
      <c r="E650" s="9" t="str">
        <f aca="false">IF($B650="","",$C650*$D650)</f>
        <v/>
      </c>
      <c r="F650" s="19"/>
      <c r="G650" s="19"/>
    </row>
    <row r="651" customFormat="false" ht="15" hidden="false" customHeight="false" outlineLevel="0" collapsed="false">
      <c r="A651" s="20"/>
      <c r="B651" s="6"/>
      <c r="C651" s="19"/>
      <c r="D651" s="23"/>
      <c r="E651" s="9" t="str">
        <f aca="false">IF($B651="","",$C651*$D651)</f>
        <v/>
      </c>
      <c r="F651" s="19"/>
      <c r="G651" s="19"/>
    </row>
    <row r="652" customFormat="false" ht="15" hidden="false" customHeight="false" outlineLevel="0" collapsed="false">
      <c r="A652" s="20"/>
      <c r="B652" s="6"/>
      <c r="C652" s="19"/>
      <c r="D652" s="23"/>
      <c r="E652" s="9" t="str">
        <f aca="false">IF($B652="","",$C652*$D652)</f>
        <v/>
      </c>
      <c r="F652" s="19"/>
      <c r="G652" s="19"/>
    </row>
    <row r="653" customFormat="false" ht="15" hidden="false" customHeight="false" outlineLevel="0" collapsed="false">
      <c r="A653" s="20"/>
      <c r="B653" s="6"/>
      <c r="C653" s="19"/>
      <c r="D653" s="23"/>
      <c r="E653" s="9" t="str">
        <f aca="false">IF($B653="","",$C653*$D653)</f>
        <v/>
      </c>
      <c r="F653" s="19"/>
      <c r="G653" s="19"/>
    </row>
    <row r="654" customFormat="false" ht="15" hidden="false" customHeight="false" outlineLevel="0" collapsed="false">
      <c r="A654" s="20"/>
      <c r="B654" s="6"/>
      <c r="C654" s="19"/>
      <c r="D654" s="23"/>
      <c r="E654" s="9" t="str">
        <f aca="false">IF($B654="","",$C654*$D654)</f>
        <v/>
      </c>
      <c r="F654" s="19"/>
      <c r="G654" s="19"/>
    </row>
    <row r="655" customFormat="false" ht="15" hidden="false" customHeight="false" outlineLevel="0" collapsed="false">
      <c r="A655" s="20"/>
      <c r="B655" s="6"/>
      <c r="C655" s="19"/>
      <c r="D655" s="23"/>
      <c r="E655" s="9" t="str">
        <f aca="false">IF($B655="","",$C655*$D655)</f>
        <v/>
      </c>
      <c r="F655" s="19"/>
      <c r="G655" s="19"/>
    </row>
    <row r="656" customFormat="false" ht="15" hidden="false" customHeight="false" outlineLevel="0" collapsed="false">
      <c r="A656" s="20"/>
      <c r="B656" s="6"/>
      <c r="C656" s="19"/>
      <c r="D656" s="23"/>
      <c r="E656" s="9" t="str">
        <f aca="false">IF($B656="","",$C656*$D656)</f>
        <v/>
      </c>
      <c r="F656" s="19"/>
      <c r="G656" s="19"/>
    </row>
    <row r="657" customFormat="false" ht="15" hidden="false" customHeight="false" outlineLevel="0" collapsed="false">
      <c r="A657" s="20"/>
      <c r="B657" s="6"/>
      <c r="C657" s="19"/>
      <c r="D657" s="23"/>
      <c r="E657" s="9" t="str">
        <f aca="false">IF($B657="","",$C657*$D657)</f>
        <v/>
      </c>
      <c r="F657" s="19"/>
      <c r="G657" s="19"/>
    </row>
    <row r="658" customFormat="false" ht="15" hidden="false" customHeight="false" outlineLevel="0" collapsed="false">
      <c r="A658" s="20"/>
      <c r="B658" s="6"/>
      <c r="C658" s="19"/>
      <c r="D658" s="23"/>
      <c r="E658" s="9" t="str">
        <f aca="false">IF($B658="","",$C658*$D658)</f>
        <v/>
      </c>
      <c r="F658" s="19"/>
      <c r="G658" s="19"/>
    </row>
    <row r="659" customFormat="false" ht="15" hidden="false" customHeight="false" outlineLevel="0" collapsed="false">
      <c r="A659" s="20"/>
      <c r="B659" s="6"/>
      <c r="C659" s="19"/>
      <c r="D659" s="23"/>
      <c r="E659" s="9" t="str">
        <f aca="false">IF($B659="","",$C659*$D659)</f>
        <v/>
      </c>
      <c r="F659" s="19"/>
      <c r="G659" s="19"/>
    </row>
    <row r="660" customFormat="false" ht="15" hidden="false" customHeight="false" outlineLevel="0" collapsed="false">
      <c r="A660" s="20"/>
      <c r="B660" s="6"/>
      <c r="C660" s="19"/>
      <c r="D660" s="23"/>
      <c r="E660" s="9" t="str">
        <f aca="false">IF($B660="","",$C660*$D660)</f>
        <v/>
      </c>
      <c r="F660" s="19"/>
      <c r="G660" s="19"/>
    </row>
    <row r="661" customFormat="false" ht="15" hidden="false" customHeight="false" outlineLevel="0" collapsed="false">
      <c r="A661" s="20"/>
      <c r="B661" s="6"/>
      <c r="C661" s="19"/>
      <c r="D661" s="23"/>
      <c r="E661" s="9" t="str">
        <f aca="false">IF($B661="","",$C661*$D661)</f>
        <v/>
      </c>
      <c r="F661" s="19"/>
      <c r="G661" s="19"/>
    </row>
    <row r="662" customFormat="false" ht="15" hidden="false" customHeight="false" outlineLevel="0" collapsed="false">
      <c r="A662" s="20"/>
      <c r="B662" s="6"/>
      <c r="C662" s="19"/>
      <c r="D662" s="23"/>
      <c r="E662" s="9" t="str">
        <f aca="false">IF($B662="","",$C662*$D662)</f>
        <v/>
      </c>
      <c r="F662" s="19"/>
      <c r="G662" s="19"/>
    </row>
    <row r="663" customFormat="false" ht="15" hidden="false" customHeight="false" outlineLevel="0" collapsed="false">
      <c r="A663" s="20"/>
      <c r="B663" s="6"/>
      <c r="C663" s="19"/>
      <c r="D663" s="23"/>
      <c r="E663" s="9" t="str">
        <f aca="false">IF($B663="","",$C663*$D663)</f>
        <v/>
      </c>
      <c r="F663" s="19"/>
      <c r="G663" s="19"/>
    </row>
    <row r="664" customFormat="false" ht="15" hidden="false" customHeight="false" outlineLevel="0" collapsed="false">
      <c r="A664" s="20"/>
      <c r="B664" s="6"/>
      <c r="C664" s="19"/>
      <c r="D664" s="23"/>
      <c r="E664" s="9" t="str">
        <f aca="false">IF($B664="","",$C664*$D664)</f>
        <v/>
      </c>
      <c r="F664" s="19"/>
      <c r="G664" s="19"/>
    </row>
    <row r="665" customFormat="false" ht="15" hidden="false" customHeight="false" outlineLevel="0" collapsed="false">
      <c r="A665" s="20"/>
      <c r="B665" s="6"/>
      <c r="C665" s="19"/>
      <c r="D665" s="23"/>
      <c r="E665" s="9" t="str">
        <f aca="false">IF($B665="","",$C665*$D665)</f>
        <v/>
      </c>
      <c r="F665" s="19"/>
      <c r="G665" s="19"/>
    </row>
    <row r="666" customFormat="false" ht="15" hidden="false" customHeight="false" outlineLevel="0" collapsed="false">
      <c r="A666" s="20"/>
      <c r="B666" s="6"/>
      <c r="C666" s="19"/>
      <c r="D666" s="23"/>
      <c r="E666" s="9" t="str">
        <f aca="false">IF($B666="","",$C666*$D666)</f>
        <v/>
      </c>
      <c r="F666" s="19"/>
      <c r="G666" s="19"/>
    </row>
    <row r="667" customFormat="false" ht="15" hidden="false" customHeight="false" outlineLevel="0" collapsed="false">
      <c r="A667" s="20"/>
      <c r="B667" s="6"/>
      <c r="C667" s="19"/>
      <c r="D667" s="23"/>
      <c r="E667" s="9" t="str">
        <f aca="false">IF($B667="","",$C667*$D667)</f>
        <v/>
      </c>
      <c r="F667" s="19"/>
      <c r="G667" s="19"/>
    </row>
    <row r="668" customFormat="false" ht="15" hidden="false" customHeight="false" outlineLevel="0" collapsed="false">
      <c r="A668" s="20"/>
      <c r="B668" s="6"/>
      <c r="C668" s="19"/>
      <c r="D668" s="23"/>
      <c r="E668" s="9" t="str">
        <f aca="false">IF($B668="","",$C668*$D668)</f>
        <v/>
      </c>
      <c r="F668" s="19"/>
      <c r="G668" s="19"/>
    </row>
    <row r="669" customFormat="false" ht="15" hidden="false" customHeight="false" outlineLevel="0" collapsed="false">
      <c r="A669" s="20"/>
      <c r="B669" s="6"/>
      <c r="C669" s="19"/>
      <c r="D669" s="23"/>
      <c r="E669" s="9" t="str">
        <f aca="false">IF($B669="","",$C669*$D669)</f>
        <v/>
      </c>
      <c r="F669" s="19"/>
      <c r="G669" s="19"/>
    </row>
    <row r="670" customFormat="false" ht="15" hidden="false" customHeight="false" outlineLevel="0" collapsed="false">
      <c r="A670" s="20"/>
      <c r="B670" s="6"/>
      <c r="C670" s="19"/>
      <c r="D670" s="23"/>
      <c r="E670" s="9" t="str">
        <f aca="false">IF($B670="","",$C670*$D670)</f>
        <v/>
      </c>
      <c r="F670" s="19"/>
      <c r="G670" s="19"/>
    </row>
    <row r="671" customFormat="false" ht="15" hidden="false" customHeight="false" outlineLevel="0" collapsed="false">
      <c r="A671" s="20"/>
      <c r="B671" s="6"/>
      <c r="C671" s="19"/>
      <c r="D671" s="23"/>
      <c r="E671" s="9" t="str">
        <f aca="false">IF($B671="","",$C671*$D671)</f>
        <v/>
      </c>
      <c r="F671" s="19"/>
      <c r="G671" s="19"/>
    </row>
    <row r="672" customFormat="false" ht="15" hidden="false" customHeight="false" outlineLevel="0" collapsed="false">
      <c r="A672" s="20"/>
      <c r="B672" s="6"/>
      <c r="C672" s="19"/>
      <c r="D672" s="23"/>
      <c r="E672" s="9" t="str">
        <f aca="false">IF($B672="","",$C672*$D672)</f>
        <v/>
      </c>
      <c r="F672" s="19"/>
      <c r="G672" s="19"/>
    </row>
    <row r="673" customFormat="false" ht="15" hidden="false" customHeight="false" outlineLevel="0" collapsed="false">
      <c r="A673" s="20"/>
      <c r="B673" s="6"/>
      <c r="C673" s="19"/>
      <c r="D673" s="23"/>
      <c r="E673" s="9" t="str">
        <f aca="false">IF($B673="","",$C673*$D673)</f>
        <v/>
      </c>
      <c r="F673" s="19"/>
      <c r="G673" s="19"/>
    </row>
    <row r="674" customFormat="false" ht="15" hidden="false" customHeight="false" outlineLevel="0" collapsed="false">
      <c r="A674" s="20"/>
      <c r="B674" s="6"/>
      <c r="C674" s="19"/>
      <c r="D674" s="23"/>
      <c r="E674" s="9" t="str">
        <f aca="false">IF($B674="","",$C674*$D674)</f>
        <v/>
      </c>
      <c r="F674" s="19"/>
      <c r="G674" s="19"/>
    </row>
    <row r="675" customFormat="false" ht="15" hidden="false" customHeight="false" outlineLevel="0" collapsed="false">
      <c r="A675" s="20"/>
      <c r="B675" s="6"/>
      <c r="C675" s="19"/>
      <c r="D675" s="23"/>
      <c r="E675" s="9" t="str">
        <f aca="false">IF($B675="","",$C675*$D675)</f>
        <v/>
      </c>
      <c r="F675" s="19"/>
      <c r="G675" s="19"/>
    </row>
    <row r="676" customFormat="false" ht="15" hidden="false" customHeight="false" outlineLevel="0" collapsed="false">
      <c r="A676" s="20"/>
      <c r="B676" s="6"/>
      <c r="C676" s="19"/>
      <c r="D676" s="23"/>
      <c r="E676" s="9" t="str">
        <f aca="false">IF($B676="","",$C676*$D676)</f>
        <v/>
      </c>
      <c r="F676" s="19"/>
      <c r="G676" s="19"/>
    </row>
    <row r="677" customFormat="false" ht="15" hidden="false" customHeight="false" outlineLevel="0" collapsed="false">
      <c r="A677" s="20"/>
      <c r="B677" s="6"/>
      <c r="C677" s="19"/>
      <c r="D677" s="23"/>
      <c r="E677" s="9" t="str">
        <f aca="false">IF($B677="","",$C677*$D677)</f>
        <v/>
      </c>
      <c r="F677" s="19"/>
      <c r="G677" s="19"/>
    </row>
    <row r="678" customFormat="false" ht="15" hidden="false" customHeight="false" outlineLevel="0" collapsed="false">
      <c r="A678" s="20"/>
      <c r="B678" s="6"/>
      <c r="C678" s="19"/>
      <c r="D678" s="23"/>
      <c r="E678" s="9" t="str">
        <f aca="false">IF($B678="","",$C678*$D678)</f>
        <v/>
      </c>
      <c r="F678" s="19"/>
      <c r="G678" s="19"/>
    </row>
    <row r="679" customFormat="false" ht="15" hidden="false" customHeight="false" outlineLevel="0" collapsed="false">
      <c r="A679" s="20"/>
      <c r="B679" s="6"/>
      <c r="C679" s="19"/>
      <c r="D679" s="23"/>
      <c r="E679" s="9" t="str">
        <f aca="false">IF($B679="","",$C679*$D679)</f>
        <v/>
      </c>
      <c r="F679" s="19"/>
      <c r="G679" s="19"/>
    </row>
    <row r="680" customFormat="false" ht="15" hidden="false" customHeight="false" outlineLevel="0" collapsed="false">
      <c r="A680" s="20"/>
      <c r="B680" s="6"/>
      <c r="C680" s="19"/>
      <c r="D680" s="23"/>
      <c r="E680" s="9" t="str">
        <f aca="false">IF($B680="","",$C680*$D680)</f>
        <v/>
      </c>
      <c r="F680" s="19"/>
      <c r="G680" s="19"/>
    </row>
    <row r="681" customFormat="false" ht="15" hidden="false" customHeight="false" outlineLevel="0" collapsed="false">
      <c r="A681" s="20"/>
      <c r="B681" s="6"/>
      <c r="C681" s="19"/>
      <c r="D681" s="23"/>
      <c r="E681" s="9" t="str">
        <f aca="false">IF($B681="","",$C681*$D681)</f>
        <v/>
      </c>
      <c r="F681" s="19"/>
      <c r="G681" s="19"/>
    </row>
    <row r="682" customFormat="false" ht="15" hidden="false" customHeight="false" outlineLevel="0" collapsed="false">
      <c r="A682" s="20"/>
      <c r="B682" s="6"/>
      <c r="C682" s="19"/>
      <c r="D682" s="23"/>
      <c r="E682" s="9" t="str">
        <f aca="false">IF($B682="","",$C682*$D682)</f>
        <v/>
      </c>
      <c r="F682" s="19"/>
      <c r="G682" s="19"/>
    </row>
    <row r="683" customFormat="false" ht="15" hidden="false" customHeight="false" outlineLevel="0" collapsed="false">
      <c r="A683" s="20"/>
      <c r="B683" s="6"/>
      <c r="C683" s="19"/>
      <c r="D683" s="23"/>
      <c r="E683" s="9" t="str">
        <f aca="false">IF($B683="","",$C683*$D683)</f>
        <v/>
      </c>
      <c r="F683" s="19"/>
      <c r="G683" s="19"/>
    </row>
    <row r="684" customFormat="false" ht="15" hidden="false" customHeight="false" outlineLevel="0" collapsed="false">
      <c r="A684" s="20"/>
      <c r="B684" s="6"/>
      <c r="C684" s="19"/>
      <c r="D684" s="23"/>
      <c r="E684" s="9" t="str">
        <f aca="false">IF($B684="","",$C684*$D684)</f>
        <v/>
      </c>
      <c r="F684" s="19"/>
      <c r="G684" s="19"/>
    </row>
    <row r="685" customFormat="false" ht="15" hidden="false" customHeight="false" outlineLevel="0" collapsed="false">
      <c r="A685" s="20"/>
      <c r="B685" s="6"/>
      <c r="C685" s="19"/>
      <c r="D685" s="23"/>
      <c r="E685" s="9" t="str">
        <f aca="false">IF($B685="","",$C685*$D685)</f>
        <v/>
      </c>
      <c r="F685" s="19"/>
      <c r="G685" s="19"/>
    </row>
    <row r="686" customFormat="false" ht="15" hidden="false" customHeight="false" outlineLevel="0" collapsed="false">
      <c r="A686" s="20"/>
      <c r="B686" s="6"/>
      <c r="C686" s="19"/>
      <c r="D686" s="23"/>
      <c r="E686" s="9" t="str">
        <f aca="false">IF($B686="","",$C686*$D686)</f>
        <v/>
      </c>
      <c r="F686" s="19"/>
      <c r="G686" s="19"/>
    </row>
    <row r="687" customFormat="false" ht="15" hidden="false" customHeight="false" outlineLevel="0" collapsed="false">
      <c r="A687" s="20"/>
      <c r="B687" s="6"/>
      <c r="C687" s="19"/>
      <c r="D687" s="23"/>
      <c r="E687" s="9" t="str">
        <f aca="false">IF($B687="","",$C687*$D687)</f>
        <v/>
      </c>
      <c r="F687" s="19"/>
      <c r="G687" s="19"/>
    </row>
    <row r="688" customFormat="false" ht="15" hidden="false" customHeight="false" outlineLevel="0" collapsed="false">
      <c r="A688" s="20"/>
      <c r="B688" s="6"/>
      <c r="C688" s="19"/>
      <c r="D688" s="23"/>
      <c r="E688" s="9" t="str">
        <f aca="false">IF($B688="","",$C688*$D688)</f>
        <v/>
      </c>
      <c r="F688" s="19"/>
      <c r="G688" s="19"/>
    </row>
    <row r="689" customFormat="false" ht="15" hidden="false" customHeight="false" outlineLevel="0" collapsed="false">
      <c r="A689" s="20"/>
      <c r="B689" s="6"/>
      <c r="C689" s="19"/>
      <c r="D689" s="23"/>
      <c r="E689" s="9" t="str">
        <f aca="false">IF($B689="","",$C689*$D689)</f>
        <v/>
      </c>
      <c r="F689" s="19"/>
      <c r="G689" s="19"/>
    </row>
    <row r="690" customFormat="false" ht="15" hidden="false" customHeight="false" outlineLevel="0" collapsed="false">
      <c r="A690" s="20"/>
      <c r="B690" s="6"/>
      <c r="C690" s="19"/>
      <c r="D690" s="23"/>
      <c r="E690" s="9" t="str">
        <f aca="false">IF($B690="","",$C690*$D690)</f>
        <v/>
      </c>
      <c r="F690" s="19"/>
      <c r="G690" s="19"/>
    </row>
    <row r="691" customFormat="false" ht="15" hidden="false" customHeight="false" outlineLevel="0" collapsed="false">
      <c r="A691" s="20"/>
      <c r="B691" s="6"/>
      <c r="C691" s="19"/>
      <c r="D691" s="23"/>
      <c r="E691" s="9" t="str">
        <f aca="false">IF($B691="","",$C691*$D691)</f>
        <v/>
      </c>
      <c r="F691" s="19"/>
      <c r="G691" s="19"/>
    </row>
    <row r="692" customFormat="false" ht="15" hidden="false" customHeight="false" outlineLevel="0" collapsed="false">
      <c r="A692" s="20"/>
      <c r="B692" s="6"/>
      <c r="C692" s="19"/>
      <c r="D692" s="23"/>
      <c r="E692" s="9" t="str">
        <f aca="false">IF($B692="","",$C692*$D692)</f>
        <v/>
      </c>
      <c r="F692" s="19"/>
      <c r="G692" s="19"/>
    </row>
    <row r="693" customFormat="false" ht="15" hidden="false" customHeight="false" outlineLevel="0" collapsed="false">
      <c r="A693" s="20"/>
      <c r="B693" s="6"/>
      <c r="C693" s="19"/>
      <c r="D693" s="23"/>
      <c r="E693" s="9" t="str">
        <f aca="false">IF($B693="","",$C693*$D693)</f>
        <v/>
      </c>
      <c r="F693" s="19"/>
      <c r="G693" s="19"/>
    </row>
    <row r="694" customFormat="false" ht="15" hidden="false" customHeight="false" outlineLevel="0" collapsed="false">
      <c r="A694" s="20"/>
      <c r="B694" s="6"/>
      <c r="C694" s="19"/>
      <c r="D694" s="23"/>
      <c r="E694" s="9" t="str">
        <f aca="false">IF($B694="","",$C694*$D694)</f>
        <v/>
      </c>
      <c r="F694" s="19"/>
      <c r="G694" s="19"/>
    </row>
    <row r="695" customFormat="false" ht="15" hidden="false" customHeight="false" outlineLevel="0" collapsed="false">
      <c r="A695" s="20"/>
      <c r="B695" s="6"/>
      <c r="C695" s="19"/>
      <c r="D695" s="23"/>
      <c r="E695" s="9" t="str">
        <f aca="false">IF($B695="","",$C695*$D695)</f>
        <v/>
      </c>
      <c r="F695" s="19"/>
      <c r="G695" s="19"/>
    </row>
    <row r="696" customFormat="false" ht="15" hidden="false" customHeight="false" outlineLevel="0" collapsed="false">
      <c r="A696" s="20"/>
      <c r="B696" s="6"/>
      <c r="C696" s="19"/>
      <c r="D696" s="23"/>
      <c r="E696" s="9" t="str">
        <f aca="false">IF($B696="","",$C696*$D696)</f>
        <v/>
      </c>
      <c r="F696" s="19"/>
      <c r="G696" s="19"/>
    </row>
    <row r="697" customFormat="false" ht="15" hidden="false" customHeight="false" outlineLevel="0" collapsed="false">
      <c r="A697" s="20"/>
      <c r="B697" s="6"/>
      <c r="C697" s="19"/>
      <c r="D697" s="23"/>
      <c r="E697" s="9" t="str">
        <f aca="false">IF($B697="","",$C697*$D697)</f>
        <v/>
      </c>
      <c r="F697" s="19"/>
      <c r="G697" s="19"/>
    </row>
    <row r="698" customFormat="false" ht="15" hidden="false" customHeight="false" outlineLevel="0" collapsed="false">
      <c r="A698" s="20"/>
      <c r="B698" s="6"/>
      <c r="C698" s="19"/>
      <c r="D698" s="23"/>
      <c r="E698" s="9" t="str">
        <f aca="false">IF($B698="","",$C698*$D698)</f>
        <v/>
      </c>
      <c r="F698" s="19"/>
      <c r="G698" s="19"/>
    </row>
    <row r="699" customFormat="false" ht="15" hidden="false" customHeight="false" outlineLevel="0" collapsed="false">
      <c r="A699" s="20"/>
      <c r="B699" s="6"/>
      <c r="C699" s="19"/>
      <c r="D699" s="23"/>
      <c r="E699" s="9" t="str">
        <f aca="false">IF($B699="","",$C699*$D699)</f>
        <v/>
      </c>
      <c r="F699" s="19"/>
      <c r="G699" s="19"/>
    </row>
    <row r="700" customFormat="false" ht="15" hidden="false" customHeight="false" outlineLevel="0" collapsed="false">
      <c r="A700" s="20"/>
      <c r="B700" s="6"/>
      <c r="C700" s="19"/>
      <c r="D700" s="23"/>
      <c r="E700" s="9" t="str">
        <f aca="false">IF($B700="","",$C700*$D700)</f>
        <v/>
      </c>
      <c r="F700" s="19"/>
      <c r="G700" s="19"/>
    </row>
    <row r="701" customFormat="false" ht="15" hidden="false" customHeight="false" outlineLevel="0" collapsed="false">
      <c r="A701" s="20"/>
      <c r="B701" s="6"/>
      <c r="C701" s="19"/>
      <c r="D701" s="23"/>
      <c r="E701" s="9" t="str">
        <f aca="false">IF($B701="","",$C701*$D701)</f>
        <v/>
      </c>
      <c r="F701" s="19"/>
      <c r="G701" s="19"/>
    </row>
    <row r="702" customFormat="false" ht="15" hidden="false" customHeight="false" outlineLevel="0" collapsed="false">
      <c r="A702" s="20"/>
      <c r="B702" s="6"/>
      <c r="C702" s="19"/>
      <c r="D702" s="23"/>
      <c r="E702" s="9" t="str">
        <f aca="false">IF($B702="","",$C702*$D702)</f>
        <v/>
      </c>
      <c r="F702" s="19"/>
      <c r="G702" s="19"/>
    </row>
    <row r="703" customFormat="false" ht="15" hidden="false" customHeight="false" outlineLevel="0" collapsed="false">
      <c r="A703" s="20"/>
      <c r="B703" s="6"/>
      <c r="C703" s="19"/>
      <c r="D703" s="23"/>
      <c r="E703" s="9" t="str">
        <f aca="false">IF($B703="","",$C703*$D703)</f>
        <v/>
      </c>
      <c r="F703" s="19"/>
      <c r="G703" s="19"/>
    </row>
    <row r="704" customFormat="false" ht="15" hidden="false" customHeight="false" outlineLevel="0" collapsed="false">
      <c r="A704" s="20"/>
      <c r="B704" s="6"/>
      <c r="C704" s="19"/>
      <c r="D704" s="23"/>
      <c r="E704" s="9" t="str">
        <f aca="false">IF($B704="","",$C704*$D704)</f>
        <v/>
      </c>
      <c r="F704" s="19"/>
      <c r="G704" s="19"/>
    </row>
    <row r="705" customFormat="false" ht="15" hidden="false" customHeight="false" outlineLevel="0" collapsed="false">
      <c r="A705" s="20"/>
      <c r="B705" s="6"/>
      <c r="C705" s="19"/>
      <c r="D705" s="23"/>
      <c r="E705" s="9" t="str">
        <f aca="false">IF($B705="","",$C705*$D705)</f>
        <v/>
      </c>
      <c r="F705" s="19"/>
      <c r="G705" s="19"/>
    </row>
    <row r="706" customFormat="false" ht="15" hidden="false" customHeight="false" outlineLevel="0" collapsed="false">
      <c r="A706" s="20"/>
      <c r="B706" s="6"/>
      <c r="C706" s="19"/>
      <c r="D706" s="23"/>
      <c r="E706" s="9" t="str">
        <f aca="false">IF($B706="","",$C706*$D706)</f>
        <v/>
      </c>
      <c r="F706" s="19"/>
      <c r="G706" s="19"/>
    </row>
    <row r="707" customFormat="false" ht="15" hidden="false" customHeight="false" outlineLevel="0" collapsed="false">
      <c r="A707" s="20"/>
      <c r="B707" s="6"/>
      <c r="C707" s="19"/>
      <c r="D707" s="23"/>
      <c r="E707" s="9" t="str">
        <f aca="false">IF($B707="","",$C707*$D707)</f>
        <v/>
      </c>
      <c r="F707" s="19"/>
      <c r="G707" s="19"/>
    </row>
    <row r="708" customFormat="false" ht="15" hidden="false" customHeight="false" outlineLevel="0" collapsed="false">
      <c r="A708" s="20"/>
      <c r="B708" s="6"/>
      <c r="C708" s="19"/>
      <c r="D708" s="23"/>
      <c r="E708" s="9" t="str">
        <f aca="false">IF($B708="","",$C708*$D708)</f>
        <v/>
      </c>
      <c r="F708" s="19"/>
      <c r="G708" s="19"/>
    </row>
    <row r="709" customFormat="false" ht="15" hidden="false" customHeight="false" outlineLevel="0" collapsed="false">
      <c r="A709" s="20"/>
      <c r="B709" s="6"/>
      <c r="C709" s="19"/>
      <c r="D709" s="23"/>
      <c r="E709" s="9" t="str">
        <f aca="false">IF($B709="","",$C709*$D709)</f>
        <v/>
      </c>
      <c r="F709" s="19"/>
      <c r="G709" s="19"/>
    </row>
    <row r="710" customFormat="false" ht="15" hidden="false" customHeight="false" outlineLevel="0" collapsed="false">
      <c r="A710" s="20"/>
      <c r="B710" s="6"/>
      <c r="C710" s="19"/>
      <c r="D710" s="23"/>
      <c r="E710" s="9" t="str">
        <f aca="false">IF($B710="","",$C710*$D710)</f>
        <v/>
      </c>
      <c r="F710" s="19"/>
      <c r="G710" s="19"/>
    </row>
    <row r="711" customFormat="false" ht="15" hidden="false" customHeight="false" outlineLevel="0" collapsed="false">
      <c r="A711" s="20"/>
      <c r="B711" s="6"/>
      <c r="C711" s="19"/>
      <c r="D711" s="23"/>
      <c r="E711" s="9" t="str">
        <f aca="false">IF($B711="","",$C711*$D711)</f>
        <v/>
      </c>
      <c r="F711" s="19"/>
      <c r="G711" s="19"/>
    </row>
    <row r="712" customFormat="false" ht="15" hidden="false" customHeight="false" outlineLevel="0" collapsed="false">
      <c r="A712" s="20"/>
      <c r="B712" s="6"/>
      <c r="C712" s="19"/>
      <c r="D712" s="23"/>
      <c r="E712" s="9" t="str">
        <f aca="false">IF($B712="","",$C712*$D712)</f>
        <v/>
      </c>
      <c r="F712" s="19"/>
      <c r="G712" s="19"/>
    </row>
    <row r="713" customFormat="false" ht="15" hidden="false" customHeight="false" outlineLevel="0" collapsed="false">
      <c r="A713" s="20"/>
      <c r="B713" s="6"/>
      <c r="C713" s="19"/>
      <c r="D713" s="23"/>
      <c r="E713" s="9" t="str">
        <f aca="false">IF($B713="","",$C713*$D713)</f>
        <v/>
      </c>
      <c r="F713" s="19"/>
      <c r="G713" s="19"/>
    </row>
    <row r="714" customFormat="false" ht="15" hidden="false" customHeight="false" outlineLevel="0" collapsed="false">
      <c r="A714" s="20"/>
      <c r="B714" s="6"/>
      <c r="C714" s="19"/>
      <c r="D714" s="23"/>
      <c r="E714" s="9" t="str">
        <f aca="false">IF($B714="","",$C714*$D714)</f>
        <v/>
      </c>
      <c r="F714" s="19"/>
      <c r="G714" s="19"/>
    </row>
    <row r="715" customFormat="false" ht="15" hidden="false" customHeight="false" outlineLevel="0" collapsed="false">
      <c r="A715" s="20"/>
      <c r="B715" s="6"/>
      <c r="C715" s="19"/>
      <c r="D715" s="23"/>
      <c r="E715" s="9" t="str">
        <f aca="false">IF($B715="","",$C715*$D715)</f>
        <v/>
      </c>
      <c r="F715" s="19"/>
      <c r="G715" s="19"/>
    </row>
    <row r="716" customFormat="false" ht="15" hidden="false" customHeight="false" outlineLevel="0" collapsed="false">
      <c r="A716" s="20"/>
      <c r="B716" s="6"/>
      <c r="C716" s="19"/>
      <c r="D716" s="23"/>
      <c r="E716" s="9" t="str">
        <f aca="false">IF($B716="","",$C716*$D716)</f>
        <v/>
      </c>
      <c r="F716" s="19"/>
      <c r="G716" s="19"/>
    </row>
    <row r="717" customFormat="false" ht="15" hidden="false" customHeight="false" outlineLevel="0" collapsed="false">
      <c r="A717" s="20"/>
      <c r="B717" s="6"/>
      <c r="C717" s="19"/>
      <c r="D717" s="23"/>
      <c r="E717" s="9" t="str">
        <f aca="false">IF($B717="","",$C717*$D717)</f>
        <v/>
      </c>
      <c r="F717" s="19"/>
      <c r="G717" s="19"/>
    </row>
    <row r="718" customFormat="false" ht="15" hidden="false" customHeight="false" outlineLevel="0" collapsed="false">
      <c r="A718" s="20"/>
      <c r="B718" s="6"/>
      <c r="C718" s="19"/>
      <c r="D718" s="23"/>
      <c r="E718" s="9" t="str">
        <f aca="false">IF($B718="","",$C718*$D718)</f>
        <v/>
      </c>
      <c r="F718" s="19"/>
      <c r="G718" s="19"/>
    </row>
    <row r="719" customFormat="false" ht="15" hidden="false" customHeight="false" outlineLevel="0" collapsed="false">
      <c r="A719" s="20"/>
      <c r="B719" s="6"/>
      <c r="C719" s="19"/>
      <c r="D719" s="23"/>
      <c r="E719" s="9" t="str">
        <f aca="false">IF($B719="","",$C719*$D719)</f>
        <v/>
      </c>
      <c r="F719" s="19"/>
      <c r="G719" s="19"/>
    </row>
    <row r="720" customFormat="false" ht="15" hidden="false" customHeight="false" outlineLevel="0" collapsed="false">
      <c r="A720" s="20"/>
      <c r="B720" s="6"/>
      <c r="C720" s="19"/>
      <c r="D720" s="23"/>
      <c r="E720" s="9" t="str">
        <f aca="false">IF($B720="","",$C720*$D720)</f>
        <v/>
      </c>
      <c r="F720" s="19"/>
      <c r="G720" s="19"/>
    </row>
    <row r="721" customFormat="false" ht="15" hidden="false" customHeight="false" outlineLevel="0" collapsed="false">
      <c r="A721" s="20"/>
      <c r="B721" s="6"/>
      <c r="C721" s="19"/>
      <c r="D721" s="23"/>
      <c r="E721" s="9" t="str">
        <f aca="false">IF($B721="","",$C721*$D721)</f>
        <v/>
      </c>
      <c r="F721" s="19"/>
      <c r="G721" s="19"/>
    </row>
    <row r="722" customFormat="false" ht="15" hidden="false" customHeight="false" outlineLevel="0" collapsed="false">
      <c r="A722" s="20"/>
      <c r="B722" s="6"/>
      <c r="C722" s="19"/>
      <c r="D722" s="23"/>
      <c r="E722" s="9" t="str">
        <f aca="false">IF($B722="","",$C722*$D722)</f>
        <v/>
      </c>
      <c r="F722" s="19"/>
      <c r="G722" s="19"/>
    </row>
    <row r="723" customFormat="false" ht="15" hidden="false" customHeight="false" outlineLevel="0" collapsed="false">
      <c r="A723" s="20"/>
      <c r="B723" s="6"/>
      <c r="C723" s="19"/>
      <c r="D723" s="23"/>
      <c r="E723" s="9" t="str">
        <f aca="false">IF($B723="","",$C723*$D723)</f>
        <v/>
      </c>
      <c r="F723" s="19"/>
      <c r="G723" s="19"/>
    </row>
    <row r="724" customFormat="false" ht="15" hidden="false" customHeight="false" outlineLevel="0" collapsed="false">
      <c r="A724" s="20"/>
      <c r="B724" s="6"/>
      <c r="C724" s="19"/>
      <c r="D724" s="23"/>
      <c r="E724" s="9" t="str">
        <f aca="false">IF($B724="","",$C724*$D724)</f>
        <v/>
      </c>
      <c r="F724" s="19"/>
      <c r="G724" s="19"/>
    </row>
    <row r="725" customFormat="false" ht="15" hidden="false" customHeight="false" outlineLevel="0" collapsed="false">
      <c r="A725" s="20"/>
      <c r="B725" s="6"/>
      <c r="C725" s="19"/>
      <c r="D725" s="23"/>
      <c r="E725" s="9" t="str">
        <f aca="false">IF($B725="","",$C725*$D725)</f>
        <v/>
      </c>
      <c r="F725" s="19"/>
      <c r="G725" s="19"/>
    </row>
    <row r="726" customFormat="false" ht="15" hidden="false" customHeight="false" outlineLevel="0" collapsed="false">
      <c r="A726" s="20"/>
      <c r="B726" s="6"/>
      <c r="C726" s="19"/>
      <c r="D726" s="23"/>
      <c r="E726" s="9" t="str">
        <f aca="false">IF($B726="","",$C726*$D726)</f>
        <v/>
      </c>
      <c r="F726" s="19"/>
      <c r="G726" s="19"/>
    </row>
    <row r="727" customFormat="false" ht="15" hidden="false" customHeight="false" outlineLevel="0" collapsed="false">
      <c r="A727" s="20"/>
      <c r="B727" s="6"/>
      <c r="C727" s="19"/>
      <c r="D727" s="23"/>
      <c r="E727" s="9" t="str">
        <f aca="false">IF($B727="","",$C727*$D727)</f>
        <v/>
      </c>
      <c r="F727" s="19"/>
      <c r="G727" s="19"/>
    </row>
    <row r="728" customFormat="false" ht="15" hidden="false" customHeight="false" outlineLevel="0" collapsed="false">
      <c r="A728" s="20"/>
      <c r="B728" s="6"/>
      <c r="C728" s="19"/>
      <c r="D728" s="23"/>
      <c r="E728" s="9" t="str">
        <f aca="false">IF($B728="","",$C728*$D728)</f>
        <v/>
      </c>
      <c r="F728" s="19"/>
      <c r="G728" s="19"/>
    </row>
    <row r="729" customFormat="false" ht="15" hidden="false" customHeight="false" outlineLevel="0" collapsed="false">
      <c r="A729" s="20"/>
      <c r="B729" s="6"/>
      <c r="C729" s="19"/>
      <c r="D729" s="23"/>
      <c r="E729" s="9" t="str">
        <f aca="false">IF($B729="","",$C729*$D729)</f>
        <v/>
      </c>
      <c r="F729" s="19"/>
      <c r="G729" s="19"/>
    </row>
    <row r="730" customFormat="false" ht="15" hidden="false" customHeight="false" outlineLevel="0" collapsed="false">
      <c r="A730" s="20"/>
      <c r="B730" s="6"/>
      <c r="C730" s="19"/>
      <c r="D730" s="23"/>
      <c r="E730" s="9" t="str">
        <f aca="false">IF($B730="","",$C730*$D730)</f>
        <v/>
      </c>
      <c r="F730" s="19"/>
      <c r="G730" s="19"/>
    </row>
    <row r="731" customFormat="false" ht="15" hidden="false" customHeight="false" outlineLevel="0" collapsed="false">
      <c r="A731" s="20"/>
      <c r="B731" s="6"/>
      <c r="C731" s="19"/>
      <c r="D731" s="23"/>
      <c r="E731" s="9" t="str">
        <f aca="false">IF($B731="","",$C731*$D731)</f>
        <v/>
      </c>
      <c r="F731" s="19"/>
      <c r="G731" s="19"/>
    </row>
    <row r="732" customFormat="false" ht="15" hidden="false" customHeight="false" outlineLevel="0" collapsed="false">
      <c r="A732" s="20"/>
      <c r="B732" s="6"/>
      <c r="C732" s="19"/>
      <c r="D732" s="23"/>
      <c r="E732" s="9" t="str">
        <f aca="false">IF($B732="","",$C732*$D732)</f>
        <v/>
      </c>
      <c r="F732" s="19"/>
      <c r="G732" s="19"/>
    </row>
    <row r="733" customFormat="false" ht="15" hidden="false" customHeight="false" outlineLevel="0" collapsed="false">
      <c r="A733" s="20"/>
      <c r="B733" s="6"/>
      <c r="C733" s="19"/>
      <c r="D733" s="23"/>
      <c r="E733" s="9" t="str">
        <f aca="false">IF($B733="","",$C733*$D733)</f>
        <v/>
      </c>
      <c r="F733" s="19"/>
      <c r="G733" s="19"/>
    </row>
    <row r="734" customFormat="false" ht="15" hidden="false" customHeight="false" outlineLevel="0" collapsed="false">
      <c r="A734" s="20"/>
      <c r="B734" s="6"/>
      <c r="C734" s="19"/>
      <c r="D734" s="23"/>
      <c r="E734" s="9" t="str">
        <f aca="false">IF($B734="","",$C734*$D734)</f>
        <v/>
      </c>
      <c r="F734" s="19"/>
      <c r="G734" s="19"/>
    </row>
    <row r="735" customFormat="false" ht="15" hidden="false" customHeight="false" outlineLevel="0" collapsed="false">
      <c r="A735" s="20"/>
      <c r="B735" s="6"/>
      <c r="C735" s="19"/>
      <c r="D735" s="23"/>
      <c r="E735" s="9" t="str">
        <f aca="false">IF($B735="","",$C735*$D735)</f>
        <v/>
      </c>
      <c r="F735" s="19"/>
      <c r="G735" s="19"/>
    </row>
    <row r="736" customFormat="false" ht="15" hidden="false" customHeight="false" outlineLevel="0" collapsed="false">
      <c r="A736" s="20"/>
      <c r="B736" s="6"/>
      <c r="C736" s="19"/>
      <c r="D736" s="23"/>
      <c r="E736" s="9" t="str">
        <f aca="false">IF($B736="","",$C736*$D736)</f>
        <v/>
      </c>
      <c r="F736" s="19"/>
      <c r="G736" s="19"/>
    </row>
    <row r="737" customFormat="false" ht="15" hidden="false" customHeight="false" outlineLevel="0" collapsed="false">
      <c r="A737" s="20"/>
      <c r="B737" s="6"/>
      <c r="C737" s="19"/>
      <c r="D737" s="23"/>
      <c r="E737" s="9" t="str">
        <f aca="false">IF($B737="","",$C737*$D737)</f>
        <v/>
      </c>
      <c r="F737" s="19"/>
      <c r="G737" s="19"/>
    </row>
    <row r="738" customFormat="false" ht="15" hidden="false" customHeight="false" outlineLevel="0" collapsed="false">
      <c r="A738" s="20"/>
      <c r="B738" s="6"/>
      <c r="C738" s="19"/>
      <c r="D738" s="23"/>
      <c r="E738" s="9" t="str">
        <f aca="false">IF($B738="","",$C738*$D738)</f>
        <v/>
      </c>
      <c r="F738" s="19"/>
      <c r="G738" s="19"/>
    </row>
    <row r="739" customFormat="false" ht="15" hidden="false" customHeight="false" outlineLevel="0" collapsed="false">
      <c r="A739" s="20"/>
      <c r="B739" s="6"/>
      <c r="C739" s="19"/>
      <c r="D739" s="23"/>
      <c r="E739" s="9" t="str">
        <f aca="false">IF($B739="","",$C739*$D739)</f>
        <v/>
      </c>
      <c r="F739" s="19"/>
      <c r="G739" s="19"/>
    </row>
    <row r="740" customFormat="false" ht="15" hidden="false" customHeight="false" outlineLevel="0" collapsed="false">
      <c r="A740" s="20"/>
      <c r="B740" s="6"/>
      <c r="C740" s="19"/>
      <c r="D740" s="23"/>
      <c r="E740" s="9" t="str">
        <f aca="false">IF($B740="","",$C740*$D740)</f>
        <v/>
      </c>
      <c r="F740" s="19"/>
      <c r="G740" s="19"/>
    </row>
    <row r="741" customFormat="false" ht="15" hidden="false" customHeight="false" outlineLevel="0" collapsed="false">
      <c r="A741" s="20"/>
      <c r="B741" s="6"/>
      <c r="C741" s="19"/>
      <c r="D741" s="23"/>
      <c r="E741" s="9" t="str">
        <f aca="false">IF($B741="","",$C741*$D741)</f>
        <v/>
      </c>
      <c r="F741" s="19"/>
      <c r="G741" s="19"/>
    </row>
    <row r="742" customFormat="false" ht="15" hidden="false" customHeight="false" outlineLevel="0" collapsed="false">
      <c r="A742" s="20"/>
      <c r="B742" s="6"/>
      <c r="C742" s="19"/>
      <c r="D742" s="23"/>
      <c r="E742" s="9" t="str">
        <f aca="false">IF($B742="","",$C742*$D742)</f>
        <v/>
      </c>
      <c r="F742" s="19"/>
      <c r="G742" s="19"/>
    </row>
    <row r="743" customFormat="false" ht="15" hidden="false" customHeight="false" outlineLevel="0" collapsed="false">
      <c r="A743" s="20"/>
      <c r="B743" s="6"/>
      <c r="C743" s="19"/>
      <c r="D743" s="23"/>
      <c r="E743" s="9" t="str">
        <f aca="false">IF($B743="","",$C743*$D743)</f>
        <v/>
      </c>
      <c r="F743" s="19"/>
      <c r="G743" s="19"/>
    </row>
    <row r="744" customFormat="false" ht="15" hidden="false" customHeight="false" outlineLevel="0" collapsed="false">
      <c r="A744" s="20"/>
      <c r="B744" s="6"/>
      <c r="C744" s="19"/>
      <c r="D744" s="23"/>
      <c r="E744" s="9" t="str">
        <f aca="false">IF($B744="","",$C744*$D744)</f>
        <v/>
      </c>
      <c r="F744" s="19"/>
      <c r="G744" s="19"/>
    </row>
    <row r="745" customFormat="false" ht="15" hidden="false" customHeight="false" outlineLevel="0" collapsed="false">
      <c r="A745" s="20"/>
      <c r="B745" s="6"/>
      <c r="C745" s="19"/>
      <c r="D745" s="23"/>
      <c r="E745" s="9" t="str">
        <f aca="false">IF($B745="","",$C745*$D745)</f>
        <v/>
      </c>
      <c r="F745" s="19"/>
      <c r="G745" s="19"/>
    </row>
    <row r="746" customFormat="false" ht="15" hidden="false" customHeight="false" outlineLevel="0" collapsed="false">
      <c r="A746" s="20"/>
      <c r="B746" s="6"/>
      <c r="C746" s="19"/>
      <c r="D746" s="23"/>
      <c r="E746" s="9" t="str">
        <f aca="false">IF($B746="","",$C746*$D746)</f>
        <v/>
      </c>
      <c r="F746" s="19"/>
      <c r="G746" s="19"/>
    </row>
    <row r="747" customFormat="false" ht="15" hidden="false" customHeight="false" outlineLevel="0" collapsed="false">
      <c r="A747" s="20"/>
      <c r="B747" s="6"/>
      <c r="C747" s="19"/>
      <c r="D747" s="23"/>
      <c r="E747" s="9" t="str">
        <f aca="false">IF($B747="","",$C747*$D747)</f>
        <v/>
      </c>
      <c r="F747" s="19"/>
      <c r="G747" s="19"/>
    </row>
    <row r="748" customFormat="false" ht="15" hidden="false" customHeight="false" outlineLevel="0" collapsed="false">
      <c r="A748" s="20"/>
      <c r="B748" s="6"/>
      <c r="C748" s="19"/>
      <c r="D748" s="23"/>
      <c r="E748" s="9" t="str">
        <f aca="false">IF($B748="","",$C748*$D748)</f>
        <v/>
      </c>
      <c r="F748" s="19"/>
      <c r="G748" s="19"/>
    </row>
    <row r="749" customFormat="false" ht="15" hidden="false" customHeight="false" outlineLevel="0" collapsed="false">
      <c r="A749" s="20"/>
      <c r="B749" s="6"/>
      <c r="C749" s="19"/>
      <c r="D749" s="23"/>
      <c r="E749" s="9" t="str">
        <f aca="false">IF($B749="","",$C749*$D749)</f>
        <v/>
      </c>
      <c r="F749" s="19"/>
      <c r="G749" s="19"/>
    </row>
    <row r="750" customFormat="false" ht="15" hidden="false" customHeight="false" outlineLevel="0" collapsed="false">
      <c r="A750" s="20"/>
      <c r="B750" s="6"/>
      <c r="C750" s="19"/>
      <c r="D750" s="23"/>
      <c r="E750" s="9" t="str">
        <f aca="false">IF($B750="","",$C750*$D750)</f>
        <v/>
      </c>
      <c r="F750" s="19"/>
      <c r="G750" s="19"/>
    </row>
    <row r="751" customFormat="false" ht="15" hidden="false" customHeight="false" outlineLevel="0" collapsed="false">
      <c r="A751" s="20"/>
      <c r="B751" s="6"/>
      <c r="C751" s="19"/>
      <c r="D751" s="23"/>
      <c r="E751" s="9" t="str">
        <f aca="false">IF($B751="","",$C751*$D751)</f>
        <v/>
      </c>
      <c r="F751" s="19"/>
      <c r="G751" s="19"/>
    </row>
    <row r="752" customFormat="false" ht="15" hidden="false" customHeight="false" outlineLevel="0" collapsed="false">
      <c r="A752" s="20"/>
      <c r="B752" s="6"/>
      <c r="C752" s="19"/>
      <c r="D752" s="23"/>
      <c r="E752" s="9" t="str">
        <f aca="false">IF($B752="","",$C752*$D752)</f>
        <v/>
      </c>
      <c r="F752" s="19"/>
      <c r="G752" s="19"/>
    </row>
    <row r="753" customFormat="false" ht="15" hidden="false" customHeight="false" outlineLevel="0" collapsed="false">
      <c r="A753" s="20"/>
      <c r="B753" s="6"/>
      <c r="C753" s="19"/>
      <c r="D753" s="23"/>
      <c r="E753" s="9" t="str">
        <f aca="false">IF($B753="","",$C753*$D753)</f>
        <v/>
      </c>
      <c r="F753" s="19"/>
      <c r="G753" s="19"/>
    </row>
    <row r="754" customFormat="false" ht="15" hidden="false" customHeight="false" outlineLevel="0" collapsed="false">
      <c r="A754" s="20"/>
      <c r="B754" s="6"/>
      <c r="C754" s="19"/>
      <c r="D754" s="23"/>
      <c r="E754" s="9" t="str">
        <f aca="false">IF($B754="","",$C754*$D754)</f>
        <v/>
      </c>
      <c r="F754" s="19"/>
      <c r="G754" s="19"/>
    </row>
    <row r="755" customFormat="false" ht="15" hidden="false" customHeight="false" outlineLevel="0" collapsed="false">
      <c r="A755" s="20"/>
      <c r="B755" s="6"/>
      <c r="C755" s="19"/>
      <c r="D755" s="23"/>
      <c r="E755" s="9" t="str">
        <f aca="false">IF($B755="","",$C755*$D755)</f>
        <v/>
      </c>
      <c r="F755" s="19"/>
      <c r="G755" s="19"/>
    </row>
    <row r="756" customFormat="false" ht="15" hidden="false" customHeight="false" outlineLevel="0" collapsed="false">
      <c r="A756" s="20"/>
      <c r="B756" s="6"/>
      <c r="C756" s="19"/>
      <c r="D756" s="23"/>
      <c r="E756" s="9" t="str">
        <f aca="false">IF($B756="","",$C756*$D756)</f>
        <v/>
      </c>
      <c r="F756" s="19"/>
      <c r="G756" s="19"/>
    </row>
    <row r="757" customFormat="false" ht="15" hidden="false" customHeight="false" outlineLevel="0" collapsed="false">
      <c r="A757" s="20"/>
      <c r="B757" s="6"/>
      <c r="C757" s="19"/>
      <c r="D757" s="23"/>
      <c r="E757" s="9" t="str">
        <f aca="false">IF($B757="","",$C757*$D757)</f>
        <v/>
      </c>
      <c r="F757" s="19"/>
      <c r="G757" s="19"/>
    </row>
    <row r="758" customFormat="false" ht="15" hidden="false" customHeight="false" outlineLevel="0" collapsed="false">
      <c r="A758" s="20"/>
      <c r="B758" s="6"/>
      <c r="C758" s="19"/>
      <c r="D758" s="23"/>
      <c r="E758" s="9" t="str">
        <f aca="false">IF($B758="","",$C758*$D758)</f>
        <v/>
      </c>
      <c r="F758" s="19"/>
      <c r="G758" s="19"/>
    </row>
    <row r="759" customFormat="false" ht="15" hidden="false" customHeight="false" outlineLevel="0" collapsed="false">
      <c r="A759" s="20"/>
      <c r="B759" s="6"/>
      <c r="C759" s="19"/>
      <c r="D759" s="23"/>
      <c r="E759" s="9" t="str">
        <f aca="false">IF($B759="","",$C759*$D759)</f>
        <v/>
      </c>
      <c r="F759" s="19"/>
      <c r="G759" s="19"/>
    </row>
    <row r="760" customFormat="false" ht="15" hidden="false" customHeight="false" outlineLevel="0" collapsed="false">
      <c r="A760" s="20"/>
      <c r="B760" s="6"/>
      <c r="C760" s="19"/>
      <c r="D760" s="23"/>
      <c r="E760" s="9" t="str">
        <f aca="false">IF($B760="","",$C760*$D760)</f>
        <v/>
      </c>
      <c r="F760" s="19"/>
      <c r="G760" s="19"/>
    </row>
    <row r="761" customFormat="false" ht="15" hidden="false" customHeight="false" outlineLevel="0" collapsed="false">
      <c r="A761" s="20"/>
      <c r="B761" s="6"/>
      <c r="C761" s="19"/>
      <c r="D761" s="23"/>
      <c r="E761" s="9" t="str">
        <f aca="false">IF($B761="","",$C761*$D761)</f>
        <v/>
      </c>
      <c r="F761" s="19"/>
      <c r="G761" s="19"/>
    </row>
    <row r="762" customFormat="false" ht="15" hidden="false" customHeight="false" outlineLevel="0" collapsed="false">
      <c r="A762" s="20"/>
      <c r="B762" s="6"/>
      <c r="C762" s="19"/>
      <c r="D762" s="23"/>
      <c r="E762" s="9" t="str">
        <f aca="false">IF($B762="","",$C762*$D762)</f>
        <v/>
      </c>
      <c r="F762" s="19"/>
      <c r="G762" s="19"/>
    </row>
    <row r="763" customFormat="false" ht="15" hidden="false" customHeight="false" outlineLevel="0" collapsed="false">
      <c r="A763" s="20"/>
      <c r="B763" s="6"/>
      <c r="C763" s="19"/>
      <c r="D763" s="23"/>
      <c r="E763" s="9" t="str">
        <f aca="false">IF($B763="","",$C763*$D763)</f>
        <v/>
      </c>
      <c r="F763" s="19"/>
      <c r="G763" s="19"/>
    </row>
    <row r="764" customFormat="false" ht="15" hidden="false" customHeight="false" outlineLevel="0" collapsed="false">
      <c r="A764" s="20"/>
      <c r="B764" s="6"/>
      <c r="C764" s="19"/>
      <c r="D764" s="23"/>
      <c r="E764" s="9" t="str">
        <f aca="false">IF($B764="","",$C764*$D764)</f>
        <v/>
      </c>
      <c r="F764" s="19"/>
      <c r="G764" s="19"/>
    </row>
    <row r="765" customFormat="false" ht="15" hidden="false" customHeight="false" outlineLevel="0" collapsed="false">
      <c r="A765" s="20"/>
      <c r="B765" s="6"/>
      <c r="C765" s="19"/>
      <c r="D765" s="23"/>
      <c r="E765" s="9" t="str">
        <f aca="false">IF($B765="","",$C765*$D765)</f>
        <v/>
      </c>
      <c r="F765" s="19"/>
      <c r="G765" s="19"/>
    </row>
    <row r="766" customFormat="false" ht="15" hidden="false" customHeight="false" outlineLevel="0" collapsed="false">
      <c r="A766" s="20"/>
      <c r="B766" s="6"/>
      <c r="C766" s="19"/>
      <c r="D766" s="23"/>
      <c r="E766" s="9" t="str">
        <f aca="false">IF($B766="","",$C766*$D766)</f>
        <v/>
      </c>
      <c r="F766" s="19"/>
      <c r="G766" s="19"/>
    </row>
    <row r="767" customFormat="false" ht="15" hidden="false" customHeight="false" outlineLevel="0" collapsed="false">
      <c r="A767" s="20"/>
      <c r="B767" s="6"/>
      <c r="C767" s="19"/>
      <c r="D767" s="23"/>
      <c r="E767" s="9" t="str">
        <f aca="false">IF($B767="","",$C767*$D767)</f>
        <v/>
      </c>
      <c r="F767" s="19"/>
      <c r="G767" s="19"/>
    </row>
    <row r="768" customFormat="false" ht="15" hidden="false" customHeight="false" outlineLevel="0" collapsed="false">
      <c r="A768" s="20"/>
      <c r="B768" s="6"/>
      <c r="C768" s="19"/>
      <c r="D768" s="23"/>
      <c r="E768" s="9" t="str">
        <f aca="false">IF($B768="","",$C768*$D768)</f>
        <v/>
      </c>
      <c r="F768" s="19"/>
      <c r="G768" s="19"/>
    </row>
    <row r="769" customFormat="false" ht="15" hidden="false" customHeight="false" outlineLevel="0" collapsed="false">
      <c r="A769" s="20"/>
      <c r="B769" s="6"/>
      <c r="C769" s="19"/>
      <c r="D769" s="23"/>
      <c r="E769" s="9" t="str">
        <f aca="false">IF($B769="","",$C769*$D769)</f>
        <v/>
      </c>
      <c r="F769" s="19"/>
      <c r="G769" s="19"/>
    </row>
    <row r="770" customFormat="false" ht="15" hidden="false" customHeight="false" outlineLevel="0" collapsed="false">
      <c r="A770" s="20"/>
      <c r="B770" s="6"/>
      <c r="C770" s="19"/>
      <c r="D770" s="23"/>
      <c r="E770" s="9" t="str">
        <f aca="false">IF($B770="","",$C770*$D770)</f>
        <v/>
      </c>
      <c r="F770" s="19"/>
      <c r="G770" s="19"/>
    </row>
    <row r="771" customFormat="false" ht="15" hidden="false" customHeight="false" outlineLevel="0" collapsed="false">
      <c r="A771" s="20"/>
      <c r="B771" s="6"/>
      <c r="C771" s="19"/>
      <c r="D771" s="23"/>
      <c r="E771" s="9" t="str">
        <f aca="false">IF($B771="","",$C771*$D771)</f>
        <v/>
      </c>
      <c r="F771" s="19"/>
      <c r="G771" s="19"/>
    </row>
    <row r="772" customFormat="false" ht="15" hidden="false" customHeight="false" outlineLevel="0" collapsed="false">
      <c r="A772" s="20"/>
      <c r="B772" s="6"/>
      <c r="C772" s="19"/>
      <c r="D772" s="23"/>
      <c r="E772" s="9" t="str">
        <f aca="false">IF($B772="","",$C772*$D772)</f>
        <v/>
      </c>
      <c r="F772" s="19"/>
      <c r="G772" s="19"/>
    </row>
    <row r="773" customFormat="false" ht="15" hidden="false" customHeight="false" outlineLevel="0" collapsed="false">
      <c r="A773" s="20"/>
      <c r="B773" s="6"/>
      <c r="C773" s="19"/>
      <c r="D773" s="23"/>
      <c r="E773" s="9" t="str">
        <f aca="false">IF($B773="","",$C773*$D773)</f>
        <v/>
      </c>
      <c r="F773" s="19"/>
      <c r="G773" s="19"/>
    </row>
    <row r="774" customFormat="false" ht="15" hidden="false" customHeight="false" outlineLevel="0" collapsed="false">
      <c r="A774" s="20"/>
      <c r="B774" s="6"/>
      <c r="C774" s="19"/>
      <c r="D774" s="23"/>
      <c r="E774" s="9" t="str">
        <f aca="false">IF($B774="","",$C774*$D774)</f>
        <v/>
      </c>
      <c r="F774" s="19"/>
      <c r="G774" s="19"/>
    </row>
    <row r="775" customFormat="false" ht="15" hidden="false" customHeight="false" outlineLevel="0" collapsed="false">
      <c r="A775" s="20"/>
      <c r="B775" s="6"/>
      <c r="C775" s="19"/>
      <c r="D775" s="23"/>
      <c r="E775" s="9" t="str">
        <f aca="false">IF($B775="","",$C775*$D775)</f>
        <v/>
      </c>
      <c r="F775" s="19"/>
      <c r="G775" s="19"/>
    </row>
    <row r="776" customFormat="false" ht="15" hidden="false" customHeight="false" outlineLevel="0" collapsed="false">
      <c r="A776" s="20"/>
      <c r="B776" s="6"/>
      <c r="C776" s="19"/>
      <c r="D776" s="23"/>
      <c r="E776" s="9" t="str">
        <f aca="false">IF($B776="","",$C776*$D776)</f>
        <v/>
      </c>
      <c r="F776" s="19"/>
      <c r="G776" s="19"/>
    </row>
    <row r="777" customFormat="false" ht="15" hidden="false" customHeight="false" outlineLevel="0" collapsed="false">
      <c r="A777" s="20"/>
      <c r="B777" s="6"/>
      <c r="C777" s="19"/>
      <c r="D777" s="23"/>
      <c r="E777" s="9" t="str">
        <f aca="false">IF($B777="","",$C777*$D777)</f>
        <v/>
      </c>
      <c r="F777" s="19"/>
      <c r="G777" s="19"/>
    </row>
    <row r="778" customFormat="false" ht="15" hidden="false" customHeight="false" outlineLevel="0" collapsed="false">
      <c r="A778" s="20"/>
      <c r="B778" s="6"/>
      <c r="C778" s="19"/>
      <c r="D778" s="23"/>
      <c r="E778" s="9" t="str">
        <f aca="false">IF($B778="","",$C778*$D778)</f>
        <v/>
      </c>
      <c r="F778" s="19"/>
      <c r="G778" s="19"/>
    </row>
    <row r="779" customFormat="false" ht="15" hidden="false" customHeight="false" outlineLevel="0" collapsed="false">
      <c r="A779" s="20"/>
      <c r="B779" s="6"/>
      <c r="C779" s="19"/>
      <c r="D779" s="23"/>
      <c r="E779" s="9" t="str">
        <f aca="false">IF($B779="","",$C779*$D779)</f>
        <v/>
      </c>
      <c r="F779" s="19"/>
      <c r="G779" s="19"/>
    </row>
    <row r="780" customFormat="false" ht="15" hidden="false" customHeight="false" outlineLevel="0" collapsed="false">
      <c r="A780" s="20"/>
      <c r="B780" s="6"/>
      <c r="C780" s="19"/>
      <c r="D780" s="23"/>
      <c r="E780" s="9" t="str">
        <f aca="false">IF($B780="","",$C780*$D780)</f>
        <v/>
      </c>
      <c r="F780" s="19"/>
      <c r="G780" s="19"/>
    </row>
    <row r="781" customFormat="false" ht="15" hidden="false" customHeight="false" outlineLevel="0" collapsed="false">
      <c r="A781" s="20"/>
      <c r="B781" s="6"/>
      <c r="C781" s="19"/>
      <c r="D781" s="23"/>
      <c r="E781" s="9" t="str">
        <f aca="false">IF($B781="","",$C781*$D781)</f>
        <v/>
      </c>
      <c r="F781" s="19"/>
      <c r="G781" s="19"/>
    </row>
    <row r="782" customFormat="false" ht="15" hidden="false" customHeight="false" outlineLevel="0" collapsed="false">
      <c r="A782" s="20"/>
      <c r="B782" s="6"/>
      <c r="C782" s="19"/>
      <c r="D782" s="23"/>
      <c r="E782" s="9" t="str">
        <f aca="false">IF($B782="","",$C782*$D782)</f>
        <v/>
      </c>
      <c r="F782" s="19"/>
      <c r="G782" s="19"/>
    </row>
    <row r="783" customFormat="false" ht="15" hidden="false" customHeight="false" outlineLevel="0" collapsed="false">
      <c r="A783" s="20"/>
      <c r="B783" s="6"/>
      <c r="C783" s="19"/>
      <c r="D783" s="23"/>
      <c r="E783" s="9" t="str">
        <f aca="false">IF($B783="","",$C783*$D783)</f>
        <v/>
      </c>
      <c r="F783" s="19"/>
      <c r="G783" s="19"/>
    </row>
    <row r="784" customFormat="false" ht="15" hidden="false" customHeight="false" outlineLevel="0" collapsed="false">
      <c r="A784" s="20"/>
      <c r="B784" s="6"/>
      <c r="C784" s="19"/>
      <c r="D784" s="23"/>
      <c r="E784" s="9" t="str">
        <f aca="false">IF($B784="","",$C784*$D784)</f>
        <v/>
      </c>
      <c r="F784" s="19"/>
      <c r="G784" s="19"/>
    </row>
    <row r="785" customFormat="false" ht="15" hidden="false" customHeight="false" outlineLevel="0" collapsed="false">
      <c r="A785" s="20"/>
      <c r="B785" s="6"/>
      <c r="C785" s="19"/>
      <c r="D785" s="23"/>
      <c r="E785" s="9" t="str">
        <f aca="false">IF($B785="","",$C785*$D785)</f>
        <v/>
      </c>
      <c r="F785" s="19"/>
      <c r="G785" s="19"/>
    </row>
    <row r="786" customFormat="false" ht="15" hidden="false" customHeight="false" outlineLevel="0" collapsed="false">
      <c r="A786" s="20"/>
      <c r="B786" s="6"/>
      <c r="C786" s="19"/>
      <c r="D786" s="23"/>
      <c r="E786" s="9" t="str">
        <f aca="false">IF($B786="","",$C786*$D786)</f>
        <v/>
      </c>
      <c r="F786" s="19"/>
      <c r="G786" s="19"/>
    </row>
    <row r="787" customFormat="false" ht="15" hidden="false" customHeight="false" outlineLevel="0" collapsed="false">
      <c r="A787" s="20"/>
      <c r="B787" s="6"/>
      <c r="C787" s="19"/>
      <c r="D787" s="23"/>
      <c r="E787" s="9" t="str">
        <f aca="false">IF($B787="","",$C787*$D787)</f>
        <v/>
      </c>
      <c r="F787" s="19"/>
      <c r="G787" s="19"/>
    </row>
    <row r="788" customFormat="false" ht="15" hidden="false" customHeight="false" outlineLevel="0" collapsed="false">
      <c r="A788" s="20"/>
      <c r="B788" s="6"/>
      <c r="C788" s="19"/>
      <c r="D788" s="23"/>
      <c r="E788" s="9" t="str">
        <f aca="false">IF($B788="","",$C788*$D788)</f>
        <v/>
      </c>
      <c r="F788" s="19"/>
      <c r="G788" s="19"/>
    </row>
    <row r="789" customFormat="false" ht="15" hidden="false" customHeight="false" outlineLevel="0" collapsed="false">
      <c r="A789" s="20"/>
      <c r="B789" s="6"/>
      <c r="C789" s="19"/>
      <c r="D789" s="23"/>
      <c r="E789" s="9" t="str">
        <f aca="false">IF($B789="","",$C789*$D789)</f>
        <v/>
      </c>
      <c r="F789" s="19"/>
      <c r="G789" s="19"/>
    </row>
    <row r="790" customFormat="false" ht="15" hidden="false" customHeight="false" outlineLevel="0" collapsed="false">
      <c r="A790" s="20"/>
      <c r="B790" s="6"/>
      <c r="C790" s="19"/>
      <c r="D790" s="23"/>
      <c r="E790" s="9" t="str">
        <f aca="false">IF($B790="","",$C790*$D790)</f>
        <v/>
      </c>
      <c r="F790" s="19"/>
      <c r="G790" s="19"/>
    </row>
    <row r="791" customFormat="false" ht="15" hidden="false" customHeight="false" outlineLevel="0" collapsed="false">
      <c r="A791" s="20"/>
      <c r="B791" s="6"/>
      <c r="C791" s="19"/>
      <c r="D791" s="23"/>
      <c r="E791" s="9" t="str">
        <f aca="false">IF($B791="","",$C791*$D791)</f>
        <v/>
      </c>
      <c r="F791" s="19"/>
      <c r="G791" s="19"/>
    </row>
    <row r="792" customFormat="false" ht="15" hidden="false" customHeight="false" outlineLevel="0" collapsed="false">
      <c r="A792" s="20"/>
      <c r="B792" s="6"/>
      <c r="C792" s="19"/>
      <c r="D792" s="23"/>
      <c r="E792" s="9" t="str">
        <f aca="false">IF($B792="","",$C792*$D792)</f>
        <v/>
      </c>
      <c r="F792" s="19"/>
      <c r="G792" s="19"/>
    </row>
    <row r="793" customFormat="false" ht="15" hidden="false" customHeight="false" outlineLevel="0" collapsed="false">
      <c r="A793" s="20"/>
      <c r="B793" s="6"/>
      <c r="C793" s="19"/>
      <c r="D793" s="23"/>
      <c r="E793" s="9" t="str">
        <f aca="false">IF($B793="","",$C793*$D793)</f>
        <v/>
      </c>
      <c r="F793" s="19"/>
      <c r="G793" s="19"/>
    </row>
    <row r="794" customFormat="false" ht="15" hidden="false" customHeight="false" outlineLevel="0" collapsed="false">
      <c r="A794" s="20"/>
      <c r="B794" s="6"/>
      <c r="C794" s="19"/>
      <c r="D794" s="23"/>
      <c r="E794" s="9" t="str">
        <f aca="false">IF($B794="","",$C794*$D794)</f>
        <v/>
      </c>
      <c r="F794" s="19"/>
      <c r="G794" s="19"/>
    </row>
    <row r="795" customFormat="false" ht="15" hidden="false" customHeight="false" outlineLevel="0" collapsed="false">
      <c r="A795" s="20"/>
      <c r="B795" s="6"/>
      <c r="C795" s="19"/>
      <c r="D795" s="23"/>
      <c r="E795" s="9" t="str">
        <f aca="false">IF($B795="","",$C795*$D795)</f>
        <v/>
      </c>
      <c r="F795" s="19"/>
      <c r="G795" s="19"/>
    </row>
    <row r="796" customFormat="false" ht="15" hidden="false" customHeight="false" outlineLevel="0" collapsed="false">
      <c r="A796" s="20"/>
      <c r="B796" s="6"/>
      <c r="C796" s="19"/>
      <c r="D796" s="23"/>
      <c r="E796" s="9" t="str">
        <f aca="false">IF($B796="","",$C796*$D796)</f>
        <v/>
      </c>
      <c r="F796" s="19"/>
      <c r="G796" s="19"/>
    </row>
    <row r="797" customFormat="false" ht="15" hidden="false" customHeight="false" outlineLevel="0" collapsed="false">
      <c r="A797" s="20"/>
      <c r="B797" s="6"/>
      <c r="C797" s="19"/>
      <c r="D797" s="23"/>
      <c r="E797" s="9" t="str">
        <f aca="false">IF($B797="","",$C797*$D797)</f>
        <v/>
      </c>
      <c r="F797" s="19"/>
      <c r="G797" s="19"/>
    </row>
    <row r="798" customFormat="false" ht="15" hidden="false" customHeight="false" outlineLevel="0" collapsed="false">
      <c r="A798" s="20"/>
      <c r="B798" s="6"/>
      <c r="C798" s="19"/>
      <c r="D798" s="23"/>
      <c r="E798" s="9" t="str">
        <f aca="false">IF($B798="","",$C798*$D798)</f>
        <v/>
      </c>
      <c r="F798" s="19"/>
      <c r="G798" s="19"/>
    </row>
    <row r="799" customFormat="false" ht="15" hidden="false" customHeight="false" outlineLevel="0" collapsed="false">
      <c r="A799" s="20"/>
      <c r="B799" s="6"/>
      <c r="C799" s="19"/>
      <c r="D799" s="23"/>
      <c r="E799" s="9" t="str">
        <f aca="false">IF($B799="","",$C799*$D799)</f>
        <v/>
      </c>
      <c r="F799" s="19"/>
      <c r="G799" s="19"/>
    </row>
    <row r="800" customFormat="false" ht="15" hidden="false" customHeight="false" outlineLevel="0" collapsed="false">
      <c r="A800" s="20"/>
      <c r="B800" s="6"/>
      <c r="C800" s="19"/>
      <c r="D800" s="23"/>
      <c r="E800" s="9" t="str">
        <f aca="false">IF($B800="","",$C800*$D800)</f>
        <v/>
      </c>
      <c r="F800" s="19"/>
      <c r="G800" s="19"/>
    </row>
    <row r="801" customFormat="false" ht="15" hidden="false" customHeight="false" outlineLevel="0" collapsed="false">
      <c r="A801" s="20"/>
      <c r="B801" s="6"/>
      <c r="C801" s="19"/>
      <c r="D801" s="23"/>
      <c r="E801" s="9" t="str">
        <f aca="false">IF($B801="","",$C801*$D801)</f>
        <v/>
      </c>
      <c r="F801" s="19"/>
      <c r="G801" s="19"/>
    </row>
    <row r="802" customFormat="false" ht="15" hidden="false" customHeight="false" outlineLevel="0" collapsed="false">
      <c r="A802" s="20"/>
      <c r="B802" s="6"/>
      <c r="C802" s="19"/>
      <c r="D802" s="23"/>
      <c r="E802" s="9" t="str">
        <f aca="false">IF($B802="","",$C802*$D802)</f>
        <v/>
      </c>
      <c r="F802" s="19"/>
      <c r="G802" s="19"/>
    </row>
    <row r="803" customFormat="false" ht="15" hidden="false" customHeight="false" outlineLevel="0" collapsed="false">
      <c r="A803" s="20"/>
      <c r="B803" s="6"/>
      <c r="C803" s="19"/>
      <c r="D803" s="23"/>
      <c r="E803" s="9" t="str">
        <f aca="false">IF($B803="","",$C803*$D803)</f>
        <v/>
      </c>
      <c r="F803" s="19"/>
      <c r="G803" s="19"/>
    </row>
    <row r="804" customFormat="false" ht="15" hidden="false" customHeight="false" outlineLevel="0" collapsed="false">
      <c r="A804" s="20"/>
      <c r="B804" s="6"/>
      <c r="C804" s="19"/>
      <c r="D804" s="23"/>
      <c r="E804" s="9" t="str">
        <f aca="false">IF($B804="","",$C804*$D804)</f>
        <v/>
      </c>
      <c r="F804" s="19"/>
      <c r="G804" s="19"/>
    </row>
    <row r="805" customFormat="false" ht="15" hidden="false" customHeight="false" outlineLevel="0" collapsed="false">
      <c r="A805" s="20"/>
      <c r="B805" s="6"/>
      <c r="C805" s="19"/>
      <c r="D805" s="23"/>
      <c r="E805" s="9" t="str">
        <f aca="false">IF($B805="","",$C805*$D805)</f>
        <v/>
      </c>
      <c r="F805" s="19"/>
      <c r="G805" s="19"/>
    </row>
    <row r="806" customFormat="false" ht="15" hidden="false" customHeight="false" outlineLevel="0" collapsed="false">
      <c r="A806" s="20"/>
      <c r="B806" s="6"/>
      <c r="C806" s="19"/>
      <c r="D806" s="23"/>
      <c r="E806" s="9" t="str">
        <f aca="false">IF($B806="","",$C806*$D806)</f>
        <v/>
      </c>
      <c r="F806" s="19"/>
      <c r="G806" s="19"/>
    </row>
    <row r="807" customFormat="false" ht="15" hidden="false" customHeight="false" outlineLevel="0" collapsed="false">
      <c r="A807" s="20"/>
      <c r="B807" s="6"/>
      <c r="C807" s="19"/>
      <c r="D807" s="23"/>
      <c r="E807" s="9" t="str">
        <f aca="false">IF($B807="","",$C807*$D807)</f>
        <v/>
      </c>
      <c r="F807" s="19"/>
      <c r="G807" s="19"/>
    </row>
    <row r="808" customFormat="false" ht="15" hidden="false" customHeight="false" outlineLevel="0" collapsed="false">
      <c r="A808" s="20"/>
      <c r="B808" s="6"/>
      <c r="C808" s="19"/>
      <c r="D808" s="23"/>
      <c r="E808" s="9" t="str">
        <f aca="false">IF($B808="","",$C808*$D808)</f>
        <v/>
      </c>
      <c r="F808" s="19"/>
      <c r="G808" s="19"/>
    </row>
    <row r="809" customFormat="false" ht="15" hidden="false" customHeight="false" outlineLevel="0" collapsed="false">
      <c r="A809" s="20"/>
      <c r="B809" s="6"/>
      <c r="C809" s="19"/>
      <c r="D809" s="23"/>
      <c r="E809" s="9" t="str">
        <f aca="false">IF($B809="","",$C809*$D809)</f>
        <v/>
      </c>
      <c r="F809" s="19"/>
      <c r="G809" s="19"/>
    </row>
    <row r="810" customFormat="false" ht="15" hidden="false" customHeight="false" outlineLevel="0" collapsed="false">
      <c r="A810" s="20"/>
      <c r="B810" s="6"/>
      <c r="C810" s="19"/>
      <c r="D810" s="23"/>
      <c r="E810" s="9" t="str">
        <f aca="false">IF($B810="","",$C810*$D810)</f>
        <v/>
      </c>
      <c r="F810" s="19"/>
      <c r="G810" s="19"/>
    </row>
    <row r="811" customFormat="false" ht="15" hidden="false" customHeight="false" outlineLevel="0" collapsed="false">
      <c r="A811" s="20"/>
      <c r="B811" s="6"/>
      <c r="C811" s="19"/>
      <c r="D811" s="23"/>
      <c r="E811" s="9" t="str">
        <f aca="false">IF($B811="","",$C811*$D811)</f>
        <v/>
      </c>
      <c r="F811" s="19"/>
      <c r="G811" s="19"/>
    </row>
    <row r="812" customFormat="false" ht="15" hidden="false" customHeight="false" outlineLevel="0" collapsed="false">
      <c r="A812" s="20"/>
      <c r="B812" s="6"/>
      <c r="C812" s="19"/>
      <c r="D812" s="23"/>
      <c r="E812" s="9" t="str">
        <f aca="false">IF($B812="","",$C812*$D812)</f>
        <v/>
      </c>
      <c r="F812" s="19"/>
      <c r="G812" s="19"/>
    </row>
    <row r="813" customFormat="false" ht="15" hidden="false" customHeight="false" outlineLevel="0" collapsed="false">
      <c r="A813" s="20"/>
      <c r="B813" s="6"/>
      <c r="C813" s="19"/>
      <c r="D813" s="23"/>
      <c r="E813" s="9" t="str">
        <f aca="false">IF($B813="","",$C813*$D813)</f>
        <v/>
      </c>
      <c r="F813" s="19"/>
      <c r="G813" s="19"/>
    </row>
    <row r="814" customFormat="false" ht="15" hidden="false" customHeight="false" outlineLevel="0" collapsed="false">
      <c r="A814" s="20"/>
      <c r="B814" s="6"/>
      <c r="C814" s="19"/>
      <c r="D814" s="23"/>
      <c r="E814" s="9" t="str">
        <f aca="false">IF($B814="","",$C814*$D814)</f>
        <v/>
      </c>
      <c r="F814" s="19"/>
      <c r="G814" s="19"/>
    </row>
    <row r="815" customFormat="false" ht="15" hidden="false" customHeight="false" outlineLevel="0" collapsed="false">
      <c r="A815" s="20"/>
      <c r="B815" s="6"/>
      <c r="C815" s="19"/>
      <c r="D815" s="23"/>
      <c r="E815" s="9" t="str">
        <f aca="false">IF($B815="","",$C815*$D815)</f>
        <v/>
      </c>
      <c r="F815" s="19"/>
      <c r="G815" s="19"/>
    </row>
    <row r="816" customFormat="false" ht="15" hidden="false" customHeight="false" outlineLevel="0" collapsed="false">
      <c r="A816" s="20"/>
      <c r="B816" s="6"/>
      <c r="C816" s="19"/>
      <c r="D816" s="23"/>
      <c r="E816" s="9" t="str">
        <f aca="false">IF($B816="","",$C816*$D816)</f>
        <v/>
      </c>
      <c r="F816" s="19"/>
      <c r="G816" s="19"/>
    </row>
    <row r="817" customFormat="false" ht="15" hidden="false" customHeight="false" outlineLevel="0" collapsed="false">
      <c r="A817" s="20"/>
      <c r="B817" s="6"/>
      <c r="C817" s="19"/>
      <c r="D817" s="23"/>
      <c r="E817" s="9" t="str">
        <f aca="false">IF($B817="","",$C817*$D817)</f>
        <v/>
      </c>
      <c r="F817" s="19"/>
      <c r="G817" s="19"/>
    </row>
    <row r="818" customFormat="false" ht="15" hidden="false" customHeight="false" outlineLevel="0" collapsed="false">
      <c r="A818" s="20"/>
      <c r="B818" s="6"/>
      <c r="C818" s="19"/>
      <c r="D818" s="23"/>
      <c r="E818" s="9" t="str">
        <f aca="false">IF($B818="","",$C818*$D818)</f>
        <v/>
      </c>
      <c r="F818" s="19"/>
      <c r="G818" s="19"/>
    </row>
    <row r="819" customFormat="false" ht="15" hidden="false" customHeight="false" outlineLevel="0" collapsed="false">
      <c r="A819" s="20"/>
      <c r="B819" s="6"/>
      <c r="C819" s="19"/>
      <c r="D819" s="23"/>
      <c r="E819" s="9" t="str">
        <f aca="false">IF($B819="","",$C819*$D819)</f>
        <v/>
      </c>
      <c r="F819" s="19"/>
      <c r="G819" s="19"/>
    </row>
    <row r="820" customFormat="false" ht="15" hidden="false" customHeight="false" outlineLevel="0" collapsed="false">
      <c r="A820" s="20"/>
      <c r="B820" s="6"/>
      <c r="C820" s="19"/>
      <c r="D820" s="23"/>
      <c r="E820" s="9" t="str">
        <f aca="false">IF($B820="","",$C820*$D820)</f>
        <v/>
      </c>
      <c r="F820" s="19"/>
      <c r="G820" s="19"/>
    </row>
    <row r="821" customFormat="false" ht="15" hidden="false" customHeight="false" outlineLevel="0" collapsed="false">
      <c r="A821" s="20"/>
      <c r="B821" s="6"/>
      <c r="C821" s="19"/>
      <c r="D821" s="23"/>
      <c r="E821" s="9" t="str">
        <f aca="false">IF($B821="","",$C821*$D821)</f>
        <v/>
      </c>
      <c r="F821" s="19"/>
      <c r="G821" s="19"/>
    </row>
    <row r="822" customFormat="false" ht="15" hidden="false" customHeight="false" outlineLevel="0" collapsed="false">
      <c r="A822" s="20"/>
      <c r="B822" s="6"/>
      <c r="C822" s="19"/>
      <c r="D822" s="23"/>
      <c r="E822" s="9" t="str">
        <f aca="false">IF($B822="","",$C822*$D822)</f>
        <v/>
      </c>
      <c r="F822" s="19"/>
      <c r="G822" s="19"/>
    </row>
    <row r="823" customFormat="false" ht="15" hidden="false" customHeight="false" outlineLevel="0" collapsed="false">
      <c r="A823" s="20"/>
      <c r="B823" s="6"/>
      <c r="C823" s="19"/>
      <c r="D823" s="23"/>
      <c r="E823" s="9" t="str">
        <f aca="false">IF($B823="","",$C823*$D823)</f>
        <v/>
      </c>
      <c r="F823" s="19"/>
      <c r="G823" s="19"/>
    </row>
    <row r="824" customFormat="false" ht="15" hidden="false" customHeight="false" outlineLevel="0" collapsed="false">
      <c r="A824" s="20"/>
      <c r="B824" s="6"/>
      <c r="C824" s="19"/>
      <c r="D824" s="23"/>
      <c r="E824" s="9" t="str">
        <f aca="false">IF($B824="","",$C824*$D824)</f>
        <v/>
      </c>
      <c r="F824" s="19"/>
      <c r="G824" s="19"/>
    </row>
    <row r="825" customFormat="false" ht="15" hidden="false" customHeight="false" outlineLevel="0" collapsed="false">
      <c r="A825" s="20"/>
      <c r="B825" s="6"/>
      <c r="C825" s="19"/>
      <c r="D825" s="23"/>
      <c r="E825" s="9" t="str">
        <f aca="false">IF($B825="","",$C825*$D825)</f>
        <v/>
      </c>
      <c r="F825" s="19"/>
      <c r="G825" s="19"/>
    </row>
    <row r="826" customFormat="false" ht="15" hidden="false" customHeight="false" outlineLevel="0" collapsed="false">
      <c r="A826" s="20"/>
      <c r="B826" s="6"/>
      <c r="C826" s="19"/>
      <c r="D826" s="23"/>
      <c r="E826" s="9" t="str">
        <f aca="false">IF($B826="","",$C826*$D826)</f>
        <v/>
      </c>
      <c r="F826" s="19"/>
      <c r="G826" s="19"/>
    </row>
    <row r="827" customFormat="false" ht="15" hidden="false" customHeight="false" outlineLevel="0" collapsed="false">
      <c r="A827" s="20"/>
      <c r="B827" s="6"/>
      <c r="C827" s="19"/>
      <c r="D827" s="23"/>
      <c r="E827" s="9" t="str">
        <f aca="false">IF($B827="","",$C827*$D827)</f>
        <v/>
      </c>
      <c r="F827" s="19"/>
      <c r="G827" s="19"/>
    </row>
    <row r="828" customFormat="false" ht="15" hidden="false" customHeight="false" outlineLevel="0" collapsed="false">
      <c r="A828" s="20"/>
      <c r="B828" s="6"/>
      <c r="C828" s="19"/>
      <c r="D828" s="23"/>
      <c r="E828" s="9" t="str">
        <f aca="false">IF($B828="","",$C828*$D828)</f>
        <v/>
      </c>
      <c r="F828" s="19"/>
      <c r="G828" s="19"/>
    </row>
    <row r="829" customFormat="false" ht="15" hidden="false" customHeight="false" outlineLevel="0" collapsed="false">
      <c r="A829" s="20"/>
      <c r="B829" s="6"/>
      <c r="C829" s="19"/>
      <c r="D829" s="23"/>
      <c r="E829" s="9" t="str">
        <f aca="false">IF($B829="","",$C829*$D829)</f>
        <v/>
      </c>
      <c r="F829" s="19"/>
      <c r="G829" s="19"/>
    </row>
    <row r="830" customFormat="false" ht="15" hidden="false" customHeight="false" outlineLevel="0" collapsed="false">
      <c r="A830" s="20"/>
      <c r="B830" s="6"/>
      <c r="C830" s="19"/>
      <c r="D830" s="23"/>
      <c r="E830" s="9" t="str">
        <f aca="false">IF($B830="","",$C830*$D830)</f>
        <v/>
      </c>
      <c r="F830" s="19"/>
      <c r="G830" s="19"/>
    </row>
    <row r="831" customFormat="false" ht="15" hidden="false" customHeight="false" outlineLevel="0" collapsed="false">
      <c r="A831" s="20"/>
      <c r="B831" s="6"/>
      <c r="C831" s="19"/>
      <c r="D831" s="23"/>
      <c r="E831" s="9" t="str">
        <f aca="false">IF($B831="","",$C831*$D831)</f>
        <v/>
      </c>
      <c r="F831" s="19"/>
      <c r="G831" s="19"/>
    </row>
    <row r="832" customFormat="false" ht="15" hidden="false" customHeight="false" outlineLevel="0" collapsed="false">
      <c r="A832" s="20"/>
      <c r="B832" s="6"/>
      <c r="C832" s="19"/>
      <c r="D832" s="23"/>
      <c r="E832" s="9" t="str">
        <f aca="false">IF($B832="","",$C832*$D832)</f>
        <v/>
      </c>
      <c r="F832" s="19"/>
      <c r="G832" s="19"/>
    </row>
    <row r="833" customFormat="false" ht="15" hidden="false" customHeight="false" outlineLevel="0" collapsed="false">
      <c r="A833" s="20"/>
      <c r="B833" s="6"/>
      <c r="C833" s="19"/>
      <c r="D833" s="23"/>
      <c r="E833" s="9" t="str">
        <f aca="false">IF($B833="","",$C833*$D833)</f>
        <v/>
      </c>
      <c r="F833" s="19"/>
      <c r="G833" s="19"/>
    </row>
    <row r="834" customFormat="false" ht="15" hidden="false" customHeight="false" outlineLevel="0" collapsed="false">
      <c r="A834" s="20"/>
      <c r="B834" s="6"/>
      <c r="C834" s="19"/>
      <c r="D834" s="23"/>
      <c r="E834" s="9" t="str">
        <f aca="false">IF($B834="","",$C834*$D834)</f>
        <v/>
      </c>
      <c r="F834" s="19"/>
      <c r="G834" s="19"/>
    </row>
    <row r="835" customFormat="false" ht="15" hidden="false" customHeight="false" outlineLevel="0" collapsed="false">
      <c r="A835" s="20"/>
      <c r="B835" s="6"/>
      <c r="C835" s="19"/>
      <c r="D835" s="23"/>
      <c r="E835" s="9" t="str">
        <f aca="false">IF($B835="","",$C835*$D835)</f>
        <v/>
      </c>
      <c r="F835" s="19"/>
      <c r="G835" s="19"/>
    </row>
    <row r="836" customFormat="false" ht="15" hidden="false" customHeight="false" outlineLevel="0" collapsed="false">
      <c r="A836" s="20"/>
      <c r="B836" s="6"/>
      <c r="C836" s="19"/>
      <c r="D836" s="23"/>
      <c r="E836" s="9" t="str">
        <f aca="false">IF($B836="","",$C836*$D836)</f>
        <v/>
      </c>
      <c r="F836" s="19"/>
      <c r="G836" s="19"/>
    </row>
    <row r="837" customFormat="false" ht="15" hidden="false" customHeight="false" outlineLevel="0" collapsed="false">
      <c r="A837" s="20"/>
      <c r="B837" s="6"/>
      <c r="C837" s="19"/>
      <c r="D837" s="23"/>
      <c r="E837" s="9" t="str">
        <f aca="false">IF($B837="","",$C837*$D837)</f>
        <v/>
      </c>
      <c r="F837" s="19"/>
      <c r="G837" s="19"/>
    </row>
    <row r="838" customFormat="false" ht="15" hidden="false" customHeight="false" outlineLevel="0" collapsed="false">
      <c r="A838" s="20"/>
      <c r="B838" s="6"/>
      <c r="C838" s="19"/>
      <c r="D838" s="23"/>
      <c r="E838" s="9" t="str">
        <f aca="false">IF($B838="","",$C838*$D838)</f>
        <v/>
      </c>
      <c r="F838" s="19"/>
      <c r="G838" s="19"/>
    </row>
    <row r="839" customFormat="false" ht="15" hidden="false" customHeight="false" outlineLevel="0" collapsed="false">
      <c r="A839" s="20"/>
      <c r="B839" s="6"/>
      <c r="C839" s="19"/>
      <c r="D839" s="23"/>
      <c r="E839" s="9" t="str">
        <f aca="false">IF($B839="","",$C839*$D839)</f>
        <v/>
      </c>
      <c r="F839" s="19"/>
      <c r="G839" s="19"/>
    </row>
    <row r="840" customFormat="false" ht="15" hidden="false" customHeight="false" outlineLevel="0" collapsed="false">
      <c r="A840" s="20"/>
      <c r="B840" s="6"/>
      <c r="C840" s="19"/>
      <c r="D840" s="23"/>
      <c r="E840" s="9" t="str">
        <f aca="false">IF($B840="","",$C840*$D840)</f>
        <v/>
      </c>
      <c r="F840" s="19"/>
      <c r="G840" s="19"/>
    </row>
    <row r="841" customFormat="false" ht="15" hidden="false" customHeight="false" outlineLevel="0" collapsed="false">
      <c r="A841" s="20"/>
      <c r="B841" s="6"/>
      <c r="C841" s="19"/>
      <c r="D841" s="23"/>
      <c r="E841" s="9" t="str">
        <f aca="false">IF($B841="","",$C841*$D841)</f>
        <v/>
      </c>
      <c r="F841" s="19"/>
      <c r="G841" s="19"/>
    </row>
    <row r="842" customFormat="false" ht="15" hidden="false" customHeight="false" outlineLevel="0" collapsed="false">
      <c r="A842" s="20"/>
      <c r="B842" s="6"/>
      <c r="C842" s="19"/>
      <c r="D842" s="23"/>
      <c r="E842" s="9" t="str">
        <f aca="false">IF($B842="","",$C842*$D842)</f>
        <v/>
      </c>
      <c r="F842" s="19"/>
      <c r="G842" s="19"/>
    </row>
    <row r="843" customFormat="false" ht="15" hidden="false" customHeight="false" outlineLevel="0" collapsed="false">
      <c r="A843" s="20"/>
      <c r="B843" s="6"/>
      <c r="C843" s="19"/>
      <c r="D843" s="23"/>
      <c r="E843" s="9" t="str">
        <f aca="false">IF($B843="","",$C843*$D843)</f>
        <v/>
      </c>
      <c r="F843" s="19"/>
      <c r="G843" s="19"/>
    </row>
    <row r="844" customFormat="false" ht="15" hidden="false" customHeight="false" outlineLevel="0" collapsed="false">
      <c r="A844" s="20"/>
      <c r="B844" s="6"/>
      <c r="C844" s="19"/>
      <c r="D844" s="23"/>
      <c r="E844" s="9" t="str">
        <f aca="false">IF($B844="","",$C844*$D844)</f>
        <v/>
      </c>
      <c r="F844" s="19"/>
      <c r="G844" s="19"/>
    </row>
    <row r="845" customFormat="false" ht="15" hidden="false" customHeight="false" outlineLevel="0" collapsed="false">
      <c r="A845" s="20"/>
      <c r="B845" s="6"/>
      <c r="C845" s="19"/>
      <c r="D845" s="23"/>
      <c r="E845" s="9" t="str">
        <f aca="false">IF($B845="","",$C845*$D845)</f>
        <v/>
      </c>
      <c r="F845" s="19"/>
      <c r="G845" s="19"/>
    </row>
    <row r="846" customFormat="false" ht="15" hidden="false" customHeight="false" outlineLevel="0" collapsed="false">
      <c r="A846" s="20"/>
      <c r="B846" s="6"/>
      <c r="C846" s="19"/>
      <c r="D846" s="23"/>
      <c r="E846" s="9" t="str">
        <f aca="false">IF($B846="","",$C846*$D846)</f>
        <v/>
      </c>
      <c r="F846" s="19"/>
      <c r="G846" s="19"/>
    </row>
    <row r="847" customFormat="false" ht="15" hidden="false" customHeight="false" outlineLevel="0" collapsed="false">
      <c r="A847" s="20"/>
      <c r="B847" s="6"/>
      <c r="C847" s="19"/>
      <c r="D847" s="23"/>
      <c r="E847" s="9" t="str">
        <f aca="false">IF($B847="","",$C847*$D847)</f>
        <v/>
      </c>
      <c r="F847" s="19"/>
      <c r="G847" s="19"/>
    </row>
    <row r="848" customFormat="false" ht="15" hidden="false" customHeight="false" outlineLevel="0" collapsed="false">
      <c r="A848" s="20"/>
      <c r="B848" s="6"/>
      <c r="C848" s="19"/>
      <c r="D848" s="23"/>
      <c r="E848" s="9" t="str">
        <f aca="false">IF($B848="","",$C848*$D848)</f>
        <v/>
      </c>
      <c r="F848" s="19"/>
      <c r="G848" s="19"/>
    </row>
    <row r="849" customFormat="false" ht="15" hidden="false" customHeight="false" outlineLevel="0" collapsed="false">
      <c r="A849" s="20"/>
      <c r="B849" s="6"/>
      <c r="C849" s="19"/>
      <c r="D849" s="23"/>
      <c r="E849" s="9" t="str">
        <f aca="false">IF($B849="","",$C849*$D849)</f>
        <v/>
      </c>
      <c r="F849" s="19"/>
      <c r="G849" s="19"/>
    </row>
    <row r="850" customFormat="false" ht="15" hidden="false" customHeight="false" outlineLevel="0" collapsed="false">
      <c r="A850" s="20"/>
      <c r="B850" s="6"/>
      <c r="C850" s="19"/>
      <c r="D850" s="23"/>
      <c r="E850" s="9" t="str">
        <f aca="false">IF($B850="","",$C850*$D850)</f>
        <v/>
      </c>
      <c r="F850" s="19"/>
      <c r="G850" s="19"/>
    </row>
    <row r="851" customFormat="false" ht="15" hidden="false" customHeight="false" outlineLevel="0" collapsed="false">
      <c r="A851" s="20"/>
      <c r="B851" s="6"/>
      <c r="C851" s="19"/>
      <c r="D851" s="23"/>
      <c r="E851" s="9" t="str">
        <f aca="false">IF($B851="","",$C851*$D851)</f>
        <v/>
      </c>
      <c r="F851" s="19"/>
      <c r="G851" s="19"/>
    </row>
    <row r="852" customFormat="false" ht="15" hidden="false" customHeight="false" outlineLevel="0" collapsed="false">
      <c r="A852" s="20"/>
      <c r="B852" s="6"/>
      <c r="C852" s="19"/>
      <c r="D852" s="23"/>
      <c r="E852" s="9" t="str">
        <f aca="false">IF($B852="","",$C852*$D852)</f>
        <v/>
      </c>
      <c r="F852" s="19"/>
      <c r="G852" s="19"/>
    </row>
    <row r="853" customFormat="false" ht="15" hidden="false" customHeight="false" outlineLevel="0" collapsed="false">
      <c r="A853" s="20"/>
      <c r="B853" s="6"/>
      <c r="C853" s="19"/>
      <c r="D853" s="23"/>
      <c r="E853" s="9" t="str">
        <f aca="false">IF($B853="","",$C853*$D853)</f>
        <v/>
      </c>
      <c r="F853" s="19"/>
      <c r="G853" s="19"/>
    </row>
    <row r="854" customFormat="false" ht="15" hidden="false" customHeight="false" outlineLevel="0" collapsed="false">
      <c r="A854" s="20"/>
      <c r="B854" s="6"/>
      <c r="C854" s="19"/>
      <c r="D854" s="23"/>
      <c r="E854" s="9" t="str">
        <f aca="false">IF($B854="","",$C854*$D854)</f>
        <v/>
      </c>
      <c r="F854" s="19"/>
      <c r="G854" s="19"/>
    </row>
    <row r="855" customFormat="false" ht="15" hidden="false" customHeight="false" outlineLevel="0" collapsed="false">
      <c r="A855" s="20"/>
      <c r="B855" s="6"/>
      <c r="C855" s="19"/>
      <c r="D855" s="23"/>
      <c r="E855" s="9" t="str">
        <f aca="false">IF($B855="","",$C855*$D855)</f>
        <v/>
      </c>
      <c r="F855" s="19"/>
      <c r="G855" s="19"/>
    </row>
    <row r="856" customFormat="false" ht="15" hidden="false" customHeight="false" outlineLevel="0" collapsed="false">
      <c r="A856" s="20"/>
      <c r="B856" s="6"/>
      <c r="C856" s="19"/>
      <c r="D856" s="23"/>
      <c r="E856" s="9" t="str">
        <f aca="false">IF($B856="","",$C856*$D856)</f>
        <v/>
      </c>
      <c r="F856" s="19"/>
      <c r="G856" s="19"/>
    </row>
    <row r="857" customFormat="false" ht="15" hidden="false" customHeight="false" outlineLevel="0" collapsed="false">
      <c r="A857" s="20"/>
      <c r="B857" s="6"/>
      <c r="C857" s="19"/>
      <c r="D857" s="23"/>
      <c r="E857" s="9" t="str">
        <f aca="false">IF($B857="","",$C857*$D857)</f>
        <v/>
      </c>
      <c r="F857" s="19"/>
      <c r="G857" s="19"/>
    </row>
    <row r="858" customFormat="false" ht="15" hidden="false" customHeight="false" outlineLevel="0" collapsed="false">
      <c r="A858" s="20"/>
      <c r="B858" s="6"/>
      <c r="C858" s="19"/>
      <c r="D858" s="23"/>
      <c r="E858" s="9" t="str">
        <f aca="false">IF($B858="","",$C858*$D858)</f>
        <v/>
      </c>
      <c r="F858" s="19"/>
      <c r="G858" s="19"/>
    </row>
    <row r="859" customFormat="false" ht="15" hidden="false" customHeight="false" outlineLevel="0" collapsed="false">
      <c r="A859" s="20"/>
      <c r="B859" s="6"/>
      <c r="C859" s="19"/>
      <c r="D859" s="23"/>
      <c r="E859" s="9" t="str">
        <f aca="false">IF($B859="","",$C859*$D859)</f>
        <v/>
      </c>
      <c r="F859" s="19"/>
      <c r="G859" s="19"/>
    </row>
    <row r="860" customFormat="false" ht="15" hidden="false" customHeight="false" outlineLevel="0" collapsed="false">
      <c r="A860" s="20"/>
      <c r="B860" s="6"/>
      <c r="C860" s="19"/>
      <c r="D860" s="23"/>
      <c r="E860" s="9" t="str">
        <f aca="false">IF($B860="","",$C860*$D860)</f>
        <v/>
      </c>
      <c r="F860" s="19"/>
      <c r="G860" s="19"/>
    </row>
    <row r="861" customFormat="false" ht="15" hidden="false" customHeight="false" outlineLevel="0" collapsed="false">
      <c r="A861" s="20"/>
      <c r="B861" s="6"/>
      <c r="C861" s="19"/>
      <c r="D861" s="23"/>
      <c r="E861" s="9" t="str">
        <f aca="false">IF($B861="","",$C861*$D861)</f>
        <v/>
      </c>
      <c r="F861" s="19"/>
      <c r="G861" s="19"/>
    </row>
    <row r="862" customFormat="false" ht="15" hidden="false" customHeight="false" outlineLevel="0" collapsed="false">
      <c r="A862" s="20"/>
      <c r="B862" s="6"/>
      <c r="C862" s="19"/>
      <c r="D862" s="23"/>
      <c r="E862" s="9" t="str">
        <f aca="false">IF($B862="","",$C862*$D862)</f>
        <v/>
      </c>
      <c r="F862" s="19"/>
      <c r="G862" s="19"/>
    </row>
    <row r="863" customFormat="false" ht="15" hidden="false" customHeight="false" outlineLevel="0" collapsed="false">
      <c r="A863" s="20"/>
      <c r="B863" s="6"/>
      <c r="C863" s="19"/>
      <c r="D863" s="23"/>
      <c r="E863" s="9" t="str">
        <f aca="false">IF($B863="","",$C863*$D863)</f>
        <v/>
      </c>
      <c r="F863" s="19"/>
      <c r="G863" s="19"/>
    </row>
    <row r="864" customFormat="false" ht="15" hidden="false" customHeight="false" outlineLevel="0" collapsed="false">
      <c r="A864" s="20"/>
      <c r="B864" s="6"/>
      <c r="C864" s="19"/>
      <c r="D864" s="23"/>
      <c r="E864" s="9" t="str">
        <f aca="false">IF($B864="","",$C864*$D864)</f>
        <v/>
      </c>
      <c r="F864" s="19"/>
      <c r="G864" s="19"/>
    </row>
    <row r="865" customFormat="false" ht="15" hidden="false" customHeight="false" outlineLevel="0" collapsed="false">
      <c r="A865" s="20"/>
      <c r="B865" s="6"/>
      <c r="C865" s="19"/>
      <c r="D865" s="23"/>
      <c r="E865" s="9" t="str">
        <f aca="false">IF($B865="","",$C865*$D865)</f>
        <v/>
      </c>
      <c r="F865" s="19"/>
      <c r="G865" s="19"/>
    </row>
    <row r="866" customFormat="false" ht="15" hidden="false" customHeight="false" outlineLevel="0" collapsed="false">
      <c r="A866" s="20"/>
      <c r="B866" s="6"/>
      <c r="C866" s="19"/>
      <c r="D866" s="23"/>
      <c r="E866" s="9" t="str">
        <f aca="false">IF($B866="","",$C866*$D866)</f>
        <v/>
      </c>
      <c r="F866" s="19"/>
      <c r="G866" s="19"/>
    </row>
    <row r="867" customFormat="false" ht="15" hidden="false" customHeight="false" outlineLevel="0" collapsed="false">
      <c r="A867" s="20"/>
      <c r="B867" s="6"/>
      <c r="C867" s="19"/>
      <c r="D867" s="23"/>
      <c r="E867" s="9" t="str">
        <f aca="false">IF($B867="","",$C867*$D867)</f>
        <v/>
      </c>
      <c r="F867" s="19"/>
      <c r="G867" s="19"/>
    </row>
    <row r="868" customFormat="false" ht="15" hidden="false" customHeight="false" outlineLevel="0" collapsed="false">
      <c r="A868" s="20"/>
      <c r="B868" s="6"/>
      <c r="C868" s="19"/>
      <c r="D868" s="23"/>
      <c r="E868" s="9" t="str">
        <f aca="false">IF($B868="","",$C868*$D868)</f>
        <v/>
      </c>
      <c r="F868" s="19"/>
      <c r="G868" s="19"/>
    </row>
    <row r="869" customFormat="false" ht="15" hidden="false" customHeight="false" outlineLevel="0" collapsed="false">
      <c r="A869" s="20"/>
      <c r="B869" s="6"/>
      <c r="C869" s="19"/>
      <c r="D869" s="23"/>
      <c r="E869" s="9" t="str">
        <f aca="false">IF($B869="","",$C869*$D869)</f>
        <v/>
      </c>
      <c r="F869" s="19"/>
      <c r="G869" s="19"/>
    </row>
    <row r="870" customFormat="false" ht="15" hidden="false" customHeight="false" outlineLevel="0" collapsed="false">
      <c r="A870" s="20"/>
      <c r="B870" s="6"/>
      <c r="C870" s="19"/>
      <c r="D870" s="23"/>
      <c r="E870" s="9" t="str">
        <f aca="false">IF($B870="","",$C870*$D870)</f>
        <v/>
      </c>
      <c r="F870" s="19"/>
      <c r="G870" s="19"/>
    </row>
    <row r="871" customFormat="false" ht="15" hidden="false" customHeight="false" outlineLevel="0" collapsed="false">
      <c r="A871" s="20"/>
      <c r="B871" s="6"/>
      <c r="C871" s="19"/>
      <c r="D871" s="23"/>
      <c r="E871" s="9" t="str">
        <f aca="false">IF($B871="","",$C871*$D871)</f>
        <v/>
      </c>
      <c r="F871" s="19"/>
      <c r="G871" s="19"/>
    </row>
    <row r="872" customFormat="false" ht="15" hidden="false" customHeight="false" outlineLevel="0" collapsed="false">
      <c r="A872" s="20"/>
      <c r="B872" s="6"/>
      <c r="C872" s="19"/>
      <c r="D872" s="23"/>
      <c r="E872" s="9" t="str">
        <f aca="false">IF($B872="","",$C872*$D872)</f>
        <v/>
      </c>
      <c r="F872" s="19"/>
      <c r="G872" s="19"/>
    </row>
    <row r="873" customFormat="false" ht="15" hidden="false" customHeight="false" outlineLevel="0" collapsed="false">
      <c r="A873" s="20"/>
      <c r="B873" s="6"/>
      <c r="C873" s="19"/>
      <c r="D873" s="23"/>
      <c r="E873" s="9" t="str">
        <f aca="false">IF($B873="","",$C873*$D873)</f>
        <v/>
      </c>
      <c r="F873" s="19"/>
      <c r="G873" s="19"/>
    </row>
    <row r="874" customFormat="false" ht="15" hidden="false" customHeight="false" outlineLevel="0" collapsed="false">
      <c r="A874" s="20"/>
      <c r="B874" s="6"/>
      <c r="C874" s="19"/>
      <c r="D874" s="23"/>
      <c r="E874" s="9" t="str">
        <f aca="false">IF($B874="","",$C874*$D874)</f>
        <v/>
      </c>
      <c r="F874" s="19"/>
      <c r="G874" s="19"/>
    </row>
    <row r="875" customFormat="false" ht="15" hidden="false" customHeight="false" outlineLevel="0" collapsed="false">
      <c r="A875" s="20"/>
      <c r="B875" s="6"/>
      <c r="C875" s="19"/>
      <c r="D875" s="23"/>
      <c r="E875" s="9" t="str">
        <f aca="false">IF($B875="","",$C875*$D875)</f>
        <v/>
      </c>
      <c r="F875" s="19"/>
      <c r="G875" s="19"/>
    </row>
    <row r="876" customFormat="false" ht="15" hidden="false" customHeight="false" outlineLevel="0" collapsed="false">
      <c r="A876" s="20"/>
      <c r="B876" s="6"/>
      <c r="C876" s="19"/>
      <c r="D876" s="23"/>
      <c r="E876" s="9" t="str">
        <f aca="false">IF($B876="","",$C876*$D876)</f>
        <v/>
      </c>
      <c r="F876" s="19"/>
      <c r="G876" s="19"/>
    </row>
    <row r="877" customFormat="false" ht="15" hidden="false" customHeight="false" outlineLevel="0" collapsed="false">
      <c r="A877" s="20"/>
      <c r="B877" s="6"/>
      <c r="C877" s="19"/>
      <c r="D877" s="23"/>
      <c r="E877" s="9" t="str">
        <f aca="false">IF($B877="","",$C877*$D877)</f>
        <v/>
      </c>
      <c r="F877" s="19"/>
      <c r="G877" s="19"/>
    </row>
    <row r="878" customFormat="false" ht="15" hidden="false" customHeight="false" outlineLevel="0" collapsed="false">
      <c r="A878" s="20"/>
      <c r="B878" s="6"/>
      <c r="C878" s="19"/>
      <c r="D878" s="23"/>
      <c r="E878" s="9" t="str">
        <f aca="false">IF($B878="","",$C878*$D878)</f>
        <v/>
      </c>
      <c r="F878" s="19"/>
      <c r="G878" s="19"/>
    </row>
    <row r="879" customFormat="false" ht="15" hidden="false" customHeight="false" outlineLevel="0" collapsed="false">
      <c r="A879" s="20"/>
      <c r="B879" s="6"/>
      <c r="C879" s="19"/>
      <c r="D879" s="23"/>
      <c r="E879" s="9" t="str">
        <f aca="false">IF($B879="","",$C879*$D879)</f>
        <v/>
      </c>
      <c r="F879" s="19"/>
      <c r="G879" s="19"/>
    </row>
    <row r="880" customFormat="false" ht="15" hidden="false" customHeight="false" outlineLevel="0" collapsed="false">
      <c r="A880" s="20"/>
      <c r="B880" s="6"/>
      <c r="C880" s="19"/>
      <c r="D880" s="23"/>
      <c r="E880" s="9" t="str">
        <f aca="false">IF($B880="","",$C880*$D880)</f>
        <v/>
      </c>
      <c r="F880" s="19"/>
      <c r="G880" s="19"/>
    </row>
    <row r="881" customFormat="false" ht="15" hidden="false" customHeight="false" outlineLevel="0" collapsed="false">
      <c r="A881" s="20"/>
      <c r="B881" s="6"/>
      <c r="C881" s="19"/>
      <c r="D881" s="23"/>
      <c r="E881" s="9" t="str">
        <f aca="false">IF($B881="","",$C881*$D881)</f>
        <v/>
      </c>
      <c r="F881" s="19"/>
      <c r="G881" s="19"/>
    </row>
    <row r="882" customFormat="false" ht="15" hidden="false" customHeight="false" outlineLevel="0" collapsed="false">
      <c r="A882" s="20"/>
      <c r="B882" s="6"/>
      <c r="C882" s="19"/>
      <c r="D882" s="23"/>
      <c r="E882" s="9" t="str">
        <f aca="false">IF($B882="","",$C882*$D882)</f>
        <v/>
      </c>
      <c r="F882" s="19"/>
      <c r="G882" s="19"/>
    </row>
    <row r="883" customFormat="false" ht="15" hidden="false" customHeight="false" outlineLevel="0" collapsed="false">
      <c r="A883" s="20"/>
      <c r="B883" s="6"/>
      <c r="C883" s="19"/>
      <c r="D883" s="23"/>
      <c r="E883" s="9" t="str">
        <f aca="false">IF($B883="","",$C883*$D883)</f>
        <v/>
      </c>
      <c r="F883" s="19"/>
      <c r="G883" s="19"/>
    </row>
    <row r="884" customFormat="false" ht="15" hidden="false" customHeight="false" outlineLevel="0" collapsed="false">
      <c r="A884" s="20"/>
      <c r="B884" s="6"/>
      <c r="C884" s="19"/>
      <c r="D884" s="23"/>
      <c r="E884" s="9" t="str">
        <f aca="false">IF($B884="","",$C884*$D884)</f>
        <v/>
      </c>
      <c r="F884" s="19"/>
      <c r="G884" s="19"/>
    </row>
    <row r="885" customFormat="false" ht="15" hidden="false" customHeight="false" outlineLevel="0" collapsed="false">
      <c r="A885" s="20"/>
      <c r="B885" s="6"/>
      <c r="C885" s="19"/>
      <c r="D885" s="23"/>
      <c r="E885" s="9" t="str">
        <f aca="false">IF($B885="","",$C885*$D885)</f>
        <v/>
      </c>
      <c r="F885" s="19"/>
      <c r="G885" s="19"/>
    </row>
    <row r="886" customFormat="false" ht="15" hidden="false" customHeight="false" outlineLevel="0" collapsed="false">
      <c r="A886" s="20"/>
      <c r="B886" s="6"/>
      <c r="C886" s="19"/>
      <c r="D886" s="23"/>
      <c r="E886" s="9" t="str">
        <f aca="false">IF($B886="","",$C886*$D886)</f>
        <v/>
      </c>
      <c r="F886" s="19"/>
      <c r="G886" s="19"/>
    </row>
    <row r="887" customFormat="false" ht="15" hidden="false" customHeight="false" outlineLevel="0" collapsed="false">
      <c r="A887" s="20"/>
      <c r="B887" s="6"/>
      <c r="C887" s="19"/>
      <c r="D887" s="23"/>
      <c r="E887" s="9" t="str">
        <f aca="false">IF($B887="","",$C887*$D887)</f>
        <v/>
      </c>
      <c r="F887" s="19"/>
      <c r="G887" s="19"/>
    </row>
    <row r="888" customFormat="false" ht="15" hidden="false" customHeight="false" outlineLevel="0" collapsed="false">
      <c r="A888" s="20"/>
      <c r="B888" s="6"/>
      <c r="C888" s="19"/>
      <c r="D888" s="23"/>
      <c r="E888" s="9" t="str">
        <f aca="false">IF($B888="","",$C888*$D888)</f>
        <v/>
      </c>
      <c r="F888" s="19"/>
      <c r="G888" s="19"/>
    </row>
    <row r="889" customFormat="false" ht="15" hidden="false" customHeight="false" outlineLevel="0" collapsed="false">
      <c r="A889" s="20"/>
      <c r="B889" s="6"/>
      <c r="C889" s="19"/>
      <c r="D889" s="23"/>
      <c r="E889" s="9" t="str">
        <f aca="false">IF($B889="","",$C889*$D889)</f>
        <v/>
      </c>
      <c r="F889" s="19"/>
      <c r="G889" s="19"/>
    </row>
    <row r="890" customFormat="false" ht="15" hidden="false" customHeight="false" outlineLevel="0" collapsed="false">
      <c r="A890" s="20"/>
      <c r="B890" s="6"/>
      <c r="C890" s="19"/>
      <c r="D890" s="23"/>
      <c r="E890" s="9" t="str">
        <f aca="false">IF($B890="","",$C890*$D890)</f>
        <v/>
      </c>
      <c r="F890" s="19"/>
      <c r="G890" s="19"/>
    </row>
    <row r="891" customFormat="false" ht="15" hidden="false" customHeight="false" outlineLevel="0" collapsed="false">
      <c r="A891" s="20"/>
      <c r="B891" s="6"/>
      <c r="C891" s="19"/>
      <c r="D891" s="23"/>
      <c r="E891" s="9" t="str">
        <f aca="false">IF($B891="","",$C891*$D891)</f>
        <v/>
      </c>
      <c r="F891" s="19"/>
      <c r="G891" s="19"/>
    </row>
    <row r="892" customFormat="false" ht="15" hidden="false" customHeight="false" outlineLevel="0" collapsed="false">
      <c r="A892" s="20"/>
      <c r="B892" s="6"/>
      <c r="C892" s="19"/>
      <c r="D892" s="23"/>
      <c r="E892" s="9" t="str">
        <f aca="false">IF($B892="","",$C892*$D892)</f>
        <v/>
      </c>
      <c r="F892" s="19"/>
      <c r="G892" s="19"/>
    </row>
    <row r="893" customFormat="false" ht="15" hidden="false" customHeight="false" outlineLevel="0" collapsed="false">
      <c r="A893" s="20"/>
      <c r="B893" s="6"/>
      <c r="C893" s="19"/>
      <c r="D893" s="23"/>
      <c r="E893" s="9" t="str">
        <f aca="false">IF($B893="","",$C893*$D893)</f>
        <v/>
      </c>
      <c r="F893" s="19"/>
      <c r="G893" s="19"/>
    </row>
    <row r="894" customFormat="false" ht="15" hidden="false" customHeight="false" outlineLevel="0" collapsed="false">
      <c r="A894" s="20"/>
      <c r="B894" s="6"/>
      <c r="C894" s="19"/>
      <c r="D894" s="23"/>
      <c r="E894" s="9" t="str">
        <f aca="false">IF($B894="","",$C894*$D894)</f>
        <v/>
      </c>
      <c r="F894" s="19"/>
      <c r="G894" s="19"/>
    </row>
    <row r="895" customFormat="false" ht="15" hidden="false" customHeight="false" outlineLevel="0" collapsed="false">
      <c r="A895" s="20"/>
      <c r="B895" s="6"/>
      <c r="C895" s="19"/>
      <c r="D895" s="23"/>
      <c r="E895" s="9" t="str">
        <f aca="false">IF($B895="","",$C895*$D895)</f>
        <v/>
      </c>
      <c r="F895" s="19"/>
      <c r="G895" s="19"/>
    </row>
    <row r="896" customFormat="false" ht="15" hidden="false" customHeight="false" outlineLevel="0" collapsed="false">
      <c r="A896" s="20"/>
      <c r="B896" s="6"/>
      <c r="C896" s="19"/>
      <c r="D896" s="23"/>
      <c r="E896" s="9" t="str">
        <f aca="false">IF($B896="","",$C896*$D896)</f>
        <v/>
      </c>
      <c r="F896" s="19"/>
      <c r="G896" s="19"/>
    </row>
    <row r="897" customFormat="false" ht="15" hidden="false" customHeight="false" outlineLevel="0" collapsed="false">
      <c r="A897" s="20"/>
      <c r="B897" s="6"/>
      <c r="C897" s="19"/>
      <c r="D897" s="23"/>
      <c r="E897" s="9" t="str">
        <f aca="false">IF($B897="","",$C897*$D897)</f>
        <v/>
      </c>
      <c r="F897" s="19"/>
      <c r="G897" s="19"/>
    </row>
    <row r="898" customFormat="false" ht="15" hidden="false" customHeight="false" outlineLevel="0" collapsed="false">
      <c r="A898" s="20"/>
      <c r="B898" s="6"/>
      <c r="C898" s="19"/>
      <c r="D898" s="23"/>
      <c r="E898" s="9" t="str">
        <f aca="false">IF($B898="","",$C898*$D898)</f>
        <v/>
      </c>
      <c r="F898" s="19"/>
      <c r="G898" s="19"/>
    </row>
    <row r="899" customFormat="false" ht="15" hidden="false" customHeight="false" outlineLevel="0" collapsed="false">
      <c r="A899" s="20"/>
      <c r="B899" s="6"/>
      <c r="C899" s="19"/>
      <c r="D899" s="23"/>
      <c r="E899" s="9" t="str">
        <f aca="false">IF($B899="","",$C899*$D899)</f>
        <v/>
      </c>
      <c r="F899" s="19"/>
      <c r="G899" s="19"/>
    </row>
    <row r="900" customFormat="false" ht="15" hidden="false" customHeight="false" outlineLevel="0" collapsed="false">
      <c r="A900" s="20"/>
      <c r="B900" s="6"/>
      <c r="C900" s="19"/>
      <c r="D900" s="23"/>
      <c r="E900" s="9" t="str">
        <f aca="false">IF($B900="","",$C900*$D900)</f>
        <v/>
      </c>
      <c r="F900" s="19"/>
      <c r="G900" s="19"/>
    </row>
    <row r="901" customFormat="false" ht="15" hidden="false" customHeight="false" outlineLevel="0" collapsed="false">
      <c r="A901" s="20"/>
      <c r="B901" s="6"/>
      <c r="C901" s="19"/>
      <c r="D901" s="23"/>
      <c r="E901" s="9" t="str">
        <f aca="false">IF($B901="","",$C901*$D901)</f>
        <v/>
      </c>
      <c r="F901" s="19"/>
      <c r="G901" s="19"/>
    </row>
    <row r="902" customFormat="false" ht="15" hidden="false" customHeight="false" outlineLevel="0" collapsed="false">
      <c r="A902" s="20"/>
      <c r="B902" s="6"/>
      <c r="C902" s="19"/>
      <c r="D902" s="23"/>
      <c r="E902" s="9" t="str">
        <f aca="false">IF($B902="","",$C902*$D902)</f>
        <v/>
      </c>
      <c r="F902" s="19"/>
      <c r="G902" s="19"/>
    </row>
    <row r="903" customFormat="false" ht="15" hidden="false" customHeight="false" outlineLevel="0" collapsed="false">
      <c r="A903" s="20"/>
      <c r="B903" s="6"/>
      <c r="C903" s="19"/>
      <c r="D903" s="23"/>
      <c r="E903" s="9" t="str">
        <f aca="false">IF($B903="","",$C903*$D903)</f>
        <v/>
      </c>
      <c r="F903" s="19"/>
      <c r="G903" s="19"/>
    </row>
    <row r="904" customFormat="false" ht="15" hidden="false" customHeight="false" outlineLevel="0" collapsed="false">
      <c r="A904" s="20"/>
      <c r="B904" s="6"/>
      <c r="C904" s="19"/>
      <c r="D904" s="23"/>
      <c r="E904" s="9" t="str">
        <f aca="false">IF($B904="","",$C904*$D904)</f>
        <v/>
      </c>
      <c r="F904" s="19"/>
      <c r="G904" s="19"/>
    </row>
    <row r="905" customFormat="false" ht="15" hidden="false" customHeight="false" outlineLevel="0" collapsed="false">
      <c r="A905" s="20"/>
      <c r="B905" s="6"/>
      <c r="C905" s="19"/>
      <c r="D905" s="23"/>
      <c r="E905" s="9" t="str">
        <f aca="false">IF($B905="","",$C905*$D905)</f>
        <v/>
      </c>
      <c r="F905" s="19"/>
      <c r="G905" s="19"/>
    </row>
    <row r="906" customFormat="false" ht="15" hidden="false" customHeight="false" outlineLevel="0" collapsed="false">
      <c r="A906" s="20"/>
      <c r="B906" s="6"/>
      <c r="C906" s="19"/>
      <c r="D906" s="23"/>
      <c r="E906" s="9" t="str">
        <f aca="false">IF($B906="","",$C906*$D906)</f>
        <v/>
      </c>
      <c r="F906" s="19"/>
      <c r="G906" s="19"/>
    </row>
    <row r="907" customFormat="false" ht="15" hidden="false" customHeight="false" outlineLevel="0" collapsed="false">
      <c r="A907" s="20"/>
      <c r="B907" s="6"/>
      <c r="C907" s="19"/>
      <c r="D907" s="23"/>
      <c r="E907" s="9" t="str">
        <f aca="false">IF($B907="","",$C907*$D907)</f>
        <v/>
      </c>
      <c r="F907" s="19"/>
      <c r="G907" s="19"/>
    </row>
    <row r="908" customFormat="false" ht="15" hidden="false" customHeight="false" outlineLevel="0" collapsed="false">
      <c r="A908" s="20"/>
      <c r="B908" s="6"/>
      <c r="C908" s="19"/>
      <c r="D908" s="23"/>
      <c r="E908" s="9" t="str">
        <f aca="false">IF($B908="","",$C908*$D908)</f>
        <v/>
      </c>
      <c r="F908" s="19"/>
      <c r="G908" s="19"/>
    </row>
    <row r="909" customFormat="false" ht="15" hidden="false" customHeight="false" outlineLevel="0" collapsed="false">
      <c r="A909" s="20"/>
      <c r="B909" s="6"/>
      <c r="C909" s="19"/>
      <c r="D909" s="23"/>
      <c r="E909" s="9" t="str">
        <f aca="false">IF($B909="","",$C909*$D909)</f>
        <v/>
      </c>
      <c r="F909" s="19"/>
      <c r="G909" s="19"/>
    </row>
    <row r="910" customFormat="false" ht="15" hidden="false" customHeight="false" outlineLevel="0" collapsed="false">
      <c r="A910" s="20"/>
      <c r="B910" s="6"/>
      <c r="C910" s="19"/>
      <c r="D910" s="23"/>
      <c r="E910" s="9" t="str">
        <f aca="false">IF($B910="","",$C910*$D910)</f>
        <v/>
      </c>
      <c r="F910" s="19"/>
      <c r="G910" s="19"/>
    </row>
    <row r="911" customFormat="false" ht="15" hidden="false" customHeight="false" outlineLevel="0" collapsed="false">
      <c r="A911" s="20"/>
      <c r="B911" s="6"/>
      <c r="C911" s="19"/>
      <c r="D911" s="23"/>
      <c r="E911" s="9" t="str">
        <f aca="false">IF($B911="","",$C911*$D911)</f>
        <v/>
      </c>
      <c r="F911" s="19"/>
      <c r="G911" s="19"/>
    </row>
    <row r="912" customFormat="false" ht="15" hidden="false" customHeight="false" outlineLevel="0" collapsed="false">
      <c r="A912" s="20"/>
      <c r="B912" s="6"/>
      <c r="C912" s="19"/>
      <c r="D912" s="23"/>
      <c r="E912" s="9" t="str">
        <f aca="false">IF($B912="","",$C912*$D912)</f>
        <v/>
      </c>
      <c r="F912" s="19"/>
      <c r="G912" s="19"/>
    </row>
    <row r="913" customFormat="false" ht="15" hidden="false" customHeight="false" outlineLevel="0" collapsed="false">
      <c r="A913" s="20"/>
      <c r="B913" s="6"/>
      <c r="C913" s="19"/>
      <c r="D913" s="23"/>
      <c r="E913" s="9" t="str">
        <f aca="false">IF($B913="","",$C913*$D913)</f>
        <v/>
      </c>
      <c r="F913" s="19"/>
      <c r="G913" s="19"/>
    </row>
    <row r="914" customFormat="false" ht="15" hidden="false" customHeight="false" outlineLevel="0" collapsed="false">
      <c r="A914" s="20"/>
      <c r="B914" s="6"/>
      <c r="C914" s="19"/>
      <c r="D914" s="23"/>
      <c r="E914" s="9" t="str">
        <f aca="false">IF($B914="","",$C914*$D914)</f>
        <v/>
      </c>
      <c r="F914" s="19"/>
      <c r="G914" s="19"/>
    </row>
    <row r="915" customFormat="false" ht="15" hidden="false" customHeight="false" outlineLevel="0" collapsed="false">
      <c r="A915" s="20"/>
      <c r="B915" s="6"/>
      <c r="C915" s="19"/>
      <c r="D915" s="23"/>
      <c r="E915" s="9" t="str">
        <f aca="false">IF($B915="","",$C915*$D915)</f>
        <v/>
      </c>
      <c r="F915" s="19"/>
      <c r="G915" s="19"/>
    </row>
    <row r="916" customFormat="false" ht="15" hidden="false" customHeight="false" outlineLevel="0" collapsed="false">
      <c r="A916" s="20"/>
      <c r="B916" s="6"/>
      <c r="C916" s="19"/>
      <c r="D916" s="23"/>
      <c r="E916" s="9" t="str">
        <f aca="false">IF($B916="","",$C916*$D916)</f>
        <v/>
      </c>
      <c r="F916" s="19"/>
      <c r="G916" s="19"/>
    </row>
    <row r="917" customFormat="false" ht="15" hidden="false" customHeight="false" outlineLevel="0" collapsed="false">
      <c r="A917" s="20"/>
      <c r="B917" s="6"/>
      <c r="C917" s="19"/>
      <c r="D917" s="23"/>
      <c r="E917" s="9" t="str">
        <f aca="false">IF($B917="","",$C917*$D917)</f>
        <v/>
      </c>
      <c r="F917" s="19"/>
      <c r="G917" s="19"/>
    </row>
    <row r="918" customFormat="false" ht="15" hidden="false" customHeight="false" outlineLevel="0" collapsed="false">
      <c r="A918" s="20"/>
      <c r="B918" s="6"/>
      <c r="C918" s="19"/>
      <c r="D918" s="23"/>
      <c r="E918" s="9" t="str">
        <f aca="false">IF($B918="","",$C918*$D918)</f>
        <v/>
      </c>
      <c r="F918" s="19"/>
      <c r="G918" s="19"/>
    </row>
    <row r="919" customFormat="false" ht="15" hidden="false" customHeight="false" outlineLevel="0" collapsed="false">
      <c r="A919" s="20"/>
      <c r="B919" s="6"/>
      <c r="C919" s="19"/>
      <c r="D919" s="23"/>
      <c r="E919" s="9" t="str">
        <f aca="false">IF($B919="","",$C919*$D919)</f>
        <v/>
      </c>
      <c r="F919" s="19"/>
      <c r="G919" s="19"/>
    </row>
    <row r="920" customFormat="false" ht="15" hidden="false" customHeight="false" outlineLevel="0" collapsed="false">
      <c r="A920" s="20"/>
      <c r="B920" s="6"/>
      <c r="C920" s="19"/>
      <c r="D920" s="23"/>
      <c r="E920" s="9" t="str">
        <f aca="false">IF($B920="","",$C920*$D920)</f>
        <v/>
      </c>
      <c r="F920" s="19"/>
      <c r="G920" s="19"/>
    </row>
    <row r="921" customFormat="false" ht="15" hidden="false" customHeight="false" outlineLevel="0" collapsed="false">
      <c r="A921" s="20"/>
      <c r="B921" s="6"/>
      <c r="C921" s="19"/>
      <c r="D921" s="23"/>
      <c r="E921" s="9" t="str">
        <f aca="false">IF($B921="","",$C921*$D921)</f>
        <v/>
      </c>
      <c r="F921" s="19"/>
      <c r="G921" s="19"/>
    </row>
    <row r="922" customFormat="false" ht="15" hidden="false" customHeight="false" outlineLevel="0" collapsed="false">
      <c r="A922" s="20"/>
      <c r="B922" s="6"/>
      <c r="C922" s="19"/>
      <c r="D922" s="23"/>
      <c r="E922" s="9" t="str">
        <f aca="false">IF($B922="","",$C922*$D922)</f>
        <v/>
      </c>
      <c r="F922" s="19"/>
      <c r="G922" s="19"/>
    </row>
    <row r="923" customFormat="false" ht="15" hidden="false" customHeight="false" outlineLevel="0" collapsed="false">
      <c r="A923" s="20"/>
      <c r="B923" s="6"/>
      <c r="C923" s="19"/>
      <c r="D923" s="23"/>
      <c r="E923" s="9" t="str">
        <f aca="false">IF($B923="","",$C923*$D923)</f>
        <v/>
      </c>
      <c r="F923" s="19"/>
      <c r="G923" s="19"/>
    </row>
    <row r="924" customFormat="false" ht="15" hidden="false" customHeight="false" outlineLevel="0" collapsed="false">
      <c r="A924" s="20"/>
      <c r="B924" s="6"/>
      <c r="C924" s="19"/>
      <c r="D924" s="23"/>
      <c r="E924" s="9" t="str">
        <f aca="false">IF($B924="","",$C924*$D924)</f>
        <v/>
      </c>
      <c r="F924" s="19"/>
      <c r="G924" s="19"/>
    </row>
    <row r="925" customFormat="false" ht="15" hidden="false" customHeight="false" outlineLevel="0" collapsed="false">
      <c r="A925" s="20"/>
      <c r="B925" s="6"/>
      <c r="C925" s="19"/>
      <c r="D925" s="23"/>
      <c r="E925" s="9" t="str">
        <f aca="false">IF($B925="","",$C925*$D925)</f>
        <v/>
      </c>
      <c r="F925" s="19"/>
      <c r="G925" s="19"/>
    </row>
    <row r="926" customFormat="false" ht="15" hidden="false" customHeight="false" outlineLevel="0" collapsed="false">
      <c r="A926" s="20"/>
      <c r="B926" s="6"/>
      <c r="C926" s="19"/>
      <c r="D926" s="23"/>
      <c r="E926" s="9" t="str">
        <f aca="false">IF($B926="","",$C926*$D926)</f>
        <v/>
      </c>
      <c r="F926" s="19"/>
      <c r="G926" s="19"/>
    </row>
    <row r="927" customFormat="false" ht="15" hidden="false" customHeight="false" outlineLevel="0" collapsed="false">
      <c r="A927" s="20"/>
      <c r="B927" s="6"/>
      <c r="C927" s="19"/>
      <c r="D927" s="23"/>
      <c r="E927" s="9" t="str">
        <f aca="false">IF($B927="","",$C927*$D927)</f>
        <v/>
      </c>
      <c r="F927" s="19"/>
      <c r="G927" s="19"/>
    </row>
    <row r="928" customFormat="false" ht="15" hidden="false" customHeight="false" outlineLevel="0" collapsed="false">
      <c r="A928" s="20"/>
      <c r="B928" s="6"/>
      <c r="C928" s="19"/>
      <c r="D928" s="23"/>
      <c r="E928" s="9" t="str">
        <f aca="false">IF($B928="","",$C928*$D928)</f>
        <v/>
      </c>
      <c r="F928" s="19"/>
      <c r="G928" s="19"/>
    </row>
    <row r="929" customFormat="false" ht="15" hidden="false" customHeight="false" outlineLevel="0" collapsed="false">
      <c r="A929" s="20"/>
      <c r="B929" s="6"/>
      <c r="C929" s="19"/>
      <c r="D929" s="23"/>
      <c r="E929" s="9" t="str">
        <f aca="false">IF($B929="","",$C929*$D929)</f>
        <v/>
      </c>
      <c r="F929" s="19"/>
      <c r="G929" s="19"/>
    </row>
    <row r="930" customFormat="false" ht="15" hidden="false" customHeight="false" outlineLevel="0" collapsed="false">
      <c r="A930" s="20"/>
      <c r="B930" s="6"/>
      <c r="C930" s="19"/>
      <c r="D930" s="23"/>
      <c r="E930" s="9" t="str">
        <f aca="false">IF($B930="","",$C930*$D930)</f>
        <v/>
      </c>
      <c r="F930" s="19"/>
      <c r="G930" s="19"/>
    </row>
    <row r="931" customFormat="false" ht="15" hidden="false" customHeight="false" outlineLevel="0" collapsed="false">
      <c r="A931" s="20"/>
      <c r="B931" s="6"/>
      <c r="C931" s="19"/>
      <c r="D931" s="23"/>
      <c r="E931" s="9" t="str">
        <f aca="false">IF($B931="","",$C931*$D931)</f>
        <v/>
      </c>
      <c r="F931" s="19"/>
      <c r="G931" s="19"/>
    </row>
    <row r="932" customFormat="false" ht="15" hidden="false" customHeight="false" outlineLevel="0" collapsed="false">
      <c r="A932" s="20"/>
      <c r="B932" s="6"/>
      <c r="C932" s="19"/>
      <c r="D932" s="23"/>
      <c r="E932" s="9" t="str">
        <f aca="false">IF($B932="","",$C932*$D932)</f>
        <v/>
      </c>
      <c r="F932" s="19"/>
      <c r="G932" s="19"/>
    </row>
    <row r="933" customFormat="false" ht="15" hidden="false" customHeight="false" outlineLevel="0" collapsed="false">
      <c r="A933" s="20"/>
      <c r="B933" s="6"/>
      <c r="C933" s="19"/>
      <c r="D933" s="23"/>
      <c r="E933" s="9" t="str">
        <f aca="false">IF($B933="","",$C933*$D933)</f>
        <v/>
      </c>
      <c r="F933" s="19"/>
      <c r="G933" s="19"/>
    </row>
    <row r="934" customFormat="false" ht="15" hidden="false" customHeight="false" outlineLevel="0" collapsed="false">
      <c r="A934" s="20"/>
      <c r="B934" s="6"/>
      <c r="C934" s="19"/>
      <c r="D934" s="23"/>
      <c r="E934" s="9" t="str">
        <f aca="false">IF($B934="","",$C934*$D934)</f>
        <v/>
      </c>
      <c r="F934" s="19"/>
      <c r="G934" s="19"/>
    </row>
    <row r="935" customFormat="false" ht="15" hidden="false" customHeight="false" outlineLevel="0" collapsed="false">
      <c r="A935" s="20"/>
      <c r="B935" s="6"/>
      <c r="C935" s="19"/>
      <c r="D935" s="23"/>
      <c r="E935" s="9" t="str">
        <f aca="false">IF($B935="","",$C935*$D935)</f>
        <v/>
      </c>
      <c r="F935" s="19"/>
      <c r="G935" s="19"/>
    </row>
    <row r="936" customFormat="false" ht="15" hidden="false" customHeight="false" outlineLevel="0" collapsed="false">
      <c r="A936" s="20"/>
      <c r="B936" s="6"/>
      <c r="C936" s="19"/>
      <c r="D936" s="23"/>
      <c r="E936" s="9" t="str">
        <f aca="false">IF($B936="","",$C936*$D936)</f>
        <v/>
      </c>
      <c r="F936" s="19"/>
      <c r="G936" s="19"/>
    </row>
    <row r="937" customFormat="false" ht="15" hidden="false" customHeight="false" outlineLevel="0" collapsed="false">
      <c r="A937" s="20"/>
      <c r="B937" s="6"/>
      <c r="C937" s="19"/>
      <c r="D937" s="23"/>
      <c r="E937" s="9" t="str">
        <f aca="false">IF($B937="","",$C937*$D937)</f>
        <v/>
      </c>
      <c r="F937" s="19"/>
      <c r="G937" s="19"/>
    </row>
    <row r="938" customFormat="false" ht="15" hidden="false" customHeight="false" outlineLevel="0" collapsed="false">
      <c r="A938" s="20"/>
      <c r="B938" s="6"/>
      <c r="C938" s="19"/>
      <c r="D938" s="23"/>
      <c r="E938" s="9" t="str">
        <f aca="false">IF($B938="","",$C938*$D938)</f>
        <v/>
      </c>
      <c r="F938" s="19"/>
      <c r="G938" s="19"/>
    </row>
    <row r="939" customFormat="false" ht="15" hidden="false" customHeight="false" outlineLevel="0" collapsed="false">
      <c r="A939" s="20"/>
      <c r="B939" s="6"/>
      <c r="C939" s="19"/>
      <c r="D939" s="23"/>
      <c r="E939" s="9" t="str">
        <f aca="false">IF($B939="","",$C939*$D939)</f>
        <v/>
      </c>
      <c r="F939" s="19"/>
      <c r="G939" s="19"/>
    </row>
    <row r="940" customFormat="false" ht="15" hidden="false" customHeight="false" outlineLevel="0" collapsed="false">
      <c r="A940" s="20"/>
      <c r="B940" s="6"/>
      <c r="C940" s="19"/>
      <c r="D940" s="23"/>
      <c r="E940" s="9" t="str">
        <f aca="false">IF($B940="","",$C940*$D940)</f>
        <v/>
      </c>
      <c r="F940" s="19"/>
      <c r="G940" s="19"/>
    </row>
    <row r="941" customFormat="false" ht="15" hidden="false" customHeight="false" outlineLevel="0" collapsed="false">
      <c r="A941" s="20"/>
      <c r="B941" s="6"/>
      <c r="C941" s="19"/>
      <c r="D941" s="23"/>
      <c r="E941" s="9" t="str">
        <f aca="false">IF($B941="","",$C941*$D941)</f>
        <v/>
      </c>
      <c r="F941" s="19"/>
      <c r="G941" s="19"/>
    </row>
    <row r="942" customFormat="false" ht="15" hidden="false" customHeight="false" outlineLevel="0" collapsed="false">
      <c r="A942" s="20"/>
      <c r="B942" s="6"/>
      <c r="C942" s="19"/>
      <c r="D942" s="23"/>
      <c r="E942" s="9" t="str">
        <f aca="false">IF($B942="","",$C942*$D942)</f>
        <v/>
      </c>
      <c r="F942" s="19"/>
      <c r="G942" s="19"/>
    </row>
    <row r="943" customFormat="false" ht="15" hidden="false" customHeight="false" outlineLevel="0" collapsed="false">
      <c r="A943" s="20"/>
      <c r="B943" s="6"/>
      <c r="C943" s="19"/>
      <c r="D943" s="23"/>
      <c r="E943" s="9" t="str">
        <f aca="false">IF($B943="","",$C943*$D943)</f>
        <v/>
      </c>
      <c r="F943" s="19"/>
      <c r="G943" s="19"/>
    </row>
    <row r="944" customFormat="false" ht="15" hidden="false" customHeight="false" outlineLevel="0" collapsed="false">
      <c r="A944" s="20"/>
      <c r="B944" s="6"/>
      <c r="C944" s="19"/>
      <c r="D944" s="23"/>
      <c r="E944" s="9" t="str">
        <f aca="false">IF($B944="","",$C944*$D944)</f>
        <v/>
      </c>
      <c r="F944" s="19"/>
      <c r="G944" s="19"/>
    </row>
    <row r="945" customFormat="false" ht="15" hidden="false" customHeight="false" outlineLevel="0" collapsed="false">
      <c r="A945" s="20"/>
      <c r="B945" s="6"/>
      <c r="C945" s="19"/>
      <c r="D945" s="23"/>
      <c r="E945" s="9" t="str">
        <f aca="false">IF($B945="","",$C945*$D945)</f>
        <v/>
      </c>
      <c r="F945" s="19"/>
      <c r="G945" s="19"/>
    </row>
    <row r="946" customFormat="false" ht="15" hidden="false" customHeight="false" outlineLevel="0" collapsed="false">
      <c r="A946" s="20"/>
      <c r="B946" s="6"/>
      <c r="C946" s="19"/>
      <c r="D946" s="23"/>
      <c r="E946" s="9" t="str">
        <f aca="false">IF($B946="","",$C946*$D946)</f>
        <v/>
      </c>
      <c r="F946" s="19"/>
      <c r="G946" s="19"/>
    </row>
    <row r="947" customFormat="false" ht="15" hidden="false" customHeight="false" outlineLevel="0" collapsed="false">
      <c r="A947" s="20"/>
      <c r="B947" s="6"/>
      <c r="C947" s="19"/>
      <c r="D947" s="23"/>
      <c r="E947" s="9" t="str">
        <f aca="false">IF($B947="","",$C947*$D947)</f>
        <v/>
      </c>
      <c r="F947" s="19"/>
      <c r="G947" s="19"/>
    </row>
    <row r="948" customFormat="false" ht="15" hidden="false" customHeight="false" outlineLevel="0" collapsed="false">
      <c r="A948" s="20"/>
      <c r="B948" s="6"/>
      <c r="C948" s="19"/>
      <c r="D948" s="23"/>
      <c r="E948" s="9" t="str">
        <f aca="false">IF($B948="","",$C948*$D948)</f>
        <v/>
      </c>
      <c r="F948" s="19"/>
      <c r="G948" s="19"/>
    </row>
    <row r="949" customFormat="false" ht="15" hidden="false" customHeight="false" outlineLevel="0" collapsed="false">
      <c r="A949" s="20"/>
      <c r="B949" s="6"/>
      <c r="C949" s="19"/>
      <c r="D949" s="23"/>
      <c r="E949" s="9" t="str">
        <f aca="false">IF($B949="","",$C949*$D949)</f>
        <v/>
      </c>
      <c r="F949" s="19"/>
      <c r="G949" s="19"/>
    </row>
    <row r="950" customFormat="false" ht="15" hidden="false" customHeight="false" outlineLevel="0" collapsed="false">
      <c r="A950" s="20"/>
      <c r="B950" s="6"/>
      <c r="C950" s="19"/>
      <c r="D950" s="23"/>
      <c r="E950" s="9" t="str">
        <f aca="false">IF($B950="","",$C950*$D950)</f>
        <v/>
      </c>
      <c r="F950" s="19"/>
      <c r="G950" s="19"/>
    </row>
    <row r="951" customFormat="false" ht="15" hidden="false" customHeight="false" outlineLevel="0" collapsed="false">
      <c r="A951" s="20"/>
      <c r="B951" s="6"/>
      <c r="C951" s="19"/>
      <c r="D951" s="23"/>
      <c r="E951" s="9" t="str">
        <f aca="false">IF($B951="","",$C951*$D951)</f>
        <v/>
      </c>
      <c r="F951" s="19"/>
      <c r="G951" s="19"/>
    </row>
    <row r="952" customFormat="false" ht="15" hidden="false" customHeight="false" outlineLevel="0" collapsed="false">
      <c r="A952" s="20"/>
      <c r="B952" s="6"/>
      <c r="C952" s="19"/>
      <c r="D952" s="23"/>
      <c r="E952" s="9" t="str">
        <f aca="false">IF($B952="","",$C952*$D952)</f>
        <v/>
      </c>
      <c r="F952" s="19"/>
      <c r="G952" s="19"/>
    </row>
    <row r="953" customFormat="false" ht="15" hidden="false" customHeight="false" outlineLevel="0" collapsed="false">
      <c r="A953" s="20"/>
      <c r="B953" s="6"/>
      <c r="C953" s="19"/>
      <c r="D953" s="23"/>
      <c r="E953" s="9" t="str">
        <f aca="false">IF($B953="","",$C953*$D953)</f>
        <v/>
      </c>
      <c r="F953" s="19"/>
      <c r="G953" s="19"/>
    </row>
    <row r="954" customFormat="false" ht="15" hidden="false" customHeight="false" outlineLevel="0" collapsed="false">
      <c r="A954" s="20"/>
      <c r="B954" s="6"/>
      <c r="C954" s="19"/>
      <c r="D954" s="23"/>
      <c r="E954" s="9" t="str">
        <f aca="false">IF($B954="","",$C954*$D954)</f>
        <v/>
      </c>
      <c r="F954" s="19"/>
      <c r="G954" s="19"/>
    </row>
    <row r="955" customFormat="false" ht="15" hidden="false" customHeight="false" outlineLevel="0" collapsed="false">
      <c r="A955" s="20"/>
      <c r="B955" s="6"/>
      <c r="C955" s="19"/>
      <c r="D955" s="23"/>
      <c r="E955" s="9" t="str">
        <f aca="false">IF($B955="","",$C955*$D955)</f>
        <v/>
      </c>
      <c r="F955" s="19"/>
      <c r="G955" s="19"/>
    </row>
    <row r="956" customFormat="false" ht="15" hidden="false" customHeight="false" outlineLevel="0" collapsed="false">
      <c r="A956" s="20"/>
      <c r="B956" s="6"/>
      <c r="C956" s="19"/>
      <c r="D956" s="23"/>
      <c r="E956" s="9" t="str">
        <f aca="false">IF($B956="","",$C956*$D956)</f>
        <v/>
      </c>
      <c r="F956" s="19"/>
      <c r="G956" s="19"/>
    </row>
    <row r="957" customFormat="false" ht="15" hidden="false" customHeight="false" outlineLevel="0" collapsed="false">
      <c r="A957" s="20"/>
      <c r="B957" s="6"/>
      <c r="C957" s="19"/>
      <c r="D957" s="23"/>
      <c r="E957" s="9" t="str">
        <f aca="false">IF($B957="","",$C957*$D957)</f>
        <v/>
      </c>
      <c r="F957" s="19"/>
      <c r="G957" s="19"/>
    </row>
    <row r="958" customFormat="false" ht="15" hidden="false" customHeight="false" outlineLevel="0" collapsed="false">
      <c r="A958" s="20"/>
      <c r="B958" s="6"/>
      <c r="C958" s="19"/>
      <c r="D958" s="23"/>
      <c r="E958" s="9" t="str">
        <f aca="false">IF($B958="","",$C958*$D958)</f>
        <v/>
      </c>
      <c r="F958" s="19"/>
      <c r="G958" s="19"/>
    </row>
    <row r="959" customFormat="false" ht="15" hidden="false" customHeight="false" outlineLevel="0" collapsed="false">
      <c r="A959" s="20"/>
      <c r="B959" s="6"/>
      <c r="C959" s="19"/>
      <c r="D959" s="23"/>
      <c r="E959" s="9" t="str">
        <f aca="false">IF($B959="","",$C959*$D959)</f>
        <v/>
      </c>
      <c r="F959" s="19"/>
      <c r="G959" s="19"/>
    </row>
    <row r="960" customFormat="false" ht="15" hidden="false" customHeight="false" outlineLevel="0" collapsed="false">
      <c r="A960" s="20"/>
      <c r="B960" s="6"/>
      <c r="C960" s="19"/>
      <c r="D960" s="23"/>
      <c r="E960" s="9" t="str">
        <f aca="false">IF($B960="","",$C960*$D960)</f>
        <v/>
      </c>
      <c r="F960" s="19"/>
      <c r="G960" s="19"/>
    </row>
    <row r="961" customFormat="false" ht="15" hidden="false" customHeight="false" outlineLevel="0" collapsed="false">
      <c r="A961" s="20"/>
      <c r="B961" s="6"/>
      <c r="C961" s="19"/>
      <c r="D961" s="23"/>
      <c r="E961" s="9" t="str">
        <f aca="false">IF($B961="","",$C961*$D961)</f>
        <v/>
      </c>
      <c r="F961" s="19"/>
      <c r="G961" s="19"/>
    </row>
    <row r="962" customFormat="false" ht="15" hidden="false" customHeight="false" outlineLevel="0" collapsed="false">
      <c r="A962" s="20"/>
      <c r="B962" s="6"/>
      <c r="C962" s="19"/>
      <c r="D962" s="23"/>
      <c r="E962" s="9" t="str">
        <f aca="false">IF($B962="","",$C962*$D962)</f>
        <v/>
      </c>
      <c r="F962" s="19"/>
      <c r="G962" s="19"/>
    </row>
    <row r="963" customFormat="false" ht="15" hidden="false" customHeight="false" outlineLevel="0" collapsed="false">
      <c r="A963" s="20"/>
      <c r="B963" s="6"/>
      <c r="C963" s="19"/>
      <c r="D963" s="23"/>
      <c r="E963" s="9" t="str">
        <f aca="false">IF($B963="","",$C963*$D963)</f>
        <v/>
      </c>
      <c r="F963" s="19"/>
      <c r="G963" s="19"/>
    </row>
    <row r="964" customFormat="false" ht="15" hidden="false" customHeight="false" outlineLevel="0" collapsed="false">
      <c r="A964" s="20"/>
      <c r="B964" s="6"/>
      <c r="C964" s="19"/>
      <c r="D964" s="23"/>
      <c r="E964" s="9" t="str">
        <f aca="false">IF($B964="","",$C964*$D964)</f>
        <v/>
      </c>
      <c r="F964" s="19"/>
      <c r="G964" s="19"/>
    </row>
    <row r="965" customFormat="false" ht="15" hidden="false" customHeight="false" outlineLevel="0" collapsed="false">
      <c r="A965" s="20"/>
      <c r="B965" s="6"/>
      <c r="C965" s="19"/>
      <c r="D965" s="23"/>
      <c r="E965" s="9" t="str">
        <f aca="false">IF($B965="","",$C965*$D965)</f>
        <v/>
      </c>
      <c r="F965" s="19"/>
      <c r="G965" s="19"/>
    </row>
    <row r="966" customFormat="false" ht="15" hidden="false" customHeight="false" outlineLevel="0" collapsed="false">
      <c r="A966" s="20"/>
      <c r="B966" s="6"/>
      <c r="C966" s="19"/>
      <c r="D966" s="23"/>
      <c r="E966" s="9" t="str">
        <f aca="false">IF($B966="","",$C966*$D966)</f>
        <v/>
      </c>
      <c r="F966" s="19"/>
      <c r="G966" s="19"/>
    </row>
    <row r="967" customFormat="false" ht="15" hidden="false" customHeight="false" outlineLevel="0" collapsed="false">
      <c r="A967" s="20"/>
      <c r="B967" s="6"/>
      <c r="C967" s="19"/>
      <c r="D967" s="23"/>
      <c r="E967" s="9" t="str">
        <f aca="false">IF($B967="","",$C967*$D967)</f>
        <v/>
      </c>
      <c r="F967" s="19"/>
      <c r="G967" s="19"/>
    </row>
    <row r="968" customFormat="false" ht="15" hidden="false" customHeight="false" outlineLevel="0" collapsed="false">
      <c r="A968" s="20"/>
      <c r="B968" s="6"/>
      <c r="C968" s="19"/>
      <c r="D968" s="23"/>
      <c r="E968" s="9" t="str">
        <f aca="false">IF($B968="","",$C968*$D968)</f>
        <v/>
      </c>
      <c r="F968" s="19"/>
      <c r="G968" s="19"/>
    </row>
    <row r="969" customFormat="false" ht="15" hidden="false" customHeight="false" outlineLevel="0" collapsed="false">
      <c r="A969" s="20"/>
      <c r="B969" s="6"/>
      <c r="C969" s="19"/>
      <c r="D969" s="23"/>
      <c r="E969" s="9" t="str">
        <f aca="false">IF($B969="","",$C969*$D969)</f>
        <v/>
      </c>
      <c r="F969" s="19"/>
      <c r="G969" s="19"/>
    </row>
    <row r="970" customFormat="false" ht="15" hidden="false" customHeight="false" outlineLevel="0" collapsed="false">
      <c r="A970" s="20"/>
      <c r="B970" s="6"/>
      <c r="C970" s="19"/>
      <c r="D970" s="23"/>
      <c r="E970" s="9" t="str">
        <f aca="false">IF($B970="","",$C970*$D970)</f>
        <v/>
      </c>
      <c r="F970" s="19"/>
      <c r="G970" s="19"/>
    </row>
    <row r="971" customFormat="false" ht="15" hidden="false" customHeight="false" outlineLevel="0" collapsed="false">
      <c r="A971" s="20"/>
      <c r="B971" s="6"/>
      <c r="C971" s="19"/>
      <c r="D971" s="23"/>
      <c r="E971" s="9" t="str">
        <f aca="false">IF($B971="","",$C971*$D971)</f>
        <v/>
      </c>
      <c r="F971" s="19"/>
      <c r="G971" s="19"/>
    </row>
    <row r="972" customFormat="false" ht="15" hidden="false" customHeight="false" outlineLevel="0" collapsed="false">
      <c r="A972" s="20"/>
      <c r="B972" s="6"/>
      <c r="C972" s="19"/>
      <c r="D972" s="23"/>
      <c r="E972" s="9" t="str">
        <f aca="false">IF($B972="","",$C972*$D972)</f>
        <v/>
      </c>
      <c r="F972" s="19"/>
      <c r="G972" s="19"/>
    </row>
    <row r="973" customFormat="false" ht="15" hidden="false" customHeight="false" outlineLevel="0" collapsed="false">
      <c r="A973" s="20"/>
      <c r="B973" s="6"/>
      <c r="C973" s="19"/>
      <c r="D973" s="23"/>
      <c r="E973" s="9" t="str">
        <f aca="false">IF($B973="","",$C973*$D973)</f>
        <v/>
      </c>
      <c r="F973" s="19"/>
      <c r="G973" s="19"/>
    </row>
    <row r="974" customFormat="false" ht="15" hidden="false" customHeight="false" outlineLevel="0" collapsed="false">
      <c r="A974" s="20"/>
      <c r="B974" s="6"/>
      <c r="C974" s="19"/>
      <c r="D974" s="23"/>
      <c r="E974" s="9" t="str">
        <f aca="false">IF($B974="","",$C974*$D974)</f>
        <v/>
      </c>
      <c r="F974" s="19"/>
      <c r="G974" s="19"/>
    </row>
    <row r="975" customFormat="false" ht="15" hidden="false" customHeight="false" outlineLevel="0" collapsed="false">
      <c r="A975" s="20"/>
      <c r="B975" s="6"/>
      <c r="C975" s="19"/>
      <c r="D975" s="23"/>
      <c r="E975" s="9" t="str">
        <f aca="false">IF($B975="","",$C975*$D975)</f>
        <v/>
      </c>
      <c r="F975" s="19"/>
      <c r="G975" s="19"/>
    </row>
    <row r="976" customFormat="false" ht="15" hidden="false" customHeight="false" outlineLevel="0" collapsed="false">
      <c r="A976" s="20"/>
      <c r="B976" s="6"/>
      <c r="C976" s="19"/>
      <c r="D976" s="23"/>
      <c r="E976" s="9" t="str">
        <f aca="false">IF($B976="","",$C976*$D976)</f>
        <v/>
      </c>
      <c r="F976" s="19"/>
      <c r="G976" s="19"/>
    </row>
    <row r="977" customFormat="false" ht="15" hidden="false" customHeight="false" outlineLevel="0" collapsed="false">
      <c r="A977" s="20"/>
      <c r="B977" s="6"/>
      <c r="C977" s="19"/>
      <c r="D977" s="23"/>
      <c r="E977" s="9" t="str">
        <f aca="false">IF($B977="","",$C977*$D977)</f>
        <v/>
      </c>
      <c r="F977" s="19"/>
      <c r="G977" s="19"/>
    </row>
    <row r="978" customFormat="false" ht="15" hidden="false" customHeight="false" outlineLevel="0" collapsed="false">
      <c r="A978" s="20"/>
      <c r="B978" s="6"/>
      <c r="C978" s="19"/>
      <c r="D978" s="23"/>
      <c r="E978" s="9" t="str">
        <f aca="false">IF($B978="","",$C978*$D978)</f>
        <v/>
      </c>
      <c r="F978" s="19"/>
      <c r="G978" s="19"/>
    </row>
    <row r="979" customFormat="false" ht="15" hidden="false" customHeight="false" outlineLevel="0" collapsed="false">
      <c r="A979" s="20"/>
      <c r="B979" s="6"/>
      <c r="C979" s="19"/>
      <c r="D979" s="23"/>
      <c r="E979" s="9" t="str">
        <f aca="false">IF($B979="","",$C979*$D979)</f>
        <v/>
      </c>
      <c r="F979" s="19"/>
      <c r="G979" s="19"/>
    </row>
    <row r="980" customFormat="false" ht="15" hidden="false" customHeight="false" outlineLevel="0" collapsed="false">
      <c r="A980" s="20"/>
      <c r="B980" s="6"/>
      <c r="C980" s="19"/>
      <c r="D980" s="23"/>
      <c r="E980" s="9" t="str">
        <f aca="false">IF($B980="","",$C980*$D980)</f>
        <v/>
      </c>
      <c r="F980" s="19"/>
      <c r="G980" s="19"/>
    </row>
    <row r="981" customFormat="false" ht="15" hidden="false" customHeight="false" outlineLevel="0" collapsed="false">
      <c r="A981" s="20"/>
      <c r="B981" s="6"/>
      <c r="C981" s="19"/>
      <c r="D981" s="23"/>
      <c r="E981" s="9" t="str">
        <f aca="false">IF($B981="","",$C981*$D981)</f>
        <v/>
      </c>
      <c r="F981" s="19"/>
      <c r="G981" s="19"/>
    </row>
    <row r="982" customFormat="false" ht="15" hidden="false" customHeight="false" outlineLevel="0" collapsed="false">
      <c r="A982" s="20"/>
      <c r="B982" s="6"/>
      <c r="C982" s="19"/>
      <c r="D982" s="23"/>
      <c r="E982" s="9" t="str">
        <f aca="false">IF($B982="","",$C982*$D982)</f>
        <v/>
      </c>
      <c r="F982" s="19"/>
      <c r="G982" s="19"/>
    </row>
    <row r="983" customFormat="false" ht="15" hidden="false" customHeight="false" outlineLevel="0" collapsed="false">
      <c r="A983" s="20"/>
      <c r="B983" s="6"/>
      <c r="C983" s="19"/>
      <c r="D983" s="23"/>
      <c r="E983" s="9" t="str">
        <f aca="false">IF($B983="","",$C983*$D983)</f>
        <v/>
      </c>
      <c r="F983" s="19"/>
      <c r="G983" s="19"/>
    </row>
    <row r="984" customFormat="false" ht="15" hidden="false" customHeight="false" outlineLevel="0" collapsed="false">
      <c r="A984" s="20"/>
      <c r="B984" s="6"/>
      <c r="C984" s="19"/>
      <c r="D984" s="23"/>
      <c r="E984" s="9" t="str">
        <f aca="false">IF($B984="","",$C984*$D984)</f>
        <v/>
      </c>
      <c r="F984" s="19"/>
      <c r="G984" s="19"/>
    </row>
    <row r="985" customFormat="false" ht="15" hidden="false" customHeight="false" outlineLevel="0" collapsed="false">
      <c r="A985" s="20"/>
      <c r="B985" s="6"/>
      <c r="C985" s="19"/>
      <c r="D985" s="23"/>
      <c r="E985" s="9" t="str">
        <f aca="false">IF($B985="","",$C985*$D985)</f>
        <v/>
      </c>
      <c r="F985" s="19"/>
      <c r="G985" s="19"/>
    </row>
    <row r="986" customFormat="false" ht="15" hidden="false" customHeight="false" outlineLevel="0" collapsed="false">
      <c r="A986" s="20"/>
      <c r="B986" s="6"/>
      <c r="C986" s="19"/>
      <c r="D986" s="23"/>
      <c r="E986" s="9" t="str">
        <f aca="false">IF($B986="","",$C986*$D986)</f>
        <v/>
      </c>
      <c r="F986" s="19"/>
      <c r="G986" s="19"/>
    </row>
    <row r="987" customFormat="false" ht="15" hidden="false" customHeight="false" outlineLevel="0" collapsed="false">
      <c r="A987" s="20"/>
      <c r="B987" s="6"/>
      <c r="C987" s="19"/>
      <c r="D987" s="23"/>
      <c r="E987" s="9" t="str">
        <f aca="false">IF($B987="","",$C987*$D987)</f>
        <v/>
      </c>
      <c r="F987" s="19"/>
      <c r="G987" s="19"/>
    </row>
    <row r="988" customFormat="false" ht="15" hidden="false" customHeight="false" outlineLevel="0" collapsed="false">
      <c r="A988" s="20"/>
      <c r="B988" s="6"/>
      <c r="C988" s="19"/>
      <c r="D988" s="23"/>
      <c r="E988" s="9" t="str">
        <f aca="false">IF($B988="","",$C988*$D988)</f>
        <v/>
      </c>
      <c r="F988" s="19"/>
      <c r="G988" s="19"/>
    </row>
    <row r="989" customFormat="false" ht="15" hidden="false" customHeight="false" outlineLevel="0" collapsed="false">
      <c r="A989" s="20"/>
      <c r="B989" s="6"/>
      <c r="C989" s="19"/>
      <c r="D989" s="23"/>
      <c r="E989" s="9" t="str">
        <f aca="false">IF($B989="","",$C989*$D989)</f>
        <v/>
      </c>
      <c r="F989" s="19"/>
      <c r="G989" s="19"/>
    </row>
    <row r="990" customFormat="false" ht="15" hidden="false" customHeight="false" outlineLevel="0" collapsed="false">
      <c r="A990" s="20"/>
      <c r="B990" s="6"/>
      <c r="C990" s="19"/>
      <c r="D990" s="23"/>
      <c r="E990" s="9" t="str">
        <f aca="false">IF($B990="","",$C990*$D990)</f>
        <v/>
      </c>
      <c r="F990" s="19"/>
      <c r="G990" s="19"/>
    </row>
    <row r="991" customFormat="false" ht="15" hidden="false" customHeight="false" outlineLevel="0" collapsed="false">
      <c r="A991" s="20"/>
      <c r="B991" s="6"/>
      <c r="C991" s="19"/>
      <c r="D991" s="23"/>
      <c r="E991" s="9" t="str">
        <f aca="false">IF($B991="","",$C991*$D991)</f>
        <v/>
      </c>
      <c r="F991" s="19"/>
      <c r="G991" s="19"/>
    </row>
    <row r="992" customFormat="false" ht="15" hidden="false" customHeight="false" outlineLevel="0" collapsed="false">
      <c r="A992" s="20"/>
      <c r="B992" s="6"/>
      <c r="C992" s="19"/>
      <c r="D992" s="23"/>
      <c r="E992" s="9" t="str">
        <f aca="false">IF($B992="","",$C992*$D992)</f>
        <v/>
      </c>
      <c r="F992" s="19"/>
      <c r="G992" s="19"/>
    </row>
    <row r="993" customFormat="false" ht="15" hidden="false" customHeight="false" outlineLevel="0" collapsed="false">
      <c r="A993" s="20"/>
      <c r="B993" s="6"/>
      <c r="C993" s="19"/>
      <c r="D993" s="23"/>
      <c r="E993" s="9" t="str">
        <f aca="false">IF($B993="","",$C993*$D993)</f>
        <v/>
      </c>
      <c r="F993" s="19"/>
      <c r="G993" s="19"/>
    </row>
    <row r="994" customFormat="false" ht="15" hidden="false" customHeight="false" outlineLevel="0" collapsed="false">
      <c r="A994" s="20"/>
      <c r="B994" s="6"/>
      <c r="C994" s="19"/>
      <c r="D994" s="23"/>
      <c r="E994" s="9" t="str">
        <f aca="false">IF($B994="","",$C994*$D994)</f>
        <v/>
      </c>
      <c r="F994" s="19"/>
      <c r="G994" s="19"/>
    </row>
    <row r="995" customFormat="false" ht="15" hidden="false" customHeight="false" outlineLevel="0" collapsed="false">
      <c r="A995" s="20"/>
      <c r="B995" s="6"/>
      <c r="C995" s="19"/>
      <c r="D995" s="23"/>
      <c r="E995" s="9" t="str">
        <f aca="false">IF($B995="","",$C995*$D995)</f>
        <v/>
      </c>
      <c r="F995" s="19"/>
      <c r="G995" s="19"/>
    </row>
    <row r="996" customFormat="false" ht="15" hidden="false" customHeight="false" outlineLevel="0" collapsed="false">
      <c r="A996" s="20"/>
      <c r="B996" s="6"/>
      <c r="C996" s="19"/>
      <c r="D996" s="23"/>
      <c r="E996" s="9" t="str">
        <f aca="false">IF($B996="","",$C996*$D996)</f>
        <v/>
      </c>
      <c r="F996" s="19"/>
      <c r="G996" s="19"/>
    </row>
    <row r="997" customFormat="false" ht="15" hidden="false" customHeight="false" outlineLevel="0" collapsed="false">
      <c r="A997" s="20"/>
      <c r="B997" s="6"/>
      <c r="C997" s="19"/>
      <c r="D997" s="23"/>
      <c r="E997" s="9" t="str">
        <f aca="false">IF($B997="","",$C997*$D997)</f>
        <v/>
      </c>
      <c r="F997" s="19"/>
      <c r="G997" s="19"/>
    </row>
    <row r="998" customFormat="false" ht="15" hidden="false" customHeight="false" outlineLevel="0" collapsed="false">
      <c r="A998" s="20"/>
      <c r="B998" s="6"/>
      <c r="C998" s="19"/>
      <c r="D998" s="23"/>
      <c r="E998" s="9" t="str">
        <f aca="false">IF($B998="","",$C998*$D998)</f>
        <v/>
      </c>
      <c r="F998" s="19"/>
      <c r="G998" s="19"/>
    </row>
    <row r="999" customFormat="false" ht="15" hidden="false" customHeight="false" outlineLevel="0" collapsed="false">
      <c r="A999" s="20"/>
      <c r="B999" s="6"/>
      <c r="C999" s="19"/>
      <c r="D999" s="23"/>
      <c r="E999" s="9" t="str">
        <f aca="false">IF($B999="","",$C999*$D999)</f>
        <v/>
      </c>
      <c r="F999" s="19"/>
      <c r="G999" s="19"/>
    </row>
    <row r="1000" customFormat="false" ht="15" hidden="false" customHeight="false" outlineLevel="0" collapsed="false">
      <c r="A1000" s="20"/>
      <c r="B1000" s="6"/>
      <c r="C1000" s="19"/>
      <c r="D1000" s="23"/>
      <c r="E1000" s="9" t="str">
        <f aca="false">IF($B1000="","",$C1000*$D1000)</f>
        <v/>
      </c>
      <c r="F1000" s="19"/>
      <c r="G1000" s="19"/>
    </row>
    <row r="1001" customFormat="false" ht="15" hidden="false" customHeight="false" outlineLevel="0" collapsed="false">
      <c r="A1001" s="20"/>
      <c r="B1001" s="6"/>
      <c r="C1001" s="19"/>
      <c r="D1001" s="23"/>
      <c r="E1001" s="9" t="str">
        <f aca="false">IF($B1001="","",$C1001*$D1001)</f>
        <v/>
      </c>
      <c r="F1001" s="19"/>
      <c r="G1001" s="19"/>
    </row>
  </sheetData>
  <dataValidations count="1">
    <dataValidation allowBlank="true" errorStyle="stop" operator="between" prompt="New product? Add it on the Inventory sheet first." promptTitle="Pick from list" showDropDown="false" showErrorMessage="true" showInputMessage="true" sqref="B2:B1001" type="list">
      <formula1>ProductNames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2" min="11" style="0" width="13"/>
  </cols>
  <sheetData>
    <row r="1" customFormat="false" ht="15" hidden="false" customHeight="false" outlineLevel="0" collapsed="false">
      <c r="A1" s="17" t="s">
        <v>167</v>
      </c>
      <c r="B1" s="17" t="s">
        <v>63</v>
      </c>
      <c r="C1" s="17" t="s">
        <v>170</v>
      </c>
      <c r="D1" s="17" t="s">
        <v>171</v>
      </c>
      <c r="E1" s="17" t="s">
        <v>172</v>
      </c>
      <c r="F1" s="17" t="s">
        <v>173</v>
      </c>
      <c r="G1" s="17" t="s">
        <v>174</v>
      </c>
      <c r="H1" s="17" t="s">
        <v>175</v>
      </c>
      <c r="I1" s="17" t="s">
        <v>176</v>
      </c>
      <c r="J1" s="17" t="s">
        <v>70</v>
      </c>
      <c r="K1" s="17" t="s">
        <v>177</v>
      </c>
      <c r="L1" s="17" t="s">
        <v>178</v>
      </c>
    </row>
    <row r="2" customFormat="false" ht="15" hidden="false" customHeight="false" outlineLevel="0" collapsed="false">
      <c r="A2" s="19"/>
      <c r="B2" s="19"/>
      <c r="C2" s="19"/>
      <c r="D2" s="19"/>
      <c r="E2" s="23"/>
      <c r="F2" s="15" t="str">
        <f aca="false">IF($A2="","",SUMIF(Purchases!$B$2:$B$1001,$A2,Purchases!$C$2:$C$1001))</f>
        <v/>
      </c>
      <c r="G2" s="19"/>
      <c r="H2" s="6" t="str">
        <f aca="false">IF($A2="","",IF($D2="",0,$D2)+$F2-IF($G2="",0,$G2))</f>
        <v/>
      </c>
      <c r="I2" s="19"/>
      <c r="J2" s="3" t="str">
        <f aca="false">IF($A2="","",IF($I2="","OK",IF($H2&lt;=$I2,"REORDER","OK")))</f>
        <v/>
      </c>
      <c r="K2" s="16" t="str">
        <f aca="false">IF($A2="","",IFERROR((IF($D2="",0,$D2)*IF($E2="",0,$E2)+SUMIF(Purchases!$B$2:$B$1001,$A2,Purchases!$E$2:$E$1001))/(IF($D2="",0,$D2)+SUMIF(Purchases!$B$2:$B$1001,$A2,Purchases!$C$2:$C$1001)),0))</f>
        <v/>
      </c>
      <c r="L2" s="9" t="str">
        <f aca="false">IF($A2="","",$H2*$K2)</f>
        <v/>
      </c>
    </row>
    <row r="3" customFormat="false" ht="15" hidden="false" customHeight="false" outlineLevel="0" collapsed="false">
      <c r="A3" s="19"/>
      <c r="B3" s="19"/>
      <c r="C3" s="19"/>
      <c r="D3" s="19"/>
      <c r="E3" s="23"/>
      <c r="F3" s="15" t="str">
        <f aca="false">IF($A3="","",SUMIF(Purchases!$B$2:$B$1001,$A3,Purchases!$C$2:$C$1001))</f>
        <v/>
      </c>
      <c r="G3" s="19"/>
      <c r="H3" s="6" t="str">
        <f aca="false">IF($A3="","",IF($D3="",0,$D3)+$F3-IF($G3="",0,$G3))</f>
        <v/>
      </c>
      <c r="I3" s="19"/>
      <c r="J3" s="3" t="str">
        <f aca="false">IF($A3="","",IF($I3="","OK",IF($H3&lt;=$I3,"REORDER","OK")))</f>
        <v/>
      </c>
      <c r="K3" s="16" t="str">
        <f aca="false">IF($A3="","",IFERROR((IF($D3="",0,$D3)*IF($E3="",0,$E3)+SUMIF(Purchases!$B$2:$B$1001,$A3,Purchases!$E$2:$E$1001))/(IF($D3="",0,$D3)+SUMIF(Purchases!$B$2:$B$1001,$A3,Purchases!$C$2:$C$1001)),0))</f>
        <v/>
      </c>
      <c r="L3" s="9" t="str">
        <f aca="false">IF($A3="","",$H3*$K3)</f>
        <v/>
      </c>
    </row>
    <row r="4" customFormat="false" ht="15" hidden="false" customHeight="false" outlineLevel="0" collapsed="false">
      <c r="A4" s="19"/>
      <c r="B4" s="19"/>
      <c r="C4" s="19"/>
      <c r="D4" s="19"/>
      <c r="E4" s="23"/>
      <c r="F4" s="15" t="str">
        <f aca="false">IF($A4="","",SUMIF(Purchases!$B$2:$B$1001,$A4,Purchases!$C$2:$C$1001))</f>
        <v/>
      </c>
      <c r="G4" s="19"/>
      <c r="H4" s="6" t="str">
        <f aca="false">IF($A4="","",IF($D4="",0,$D4)+$F4-IF($G4="",0,$G4))</f>
        <v/>
      </c>
      <c r="I4" s="19"/>
      <c r="J4" s="3" t="str">
        <f aca="false">IF($A4="","",IF($I4="","OK",IF($H4&lt;=$I4,"REORDER","OK")))</f>
        <v/>
      </c>
      <c r="K4" s="16" t="str">
        <f aca="false">IF($A4="","",IFERROR((IF($D4="",0,$D4)*IF($E4="",0,$E4)+SUMIF(Purchases!$B$2:$B$1001,$A4,Purchases!$E$2:$E$1001))/(IF($D4="",0,$D4)+SUMIF(Purchases!$B$2:$B$1001,$A4,Purchases!$C$2:$C$1001)),0))</f>
        <v/>
      </c>
      <c r="L4" s="9" t="str">
        <f aca="false">IF($A4="","",$H4*$K4)</f>
        <v/>
      </c>
    </row>
    <row r="5" customFormat="false" ht="15" hidden="false" customHeight="false" outlineLevel="0" collapsed="false">
      <c r="A5" s="19"/>
      <c r="B5" s="19"/>
      <c r="C5" s="19"/>
      <c r="D5" s="19"/>
      <c r="E5" s="23"/>
      <c r="F5" s="15" t="str">
        <f aca="false">IF($A5="","",SUMIF(Purchases!$B$2:$B$1001,$A5,Purchases!$C$2:$C$1001))</f>
        <v/>
      </c>
      <c r="G5" s="19"/>
      <c r="H5" s="6" t="str">
        <f aca="false">IF($A5="","",IF($D5="",0,$D5)+$F5-IF($G5="",0,$G5))</f>
        <v/>
      </c>
      <c r="I5" s="19"/>
      <c r="J5" s="3" t="str">
        <f aca="false">IF($A5="","",IF($I5="","OK",IF($H5&lt;=$I5,"REORDER","OK")))</f>
        <v/>
      </c>
      <c r="K5" s="16" t="str">
        <f aca="false">IF($A5="","",IFERROR((IF($D5="",0,$D5)*IF($E5="",0,$E5)+SUMIF(Purchases!$B$2:$B$1001,$A5,Purchases!$E$2:$E$1001))/(IF($D5="",0,$D5)+SUMIF(Purchases!$B$2:$B$1001,$A5,Purchases!$C$2:$C$1001)),0))</f>
        <v/>
      </c>
      <c r="L5" s="9" t="str">
        <f aca="false">IF($A5="","",$H5*$K5)</f>
        <v/>
      </c>
    </row>
    <row r="6" customFormat="false" ht="15" hidden="false" customHeight="false" outlineLevel="0" collapsed="false">
      <c r="A6" s="19"/>
      <c r="B6" s="19"/>
      <c r="C6" s="19"/>
      <c r="D6" s="19"/>
      <c r="E6" s="23"/>
      <c r="F6" s="15" t="str">
        <f aca="false">IF($A6="","",SUMIF(Purchases!$B$2:$B$1001,$A6,Purchases!$C$2:$C$1001))</f>
        <v/>
      </c>
      <c r="G6" s="19"/>
      <c r="H6" s="6" t="str">
        <f aca="false">IF($A6="","",IF($D6="",0,$D6)+$F6-IF($G6="",0,$G6))</f>
        <v/>
      </c>
      <c r="I6" s="19"/>
      <c r="J6" s="3" t="str">
        <f aca="false">IF($A6="","",IF($I6="","OK",IF($H6&lt;=$I6,"REORDER","OK")))</f>
        <v/>
      </c>
      <c r="K6" s="16" t="str">
        <f aca="false">IF($A6="","",IFERROR((IF($D6="",0,$D6)*IF($E6="",0,$E6)+SUMIF(Purchases!$B$2:$B$1001,$A6,Purchases!$E$2:$E$1001))/(IF($D6="",0,$D6)+SUMIF(Purchases!$B$2:$B$1001,$A6,Purchases!$C$2:$C$1001)),0))</f>
        <v/>
      </c>
      <c r="L6" s="9" t="str">
        <f aca="false">IF($A6="","",$H6*$K6)</f>
        <v/>
      </c>
    </row>
    <row r="7" customFormat="false" ht="15" hidden="false" customHeight="false" outlineLevel="0" collapsed="false">
      <c r="A7" s="19"/>
      <c r="B7" s="19"/>
      <c r="C7" s="19"/>
      <c r="D7" s="19"/>
      <c r="E7" s="23"/>
      <c r="F7" s="15" t="str">
        <f aca="false">IF($A7="","",SUMIF(Purchases!$B$2:$B$1001,$A7,Purchases!$C$2:$C$1001))</f>
        <v/>
      </c>
      <c r="G7" s="19"/>
      <c r="H7" s="6" t="str">
        <f aca="false">IF($A7="","",IF($D7="",0,$D7)+$F7-IF($G7="",0,$G7))</f>
        <v/>
      </c>
      <c r="I7" s="19"/>
      <c r="J7" s="3" t="str">
        <f aca="false">IF($A7="","",IF($I7="","OK",IF($H7&lt;=$I7,"REORDER","OK")))</f>
        <v/>
      </c>
      <c r="K7" s="16" t="str">
        <f aca="false">IF($A7="","",IFERROR((IF($D7="",0,$D7)*IF($E7="",0,$E7)+SUMIF(Purchases!$B$2:$B$1001,$A7,Purchases!$E$2:$E$1001))/(IF($D7="",0,$D7)+SUMIF(Purchases!$B$2:$B$1001,$A7,Purchases!$C$2:$C$1001)),0))</f>
        <v/>
      </c>
      <c r="L7" s="9" t="str">
        <f aca="false">IF($A7="","",$H7*$K7)</f>
        <v/>
      </c>
    </row>
    <row r="8" customFormat="false" ht="15" hidden="false" customHeight="false" outlineLevel="0" collapsed="false">
      <c r="A8" s="19"/>
      <c r="B8" s="19"/>
      <c r="C8" s="19"/>
      <c r="D8" s="19"/>
      <c r="E8" s="23"/>
      <c r="F8" s="15" t="str">
        <f aca="false">IF($A8="","",SUMIF(Purchases!$B$2:$B$1001,$A8,Purchases!$C$2:$C$1001))</f>
        <v/>
      </c>
      <c r="G8" s="19"/>
      <c r="H8" s="6" t="str">
        <f aca="false">IF($A8="","",IF($D8="",0,$D8)+$F8-IF($G8="",0,$G8))</f>
        <v/>
      </c>
      <c r="I8" s="19"/>
      <c r="J8" s="3" t="str">
        <f aca="false">IF($A8="","",IF($I8="","OK",IF($H8&lt;=$I8,"REORDER","OK")))</f>
        <v/>
      </c>
      <c r="K8" s="16" t="str">
        <f aca="false">IF($A8="","",IFERROR((IF($D8="",0,$D8)*IF($E8="",0,$E8)+SUMIF(Purchases!$B$2:$B$1001,$A8,Purchases!$E$2:$E$1001))/(IF($D8="",0,$D8)+SUMIF(Purchases!$B$2:$B$1001,$A8,Purchases!$C$2:$C$1001)),0))</f>
        <v/>
      </c>
      <c r="L8" s="9" t="str">
        <f aca="false">IF($A8="","",$H8*$K8)</f>
        <v/>
      </c>
    </row>
    <row r="9" customFormat="false" ht="15" hidden="false" customHeight="false" outlineLevel="0" collapsed="false">
      <c r="A9" s="19"/>
      <c r="B9" s="19"/>
      <c r="C9" s="19"/>
      <c r="D9" s="19"/>
      <c r="E9" s="23"/>
      <c r="F9" s="15" t="str">
        <f aca="false">IF($A9="","",SUMIF(Purchases!$B$2:$B$1001,$A9,Purchases!$C$2:$C$1001))</f>
        <v/>
      </c>
      <c r="G9" s="19"/>
      <c r="H9" s="6" t="str">
        <f aca="false">IF($A9="","",IF($D9="",0,$D9)+$F9-IF($G9="",0,$G9))</f>
        <v/>
      </c>
      <c r="I9" s="19"/>
      <c r="J9" s="3" t="str">
        <f aca="false">IF($A9="","",IF($I9="","OK",IF($H9&lt;=$I9,"REORDER","OK")))</f>
        <v/>
      </c>
      <c r="K9" s="16" t="str">
        <f aca="false">IF($A9="","",IFERROR((IF($D9="",0,$D9)*IF($E9="",0,$E9)+SUMIF(Purchases!$B$2:$B$1001,$A9,Purchases!$E$2:$E$1001))/(IF($D9="",0,$D9)+SUMIF(Purchases!$B$2:$B$1001,$A9,Purchases!$C$2:$C$1001)),0))</f>
        <v/>
      </c>
      <c r="L9" s="9" t="str">
        <f aca="false">IF($A9="","",$H9*$K9)</f>
        <v/>
      </c>
    </row>
    <row r="10" customFormat="false" ht="15" hidden="false" customHeight="false" outlineLevel="0" collapsed="false">
      <c r="A10" s="19"/>
      <c r="B10" s="19"/>
      <c r="C10" s="19"/>
      <c r="D10" s="19"/>
      <c r="E10" s="23"/>
      <c r="F10" s="15" t="str">
        <f aca="false">IF($A10="","",SUMIF(Purchases!$B$2:$B$1001,$A10,Purchases!$C$2:$C$1001))</f>
        <v/>
      </c>
      <c r="G10" s="19"/>
      <c r="H10" s="6" t="str">
        <f aca="false">IF($A10="","",IF($D10="",0,$D10)+$F10-IF($G10="",0,$G10))</f>
        <v/>
      </c>
      <c r="I10" s="19"/>
      <c r="J10" s="3" t="str">
        <f aca="false">IF($A10="","",IF($I10="","OK",IF($H10&lt;=$I10,"REORDER","OK")))</f>
        <v/>
      </c>
      <c r="K10" s="16" t="str">
        <f aca="false">IF($A10="","",IFERROR((IF($D10="",0,$D10)*IF($E10="",0,$E10)+SUMIF(Purchases!$B$2:$B$1001,$A10,Purchases!$E$2:$E$1001))/(IF($D10="",0,$D10)+SUMIF(Purchases!$B$2:$B$1001,$A10,Purchases!$C$2:$C$1001)),0))</f>
        <v/>
      </c>
      <c r="L10" s="9" t="str">
        <f aca="false">IF($A10="","",$H10*$K10)</f>
        <v/>
      </c>
    </row>
    <row r="11" customFormat="false" ht="15" hidden="false" customHeight="false" outlineLevel="0" collapsed="false">
      <c r="A11" s="19"/>
      <c r="B11" s="19"/>
      <c r="C11" s="19"/>
      <c r="D11" s="19"/>
      <c r="E11" s="23"/>
      <c r="F11" s="15" t="str">
        <f aca="false">IF($A11="","",SUMIF(Purchases!$B$2:$B$1001,$A11,Purchases!$C$2:$C$1001))</f>
        <v/>
      </c>
      <c r="G11" s="19"/>
      <c r="H11" s="6" t="str">
        <f aca="false">IF($A11="","",IF($D11="",0,$D11)+$F11-IF($G11="",0,$G11))</f>
        <v/>
      </c>
      <c r="I11" s="19"/>
      <c r="J11" s="3" t="str">
        <f aca="false">IF($A11="","",IF($I11="","OK",IF($H11&lt;=$I11,"REORDER","OK")))</f>
        <v/>
      </c>
      <c r="K11" s="16" t="str">
        <f aca="false">IF($A11="","",IFERROR((IF($D11="",0,$D11)*IF($E11="",0,$E11)+SUMIF(Purchases!$B$2:$B$1001,$A11,Purchases!$E$2:$E$1001))/(IF($D11="",0,$D11)+SUMIF(Purchases!$B$2:$B$1001,$A11,Purchases!$C$2:$C$1001)),0))</f>
        <v/>
      </c>
      <c r="L11" s="9" t="str">
        <f aca="false">IF($A11="","",$H11*$K11)</f>
        <v/>
      </c>
    </row>
    <row r="12" customFormat="false" ht="15" hidden="false" customHeight="false" outlineLevel="0" collapsed="false">
      <c r="A12" s="19"/>
      <c r="B12" s="19"/>
      <c r="C12" s="19"/>
      <c r="D12" s="19"/>
      <c r="E12" s="23"/>
      <c r="F12" s="15" t="str">
        <f aca="false">IF($A12="","",SUMIF(Purchases!$B$2:$B$1001,$A12,Purchases!$C$2:$C$1001))</f>
        <v/>
      </c>
      <c r="G12" s="19"/>
      <c r="H12" s="6" t="str">
        <f aca="false">IF($A12="","",IF($D12="",0,$D12)+$F12-IF($G12="",0,$G12))</f>
        <v/>
      </c>
      <c r="I12" s="19"/>
      <c r="J12" s="3" t="str">
        <f aca="false">IF($A12="","",IF($I12="","OK",IF($H12&lt;=$I12,"REORDER","OK")))</f>
        <v/>
      </c>
      <c r="K12" s="16" t="str">
        <f aca="false">IF($A12="","",IFERROR((IF($D12="",0,$D12)*IF($E12="",0,$E12)+SUMIF(Purchases!$B$2:$B$1001,$A12,Purchases!$E$2:$E$1001))/(IF($D12="",0,$D12)+SUMIF(Purchases!$B$2:$B$1001,$A12,Purchases!$C$2:$C$1001)),0))</f>
        <v/>
      </c>
      <c r="L12" s="9" t="str">
        <f aca="false">IF($A12="","",$H12*$K12)</f>
        <v/>
      </c>
    </row>
    <row r="13" customFormat="false" ht="15" hidden="false" customHeight="false" outlineLevel="0" collapsed="false">
      <c r="A13" s="19"/>
      <c r="B13" s="19"/>
      <c r="C13" s="19"/>
      <c r="D13" s="19"/>
      <c r="E13" s="23"/>
      <c r="F13" s="15" t="str">
        <f aca="false">IF($A13="","",SUMIF(Purchases!$B$2:$B$1001,$A13,Purchases!$C$2:$C$1001))</f>
        <v/>
      </c>
      <c r="G13" s="19"/>
      <c r="H13" s="6" t="str">
        <f aca="false">IF($A13="","",IF($D13="",0,$D13)+$F13-IF($G13="",0,$G13))</f>
        <v/>
      </c>
      <c r="I13" s="19"/>
      <c r="J13" s="3" t="str">
        <f aca="false">IF($A13="","",IF($I13="","OK",IF($H13&lt;=$I13,"REORDER","OK")))</f>
        <v/>
      </c>
      <c r="K13" s="16" t="str">
        <f aca="false">IF($A13="","",IFERROR((IF($D13="",0,$D13)*IF($E13="",0,$E13)+SUMIF(Purchases!$B$2:$B$1001,$A13,Purchases!$E$2:$E$1001))/(IF($D13="",0,$D13)+SUMIF(Purchases!$B$2:$B$1001,$A13,Purchases!$C$2:$C$1001)),0))</f>
        <v/>
      </c>
      <c r="L13" s="9" t="str">
        <f aca="false">IF($A13="","",$H13*$K13)</f>
        <v/>
      </c>
    </row>
    <row r="14" customFormat="false" ht="15" hidden="false" customHeight="false" outlineLevel="0" collapsed="false">
      <c r="A14" s="19"/>
      <c r="B14" s="19"/>
      <c r="C14" s="19"/>
      <c r="D14" s="19"/>
      <c r="E14" s="23"/>
      <c r="F14" s="15" t="str">
        <f aca="false">IF($A14="","",SUMIF(Purchases!$B$2:$B$1001,$A14,Purchases!$C$2:$C$1001))</f>
        <v/>
      </c>
      <c r="G14" s="19"/>
      <c r="H14" s="6" t="str">
        <f aca="false">IF($A14="","",IF($D14="",0,$D14)+$F14-IF($G14="",0,$G14))</f>
        <v/>
      </c>
      <c r="I14" s="19"/>
      <c r="J14" s="3" t="str">
        <f aca="false">IF($A14="","",IF($I14="","OK",IF($H14&lt;=$I14,"REORDER","OK")))</f>
        <v/>
      </c>
      <c r="K14" s="16" t="str">
        <f aca="false">IF($A14="","",IFERROR((IF($D14="",0,$D14)*IF($E14="",0,$E14)+SUMIF(Purchases!$B$2:$B$1001,$A14,Purchases!$E$2:$E$1001))/(IF($D14="",0,$D14)+SUMIF(Purchases!$B$2:$B$1001,$A14,Purchases!$C$2:$C$1001)),0))</f>
        <v/>
      </c>
      <c r="L14" s="9" t="str">
        <f aca="false">IF($A14="","",$H14*$K14)</f>
        <v/>
      </c>
    </row>
    <row r="15" customFormat="false" ht="15" hidden="false" customHeight="false" outlineLevel="0" collapsed="false">
      <c r="A15" s="19"/>
      <c r="B15" s="19"/>
      <c r="C15" s="19"/>
      <c r="D15" s="19"/>
      <c r="E15" s="23"/>
      <c r="F15" s="15" t="str">
        <f aca="false">IF($A15="","",SUMIF(Purchases!$B$2:$B$1001,$A15,Purchases!$C$2:$C$1001))</f>
        <v/>
      </c>
      <c r="G15" s="19"/>
      <c r="H15" s="6" t="str">
        <f aca="false">IF($A15="","",IF($D15="",0,$D15)+$F15-IF($G15="",0,$G15))</f>
        <v/>
      </c>
      <c r="I15" s="19"/>
      <c r="J15" s="3" t="str">
        <f aca="false">IF($A15="","",IF($I15="","OK",IF($H15&lt;=$I15,"REORDER","OK")))</f>
        <v/>
      </c>
      <c r="K15" s="16" t="str">
        <f aca="false">IF($A15="","",IFERROR((IF($D15="",0,$D15)*IF($E15="",0,$E15)+SUMIF(Purchases!$B$2:$B$1001,$A15,Purchases!$E$2:$E$1001))/(IF($D15="",0,$D15)+SUMIF(Purchases!$B$2:$B$1001,$A15,Purchases!$C$2:$C$1001)),0))</f>
        <v/>
      </c>
      <c r="L15" s="9" t="str">
        <f aca="false">IF($A15="","",$H15*$K15)</f>
        <v/>
      </c>
    </row>
    <row r="16" customFormat="false" ht="15" hidden="false" customHeight="false" outlineLevel="0" collapsed="false">
      <c r="A16" s="19"/>
      <c r="B16" s="19"/>
      <c r="C16" s="19"/>
      <c r="D16" s="19"/>
      <c r="E16" s="23"/>
      <c r="F16" s="15" t="str">
        <f aca="false">IF($A16="","",SUMIF(Purchases!$B$2:$B$1001,$A16,Purchases!$C$2:$C$1001))</f>
        <v/>
      </c>
      <c r="G16" s="19"/>
      <c r="H16" s="6" t="str">
        <f aca="false">IF($A16="","",IF($D16="",0,$D16)+$F16-IF($G16="",0,$G16))</f>
        <v/>
      </c>
      <c r="I16" s="19"/>
      <c r="J16" s="3" t="str">
        <f aca="false">IF($A16="","",IF($I16="","OK",IF($H16&lt;=$I16,"REORDER","OK")))</f>
        <v/>
      </c>
      <c r="K16" s="16" t="str">
        <f aca="false">IF($A16="","",IFERROR((IF($D16="",0,$D16)*IF($E16="",0,$E16)+SUMIF(Purchases!$B$2:$B$1001,$A16,Purchases!$E$2:$E$1001))/(IF($D16="",0,$D16)+SUMIF(Purchases!$B$2:$B$1001,$A16,Purchases!$C$2:$C$1001)),0))</f>
        <v/>
      </c>
      <c r="L16" s="9" t="str">
        <f aca="false">IF($A16="","",$H16*$K16)</f>
        <v/>
      </c>
    </row>
    <row r="17" customFormat="false" ht="15" hidden="false" customHeight="false" outlineLevel="0" collapsed="false">
      <c r="A17" s="19"/>
      <c r="B17" s="19"/>
      <c r="C17" s="19"/>
      <c r="D17" s="19"/>
      <c r="E17" s="23"/>
      <c r="F17" s="15" t="str">
        <f aca="false">IF($A17="","",SUMIF(Purchases!$B$2:$B$1001,$A17,Purchases!$C$2:$C$1001))</f>
        <v/>
      </c>
      <c r="G17" s="19"/>
      <c r="H17" s="6" t="str">
        <f aca="false">IF($A17="","",IF($D17="",0,$D17)+$F17-IF($G17="",0,$G17))</f>
        <v/>
      </c>
      <c r="I17" s="19"/>
      <c r="J17" s="3" t="str">
        <f aca="false">IF($A17="","",IF($I17="","OK",IF($H17&lt;=$I17,"REORDER","OK")))</f>
        <v/>
      </c>
      <c r="K17" s="16" t="str">
        <f aca="false">IF($A17="","",IFERROR((IF($D17="",0,$D17)*IF($E17="",0,$E17)+SUMIF(Purchases!$B$2:$B$1001,$A17,Purchases!$E$2:$E$1001))/(IF($D17="",0,$D17)+SUMIF(Purchases!$B$2:$B$1001,$A17,Purchases!$C$2:$C$1001)),0))</f>
        <v/>
      </c>
      <c r="L17" s="9" t="str">
        <f aca="false">IF($A17="","",$H17*$K17)</f>
        <v/>
      </c>
    </row>
    <row r="18" customFormat="false" ht="15" hidden="false" customHeight="false" outlineLevel="0" collapsed="false">
      <c r="A18" s="19"/>
      <c r="B18" s="19"/>
      <c r="C18" s="19"/>
      <c r="D18" s="19"/>
      <c r="E18" s="23"/>
      <c r="F18" s="15" t="str">
        <f aca="false">IF($A18="","",SUMIF(Purchases!$B$2:$B$1001,$A18,Purchases!$C$2:$C$1001))</f>
        <v/>
      </c>
      <c r="G18" s="19"/>
      <c r="H18" s="6" t="str">
        <f aca="false">IF($A18="","",IF($D18="",0,$D18)+$F18-IF($G18="",0,$G18))</f>
        <v/>
      </c>
      <c r="I18" s="19"/>
      <c r="J18" s="3" t="str">
        <f aca="false">IF($A18="","",IF($I18="","OK",IF($H18&lt;=$I18,"REORDER","OK")))</f>
        <v/>
      </c>
      <c r="K18" s="16" t="str">
        <f aca="false">IF($A18="","",IFERROR((IF($D18="",0,$D18)*IF($E18="",0,$E18)+SUMIF(Purchases!$B$2:$B$1001,$A18,Purchases!$E$2:$E$1001))/(IF($D18="",0,$D18)+SUMIF(Purchases!$B$2:$B$1001,$A18,Purchases!$C$2:$C$1001)),0))</f>
        <v/>
      </c>
      <c r="L18" s="9" t="str">
        <f aca="false">IF($A18="","",$H18*$K18)</f>
        <v/>
      </c>
    </row>
    <row r="19" customFormat="false" ht="15" hidden="false" customHeight="false" outlineLevel="0" collapsed="false">
      <c r="A19" s="19"/>
      <c r="B19" s="19"/>
      <c r="C19" s="19"/>
      <c r="D19" s="19"/>
      <c r="E19" s="23"/>
      <c r="F19" s="15" t="str">
        <f aca="false">IF($A19="","",SUMIF(Purchases!$B$2:$B$1001,$A19,Purchases!$C$2:$C$1001))</f>
        <v/>
      </c>
      <c r="G19" s="19"/>
      <c r="H19" s="6" t="str">
        <f aca="false">IF($A19="","",IF($D19="",0,$D19)+$F19-IF($G19="",0,$G19))</f>
        <v/>
      </c>
      <c r="I19" s="19"/>
      <c r="J19" s="3" t="str">
        <f aca="false">IF($A19="","",IF($I19="","OK",IF($H19&lt;=$I19,"REORDER","OK")))</f>
        <v/>
      </c>
      <c r="K19" s="16" t="str">
        <f aca="false">IF($A19="","",IFERROR((IF($D19="",0,$D19)*IF($E19="",0,$E19)+SUMIF(Purchases!$B$2:$B$1001,$A19,Purchases!$E$2:$E$1001))/(IF($D19="",0,$D19)+SUMIF(Purchases!$B$2:$B$1001,$A19,Purchases!$C$2:$C$1001)),0))</f>
        <v/>
      </c>
      <c r="L19" s="9" t="str">
        <f aca="false">IF($A19="","",$H19*$K19)</f>
        <v/>
      </c>
    </row>
    <row r="20" customFormat="false" ht="15" hidden="false" customHeight="false" outlineLevel="0" collapsed="false">
      <c r="A20" s="19"/>
      <c r="B20" s="19"/>
      <c r="C20" s="19"/>
      <c r="D20" s="19"/>
      <c r="E20" s="23"/>
      <c r="F20" s="15" t="str">
        <f aca="false">IF($A20="","",SUMIF(Purchases!$B$2:$B$1001,$A20,Purchases!$C$2:$C$1001))</f>
        <v/>
      </c>
      <c r="G20" s="19"/>
      <c r="H20" s="6" t="str">
        <f aca="false">IF($A20="","",IF($D20="",0,$D20)+$F20-IF($G20="",0,$G20))</f>
        <v/>
      </c>
      <c r="I20" s="19"/>
      <c r="J20" s="3" t="str">
        <f aca="false">IF($A20="","",IF($I20="","OK",IF($H20&lt;=$I20,"REORDER","OK")))</f>
        <v/>
      </c>
      <c r="K20" s="16" t="str">
        <f aca="false">IF($A20="","",IFERROR((IF($D20="",0,$D20)*IF($E20="",0,$E20)+SUMIF(Purchases!$B$2:$B$1001,$A20,Purchases!$E$2:$E$1001))/(IF($D20="",0,$D20)+SUMIF(Purchases!$B$2:$B$1001,$A20,Purchases!$C$2:$C$1001)),0))</f>
        <v/>
      </c>
      <c r="L20" s="9" t="str">
        <f aca="false">IF($A20="","",$H20*$K20)</f>
        <v/>
      </c>
    </row>
    <row r="21" customFormat="false" ht="15" hidden="false" customHeight="false" outlineLevel="0" collapsed="false">
      <c r="A21" s="19"/>
      <c r="B21" s="19"/>
      <c r="C21" s="19"/>
      <c r="D21" s="19"/>
      <c r="E21" s="23"/>
      <c r="F21" s="15" t="str">
        <f aca="false">IF($A21="","",SUMIF(Purchases!$B$2:$B$1001,$A21,Purchases!$C$2:$C$1001))</f>
        <v/>
      </c>
      <c r="G21" s="19"/>
      <c r="H21" s="6" t="str">
        <f aca="false">IF($A21="","",IF($D21="",0,$D21)+$F21-IF($G21="",0,$G21))</f>
        <v/>
      </c>
      <c r="I21" s="19"/>
      <c r="J21" s="3" t="str">
        <f aca="false">IF($A21="","",IF($I21="","OK",IF($H21&lt;=$I21,"REORDER","OK")))</f>
        <v/>
      </c>
      <c r="K21" s="16" t="str">
        <f aca="false">IF($A21="","",IFERROR((IF($D21="",0,$D21)*IF($E21="",0,$E21)+SUMIF(Purchases!$B$2:$B$1001,$A21,Purchases!$E$2:$E$1001))/(IF($D21="",0,$D21)+SUMIF(Purchases!$B$2:$B$1001,$A21,Purchases!$C$2:$C$1001)),0))</f>
        <v/>
      </c>
      <c r="L21" s="9" t="str">
        <f aca="false">IF($A21="","",$H21*$K21)</f>
        <v/>
      </c>
    </row>
    <row r="22" customFormat="false" ht="15" hidden="false" customHeight="false" outlineLevel="0" collapsed="false">
      <c r="A22" s="19"/>
      <c r="B22" s="19"/>
      <c r="C22" s="19"/>
      <c r="D22" s="19"/>
      <c r="E22" s="23"/>
      <c r="F22" s="15" t="str">
        <f aca="false">IF($A22="","",SUMIF(Purchases!$B$2:$B$1001,$A22,Purchases!$C$2:$C$1001))</f>
        <v/>
      </c>
      <c r="G22" s="19"/>
      <c r="H22" s="6" t="str">
        <f aca="false">IF($A22="","",IF($D22="",0,$D22)+$F22-IF($G22="",0,$G22))</f>
        <v/>
      </c>
      <c r="I22" s="19"/>
      <c r="J22" s="3" t="str">
        <f aca="false">IF($A22="","",IF($I22="","OK",IF($H22&lt;=$I22,"REORDER","OK")))</f>
        <v/>
      </c>
      <c r="K22" s="16" t="str">
        <f aca="false">IF($A22="","",IFERROR((IF($D22="",0,$D22)*IF($E22="",0,$E22)+SUMIF(Purchases!$B$2:$B$1001,$A22,Purchases!$E$2:$E$1001))/(IF($D22="",0,$D22)+SUMIF(Purchases!$B$2:$B$1001,$A22,Purchases!$C$2:$C$1001)),0))</f>
        <v/>
      </c>
      <c r="L22" s="9" t="str">
        <f aca="false">IF($A22="","",$H22*$K22)</f>
        <v/>
      </c>
    </row>
    <row r="23" customFormat="false" ht="15" hidden="false" customHeight="false" outlineLevel="0" collapsed="false">
      <c r="A23" s="19"/>
      <c r="B23" s="19"/>
      <c r="C23" s="19"/>
      <c r="D23" s="19"/>
      <c r="E23" s="23"/>
      <c r="F23" s="15" t="str">
        <f aca="false">IF($A23="","",SUMIF(Purchases!$B$2:$B$1001,$A23,Purchases!$C$2:$C$1001))</f>
        <v/>
      </c>
      <c r="G23" s="19"/>
      <c r="H23" s="6" t="str">
        <f aca="false">IF($A23="","",IF($D23="",0,$D23)+$F23-IF($G23="",0,$G23))</f>
        <v/>
      </c>
      <c r="I23" s="19"/>
      <c r="J23" s="3" t="str">
        <f aca="false">IF($A23="","",IF($I23="","OK",IF($H23&lt;=$I23,"REORDER","OK")))</f>
        <v/>
      </c>
      <c r="K23" s="16" t="str">
        <f aca="false">IF($A23="","",IFERROR((IF($D23="",0,$D23)*IF($E23="",0,$E23)+SUMIF(Purchases!$B$2:$B$1001,$A23,Purchases!$E$2:$E$1001))/(IF($D23="",0,$D23)+SUMIF(Purchases!$B$2:$B$1001,$A23,Purchases!$C$2:$C$1001)),0))</f>
        <v/>
      </c>
      <c r="L23" s="9" t="str">
        <f aca="false">IF($A23="","",$H23*$K23)</f>
        <v/>
      </c>
    </row>
    <row r="24" customFormat="false" ht="15" hidden="false" customHeight="false" outlineLevel="0" collapsed="false">
      <c r="A24" s="19"/>
      <c r="B24" s="19"/>
      <c r="C24" s="19"/>
      <c r="D24" s="19"/>
      <c r="E24" s="23"/>
      <c r="F24" s="15" t="str">
        <f aca="false">IF($A24="","",SUMIF(Purchases!$B$2:$B$1001,$A24,Purchases!$C$2:$C$1001))</f>
        <v/>
      </c>
      <c r="G24" s="19"/>
      <c r="H24" s="6" t="str">
        <f aca="false">IF($A24="","",IF($D24="",0,$D24)+$F24-IF($G24="",0,$G24))</f>
        <v/>
      </c>
      <c r="I24" s="19"/>
      <c r="J24" s="3" t="str">
        <f aca="false">IF($A24="","",IF($I24="","OK",IF($H24&lt;=$I24,"REORDER","OK")))</f>
        <v/>
      </c>
      <c r="K24" s="16" t="str">
        <f aca="false">IF($A24="","",IFERROR((IF($D24="",0,$D24)*IF($E24="",0,$E24)+SUMIF(Purchases!$B$2:$B$1001,$A24,Purchases!$E$2:$E$1001))/(IF($D24="",0,$D24)+SUMIF(Purchases!$B$2:$B$1001,$A24,Purchases!$C$2:$C$1001)),0))</f>
        <v/>
      </c>
      <c r="L24" s="9" t="str">
        <f aca="false">IF($A24="","",$H24*$K24)</f>
        <v/>
      </c>
    </row>
    <row r="25" customFormat="false" ht="15" hidden="false" customHeight="false" outlineLevel="0" collapsed="false">
      <c r="A25" s="19"/>
      <c r="B25" s="19"/>
      <c r="C25" s="19"/>
      <c r="D25" s="19"/>
      <c r="E25" s="23"/>
      <c r="F25" s="15" t="str">
        <f aca="false">IF($A25="","",SUMIF(Purchases!$B$2:$B$1001,$A25,Purchases!$C$2:$C$1001))</f>
        <v/>
      </c>
      <c r="G25" s="19"/>
      <c r="H25" s="6" t="str">
        <f aca="false">IF($A25="","",IF($D25="",0,$D25)+$F25-IF($G25="",0,$G25))</f>
        <v/>
      </c>
      <c r="I25" s="19"/>
      <c r="J25" s="3" t="str">
        <f aca="false">IF($A25="","",IF($I25="","OK",IF($H25&lt;=$I25,"REORDER","OK")))</f>
        <v/>
      </c>
      <c r="K25" s="16" t="str">
        <f aca="false">IF($A25="","",IFERROR((IF($D25="",0,$D25)*IF($E25="",0,$E25)+SUMIF(Purchases!$B$2:$B$1001,$A25,Purchases!$E$2:$E$1001))/(IF($D25="",0,$D25)+SUMIF(Purchases!$B$2:$B$1001,$A25,Purchases!$C$2:$C$1001)),0))</f>
        <v/>
      </c>
      <c r="L25" s="9" t="str">
        <f aca="false">IF($A25="","",$H25*$K25)</f>
        <v/>
      </c>
    </row>
    <row r="26" customFormat="false" ht="15" hidden="false" customHeight="false" outlineLevel="0" collapsed="false">
      <c r="A26" s="19"/>
      <c r="B26" s="19"/>
      <c r="C26" s="19"/>
      <c r="D26" s="19"/>
      <c r="E26" s="23"/>
      <c r="F26" s="15" t="str">
        <f aca="false">IF($A26="","",SUMIF(Purchases!$B$2:$B$1001,$A26,Purchases!$C$2:$C$1001))</f>
        <v/>
      </c>
      <c r="G26" s="19"/>
      <c r="H26" s="6" t="str">
        <f aca="false">IF($A26="","",IF($D26="",0,$D26)+$F26-IF($G26="",0,$G26))</f>
        <v/>
      </c>
      <c r="I26" s="19"/>
      <c r="J26" s="3" t="str">
        <f aca="false">IF($A26="","",IF($I26="","OK",IF($H26&lt;=$I26,"REORDER","OK")))</f>
        <v/>
      </c>
      <c r="K26" s="16" t="str">
        <f aca="false">IF($A26="","",IFERROR((IF($D26="",0,$D26)*IF($E26="",0,$E26)+SUMIF(Purchases!$B$2:$B$1001,$A26,Purchases!$E$2:$E$1001))/(IF($D26="",0,$D26)+SUMIF(Purchases!$B$2:$B$1001,$A26,Purchases!$C$2:$C$1001)),0))</f>
        <v/>
      </c>
      <c r="L26" s="9" t="str">
        <f aca="false">IF($A26="","",$H26*$K26)</f>
        <v/>
      </c>
    </row>
    <row r="27" customFormat="false" ht="15" hidden="false" customHeight="false" outlineLevel="0" collapsed="false">
      <c r="A27" s="19"/>
      <c r="B27" s="19"/>
      <c r="C27" s="19"/>
      <c r="D27" s="19"/>
      <c r="E27" s="23"/>
      <c r="F27" s="15" t="str">
        <f aca="false">IF($A27="","",SUMIF(Purchases!$B$2:$B$1001,$A27,Purchases!$C$2:$C$1001))</f>
        <v/>
      </c>
      <c r="G27" s="19"/>
      <c r="H27" s="6" t="str">
        <f aca="false">IF($A27="","",IF($D27="",0,$D27)+$F27-IF($G27="",0,$G27))</f>
        <v/>
      </c>
      <c r="I27" s="19"/>
      <c r="J27" s="3" t="str">
        <f aca="false">IF($A27="","",IF($I27="","OK",IF($H27&lt;=$I27,"REORDER","OK")))</f>
        <v/>
      </c>
      <c r="K27" s="16" t="str">
        <f aca="false">IF($A27="","",IFERROR((IF($D27="",0,$D27)*IF($E27="",0,$E27)+SUMIF(Purchases!$B$2:$B$1001,$A27,Purchases!$E$2:$E$1001))/(IF($D27="",0,$D27)+SUMIF(Purchases!$B$2:$B$1001,$A27,Purchases!$C$2:$C$1001)),0))</f>
        <v/>
      </c>
      <c r="L27" s="9" t="str">
        <f aca="false">IF($A27="","",$H27*$K27)</f>
        <v/>
      </c>
    </row>
    <row r="28" customFormat="false" ht="15" hidden="false" customHeight="false" outlineLevel="0" collapsed="false">
      <c r="A28" s="19"/>
      <c r="B28" s="19"/>
      <c r="C28" s="19"/>
      <c r="D28" s="19"/>
      <c r="E28" s="23"/>
      <c r="F28" s="15" t="str">
        <f aca="false">IF($A28="","",SUMIF(Purchases!$B$2:$B$1001,$A28,Purchases!$C$2:$C$1001))</f>
        <v/>
      </c>
      <c r="G28" s="19"/>
      <c r="H28" s="6" t="str">
        <f aca="false">IF($A28="","",IF($D28="",0,$D28)+$F28-IF($G28="",0,$G28))</f>
        <v/>
      </c>
      <c r="I28" s="19"/>
      <c r="J28" s="3" t="str">
        <f aca="false">IF($A28="","",IF($I28="","OK",IF($H28&lt;=$I28,"REORDER","OK")))</f>
        <v/>
      </c>
      <c r="K28" s="16" t="str">
        <f aca="false">IF($A28="","",IFERROR((IF($D28="",0,$D28)*IF($E28="",0,$E28)+SUMIF(Purchases!$B$2:$B$1001,$A28,Purchases!$E$2:$E$1001))/(IF($D28="",0,$D28)+SUMIF(Purchases!$B$2:$B$1001,$A28,Purchases!$C$2:$C$1001)),0))</f>
        <v/>
      </c>
      <c r="L28" s="9" t="str">
        <f aca="false">IF($A28="","",$H28*$K28)</f>
        <v/>
      </c>
    </row>
    <row r="29" customFormat="false" ht="15" hidden="false" customHeight="false" outlineLevel="0" collapsed="false">
      <c r="A29" s="19"/>
      <c r="B29" s="19"/>
      <c r="C29" s="19"/>
      <c r="D29" s="19"/>
      <c r="E29" s="23"/>
      <c r="F29" s="15" t="str">
        <f aca="false">IF($A29="","",SUMIF(Purchases!$B$2:$B$1001,$A29,Purchases!$C$2:$C$1001))</f>
        <v/>
      </c>
      <c r="G29" s="19"/>
      <c r="H29" s="6" t="str">
        <f aca="false">IF($A29="","",IF($D29="",0,$D29)+$F29-IF($G29="",0,$G29))</f>
        <v/>
      </c>
      <c r="I29" s="19"/>
      <c r="J29" s="3" t="str">
        <f aca="false">IF($A29="","",IF($I29="","OK",IF($H29&lt;=$I29,"REORDER","OK")))</f>
        <v/>
      </c>
      <c r="K29" s="16" t="str">
        <f aca="false">IF($A29="","",IFERROR((IF($D29="",0,$D29)*IF($E29="",0,$E29)+SUMIF(Purchases!$B$2:$B$1001,$A29,Purchases!$E$2:$E$1001))/(IF($D29="",0,$D29)+SUMIF(Purchases!$B$2:$B$1001,$A29,Purchases!$C$2:$C$1001)),0))</f>
        <v/>
      </c>
      <c r="L29" s="9" t="str">
        <f aca="false">IF($A29="","",$H29*$K29)</f>
        <v/>
      </c>
    </row>
    <row r="30" customFormat="false" ht="15" hidden="false" customHeight="false" outlineLevel="0" collapsed="false">
      <c r="A30" s="19"/>
      <c r="B30" s="19"/>
      <c r="C30" s="19"/>
      <c r="D30" s="19"/>
      <c r="E30" s="23"/>
      <c r="F30" s="15" t="str">
        <f aca="false">IF($A30="","",SUMIF(Purchases!$B$2:$B$1001,$A30,Purchases!$C$2:$C$1001))</f>
        <v/>
      </c>
      <c r="G30" s="19"/>
      <c r="H30" s="6" t="str">
        <f aca="false">IF($A30="","",IF($D30="",0,$D30)+$F30-IF($G30="",0,$G30))</f>
        <v/>
      </c>
      <c r="I30" s="19"/>
      <c r="J30" s="3" t="str">
        <f aca="false">IF($A30="","",IF($I30="","OK",IF($H30&lt;=$I30,"REORDER","OK")))</f>
        <v/>
      </c>
      <c r="K30" s="16" t="str">
        <f aca="false">IF($A30="","",IFERROR((IF($D30="",0,$D30)*IF($E30="",0,$E30)+SUMIF(Purchases!$B$2:$B$1001,$A30,Purchases!$E$2:$E$1001))/(IF($D30="",0,$D30)+SUMIF(Purchases!$B$2:$B$1001,$A30,Purchases!$C$2:$C$1001)),0))</f>
        <v/>
      </c>
      <c r="L30" s="9" t="str">
        <f aca="false">IF($A30="","",$H30*$K30)</f>
        <v/>
      </c>
    </row>
    <row r="31" customFormat="false" ht="15" hidden="false" customHeight="false" outlineLevel="0" collapsed="false">
      <c r="A31" s="19"/>
      <c r="B31" s="19"/>
      <c r="C31" s="19"/>
      <c r="D31" s="19"/>
      <c r="E31" s="23"/>
      <c r="F31" s="15" t="str">
        <f aca="false">IF($A31="","",SUMIF(Purchases!$B$2:$B$1001,$A31,Purchases!$C$2:$C$1001))</f>
        <v/>
      </c>
      <c r="G31" s="19"/>
      <c r="H31" s="6" t="str">
        <f aca="false">IF($A31="","",IF($D31="",0,$D31)+$F31-IF($G31="",0,$G31))</f>
        <v/>
      </c>
      <c r="I31" s="19"/>
      <c r="J31" s="3" t="str">
        <f aca="false">IF($A31="","",IF($I31="","OK",IF($H31&lt;=$I31,"REORDER","OK")))</f>
        <v/>
      </c>
      <c r="K31" s="16" t="str">
        <f aca="false">IF($A31="","",IFERROR((IF($D31="",0,$D31)*IF($E31="",0,$E31)+SUMIF(Purchases!$B$2:$B$1001,$A31,Purchases!$E$2:$E$1001))/(IF($D31="",0,$D31)+SUMIF(Purchases!$B$2:$B$1001,$A31,Purchases!$C$2:$C$1001)),0))</f>
        <v/>
      </c>
      <c r="L31" s="9" t="str">
        <f aca="false">IF($A31="","",$H31*$K31)</f>
        <v/>
      </c>
    </row>
    <row r="32" customFormat="false" ht="15" hidden="false" customHeight="false" outlineLevel="0" collapsed="false">
      <c r="A32" s="19"/>
      <c r="B32" s="19"/>
      <c r="C32" s="19"/>
      <c r="D32" s="19"/>
      <c r="E32" s="23"/>
      <c r="F32" s="15" t="str">
        <f aca="false">IF($A32="","",SUMIF(Purchases!$B$2:$B$1001,$A32,Purchases!$C$2:$C$1001))</f>
        <v/>
      </c>
      <c r="G32" s="19"/>
      <c r="H32" s="6" t="str">
        <f aca="false">IF($A32="","",IF($D32="",0,$D32)+$F32-IF($G32="",0,$G32))</f>
        <v/>
      </c>
      <c r="I32" s="19"/>
      <c r="J32" s="3" t="str">
        <f aca="false">IF($A32="","",IF($I32="","OK",IF($H32&lt;=$I32,"REORDER","OK")))</f>
        <v/>
      </c>
      <c r="K32" s="16" t="str">
        <f aca="false">IF($A32="","",IFERROR((IF($D32="",0,$D32)*IF($E32="",0,$E32)+SUMIF(Purchases!$B$2:$B$1001,$A32,Purchases!$E$2:$E$1001))/(IF($D32="",0,$D32)+SUMIF(Purchases!$B$2:$B$1001,$A32,Purchases!$C$2:$C$1001)),0))</f>
        <v/>
      </c>
      <c r="L32" s="9" t="str">
        <f aca="false">IF($A32="","",$H32*$K32)</f>
        <v/>
      </c>
    </row>
    <row r="33" customFormat="false" ht="15" hidden="false" customHeight="false" outlineLevel="0" collapsed="false">
      <c r="A33" s="19"/>
      <c r="B33" s="19"/>
      <c r="C33" s="19"/>
      <c r="D33" s="19"/>
      <c r="E33" s="23"/>
      <c r="F33" s="15" t="str">
        <f aca="false">IF($A33="","",SUMIF(Purchases!$B$2:$B$1001,$A33,Purchases!$C$2:$C$1001))</f>
        <v/>
      </c>
      <c r="G33" s="19"/>
      <c r="H33" s="6" t="str">
        <f aca="false">IF($A33="","",IF($D33="",0,$D33)+$F33-IF($G33="",0,$G33))</f>
        <v/>
      </c>
      <c r="I33" s="19"/>
      <c r="J33" s="3" t="str">
        <f aca="false">IF($A33="","",IF($I33="","OK",IF($H33&lt;=$I33,"REORDER","OK")))</f>
        <v/>
      </c>
      <c r="K33" s="16" t="str">
        <f aca="false">IF($A33="","",IFERROR((IF($D33="",0,$D33)*IF($E33="",0,$E33)+SUMIF(Purchases!$B$2:$B$1001,$A33,Purchases!$E$2:$E$1001))/(IF($D33="",0,$D33)+SUMIF(Purchases!$B$2:$B$1001,$A33,Purchases!$C$2:$C$1001)),0))</f>
        <v/>
      </c>
      <c r="L33" s="9" t="str">
        <f aca="false">IF($A33="","",$H33*$K33)</f>
        <v/>
      </c>
    </row>
    <row r="34" customFormat="false" ht="15" hidden="false" customHeight="false" outlineLevel="0" collapsed="false">
      <c r="A34" s="19"/>
      <c r="B34" s="19"/>
      <c r="C34" s="19"/>
      <c r="D34" s="19"/>
      <c r="E34" s="23"/>
      <c r="F34" s="15" t="str">
        <f aca="false">IF($A34="","",SUMIF(Purchases!$B$2:$B$1001,$A34,Purchases!$C$2:$C$1001))</f>
        <v/>
      </c>
      <c r="G34" s="19"/>
      <c r="H34" s="6" t="str">
        <f aca="false">IF($A34="","",IF($D34="",0,$D34)+$F34-IF($G34="",0,$G34))</f>
        <v/>
      </c>
      <c r="I34" s="19"/>
      <c r="J34" s="3" t="str">
        <f aca="false">IF($A34="","",IF($I34="","OK",IF($H34&lt;=$I34,"REORDER","OK")))</f>
        <v/>
      </c>
      <c r="K34" s="16" t="str">
        <f aca="false">IF($A34="","",IFERROR((IF($D34="",0,$D34)*IF($E34="",0,$E34)+SUMIF(Purchases!$B$2:$B$1001,$A34,Purchases!$E$2:$E$1001))/(IF($D34="",0,$D34)+SUMIF(Purchases!$B$2:$B$1001,$A34,Purchases!$C$2:$C$1001)),0))</f>
        <v/>
      </c>
      <c r="L34" s="9" t="str">
        <f aca="false">IF($A34="","",$H34*$K34)</f>
        <v/>
      </c>
    </row>
    <row r="35" customFormat="false" ht="15" hidden="false" customHeight="false" outlineLevel="0" collapsed="false">
      <c r="A35" s="19"/>
      <c r="B35" s="19"/>
      <c r="C35" s="19"/>
      <c r="D35" s="19"/>
      <c r="E35" s="23"/>
      <c r="F35" s="15" t="str">
        <f aca="false">IF($A35="","",SUMIF(Purchases!$B$2:$B$1001,$A35,Purchases!$C$2:$C$1001))</f>
        <v/>
      </c>
      <c r="G35" s="19"/>
      <c r="H35" s="6" t="str">
        <f aca="false">IF($A35="","",IF($D35="",0,$D35)+$F35-IF($G35="",0,$G35))</f>
        <v/>
      </c>
      <c r="I35" s="19"/>
      <c r="J35" s="3" t="str">
        <f aca="false">IF($A35="","",IF($I35="","OK",IF($H35&lt;=$I35,"REORDER","OK")))</f>
        <v/>
      </c>
      <c r="K35" s="16" t="str">
        <f aca="false">IF($A35="","",IFERROR((IF($D35="",0,$D35)*IF($E35="",0,$E35)+SUMIF(Purchases!$B$2:$B$1001,$A35,Purchases!$E$2:$E$1001))/(IF($D35="",0,$D35)+SUMIF(Purchases!$B$2:$B$1001,$A35,Purchases!$C$2:$C$1001)),0))</f>
        <v/>
      </c>
      <c r="L35" s="9" t="str">
        <f aca="false">IF($A35="","",$H35*$K35)</f>
        <v/>
      </c>
    </row>
    <row r="36" customFormat="false" ht="15" hidden="false" customHeight="false" outlineLevel="0" collapsed="false">
      <c r="A36" s="19"/>
      <c r="B36" s="19"/>
      <c r="C36" s="19"/>
      <c r="D36" s="19"/>
      <c r="E36" s="23"/>
      <c r="F36" s="15" t="str">
        <f aca="false">IF($A36="","",SUMIF(Purchases!$B$2:$B$1001,$A36,Purchases!$C$2:$C$1001))</f>
        <v/>
      </c>
      <c r="G36" s="19"/>
      <c r="H36" s="6" t="str">
        <f aca="false">IF($A36="","",IF($D36="",0,$D36)+$F36-IF($G36="",0,$G36))</f>
        <v/>
      </c>
      <c r="I36" s="19"/>
      <c r="J36" s="3" t="str">
        <f aca="false">IF($A36="","",IF($I36="","OK",IF($H36&lt;=$I36,"REORDER","OK")))</f>
        <v/>
      </c>
      <c r="K36" s="16" t="str">
        <f aca="false">IF($A36="","",IFERROR((IF($D36="",0,$D36)*IF($E36="",0,$E36)+SUMIF(Purchases!$B$2:$B$1001,$A36,Purchases!$E$2:$E$1001))/(IF($D36="",0,$D36)+SUMIF(Purchases!$B$2:$B$1001,$A36,Purchases!$C$2:$C$1001)),0))</f>
        <v/>
      </c>
      <c r="L36" s="9" t="str">
        <f aca="false">IF($A36="","",$H36*$K36)</f>
        <v/>
      </c>
    </row>
    <row r="37" customFormat="false" ht="15" hidden="false" customHeight="false" outlineLevel="0" collapsed="false">
      <c r="A37" s="19"/>
      <c r="B37" s="19"/>
      <c r="C37" s="19"/>
      <c r="D37" s="19"/>
      <c r="E37" s="23"/>
      <c r="F37" s="15" t="str">
        <f aca="false">IF($A37="","",SUMIF(Purchases!$B$2:$B$1001,$A37,Purchases!$C$2:$C$1001))</f>
        <v/>
      </c>
      <c r="G37" s="19"/>
      <c r="H37" s="6" t="str">
        <f aca="false">IF($A37="","",IF($D37="",0,$D37)+$F37-IF($G37="",0,$G37))</f>
        <v/>
      </c>
      <c r="I37" s="19"/>
      <c r="J37" s="3" t="str">
        <f aca="false">IF($A37="","",IF($I37="","OK",IF($H37&lt;=$I37,"REORDER","OK")))</f>
        <v/>
      </c>
      <c r="K37" s="16" t="str">
        <f aca="false">IF($A37="","",IFERROR((IF($D37="",0,$D37)*IF($E37="",0,$E37)+SUMIF(Purchases!$B$2:$B$1001,$A37,Purchases!$E$2:$E$1001))/(IF($D37="",0,$D37)+SUMIF(Purchases!$B$2:$B$1001,$A37,Purchases!$C$2:$C$1001)),0))</f>
        <v/>
      </c>
      <c r="L37" s="9" t="str">
        <f aca="false">IF($A37="","",$H37*$K37)</f>
        <v/>
      </c>
    </row>
    <row r="38" customFormat="false" ht="15" hidden="false" customHeight="false" outlineLevel="0" collapsed="false">
      <c r="A38" s="19"/>
      <c r="B38" s="19"/>
      <c r="C38" s="19"/>
      <c r="D38" s="19"/>
      <c r="E38" s="23"/>
      <c r="F38" s="15" t="str">
        <f aca="false">IF($A38="","",SUMIF(Purchases!$B$2:$B$1001,$A38,Purchases!$C$2:$C$1001))</f>
        <v/>
      </c>
      <c r="G38" s="19"/>
      <c r="H38" s="6" t="str">
        <f aca="false">IF($A38="","",IF($D38="",0,$D38)+$F38-IF($G38="",0,$G38))</f>
        <v/>
      </c>
      <c r="I38" s="19"/>
      <c r="J38" s="3" t="str">
        <f aca="false">IF($A38="","",IF($I38="","OK",IF($H38&lt;=$I38,"REORDER","OK")))</f>
        <v/>
      </c>
      <c r="K38" s="16" t="str">
        <f aca="false">IF($A38="","",IFERROR((IF($D38="",0,$D38)*IF($E38="",0,$E38)+SUMIF(Purchases!$B$2:$B$1001,$A38,Purchases!$E$2:$E$1001))/(IF($D38="",0,$D38)+SUMIF(Purchases!$B$2:$B$1001,$A38,Purchases!$C$2:$C$1001)),0))</f>
        <v/>
      </c>
      <c r="L38" s="9" t="str">
        <f aca="false">IF($A38="","",$H38*$K38)</f>
        <v/>
      </c>
    </row>
    <row r="39" customFormat="false" ht="15" hidden="false" customHeight="false" outlineLevel="0" collapsed="false">
      <c r="A39" s="19"/>
      <c r="B39" s="19"/>
      <c r="C39" s="19"/>
      <c r="D39" s="19"/>
      <c r="E39" s="23"/>
      <c r="F39" s="15" t="str">
        <f aca="false">IF($A39="","",SUMIF(Purchases!$B$2:$B$1001,$A39,Purchases!$C$2:$C$1001))</f>
        <v/>
      </c>
      <c r="G39" s="19"/>
      <c r="H39" s="6" t="str">
        <f aca="false">IF($A39="","",IF($D39="",0,$D39)+$F39-IF($G39="",0,$G39))</f>
        <v/>
      </c>
      <c r="I39" s="19"/>
      <c r="J39" s="3" t="str">
        <f aca="false">IF($A39="","",IF($I39="","OK",IF($H39&lt;=$I39,"REORDER","OK")))</f>
        <v/>
      </c>
      <c r="K39" s="16" t="str">
        <f aca="false">IF($A39="","",IFERROR((IF($D39="",0,$D39)*IF($E39="",0,$E39)+SUMIF(Purchases!$B$2:$B$1001,$A39,Purchases!$E$2:$E$1001))/(IF($D39="",0,$D39)+SUMIF(Purchases!$B$2:$B$1001,$A39,Purchases!$C$2:$C$1001)),0))</f>
        <v/>
      </c>
      <c r="L39" s="9" t="str">
        <f aca="false">IF($A39="","",$H39*$K39)</f>
        <v/>
      </c>
    </row>
    <row r="40" customFormat="false" ht="15" hidden="false" customHeight="false" outlineLevel="0" collapsed="false">
      <c r="A40" s="19"/>
      <c r="B40" s="19"/>
      <c r="C40" s="19"/>
      <c r="D40" s="19"/>
      <c r="E40" s="23"/>
      <c r="F40" s="15" t="str">
        <f aca="false">IF($A40="","",SUMIF(Purchases!$B$2:$B$1001,$A40,Purchases!$C$2:$C$1001))</f>
        <v/>
      </c>
      <c r="G40" s="19"/>
      <c r="H40" s="6" t="str">
        <f aca="false">IF($A40="","",IF($D40="",0,$D40)+$F40-IF($G40="",0,$G40))</f>
        <v/>
      </c>
      <c r="I40" s="19"/>
      <c r="J40" s="3" t="str">
        <f aca="false">IF($A40="","",IF($I40="","OK",IF($H40&lt;=$I40,"REORDER","OK")))</f>
        <v/>
      </c>
      <c r="K40" s="16" t="str">
        <f aca="false">IF($A40="","",IFERROR((IF($D40="",0,$D40)*IF($E40="",0,$E40)+SUMIF(Purchases!$B$2:$B$1001,$A40,Purchases!$E$2:$E$1001))/(IF($D40="",0,$D40)+SUMIF(Purchases!$B$2:$B$1001,$A40,Purchases!$C$2:$C$1001)),0))</f>
        <v/>
      </c>
      <c r="L40" s="9" t="str">
        <f aca="false">IF($A40="","",$H40*$K40)</f>
        <v/>
      </c>
    </row>
    <row r="41" customFormat="false" ht="15" hidden="false" customHeight="false" outlineLevel="0" collapsed="false">
      <c r="A41" s="19"/>
      <c r="B41" s="19"/>
      <c r="C41" s="19"/>
      <c r="D41" s="19"/>
      <c r="E41" s="23"/>
      <c r="F41" s="15" t="str">
        <f aca="false">IF($A41="","",SUMIF(Purchases!$B$2:$B$1001,$A41,Purchases!$C$2:$C$1001))</f>
        <v/>
      </c>
      <c r="G41" s="19"/>
      <c r="H41" s="6" t="str">
        <f aca="false">IF($A41="","",IF($D41="",0,$D41)+$F41-IF($G41="",0,$G41))</f>
        <v/>
      </c>
      <c r="I41" s="19"/>
      <c r="J41" s="3" t="str">
        <f aca="false">IF($A41="","",IF($I41="","OK",IF($H41&lt;=$I41,"REORDER","OK")))</f>
        <v/>
      </c>
      <c r="K41" s="16" t="str">
        <f aca="false">IF($A41="","",IFERROR((IF($D41="",0,$D41)*IF($E41="",0,$E41)+SUMIF(Purchases!$B$2:$B$1001,$A41,Purchases!$E$2:$E$1001))/(IF($D41="",0,$D41)+SUMIF(Purchases!$B$2:$B$1001,$A41,Purchases!$C$2:$C$1001)),0))</f>
        <v/>
      </c>
      <c r="L41" s="9" t="str">
        <f aca="false">IF($A41="","",$H41*$K41)</f>
        <v/>
      </c>
    </row>
    <row r="42" customFormat="false" ht="15" hidden="false" customHeight="false" outlineLevel="0" collapsed="false">
      <c r="A42" s="19"/>
      <c r="B42" s="19"/>
      <c r="C42" s="19"/>
      <c r="D42" s="19"/>
      <c r="E42" s="23"/>
      <c r="F42" s="15" t="str">
        <f aca="false">IF($A42="","",SUMIF(Purchases!$B$2:$B$1001,$A42,Purchases!$C$2:$C$1001))</f>
        <v/>
      </c>
      <c r="G42" s="19"/>
      <c r="H42" s="6" t="str">
        <f aca="false">IF($A42="","",IF($D42="",0,$D42)+$F42-IF($G42="",0,$G42))</f>
        <v/>
      </c>
      <c r="I42" s="19"/>
      <c r="J42" s="3" t="str">
        <f aca="false">IF($A42="","",IF($I42="","OK",IF($H42&lt;=$I42,"REORDER","OK")))</f>
        <v/>
      </c>
      <c r="K42" s="16" t="str">
        <f aca="false">IF($A42="","",IFERROR((IF($D42="",0,$D42)*IF($E42="",0,$E42)+SUMIF(Purchases!$B$2:$B$1001,$A42,Purchases!$E$2:$E$1001))/(IF($D42="",0,$D42)+SUMIF(Purchases!$B$2:$B$1001,$A42,Purchases!$C$2:$C$1001)),0))</f>
        <v/>
      </c>
      <c r="L42" s="9" t="str">
        <f aca="false">IF($A42="","",$H42*$K42)</f>
        <v/>
      </c>
    </row>
    <row r="43" customFormat="false" ht="15" hidden="false" customHeight="false" outlineLevel="0" collapsed="false">
      <c r="A43" s="19"/>
      <c r="B43" s="19"/>
      <c r="C43" s="19"/>
      <c r="D43" s="19"/>
      <c r="E43" s="23"/>
      <c r="F43" s="15" t="str">
        <f aca="false">IF($A43="","",SUMIF(Purchases!$B$2:$B$1001,$A43,Purchases!$C$2:$C$1001))</f>
        <v/>
      </c>
      <c r="G43" s="19"/>
      <c r="H43" s="6" t="str">
        <f aca="false">IF($A43="","",IF($D43="",0,$D43)+$F43-IF($G43="",0,$G43))</f>
        <v/>
      </c>
      <c r="I43" s="19"/>
      <c r="J43" s="3" t="str">
        <f aca="false">IF($A43="","",IF($I43="","OK",IF($H43&lt;=$I43,"REORDER","OK")))</f>
        <v/>
      </c>
      <c r="K43" s="16" t="str">
        <f aca="false">IF($A43="","",IFERROR((IF($D43="",0,$D43)*IF($E43="",0,$E43)+SUMIF(Purchases!$B$2:$B$1001,$A43,Purchases!$E$2:$E$1001))/(IF($D43="",0,$D43)+SUMIF(Purchases!$B$2:$B$1001,$A43,Purchases!$C$2:$C$1001)),0))</f>
        <v/>
      </c>
      <c r="L43" s="9" t="str">
        <f aca="false">IF($A43="","",$H43*$K43)</f>
        <v/>
      </c>
    </row>
    <row r="44" customFormat="false" ht="15" hidden="false" customHeight="false" outlineLevel="0" collapsed="false">
      <c r="A44" s="19"/>
      <c r="B44" s="19"/>
      <c r="C44" s="19"/>
      <c r="D44" s="19"/>
      <c r="E44" s="23"/>
      <c r="F44" s="15" t="str">
        <f aca="false">IF($A44="","",SUMIF(Purchases!$B$2:$B$1001,$A44,Purchases!$C$2:$C$1001))</f>
        <v/>
      </c>
      <c r="G44" s="19"/>
      <c r="H44" s="6" t="str">
        <f aca="false">IF($A44="","",IF($D44="",0,$D44)+$F44-IF($G44="",0,$G44))</f>
        <v/>
      </c>
      <c r="I44" s="19"/>
      <c r="J44" s="3" t="str">
        <f aca="false">IF($A44="","",IF($I44="","OK",IF($H44&lt;=$I44,"REORDER","OK")))</f>
        <v/>
      </c>
      <c r="K44" s="16" t="str">
        <f aca="false">IF($A44="","",IFERROR((IF($D44="",0,$D44)*IF($E44="",0,$E44)+SUMIF(Purchases!$B$2:$B$1001,$A44,Purchases!$E$2:$E$1001))/(IF($D44="",0,$D44)+SUMIF(Purchases!$B$2:$B$1001,$A44,Purchases!$C$2:$C$1001)),0))</f>
        <v/>
      </c>
      <c r="L44" s="9" t="str">
        <f aca="false">IF($A44="","",$H44*$K44)</f>
        <v/>
      </c>
    </row>
    <row r="45" customFormat="false" ht="15" hidden="false" customHeight="false" outlineLevel="0" collapsed="false">
      <c r="A45" s="19"/>
      <c r="B45" s="19"/>
      <c r="C45" s="19"/>
      <c r="D45" s="19"/>
      <c r="E45" s="23"/>
      <c r="F45" s="15" t="str">
        <f aca="false">IF($A45="","",SUMIF(Purchases!$B$2:$B$1001,$A45,Purchases!$C$2:$C$1001))</f>
        <v/>
      </c>
      <c r="G45" s="19"/>
      <c r="H45" s="6" t="str">
        <f aca="false">IF($A45="","",IF($D45="",0,$D45)+$F45-IF($G45="",0,$G45))</f>
        <v/>
      </c>
      <c r="I45" s="19"/>
      <c r="J45" s="3" t="str">
        <f aca="false">IF($A45="","",IF($I45="","OK",IF($H45&lt;=$I45,"REORDER","OK")))</f>
        <v/>
      </c>
      <c r="K45" s="16" t="str">
        <f aca="false">IF($A45="","",IFERROR((IF($D45="",0,$D45)*IF($E45="",0,$E45)+SUMIF(Purchases!$B$2:$B$1001,$A45,Purchases!$E$2:$E$1001))/(IF($D45="",0,$D45)+SUMIF(Purchases!$B$2:$B$1001,$A45,Purchases!$C$2:$C$1001)),0))</f>
        <v/>
      </c>
      <c r="L45" s="9" t="str">
        <f aca="false">IF($A45="","",$H45*$K45)</f>
        <v/>
      </c>
    </row>
    <row r="46" customFormat="false" ht="15" hidden="false" customHeight="false" outlineLevel="0" collapsed="false">
      <c r="A46" s="19"/>
      <c r="B46" s="19"/>
      <c r="C46" s="19"/>
      <c r="D46" s="19"/>
      <c r="E46" s="23"/>
      <c r="F46" s="15" t="str">
        <f aca="false">IF($A46="","",SUMIF(Purchases!$B$2:$B$1001,$A46,Purchases!$C$2:$C$1001))</f>
        <v/>
      </c>
      <c r="G46" s="19"/>
      <c r="H46" s="6" t="str">
        <f aca="false">IF($A46="","",IF($D46="",0,$D46)+$F46-IF($G46="",0,$G46))</f>
        <v/>
      </c>
      <c r="I46" s="19"/>
      <c r="J46" s="3" t="str">
        <f aca="false">IF($A46="","",IF($I46="","OK",IF($H46&lt;=$I46,"REORDER","OK")))</f>
        <v/>
      </c>
      <c r="K46" s="16" t="str">
        <f aca="false">IF($A46="","",IFERROR((IF($D46="",0,$D46)*IF($E46="",0,$E46)+SUMIF(Purchases!$B$2:$B$1001,$A46,Purchases!$E$2:$E$1001))/(IF($D46="",0,$D46)+SUMIF(Purchases!$B$2:$B$1001,$A46,Purchases!$C$2:$C$1001)),0))</f>
        <v/>
      </c>
      <c r="L46" s="9" t="str">
        <f aca="false">IF($A46="","",$H46*$K46)</f>
        <v/>
      </c>
    </row>
    <row r="47" customFormat="false" ht="15" hidden="false" customHeight="false" outlineLevel="0" collapsed="false">
      <c r="A47" s="19"/>
      <c r="B47" s="19"/>
      <c r="C47" s="19"/>
      <c r="D47" s="19"/>
      <c r="E47" s="23"/>
      <c r="F47" s="15" t="str">
        <f aca="false">IF($A47="","",SUMIF(Purchases!$B$2:$B$1001,$A47,Purchases!$C$2:$C$1001))</f>
        <v/>
      </c>
      <c r="G47" s="19"/>
      <c r="H47" s="6" t="str">
        <f aca="false">IF($A47="","",IF($D47="",0,$D47)+$F47-IF($G47="",0,$G47))</f>
        <v/>
      </c>
      <c r="I47" s="19"/>
      <c r="J47" s="3" t="str">
        <f aca="false">IF($A47="","",IF($I47="","OK",IF($H47&lt;=$I47,"REORDER","OK")))</f>
        <v/>
      </c>
      <c r="K47" s="16" t="str">
        <f aca="false">IF($A47="","",IFERROR((IF($D47="",0,$D47)*IF($E47="",0,$E47)+SUMIF(Purchases!$B$2:$B$1001,$A47,Purchases!$E$2:$E$1001))/(IF($D47="",0,$D47)+SUMIF(Purchases!$B$2:$B$1001,$A47,Purchases!$C$2:$C$1001)),0))</f>
        <v/>
      </c>
      <c r="L47" s="9" t="str">
        <f aca="false">IF($A47="","",$H47*$K47)</f>
        <v/>
      </c>
    </row>
    <row r="48" customFormat="false" ht="15" hidden="false" customHeight="false" outlineLevel="0" collapsed="false">
      <c r="A48" s="19"/>
      <c r="B48" s="19"/>
      <c r="C48" s="19"/>
      <c r="D48" s="19"/>
      <c r="E48" s="23"/>
      <c r="F48" s="15" t="str">
        <f aca="false">IF($A48="","",SUMIF(Purchases!$B$2:$B$1001,$A48,Purchases!$C$2:$C$1001))</f>
        <v/>
      </c>
      <c r="G48" s="19"/>
      <c r="H48" s="6" t="str">
        <f aca="false">IF($A48="","",IF($D48="",0,$D48)+$F48-IF($G48="",0,$G48))</f>
        <v/>
      </c>
      <c r="I48" s="19"/>
      <c r="J48" s="3" t="str">
        <f aca="false">IF($A48="","",IF($I48="","OK",IF($H48&lt;=$I48,"REORDER","OK")))</f>
        <v/>
      </c>
      <c r="K48" s="16" t="str">
        <f aca="false">IF($A48="","",IFERROR((IF($D48="",0,$D48)*IF($E48="",0,$E48)+SUMIF(Purchases!$B$2:$B$1001,$A48,Purchases!$E$2:$E$1001))/(IF($D48="",0,$D48)+SUMIF(Purchases!$B$2:$B$1001,$A48,Purchases!$C$2:$C$1001)),0))</f>
        <v/>
      </c>
      <c r="L48" s="9" t="str">
        <f aca="false">IF($A48="","",$H48*$K48)</f>
        <v/>
      </c>
    </row>
    <row r="49" customFormat="false" ht="15" hidden="false" customHeight="false" outlineLevel="0" collapsed="false">
      <c r="A49" s="19"/>
      <c r="B49" s="19"/>
      <c r="C49" s="19"/>
      <c r="D49" s="19"/>
      <c r="E49" s="23"/>
      <c r="F49" s="15" t="str">
        <f aca="false">IF($A49="","",SUMIF(Purchases!$B$2:$B$1001,$A49,Purchases!$C$2:$C$1001))</f>
        <v/>
      </c>
      <c r="G49" s="19"/>
      <c r="H49" s="6" t="str">
        <f aca="false">IF($A49="","",IF($D49="",0,$D49)+$F49-IF($G49="",0,$G49))</f>
        <v/>
      </c>
      <c r="I49" s="19"/>
      <c r="J49" s="3" t="str">
        <f aca="false">IF($A49="","",IF($I49="","OK",IF($H49&lt;=$I49,"REORDER","OK")))</f>
        <v/>
      </c>
      <c r="K49" s="16" t="str">
        <f aca="false">IF($A49="","",IFERROR((IF($D49="",0,$D49)*IF($E49="",0,$E49)+SUMIF(Purchases!$B$2:$B$1001,$A49,Purchases!$E$2:$E$1001))/(IF($D49="",0,$D49)+SUMIF(Purchases!$B$2:$B$1001,$A49,Purchases!$C$2:$C$1001)),0))</f>
        <v/>
      </c>
      <c r="L49" s="9" t="str">
        <f aca="false">IF($A49="","",$H49*$K49)</f>
        <v/>
      </c>
    </row>
    <row r="50" customFormat="false" ht="15" hidden="false" customHeight="false" outlineLevel="0" collapsed="false">
      <c r="A50" s="19"/>
      <c r="B50" s="19"/>
      <c r="C50" s="19"/>
      <c r="D50" s="19"/>
      <c r="E50" s="23"/>
      <c r="F50" s="15" t="str">
        <f aca="false">IF($A50="","",SUMIF(Purchases!$B$2:$B$1001,$A50,Purchases!$C$2:$C$1001))</f>
        <v/>
      </c>
      <c r="G50" s="19"/>
      <c r="H50" s="6" t="str">
        <f aca="false">IF($A50="","",IF($D50="",0,$D50)+$F50-IF($G50="",0,$G50))</f>
        <v/>
      </c>
      <c r="I50" s="19"/>
      <c r="J50" s="3" t="str">
        <f aca="false">IF($A50="","",IF($I50="","OK",IF($H50&lt;=$I50,"REORDER","OK")))</f>
        <v/>
      </c>
      <c r="K50" s="16" t="str">
        <f aca="false">IF($A50="","",IFERROR((IF($D50="",0,$D50)*IF($E50="",0,$E50)+SUMIF(Purchases!$B$2:$B$1001,$A50,Purchases!$E$2:$E$1001))/(IF($D50="",0,$D50)+SUMIF(Purchases!$B$2:$B$1001,$A50,Purchases!$C$2:$C$1001)),0))</f>
        <v/>
      </c>
      <c r="L50" s="9" t="str">
        <f aca="false">IF($A50="","",$H50*$K50)</f>
        <v/>
      </c>
    </row>
    <row r="51" customFormat="false" ht="15" hidden="false" customHeight="false" outlineLevel="0" collapsed="false">
      <c r="A51" s="19"/>
      <c r="B51" s="19"/>
      <c r="C51" s="19"/>
      <c r="D51" s="19"/>
      <c r="E51" s="23"/>
      <c r="F51" s="15" t="str">
        <f aca="false">IF($A51="","",SUMIF(Purchases!$B$2:$B$1001,$A51,Purchases!$C$2:$C$1001))</f>
        <v/>
      </c>
      <c r="G51" s="19"/>
      <c r="H51" s="6" t="str">
        <f aca="false">IF($A51="","",IF($D51="",0,$D51)+$F51-IF($G51="",0,$G51))</f>
        <v/>
      </c>
      <c r="I51" s="19"/>
      <c r="J51" s="3" t="str">
        <f aca="false">IF($A51="","",IF($I51="","OK",IF($H51&lt;=$I51,"REORDER","OK")))</f>
        <v/>
      </c>
      <c r="K51" s="16" t="str">
        <f aca="false">IF($A51="","",IFERROR((IF($D51="",0,$D51)*IF($E51="",0,$E51)+SUMIF(Purchases!$B$2:$B$1001,$A51,Purchases!$E$2:$E$1001))/(IF($D51="",0,$D51)+SUMIF(Purchases!$B$2:$B$1001,$A51,Purchases!$C$2:$C$1001)),0))</f>
        <v/>
      </c>
      <c r="L51" s="9" t="str">
        <f aca="false">IF($A51="","",$H51*$K51)</f>
        <v/>
      </c>
    </row>
    <row r="52" customFormat="false" ht="15" hidden="false" customHeight="false" outlineLevel="0" collapsed="false">
      <c r="A52" s="19"/>
      <c r="B52" s="19"/>
      <c r="C52" s="19"/>
      <c r="D52" s="19"/>
      <c r="E52" s="23"/>
      <c r="F52" s="15" t="str">
        <f aca="false">IF($A52="","",SUMIF(Purchases!$B$2:$B$1001,$A52,Purchases!$C$2:$C$1001))</f>
        <v/>
      </c>
      <c r="G52" s="19"/>
      <c r="H52" s="6" t="str">
        <f aca="false">IF($A52="","",IF($D52="",0,$D52)+$F52-IF($G52="",0,$G52))</f>
        <v/>
      </c>
      <c r="I52" s="19"/>
      <c r="J52" s="3" t="str">
        <f aca="false">IF($A52="","",IF($I52="","OK",IF($H52&lt;=$I52,"REORDER","OK")))</f>
        <v/>
      </c>
      <c r="K52" s="16" t="str">
        <f aca="false">IF($A52="","",IFERROR((IF($D52="",0,$D52)*IF($E52="",0,$E52)+SUMIF(Purchases!$B$2:$B$1001,$A52,Purchases!$E$2:$E$1001))/(IF($D52="",0,$D52)+SUMIF(Purchases!$B$2:$B$1001,$A52,Purchases!$C$2:$C$1001)),0))</f>
        <v/>
      </c>
      <c r="L52" s="9" t="str">
        <f aca="false">IF($A52="","",$H52*$K52)</f>
        <v/>
      </c>
    </row>
    <row r="53" customFormat="false" ht="15" hidden="false" customHeight="false" outlineLevel="0" collapsed="false">
      <c r="A53" s="19"/>
      <c r="B53" s="19"/>
      <c r="C53" s="19"/>
      <c r="D53" s="19"/>
      <c r="E53" s="23"/>
      <c r="F53" s="15" t="str">
        <f aca="false">IF($A53="","",SUMIF(Purchases!$B$2:$B$1001,$A53,Purchases!$C$2:$C$1001))</f>
        <v/>
      </c>
      <c r="G53" s="19"/>
      <c r="H53" s="6" t="str">
        <f aca="false">IF($A53="","",IF($D53="",0,$D53)+$F53-IF($G53="",0,$G53))</f>
        <v/>
      </c>
      <c r="I53" s="19"/>
      <c r="J53" s="3" t="str">
        <f aca="false">IF($A53="","",IF($I53="","OK",IF($H53&lt;=$I53,"REORDER","OK")))</f>
        <v/>
      </c>
      <c r="K53" s="16" t="str">
        <f aca="false">IF($A53="","",IFERROR((IF($D53="",0,$D53)*IF($E53="",0,$E53)+SUMIF(Purchases!$B$2:$B$1001,$A53,Purchases!$E$2:$E$1001))/(IF($D53="",0,$D53)+SUMIF(Purchases!$B$2:$B$1001,$A53,Purchases!$C$2:$C$1001)),0))</f>
        <v/>
      </c>
      <c r="L53" s="9" t="str">
        <f aca="false">IF($A53="","",$H53*$K53)</f>
        <v/>
      </c>
    </row>
    <row r="54" customFormat="false" ht="15" hidden="false" customHeight="false" outlineLevel="0" collapsed="false">
      <c r="A54" s="19"/>
      <c r="B54" s="19"/>
      <c r="C54" s="19"/>
      <c r="D54" s="19"/>
      <c r="E54" s="23"/>
      <c r="F54" s="15" t="str">
        <f aca="false">IF($A54="","",SUMIF(Purchases!$B$2:$B$1001,$A54,Purchases!$C$2:$C$1001))</f>
        <v/>
      </c>
      <c r="G54" s="19"/>
      <c r="H54" s="6" t="str">
        <f aca="false">IF($A54="","",IF($D54="",0,$D54)+$F54-IF($G54="",0,$G54))</f>
        <v/>
      </c>
      <c r="I54" s="19"/>
      <c r="J54" s="3" t="str">
        <f aca="false">IF($A54="","",IF($I54="","OK",IF($H54&lt;=$I54,"REORDER","OK")))</f>
        <v/>
      </c>
      <c r="K54" s="16" t="str">
        <f aca="false">IF($A54="","",IFERROR((IF($D54="",0,$D54)*IF($E54="",0,$E54)+SUMIF(Purchases!$B$2:$B$1001,$A54,Purchases!$E$2:$E$1001))/(IF($D54="",0,$D54)+SUMIF(Purchases!$B$2:$B$1001,$A54,Purchases!$C$2:$C$1001)),0))</f>
        <v/>
      </c>
      <c r="L54" s="9" t="str">
        <f aca="false">IF($A54="","",$H54*$K54)</f>
        <v/>
      </c>
    </row>
    <row r="55" customFormat="false" ht="15" hidden="false" customHeight="false" outlineLevel="0" collapsed="false">
      <c r="A55" s="19"/>
      <c r="B55" s="19"/>
      <c r="C55" s="19"/>
      <c r="D55" s="19"/>
      <c r="E55" s="23"/>
      <c r="F55" s="15" t="str">
        <f aca="false">IF($A55="","",SUMIF(Purchases!$B$2:$B$1001,$A55,Purchases!$C$2:$C$1001))</f>
        <v/>
      </c>
      <c r="G55" s="19"/>
      <c r="H55" s="6" t="str">
        <f aca="false">IF($A55="","",IF($D55="",0,$D55)+$F55-IF($G55="",0,$G55))</f>
        <v/>
      </c>
      <c r="I55" s="19"/>
      <c r="J55" s="3" t="str">
        <f aca="false">IF($A55="","",IF($I55="","OK",IF($H55&lt;=$I55,"REORDER","OK")))</f>
        <v/>
      </c>
      <c r="K55" s="16" t="str">
        <f aca="false">IF($A55="","",IFERROR((IF($D55="",0,$D55)*IF($E55="",0,$E55)+SUMIF(Purchases!$B$2:$B$1001,$A55,Purchases!$E$2:$E$1001))/(IF($D55="",0,$D55)+SUMIF(Purchases!$B$2:$B$1001,$A55,Purchases!$C$2:$C$1001)),0))</f>
        <v/>
      </c>
      <c r="L55" s="9" t="str">
        <f aca="false">IF($A55="","",$H55*$K55)</f>
        <v/>
      </c>
    </row>
    <row r="56" customFormat="false" ht="15" hidden="false" customHeight="false" outlineLevel="0" collapsed="false">
      <c r="A56" s="19"/>
      <c r="B56" s="19"/>
      <c r="C56" s="19"/>
      <c r="D56" s="19"/>
      <c r="E56" s="23"/>
      <c r="F56" s="15" t="str">
        <f aca="false">IF($A56="","",SUMIF(Purchases!$B$2:$B$1001,$A56,Purchases!$C$2:$C$1001))</f>
        <v/>
      </c>
      <c r="G56" s="19"/>
      <c r="H56" s="6" t="str">
        <f aca="false">IF($A56="","",IF($D56="",0,$D56)+$F56-IF($G56="",0,$G56))</f>
        <v/>
      </c>
      <c r="I56" s="19"/>
      <c r="J56" s="3" t="str">
        <f aca="false">IF($A56="","",IF($I56="","OK",IF($H56&lt;=$I56,"REORDER","OK")))</f>
        <v/>
      </c>
      <c r="K56" s="16" t="str">
        <f aca="false">IF($A56="","",IFERROR((IF($D56="",0,$D56)*IF($E56="",0,$E56)+SUMIF(Purchases!$B$2:$B$1001,$A56,Purchases!$E$2:$E$1001))/(IF($D56="",0,$D56)+SUMIF(Purchases!$B$2:$B$1001,$A56,Purchases!$C$2:$C$1001)),0))</f>
        <v/>
      </c>
      <c r="L56" s="9" t="str">
        <f aca="false">IF($A56="","",$H56*$K56)</f>
        <v/>
      </c>
    </row>
    <row r="57" customFormat="false" ht="15" hidden="false" customHeight="false" outlineLevel="0" collapsed="false">
      <c r="A57" s="19"/>
      <c r="B57" s="19"/>
      <c r="C57" s="19"/>
      <c r="D57" s="19"/>
      <c r="E57" s="23"/>
      <c r="F57" s="15" t="str">
        <f aca="false">IF($A57="","",SUMIF(Purchases!$B$2:$B$1001,$A57,Purchases!$C$2:$C$1001))</f>
        <v/>
      </c>
      <c r="G57" s="19"/>
      <c r="H57" s="6" t="str">
        <f aca="false">IF($A57="","",IF($D57="",0,$D57)+$F57-IF($G57="",0,$G57))</f>
        <v/>
      </c>
      <c r="I57" s="19"/>
      <c r="J57" s="3" t="str">
        <f aca="false">IF($A57="","",IF($I57="","OK",IF($H57&lt;=$I57,"REORDER","OK")))</f>
        <v/>
      </c>
      <c r="K57" s="16" t="str">
        <f aca="false">IF($A57="","",IFERROR((IF($D57="",0,$D57)*IF($E57="",0,$E57)+SUMIF(Purchases!$B$2:$B$1001,$A57,Purchases!$E$2:$E$1001))/(IF($D57="",0,$D57)+SUMIF(Purchases!$B$2:$B$1001,$A57,Purchases!$C$2:$C$1001)),0))</f>
        <v/>
      </c>
      <c r="L57" s="9" t="str">
        <f aca="false">IF($A57="","",$H57*$K57)</f>
        <v/>
      </c>
    </row>
    <row r="58" customFormat="false" ht="15" hidden="false" customHeight="false" outlineLevel="0" collapsed="false">
      <c r="A58" s="19"/>
      <c r="B58" s="19"/>
      <c r="C58" s="19"/>
      <c r="D58" s="19"/>
      <c r="E58" s="23"/>
      <c r="F58" s="15" t="str">
        <f aca="false">IF($A58="","",SUMIF(Purchases!$B$2:$B$1001,$A58,Purchases!$C$2:$C$1001))</f>
        <v/>
      </c>
      <c r="G58" s="19"/>
      <c r="H58" s="6" t="str">
        <f aca="false">IF($A58="","",IF($D58="",0,$D58)+$F58-IF($G58="",0,$G58))</f>
        <v/>
      </c>
      <c r="I58" s="19"/>
      <c r="J58" s="3" t="str">
        <f aca="false">IF($A58="","",IF($I58="","OK",IF($H58&lt;=$I58,"REORDER","OK")))</f>
        <v/>
      </c>
      <c r="K58" s="16" t="str">
        <f aca="false">IF($A58="","",IFERROR((IF($D58="",0,$D58)*IF($E58="",0,$E58)+SUMIF(Purchases!$B$2:$B$1001,$A58,Purchases!$E$2:$E$1001))/(IF($D58="",0,$D58)+SUMIF(Purchases!$B$2:$B$1001,$A58,Purchases!$C$2:$C$1001)),0))</f>
        <v/>
      </c>
      <c r="L58" s="9" t="str">
        <f aca="false">IF($A58="","",$H58*$K58)</f>
        <v/>
      </c>
    </row>
    <row r="59" customFormat="false" ht="15" hidden="false" customHeight="false" outlineLevel="0" collapsed="false">
      <c r="A59" s="19"/>
      <c r="B59" s="19"/>
      <c r="C59" s="19"/>
      <c r="D59" s="19"/>
      <c r="E59" s="23"/>
      <c r="F59" s="15" t="str">
        <f aca="false">IF($A59="","",SUMIF(Purchases!$B$2:$B$1001,$A59,Purchases!$C$2:$C$1001))</f>
        <v/>
      </c>
      <c r="G59" s="19"/>
      <c r="H59" s="6" t="str">
        <f aca="false">IF($A59="","",IF($D59="",0,$D59)+$F59-IF($G59="",0,$G59))</f>
        <v/>
      </c>
      <c r="I59" s="19"/>
      <c r="J59" s="3" t="str">
        <f aca="false">IF($A59="","",IF($I59="","OK",IF($H59&lt;=$I59,"REORDER","OK")))</f>
        <v/>
      </c>
      <c r="K59" s="16" t="str">
        <f aca="false">IF($A59="","",IFERROR((IF($D59="",0,$D59)*IF($E59="",0,$E59)+SUMIF(Purchases!$B$2:$B$1001,$A59,Purchases!$E$2:$E$1001))/(IF($D59="",0,$D59)+SUMIF(Purchases!$B$2:$B$1001,$A59,Purchases!$C$2:$C$1001)),0))</f>
        <v/>
      </c>
      <c r="L59" s="9" t="str">
        <f aca="false">IF($A59="","",$H59*$K59)</f>
        <v/>
      </c>
    </row>
    <row r="60" customFormat="false" ht="15" hidden="false" customHeight="false" outlineLevel="0" collapsed="false">
      <c r="A60" s="19"/>
      <c r="B60" s="19"/>
      <c r="C60" s="19"/>
      <c r="D60" s="19"/>
      <c r="E60" s="23"/>
      <c r="F60" s="15" t="str">
        <f aca="false">IF($A60="","",SUMIF(Purchases!$B$2:$B$1001,$A60,Purchases!$C$2:$C$1001))</f>
        <v/>
      </c>
      <c r="G60" s="19"/>
      <c r="H60" s="6" t="str">
        <f aca="false">IF($A60="","",IF($D60="",0,$D60)+$F60-IF($G60="",0,$G60))</f>
        <v/>
      </c>
      <c r="I60" s="19"/>
      <c r="J60" s="3" t="str">
        <f aca="false">IF($A60="","",IF($I60="","OK",IF($H60&lt;=$I60,"REORDER","OK")))</f>
        <v/>
      </c>
      <c r="K60" s="16" t="str">
        <f aca="false">IF($A60="","",IFERROR((IF($D60="",0,$D60)*IF($E60="",0,$E60)+SUMIF(Purchases!$B$2:$B$1001,$A60,Purchases!$E$2:$E$1001))/(IF($D60="",0,$D60)+SUMIF(Purchases!$B$2:$B$1001,$A60,Purchases!$C$2:$C$1001)),0))</f>
        <v/>
      </c>
      <c r="L60" s="9" t="str">
        <f aca="false">IF($A60="","",$H60*$K60)</f>
        <v/>
      </c>
    </row>
    <row r="61" customFormat="false" ht="15" hidden="false" customHeight="false" outlineLevel="0" collapsed="false">
      <c r="A61" s="19"/>
      <c r="B61" s="19"/>
      <c r="C61" s="19"/>
      <c r="D61" s="19"/>
      <c r="E61" s="23"/>
      <c r="F61" s="15" t="str">
        <f aca="false">IF($A61="","",SUMIF(Purchases!$B$2:$B$1001,$A61,Purchases!$C$2:$C$1001))</f>
        <v/>
      </c>
      <c r="G61" s="19"/>
      <c r="H61" s="6" t="str">
        <f aca="false">IF($A61="","",IF($D61="",0,$D61)+$F61-IF($G61="",0,$G61))</f>
        <v/>
      </c>
      <c r="I61" s="19"/>
      <c r="J61" s="3" t="str">
        <f aca="false">IF($A61="","",IF($I61="","OK",IF($H61&lt;=$I61,"REORDER","OK")))</f>
        <v/>
      </c>
      <c r="K61" s="16" t="str">
        <f aca="false">IF($A61="","",IFERROR((IF($D61="",0,$D61)*IF($E61="",0,$E61)+SUMIF(Purchases!$B$2:$B$1001,$A61,Purchases!$E$2:$E$1001))/(IF($D61="",0,$D61)+SUMIF(Purchases!$B$2:$B$1001,$A61,Purchases!$C$2:$C$1001)),0))</f>
        <v/>
      </c>
      <c r="L61" s="9" t="str">
        <f aca="false">IF($A61="","",$H61*$K61)</f>
        <v/>
      </c>
    </row>
    <row r="62" customFormat="false" ht="15" hidden="false" customHeight="false" outlineLevel="0" collapsed="false">
      <c r="A62" s="19"/>
      <c r="B62" s="19"/>
      <c r="C62" s="19"/>
      <c r="D62" s="19"/>
      <c r="E62" s="23"/>
      <c r="F62" s="15" t="str">
        <f aca="false">IF($A62="","",SUMIF(Purchases!$B$2:$B$1001,$A62,Purchases!$C$2:$C$1001))</f>
        <v/>
      </c>
      <c r="G62" s="19"/>
      <c r="H62" s="6" t="str">
        <f aca="false">IF($A62="","",IF($D62="",0,$D62)+$F62-IF($G62="",0,$G62))</f>
        <v/>
      </c>
      <c r="I62" s="19"/>
      <c r="J62" s="3" t="str">
        <f aca="false">IF($A62="","",IF($I62="","OK",IF($H62&lt;=$I62,"REORDER","OK")))</f>
        <v/>
      </c>
      <c r="K62" s="16" t="str">
        <f aca="false">IF($A62="","",IFERROR((IF($D62="",0,$D62)*IF($E62="",0,$E62)+SUMIF(Purchases!$B$2:$B$1001,$A62,Purchases!$E$2:$E$1001))/(IF($D62="",0,$D62)+SUMIF(Purchases!$B$2:$B$1001,$A62,Purchases!$C$2:$C$1001)),0))</f>
        <v/>
      </c>
      <c r="L62" s="9" t="str">
        <f aca="false">IF($A62="","",$H62*$K62)</f>
        <v/>
      </c>
    </row>
    <row r="63" customFormat="false" ht="15" hidden="false" customHeight="false" outlineLevel="0" collapsed="false">
      <c r="A63" s="19"/>
      <c r="B63" s="19"/>
      <c r="C63" s="19"/>
      <c r="D63" s="19"/>
      <c r="E63" s="23"/>
      <c r="F63" s="15" t="str">
        <f aca="false">IF($A63="","",SUMIF(Purchases!$B$2:$B$1001,$A63,Purchases!$C$2:$C$1001))</f>
        <v/>
      </c>
      <c r="G63" s="19"/>
      <c r="H63" s="6" t="str">
        <f aca="false">IF($A63="","",IF($D63="",0,$D63)+$F63-IF($G63="",0,$G63))</f>
        <v/>
      </c>
      <c r="I63" s="19"/>
      <c r="J63" s="3" t="str">
        <f aca="false">IF($A63="","",IF($I63="","OK",IF($H63&lt;=$I63,"REORDER","OK")))</f>
        <v/>
      </c>
      <c r="K63" s="16" t="str">
        <f aca="false">IF($A63="","",IFERROR((IF($D63="",0,$D63)*IF($E63="",0,$E63)+SUMIF(Purchases!$B$2:$B$1001,$A63,Purchases!$E$2:$E$1001))/(IF($D63="",0,$D63)+SUMIF(Purchases!$B$2:$B$1001,$A63,Purchases!$C$2:$C$1001)),0))</f>
        <v/>
      </c>
      <c r="L63" s="9" t="str">
        <f aca="false">IF($A63="","",$H63*$K63)</f>
        <v/>
      </c>
    </row>
    <row r="64" customFormat="false" ht="15" hidden="false" customHeight="false" outlineLevel="0" collapsed="false">
      <c r="A64" s="19"/>
      <c r="B64" s="19"/>
      <c r="C64" s="19"/>
      <c r="D64" s="19"/>
      <c r="E64" s="23"/>
      <c r="F64" s="15" t="str">
        <f aca="false">IF($A64="","",SUMIF(Purchases!$B$2:$B$1001,$A64,Purchases!$C$2:$C$1001))</f>
        <v/>
      </c>
      <c r="G64" s="19"/>
      <c r="H64" s="6" t="str">
        <f aca="false">IF($A64="","",IF($D64="",0,$D64)+$F64-IF($G64="",0,$G64))</f>
        <v/>
      </c>
      <c r="I64" s="19"/>
      <c r="J64" s="3" t="str">
        <f aca="false">IF($A64="","",IF($I64="","OK",IF($H64&lt;=$I64,"REORDER","OK")))</f>
        <v/>
      </c>
      <c r="K64" s="16" t="str">
        <f aca="false">IF($A64="","",IFERROR((IF($D64="",0,$D64)*IF($E64="",0,$E64)+SUMIF(Purchases!$B$2:$B$1001,$A64,Purchases!$E$2:$E$1001))/(IF($D64="",0,$D64)+SUMIF(Purchases!$B$2:$B$1001,$A64,Purchases!$C$2:$C$1001)),0))</f>
        <v/>
      </c>
      <c r="L64" s="9" t="str">
        <f aca="false">IF($A64="","",$H64*$K64)</f>
        <v/>
      </c>
    </row>
    <row r="65" customFormat="false" ht="15" hidden="false" customHeight="false" outlineLevel="0" collapsed="false">
      <c r="A65" s="19"/>
      <c r="B65" s="19"/>
      <c r="C65" s="19"/>
      <c r="D65" s="19"/>
      <c r="E65" s="23"/>
      <c r="F65" s="15" t="str">
        <f aca="false">IF($A65="","",SUMIF(Purchases!$B$2:$B$1001,$A65,Purchases!$C$2:$C$1001))</f>
        <v/>
      </c>
      <c r="G65" s="19"/>
      <c r="H65" s="6" t="str">
        <f aca="false">IF($A65="","",IF($D65="",0,$D65)+$F65-IF($G65="",0,$G65))</f>
        <v/>
      </c>
      <c r="I65" s="19"/>
      <c r="J65" s="3" t="str">
        <f aca="false">IF($A65="","",IF($I65="","OK",IF($H65&lt;=$I65,"REORDER","OK")))</f>
        <v/>
      </c>
      <c r="K65" s="16" t="str">
        <f aca="false">IF($A65="","",IFERROR((IF($D65="",0,$D65)*IF($E65="",0,$E65)+SUMIF(Purchases!$B$2:$B$1001,$A65,Purchases!$E$2:$E$1001))/(IF($D65="",0,$D65)+SUMIF(Purchases!$B$2:$B$1001,$A65,Purchases!$C$2:$C$1001)),0))</f>
        <v/>
      </c>
      <c r="L65" s="9" t="str">
        <f aca="false">IF($A65="","",$H65*$K65)</f>
        <v/>
      </c>
    </row>
    <row r="66" customFormat="false" ht="15" hidden="false" customHeight="false" outlineLevel="0" collapsed="false">
      <c r="A66" s="19"/>
      <c r="B66" s="19"/>
      <c r="C66" s="19"/>
      <c r="D66" s="19"/>
      <c r="E66" s="23"/>
      <c r="F66" s="15" t="str">
        <f aca="false">IF($A66="","",SUMIF(Purchases!$B$2:$B$1001,$A66,Purchases!$C$2:$C$1001))</f>
        <v/>
      </c>
      <c r="G66" s="19"/>
      <c r="H66" s="6" t="str">
        <f aca="false">IF($A66="","",IF($D66="",0,$D66)+$F66-IF($G66="",0,$G66))</f>
        <v/>
      </c>
      <c r="I66" s="19"/>
      <c r="J66" s="3" t="str">
        <f aca="false">IF($A66="","",IF($I66="","OK",IF($H66&lt;=$I66,"REORDER","OK")))</f>
        <v/>
      </c>
      <c r="K66" s="16" t="str">
        <f aca="false">IF($A66="","",IFERROR((IF($D66="",0,$D66)*IF($E66="",0,$E66)+SUMIF(Purchases!$B$2:$B$1001,$A66,Purchases!$E$2:$E$1001))/(IF($D66="",0,$D66)+SUMIF(Purchases!$B$2:$B$1001,$A66,Purchases!$C$2:$C$1001)),0))</f>
        <v/>
      </c>
      <c r="L66" s="9" t="str">
        <f aca="false">IF($A66="","",$H66*$K66)</f>
        <v/>
      </c>
    </row>
    <row r="67" customFormat="false" ht="15" hidden="false" customHeight="false" outlineLevel="0" collapsed="false">
      <c r="A67" s="19"/>
      <c r="B67" s="19"/>
      <c r="C67" s="19"/>
      <c r="D67" s="19"/>
      <c r="E67" s="23"/>
      <c r="F67" s="15" t="str">
        <f aca="false">IF($A67="","",SUMIF(Purchases!$B$2:$B$1001,$A67,Purchases!$C$2:$C$1001))</f>
        <v/>
      </c>
      <c r="G67" s="19"/>
      <c r="H67" s="6" t="str">
        <f aca="false">IF($A67="","",IF($D67="",0,$D67)+$F67-IF($G67="",0,$G67))</f>
        <v/>
      </c>
      <c r="I67" s="19"/>
      <c r="J67" s="3" t="str">
        <f aca="false">IF($A67="","",IF($I67="","OK",IF($H67&lt;=$I67,"REORDER","OK")))</f>
        <v/>
      </c>
      <c r="K67" s="16" t="str">
        <f aca="false">IF($A67="","",IFERROR((IF($D67="",0,$D67)*IF($E67="",0,$E67)+SUMIF(Purchases!$B$2:$B$1001,$A67,Purchases!$E$2:$E$1001))/(IF($D67="",0,$D67)+SUMIF(Purchases!$B$2:$B$1001,$A67,Purchases!$C$2:$C$1001)),0))</f>
        <v/>
      </c>
      <c r="L67" s="9" t="str">
        <f aca="false">IF($A67="","",$H67*$K67)</f>
        <v/>
      </c>
    </row>
    <row r="68" customFormat="false" ht="15" hidden="false" customHeight="false" outlineLevel="0" collapsed="false">
      <c r="A68" s="19"/>
      <c r="B68" s="19"/>
      <c r="C68" s="19"/>
      <c r="D68" s="19"/>
      <c r="E68" s="23"/>
      <c r="F68" s="15" t="str">
        <f aca="false">IF($A68="","",SUMIF(Purchases!$B$2:$B$1001,$A68,Purchases!$C$2:$C$1001))</f>
        <v/>
      </c>
      <c r="G68" s="19"/>
      <c r="H68" s="6" t="str">
        <f aca="false">IF($A68="","",IF($D68="",0,$D68)+$F68-IF($G68="",0,$G68))</f>
        <v/>
      </c>
      <c r="I68" s="19"/>
      <c r="J68" s="3" t="str">
        <f aca="false">IF($A68="","",IF($I68="","OK",IF($H68&lt;=$I68,"REORDER","OK")))</f>
        <v/>
      </c>
      <c r="K68" s="16" t="str">
        <f aca="false">IF($A68="","",IFERROR((IF($D68="",0,$D68)*IF($E68="",0,$E68)+SUMIF(Purchases!$B$2:$B$1001,$A68,Purchases!$E$2:$E$1001))/(IF($D68="",0,$D68)+SUMIF(Purchases!$B$2:$B$1001,$A68,Purchases!$C$2:$C$1001)),0))</f>
        <v/>
      </c>
      <c r="L68" s="9" t="str">
        <f aca="false">IF($A68="","",$H68*$K68)</f>
        <v/>
      </c>
    </row>
    <row r="69" customFormat="false" ht="15" hidden="false" customHeight="false" outlineLevel="0" collapsed="false">
      <c r="A69" s="19"/>
      <c r="B69" s="19"/>
      <c r="C69" s="19"/>
      <c r="D69" s="19"/>
      <c r="E69" s="23"/>
      <c r="F69" s="15" t="str">
        <f aca="false">IF($A69="","",SUMIF(Purchases!$B$2:$B$1001,$A69,Purchases!$C$2:$C$1001))</f>
        <v/>
      </c>
      <c r="G69" s="19"/>
      <c r="H69" s="6" t="str">
        <f aca="false">IF($A69="","",IF($D69="",0,$D69)+$F69-IF($G69="",0,$G69))</f>
        <v/>
      </c>
      <c r="I69" s="19"/>
      <c r="J69" s="3" t="str">
        <f aca="false">IF($A69="","",IF($I69="","OK",IF($H69&lt;=$I69,"REORDER","OK")))</f>
        <v/>
      </c>
      <c r="K69" s="16" t="str">
        <f aca="false">IF($A69="","",IFERROR((IF($D69="",0,$D69)*IF($E69="",0,$E69)+SUMIF(Purchases!$B$2:$B$1001,$A69,Purchases!$E$2:$E$1001))/(IF($D69="",0,$D69)+SUMIF(Purchases!$B$2:$B$1001,$A69,Purchases!$C$2:$C$1001)),0))</f>
        <v/>
      </c>
      <c r="L69" s="9" t="str">
        <f aca="false">IF($A69="","",$H69*$K69)</f>
        <v/>
      </c>
    </row>
    <row r="70" customFormat="false" ht="15" hidden="false" customHeight="false" outlineLevel="0" collapsed="false">
      <c r="A70" s="19"/>
      <c r="B70" s="19"/>
      <c r="C70" s="19"/>
      <c r="D70" s="19"/>
      <c r="E70" s="23"/>
      <c r="F70" s="15" t="str">
        <f aca="false">IF($A70="","",SUMIF(Purchases!$B$2:$B$1001,$A70,Purchases!$C$2:$C$1001))</f>
        <v/>
      </c>
      <c r="G70" s="19"/>
      <c r="H70" s="6" t="str">
        <f aca="false">IF($A70="","",IF($D70="",0,$D70)+$F70-IF($G70="",0,$G70))</f>
        <v/>
      </c>
      <c r="I70" s="19"/>
      <c r="J70" s="3" t="str">
        <f aca="false">IF($A70="","",IF($I70="","OK",IF($H70&lt;=$I70,"REORDER","OK")))</f>
        <v/>
      </c>
      <c r="K70" s="16" t="str">
        <f aca="false">IF($A70="","",IFERROR((IF($D70="",0,$D70)*IF($E70="",0,$E70)+SUMIF(Purchases!$B$2:$B$1001,$A70,Purchases!$E$2:$E$1001))/(IF($D70="",0,$D70)+SUMIF(Purchases!$B$2:$B$1001,$A70,Purchases!$C$2:$C$1001)),0))</f>
        <v/>
      </c>
      <c r="L70" s="9" t="str">
        <f aca="false">IF($A70="","",$H70*$K70)</f>
        <v/>
      </c>
    </row>
    <row r="71" customFormat="false" ht="15" hidden="false" customHeight="false" outlineLevel="0" collapsed="false">
      <c r="A71" s="19"/>
      <c r="B71" s="19"/>
      <c r="C71" s="19"/>
      <c r="D71" s="19"/>
      <c r="E71" s="23"/>
      <c r="F71" s="15" t="str">
        <f aca="false">IF($A71="","",SUMIF(Purchases!$B$2:$B$1001,$A71,Purchases!$C$2:$C$1001))</f>
        <v/>
      </c>
      <c r="G71" s="19"/>
      <c r="H71" s="6" t="str">
        <f aca="false">IF($A71="","",IF($D71="",0,$D71)+$F71-IF($G71="",0,$G71))</f>
        <v/>
      </c>
      <c r="I71" s="19"/>
      <c r="J71" s="3" t="str">
        <f aca="false">IF($A71="","",IF($I71="","OK",IF($H71&lt;=$I71,"REORDER","OK")))</f>
        <v/>
      </c>
      <c r="K71" s="16" t="str">
        <f aca="false">IF($A71="","",IFERROR((IF($D71="",0,$D71)*IF($E71="",0,$E71)+SUMIF(Purchases!$B$2:$B$1001,$A71,Purchases!$E$2:$E$1001))/(IF($D71="",0,$D71)+SUMIF(Purchases!$B$2:$B$1001,$A71,Purchases!$C$2:$C$1001)),0))</f>
        <v/>
      </c>
      <c r="L71" s="9" t="str">
        <f aca="false">IF($A71="","",$H71*$K71)</f>
        <v/>
      </c>
    </row>
    <row r="72" customFormat="false" ht="15" hidden="false" customHeight="false" outlineLevel="0" collapsed="false">
      <c r="A72" s="19"/>
      <c r="B72" s="19"/>
      <c r="C72" s="19"/>
      <c r="D72" s="19"/>
      <c r="E72" s="23"/>
      <c r="F72" s="15" t="str">
        <f aca="false">IF($A72="","",SUMIF(Purchases!$B$2:$B$1001,$A72,Purchases!$C$2:$C$1001))</f>
        <v/>
      </c>
      <c r="G72" s="19"/>
      <c r="H72" s="6" t="str">
        <f aca="false">IF($A72="","",IF($D72="",0,$D72)+$F72-IF($G72="",0,$G72))</f>
        <v/>
      </c>
      <c r="I72" s="19"/>
      <c r="J72" s="3" t="str">
        <f aca="false">IF($A72="","",IF($I72="","OK",IF($H72&lt;=$I72,"REORDER","OK")))</f>
        <v/>
      </c>
      <c r="K72" s="16" t="str">
        <f aca="false">IF($A72="","",IFERROR((IF($D72="",0,$D72)*IF($E72="",0,$E72)+SUMIF(Purchases!$B$2:$B$1001,$A72,Purchases!$E$2:$E$1001))/(IF($D72="",0,$D72)+SUMIF(Purchases!$B$2:$B$1001,$A72,Purchases!$C$2:$C$1001)),0))</f>
        <v/>
      </c>
      <c r="L72" s="9" t="str">
        <f aca="false">IF($A72="","",$H72*$K72)</f>
        <v/>
      </c>
    </row>
    <row r="73" customFormat="false" ht="15" hidden="false" customHeight="false" outlineLevel="0" collapsed="false">
      <c r="A73" s="19"/>
      <c r="B73" s="19"/>
      <c r="C73" s="19"/>
      <c r="D73" s="19"/>
      <c r="E73" s="23"/>
      <c r="F73" s="15" t="str">
        <f aca="false">IF($A73="","",SUMIF(Purchases!$B$2:$B$1001,$A73,Purchases!$C$2:$C$1001))</f>
        <v/>
      </c>
      <c r="G73" s="19"/>
      <c r="H73" s="6" t="str">
        <f aca="false">IF($A73="","",IF($D73="",0,$D73)+$F73-IF($G73="",0,$G73))</f>
        <v/>
      </c>
      <c r="I73" s="19"/>
      <c r="J73" s="3" t="str">
        <f aca="false">IF($A73="","",IF($I73="","OK",IF($H73&lt;=$I73,"REORDER","OK")))</f>
        <v/>
      </c>
      <c r="K73" s="16" t="str">
        <f aca="false">IF($A73="","",IFERROR((IF($D73="",0,$D73)*IF($E73="",0,$E73)+SUMIF(Purchases!$B$2:$B$1001,$A73,Purchases!$E$2:$E$1001))/(IF($D73="",0,$D73)+SUMIF(Purchases!$B$2:$B$1001,$A73,Purchases!$C$2:$C$1001)),0))</f>
        <v/>
      </c>
      <c r="L73" s="9" t="str">
        <f aca="false">IF($A73="","",$H73*$K73)</f>
        <v/>
      </c>
    </row>
    <row r="74" customFormat="false" ht="15" hidden="false" customHeight="false" outlineLevel="0" collapsed="false">
      <c r="A74" s="19"/>
      <c r="B74" s="19"/>
      <c r="C74" s="19"/>
      <c r="D74" s="19"/>
      <c r="E74" s="23"/>
      <c r="F74" s="15" t="str">
        <f aca="false">IF($A74="","",SUMIF(Purchases!$B$2:$B$1001,$A74,Purchases!$C$2:$C$1001))</f>
        <v/>
      </c>
      <c r="G74" s="19"/>
      <c r="H74" s="6" t="str">
        <f aca="false">IF($A74="","",IF($D74="",0,$D74)+$F74-IF($G74="",0,$G74))</f>
        <v/>
      </c>
      <c r="I74" s="19"/>
      <c r="J74" s="3" t="str">
        <f aca="false">IF($A74="","",IF($I74="","OK",IF($H74&lt;=$I74,"REORDER","OK")))</f>
        <v/>
      </c>
      <c r="K74" s="16" t="str">
        <f aca="false">IF($A74="","",IFERROR((IF($D74="",0,$D74)*IF($E74="",0,$E74)+SUMIF(Purchases!$B$2:$B$1001,$A74,Purchases!$E$2:$E$1001))/(IF($D74="",0,$D74)+SUMIF(Purchases!$B$2:$B$1001,$A74,Purchases!$C$2:$C$1001)),0))</f>
        <v/>
      </c>
      <c r="L74" s="9" t="str">
        <f aca="false">IF($A74="","",$H74*$K74)</f>
        <v/>
      </c>
    </row>
    <row r="75" customFormat="false" ht="15" hidden="false" customHeight="false" outlineLevel="0" collapsed="false">
      <c r="A75" s="19"/>
      <c r="B75" s="19"/>
      <c r="C75" s="19"/>
      <c r="D75" s="19"/>
      <c r="E75" s="23"/>
      <c r="F75" s="15" t="str">
        <f aca="false">IF($A75="","",SUMIF(Purchases!$B$2:$B$1001,$A75,Purchases!$C$2:$C$1001))</f>
        <v/>
      </c>
      <c r="G75" s="19"/>
      <c r="H75" s="6" t="str">
        <f aca="false">IF($A75="","",IF($D75="",0,$D75)+$F75-IF($G75="",0,$G75))</f>
        <v/>
      </c>
      <c r="I75" s="19"/>
      <c r="J75" s="3" t="str">
        <f aca="false">IF($A75="","",IF($I75="","OK",IF($H75&lt;=$I75,"REORDER","OK")))</f>
        <v/>
      </c>
      <c r="K75" s="16" t="str">
        <f aca="false">IF($A75="","",IFERROR((IF($D75="",0,$D75)*IF($E75="",0,$E75)+SUMIF(Purchases!$B$2:$B$1001,$A75,Purchases!$E$2:$E$1001))/(IF($D75="",0,$D75)+SUMIF(Purchases!$B$2:$B$1001,$A75,Purchases!$C$2:$C$1001)),0))</f>
        <v/>
      </c>
      <c r="L75" s="9" t="str">
        <f aca="false">IF($A75="","",$H75*$K75)</f>
        <v/>
      </c>
    </row>
    <row r="76" customFormat="false" ht="15" hidden="false" customHeight="false" outlineLevel="0" collapsed="false">
      <c r="A76" s="19"/>
      <c r="B76" s="19"/>
      <c r="C76" s="19"/>
      <c r="D76" s="19"/>
      <c r="E76" s="23"/>
      <c r="F76" s="15" t="str">
        <f aca="false">IF($A76="","",SUMIF(Purchases!$B$2:$B$1001,$A76,Purchases!$C$2:$C$1001))</f>
        <v/>
      </c>
      <c r="G76" s="19"/>
      <c r="H76" s="6" t="str">
        <f aca="false">IF($A76="","",IF($D76="",0,$D76)+$F76-IF($G76="",0,$G76))</f>
        <v/>
      </c>
      <c r="I76" s="19"/>
      <c r="J76" s="3" t="str">
        <f aca="false">IF($A76="","",IF($I76="","OK",IF($H76&lt;=$I76,"REORDER","OK")))</f>
        <v/>
      </c>
      <c r="K76" s="16" t="str">
        <f aca="false">IF($A76="","",IFERROR((IF($D76="",0,$D76)*IF($E76="",0,$E76)+SUMIF(Purchases!$B$2:$B$1001,$A76,Purchases!$E$2:$E$1001))/(IF($D76="",0,$D76)+SUMIF(Purchases!$B$2:$B$1001,$A76,Purchases!$C$2:$C$1001)),0))</f>
        <v/>
      </c>
      <c r="L76" s="9" t="str">
        <f aca="false">IF($A76="","",$H76*$K76)</f>
        <v/>
      </c>
    </row>
    <row r="77" customFormat="false" ht="15" hidden="false" customHeight="false" outlineLevel="0" collapsed="false">
      <c r="A77" s="19"/>
      <c r="B77" s="19"/>
      <c r="C77" s="19"/>
      <c r="D77" s="19"/>
      <c r="E77" s="23"/>
      <c r="F77" s="15" t="str">
        <f aca="false">IF($A77="","",SUMIF(Purchases!$B$2:$B$1001,$A77,Purchases!$C$2:$C$1001))</f>
        <v/>
      </c>
      <c r="G77" s="19"/>
      <c r="H77" s="6" t="str">
        <f aca="false">IF($A77="","",IF($D77="",0,$D77)+$F77-IF($G77="",0,$G77))</f>
        <v/>
      </c>
      <c r="I77" s="19"/>
      <c r="J77" s="3" t="str">
        <f aca="false">IF($A77="","",IF($I77="","OK",IF($H77&lt;=$I77,"REORDER","OK")))</f>
        <v/>
      </c>
      <c r="K77" s="16" t="str">
        <f aca="false">IF($A77="","",IFERROR((IF($D77="",0,$D77)*IF($E77="",0,$E77)+SUMIF(Purchases!$B$2:$B$1001,$A77,Purchases!$E$2:$E$1001))/(IF($D77="",0,$D77)+SUMIF(Purchases!$B$2:$B$1001,$A77,Purchases!$C$2:$C$1001)),0))</f>
        <v/>
      </c>
      <c r="L77" s="9" t="str">
        <f aca="false">IF($A77="","",$H77*$K77)</f>
        <v/>
      </c>
    </row>
    <row r="78" customFormat="false" ht="15" hidden="false" customHeight="false" outlineLevel="0" collapsed="false">
      <c r="A78" s="19"/>
      <c r="B78" s="19"/>
      <c r="C78" s="19"/>
      <c r="D78" s="19"/>
      <c r="E78" s="23"/>
      <c r="F78" s="15" t="str">
        <f aca="false">IF($A78="","",SUMIF(Purchases!$B$2:$B$1001,$A78,Purchases!$C$2:$C$1001))</f>
        <v/>
      </c>
      <c r="G78" s="19"/>
      <c r="H78" s="6" t="str">
        <f aca="false">IF($A78="","",IF($D78="",0,$D78)+$F78-IF($G78="",0,$G78))</f>
        <v/>
      </c>
      <c r="I78" s="19"/>
      <c r="J78" s="3" t="str">
        <f aca="false">IF($A78="","",IF($I78="","OK",IF($H78&lt;=$I78,"REORDER","OK")))</f>
        <v/>
      </c>
      <c r="K78" s="16" t="str">
        <f aca="false">IF($A78="","",IFERROR((IF($D78="",0,$D78)*IF($E78="",0,$E78)+SUMIF(Purchases!$B$2:$B$1001,$A78,Purchases!$E$2:$E$1001))/(IF($D78="",0,$D78)+SUMIF(Purchases!$B$2:$B$1001,$A78,Purchases!$C$2:$C$1001)),0))</f>
        <v/>
      </c>
      <c r="L78" s="9" t="str">
        <f aca="false">IF($A78="","",$H78*$K78)</f>
        <v/>
      </c>
    </row>
    <row r="79" customFormat="false" ht="15" hidden="false" customHeight="false" outlineLevel="0" collapsed="false">
      <c r="A79" s="19"/>
      <c r="B79" s="19"/>
      <c r="C79" s="19"/>
      <c r="D79" s="19"/>
      <c r="E79" s="23"/>
      <c r="F79" s="15" t="str">
        <f aca="false">IF($A79="","",SUMIF(Purchases!$B$2:$B$1001,$A79,Purchases!$C$2:$C$1001))</f>
        <v/>
      </c>
      <c r="G79" s="19"/>
      <c r="H79" s="6" t="str">
        <f aca="false">IF($A79="","",IF($D79="",0,$D79)+$F79-IF($G79="",0,$G79))</f>
        <v/>
      </c>
      <c r="I79" s="19"/>
      <c r="J79" s="3" t="str">
        <f aca="false">IF($A79="","",IF($I79="","OK",IF($H79&lt;=$I79,"REORDER","OK")))</f>
        <v/>
      </c>
      <c r="K79" s="16" t="str">
        <f aca="false">IF($A79="","",IFERROR((IF($D79="",0,$D79)*IF($E79="",0,$E79)+SUMIF(Purchases!$B$2:$B$1001,$A79,Purchases!$E$2:$E$1001))/(IF($D79="",0,$D79)+SUMIF(Purchases!$B$2:$B$1001,$A79,Purchases!$C$2:$C$1001)),0))</f>
        <v/>
      </c>
      <c r="L79" s="9" t="str">
        <f aca="false">IF($A79="","",$H79*$K79)</f>
        <v/>
      </c>
    </row>
    <row r="80" customFormat="false" ht="15" hidden="false" customHeight="false" outlineLevel="0" collapsed="false">
      <c r="A80" s="19"/>
      <c r="B80" s="19"/>
      <c r="C80" s="19"/>
      <c r="D80" s="19"/>
      <c r="E80" s="23"/>
      <c r="F80" s="15" t="str">
        <f aca="false">IF($A80="","",SUMIF(Purchases!$B$2:$B$1001,$A80,Purchases!$C$2:$C$1001))</f>
        <v/>
      </c>
      <c r="G80" s="19"/>
      <c r="H80" s="6" t="str">
        <f aca="false">IF($A80="","",IF($D80="",0,$D80)+$F80-IF($G80="",0,$G80))</f>
        <v/>
      </c>
      <c r="I80" s="19"/>
      <c r="J80" s="3" t="str">
        <f aca="false">IF($A80="","",IF($I80="","OK",IF($H80&lt;=$I80,"REORDER","OK")))</f>
        <v/>
      </c>
      <c r="K80" s="16" t="str">
        <f aca="false">IF($A80="","",IFERROR((IF($D80="",0,$D80)*IF($E80="",0,$E80)+SUMIF(Purchases!$B$2:$B$1001,$A80,Purchases!$E$2:$E$1001))/(IF($D80="",0,$D80)+SUMIF(Purchases!$B$2:$B$1001,$A80,Purchases!$C$2:$C$1001)),0))</f>
        <v/>
      </c>
      <c r="L80" s="9" t="str">
        <f aca="false">IF($A80="","",$H80*$K80)</f>
        <v/>
      </c>
    </row>
    <row r="81" customFormat="false" ht="15" hidden="false" customHeight="false" outlineLevel="0" collapsed="false">
      <c r="A81" s="19"/>
      <c r="B81" s="19"/>
      <c r="C81" s="19"/>
      <c r="D81" s="19"/>
      <c r="E81" s="23"/>
      <c r="F81" s="15" t="str">
        <f aca="false">IF($A81="","",SUMIF(Purchases!$B$2:$B$1001,$A81,Purchases!$C$2:$C$1001))</f>
        <v/>
      </c>
      <c r="G81" s="19"/>
      <c r="H81" s="6" t="str">
        <f aca="false">IF($A81="","",IF($D81="",0,$D81)+$F81-IF($G81="",0,$G81))</f>
        <v/>
      </c>
      <c r="I81" s="19"/>
      <c r="J81" s="3" t="str">
        <f aca="false">IF($A81="","",IF($I81="","OK",IF($H81&lt;=$I81,"REORDER","OK")))</f>
        <v/>
      </c>
      <c r="K81" s="16" t="str">
        <f aca="false">IF($A81="","",IFERROR((IF($D81="",0,$D81)*IF($E81="",0,$E81)+SUMIF(Purchases!$B$2:$B$1001,$A81,Purchases!$E$2:$E$1001))/(IF($D81="",0,$D81)+SUMIF(Purchases!$B$2:$B$1001,$A81,Purchases!$C$2:$C$1001)),0))</f>
        <v/>
      </c>
      <c r="L81" s="9" t="str">
        <f aca="false">IF($A81="","",$H81*$K81)</f>
        <v/>
      </c>
    </row>
    <row r="82" customFormat="false" ht="15" hidden="false" customHeight="false" outlineLevel="0" collapsed="false">
      <c r="A82" s="19"/>
      <c r="B82" s="19"/>
      <c r="C82" s="19"/>
      <c r="D82" s="19"/>
      <c r="E82" s="23"/>
      <c r="F82" s="15" t="str">
        <f aca="false">IF($A82="","",SUMIF(Purchases!$B$2:$B$1001,$A82,Purchases!$C$2:$C$1001))</f>
        <v/>
      </c>
      <c r="G82" s="19"/>
      <c r="H82" s="6" t="str">
        <f aca="false">IF($A82="","",IF($D82="",0,$D82)+$F82-IF($G82="",0,$G82))</f>
        <v/>
      </c>
      <c r="I82" s="19"/>
      <c r="J82" s="3" t="str">
        <f aca="false">IF($A82="","",IF($I82="","OK",IF($H82&lt;=$I82,"REORDER","OK")))</f>
        <v/>
      </c>
      <c r="K82" s="16" t="str">
        <f aca="false">IF($A82="","",IFERROR((IF($D82="",0,$D82)*IF($E82="",0,$E82)+SUMIF(Purchases!$B$2:$B$1001,$A82,Purchases!$E$2:$E$1001))/(IF($D82="",0,$D82)+SUMIF(Purchases!$B$2:$B$1001,$A82,Purchases!$C$2:$C$1001)),0))</f>
        <v/>
      </c>
      <c r="L82" s="9" t="str">
        <f aca="false">IF($A82="","",$H82*$K82)</f>
        <v/>
      </c>
    </row>
    <row r="83" customFormat="false" ht="15" hidden="false" customHeight="false" outlineLevel="0" collapsed="false">
      <c r="A83" s="19"/>
      <c r="B83" s="19"/>
      <c r="C83" s="19"/>
      <c r="D83" s="19"/>
      <c r="E83" s="23"/>
      <c r="F83" s="15" t="str">
        <f aca="false">IF($A83="","",SUMIF(Purchases!$B$2:$B$1001,$A83,Purchases!$C$2:$C$1001))</f>
        <v/>
      </c>
      <c r="G83" s="19"/>
      <c r="H83" s="6" t="str">
        <f aca="false">IF($A83="","",IF($D83="",0,$D83)+$F83-IF($G83="",0,$G83))</f>
        <v/>
      </c>
      <c r="I83" s="19"/>
      <c r="J83" s="3" t="str">
        <f aca="false">IF($A83="","",IF($I83="","OK",IF($H83&lt;=$I83,"REORDER","OK")))</f>
        <v/>
      </c>
      <c r="K83" s="16" t="str">
        <f aca="false">IF($A83="","",IFERROR((IF($D83="",0,$D83)*IF($E83="",0,$E83)+SUMIF(Purchases!$B$2:$B$1001,$A83,Purchases!$E$2:$E$1001))/(IF($D83="",0,$D83)+SUMIF(Purchases!$B$2:$B$1001,$A83,Purchases!$C$2:$C$1001)),0))</f>
        <v/>
      </c>
      <c r="L83" s="9" t="str">
        <f aca="false">IF($A83="","",$H83*$K83)</f>
        <v/>
      </c>
    </row>
    <row r="84" customFormat="false" ht="15" hidden="false" customHeight="false" outlineLevel="0" collapsed="false">
      <c r="A84" s="19"/>
      <c r="B84" s="19"/>
      <c r="C84" s="19"/>
      <c r="D84" s="19"/>
      <c r="E84" s="23"/>
      <c r="F84" s="15" t="str">
        <f aca="false">IF($A84="","",SUMIF(Purchases!$B$2:$B$1001,$A84,Purchases!$C$2:$C$1001))</f>
        <v/>
      </c>
      <c r="G84" s="19"/>
      <c r="H84" s="6" t="str">
        <f aca="false">IF($A84="","",IF($D84="",0,$D84)+$F84-IF($G84="",0,$G84))</f>
        <v/>
      </c>
      <c r="I84" s="19"/>
      <c r="J84" s="3" t="str">
        <f aca="false">IF($A84="","",IF($I84="","OK",IF($H84&lt;=$I84,"REORDER","OK")))</f>
        <v/>
      </c>
      <c r="K84" s="16" t="str">
        <f aca="false">IF($A84="","",IFERROR((IF($D84="",0,$D84)*IF($E84="",0,$E84)+SUMIF(Purchases!$B$2:$B$1001,$A84,Purchases!$E$2:$E$1001))/(IF($D84="",0,$D84)+SUMIF(Purchases!$B$2:$B$1001,$A84,Purchases!$C$2:$C$1001)),0))</f>
        <v/>
      </c>
      <c r="L84" s="9" t="str">
        <f aca="false">IF($A84="","",$H84*$K84)</f>
        <v/>
      </c>
    </row>
    <row r="85" customFormat="false" ht="15" hidden="false" customHeight="false" outlineLevel="0" collapsed="false">
      <c r="A85" s="19"/>
      <c r="B85" s="19"/>
      <c r="C85" s="19"/>
      <c r="D85" s="19"/>
      <c r="E85" s="23"/>
      <c r="F85" s="15" t="str">
        <f aca="false">IF($A85="","",SUMIF(Purchases!$B$2:$B$1001,$A85,Purchases!$C$2:$C$1001))</f>
        <v/>
      </c>
      <c r="G85" s="19"/>
      <c r="H85" s="6" t="str">
        <f aca="false">IF($A85="","",IF($D85="",0,$D85)+$F85-IF($G85="",0,$G85))</f>
        <v/>
      </c>
      <c r="I85" s="19"/>
      <c r="J85" s="3" t="str">
        <f aca="false">IF($A85="","",IF($I85="","OK",IF($H85&lt;=$I85,"REORDER","OK")))</f>
        <v/>
      </c>
      <c r="K85" s="16" t="str">
        <f aca="false">IF($A85="","",IFERROR((IF($D85="",0,$D85)*IF($E85="",0,$E85)+SUMIF(Purchases!$B$2:$B$1001,$A85,Purchases!$E$2:$E$1001))/(IF($D85="",0,$D85)+SUMIF(Purchases!$B$2:$B$1001,$A85,Purchases!$C$2:$C$1001)),0))</f>
        <v/>
      </c>
      <c r="L85" s="9" t="str">
        <f aca="false">IF($A85="","",$H85*$K85)</f>
        <v/>
      </c>
    </row>
    <row r="86" customFormat="false" ht="15" hidden="false" customHeight="false" outlineLevel="0" collapsed="false">
      <c r="A86" s="19"/>
      <c r="B86" s="19"/>
      <c r="C86" s="19"/>
      <c r="D86" s="19"/>
      <c r="E86" s="23"/>
      <c r="F86" s="15" t="str">
        <f aca="false">IF($A86="","",SUMIF(Purchases!$B$2:$B$1001,$A86,Purchases!$C$2:$C$1001))</f>
        <v/>
      </c>
      <c r="G86" s="19"/>
      <c r="H86" s="6" t="str">
        <f aca="false">IF($A86="","",IF($D86="",0,$D86)+$F86-IF($G86="",0,$G86))</f>
        <v/>
      </c>
      <c r="I86" s="19"/>
      <c r="J86" s="3" t="str">
        <f aca="false">IF($A86="","",IF($I86="","OK",IF($H86&lt;=$I86,"REORDER","OK")))</f>
        <v/>
      </c>
      <c r="K86" s="16" t="str">
        <f aca="false">IF($A86="","",IFERROR((IF($D86="",0,$D86)*IF($E86="",0,$E86)+SUMIF(Purchases!$B$2:$B$1001,$A86,Purchases!$E$2:$E$1001))/(IF($D86="",0,$D86)+SUMIF(Purchases!$B$2:$B$1001,$A86,Purchases!$C$2:$C$1001)),0))</f>
        <v/>
      </c>
      <c r="L86" s="9" t="str">
        <f aca="false">IF($A86="","",$H86*$K86)</f>
        <v/>
      </c>
    </row>
    <row r="87" customFormat="false" ht="15" hidden="false" customHeight="false" outlineLevel="0" collapsed="false">
      <c r="A87" s="19"/>
      <c r="B87" s="19"/>
      <c r="C87" s="19"/>
      <c r="D87" s="19"/>
      <c r="E87" s="23"/>
      <c r="F87" s="15" t="str">
        <f aca="false">IF($A87="","",SUMIF(Purchases!$B$2:$B$1001,$A87,Purchases!$C$2:$C$1001))</f>
        <v/>
      </c>
      <c r="G87" s="19"/>
      <c r="H87" s="6" t="str">
        <f aca="false">IF($A87="","",IF($D87="",0,$D87)+$F87-IF($G87="",0,$G87))</f>
        <v/>
      </c>
      <c r="I87" s="19"/>
      <c r="J87" s="3" t="str">
        <f aca="false">IF($A87="","",IF($I87="","OK",IF($H87&lt;=$I87,"REORDER","OK")))</f>
        <v/>
      </c>
      <c r="K87" s="16" t="str">
        <f aca="false">IF($A87="","",IFERROR((IF($D87="",0,$D87)*IF($E87="",0,$E87)+SUMIF(Purchases!$B$2:$B$1001,$A87,Purchases!$E$2:$E$1001))/(IF($D87="",0,$D87)+SUMIF(Purchases!$B$2:$B$1001,$A87,Purchases!$C$2:$C$1001)),0))</f>
        <v/>
      </c>
      <c r="L87" s="9" t="str">
        <f aca="false">IF($A87="","",$H87*$K87)</f>
        <v/>
      </c>
    </row>
    <row r="88" customFormat="false" ht="15" hidden="false" customHeight="false" outlineLevel="0" collapsed="false">
      <c r="A88" s="19"/>
      <c r="B88" s="19"/>
      <c r="C88" s="19"/>
      <c r="D88" s="19"/>
      <c r="E88" s="23"/>
      <c r="F88" s="15" t="str">
        <f aca="false">IF($A88="","",SUMIF(Purchases!$B$2:$B$1001,$A88,Purchases!$C$2:$C$1001))</f>
        <v/>
      </c>
      <c r="G88" s="19"/>
      <c r="H88" s="6" t="str">
        <f aca="false">IF($A88="","",IF($D88="",0,$D88)+$F88-IF($G88="",0,$G88))</f>
        <v/>
      </c>
      <c r="I88" s="19"/>
      <c r="J88" s="3" t="str">
        <f aca="false">IF($A88="","",IF($I88="","OK",IF($H88&lt;=$I88,"REORDER","OK")))</f>
        <v/>
      </c>
      <c r="K88" s="16" t="str">
        <f aca="false">IF($A88="","",IFERROR((IF($D88="",0,$D88)*IF($E88="",0,$E88)+SUMIF(Purchases!$B$2:$B$1001,$A88,Purchases!$E$2:$E$1001))/(IF($D88="",0,$D88)+SUMIF(Purchases!$B$2:$B$1001,$A88,Purchases!$C$2:$C$1001)),0))</f>
        <v/>
      </c>
      <c r="L88" s="9" t="str">
        <f aca="false">IF($A88="","",$H88*$K88)</f>
        <v/>
      </c>
    </row>
    <row r="89" customFormat="false" ht="15" hidden="false" customHeight="false" outlineLevel="0" collapsed="false">
      <c r="A89" s="19"/>
      <c r="B89" s="19"/>
      <c r="C89" s="19"/>
      <c r="D89" s="19"/>
      <c r="E89" s="23"/>
      <c r="F89" s="15" t="str">
        <f aca="false">IF($A89="","",SUMIF(Purchases!$B$2:$B$1001,$A89,Purchases!$C$2:$C$1001))</f>
        <v/>
      </c>
      <c r="G89" s="19"/>
      <c r="H89" s="6" t="str">
        <f aca="false">IF($A89="","",IF($D89="",0,$D89)+$F89-IF($G89="",0,$G89))</f>
        <v/>
      </c>
      <c r="I89" s="19"/>
      <c r="J89" s="3" t="str">
        <f aca="false">IF($A89="","",IF($I89="","OK",IF($H89&lt;=$I89,"REORDER","OK")))</f>
        <v/>
      </c>
      <c r="K89" s="16" t="str">
        <f aca="false">IF($A89="","",IFERROR((IF($D89="",0,$D89)*IF($E89="",0,$E89)+SUMIF(Purchases!$B$2:$B$1001,$A89,Purchases!$E$2:$E$1001))/(IF($D89="",0,$D89)+SUMIF(Purchases!$B$2:$B$1001,$A89,Purchases!$C$2:$C$1001)),0))</f>
        <v/>
      </c>
      <c r="L89" s="9" t="str">
        <f aca="false">IF($A89="","",$H89*$K89)</f>
        <v/>
      </c>
    </row>
    <row r="90" customFormat="false" ht="15" hidden="false" customHeight="false" outlineLevel="0" collapsed="false">
      <c r="A90" s="19"/>
      <c r="B90" s="19"/>
      <c r="C90" s="19"/>
      <c r="D90" s="19"/>
      <c r="E90" s="23"/>
      <c r="F90" s="15" t="str">
        <f aca="false">IF($A90="","",SUMIF(Purchases!$B$2:$B$1001,$A90,Purchases!$C$2:$C$1001))</f>
        <v/>
      </c>
      <c r="G90" s="19"/>
      <c r="H90" s="6" t="str">
        <f aca="false">IF($A90="","",IF($D90="",0,$D90)+$F90-IF($G90="",0,$G90))</f>
        <v/>
      </c>
      <c r="I90" s="19"/>
      <c r="J90" s="3" t="str">
        <f aca="false">IF($A90="","",IF($I90="","OK",IF($H90&lt;=$I90,"REORDER","OK")))</f>
        <v/>
      </c>
      <c r="K90" s="16" t="str">
        <f aca="false">IF($A90="","",IFERROR((IF($D90="",0,$D90)*IF($E90="",0,$E90)+SUMIF(Purchases!$B$2:$B$1001,$A90,Purchases!$E$2:$E$1001))/(IF($D90="",0,$D90)+SUMIF(Purchases!$B$2:$B$1001,$A90,Purchases!$C$2:$C$1001)),0))</f>
        <v/>
      </c>
      <c r="L90" s="9" t="str">
        <f aca="false">IF($A90="","",$H90*$K90)</f>
        <v/>
      </c>
    </row>
    <row r="91" customFormat="false" ht="15" hidden="false" customHeight="false" outlineLevel="0" collapsed="false">
      <c r="A91" s="19"/>
      <c r="B91" s="19"/>
      <c r="C91" s="19"/>
      <c r="D91" s="19"/>
      <c r="E91" s="23"/>
      <c r="F91" s="15" t="str">
        <f aca="false">IF($A91="","",SUMIF(Purchases!$B$2:$B$1001,$A91,Purchases!$C$2:$C$1001))</f>
        <v/>
      </c>
      <c r="G91" s="19"/>
      <c r="H91" s="6" t="str">
        <f aca="false">IF($A91="","",IF($D91="",0,$D91)+$F91-IF($G91="",0,$G91))</f>
        <v/>
      </c>
      <c r="I91" s="19"/>
      <c r="J91" s="3" t="str">
        <f aca="false">IF($A91="","",IF($I91="","OK",IF($H91&lt;=$I91,"REORDER","OK")))</f>
        <v/>
      </c>
      <c r="K91" s="16" t="str">
        <f aca="false">IF($A91="","",IFERROR((IF($D91="",0,$D91)*IF($E91="",0,$E91)+SUMIF(Purchases!$B$2:$B$1001,$A91,Purchases!$E$2:$E$1001))/(IF($D91="",0,$D91)+SUMIF(Purchases!$B$2:$B$1001,$A91,Purchases!$C$2:$C$1001)),0))</f>
        <v/>
      </c>
      <c r="L91" s="9" t="str">
        <f aca="false">IF($A91="","",$H91*$K91)</f>
        <v/>
      </c>
    </row>
    <row r="92" customFormat="false" ht="15" hidden="false" customHeight="false" outlineLevel="0" collapsed="false">
      <c r="A92" s="19"/>
      <c r="B92" s="19"/>
      <c r="C92" s="19"/>
      <c r="D92" s="19"/>
      <c r="E92" s="23"/>
      <c r="F92" s="15" t="str">
        <f aca="false">IF($A92="","",SUMIF(Purchases!$B$2:$B$1001,$A92,Purchases!$C$2:$C$1001))</f>
        <v/>
      </c>
      <c r="G92" s="19"/>
      <c r="H92" s="6" t="str">
        <f aca="false">IF($A92="","",IF($D92="",0,$D92)+$F92-IF($G92="",0,$G92))</f>
        <v/>
      </c>
      <c r="I92" s="19"/>
      <c r="J92" s="3" t="str">
        <f aca="false">IF($A92="","",IF($I92="","OK",IF($H92&lt;=$I92,"REORDER","OK")))</f>
        <v/>
      </c>
      <c r="K92" s="16" t="str">
        <f aca="false">IF($A92="","",IFERROR((IF($D92="",0,$D92)*IF($E92="",0,$E92)+SUMIF(Purchases!$B$2:$B$1001,$A92,Purchases!$E$2:$E$1001))/(IF($D92="",0,$D92)+SUMIF(Purchases!$B$2:$B$1001,$A92,Purchases!$C$2:$C$1001)),0))</f>
        <v/>
      </c>
      <c r="L92" s="9" t="str">
        <f aca="false">IF($A92="","",$H92*$K92)</f>
        <v/>
      </c>
    </row>
    <row r="93" customFormat="false" ht="15" hidden="false" customHeight="false" outlineLevel="0" collapsed="false">
      <c r="A93" s="19"/>
      <c r="B93" s="19"/>
      <c r="C93" s="19"/>
      <c r="D93" s="19"/>
      <c r="E93" s="23"/>
      <c r="F93" s="15" t="str">
        <f aca="false">IF($A93="","",SUMIF(Purchases!$B$2:$B$1001,$A93,Purchases!$C$2:$C$1001))</f>
        <v/>
      </c>
      <c r="G93" s="19"/>
      <c r="H93" s="6" t="str">
        <f aca="false">IF($A93="","",IF($D93="",0,$D93)+$F93-IF($G93="",0,$G93))</f>
        <v/>
      </c>
      <c r="I93" s="19"/>
      <c r="J93" s="3" t="str">
        <f aca="false">IF($A93="","",IF($I93="","OK",IF($H93&lt;=$I93,"REORDER","OK")))</f>
        <v/>
      </c>
      <c r="K93" s="16" t="str">
        <f aca="false">IF($A93="","",IFERROR((IF($D93="",0,$D93)*IF($E93="",0,$E93)+SUMIF(Purchases!$B$2:$B$1001,$A93,Purchases!$E$2:$E$1001))/(IF($D93="",0,$D93)+SUMIF(Purchases!$B$2:$B$1001,$A93,Purchases!$C$2:$C$1001)),0))</f>
        <v/>
      </c>
      <c r="L93" s="9" t="str">
        <f aca="false">IF($A93="","",$H93*$K93)</f>
        <v/>
      </c>
    </row>
    <row r="94" customFormat="false" ht="15" hidden="false" customHeight="false" outlineLevel="0" collapsed="false">
      <c r="A94" s="19"/>
      <c r="B94" s="19"/>
      <c r="C94" s="19"/>
      <c r="D94" s="19"/>
      <c r="E94" s="23"/>
      <c r="F94" s="15" t="str">
        <f aca="false">IF($A94="","",SUMIF(Purchases!$B$2:$B$1001,$A94,Purchases!$C$2:$C$1001))</f>
        <v/>
      </c>
      <c r="G94" s="19"/>
      <c r="H94" s="6" t="str">
        <f aca="false">IF($A94="","",IF($D94="",0,$D94)+$F94-IF($G94="",0,$G94))</f>
        <v/>
      </c>
      <c r="I94" s="19"/>
      <c r="J94" s="3" t="str">
        <f aca="false">IF($A94="","",IF($I94="","OK",IF($H94&lt;=$I94,"REORDER","OK")))</f>
        <v/>
      </c>
      <c r="K94" s="16" t="str">
        <f aca="false">IF($A94="","",IFERROR((IF($D94="",0,$D94)*IF($E94="",0,$E94)+SUMIF(Purchases!$B$2:$B$1001,$A94,Purchases!$E$2:$E$1001))/(IF($D94="",0,$D94)+SUMIF(Purchases!$B$2:$B$1001,$A94,Purchases!$C$2:$C$1001)),0))</f>
        <v/>
      </c>
      <c r="L94" s="9" t="str">
        <f aca="false">IF($A94="","",$H94*$K94)</f>
        <v/>
      </c>
    </row>
    <row r="95" customFormat="false" ht="15" hidden="false" customHeight="false" outlineLevel="0" collapsed="false">
      <c r="A95" s="19"/>
      <c r="B95" s="19"/>
      <c r="C95" s="19"/>
      <c r="D95" s="19"/>
      <c r="E95" s="23"/>
      <c r="F95" s="15" t="str">
        <f aca="false">IF($A95="","",SUMIF(Purchases!$B$2:$B$1001,$A95,Purchases!$C$2:$C$1001))</f>
        <v/>
      </c>
      <c r="G95" s="19"/>
      <c r="H95" s="6" t="str">
        <f aca="false">IF($A95="","",IF($D95="",0,$D95)+$F95-IF($G95="",0,$G95))</f>
        <v/>
      </c>
      <c r="I95" s="19"/>
      <c r="J95" s="3" t="str">
        <f aca="false">IF($A95="","",IF($I95="","OK",IF($H95&lt;=$I95,"REORDER","OK")))</f>
        <v/>
      </c>
      <c r="K95" s="16" t="str">
        <f aca="false">IF($A95="","",IFERROR((IF($D95="",0,$D95)*IF($E95="",0,$E95)+SUMIF(Purchases!$B$2:$B$1001,$A95,Purchases!$E$2:$E$1001))/(IF($D95="",0,$D95)+SUMIF(Purchases!$B$2:$B$1001,$A95,Purchases!$C$2:$C$1001)),0))</f>
        <v/>
      </c>
      <c r="L95" s="9" t="str">
        <f aca="false">IF($A95="","",$H95*$K95)</f>
        <v/>
      </c>
    </row>
    <row r="96" customFormat="false" ht="15" hidden="false" customHeight="false" outlineLevel="0" collapsed="false">
      <c r="A96" s="19"/>
      <c r="B96" s="19"/>
      <c r="C96" s="19"/>
      <c r="D96" s="19"/>
      <c r="E96" s="23"/>
      <c r="F96" s="15" t="str">
        <f aca="false">IF($A96="","",SUMIF(Purchases!$B$2:$B$1001,$A96,Purchases!$C$2:$C$1001))</f>
        <v/>
      </c>
      <c r="G96" s="19"/>
      <c r="H96" s="6" t="str">
        <f aca="false">IF($A96="","",IF($D96="",0,$D96)+$F96-IF($G96="",0,$G96))</f>
        <v/>
      </c>
      <c r="I96" s="19"/>
      <c r="J96" s="3" t="str">
        <f aca="false">IF($A96="","",IF($I96="","OK",IF($H96&lt;=$I96,"REORDER","OK")))</f>
        <v/>
      </c>
      <c r="K96" s="16" t="str">
        <f aca="false">IF($A96="","",IFERROR((IF($D96="",0,$D96)*IF($E96="",0,$E96)+SUMIF(Purchases!$B$2:$B$1001,$A96,Purchases!$E$2:$E$1001))/(IF($D96="",0,$D96)+SUMIF(Purchases!$B$2:$B$1001,$A96,Purchases!$C$2:$C$1001)),0))</f>
        <v/>
      </c>
      <c r="L96" s="9" t="str">
        <f aca="false">IF($A96="","",$H96*$K96)</f>
        <v/>
      </c>
    </row>
    <row r="97" customFormat="false" ht="15" hidden="false" customHeight="false" outlineLevel="0" collapsed="false">
      <c r="A97" s="19"/>
      <c r="B97" s="19"/>
      <c r="C97" s="19"/>
      <c r="D97" s="19"/>
      <c r="E97" s="23"/>
      <c r="F97" s="15" t="str">
        <f aca="false">IF($A97="","",SUMIF(Purchases!$B$2:$B$1001,$A97,Purchases!$C$2:$C$1001))</f>
        <v/>
      </c>
      <c r="G97" s="19"/>
      <c r="H97" s="6" t="str">
        <f aca="false">IF($A97="","",IF($D97="",0,$D97)+$F97-IF($G97="",0,$G97))</f>
        <v/>
      </c>
      <c r="I97" s="19"/>
      <c r="J97" s="3" t="str">
        <f aca="false">IF($A97="","",IF($I97="","OK",IF($H97&lt;=$I97,"REORDER","OK")))</f>
        <v/>
      </c>
      <c r="K97" s="16" t="str">
        <f aca="false">IF($A97="","",IFERROR((IF($D97="",0,$D97)*IF($E97="",0,$E97)+SUMIF(Purchases!$B$2:$B$1001,$A97,Purchases!$E$2:$E$1001))/(IF($D97="",0,$D97)+SUMIF(Purchases!$B$2:$B$1001,$A97,Purchases!$C$2:$C$1001)),0))</f>
        <v/>
      </c>
      <c r="L97" s="9" t="str">
        <f aca="false">IF($A97="","",$H97*$K97)</f>
        <v/>
      </c>
    </row>
    <row r="98" customFormat="false" ht="15" hidden="false" customHeight="false" outlineLevel="0" collapsed="false">
      <c r="A98" s="19"/>
      <c r="B98" s="19"/>
      <c r="C98" s="19"/>
      <c r="D98" s="19"/>
      <c r="E98" s="23"/>
      <c r="F98" s="15" t="str">
        <f aca="false">IF($A98="","",SUMIF(Purchases!$B$2:$B$1001,$A98,Purchases!$C$2:$C$1001))</f>
        <v/>
      </c>
      <c r="G98" s="19"/>
      <c r="H98" s="6" t="str">
        <f aca="false">IF($A98="","",IF($D98="",0,$D98)+$F98-IF($G98="",0,$G98))</f>
        <v/>
      </c>
      <c r="I98" s="19"/>
      <c r="J98" s="3" t="str">
        <f aca="false">IF($A98="","",IF($I98="","OK",IF($H98&lt;=$I98,"REORDER","OK")))</f>
        <v/>
      </c>
      <c r="K98" s="16" t="str">
        <f aca="false">IF($A98="","",IFERROR((IF($D98="",0,$D98)*IF($E98="",0,$E98)+SUMIF(Purchases!$B$2:$B$1001,$A98,Purchases!$E$2:$E$1001))/(IF($D98="",0,$D98)+SUMIF(Purchases!$B$2:$B$1001,$A98,Purchases!$C$2:$C$1001)),0))</f>
        <v/>
      </c>
      <c r="L98" s="9" t="str">
        <f aca="false">IF($A98="","",$H98*$K98)</f>
        <v/>
      </c>
    </row>
    <row r="99" customFormat="false" ht="15" hidden="false" customHeight="false" outlineLevel="0" collapsed="false">
      <c r="A99" s="19"/>
      <c r="B99" s="19"/>
      <c r="C99" s="19"/>
      <c r="D99" s="19"/>
      <c r="E99" s="23"/>
      <c r="F99" s="15" t="str">
        <f aca="false">IF($A99="","",SUMIF(Purchases!$B$2:$B$1001,$A99,Purchases!$C$2:$C$1001))</f>
        <v/>
      </c>
      <c r="G99" s="19"/>
      <c r="H99" s="6" t="str">
        <f aca="false">IF($A99="","",IF($D99="",0,$D99)+$F99-IF($G99="",0,$G99))</f>
        <v/>
      </c>
      <c r="I99" s="19"/>
      <c r="J99" s="3" t="str">
        <f aca="false">IF($A99="","",IF($I99="","OK",IF($H99&lt;=$I99,"REORDER","OK")))</f>
        <v/>
      </c>
      <c r="K99" s="16" t="str">
        <f aca="false">IF($A99="","",IFERROR((IF($D99="",0,$D99)*IF($E99="",0,$E99)+SUMIF(Purchases!$B$2:$B$1001,$A99,Purchases!$E$2:$E$1001))/(IF($D99="",0,$D99)+SUMIF(Purchases!$B$2:$B$1001,$A99,Purchases!$C$2:$C$1001)),0))</f>
        <v/>
      </c>
      <c r="L99" s="9" t="str">
        <f aca="false">IF($A99="","",$H99*$K99)</f>
        <v/>
      </c>
    </row>
    <row r="100" customFormat="false" ht="15" hidden="false" customHeight="false" outlineLevel="0" collapsed="false">
      <c r="A100" s="19"/>
      <c r="B100" s="19"/>
      <c r="C100" s="19"/>
      <c r="D100" s="19"/>
      <c r="E100" s="23"/>
      <c r="F100" s="15" t="str">
        <f aca="false">IF($A100="","",SUMIF(Purchases!$B$2:$B$1001,$A100,Purchases!$C$2:$C$1001))</f>
        <v/>
      </c>
      <c r="G100" s="19"/>
      <c r="H100" s="6" t="str">
        <f aca="false">IF($A100="","",IF($D100="",0,$D100)+$F100-IF($G100="",0,$G100))</f>
        <v/>
      </c>
      <c r="I100" s="19"/>
      <c r="J100" s="3" t="str">
        <f aca="false">IF($A100="","",IF($I100="","OK",IF($H100&lt;=$I100,"REORDER","OK")))</f>
        <v/>
      </c>
      <c r="K100" s="16" t="str">
        <f aca="false">IF($A100="","",IFERROR((IF($D100="",0,$D100)*IF($E100="",0,$E100)+SUMIF(Purchases!$B$2:$B$1001,$A100,Purchases!$E$2:$E$1001))/(IF($D100="",0,$D100)+SUMIF(Purchases!$B$2:$B$1001,$A100,Purchases!$C$2:$C$1001)),0))</f>
        <v/>
      </c>
      <c r="L100" s="9" t="str">
        <f aca="false">IF($A100="","",$H100*$K100)</f>
        <v/>
      </c>
    </row>
    <row r="101" customFormat="false" ht="15" hidden="false" customHeight="false" outlineLevel="0" collapsed="false">
      <c r="A101" s="19"/>
      <c r="B101" s="19"/>
      <c r="C101" s="19"/>
      <c r="D101" s="19"/>
      <c r="E101" s="23"/>
      <c r="F101" s="15" t="str">
        <f aca="false">IF($A101="","",SUMIF(Purchases!$B$2:$B$1001,$A101,Purchases!$C$2:$C$1001))</f>
        <v/>
      </c>
      <c r="G101" s="19"/>
      <c r="H101" s="6" t="str">
        <f aca="false">IF($A101="","",IF($D101="",0,$D101)+$F101-IF($G101="",0,$G101))</f>
        <v/>
      </c>
      <c r="I101" s="19"/>
      <c r="J101" s="3" t="str">
        <f aca="false">IF($A101="","",IF($I101="","OK",IF($H101&lt;=$I101,"REORDER","OK")))</f>
        <v/>
      </c>
      <c r="K101" s="16" t="str">
        <f aca="false">IF($A101="","",IFERROR((IF($D101="",0,$D101)*IF($E101="",0,$E101)+SUMIF(Purchases!$B$2:$B$1001,$A101,Purchases!$E$2:$E$1001))/(IF($D101="",0,$D101)+SUMIF(Purchases!$B$2:$B$1001,$A101,Purchases!$C$2:$C$1001)),0))</f>
        <v/>
      </c>
      <c r="L101" s="9" t="str">
        <f aca="false">IF($A101="","",$H101*$K101)</f>
        <v/>
      </c>
    </row>
    <row r="102" customFormat="false" ht="15" hidden="false" customHeight="false" outlineLevel="0" collapsed="false">
      <c r="A102" s="19"/>
      <c r="B102" s="19"/>
      <c r="C102" s="19"/>
      <c r="D102" s="19"/>
      <c r="E102" s="23"/>
      <c r="F102" s="15" t="str">
        <f aca="false">IF($A102="","",SUMIF(Purchases!$B$2:$B$1001,$A102,Purchases!$C$2:$C$1001))</f>
        <v/>
      </c>
      <c r="G102" s="19"/>
      <c r="H102" s="6" t="str">
        <f aca="false">IF($A102="","",IF($D102="",0,$D102)+$F102-IF($G102="",0,$G102))</f>
        <v/>
      </c>
      <c r="I102" s="19"/>
      <c r="J102" s="3" t="str">
        <f aca="false">IF($A102="","",IF($I102="","OK",IF($H102&lt;=$I102,"REORDER","OK")))</f>
        <v/>
      </c>
      <c r="K102" s="16" t="str">
        <f aca="false">IF($A102="","",IFERROR((IF($D102="",0,$D102)*IF($E102="",0,$E102)+SUMIF(Purchases!$B$2:$B$1001,$A102,Purchases!$E$2:$E$1001))/(IF($D102="",0,$D102)+SUMIF(Purchases!$B$2:$B$1001,$A102,Purchases!$C$2:$C$1001)),0))</f>
        <v/>
      </c>
      <c r="L102" s="9" t="str">
        <f aca="false">IF($A102="","",$H102*$K102)</f>
        <v/>
      </c>
    </row>
    <row r="103" customFormat="false" ht="15" hidden="false" customHeight="false" outlineLevel="0" collapsed="false">
      <c r="A103" s="19"/>
      <c r="B103" s="19"/>
      <c r="C103" s="19"/>
      <c r="D103" s="19"/>
      <c r="E103" s="23"/>
      <c r="F103" s="15" t="str">
        <f aca="false">IF($A103="","",SUMIF(Purchases!$B$2:$B$1001,$A103,Purchases!$C$2:$C$1001))</f>
        <v/>
      </c>
      <c r="G103" s="19"/>
      <c r="H103" s="6" t="str">
        <f aca="false">IF($A103="","",IF($D103="",0,$D103)+$F103-IF($G103="",0,$G103))</f>
        <v/>
      </c>
      <c r="I103" s="19"/>
      <c r="J103" s="3" t="str">
        <f aca="false">IF($A103="","",IF($I103="","OK",IF($H103&lt;=$I103,"REORDER","OK")))</f>
        <v/>
      </c>
      <c r="K103" s="16" t="str">
        <f aca="false">IF($A103="","",IFERROR((IF($D103="",0,$D103)*IF($E103="",0,$E103)+SUMIF(Purchases!$B$2:$B$1001,$A103,Purchases!$E$2:$E$1001))/(IF($D103="",0,$D103)+SUMIF(Purchases!$B$2:$B$1001,$A103,Purchases!$C$2:$C$1001)),0))</f>
        <v/>
      </c>
      <c r="L103" s="9" t="str">
        <f aca="false">IF($A103="","",$H103*$K103)</f>
        <v/>
      </c>
    </row>
    <row r="104" customFormat="false" ht="15" hidden="false" customHeight="false" outlineLevel="0" collapsed="false">
      <c r="A104" s="19"/>
      <c r="B104" s="19"/>
      <c r="C104" s="19"/>
      <c r="D104" s="19"/>
      <c r="E104" s="23"/>
      <c r="F104" s="15" t="str">
        <f aca="false">IF($A104="","",SUMIF(Purchases!$B$2:$B$1001,$A104,Purchases!$C$2:$C$1001))</f>
        <v/>
      </c>
      <c r="G104" s="19"/>
      <c r="H104" s="6" t="str">
        <f aca="false">IF($A104="","",IF($D104="",0,$D104)+$F104-IF($G104="",0,$G104))</f>
        <v/>
      </c>
      <c r="I104" s="19"/>
      <c r="J104" s="3" t="str">
        <f aca="false">IF($A104="","",IF($I104="","OK",IF($H104&lt;=$I104,"REORDER","OK")))</f>
        <v/>
      </c>
      <c r="K104" s="16" t="str">
        <f aca="false">IF($A104="","",IFERROR((IF($D104="",0,$D104)*IF($E104="",0,$E104)+SUMIF(Purchases!$B$2:$B$1001,$A104,Purchases!$E$2:$E$1001))/(IF($D104="",0,$D104)+SUMIF(Purchases!$B$2:$B$1001,$A104,Purchases!$C$2:$C$1001)),0))</f>
        <v/>
      </c>
      <c r="L104" s="9" t="str">
        <f aca="false">IF($A104="","",$H104*$K104)</f>
        <v/>
      </c>
    </row>
    <row r="105" customFormat="false" ht="15" hidden="false" customHeight="false" outlineLevel="0" collapsed="false">
      <c r="A105" s="19"/>
      <c r="B105" s="19"/>
      <c r="C105" s="19"/>
      <c r="D105" s="19"/>
      <c r="E105" s="23"/>
      <c r="F105" s="15" t="str">
        <f aca="false">IF($A105="","",SUMIF(Purchases!$B$2:$B$1001,$A105,Purchases!$C$2:$C$1001))</f>
        <v/>
      </c>
      <c r="G105" s="19"/>
      <c r="H105" s="6" t="str">
        <f aca="false">IF($A105="","",IF($D105="",0,$D105)+$F105-IF($G105="",0,$G105))</f>
        <v/>
      </c>
      <c r="I105" s="19"/>
      <c r="J105" s="3" t="str">
        <f aca="false">IF($A105="","",IF($I105="","OK",IF($H105&lt;=$I105,"REORDER","OK")))</f>
        <v/>
      </c>
      <c r="K105" s="16" t="str">
        <f aca="false">IF($A105="","",IFERROR((IF($D105="",0,$D105)*IF($E105="",0,$E105)+SUMIF(Purchases!$B$2:$B$1001,$A105,Purchases!$E$2:$E$1001))/(IF($D105="",0,$D105)+SUMIF(Purchases!$B$2:$B$1001,$A105,Purchases!$C$2:$C$1001)),0))</f>
        <v/>
      </c>
      <c r="L105" s="9" t="str">
        <f aca="false">IF($A105="","",$H105*$K105)</f>
        <v/>
      </c>
    </row>
    <row r="106" customFormat="false" ht="15" hidden="false" customHeight="false" outlineLevel="0" collapsed="false">
      <c r="A106" s="19"/>
      <c r="B106" s="19"/>
      <c r="C106" s="19"/>
      <c r="D106" s="19"/>
      <c r="E106" s="23"/>
      <c r="F106" s="15" t="str">
        <f aca="false">IF($A106="","",SUMIF(Purchases!$B$2:$B$1001,$A106,Purchases!$C$2:$C$1001))</f>
        <v/>
      </c>
      <c r="G106" s="19"/>
      <c r="H106" s="6" t="str">
        <f aca="false">IF($A106="","",IF($D106="",0,$D106)+$F106-IF($G106="",0,$G106))</f>
        <v/>
      </c>
      <c r="I106" s="19"/>
      <c r="J106" s="3" t="str">
        <f aca="false">IF($A106="","",IF($I106="","OK",IF($H106&lt;=$I106,"REORDER","OK")))</f>
        <v/>
      </c>
      <c r="K106" s="16" t="str">
        <f aca="false">IF($A106="","",IFERROR((IF($D106="",0,$D106)*IF($E106="",0,$E106)+SUMIF(Purchases!$B$2:$B$1001,$A106,Purchases!$E$2:$E$1001))/(IF($D106="",0,$D106)+SUMIF(Purchases!$B$2:$B$1001,$A106,Purchases!$C$2:$C$1001)),0))</f>
        <v/>
      </c>
      <c r="L106" s="9" t="str">
        <f aca="false">IF($A106="","",$H106*$K106)</f>
        <v/>
      </c>
    </row>
    <row r="107" customFormat="false" ht="15" hidden="false" customHeight="false" outlineLevel="0" collapsed="false">
      <c r="A107" s="19"/>
      <c r="B107" s="19"/>
      <c r="C107" s="19"/>
      <c r="D107" s="19"/>
      <c r="E107" s="23"/>
      <c r="F107" s="15" t="str">
        <f aca="false">IF($A107="","",SUMIF(Purchases!$B$2:$B$1001,$A107,Purchases!$C$2:$C$1001))</f>
        <v/>
      </c>
      <c r="G107" s="19"/>
      <c r="H107" s="6" t="str">
        <f aca="false">IF($A107="","",IF($D107="",0,$D107)+$F107-IF($G107="",0,$G107))</f>
        <v/>
      </c>
      <c r="I107" s="19"/>
      <c r="J107" s="3" t="str">
        <f aca="false">IF($A107="","",IF($I107="","OK",IF($H107&lt;=$I107,"REORDER","OK")))</f>
        <v/>
      </c>
      <c r="K107" s="16" t="str">
        <f aca="false">IF($A107="","",IFERROR((IF($D107="",0,$D107)*IF($E107="",0,$E107)+SUMIF(Purchases!$B$2:$B$1001,$A107,Purchases!$E$2:$E$1001))/(IF($D107="",0,$D107)+SUMIF(Purchases!$B$2:$B$1001,$A107,Purchases!$C$2:$C$1001)),0))</f>
        <v/>
      </c>
      <c r="L107" s="9" t="str">
        <f aca="false">IF($A107="","",$H107*$K107)</f>
        <v/>
      </c>
    </row>
    <row r="108" customFormat="false" ht="15" hidden="false" customHeight="false" outlineLevel="0" collapsed="false">
      <c r="A108" s="19"/>
      <c r="B108" s="19"/>
      <c r="C108" s="19"/>
      <c r="D108" s="19"/>
      <c r="E108" s="23"/>
      <c r="F108" s="15" t="str">
        <f aca="false">IF($A108="","",SUMIF(Purchases!$B$2:$B$1001,$A108,Purchases!$C$2:$C$1001))</f>
        <v/>
      </c>
      <c r="G108" s="19"/>
      <c r="H108" s="6" t="str">
        <f aca="false">IF($A108="","",IF($D108="",0,$D108)+$F108-IF($G108="",0,$G108))</f>
        <v/>
      </c>
      <c r="I108" s="19"/>
      <c r="J108" s="3" t="str">
        <f aca="false">IF($A108="","",IF($I108="","OK",IF($H108&lt;=$I108,"REORDER","OK")))</f>
        <v/>
      </c>
      <c r="K108" s="16" t="str">
        <f aca="false">IF($A108="","",IFERROR((IF($D108="",0,$D108)*IF($E108="",0,$E108)+SUMIF(Purchases!$B$2:$B$1001,$A108,Purchases!$E$2:$E$1001))/(IF($D108="",0,$D108)+SUMIF(Purchases!$B$2:$B$1001,$A108,Purchases!$C$2:$C$1001)),0))</f>
        <v/>
      </c>
      <c r="L108" s="9" t="str">
        <f aca="false">IF($A108="","",$H108*$K108)</f>
        <v/>
      </c>
    </row>
    <row r="109" customFormat="false" ht="15" hidden="false" customHeight="false" outlineLevel="0" collapsed="false">
      <c r="A109" s="19"/>
      <c r="B109" s="19"/>
      <c r="C109" s="19"/>
      <c r="D109" s="19"/>
      <c r="E109" s="23"/>
      <c r="F109" s="15" t="str">
        <f aca="false">IF($A109="","",SUMIF(Purchases!$B$2:$B$1001,$A109,Purchases!$C$2:$C$1001))</f>
        <v/>
      </c>
      <c r="G109" s="19"/>
      <c r="H109" s="6" t="str">
        <f aca="false">IF($A109="","",IF($D109="",0,$D109)+$F109-IF($G109="",0,$G109))</f>
        <v/>
      </c>
      <c r="I109" s="19"/>
      <c r="J109" s="3" t="str">
        <f aca="false">IF($A109="","",IF($I109="","OK",IF($H109&lt;=$I109,"REORDER","OK")))</f>
        <v/>
      </c>
      <c r="K109" s="16" t="str">
        <f aca="false">IF($A109="","",IFERROR((IF($D109="",0,$D109)*IF($E109="",0,$E109)+SUMIF(Purchases!$B$2:$B$1001,$A109,Purchases!$E$2:$E$1001))/(IF($D109="",0,$D109)+SUMIF(Purchases!$B$2:$B$1001,$A109,Purchases!$C$2:$C$1001)),0))</f>
        <v/>
      </c>
      <c r="L109" s="9" t="str">
        <f aca="false">IF($A109="","",$H109*$K109)</f>
        <v/>
      </c>
    </row>
    <row r="110" customFormat="false" ht="15" hidden="false" customHeight="false" outlineLevel="0" collapsed="false">
      <c r="A110" s="19"/>
      <c r="B110" s="19"/>
      <c r="C110" s="19"/>
      <c r="D110" s="19"/>
      <c r="E110" s="23"/>
      <c r="F110" s="15" t="str">
        <f aca="false">IF($A110="","",SUMIF(Purchases!$B$2:$B$1001,$A110,Purchases!$C$2:$C$1001))</f>
        <v/>
      </c>
      <c r="G110" s="19"/>
      <c r="H110" s="6" t="str">
        <f aca="false">IF($A110="","",IF($D110="",0,$D110)+$F110-IF($G110="",0,$G110))</f>
        <v/>
      </c>
      <c r="I110" s="19"/>
      <c r="J110" s="3" t="str">
        <f aca="false">IF($A110="","",IF($I110="","OK",IF($H110&lt;=$I110,"REORDER","OK")))</f>
        <v/>
      </c>
      <c r="K110" s="16" t="str">
        <f aca="false">IF($A110="","",IFERROR((IF($D110="",0,$D110)*IF($E110="",0,$E110)+SUMIF(Purchases!$B$2:$B$1001,$A110,Purchases!$E$2:$E$1001))/(IF($D110="",0,$D110)+SUMIF(Purchases!$B$2:$B$1001,$A110,Purchases!$C$2:$C$1001)),0))</f>
        <v/>
      </c>
      <c r="L110" s="9" t="str">
        <f aca="false">IF($A110="","",$H110*$K110)</f>
        <v/>
      </c>
    </row>
    <row r="111" customFormat="false" ht="15" hidden="false" customHeight="false" outlineLevel="0" collapsed="false">
      <c r="A111" s="19"/>
      <c r="B111" s="19"/>
      <c r="C111" s="19"/>
      <c r="D111" s="19"/>
      <c r="E111" s="23"/>
      <c r="F111" s="15" t="str">
        <f aca="false">IF($A111="","",SUMIF(Purchases!$B$2:$B$1001,$A111,Purchases!$C$2:$C$1001))</f>
        <v/>
      </c>
      <c r="G111" s="19"/>
      <c r="H111" s="6" t="str">
        <f aca="false">IF($A111="","",IF($D111="",0,$D111)+$F111-IF($G111="",0,$G111))</f>
        <v/>
      </c>
      <c r="I111" s="19"/>
      <c r="J111" s="3" t="str">
        <f aca="false">IF($A111="","",IF($I111="","OK",IF($H111&lt;=$I111,"REORDER","OK")))</f>
        <v/>
      </c>
      <c r="K111" s="16" t="str">
        <f aca="false">IF($A111="","",IFERROR((IF($D111="",0,$D111)*IF($E111="",0,$E111)+SUMIF(Purchases!$B$2:$B$1001,$A111,Purchases!$E$2:$E$1001))/(IF($D111="",0,$D111)+SUMIF(Purchases!$B$2:$B$1001,$A111,Purchases!$C$2:$C$1001)),0))</f>
        <v/>
      </c>
      <c r="L111" s="9" t="str">
        <f aca="false">IF($A111="","",$H111*$K111)</f>
        <v/>
      </c>
    </row>
    <row r="112" customFormat="false" ht="15" hidden="false" customHeight="false" outlineLevel="0" collapsed="false">
      <c r="A112" s="19"/>
      <c r="B112" s="19"/>
      <c r="C112" s="19"/>
      <c r="D112" s="19"/>
      <c r="E112" s="23"/>
      <c r="F112" s="15" t="str">
        <f aca="false">IF($A112="","",SUMIF(Purchases!$B$2:$B$1001,$A112,Purchases!$C$2:$C$1001))</f>
        <v/>
      </c>
      <c r="G112" s="19"/>
      <c r="H112" s="6" t="str">
        <f aca="false">IF($A112="","",IF($D112="",0,$D112)+$F112-IF($G112="",0,$G112))</f>
        <v/>
      </c>
      <c r="I112" s="19"/>
      <c r="J112" s="3" t="str">
        <f aca="false">IF($A112="","",IF($I112="","OK",IF($H112&lt;=$I112,"REORDER","OK")))</f>
        <v/>
      </c>
      <c r="K112" s="16" t="str">
        <f aca="false">IF($A112="","",IFERROR((IF($D112="",0,$D112)*IF($E112="",0,$E112)+SUMIF(Purchases!$B$2:$B$1001,$A112,Purchases!$E$2:$E$1001))/(IF($D112="",0,$D112)+SUMIF(Purchases!$B$2:$B$1001,$A112,Purchases!$C$2:$C$1001)),0))</f>
        <v/>
      </c>
      <c r="L112" s="9" t="str">
        <f aca="false">IF($A112="","",$H112*$K112)</f>
        <v/>
      </c>
    </row>
    <row r="113" customFormat="false" ht="15" hidden="false" customHeight="false" outlineLevel="0" collapsed="false">
      <c r="A113" s="19"/>
      <c r="B113" s="19"/>
      <c r="C113" s="19"/>
      <c r="D113" s="19"/>
      <c r="E113" s="23"/>
      <c r="F113" s="15" t="str">
        <f aca="false">IF($A113="","",SUMIF(Purchases!$B$2:$B$1001,$A113,Purchases!$C$2:$C$1001))</f>
        <v/>
      </c>
      <c r="G113" s="19"/>
      <c r="H113" s="6" t="str">
        <f aca="false">IF($A113="","",IF($D113="",0,$D113)+$F113-IF($G113="",0,$G113))</f>
        <v/>
      </c>
      <c r="I113" s="19"/>
      <c r="J113" s="3" t="str">
        <f aca="false">IF($A113="","",IF($I113="","OK",IF($H113&lt;=$I113,"REORDER","OK")))</f>
        <v/>
      </c>
      <c r="K113" s="16" t="str">
        <f aca="false">IF($A113="","",IFERROR((IF($D113="",0,$D113)*IF($E113="",0,$E113)+SUMIF(Purchases!$B$2:$B$1001,$A113,Purchases!$E$2:$E$1001))/(IF($D113="",0,$D113)+SUMIF(Purchases!$B$2:$B$1001,$A113,Purchases!$C$2:$C$1001)),0))</f>
        <v/>
      </c>
      <c r="L113" s="9" t="str">
        <f aca="false">IF($A113="","",$H113*$K113)</f>
        <v/>
      </c>
    </row>
    <row r="114" customFormat="false" ht="15" hidden="false" customHeight="false" outlineLevel="0" collapsed="false">
      <c r="A114" s="19"/>
      <c r="B114" s="19"/>
      <c r="C114" s="19"/>
      <c r="D114" s="19"/>
      <c r="E114" s="23"/>
      <c r="F114" s="15" t="str">
        <f aca="false">IF($A114="","",SUMIF(Purchases!$B$2:$B$1001,$A114,Purchases!$C$2:$C$1001))</f>
        <v/>
      </c>
      <c r="G114" s="19"/>
      <c r="H114" s="6" t="str">
        <f aca="false">IF($A114="","",IF($D114="",0,$D114)+$F114-IF($G114="",0,$G114))</f>
        <v/>
      </c>
      <c r="I114" s="19"/>
      <c r="J114" s="3" t="str">
        <f aca="false">IF($A114="","",IF($I114="","OK",IF($H114&lt;=$I114,"REORDER","OK")))</f>
        <v/>
      </c>
      <c r="K114" s="16" t="str">
        <f aca="false">IF($A114="","",IFERROR((IF($D114="",0,$D114)*IF($E114="",0,$E114)+SUMIF(Purchases!$B$2:$B$1001,$A114,Purchases!$E$2:$E$1001))/(IF($D114="",0,$D114)+SUMIF(Purchases!$B$2:$B$1001,$A114,Purchases!$C$2:$C$1001)),0))</f>
        <v/>
      </c>
      <c r="L114" s="9" t="str">
        <f aca="false">IF($A114="","",$H114*$K114)</f>
        <v/>
      </c>
    </row>
    <row r="115" customFormat="false" ht="15" hidden="false" customHeight="false" outlineLevel="0" collapsed="false">
      <c r="A115" s="19"/>
      <c r="B115" s="19"/>
      <c r="C115" s="19"/>
      <c r="D115" s="19"/>
      <c r="E115" s="23"/>
      <c r="F115" s="15" t="str">
        <f aca="false">IF($A115="","",SUMIF(Purchases!$B$2:$B$1001,$A115,Purchases!$C$2:$C$1001))</f>
        <v/>
      </c>
      <c r="G115" s="19"/>
      <c r="H115" s="6" t="str">
        <f aca="false">IF($A115="","",IF($D115="",0,$D115)+$F115-IF($G115="",0,$G115))</f>
        <v/>
      </c>
      <c r="I115" s="19"/>
      <c r="J115" s="3" t="str">
        <f aca="false">IF($A115="","",IF($I115="","OK",IF($H115&lt;=$I115,"REORDER","OK")))</f>
        <v/>
      </c>
      <c r="K115" s="16" t="str">
        <f aca="false">IF($A115="","",IFERROR((IF($D115="",0,$D115)*IF($E115="",0,$E115)+SUMIF(Purchases!$B$2:$B$1001,$A115,Purchases!$E$2:$E$1001))/(IF($D115="",0,$D115)+SUMIF(Purchases!$B$2:$B$1001,$A115,Purchases!$C$2:$C$1001)),0))</f>
        <v/>
      </c>
      <c r="L115" s="9" t="str">
        <f aca="false">IF($A115="","",$H115*$K115)</f>
        <v/>
      </c>
    </row>
    <row r="116" customFormat="false" ht="15" hidden="false" customHeight="false" outlineLevel="0" collapsed="false">
      <c r="A116" s="19"/>
      <c r="B116" s="19"/>
      <c r="C116" s="19"/>
      <c r="D116" s="19"/>
      <c r="E116" s="23"/>
      <c r="F116" s="15" t="str">
        <f aca="false">IF($A116="","",SUMIF(Purchases!$B$2:$B$1001,$A116,Purchases!$C$2:$C$1001))</f>
        <v/>
      </c>
      <c r="G116" s="19"/>
      <c r="H116" s="6" t="str">
        <f aca="false">IF($A116="","",IF($D116="",0,$D116)+$F116-IF($G116="",0,$G116))</f>
        <v/>
      </c>
      <c r="I116" s="19"/>
      <c r="J116" s="3" t="str">
        <f aca="false">IF($A116="","",IF($I116="","OK",IF($H116&lt;=$I116,"REORDER","OK")))</f>
        <v/>
      </c>
      <c r="K116" s="16" t="str">
        <f aca="false">IF($A116="","",IFERROR((IF($D116="",0,$D116)*IF($E116="",0,$E116)+SUMIF(Purchases!$B$2:$B$1001,$A116,Purchases!$E$2:$E$1001))/(IF($D116="",0,$D116)+SUMIF(Purchases!$B$2:$B$1001,$A116,Purchases!$C$2:$C$1001)),0))</f>
        <v/>
      </c>
      <c r="L116" s="9" t="str">
        <f aca="false">IF($A116="","",$H116*$K116)</f>
        <v/>
      </c>
    </row>
    <row r="117" customFormat="false" ht="15" hidden="false" customHeight="false" outlineLevel="0" collapsed="false">
      <c r="A117" s="19"/>
      <c r="B117" s="19"/>
      <c r="C117" s="19"/>
      <c r="D117" s="19"/>
      <c r="E117" s="23"/>
      <c r="F117" s="15" t="str">
        <f aca="false">IF($A117="","",SUMIF(Purchases!$B$2:$B$1001,$A117,Purchases!$C$2:$C$1001))</f>
        <v/>
      </c>
      <c r="G117" s="19"/>
      <c r="H117" s="6" t="str">
        <f aca="false">IF($A117="","",IF($D117="",0,$D117)+$F117-IF($G117="",0,$G117))</f>
        <v/>
      </c>
      <c r="I117" s="19"/>
      <c r="J117" s="3" t="str">
        <f aca="false">IF($A117="","",IF($I117="","OK",IF($H117&lt;=$I117,"REORDER","OK")))</f>
        <v/>
      </c>
      <c r="K117" s="16" t="str">
        <f aca="false">IF($A117="","",IFERROR((IF($D117="",0,$D117)*IF($E117="",0,$E117)+SUMIF(Purchases!$B$2:$B$1001,$A117,Purchases!$E$2:$E$1001))/(IF($D117="",0,$D117)+SUMIF(Purchases!$B$2:$B$1001,$A117,Purchases!$C$2:$C$1001)),0))</f>
        <v/>
      </c>
      <c r="L117" s="9" t="str">
        <f aca="false">IF($A117="","",$H117*$K117)</f>
        <v/>
      </c>
    </row>
    <row r="118" customFormat="false" ht="15" hidden="false" customHeight="false" outlineLevel="0" collapsed="false">
      <c r="A118" s="19"/>
      <c r="B118" s="19"/>
      <c r="C118" s="19"/>
      <c r="D118" s="19"/>
      <c r="E118" s="23"/>
      <c r="F118" s="15" t="str">
        <f aca="false">IF($A118="","",SUMIF(Purchases!$B$2:$B$1001,$A118,Purchases!$C$2:$C$1001))</f>
        <v/>
      </c>
      <c r="G118" s="19"/>
      <c r="H118" s="6" t="str">
        <f aca="false">IF($A118="","",IF($D118="",0,$D118)+$F118-IF($G118="",0,$G118))</f>
        <v/>
      </c>
      <c r="I118" s="19"/>
      <c r="J118" s="3" t="str">
        <f aca="false">IF($A118="","",IF($I118="","OK",IF($H118&lt;=$I118,"REORDER","OK")))</f>
        <v/>
      </c>
      <c r="K118" s="16" t="str">
        <f aca="false">IF($A118="","",IFERROR((IF($D118="",0,$D118)*IF($E118="",0,$E118)+SUMIF(Purchases!$B$2:$B$1001,$A118,Purchases!$E$2:$E$1001))/(IF($D118="",0,$D118)+SUMIF(Purchases!$B$2:$B$1001,$A118,Purchases!$C$2:$C$1001)),0))</f>
        <v/>
      </c>
      <c r="L118" s="9" t="str">
        <f aca="false">IF($A118="","",$H118*$K118)</f>
        <v/>
      </c>
    </row>
    <row r="119" customFormat="false" ht="15" hidden="false" customHeight="false" outlineLevel="0" collapsed="false">
      <c r="A119" s="19"/>
      <c r="B119" s="19"/>
      <c r="C119" s="19"/>
      <c r="D119" s="19"/>
      <c r="E119" s="23"/>
      <c r="F119" s="15" t="str">
        <f aca="false">IF($A119="","",SUMIF(Purchases!$B$2:$B$1001,$A119,Purchases!$C$2:$C$1001))</f>
        <v/>
      </c>
      <c r="G119" s="19"/>
      <c r="H119" s="6" t="str">
        <f aca="false">IF($A119="","",IF($D119="",0,$D119)+$F119-IF($G119="",0,$G119))</f>
        <v/>
      </c>
      <c r="I119" s="19"/>
      <c r="J119" s="3" t="str">
        <f aca="false">IF($A119="","",IF($I119="","OK",IF($H119&lt;=$I119,"REORDER","OK")))</f>
        <v/>
      </c>
      <c r="K119" s="16" t="str">
        <f aca="false">IF($A119="","",IFERROR((IF($D119="",0,$D119)*IF($E119="",0,$E119)+SUMIF(Purchases!$B$2:$B$1001,$A119,Purchases!$E$2:$E$1001))/(IF($D119="",0,$D119)+SUMIF(Purchases!$B$2:$B$1001,$A119,Purchases!$C$2:$C$1001)),0))</f>
        <v/>
      </c>
      <c r="L119" s="9" t="str">
        <f aca="false">IF($A119="","",$H119*$K119)</f>
        <v/>
      </c>
    </row>
    <row r="120" customFormat="false" ht="15" hidden="false" customHeight="false" outlineLevel="0" collapsed="false">
      <c r="A120" s="19"/>
      <c r="B120" s="19"/>
      <c r="C120" s="19"/>
      <c r="D120" s="19"/>
      <c r="E120" s="23"/>
      <c r="F120" s="15" t="str">
        <f aca="false">IF($A120="","",SUMIF(Purchases!$B$2:$B$1001,$A120,Purchases!$C$2:$C$1001))</f>
        <v/>
      </c>
      <c r="G120" s="19"/>
      <c r="H120" s="6" t="str">
        <f aca="false">IF($A120="","",IF($D120="",0,$D120)+$F120-IF($G120="",0,$G120))</f>
        <v/>
      </c>
      <c r="I120" s="19"/>
      <c r="J120" s="3" t="str">
        <f aca="false">IF($A120="","",IF($I120="","OK",IF($H120&lt;=$I120,"REORDER","OK")))</f>
        <v/>
      </c>
      <c r="K120" s="16" t="str">
        <f aca="false">IF($A120="","",IFERROR((IF($D120="",0,$D120)*IF($E120="",0,$E120)+SUMIF(Purchases!$B$2:$B$1001,$A120,Purchases!$E$2:$E$1001))/(IF($D120="",0,$D120)+SUMIF(Purchases!$B$2:$B$1001,$A120,Purchases!$C$2:$C$1001)),0))</f>
        <v/>
      </c>
      <c r="L120" s="9" t="str">
        <f aca="false">IF($A120="","",$H120*$K120)</f>
        <v/>
      </c>
    </row>
    <row r="121" customFormat="false" ht="15" hidden="false" customHeight="false" outlineLevel="0" collapsed="false">
      <c r="A121" s="19"/>
      <c r="B121" s="19"/>
      <c r="C121" s="19"/>
      <c r="D121" s="19"/>
      <c r="E121" s="23"/>
      <c r="F121" s="15" t="str">
        <f aca="false">IF($A121="","",SUMIF(Purchases!$B$2:$B$1001,$A121,Purchases!$C$2:$C$1001))</f>
        <v/>
      </c>
      <c r="G121" s="19"/>
      <c r="H121" s="6" t="str">
        <f aca="false">IF($A121="","",IF($D121="",0,$D121)+$F121-IF($G121="",0,$G121))</f>
        <v/>
      </c>
      <c r="I121" s="19"/>
      <c r="J121" s="3" t="str">
        <f aca="false">IF($A121="","",IF($I121="","OK",IF($H121&lt;=$I121,"REORDER","OK")))</f>
        <v/>
      </c>
      <c r="K121" s="16" t="str">
        <f aca="false">IF($A121="","",IFERROR((IF($D121="",0,$D121)*IF($E121="",0,$E121)+SUMIF(Purchases!$B$2:$B$1001,$A121,Purchases!$E$2:$E$1001))/(IF($D121="",0,$D121)+SUMIF(Purchases!$B$2:$B$1001,$A121,Purchases!$C$2:$C$1001)),0))</f>
        <v/>
      </c>
      <c r="L121" s="9" t="str">
        <f aca="false">IF($A121="","",$H121*$K121)</f>
        <v/>
      </c>
    </row>
    <row r="122" customFormat="false" ht="15" hidden="false" customHeight="false" outlineLevel="0" collapsed="false">
      <c r="A122" s="19"/>
      <c r="B122" s="19"/>
      <c r="C122" s="19"/>
      <c r="D122" s="19"/>
      <c r="E122" s="23"/>
      <c r="F122" s="15" t="str">
        <f aca="false">IF($A122="","",SUMIF(Purchases!$B$2:$B$1001,$A122,Purchases!$C$2:$C$1001))</f>
        <v/>
      </c>
      <c r="G122" s="19"/>
      <c r="H122" s="6" t="str">
        <f aca="false">IF($A122="","",IF($D122="",0,$D122)+$F122-IF($G122="",0,$G122))</f>
        <v/>
      </c>
      <c r="I122" s="19"/>
      <c r="J122" s="3" t="str">
        <f aca="false">IF($A122="","",IF($I122="","OK",IF($H122&lt;=$I122,"REORDER","OK")))</f>
        <v/>
      </c>
      <c r="K122" s="16" t="str">
        <f aca="false">IF($A122="","",IFERROR((IF($D122="",0,$D122)*IF($E122="",0,$E122)+SUMIF(Purchases!$B$2:$B$1001,$A122,Purchases!$E$2:$E$1001))/(IF($D122="",0,$D122)+SUMIF(Purchases!$B$2:$B$1001,$A122,Purchases!$C$2:$C$1001)),0))</f>
        <v/>
      </c>
      <c r="L122" s="9" t="str">
        <f aca="false">IF($A122="","",$H122*$K122)</f>
        <v/>
      </c>
    </row>
    <row r="123" customFormat="false" ht="15" hidden="false" customHeight="false" outlineLevel="0" collapsed="false">
      <c r="A123" s="19"/>
      <c r="B123" s="19"/>
      <c r="C123" s="19"/>
      <c r="D123" s="19"/>
      <c r="E123" s="23"/>
      <c r="F123" s="15" t="str">
        <f aca="false">IF($A123="","",SUMIF(Purchases!$B$2:$B$1001,$A123,Purchases!$C$2:$C$1001))</f>
        <v/>
      </c>
      <c r="G123" s="19"/>
      <c r="H123" s="6" t="str">
        <f aca="false">IF($A123="","",IF($D123="",0,$D123)+$F123-IF($G123="",0,$G123))</f>
        <v/>
      </c>
      <c r="I123" s="19"/>
      <c r="J123" s="3" t="str">
        <f aca="false">IF($A123="","",IF($I123="","OK",IF($H123&lt;=$I123,"REORDER","OK")))</f>
        <v/>
      </c>
      <c r="K123" s="16" t="str">
        <f aca="false">IF($A123="","",IFERROR((IF($D123="",0,$D123)*IF($E123="",0,$E123)+SUMIF(Purchases!$B$2:$B$1001,$A123,Purchases!$E$2:$E$1001))/(IF($D123="",0,$D123)+SUMIF(Purchases!$B$2:$B$1001,$A123,Purchases!$C$2:$C$1001)),0))</f>
        <v/>
      </c>
      <c r="L123" s="9" t="str">
        <f aca="false">IF($A123="","",$H123*$K123)</f>
        <v/>
      </c>
    </row>
    <row r="124" customFormat="false" ht="15" hidden="false" customHeight="false" outlineLevel="0" collapsed="false">
      <c r="A124" s="19"/>
      <c r="B124" s="19"/>
      <c r="C124" s="19"/>
      <c r="D124" s="19"/>
      <c r="E124" s="23"/>
      <c r="F124" s="15" t="str">
        <f aca="false">IF($A124="","",SUMIF(Purchases!$B$2:$B$1001,$A124,Purchases!$C$2:$C$1001))</f>
        <v/>
      </c>
      <c r="G124" s="19"/>
      <c r="H124" s="6" t="str">
        <f aca="false">IF($A124="","",IF($D124="",0,$D124)+$F124-IF($G124="",0,$G124))</f>
        <v/>
      </c>
      <c r="I124" s="19"/>
      <c r="J124" s="3" t="str">
        <f aca="false">IF($A124="","",IF($I124="","OK",IF($H124&lt;=$I124,"REORDER","OK")))</f>
        <v/>
      </c>
      <c r="K124" s="16" t="str">
        <f aca="false">IF($A124="","",IFERROR((IF($D124="",0,$D124)*IF($E124="",0,$E124)+SUMIF(Purchases!$B$2:$B$1001,$A124,Purchases!$E$2:$E$1001))/(IF($D124="",0,$D124)+SUMIF(Purchases!$B$2:$B$1001,$A124,Purchases!$C$2:$C$1001)),0))</f>
        <v/>
      </c>
      <c r="L124" s="9" t="str">
        <f aca="false">IF($A124="","",$H124*$K124)</f>
        <v/>
      </c>
    </row>
    <row r="125" customFormat="false" ht="15" hidden="false" customHeight="false" outlineLevel="0" collapsed="false">
      <c r="A125" s="19"/>
      <c r="B125" s="19"/>
      <c r="C125" s="19"/>
      <c r="D125" s="19"/>
      <c r="E125" s="23"/>
      <c r="F125" s="15" t="str">
        <f aca="false">IF($A125="","",SUMIF(Purchases!$B$2:$B$1001,$A125,Purchases!$C$2:$C$1001))</f>
        <v/>
      </c>
      <c r="G125" s="19"/>
      <c r="H125" s="6" t="str">
        <f aca="false">IF($A125="","",IF($D125="",0,$D125)+$F125-IF($G125="",0,$G125))</f>
        <v/>
      </c>
      <c r="I125" s="19"/>
      <c r="J125" s="3" t="str">
        <f aca="false">IF($A125="","",IF($I125="","OK",IF($H125&lt;=$I125,"REORDER","OK")))</f>
        <v/>
      </c>
      <c r="K125" s="16" t="str">
        <f aca="false">IF($A125="","",IFERROR((IF($D125="",0,$D125)*IF($E125="",0,$E125)+SUMIF(Purchases!$B$2:$B$1001,$A125,Purchases!$E$2:$E$1001))/(IF($D125="",0,$D125)+SUMIF(Purchases!$B$2:$B$1001,$A125,Purchases!$C$2:$C$1001)),0))</f>
        <v/>
      </c>
      <c r="L125" s="9" t="str">
        <f aca="false">IF($A125="","",$H125*$K125)</f>
        <v/>
      </c>
    </row>
    <row r="126" customFormat="false" ht="15" hidden="false" customHeight="false" outlineLevel="0" collapsed="false">
      <c r="A126" s="19"/>
      <c r="B126" s="19"/>
      <c r="C126" s="19"/>
      <c r="D126" s="19"/>
      <c r="E126" s="23"/>
      <c r="F126" s="15" t="str">
        <f aca="false">IF($A126="","",SUMIF(Purchases!$B$2:$B$1001,$A126,Purchases!$C$2:$C$1001))</f>
        <v/>
      </c>
      <c r="G126" s="19"/>
      <c r="H126" s="6" t="str">
        <f aca="false">IF($A126="","",IF($D126="",0,$D126)+$F126-IF($G126="",0,$G126))</f>
        <v/>
      </c>
      <c r="I126" s="19"/>
      <c r="J126" s="3" t="str">
        <f aca="false">IF($A126="","",IF($I126="","OK",IF($H126&lt;=$I126,"REORDER","OK")))</f>
        <v/>
      </c>
      <c r="K126" s="16" t="str">
        <f aca="false">IF($A126="","",IFERROR((IF($D126="",0,$D126)*IF($E126="",0,$E126)+SUMIF(Purchases!$B$2:$B$1001,$A126,Purchases!$E$2:$E$1001))/(IF($D126="",0,$D126)+SUMIF(Purchases!$B$2:$B$1001,$A126,Purchases!$C$2:$C$1001)),0))</f>
        <v/>
      </c>
      <c r="L126" s="9" t="str">
        <f aca="false">IF($A126="","",$H126*$K126)</f>
        <v/>
      </c>
    </row>
    <row r="127" customFormat="false" ht="15" hidden="false" customHeight="false" outlineLevel="0" collapsed="false">
      <c r="A127" s="19"/>
      <c r="B127" s="19"/>
      <c r="C127" s="19"/>
      <c r="D127" s="19"/>
      <c r="E127" s="23"/>
      <c r="F127" s="15" t="str">
        <f aca="false">IF($A127="","",SUMIF(Purchases!$B$2:$B$1001,$A127,Purchases!$C$2:$C$1001))</f>
        <v/>
      </c>
      <c r="G127" s="19"/>
      <c r="H127" s="6" t="str">
        <f aca="false">IF($A127="","",IF($D127="",0,$D127)+$F127-IF($G127="",0,$G127))</f>
        <v/>
      </c>
      <c r="I127" s="19"/>
      <c r="J127" s="3" t="str">
        <f aca="false">IF($A127="","",IF($I127="","OK",IF($H127&lt;=$I127,"REORDER","OK")))</f>
        <v/>
      </c>
      <c r="K127" s="16" t="str">
        <f aca="false">IF($A127="","",IFERROR((IF($D127="",0,$D127)*IF($E127="",0,$E127)+SUMIF(Purchases!$B$2:$B$1001,$A127,Purchases!$E$2:$E$1001))/(IF($D127="",0,$D127)+SUMIF(Purchases!$B$2:$B$1001,$A127,Purchases!$C$2:$C$1001)),0))</f>
        <v/>
      </c>
      <c r="L127" s="9" t="str">
        <f aca="false">IF($A127="","",$H127*$K127)</f>
        <v/>
      </c>
    </row>
    <row r="128" customFormat="false" ht="15" hidden="false" customHeight="false" outlineLevel="0" collapsed="false">
      <c r="A128" s="19"/>
      <c r="B128" s="19"/>
      <c r="C128" s="19"/>
      <c r="D128" s="19"/>
      <c r="E128" s="23"/>
      <c r="F128" s="15" t="str">
        <f aca="false">IF($A128="","",SUMIF(Purchases!$B$2:$B$1001,$A128,Purchases!$C$2:$C$1001))</f>
        <v/>
      </c>
      <c r="G128" s="19"/>
      <c r="H128" s="6" t="str">
        <f aca="false">IF($A128="","",IF($D128="",0,$D128)+$F128-IF($G128="",0,$G128))</f>
        <v/>
      </c>
      <c r="I128" s="19"/>
      <c r="J128" s="3" t="str">
        <f aca="false">IF($A128="","",IF($I128="","OK",IF($H128&lt;=$I128,"REORDER","OK")))</f>
        <v/>
      </c>
      <c r="K128" s="16" t="str">
        <f aca="false">IF($A128="","",IFERROR((IF($D128="",0,$D128)*IF($E128="",0,$E128)+SUMIF(Purchases!$B$2:$B$1001,$A128,Purchases!$E$2:$E$1001))/(IF($D128="",0,$D128)+SUMIF(Purchases!$B$2:$B$1001,$A128,Purchases!$C$2:$C$1001)),0))</f>
        <v/>
      </c>
      <c r="L128" s="9" t="str">
        <f aca="false">IF($A128="","",$H128*$K128)</f>
        <v/>
      </c>
    </row>
    <row r="129" customFormat="false" ht="15" hidden="false" customHeight="false" outlineLevel="0" collapsed="false">
      <c r="A129" s="19"/>
      <c r="B129" s="19"/>
      <c r="C129" s="19"/>
      <c r="D129" s="19"/>
      <c r="E129" s="23"/>
      <c r="F129" s="15" t="str">
        <f aca="false">IF($A129="","",SUMIF(Purchases!$B$2:$B$1001,$A129,Purchases!$C$2:$C$1001))</f>
        <v/>
      </c>
      <c r="G129" s="19"/>
      <c r="H129" s="6" t="str">
        <f aca="false">IF($A129="","",IF($D129="",0,$D129)+$F129-IF($G129="",0,$G129))</f>
        <v/>
      </c>
      <c r="I129" s="19"/>
      <c r="J129" s="3" t="str">
        <f aca="false">IF($A129="","",IF($I129="","OK",IF($H129&lt;=$I129,"REORDER","OK")))</f>
        <v/>
      </c>
      <c r="K129" s="16" t="str">
        <f aca="false">IF($A129="","",IFERROR((IF($D129="",0,$D129)*IF($E129="",0,$E129)+SUMIF(Purchases!$B$2:$B$1001,$A129,Purchases!$E$2:$E$1001))/(IF($D129="",0,$D129)+SUMIF(Purchases!$B$2:$B$1001,$A129,Purchases!$C$2:$C$1001)),0))</f>
        <v/>
      </c>
      <c r="L129" s="9" t="str">
        <f aca="false">IF($A129="","",$H129*$K129)</f>
        <v/>
      </c>
    </row>
    <row r="130" customFormat="false" ht="15" hidden="false" customHeight="false" outlineLevel="0" collapsed="false">
      <c r="A130" s="19"/>
      <c r="B130" s="19"/>
      <c r="C130" s="19"/>
      <c r="D130" s="19"/>
      <c r="E130" s="23"/>
      <c r="F130" s="15" t="str">
        <f aca="false">IF($A130="","",SUMIF(Purchases!$B$2:$B$1001,$A130,Purchases!$C$2:$C$1001))</f>
        <v/>
      </c>
      <c r="G130" s="19"/>
      <c r="H130" s="6" t="str">
        <f aca="false">IF($A130="","",IF($D130="",0,$D130)+$F130-IF($G130="",0,$G130))</f>
        <v/>
      </c>
      <c r="I130" s="19"/>
      <c r="J130" s="3" t="str">
        <f aca="false">IF($A130="","",IF($I130="","OK",IF($H130&lt;=$I130,"REORDER","OK")))</f>
        <v/>
      </c>
      <c r="K130" s="16" t="str">
        <f aca="false">IF($A130="","",IFERROR((IF($D130="",0,$D130)*IF($E130="",0,$E130)+SUMIF(Purchases!$B$2:$B$1001,$A130,Purchases!$E$2:$E$1001))/(IF($D130="",0,$D130)+SUMIF(Purchases!$B$2:$B$1001,$A130,Purchases!$C$2:$C$1001)),0))</f>
        <v/>
      </c>
      <c r="L130" s="9" t="str">
        <f aca="false">IF($A130="","",$H130*$K130)</f>
        <v/>
      </c>
    </row>
    <row r="131" customFormat="false" ht="15" hidden="false" customHeight="false" outlineLevel="0" collapsed="false">
      <c r="A131" s="19"/>
      <c r="B131" s="19"/>
      <c r="C131" s="19"/>
      <c r="D131" s="19"/>
      <c r="E131" s="23"/>
      <c r="F131" s="15" t="str">
        <f aca="false">IF($A131="","",SUMIF(Purchases!$B$2:$B$1001,$A131,Purchases!$C$2:$C$1001))</f>
        <v/>
      </c>
      <c r="G131" s="19"/>
      <c r="H131" s="6" t="str">
        <f aca="false">IF($A131="","",IF($D131="",0,$D131)+$F131-IF($G131="",0,$G131))</f>
        <v/>
      </c>
      <c r="I131" s="19"/>
      <c r="J131" s="3" t="str">
        <f aca="false">IF($A131="","",IF($I131="","OK",IF($H131&lt;=$I131,"REORDER","OK")))</f>
        <v/>
      </c>
      <c r="K131" s="16" t="str">
        <f aca="false">IF($A131="","",IFERROR((IF($D131="",0,$D131)*IF($E131="",0,$E131)+SUMIF(Purchases!$B$2:$B$1001,$A131,Purchases!$E$2:$E$1001))/(IF($D131="",0,$D131)+SUMIF(Purchases!$B$2:$B$1001,$A131,Purchases!$C$2:$C$1001)),0))</f>
        <v/>
      </c>
      <c r="L131" s="9" t="str">
        <f aca="false">IF($A131="","",$H131*$K131)</f>
        <v/>
      </c>
    </row>
    <row r="132" customFormat="false" ht="15" hidden="false" customHeight="false" outlineLevel="0" collapsed="false">
      <c r="A132" s="19"/>
      <c r="B132" s="19"/>
      <c r="C132" s="19"/>
      <c r="D132" s="19"/>
      <c r="E132" s="23"/>
      <c r="F132" s="15" t="str">
        <f aca="false">IF($A132="","",SUMIF(Purchases!$B$2:$B$1001,$A132,Purchases!$C$2:$C$1001))</f>
        <v/>
      </c>
      <c r="G132" s="19"/>
      <c r="H132" s="6" t="str">
        <f aca="false">IF($A132="","",IF($D132="",0,$D132)+$F132-IF($G132="",0,$G132))</f>
        <v/>
      </c>
      <c r="I132" s="19"/>
      <c r="J132" s="3" t="str">
        <f aca="false">IF($A132="","",IF($I132="","OK",IF($H132&lt;=$I132,"REORDER","OK")))</f>
        <v/>
      </c>
      <c r="K132" s="16" t="str">
        <f aca="false">IF($A132="","",IFERROR((IF($D132="",0,$D132)*IF($E132="",0,$E132)+SUMIF(Purchases!$B$2:$B$1001,$A132,Purchases!$E$2:$E$1001))/(IF($D132="",0,$D132)+SUMIF(Purchases!$B$2:$B$1001,$A132,Purchases!$C$2:$C$1001)),0))</f>
        <v/>
      </c>
      <c r="L132" s="9" t="str">
        <f aca="false">IF($A132="","",$H132*$K132)</f>
        <v/>
      </c>
    </row>
    <row r="133" customFormat="false" ht="15" hidden="false" customHeight="false" outlineLevel="0" collapsed="false">
      <c r="A133" s="19"/>
      <c r="B133" s="19"/>
      <c r="C133" s="19"/>
      <c r="D133" s="19"/>
      <c r="E133" s="23"/>
      <c r="F133" s="15" t="str">
        <f aca="false">IF($A133="","",SUMIF(Purchases!$B$2:$B$1001,$A133,Purchases!$C$2:$C$1001))</f>
        <v/>
      </c>
      <c r="G133" s="19"/>
      <c r="H133" s="6" t="str">
        <f aca="false">IF($A133="","",IF($D133="",0,$D133)+$F133-IF($G133="",0,$G133))</f>
        <v/>
      </c>
      <c r="I133" s="19"/>
      <c r="J133" s="3" t="str">
        <f aca="false">IF($A133="","",IF($I133="","OK",IF($H133&lt;=$I133,"REORDER","OK")))</f>
        <v/>
      </c>
      <c r="K133" s="16" t="str">
        <f aca="false">IF($A133="","",IFERROR((IF($D133="",0,$D133)*IF($E133="",0,$E133)+SUMIF(Purchases!$B$2:$B$1001,$A133,Purchases!$E$2:$E$1001))/(IF($D133="",0,$D133)+SUMIF(Purchases!$B$2:$B$1001,$A133,Purchases!$C$2:$C$1001)),0))</f>
        <v/>
      </c>
      <c r="L133" s="9" t="str">
        <f aca="false">IF($A133="","",$H133*$K133)</f>
        <v/>
      </c>
    </row>
    <row r="134" customFormat="false" ht="15" hidden="false" customHeight="false" outlineLevel="0" collapsed="false">
      <c r="A134" s="19"/>
      <c r="B134" s="19"/>
      <c r="C134" s="19"/>
      <c r="D134" s="19"/>
      <c r="E134" s="23"/>
      <c r="F134" s="15" t="str">
        <f aca="false">IF($A134="","",SUMIF(Purchases!$B$2:$B$1001,$A134,Purchases!$C$2:$C$1001))</f>
        <v/>
      </c>
      <c r="G134" s="19"/>
      <c r="H134" s="6" t="str">
        <f aca="false">IF($A134="","",IF($D134="",0,$D134)+$F134-IF($G134="",0,$G134))</f>
        <v/>
      </c>
      <c r="I134" s="19"/>
      <c r="J134" s="3" t="str">
        <f aca="false">IF($A134="","",IF($I134="","OK",IF($H134&lt;=$I134,"REORDER","OK")))</f>
        <v/>
      </c>
      <c r="K134" s="16" t="str">
        <f aca="false">IF($A134="","",IFERROR((IF($D134="",0,$D134)*IF($E134="",0,$E134)+SUMIF(Purchases!$B$2:$B$1001,$A134,Purchases!$E$2:$E$1001))/(IF($D134="",0,$D134)+SUMIF(Purchases!$B$2:$B$1001,$A134,Purchases!$C$2:$C$1001)),0))</f>
        <v/>
      </c>
      <c r="L134" s="9" t="str">
        <f aca="false">IF($A134="","",$H134*$K134)</f>
        <v/>
      </c>
    </row>
    <row r="135" customFormat="false" ht="15" hidden="false" customHeight="false" outlineLevel="0" collapsed="false">
      <c r="A135" s="19"/>
      <c r="B135" s="19"/>
      <c r="C135" s="19"/>
      <c r="D135" s="19"/>
      <c r="E135" s="23"/>
      <c r="F135" s="15" t="str">
        <f aca="false">IF($A135="","",SUMIF(Purchases!$B$2:$B$1001,$A135,Purchases!$C$2:$C$1001))</f>
        <v/>
      </c>
      <c r="G135" s="19"/>
      <c r="H135" s="6" t="str">
        <f aca="false">IF($A135="","",IF($D135="",0,$D135)+$F135-IF($G135="",0,$G135))</f>
        <v/>
      </c>
      <c r="I135" s="19"/>
      <c r="J135" s="3" t="str">
        <f aca="false">IF($A135="","",IF($I135="","OK",IF($H135&lt;=$I135,"REORDER","OK")))</f>
        <v/>
      </c>
      <c r="K135" s="16" t="str">
        <f aca="false">IF($A135="","",IFERROR((IF($D135="",0,$D135)*IF($E135="",0,$E135)+SUMIF(Purchases!$B$2:$B$1001,$A135,Purchases!$E$2:$E$1001))/(IF($D135="",0,$D135)+SUMIF(Purchases!$B$2:$B$1001,$A135,Purchases!$C$2:$C$1001)),0))</f>
        <v/>
      </c>
      <c r="L135" s="9" t="str">
        <f aca="false">IF($A135="","",$H135*$K135)</f>
        <v/>
      </c>
    </row>
    <row r="136" customFormat="false" ht="15" hidden="false" customHeight="false" outlineLevel="0" collapsed="false">
      <c r="A136" s="19"/>
      <c r="B136" s="19"/>
      <c r="C136" s="19"/>
      <c r="D136" s="19"/>
      <c r="E136" s="23"/>
      <c r="F136" s="15" t="str">
        <f aca="false">IF($A136="","",SUMIF(Purchases!$B$2:$B$1001,$A136,Purchases!$C$2:$C$1001))</f>
        <v/>
      </c>
      <c r="G136" s="19"/>
      <c r="H136" s="6" t="str">
        <f aca="false">IF($A136="","",IF($D136="",0,$D136)+$F136-IF($G136="",0,$G136))</f>
        <v/>
      </c>
      <c r="I136" s="19"/>
      <c r="J136" s="3" t="str">
        <f aca="false">IF($A136="","",IF($I136="","OK",IF($H136&lt;=$I136,"REORDER","OK")))</f>
        <v/>
      </c>
      <c r="K136" s="16" t="str">
        <f aca="false">IF($A136="","",IFERROR((IF($D136="",0,$D136)*IF($E136="",0,$E136)+SUMIF(Purchases!$B$2:$B$1001,$A136,Purchases!$E$2:$E$1001))/(IF($D136="",0,$D136)+SUMIF(Purchases!$B$2:$B$1001,$A136,Purchases!$C$2:$C$1001)),0))</f>
        <v/>
      </c>
      <c r="L136" s="9" t="str">
        <f aca="false">IF($A136="","",$H136*$K136)</f>
        <v/>
      </c>
    </row>
    <row r="137" customFormat="false" ht="15" hidden="false" customHeight="false" outlineLevel="0" collapsed="false">
      <c r="A137" s="19"/>
      <c r="B137" s="19"/>
      <c r="C137" s="19"/>
      <c r="D137" s="19"/>
      <c r="E137" s="23"/>
      <c r="F137" s="15" t="str">
        <f aca="false">IF($A137="","",SUMIF(Purchases!$B$2:$B$1001,$A137,Purchases!$C$2:$C$1001))</f>
        <v/>
      </c>
      <c r="G137" s="19"/>
      <c r="H137" s="6" t="str">
        <f aca="false">IF($A137="","",IF($D137="",0,$D137)+$F137-IF($G137="",0,$G137))</f>
        <v/>
      </c>
      <c r="I137" s="19"/>
      <c r="J137" s="3" t="str">
        <f aca="false">IF($A137="","",IF($I137="","OK",IF($H137&lt;=$I137,"REORDER","OK")))</f>
        <v/>
      </c>
      <c r="K137" s="16" t="str">
        <f aca="false">IF($A137="","",IFERROR((IF($D137="",0,$D137)*IF($E137="",0,$E137)+SUMIF(Purchases!$B$2:$B$1001,$A137,Purchases!$E$2:$E$1001))/(IF($D137="",0,$D137)+SUMIF(Purchases!$B$2:$B$1001,$A137,Purchases!$C$2:$C$1001)),0))</f>
        <v/>
      </c>
      <c r="L137" s="9" t="str">
        <f aca="false">IF($A137="","",$H137*$K137)</f>
        <v/>
      </c>
    </row>
    <row r="138" customFormat="false" ht="15" hidden="false" customHeight="false" outlineLevel="0" collapsed="false">
      <c r="A138" s="19"/>
      <c r="B138" s="19"/>
      <c r="C138" s="19"/>
      <c r="D138" s="19"/>
      <c r="E138" s="23"/>
      <c r="F138" s="15" t="str">
        <f aca="false">IF($A138="","",SUMIF(Purchases!$B$2:$B$1001,$A138,Purchases!$C$2:$C$1001))</f>
        <v/>
      </c>
      <c r="G138" s="19"/>
      <c r="H138" s="6" t="str">
        <f aca="false">IF($A138="","",IF($D138="",0,$D138)+$F138-IF($G138="",0,$G138))</f>
        <v/>
      </c>
      <c r="I138" s="19"/>
      <c r="J138" s="3" t="str">
        <f aca="false">IF($A138="","",IF($I138="","OK",IF($H138&lt;=$I138,"REORDER","OK")))</f>
        <v/>
      </c>
      <c r="K138" s="16" t="str">
        <f aca="false">IF($A138="","",IFERROR((IF($D138="",0,$D138)*IF($E138="",0,$E138)+SUMIF(Purchases!$B$2:$B$1001,$A138,Purchases!$E$2:$E$1001))/(IF($D138="",0,$D138)+SUMIF(Purchases!$B$2:$B$1001,$A138,Purchases!$C$2:$C$1001)),0))</f>
        <v/>
      </c>
      <c r="L138" s="9" t="str">
        <f aca="false">IF($A138="","",$H138*$K138)</f>
        <v/>
      </c>
    </row>
    <row r="139" customFormat="false" ht="15" hidden="false" customHeight="false" outlineLevel="0" collapsed="false">
      <c r="A139" s="19"/>
      <c r="B139" s="19"/>
      <c r="C139" s="19"/>
      <c r="D139" s="19"/>
      <c r="E139" s="23"/>
      <c r="F139" s="15" t="str">
        <f aca="false">IF($A139="","",SUMIF(Purchases!$B$2:$B$1001,$A139,Purchases!$C$2:$C$1001))</f>
        <v/>
      </c>
      <c r="G139" s="19"/>
      <c r="H139" s="6" t="str">
        <f aca="false">IF($A139="","",IF($D139="",0,$D139)+$F139-IF($G139="",0,$G139))</f>
        <v/>
      </c>
      <c r="I139" s="19"/>
      <c r="J139" s="3" t="str">
        <f aca="false">IF($A139="","",IF($I139="","OK",IF($H139&lt;=$I139,"REORDER","OK")))</f>
        <v/>
      </c>
      <c r="K139" s="16" t="str">
        <f aca="false">IF($A139="","",IFERROR((IF($D139="",0,$D139)*IF($E139="",0,$E139)+SUMIF(Purchases!$B$2:$B$1001,$A139,Purchases!$E$2:$E$1001))/(IF($D139="",0,$D139)+SUMIF(Purchases!$B$2:$B$1001,$A139,Purchases!$C$2:$C$1001)),0))</f>
        <v/>
      </c>
      <c r="L139" s="9" t="str">
        <f aca="false">IF($A139="","",$H139*$K139)</f>
        <v/>
      </c>
    </row>
    <row r="140" customFormat="false" ht="15" hidden="false" customHeight="false" outlineLevel="0" collapsed="false">
      <c r="A140" s="19"/>
      <c r="B140" s="19"/>
      <c r="C140" s="19"/>
      <c r="D140" s="19"/>
      <c r="E140" s="23"/>
      <c r="F140" s="15" t="str">
        <f aca="false">IF($A140="","",SUMIF(Purchases!$B$2:$B$1001,$A140,Purchases!$C$2:$C$1001))</f>
        <v/>
      </c>
      <c r="G140" s="19"/>
      <c r="H140" s="6" t="str">
        <f aca="false">IF($A140="","",IF($D140="",0,$D140)+$F140-IF($G140="",0,$G140))</f>
        <v/>
      </c>
      <c r="I140" s="19"/>
      <c r="J140" s="3" t="str">
        <f aca="false">IF($A140="","",IF($I140="","OK",IF($H140&lt;=$I140,"REORDER","OK")))</f>
        <v/>
      </c>
      <c r="K140" s="16" t="str">
        <f aca="false">IF($A140="","",IFERROR((IF($D140="",0,$D140)*IF($E140="",0,$E140)+SUMIF(Purchases!$B$2:$B$1001,$A140,Purchases!$E$2:$E$1001))/(IF($D140="",0,$D140)+SUMIF(Purchases!$B$2:$B$1001,$A140,Purchases!$C$2:$C$1001)),0))</f>
        <v/>
      </c>
      <c r="L140" s="9" t="str">
        <f aca="false">IF($A140="","",$H140*$K140)</f>
        <v/>
      </c>
    </row>
    <row r="141" customFormat="false" ht="15" hidden="false" customHeight="false" outlineLevel="0" collapsed="false">
      <c r="A141" s="19"/>
      <c r="B141" s="19"/>
      <c r="C141" s="19"/>
      <c r="D141" s="19"/>
      <c r="E141" s="23"/>
      <c r="F141" s="15" t="str">
        <f aca="false">IF($A141="","",SUMIF(Purchases!$B$2:$B$1001,$A141,Purchases!$C$2:$C$1001))</f>
        <v/>
      </c>
      <c r="G141" s="19"/>
      <c r="H141" s="6" t="str">
        <f aca="false">IF($A141="","",IF($D141="",0,$D141)+$F141-IF($G141="",0,$G141))</f>
        <v/>
      </c>
      <c r="I141" s="19"/>
      <c r="J141" s="3" t="str">
        <f aca="false">IF($A141="","",IF($I141="","OK",IF($H141&lt;=$I141,"REORDER","OK")))</f>
        <v/>
      </c>
      <c r="K141" s="16" t="str">
        <f aca="false">IF($A141="","",IFERROR((IF($D141="",0,$D141)*IF($E141="",0,$E141)+SUMIF(Purchases!$B$2:$B$1001,$A141,Purchases!$E$2:$E$1001))/(IF($D141="",0,$D141)+SUMIF(Purchases!$B$2:$B$1001,$A141,Purchases!$C$2:$C$1001)),0))</f>
        <v/>
      </c>
      <c r="L141" s="9" t="str">
        <f aca="false">IF($A141="","",$H141*$K141)</f>
        <v/>
      </c>
    </row>
    <row r="142" customFormat="false" ht="15" hidden="false" customHeight="false" outlineLevel="0" collapsed="false">
      <c r="A142" s="19"/>
      <c r="B142" s="19"/>
      <c r="C142" s="19"/>
      <c r="D142" s="19"/>
      <c r="E142" s="23"/>
      <c r="F142" s="15" t="str">
        <f aca="false">IF($A142="","",SUMIF(Purchases!$B$2:$B$1001,$A142,Purchases!$C$2:$C$1001))</f>
        <v/>
      </c>
      <c r="G142" s="19"/>
      <c r="H142" s="6" t="str">
        <f aca="false">IF($A142="","",IF($D142="",0,$D142)+$F142-IF($G142="",0,$G142))</f>
        <v/>
      </c>
      <c r="I142" s="19"/>
      <c r="J142" s="3" t="str">
        <f aca="false">IF($A142="","",IF($I142="","OK",IF($H142&lt;=$I142,"REORDER","OK")))</f>
        <v/>
      </c>
      <c r="K142" s="16" t="str">
        <f aca="false">IF($A142="","",IFERROR((IF($D142="",0,$D142)*IF($E142="",0,$E142)+SUMIF(Purchases!$B$2:$B$1001,$A142,Purchases!$E$2:$E$1001))/(IF($D142="",0,$D142)+SUMIF(Purchases!$B$2:$B$1001,$A142,Purchases!$C$2:$C$1001)),0))</f>
        <v/>
      </c>
      <c r="L142" s="9" t="str">
        <f aca="false">IF($A142="","",$H142*$K142)</f>
        <v/>
      </c>
    </row>
    <row r="143" customFormat="false" ht="15" hidden="false" customHeight="false" outlineLevel="0" collapsed="false">
      <c r="A143" s="19"/>
      <c r="B143" s="19"/>
      <c r="C143" s="19"/>
      <c r="D143" s="19"/>
      <c r="E143" s="23"/>
      <c r="F143" s="15" t="str">
        <f aca="false">IF($A143="","",SUMIF(Purchases!$B$2:$B$1001,$A143,Purchases!$C$2:$C$1001))</f>
        <v/>
      </c>
      <c r="G143" s="19"/>
      <c r="H143" s="6" t="str">
        <f aca="false">IF($A143="","",IF($D143="",0,$D143)+$F143-IF($G143="",0,$G143))</f>
        <v/>
      </c>
      <c r="I143" s="19"/>
      <c r="J143" s="3" t="str">
        <f aca="false">IF($A143="","",IF($I143="","OK",IF($H143&lt;=$I143,"REORDER","OK")))</f>
        <v/>
      </c>
      <c r="K143" s="16" t="str">
        <f aca="false">IF($A143="","",IFERROR((IF($D143="",0,$D143)*IF($E143="",0,$E143)+SUMIF(Purchases!$B$2:$B$1001,$A143,Purchases!$E$2:$E$1001))/(IF($D143="",0,$D143)+SUMIF(Purchases!$B$2:$B$1001,$A143,Purchases!$C$2:$C$1001)),0))</f>
        <v/>
      </c>
      <c r="L143" s="9" t="str">
        <f aca="false">IF($A143="","",$H143*$K143)</f>
        <v/>
      </c>
    </row>
    <row r="144" customFormat="false" ht="15" hidden="false" customHeight="false" outlineLevel="0" collapsed="false">
      <c r="A144" s="19"/>
      <c r="B144" s="19"/>
      <c r="C144" s="19"/>
      <c r="D144" s="19"/>
      <c r="E144" s="23"/>
      <c r="F144" s="15" t="str">
        <f aca="false">IF($A144="","",SUMIF(Purchases!$B$2:$B$1001,$A144,Purchases!$C$2:$C$1001))</f>
        <v/>
      </c>
      <c r="G144" s="19"/>
      <c r="H144" s="6" t="str">
        <f aca="false">IF($A144="","",IF($D144="",0,$D144)+$F144-IF($G144="",0,$G144))</f>
        <v/>
      </c>
      <c r="I144" s="19"/>
      <c r="J144" s="3" t="str">
        <f aca="false">IF($A144="","",IF($I144="","OK",IF($H144&lt;=$I144,"REORDER","OK")))</f>
        <v/>
      </c>
      <c r="K144" s="16" t="str">
        <f aca="false">IF($A144="","",IFERROR((IF($D144="",0,$D144)*IF($E144="",0,$E144)+SUMIF(Purchases!$B$2:$B$1001,$A144,Purchases!$E$2:$E$1001))/(IF($D144="",0,$D144)+SUMIF(Purchases!$B$2:$B$1001,$A144,Purchases!$C$2:$C$1001)),0))</f>
        <v/>
      </c>
      <c r="L144" s="9" t="str">
        <f aca="false">IF($A144="","",$H144*$K144)</f>
        <v/>
      </c>
    </row>
    <row r="145" customFormat="false" ht="15" hidden="false" customHeight="false" outlineLevel="0" collapsed="false">
      <c r="A145" s="19"/>
      <c r="B145" s="19"/>
      <c r="C145" s="19"/>
      <c r="D145" s="19"/>
      <c r="E145" s="23"/>
      <c r="F145" s="15" t="str">
        <f aca="false">IF($A145="","",SUMIF(Purchases!$B$2:$B$1001,$A145,Purchases!$C$2:$C$1001))</f>
        <v/>
      </c>
      <c r="G145" s="19"/>
      <c r="H145" s="6" t="str">
        <f aca="false">IF($A145="","",IF($D145="",0,$D145)+$F145-IF($G145="",0,$G145))</f>
        <v/>
      </c>
      <c r="I145" s="19"/>
      <c r="J145" s="3" t="str">
        <f aca="false">IF($A145="","",IF($I145="","OK",IF($H145&lt;=$I145,"REORDER","OK")))</f>
        <v/>
      </c>
      <c r="K145" s="16" t="str">
        <f aca="false">IF($A145="","",IFERROR((IF($D145="",0,$D145)*IF($E145="",0,$E145)+SUMIF(Purchases!$B$2:$B$1001,$A145,Purchases!$E$2:$E$1001))/(IF($D145="",0,$D145)+SUMIF(Purchases!$B$2:$B$1001,$A145,Purchases!$C$2:$C$1001)),0))</f>
        <v/>
      </c>
      <c r="L145" s="9" t="str">
        <f aca="false">IF($A145="","",$H145*$K145)</f>
        <v/>
      </c>
    </row>
    <row r="146" customFormat="false" ht="15" hidden="false" customHeight="false" outlineLevel="0" collapsed="false">
      <c r="A146" s="19"/>
      <c r="B146" s="19"/>
      <c r="C146" s="19"/>
      <c r="D146" s="19"/>
      <c r="E146" s="23"/>
      <c r="F146" s="15" t="str">
        <f aca="false">IF($A146="","",SUMIF(Purchases!$B$2:$B$1001,$A146,Purchases!$C$2:$C$1001))</f>
        <v/>
      </c>
      <c r="G146" s="19"/>
      <c r="H146" s="6" t="str">
        <f aca="false">IF($A146="","",IF($D146="",0,$D146)+$F146-IF($G146="",0,$G146))</f>
        <v/>
      </c>
      <c r="I146" s="19"/>
      <c r="J146" s="3" t="str">
        <f aca="false">IF($A146="","",IF($I146="","OK",IF($H146&lt;=$I146,"REORDER","OK")))</f>
        <v/>
      </c>
      <c r="K146" s="16" t="str">
        <f aca="false">IF($A146="","",IFERROR((IF($D146="",0,$D146)*IF($E146="",0,$E146)+SUMIF(Purchases!$B$2:$B$1001,$A146,Purchases!$E$2:$E$1001))/(IF($D146="",0,$D146)+SUMIF(Purchases!$B$2:$B$1001,$A146,Purchases!$C$2:$C$1001)),0))</f>
        <v/>
      </c>
      <c r="L146" s="9" t="str">
        <f aca="false">IF($A146="","",$H146*$K146)</f>
        <v/>
      </c>
    </row>
    <row r="147" customFormat="false" ht="15" hidden="false" customHeight="false" outlineLevel="0" collapsed="false">
      <c r="A147" s="19"/>
      <c r="B147" s="19"/>
      <c r="C147" s="19"/>
      <c r="D147" s="19"/>
      <c r="E147" s="23"/>
      <c r="F147" s="15" t="str">
        <f aca="false">IF($A147="","",SUMIF(Purchases!$B$2:$B$1001,$A147,Purchases!$C$2:$C$1001))</f>
        <v/>
      </c>
      <c r="G147" s="19"/>
      <c r="H147" s="6" t="str">
        <f aca="false">IF($A147="","",IF($D147="",0,$D147)+$F147-IF($G147="",0,$G147))</f>
        <v/>
      </c>
      <c r="I147" s="19"/>
      <c r="J147" s="3" t="str">
        <f aca="false">IF($A147="","",IF($I147="","OK",IF($H147&lt;=$I147,"REORDER","OK")))</f>
        <v/>
      </c>
      <c r="K147" s="16" t="str">
        <f aca="false">IF($A147="","",IFERROR((IF($D147="",0,$D147)*IF($E147="",0,$E147)+SUMIF(Purchases!$B$2:$B$1001,$A147,Purchases!$E$2:$E$1001))/(IF($D147="",0,$D147)+SUMIF(Purchases!$B$2:$B$1001,$A147,Purchases!$C$2:$C$1001)),0))</f>
        <v/>
      </c>
      <c r="L147" s="9" t="str">
        <f aca="false">IF($A147="","",$H147*$K147)</f>
        <v/>
      </c>
    </row>
    <row r="148" customFormat="false" ht="15" hidden="false" customHeight="false" outlineLevel="0" collapsed="false">
      <c r="A148" s="19"/>
      <c r="B148" s="19"/>
      <c r="C148" s="19"/>
      <c r="D148" s="19"/>
      <c r="E148" s="23"/>
      <c r="F148" s="15" t="str">
        <f aca="false">IF($A148="","",SUMIF(Purchases!$B$2:$B$1001,$A148,Purchases!$C$2:$C$1001))</f>
        <v/>
      </c>
      <c r="G148" s="19"/>
      <c r="H148" s="6" t="str">
        <f aca="false">IF($A148="","",IF($D148="",0,$D148)+$F148-IF($G148="",0,$G148))</f>
        <v/>
      </c>
      <c r="I148" s="19"/>
      <c r="J148" s="3" t="str">
        <f aca="false">IF($A148="","",IF($I148="","OK",IF($H148&lt;=$I148,"REORDER","OK")))</f>
        <v/>
      </c>
      <c r="K148" s="16" t="str">
        <f aca="false">IF($A148="","",IFERROR((IF($D148="",0,$D148)*IF($E148="",0,$E148)+SUMIF(Purchases!$B$2:$B$1001,$A148,Purchases!$E$2:$E$1001))/(IF($D148="",0,$D148)+SUMIF(Purchases!$B$2:$B$1001,$A148,Purchases!$C$2:$C$1001)),0))</f>
        <v/>
      </c>
      <c r="L148" s="9" t="str">
        <f aca="false">IF($A148="","",$H148*$K148)</f>
        <v/>
      </c>
    </row>
    <row r="149" customFormat="false" ht="15" hidden="false" customHeight="false" outlineLevel="0" collapsed="false">
      <c r="A149" s="19"/>
      <c r="B149" s="19"/>
      <c r="C149" s="19"/>
      <c r="D149" s="19"/>
      <c r="E149" s="23"/>
      <c r="F149" s="15" t="str">
        <f aca="false">IF($A149="","",SUMIF(Purchases!$B$2:$B$1001,$A149,Purchases!$C$2:$C$1001))</f>
        <v/>
      </c>
      <c r="G149" s="19"/>
      <c r="H149" s="6" t="str">
        <f aca="false">IF($A149="","",IF($D149="",0,$D149)+$F149-IF($G149="",0,$G149))</f>
        <v/>
      </c>
      <c r="I149" s="19"/>
      <c r="J149" s="3" t="str">
        <f aca="false">IF($A149="","",IF($I149="","OK",IF($H149&lt;=$I149,"REORDER","OK")))</f>
        <v/>
      </c>
      <c r="K149" s="16" t="str">
        <f aca="false">IF($A149="","",IFERROR((IF($D149="",0,$D149)*IF($E149="",0,$E149)+SUMIF(Purchases!$B$2:$B$1001,$A149,Purchases!$E$2:$E$1001))/(IF($D149="",0,$D149)+SUMIF(Purchases!$B$2:$B$1001,$A149,Purchases!$C$2:$C$1001)),0))</f>
        <v/>
      </c>
      <c r="L149" s="9" t="str">
        <f aca="false">IF($A149="","",$H149*$K149)</f>
        <v/>
      </c>
    </row>
    <row r="150" customFormat="false" ht="15" hidden="false" customHeight="false" outlineLevel="0" collapsed="false">
      <c r="A150" s="19"/>
      <c r="B150" s="19"/>
      <c r="C150" s="19"/>
      <c r="D150" s="19"/>
      <c r="E150" s="23"/>
      <c r="F150" s="15" t="str">
        <f aca="false">IF($A150="","",SUMIF(Purchases!$B$2:$B$1001,$A150,Purchases!$C$2:$C$1001))</f>
        <v/>
      </c>
      <c r="G150" s="19"/>
      <c r="H150" s="6" t="str">
        <f aca="false">IF($A150="","",IF($D150="",0,$D150)+$F150-IF($G150="",0,$G150))</f>
        <v/>
      </c>
      <c r="I150" s="19"/>
      <c r="J150" s="3" t="str">
        <f aca="false">IF($A150="","",IF($I150="","OK",IF($H150&lt;=$I150,"REORDER","OK")))</f>
        <v/>
      </c>
      <c r="K150" s="16" t="str">
        <f aca="false">IF($A150="","",IFERROR((IF($D150="",0,$D150)*IF($E150="",0,$E150)+SUMIF(Purchases!$B$2:$B$1001,$A150,Purchases!$E$2:$E$1001))/(IF($D150="",0,$D150)+SUMIF(Purchases!$B$2:$B$1001,$A150,Purchases!$C$2:$C$1001)),0))</f>
        <v/>
      </c>
      <c r="L150" s="9" t="str">
        <f aca="false">IF($A150="","",$H150*$K150)</f>
        <v/>
      </c>
    </row>
    <row r="151" customFormat="false" ht="15" hidden="false" customHeight="false" outlineLevel="0" collapsed="false">
      <c r="A151" s="19"/>
      <c r="B151" s="19"/>
      <c r="C151" s="19"/>
      <c r="D151" s="19"/>
      <c r="E151" s="23"/>
      <c r="F151" s="15" t="str">
        <f aca="false">IF($A151="","",SUMIF(Purchases!$B$2:$B$1001,$A151,Purchases!$C$2:$C$1001))</f>
        <v/>
      </c>
      <c r="G151" s="19"/>
      <c r="H151" s="6" t="str">
        <f aca="false">IF($A151="","",IF($D151="",0,$D151)+$F151-IF($G151="",0,$G151))</f>
        <v/>
      </c>
      <c r="I151" s="19"/>
      <c r="J151" s="3" t="str">
        <f aca="false">IF($A151="","",IF($I151="","OK",IF($H151&lt;=$I151,"REORDER","OK")))</f>
        <v/>
      </c>
      <c r="K151" s="16" t="str">
        <f aca="false">IF($A151="","",IFERROR((IF($D151="",0,$D151)*IF($E151="",0,$E151)+SUMIF(Purchases!$B$2:$B$1001,$A151,Purchases!$E$2:$E$1001))/(IF($D151="",0,$D151)+SUMIF(Purchases!$B$2:$B$1001,$A151,Purchases!$C$2:$C$1001)),0))</f>
        <v/>
      </c>
      <c r="L151" s="9" t="str">
        <f aca="false">IF($A151="","",$H151*$K151)</f>
        <v/>
      </c>
    </row>
    <row r="152" customFormat="false" ht="15" hidden="false" customHeight="false" outlineLevel="0" collapsed="false">
      <c r="A152" s="19"/>
      <c r="B152" s="19"/>
      <c r="C152" s="19"/>
      <c r="D152" s="19"/>
      <c r="E152" s="23"/>
      <c r="F152" s="15" t="str">
        <f aca="false">IF($A152="","",SUMIF(Purchases!$B$2:$B$1001,$A152,Purchases!$C$2:$C$1001))</f>
        <v/>
      </c>
      <c r="G152" s="19"/>
      <c r="H152" s="6" t="str">
        <f aca="false">IF($A152="","",IF($D152="",0,$D152)+$F152-IF($G152="",0,$G152))</f>
        <v/>
      </c>
      <c r="I152" s="19"/>
      <c r="J152" s="3" t="str">
        <f aca="false">IF($A152="","",IF($I152="","OK",IF($H152&lt;=$I152,"REORDER","OK")))</f>
        <v/>
      </c>
      <c r="K152" s="16" t="str">
        <f aca="false">IF($A152="","",IFERROR((IF($D152="",0,$D152)*IF($E152="",0,$E152)+SUMIF(Purchases!$B$2:$B$1001,$A152,Purchases!$E$2:$E$1001))/(IF($D152="",0,$D152)+SUMIF(Purchases!$B$2:$B$1001,$A152,Purchases!$C$2:$C$1001)),0))</f>
        <v/>
      </c>
      <c r="L152" s="9" t="str">
        <f aca="false">IF($A152="","",$H152*$K152)</f>
        <v/>
      </c>
    </row>
    <row r="153" customFormat="false" ht="15" hidden="false" customHeight="false" outlineLevel="0" collapsed="false">
      <c r="A153" s="19"/>
      <c r="B153" s="19"/>
      <c r="C153" s="19"/>
      <c r="D153" s="19"/>
      <c r="E153" s="23"/>
      <c r="F153" s="15" t="str">
        <f aca="false">IF($A153="","",SUMIF(Purchases!$B$2:$B$1001,$A153,Purchases!$C$2:$C$1001))</f>
        <v/>
      </c>
      <c r="G153" s="19"/>
      <c r="H153" s="6" t="str">
        <f aca="false">IF($A153="","",IF($D153="",0,$D153)+$F153-IF($G153="",0,$G153))</f>
        <v/>
      </c>
      <c r="I153" s="19"/>
      <c r="J153" s="3" t="str">
        <f aca="false">IF($A153="","",IF($I153="","OK",IF($H153&lt;=$I153,"REORDER","OK")))</f>
        <v/>
      </c>
      <c r="K153" s="16" t="str">
        <f aca="false">IF($A153="","",IFERROR((IF($D153="",0,$D153)*IF($E153="",0,$E153)+SUMIF(Purchases!$B$2:$B$1001,$A153,Purchases!$E$2:$E$1001))/(IF($D153="",0,$D153)+SUMIF(Purchases!$B$2:$B$1001,$A153,Purchases!$C$2:$C$1001)),0))</f>
        <v/>
      </c>
      <c r="L153" s="9" t="str">
        <f aca="false">IF($A153="","",$H153*$K153)</f>
        <v/>
      </c>
    </row>
    <row r="154" customFormat="false" ht="15" hidden="false" customHeight="false" outlineLevel="0" collapsed="false">
      <c r="A154" s="19"/>
      <c r="B154" s="19"/>
      <c r="C154" s="19"/>
      <c r="D154" s="19"/>
      <c r="E154" s="23"/>
      <c r="F154" s="15" t="str">
        <f aca="false">IF($A154="","",SUMIF(Purchases!$B$2:$B$1001,$A154,Purchases!$C$2:$C$1001))</f>
        <v/>
      </c>
      <c r="G154" s="19"/>
      <c r="H154" s="6" t="str">
        <f aca="false">IF($A154="","",IF($D154="",0,$D154)+$F154-IF($G154="",0,$G154))</f>
        <v/>
      </c>
      <c r="I154" s="19"/>
      <c r="J154" s="3" t="str">
        <f aca="false">IF($A154="","",IF($I154="","OK",IF($H154&lt;=$I154,"REORDER","OK")))</f>
        <v/>
      </c>
      <c r="K154" s="16" t="str">
        <f aca="false">IF($A154="","",IFERROR((IF($D154="",0,$D154)*IF($E154="",0,$E154)+SUMIF(Purchases!$B$2:$B$1001,$A154,Purchases!$E$2:$E$1001))/(IF($D154="",0,$D154)+SUMIF(Purchases!$B$2:$B$1001,$A154,Purchases!$C$2:$C$1001)),0))</f>
        <v/>
      </c>
      <c r="L154" s="9" t="str">
        <f aca="false">IF($A154="","",$H154*$K154)</f>
        <v/>
      </c>
    </row>
    <row r="155" customFormat="false" ht="15" hidden="false" customHeight="false" outlineLevel="0" collapsed="false">
      <c r="A155" s="19"/>
      <c r="B155" s="19"/>
      <c r="C155" s="19"/>
      <c r="D155" s="19"/>
      <c r="E155" s="23"/>
      <c r="F155" s="15" t="str">
        <f aca="false">IF($A155="","",SUMIF(Purchases!$B$2:$B$1001,$A155,Purchases!$C$2:$C$1001))</f>
        <v/>
      </c>
      <c r="G155" s="19"/>
      <c r="H155" s="6" t="str">
        <f aca="false">IF($A155="","",IF($D155="",0,$D155)+$F155-IF($G155="",0,$G155))</f>
        <v/>
      </c>
      <c r="I155" s="19"/>
      <c r="J155" s="3" t="str">
        <f aca="false">IF($A155="","",IF($I155="","OK",IF($H155&lt;=$I155,"REORDER","OK")))</f>
        <v/>
      </c>
      <c r="K155" s="16" t="str">
        <f aca="false">IF($A155="","",IFERROR((IF($D155="",0,$D155)*IF($E155="",0,$E155)+SUMIF(Purchases!$B$2:$B$1001,$A155,Purchases!$E$2:$E$1001))/(IF($D155="",0,$D155)+SUMIF(Purchases!$B$2:$B$1001,$A155,Purchases!$C$2:$C$1001)),0))</f>
        <v/>
      </c>
      <c r="L155" s="9" t="str">
        <f aca="false">IF($A155="","",$H155*$K155)</f>
        <v/>
      </c>
    </row>
    <row r="156" customFormat="false" ht="15" hidden="false" customHeight="false" outlineLevel="0" collapsed="false">
      <c r="A156" s="19"/>
      <c r="B156" s="19"/>
      <c r="C156" s="19"/>
      <c r="D156" s="19"/>
      <c r="E156" s="23"/>
      <c r="F156" s="15" t="str">
        <f aca="false">IF($A156="","",SUMIF(Purchases!$B$2:$B$1001,$A156,Purchases!$C$2:$C$1001))</f>
        <v/>
      </c>
      <c r="G156" s="19"/>
      <c r="H156" s="6" t="str">
        <f aca="false">IF($A156="","",IF($D156="",0,$D156)+$F156-IF($G156="",0,$G156))</f>
        <v/>
      </c>
      <c r="I156" s="19"/>
      <c r="J156" s="3" t="str">
        <f aca="false">IF($A156="","",IF($I156="","OK",IF($H156&lt;=$I156,"REORDER","OK")))</f>
        <v/>
      </c>
      <c r="K156" s="16" t="str">
        <f aca="false">IF($A156="","",IFERROR((IF($D156="",0,$D156)*IF($E156="",0,$E156)+SUMIF(Purchases!$B$2:$B$1001,$A156,Purchases!$E$2:$E$1001))/(IF($D156="",0,$D156)+SUMIF(Purchases!$B$2:$B$1001,$A156,Purchases!$C$2:$C$1001)),0))</f>
        <v/>
      </c>
      <c r="L156" s="9" t="str">
        <f aca="false">IF($A156="","",$H156*$K156)</f>
        <v/>
      </c>
    </row>
    <row r="157" customFormat="false" ht="15" hidden="false" customHeight="false" outlineLevel="0" collapsed="false">
      <c r="A157" s="19"/>
      <c r="B157" s="19"/>
      <c r="C157" s="19"/>
      <c r="D157" s="19"/>
      <c r="E157" s="23"/>
      <c r="F157" s="15" t="str">
        <f aca="false">IF($A157="","",SUMIF(Purchases!$B$2:$B$1001,$A157,Purchases!$C$2:$C$1001))</f>
        <v/>
      </c>
      <c r="G157" s="19"/>
      <c r="H157" s="6" t="str">
        <f aca="false">IF($A157="","",IF($D157="",0,$D157)+$F157-IF($G157="",0,$G157))</f>
        <v/>
      </c>
      <c r="I157" s="19"/>
      <c r="J157" s="3" t="str">
        <f aca="false">IF($A157="","",IF($I157="","OK",IF($H157&lt;=$I157,"REORDER","OK")))</f>
        <v/>
      </c>
      <c r="K157" s="16" t="str">
        <f aca="false">IF($A157="","",IFERROR((IF($D157="",0,$D157)*IF($E157="",0,$E157)+SUMIF(Purchases!$B$2:$B$1001,$A157,Purchases!$E$2:$E$1001))/(IF($D157="",0,$D157)+SUMIF(Purchases!$B$2:$B$1001,$A157,Purchases!$C$2:$C$1001)),0))</f>
        <v/>
      </c>
      <c r="L157" s="9" t="str">
        <f aca="false">IF($A157="","",$H157*$K157)</f>
        <v/>
      </c>
    </row>
    <row r="158" customFormat="false" ht="15" hidden="false" customHeight="false" outlineLevel="0" collapsed="false">
      <c r="A158" s="19"/>
      <c r="B158" s="19"/>
      <c r="C158" s="19"/>
      <c r="D158" s="19"/>
      <c r="E158" s="23"/>
      <c r="F158" s="15" t="str">
        <f aca="false">IF($A158="","",SUMIF(Purchases!$B$2:$B$1001,$A158,Purchases!$C$2:$C$1001))</f>
        <v/>
      </c>
      <c r="G158" s="19"/>
      <c r="H158" s="6" t="str">
        <f aca="false">IF($A158="","",IF($D158="",0,$D158)+$F158-IF($G158="",0,$G158))</f>
        <v/>
      </c>
      <c r="I158" s="19"/>
      <c r="J158" s="3" t="str">
        <f aca="false">IF($A158="","",IF($I158="","OK",IF($H158&lt;=$I158,"REORDER","OK")))</f>
        <v/>
      </c>
      <c r="K158" s="16" t="str">
        <f aca="false">IF($A158="","",IFERROR((IF($D158="",0,$D158)*IF($E158="",0,$E158)+SUMIF(Purchases!$B$2:$B$1001,$A158,Purchases!$E$2:$E$1001))/(IF($D158="",0,$D158)+SUMIF(Purchases!$B$2:$B$1001,$A158,Purchases!$C$2:$C$1001)),0))</f>
        <v/>
      </c>
      <c r="L158" s="9" t="str">
        <f aca="false">IF($A158="","",$H158*$K158)</f>
        <v/>
      </c>
    </row>
    <row r="159" customFormat="false" ht="15" hidden="false" customHeight="false" outlineLevel="0" collapsed="false">
      <c r="A159" s="19"/>
      <c r="B159" s="19"/>
      <c r="C159" s="19"/>
      <c r="D159" s="19"/>
      <c r="E159" s="23"/>
      <c r="F159" s="15" t="str">
        <f aca="false">IF($A159="","",SUMIF(Purchases!$B$2:$B$1001,$A159,Purchases!$C$2:$C$1001))</f>
        <v/>
      </c>
      <c r="G159" s="19"/>
      <c r="H159" s="6" t="str">
        <f aca="false">IF($A159="","",IF($D159="",0,$D159)+$F159-IF($G159="",0,$G159))</f>
        <v/>
      </c>
      <c r="I159" s="19"/>
      <c r="J159" s="3" t="str">
        <f aca="false">IF($A159="","",IF($I159="","OK",IF($H159&lt;=$I159,"REORDER","OK")))</f>
        <v/>
      </c>
      <c r="K159" s="16" t="str">
        <f aca="false">IF($A159="","",IFERROR((IF($D159="",0,$D159)*IF($E159="",0,$E159)+SUMIF(Purchases!$B$2:$B$1001,$A159,Purchases!$E$2:$E$1001))/(IF($D159="",0,$D159)+SUMIF(Purchases!$B$2:$B$1001,$A159,Purchases!$C$2:$C$1001)),0))</f>
        <v/>
      </c>
      <c r="L159" s="9" t="str">
        <f aca="false">IF($A159="","",$H159*$K159)</f>
        <v/>
      </c>
    </row>
    <row r="160" customFormat="false" ht="15" hidden="false" customHeight="false" outlineLevel="0" collapsed="false">
      <c r="A160" s="19"/>
      <c r="B160" s="19"/>
      <c r="C160" s="19"/>
      <c r="D160" s="19"/>
      <c r="E160" s="23"/>
      <c r="F160" s="15" t="str">
        <f aca="false">IF($A160="","",SUMIF(Purchases!$B$2:$B$1001,$A160,Purchases!$C$2:$C$1001))</f>
        <v/>
      </c>
      <c r="G160" s="19"/>
      <c r="H160" s="6" t="str">
        <f aca="false">IF($A160="","",IF($D160="",0,$D160)+$F160-IF($G160="",0,$G160))</f>
        <v/>
      </c>
      <c r="I160" s="19"/>
      <c r="J160" s="3" t="str">
        <f aca="false">IF($A160="","",IF($I160="","OK",IF($H160&lt;=$I160,"REORDER","OK")))</f>
        <v/>
      </c>
      <c r="K160" s="16" t="str">
        <f aca="false">IF($A160="","",IFERROR((IF($D160="",0,$D160)*IF($E160="",0,$E160)+SUMIF(Purchases!$B$2:$B$1001,$A160,Purchases!$E$2:$E$1001))/(IF($D160="",0,$D160)+SUMIF(Purchases!$B$2:$B$1001,$A160,Purchases!$C$2:$C$1001)),0))</f>
        <v/>
      </c>
      <c r="L160" s="9" t="str">
        <f aca="false">IF($A160="","",$H160*$K160)</f>
        <v/>
      </c>
    </row>
    <row r="161" customFormat="false" ht="15" hidden="false" customHeight="false" outlineLevel="0" collapsed="false">
      <c r="A161" s="19"/>
      <c r="B161" s="19"/>
      <c r="C161" s="19"/>
      <c r="D161" s="19"/>
      <c r="E161" s="23"/>
      <c r="F161" s="15" t="str">
        <f aca="false">IF($A161="","",SUMIF(Purchases!$B$2:$B$1001,$A161,Purchases!$C$2:$C$1001))</f>
        <v/>
      </c>
      <c r="G161" s="19"/>
      <c r="H161" s="6" t="str">
        <f aca="false">IF($A161="","",IF($D161="",0,$D161)+$F161-IF($G161="",0,$G161))</f>
        <v/>
      </c>
      <c r="I161" s="19"/>
      <c r="J161" s="3" t="str">
        <f aca="false">IF($A161="","",IF($I161="","OK",IF($H161&lt;=$I161,"REORDER","OK")))</f>
        <v/>
      </c>
      <c r="K161" s="16" t="str">
        <f aca="false">IF($A161="","",IFERROR((IF($D161="",0,$D161)*IF($E161="",0,$E161)+SUMIF(Purchases!$B$2:$B$1001,$A161,Purchases!$E$2:$E$1001))/(IF($D161="",0,$D161)+SUMIF(Purchases!$B$2:$B$1001,$A161,Purchases!$C$2:$C$1001)),0))</f>
        <v/>
      </c>
      <c r="L161" s="9" t="str">
        <f aca="false">IF($A161="","",$H161*$K161)</f>
        <v/>
      </c>
    </row>
    <row r="162" customFormat="false" ht="15" hidden="false" customHeight="false" outlineLevel="0" collapsed="false">
      <c r="A162" s="19"/>
      <c r="B162" s="19"/>
      <c r="C162" s="19"/>
      <c r="D162" s="19"/>
      <c r="E162" s="23"/>
      <c r="F162" s="15" t="str">
        <f aca="false">IF($A162="","",SUMIF(Purchases!$B$2:$B$1001,$A162,Purchases!$C$2:$C$1001))</f>
        <v/>
      </c>
      <c r="G162" s="19"/>
      <c r="H162" s="6" t="str">
        <f aca="false">IF($A162="","",IF($D162="",0,$D162)+$F162-IF($G162="",0,$G162))</f>
        <v/>
      </c>
      <c r="I162" s="19"/>
      <c r="J162" s="3" t="str">
        <f aca="false">IF($A162="","",IF($I162="","OK",IF($H162&lt;=$I162,"REORDER","OK")))</f>
        <v/>
      </c>
      <c r="K162" s="16" t="str">
        <f aca="false">IF($A162="","",IFERROR((IF($D162="",0,$D162)*IF($E162="",0,$E162)+SUMIF(Purchases!$B$2:$B$1001,$A162,Purchases!$E$2:$E$1001))/(IF($D162="",0,$D162)+SUMIF(Purchases!$B$2:$B$1001,$A162,Purchases!$C$2:$C$1001)),0))</f>
        <v/>
      </c>
      <c r="L162" s="9" t="str">
        <f aca="false">IF($A162="","",$H162*$K162)</f>
        <v/>
      </c>
    </row>
    <row r="163" customFormat="false" ht="15" hidden="false" customHeight="false" outlineLevel="0" collapsed="false">
      <c r="A163" s="19"/>
      <c r="B163" s="19"/>
      <c r="C163" s="19"/>
      <c r="D163" s="19"/>
      <c r="E163" s="23"/>
      <c r="F163" s="15" t="str">
        <f aca="false">IF($A163="","",SUMIF(Purchases!$B$2:$B$1001,$A163,Purchases!$C$2:$C$1001))</f>
        <v/>
      </c>
      <c r="G163" s="19"/>
      <c r="H163" s="6" t="str">
        <f aca="false">IF($A163="","",IF($D163="",0,$D163)+$F163-IF($G163="",0,$G163))</f>
        <v/>
      </c>
      <c r="I163" s="19"/>
      <c r="J163" s="3" t="str">
        <f aca="false">IF($A163="","",IF($I163="","OK",IF($H163&lt;=$I163,"REORDER","OK")))</f>
        <v/>
      </c>
      <c r="K163" s="16" t="str">
        <f aca="false">IF($A163="","",IFERROR((IF($D163="",0,$D163)*IF($E163="",0,$E163)+SUMIF(Purchases!$B$2:$B$1001,$A163,Purchases!$E$2:$E$1001))/(IF($D163="",0,$D163)+SUMIF(Purchases!$B$2:$B$1001,$A163,Purchases!$C$2:$C$1001)),0))</f>
        <v/>
      </c>
      <c r="L163" s="9" t="str">
        <f aca="false">IF($A163="","",$H163*$K163)</f>
        <v/>
      </c>
    </row>
    <row r="164" customFormat="false" ht="15" hidden="false" customHeight="false" outlineLevel="0" collapsed="false">
      <c r="A164" s="19"/>
      <c r="B164" s="19"/>
      <c r="C164" s="19"/>
      <c r="D164" s="19"/>
      <c r="E164" s="23"/>
      <c r="F164" s="15" t="str">
        <f aca="false">IF($A164="","",SUMIF(Purchases!$B$2:$B$1001,$A164,Purchases!$C$2:$C$1001))</f>
        <v/>
      </c>
      <c r="G164" s="19"/>
      <c r="H164" s="6" t="str">
        <f aca="false">IF($A164="","",IF($D164="",0,$D164)+$F164-IF($G164="",0,$G164))</f>
        <v/>
      </c>
      <c r="I164" s="19"/>
      <c r="J164" s="3" t="str">
        <f aca="false">IF($A164="","",IF($I164="","OK",IF($H164&lt;=$I164,"REORDER","OK")))</f>
        <v/>
      </c>
      <c r="K164" s="16" t="str">
        <f aca="false">IF($A164="","",IFERROR((IF($D164="",0,$D164)*IF($E164="",0,$E164)+SUMIF(Purchases!$B$2:$B$1001,$A164,Purchases!$E$2:$E$1001))/(IF($D164="",0,$D164)+SUMIF(Purchases!$B$2:$B$1001,$A164,Purchases!$C$2:$C$1001)),0))</f>
        <v/>
      </c>
      <c r="L164" s="9" t="str">
        <f aca="false">IF($A164="","",$H164*$K164)</f>
        <v/>
      </c>
    </row>
    <row r="165" customFormat="false" ht="15" hidden="false" customHeight="false" outlineLevel="0" collapsed="false">
      <c r="A165" s="19"/>
      <c r="B165" s="19"/>
      <c r="C165" s="19"/>
      <c r="D165" s="19"/>
      <c r="E165" s="23"/>
      <c r="F165" s="15" t="str">
        <f aca="false">IF($A165="","",SUMIF(Purchases!$B$2:$B$1001,$A165,Purchases!$C$2:$C$1001))</f>
        <v/>
      </c>
      <c r="G165" s="19"/>
      <c r="H165" s="6" t="str">
        <f aca="false">IF($A165="","",IF($D165="",0,$D165)+$F165-IF($G165="",0,$G165))</f>
        <v/>
      </c>
      <c r="I165" s="19"/>
      <c r="J165" s="3" t="str">
        <f aca="false">IF($A165="","",IF($I165="","OK",IF($H165&lt;=$I165,"REORDER","OK")))</f>
        <v/>
      </c>
      <c r="K165" s="16" t="str">
        <f aca="false">IF($A165="","",IFERROR((IF($D165="",0,$D165)*IF($E165="",0,$E165)+SUMIF(Purchases!$B$2:$B$1001,$A165,Purchases!$E$2:$E$1001))/(IF($D165="",0,$D165)+SUMIF(Purchases!$B$2:$B$1001,$A165,Purchases!$C$2:$C$1001)),0))</f>
        <v/>
      </c>
      <c r="L165" s="9" t="str">
        <f aca="false">IF($A165="","",$H165*$K165)</f>
        <v/>
      </c>
    </row>
    <row r="166" customFormat="false" ht="15" hidden="false" customHeight="false" outlineLevel="0" collapsed="false">
      <c r="A166" s="19"/>
      <c r="B166" s="19"/>
      <c r="C166" s="19"/>
      <c r="D166" s="19"/>
      <c r="E166" s="23"/>
      <c r="F166" s="15" t="str">
        <f aca="false">IF($A166="","",SUMIF(Purchases!$B$2:$B$1001,$A166,Purchases!$C$2:$C$1001))</f>
        <v/>
      </c>
      <c r="G166" s="19"/>
      <c r="H166" s="6" t="str">
        <f aca="false">IF($A166="","",IF($D166="",0,$D166)+$F166-IF($G166="",0,$G166))</f>
        <v/>
      </c>
      <c r="I166" s="19"/>
      <c r="J166" s="3" t="str">
        <f aca="false">IF($A166="","",IF($I166="","OK",IF($H166&lt;=$I166,"REORDER","OK")))</f>
        <v/>
      </c>
      <c r="K166" s="16" t="str">
        <f aca="false">IF($A166="","",IFERROR((IF($D166="",0,$D166)*IF($E166="",0,$E166)+SUMIF(Purchases!$B$2:$B$1001,$A166,Purchases!$E$2:$E$1001))/(IF($D166="",0,$D166)+SUMIF(Purchases!$B$2:$B$1001,$A166,Purchases!$C$2:$C$1001)),0))</f>
        <v/>
      </c>
      <c r="L166" s="9" t="str">
        <f aca="false">IF($A166="","",$H166*$K166)</f>
        <v/>
      </c>
    </row>
    <row r="167" customFormat="false" ht="15" hidden="false" customHeight="false" outlineLevel="0" collapsed="false">
      <c r="A167" s="19"/>
      <c r="B167" s="19"/>
      <c r="C167" s="19"/>
      <c r="D167" s="19"/>
      <c r="E167" s="23"/>
      <c r="F167" s="15" t="str">
        <f aca="false">IF($A167="","",SUMIF(Purchases!$B$2:$B$1001,$A167,Purchases!$C$2:$C$1001))</f>
        <v/>
      </c>
      <c r="G167" s="19"/>
      <c r="H167" s="6" t="str">
        <f aca="false">IF($A167="","",IF($D167="",0,$D167)+$F167-IF($G167="",0,$G167))</f>
        <v/>
      </c>
      <c r="I167" s="19"/>
      <c r="J167" s="3" t="str">
        <f aca="false">IF($A167="","",IF($I167="","OK",IF($H167&lt;=$I167,"REORDER","OK")))</f>
        <v/>
      </c>
      <c r="K167" s="16" t="str">
        <f aca="false">IF($A167="","",IFERROR((IF($D167="",0,$D167)*IF($E167="",0,$E167)+SUMIF(Purchases!$B$2:$B$1001,$A167,Purchases!$E$2:$E$1001))/(IF($D167="",0,$D167)+SUMIF(Purchases!$B$2:$B$1001,$A167,Purchases!$C$2:$C$1001)),0))</f>
        <v/>
      </c>
      <c r="L167" s="9" t="str">
        <f aca="false">IF($A167="","",$H167*$K167)</f>
        <v/>
      </c>
    </row>
    <row r="168" customFormat="false" ht="15" hidden="false" customHeight="false" outlineLevel="0" collapsed="false">
      <c r="A168" s="19"/>
      <c r="B168" s="19"/>
      <c r="C168" s="19"/>
      <c r="D168" s="19"/>
      <c r="E168" s="23"/>
      <c r="F168" s="15" t="str">
        <f aca="false">IF($A168="","",SUMIF(Purchases!$B$2:$B$1001,$A168,Purchases!$C$2:$C$1001))</f>
        <v/>
      </c>
      <c r="G168" s="19"/>
      <c r="H168" s="6" t="str">
        <f aca="false">IF($A168="","",IF($D168="",0,$D168)+$F168-IF($G168="",0,$G168))</f>
        <v/>
      </c>
      <c r="I168" s="19"/>
      <c r="J168" s="3" t="str">
        <f aca="false">IF($A168="","",IF($I168="","OK",IF($H168&lt;=$I168,"REORDER","OK")))</f>
        <v/>
      </c>
      <c r="K168" s="16" t="str">
        <f aca="false">IF($A168="","",IFERROR((IF($D168="",0,$D168)*IF($E168="",0,$E168)+SUMIF(Purchases!$B$2:$B$1001,$A168,Purchases!$E$2:$E$1001))/(IF($D168="",0,$D168)+SUMIF(Purchases!$B$2:$B$1001,$A168,Purchases!$C$2:$C$1001)),0))</f>
        <v/>
      </c>
      <c r="L168" s="9" t="str">
        <f aca="false">IF($A168="","",$H168*$K168)</f>
        <v/>
      </c>
    </row>
    <row r="169" customFormat="false" ht="15" hidden="false" customHeight="false" outlineLevel="0" collapsed="false">
      <c r="A169" s="19"/>
      <c r="B169" s="19"/>
      <c r="C169" s="19"/>
      <c r="D169" s="19"/>
      <c r="E169" s="23"/>
      <c r="F169" s="15" t="str">
        <f aca="false">IF($A169="","",SUMIF(Purchases!$B$2:$B$1001,$A169,Purchases!$C$2:$C$1001))</f>
        <v/>
      </c>
      <c r="G169" s="19"/>
      <c r="H169" s="6" t="str">
        <f aca="false">IF($A169="","",IF($D169="",0,$D169)+$F169-IF($G169="",0,$G169))</f>
        <v/>
      </c>
      <c r="I169" s="19"/>
      <c r="J169" s="3" t="str">
        <f aca="false">IF($A169="","",IF($I169="","OK",IF($H169&lt;=$I169,"REORDER","OK")))</f>
        <v/>
      </c>
      <c r="K169" s="16" t="str">
        <f aca="false">IF($A169="","",IFERROR((IF($D169="",0,$D169)*IF($E169="",0,$E169)+SUMIF(Purchases!$B$2:$B$1001,$A169,Purchases!$E$2:$E$1001))/(IF($D169="",0,$D169)+SUMIF(Purchases!$B$2:$B$1001,$A169,Purchases!$C$2:$C$1001)),0))</f>
        <v/>
      </c>
      <c r="L169" s="9" t="str">
        <f aca="false">IF($A169="","",$H169*$K169)</f>
        <v/>
      </c>
    </row>
    <row r="170" customFormat="false" ht="15" hidden="false" customHeight="false" outlineLevel="0" collapsed="false">
      <c r="A170" s="19"/>
      <c r="B170" s="19"/>
      <c r="C170" s="19"/>
      <c r="D170" s="19"/>
      <c r="E170" s="23"/>
      <c r="F170" s="15" t="str">
        <f aca="false">IF($A170="","",SUMIF(Purchases!$B$2:$B$1001,$A170,Purchases!$C$2:$C$1001))</f>
        <v/>
      </c>
      <c r="G170" s="19"/>
      <c r="H170" s="6" t="str">
        <f aca="false">IF($A170="","",IF($D170="",0,$D170)+$F170-IF($G170="",0,$G170))</f>
        <v/>
      </c>
      <c r="I170" s="19"/>
      <c r="J170" s="3" t="str">
        <f aca="false">IF($A170="","",IF($I170="","OK",IF($H170&lt;=$I170,"REORDER","OK")))</f>
        <v/>
      </c>
      <c r="K170" s="16" t="str">
        <f aca="false">IF($A170="","",IFERROR((IF($D170="",0,$D170)*IF($E170="",0,$E170)+SUMIF(Purchases!$B$2:$B$1001,$A170,Purchases!$E$2:$E$1001))/(IF($D170="",0,$D170)+SUMIF(Purchases!$B$2:$B$1001,$A170,Purchases!$C$2:$C$1001)),0))</f>
        <v/>
      </c>
      <c r="L170" s="9" t="str">
        <f aca="false">IF($A170="","",$H170*$K170)</f>
        <v/>
      </c>
    </row>
    <row r="171" customFormat="false" ht="15" hidden="false" customHeight="false" outlineLevel="0" collapsed="false">
      <c r="A171" s="19"/>
      <c r="B171" s="19"/>
      <c r="C171" s="19"/>
      <c r="D171" s="19"/>
      <c r="E171" s="23"/>
      <c r="F171" s="15" t="str">
        <f aca="false">IF($A171="","",SUMIF(Purchases!$B$2:$B$1001,$A171,Purchases!$C$2:$C$1001))</f>
        <v/>
      </c>
      <c r="G171" s="19"/>
      <c r="H171" s="6" t="str">
        <f aca="false">IF($A171="","",IF($D171="",0,$D171)+$F171-IF($G171="",0,$G171))</f>
        <v/>
      </c>
      <c r="I171" s="19"/>
      <c r="J171" s="3" t="str">
        <f aca="false">IF($A171="","",IF($I171="","OK",IF($H171&lt;=$I171,"REORDER","OK")))</f>
        <v/>
      </c>
      <c r="K171" s="16" t="str">
        <f aca="false">IF($A171="","",IFERROR((IF($D171="",0,$D171)*IF($E171="",0,$E171)+SUMIF(Purchases!$B$2:$B$1001,$A171,Purchases!$E$2:$E$1001))/(IF($D171="",0,$D171)+SUMIF(Purchases!$B$2:$B$1001,$A171,Purchases!$C$2:$C$1001)),0))</f>
        <v/>
      </c>
      <c r="L171" s="9" t="str">
        <f aca="false">IF($A171="","",$H171*$K171)</f>
        <v/>
      </c>
    </row>
    <row r="172" customFormat="false" ht="15" hidden="false" customHeight="false" outlineLevel="0" collapsed="false">
      <c r="A172" s="19"/>
      <c r="B172" s="19"/>
      <c r="C172" s="19"/>
      <c r="D172" s="19"/>
      <c r="E172" s="23"/>
      <c r="F172" s="15" t="str">
        <f aca="false">IF($A172="","",SUMIF(Purchases!$B$2:$B$1001,$A172,Purchases!$C$2:$C$1001))</f>
        <v/>
      </c>
      <c r="G172" s="19"/>
      <c r="H172" s="6" t="str">
        <f aca="false">IF($A172="","",IF($D172="",0,$D172)+$F172-IF($G172="",0,$G172))</f>
        <v/>
      </c>
      <c r="I172" s="19"/>
      <c r="J172" s="3" t="str">
        <f aca="false">IF($A172="","",IF($I172="","OK",IF($H172&lt;=$I172,"REORDER","OK")))</f>
        <v/>
      </c>
      <c r="K172" s="16" t="str">
        <f aca="false">IF($A172="","",IFERROR((IF($D172="",0,$D172)*IF($E172="",0,$E172)+SUMIF(Purchases!$B$2:$B$1001,$A172,Purchases!$E$2:$E$1001))/(IF($D172="",0,$D172)+SUMIF(Purchases!$B$2:$B$1001,$A172,Purchases!$C$2:$C$1001)),0))</f>
        <v/>
      </c>
      <c r="L172" s="9" t="str">
        <f aca="false">IF($A172="","",$H172*$K172)</f>
        <v/>
      </c>
    </row>
    <row r="173" customFormat="false" ht="15" hidden="false" customHeight="false" outlineLevel="0" collapsed="false">
      <c r="A173" s="19"/>
      <c r="B173" s="19"/>
      <c r="C173" s="19"/>
      <c r="D173" s="19"/>
      <c r="E173" s="23"/>
      <c r="F173" s="15" t="str">
        <f aca="false">IF($A173="","",SUMIF(Purchases!$B$2:$B$1001,$A173,Purchases!$C$2:$C$1001))</f>
        <v/>
      </c>
      <c r="G173" s="19"/>
      <c r="H173" s="6" t="str">
        <f aca="false">IF($A173="","",IF($D173="",0,$D173)+$F173-IF($G173="",0,$G173))</f>
        <v/>
      </c>
      <c r="I173" s="19"/>
      <c r="J173" s="3" t="str">
        <f aca="false">IF($A173="","",IF($I173="","OK",IF($H173&lt;=$I173,"REORDER","OK")))</f>
        <v/>
      </c>
      <c r="K173" s="16" t="str">
        <f aca="false">IF($A173="","",IFERROR((IF($D173="",0,$D173)*IF($E173="",0,$E173)+SUMIF(Purchases!$B$2:$B$1001,$A173,Purchases!$E$2:$E$1001))/(IF($D173="",0,$D173)+SUMIF(Purchases!$B$2:$B$1001,$A173,Purchases!$C$2:$C$1001)),0))</f>
        <v/>
      </c>
      <c r="L173" s="9" t="str">
        <f aca="false">IF($A173="","",$H173*$K173)</f>
        <v/>
      </c>
    </row>
    <row r="174" customFormat="false" ht="15" hidden="false" customHeight="false" outlineLevel="0" collapsed="false">
      <c r="A174" s="19"/>
      <c r="B174" s="19"/>
      <c r="C174" s="19"/>
      <c r="D174" s="19"/>
      <c r="E174" s="23"/>
      <c r="F174" s="15" t="str">
        <f aca="false">IF($A174="","",SUMIF(Purchases!$B$2:$B$1001,$A174,Purchases!$C$2:$C$1001))</f>
        <v/>
      </c>
      <c r="G174" s="19"/>
      <c r="H174" s="6" t="str">
        <f aca="false">IF($A174="","",IF($D174="",0,$D174)+$F174-IF($G174="",0,$G174))</f>
        <v/>
      </c>
      <c r="I174" s="19"/>
      <c r="J174" s="3" t="str">
        <f aca="false">IF($A174="","",IF($I174="","OK",IF($H174&lt;=$I174,"REORDER","OK")))</f>
        <v/>
      </c>
      <c r="K174" s="16" t="str">
        <f aca="false">IF($A174="","",IFERROR((IF($D174="",0,$D174)*IF($E174="",0,$E174)+SUMIF(Purchases!$B$2:$B$1001,$A174,Purchases!$E$2:$E$1001))/(IF($D174="",0,$D174)+SUMIF(Purchases!$B$2:$B$1001,$A174,Purchases!$C$2:$C$1001)),0))</f>
        <v/>
      </c>
      <c r="L174" s="9" t="str">
        <f aca="false">IF($A174="","",$H174*$K174)</f>
        <v/>
      </c>
    </row>
    <row r="175" customFormat="false" ht="15" hidden="false" customHeight="false" outlineLevel="0" collapsed="false">
      <c r="A175" s="19"/>
      <c r="B175" s="19"/>
      <c r="C175" s="19"/>
      <c r="D175" s="19"/>
      <c r="E175" s="23"/>
      <c r="F175" s="15" t="str">
        <f aca="false">IF($A175="","",SUMIF(Purchases!$B$2:$B$1001,$A175,Purchases!$C$2:$C$1001))</f>
        <v/>
      </c>
      <c r="G175" s="19"/>
      <c r="H175" s="6" t="str">
        <f aca="false">IF($A175="","",IF($D175="",0,$D175)+$F175-IF($G175="",0,$G175))</f>
        <v/>
      </c>
      <c r="I175" s="19"/>
      <c r="J175" s="3" t="str">
        <f aca="false">IF($A175="","",IF($I175="","OK",IF($H175&lt;=$I175,"REORDER","OK")))</f>
        <v/>
      </c>
      <c r="K175" s="16" t="str">
        <f aca="false">IF($A175="","",IFERROR((IF($D175="",0,$D175)*IF($E175="",0,$E175)+SUMIF(Purchases!$B$2:$B$1001,$A175,Purchases!$E$2:$E$1001))/(IF($D175="",0,$D175)+SUMIF(Purchases!$B$2:$B$1001,$A175,Purchases!$C$2:$C$1001)),0))</f>
        <v/>
      </c>
      <c r="L175" s="9" t="str">
        <f aca="false">IF($A175="","",$H175*$K175)</f>
        <v/>
      </c>
    </row>
    <row r="176" customFormat="false" ht="15" hidden="false" customHeight="false" outlineLevel="0" collapsed="false">
      <c r="A176" s="19"/>
      <c r="B176" s="19"/>
      <c r="C176" s="19"/>
      <c r="D176" s="19"/>
      <c r="E176" s="23"/>
      <c r="F176" s="15" t="str">
        <f aca="false">IF($A176="","",SUMIF(Purchases!$B$2:$B$1001,$A176,Purchases!$C$2:$C$1001))</f>
        <v/>
      </c>
      <c r="G176" s="19"/>
      <c r="H176" s="6" t="str">
        <f aca="false">IF($A176="","",IF($D176="",0,$D176)+$F176-IF($G176="",0,$G176))</f>
        <v/>
      </c>
      <c r="I176" s="19"/>
      <c r="J176" s="3" t="str">
        <f aca="false">IF($A176="","",IF($I176="","OK",IF($H176&lt;=$I176,"REORDER","OK")))</f>
        <v/>
      </c>
      <c r="K176" s="16" t="str">
        <f aca="false">IF($A176="","",IFERROR((IF($D176="",0,$D176)*IF($E176="",0,$E176)+SUMIF(Purchases!$B$2:$B$1001,$A176,Purchases!$E$2:$E$1001))/(IF($D176="",0,$D176)+SUMIF(Purchases!$B$2:$B$1001,$A176,Purchases!$C$2:$C$1001)),0))</f>
        <v/>
      </c>
      <c r="L176" s="9" t="str">
        <f aca="false">IF($A176="","",$H176*$K176)</f>
        <v/>
      </c>
    </row>
    <row r="177" customFormat="false" ht="15" hidden="false" customHeight="false" outlineLevel="0" collapsed="false">
      <c r="A177" s="19"/>
      <c r="B177" s="19"/>
      <c r="C177" s="19"/>
      <c r="D177" s="19"/>
      <c r="E177" s="23"/>
      <c r="F177" s="15" t="str">
        <f aca="false">IF($A177="","",SUMIF(Purchases!$B$2:$B$1001,$A177,Purchases!$C$2:$C$1001))</f>
        <v/>
      </c>
      <c r="G177" s="19"/>
      <c r="H177" s="6" t="str">
        <f aca="false">IF($A177="","",IF($D177="",0,$D177)+$F177-IF($G177="",0,$G177))</f>
        <v/>
      </c>
      <c r="I177" s="19"/>
      <c r="J177" s="3" t="str">
        <f aca="false">IF($A177="","",IF($I177="","OK",IF($H177&lt;=$I177,"REORDER","OK")))</f>
        <v/>
      </c>
      <c r="K177" s="16" t="str">
        <f aca="false">IF($A177="","",IFERROR((IF($D177="",0,$D177)*IF($E177="",0,$E177)+SUMIF(Purchases!$B$2:$B$1001,$A177,Purchases!$E$2:$E$1001))/(IF($D177="",0,$D177)+SUMIF(Purchases!$B$2:$B$1001,$A177,Purchases!$C$2:$C$1001)),0))</f>
        <v/>
      </c>
      <c r="L177" s="9" t="str">
        <f aca="false">IF($A177="","",$H177*$K177)</f>
        <v/>
      </c>
    </row>
    <row r="178" customFormat="false" ht="15" hidden="false" customHeight="false" outlineLevel="0" collapsed="false">
      <c r="A178" s="19"/>
      <c r="B178" s="19"/>
      <c r="C178" s="19"/>
      <c r="D178" s="19"/>
      <c r="E178" s="23"/>
      <c r="F178" s="15" t="str">
        <f aca="false">IF($A178="","",SUMIF(Purchases!$B$2:$B$1001,$A178,Purchases!$C$2:$C$1001))</f>
        <v/>
      </c>
      <c r="G178" s="19"/>
      <c r="H178" s="6" t="str">
        <f aca="false">IF($A178="","",IF($D178="",0,$D178)+$F178-IF($G178="",0,$G178))</f>
        <v/>
      </c>
      <c r="I178" s="19"/>
      <c r="J178" s="3" t="str">
        <f aca="false">IF($A178="","",IF($I178="","OK",IF($H178&lt;=$I178,"REORDER","OK")))</f>
        <v/>
      </c>
      <c r="K178" s="16" t="str">
        <f aca="false">IF($A178="","",IFERROR((IF($D178="",0,$D178)*IF($E178="",0,$E178)+SUMIF(Purchases!$B$2:$B$1001,$A178,Purchases!$E$2:$E$1001))/(IF($D178="",0,$D178)+SUMIF(Purchases!$B$2:$B$1001,$A178,Purchases!$C$2:$C$1001)),0))</f>
        <v/>
      </c>
      <c r="L178" s="9" t="str">
        <f aca="false">IF($A178="","",$H178*$K178)</f>
        <v/>
      </c>
    </row>
    <row r="179" customFormat="false" ht="15" hidden="false" customHeight="false" outlineLevel="0" collapsed="false">
      <c r="A179" s="19"/>
      <c r="B179" s="19"/>
      <c r="C179" s="19"/>
      <c r="D179" s="19"/>
      <c r="E179" s="23"/>
      <c r="F179" s="15" t="str">
        <f aca="false">IF($A179="","",SUMIF(Purchases!$B$2:$B$1001,$A179,Purchases!$C$2:$C$1001))</f>
        <v/>
      </c>
      <c r="G179" s="19"/>
      <c r="H179" s="6" t="str">
        <f aca="false">IF($A179="","",IF($D179="",0,$D179)+$F179-IF($G179="",0,$G179))</f>
        <v/>
      </c>
      <c r="I179" s="19"/>
      <c r="J179" s="3" t="str">
        <f aca="false">IF($A179="","",IF($I179="","OK",IF($H179&lt;=$I179,"REORDER","OK")))</f>
        <v/>
      </c>
      <c r="K179" s="16" t="str">
        <f aca="false">IF($A179="","",IFERROR((IF($D179="",0,$D179)*IF($E179="",0,$E179)+SUMIF(Purchases!$B$2:$B$1001,$A179,Purchases!$E$2:$E$1001))/(IF($D179="",0,$D179)+SUMIF(Purchases!$B$2:$B$1001,$A179,Purchases!$C$2:$C$1001)),0))</f>
        <v/>
      </c>
      <c r="L179" s="9" t="str">
        <f aca="false">IF($A179="","",$H179*$K179)</f>
        <v/>
      </c>
    </row>
    <row r="180" customFormat="false" ht="15" hidden="false" customHeight="false" outlineLevel="0" collapsed="false">
      <c r="A180" s="19"/>
      <c r="B180" s="19"/>
      <c r="C180" s="19"/>
      <c r="D180" s="19"/>
      <c r="E180" s="23"/>
      <c r="F180" s="15" t="str">
        <f aca="false">IF($A180="","",SUMIF(Purchases!$B$2:$B$1001,$A180,Purchases!$C$2:$C$1001))</f>
        <v/>
      </c>
      <c r="G180" s="19"/>
      <c r="H180" s="6" t="str">
        <f aca="false">IF($A180="","",IF($D180="",0,$D180)+$F180-IF($G180="",0,$G180))</f>
        <v/>
      </c>
      <c r="I180" s="19"/>
      <c r="J180" s="3" t="str">
        <f aca="false">IF($A180="","",IF($I180="","OK",IF($H180&lt;=$I180,"REORDER","OK")))</f>
        <v/>
      </c>
      <c r="K180" s="16" t="str">
        <f aca="false">IF($A180="","",IFERROR((IF($D180="",0,$D180)*IF($E180="",0,$E180)+SUMIF(Purchases!$B$2:$B$1001,$A180,Purchases!$E$2:$E$1001))/(IF($D180="",0,$D180)+SUMIF(Purchases!$B$2:$B$1001,$A180,Purchases!$C$2:$C$1001)),0))</f>
        <v/>
      </c>
      <c r="L180" s="9" t="str">
        <f aca="false">IF($A180="","",$H180*$K180)</f>
        <v/>
      </c>
    </row>
    <row r="181" customFormat="false" ht="15" hidden="false" customHeight="false" outlineLevel="0" collapsed="false">
      <c r="A181" s="19"/>
      <c r="B181" s="19"/>
      <c r="C181" s="19"/>
      <c r="D181" s="19"/>
      <c r="E181" s="23"/>
      <c r="F181" s="15" t="str">
        <f aca="false">IF($A181="","",SUMIF(Purchases!$B$2:$B$1001,$A181,Purchases!$C$2:$C$1001))</f>
        <v/>
      </c>
      <c r="G181" s="19"/>
      <c r="H181" s="6" t="str">
        <f aca="false">IF($A181="","",IF($D181="",0,$D181)+$F181-IF($G181="",0,$G181))</f>
        <v/>
      </c>
      <c r="I181" s="19"/>
      <c r="J181" s="3" t="str">
        <f aca="false">IF($A181="","",IF($I181="","OK",IF($H181&lt;=$I181,"REORDER","OK")))</f>
        <v/>
      </c>
      <c r="K181" s="16" t="str">
        <f aca="false">IF($A181="","",IFERROR((IF($D181="",0,$D181)*IF($E181="",0,$E181)+SUMIF(Purchases!$B$2:$B$1001,$A181,Purchases!$E$2:$E$1001))/(IF($D181="",0,$D181)+SUMIF(Purchases!$B$2:$B$1001,$A181,Purchases!$C$2:$C$1001)),0))</f>
        <v/>
      </c>
      <c r="L181" s="9" t="str">
        <f aca="false">IF($A181="","",$H181*$K181)</f>
        <v/>
      </c>
    </row>
    <row r="182" customFormat="false" ht="15" hidden="false" customHeight="false" outlineLevel="0" collapsed="false">
      <c r="A182" s="19"/>
      <c r="B182" s="19"/>
      <c r="C182" s="19"/>
      <c r="D182" s="19"/>
      <c r="E182" s="23"/>
      <c r="F182" s="15" t="str">
        <f aca="false">IF($A182="","",SUMIF(Purchases!$B$2:$B$1001,$A182,Purchases!$C$2:$C$1001))</f>
        <v/>
      </c>
      <c r="G182" s="19"/>
      <c r="H182" s="6" t="str">
        <f aca="false">IF($A182="","",IF($D182="",0,$D182)+$F182-IF($G182="",0,$G182))</f>
        <v/>
      </c>
      <c r="I182" s="19"/>
      <c r="J182" s="3" t="str">
        <f aca="false">IF($A182="","",IF($I182="","OK",IF($H182&lt;=$I182,"REORDER","OK")))</f>
        <v/>
      </c>
      <c r="K182" s="16" t="str">
        <f aca="false">IF($A182="","",IFERROR((IF($D182="",0,$D182)*IF($E182="",0,$E182)+SUMIF(Purchases!$B$2:$B$1001,$A182,Purchases!$E$2:$E$1001))/(IF($D182="",0,$D182)+SUMIF(Purchases!$B$2:$B$1001,$A182,Purchases!$C$2:$C$1001)),0))</f>
        <v/>
      </c>
      <c r="L182" s="9" t="str">
        <f aca="false">IF($A182="","",$H182*$K182)</f>
        <v/>
      </c>
    </row>
    <row r="183" customFormat="false" ht="15" hidden="false" customHeight="false" outlineLevel="0" collapsed="false">
      <c r="A183" s="19"/>
      <c r="B183" s="19"/>
      <c r="C183" s="19"/>
      <c r="D183" s="19"/>
      <c r="E183" s="23"/>
      <c r="F183" s="15" t="str">
        <f aca="false">IF($A183="","",SUMIF(Purchases!$B$2:$B$1001,$A183,Purchases!$C$2:$C$1001))</f>
        <v/>
      </c>
      <c r="G183" s="19"/>
      <c r="H183" s="6" t="str">
        <f aca="false">IF($A183="","",IF($D183="",0,$D183)+$F183-IF($G183="",0,$G183))</f>
        <v/>
      </c>
      <c r="I183" s="19"/>
      <c r="J183" s="3" t="str">
        <f aca="false">IF($A183="","",IF($I183="","OK",IF($H183&lt;=$I183,"REORDER","OK")))</f>
        <v/>
      </c>
      <c r="K183" s="16" t="str">
        <f aca="false">IF($A183="","",IFERROR((IF($D183="",0,$D183)*IF($E183="",0,$E183)+SUMIF(Purchases!$B$2:$B$1001,$A183,Purchases!$E$2:$E$1001))/(IF($D183="",0,$D183)+SUMIF(Purchases!$B$2:$B$1001,$A183,Purchases!$C$2:$C$1001)),0))</f>
        <v/>
      </c>
      <c r="L183" s="9" t="str">
        <f aca="false">IF($A183="","",$H183*$K183)</f>
        <v/>
      </c>
    </row>
    <row r="184" customFormat="false" ht="15" hidden="false" customHeight="false" outlineLevel="0" collapsed="false">
      <c r="A184" s="19"/>
      <c r="B184" s="19"/>
      <c r="C184" s="19"/>
      <c r="D184" s="19"/>
      <c r="E184" s="23"/>
      <c r="F184" s="15" t="str">
        <f aca="false">IF($A184="","",SUMIF(Purchases!$B$2:$B$1001,$A184,Purchases!$C$2:$C$1001))</f>
        <v/>
      </c>
      <c r="G184" s="19"/>
      <c r="H184" s="6" t="str">
        <f aca="false">IF($A184="","",IF($D184="",0,$D184)+$F184-IF($G184="",0,$G184))</f>
        <v/>
      </c>
      <c r="I184" s="19"/>
      <c r="J184" s="3" t="str">
        <f aca="false">IF($A184="","",IF($I184="","OK",IF($H184&lt;=$I184,"REORDER","OK")))</f>
        <v/>
      </c>
      <c r="K184" s="16" t="str">
        <f aca="false">IF($A184="","",IFERROR((IF($D184="",0,$D184)*IF($E184="",0,$E184)+SUMIF(Purchases!$B$2:$B$1001,$A184,Purchases!$E$2:$E$1001))/(IF($D184="",0,$D184)+SUMIF(Purchases!$B$2:$B$1001,$A184,Purchases!$C$2:$C$1001)),0))</f>
        <v/>
      </c>
      <c r="L184" s="9" t="str">
        <f aca="false">IF($A184="","",$H184*$K184)</f>
        <v/>
      </c>
    </row>
    <row r="185" customFormat="false" ht="15" hidden="false" customHeight="false" outlineLevel="0" collapsed="false">
      <c r="A185" s="19"/>
      <c r="B185" s="19"/>
      <c r="C185" s="19"/>
      <c r="D185" s="19"/>
      <c r="E185" s="23"/>
      <c r="F185" s="15" t="str">
        <f aca="false">IF($A185="","",SUMIF(Purchases!$B$2:$B$1001,$A185,Purchases!$C$2:$C$1001))</f>
        <v/>
      </c>
      <c r="G185" s="19"/>
      <c r="H185" s="6" t="str">
        <f aca="false">IF($A185="","",IF($D185="",0,$D185)+$F185-IF($G185="",0,$G185))</f>
        <v/>
      </c>
      <c r="I185" s="19"/>
      <c r="J185" s="3" t="str">
        <f aca="false">IF($A185="","",IF($I185="","OK",IF($H185&lt;=$I185,"REORDER","OK")))</f>
        <v/>
      </c>
      <c r="K185" s="16" t="str">
        <f aca="false">IF($A185="","",IFERROR((IF($D185="",0,$D185)*IF($E185="",0,$E185)+SUMIF(Purchases!$B$2:$B$1001,$A185,Purchases!$E$2:$E$1001))/(IF($D185="",0,$D185)+SUMIF(Purchases!$B$2:$B$1001,$A185,Purchases!$C$2:$C$1001)),0))</f>
        <v/>
      </c>
      <c r="L185" s="9" t="str">
        <f aca="false">IF($A185="","",$H185*$K185)</f>
        <v/>
      </c>
    </row>
    <row r="186" customFormat="false" ht="15" hidden="false" customHeight="false" outlineLevel="0" collapsed="false">
      <c r="A186" s="19"/>
      <c r="B186" s="19"/>
      <c r="C186" s="19"/>
      <c r="D186" s="19"/>
      <c r="E186" s="23"/>
      <c r="F186" s="15" t="str">
        <f aca="false">IF($A186="","",SUMIF(Purchases!$B$2:$B$1001,$A186,Purchases!$C$2:$C$1001))</f>
        <v/>
      </c>
      <c r="G186" s="19"/>
      <c r="H186" s="6" t="str">
        <f aca="false">IF($A186="","",IF($D186="",0,$D186)+$F186-IF($G186="",0,$G186))</f>
        <v/>
      </c>
      <c r="I186" s="19"/>
      <c r="J186" s="3" t="str">
        <f aca="false">IF($A186="","",IF($I186="","OK",IF($H186&lt;=$I186,"REORDER","OK")))</f>
        <v/>
      </c>
      <c r="K186" s="16" t="str">
        <f aca="false">IF($A186="","",IFERROR((IF($D186="",0,$D186)*IF($E186="",0,$E186)+SUMIF(Purchases!$B$2:$B$1001,$A186,Purchases!$E$2:$E$1001))/(IF($D186="",0,$D186)+SUMIF(Purchases!$B$2:$B$1001,$A186,Purchases!$C$2:$C$1001)),0))</f>
        <v/>
      </c>
      <c r="L186" s="9" t="str">
        <f aca="false">IF($A186="","",$H186*$K186)</f>
        <v/>
      </c>
    </row>
    <row r="187" customFormat="false" ht="15" hidden="false" customHeight="false" outlineLevel="0" collapsed="false">
      <c r="A187" s="19"/>
      <c r="B187" s="19"/>
      <c r="C187" s="19"/>
      <c r="D187" s="19"/>
      <c r="E187" s="23"/>
      <c r="F187" s="15" t="str">
        <f aca="false">IF($A187="","",SUMIF(Purchases!$B$2:$B$1001,$A187,Purchases!$C$2:$C$1001))</f>
        <v/>
      </c>
      <c r="G187" s="19"/>
      <c r="H187" s="6" t="str">
        <f aca="false">IF($A187="","",IF($D187="",0,$D187)+$F187-IF($G187="",0,$G187))</f>
        <v/>
      </c>
      <c r="I187" s="19"/>
      <c r="J187" s="3" t="str">
        <f aca="false">IF($A187="","",IF($I187="","OK",IF($H187&lt;=$I187,"REORDER","OK")))</f>
        <v/>
      </c>
      <c r="K187" s="16" t="str">
        <f aca="false">IF($A187="","",IFERROR((IF($D187="",0,$D187)*IF($E187="",0,$E187)+SUMIF(Purchases!$B$2:$B$1001,$A187,Purchases!$E$2:$E$1001))/(IF($D187="",0,$D187)+SUMIF(Purchases!$B$2:$B$1001,$A187,Purchases!$C$2:$C$1001)),0))</f>
        <v/>
      </c>
      <c r="L187" s="9" t="str">
        <f aca="false">IF($A187="","",$H187*$K187)</f>
        <v/>
      </c>
    </row>
    <row r="188" customFormat="false" ht="15" hidden="false" customHeight="false" outlineLevel="0" collapsed="false">
      <c r="A188" s="19"/>
      <c r="B188" s="19"/>
      <c r="C188" s="19"/>
      <c r="D188" s="19"/>
      <c r="E188" s="23"/>
      <c r="F188" s="15" t="str">
        <f aca="false">IF($A188="","",SUMIF(Purchases!$B$2:$B$1001,$A188,Purchases!$C$2:$C$1001))</f>
        <v/>
      </c>
      <c r="G188" s="19"/>
      <c r="H188" s="6" t="str">
        <f aca="false">IF($A188="","",IF($D188="",0,$D188)+$F188-IF($G188="",0,$G188))</f>
        <v/>
      </c>
      <c r="I188" s="19"/>
      <c r="J188" s="3" t="str">
        <f aca="false">IF($A188="","",IF($I188="","OK",IF($H188&lt;=$I188,"REORDER","OK")))</f>
        <v/>
      </c>
      <c r="K188" s="16" t="str">
        <f aca="false">IF($A188="","",IFERROR((IF($D188="",0,$D188)*IF($E188="",0,$E188)+SUMIF(Purchases!$B$2:$B$1001,$A188,Purchases!$E$2:$E$1001))/(IF($D188="",0,$D188)+SUMIF(Purchases!$B$2:$B$1001,$A188,Purchases!$C$2:$C$1001)),0))</f>
        <v/>
      </c>
      <c r="L188" s="9" t="str">
        <f aca="false">IF($A188="","",$H188*$K188)</f>
        <v/>
      </c>
    </row>
    <row r="189" customFormat="false" ht="15" hidden="false" customHeight="false" outlineLevel="0" collapsed="false">
      <c r="A189" s="19"/>
      <c r="B189" s="19"/>
      <c r="C189" s="19"/>
      <c r="D189" s="19"/>
      <c r="E189" s="23"/>
      <c r="F189" s="15" t="str">
        <f aca="false">IF($A189="","",SUMIF(Purchases!$B$2:$B$1001,$A189,Purchases!$C$2:$C$1001))</f>
        <v/>
      </c>
      <c r="G189" s="19"/>
      <c r="H189" s="6" t="str">
        <f aca="false">IF($A189="","",IF($D189="",0,$D189)+$F189-IF($G189="",0,$G189))</f>
        <v/>
      </c>
      <c r="I189" s="19"/>
      <c r="J189" s="3" t="str">
        <f aca="false">IF($A189="","",IF($I189="","OK",IF($H189&lt;=$I189,"REORDER","OK")))</f>
        <v/>
      </c>
      <c r="K189" s="16" t="str">
        <f aca="false">IF($A189="","",IFERROR((IF($D189="",0,$D189)*IF($E189="",0,$E189)+SUMIF(Purchases!$B$2:$B$1001,$A189,Purchases!$E$2:$E$1001))/(IF($D189="",0,$D189)+SUMIF(Purchases!$B$2:$B$1001,$A189,Purchases!$C$2:$C$1001)),0))</f>
        <v/>
      </c>
      <c r="L189" s="9" t="str">
        <f aca="false">IF($A189="","",$H189*$K189)</f>
        <v/>
      </c>
    </row>
    <row r="190" customFormat="false" ht="15" hidden="false" customHeight="false" outlineLevel="0" collapsed="false">
      <c r="A190" s="19"/>
      <c r="B190" s="19"/>
      <c r="C190" s="19"/>
      <c r="D190" s="19"/>
      <c r="E190" s="23"/>
      <c r="F190" s="15" t="str">
        <f aca="false">IF($A190="","",SUMIF(Purchases!$B$2:$B$1001,$A190,Purchases!$C$2:$C$1001))</f>
        <v/>
      </c>
      <c r="G190" s="19"/>
      <c r="H190" s="6" t="str">
        <f aca="false">IF($A190="","",IF($D190="",0,$D190)+$F190-IF($G190="",0,$G190))</f>
        <v/>
      </c>
      <c r="I190" s="19"/>
      <c r="J190" s="3" t="str">
        <f aca="false">IF($A190="","",IF($I190="","OK",IF($H190&lt;=$I190,"REORDER","OK")))</f>
        <v/>
      </c>
      <c r="K190" s="16" t="str">
        <f aca="false">IF($A190="","",IFERROR((IF($D190="",0,$D190)*IF($E190="",0,$E190)+SUMIF(Purchases!$B$2:$B$1001,$A190,Purchases!$E$2:$E$1001))/(IF($D190="",0,$D190)+SUMIF(Purchases!$B$2:$B$1001,$A190,Purchases!$C$2:$C$1001)),0))</f>
        <v/>
      </c>
      <c r="L190" s="9" t="str">
        <f aca="false">IF($A190="","",$H190*$K190)</f>
        <v/>
      </c>
    </row>
    <row r="191" customFormat="false" ht="15" hidden="false" customHeight="false" outlineLevel="0" collapsed="false">
      <c r="A191" s="19"/>
      <c r="B191" s="19"/>
      <c r="C191" s="19"/>
      <c r="D191" s="19"/>
      <c r="E191" s="23"/>
      <c r="F191" s="15" t="str">
        <f aca="false">IF($A191="","",SUMIF(Purchases!$B$2:$B$1001,$A191,Purchases!$C$2:$C$1001))</f>
        <v/>
      </c>
      <c r="G191" s="19"/>
      <c r="H191" s="6" t="str">
        <f aca="false">IF($A191="","",IF($D191="",0,$D191)+$F191-IF($G191="",0,$G191))</f>
        <v/>
      </c>
      <c r="I191" s="19"/>
      <c r="J191" s="3" t="str">
        <f aca="false">IF($A191="","",IF($I191="","OK",IF($H191&lt;=$I191,"REORDER","OK")))</f>
        <v/>
      </c>
      <c r="K191" s="16" t="str">
        <f aca="false">IF($A191="","",IFERROR((IF($D191="",0,$D191)*IF($E191="",0,$E191)+SUMIF(Purchases!$B$2:$B$1001,$A191,Purchases!$E$2:$E$1001))/(IF($D191="",0,$D191)+SUMIF(Purchases!$B$2:$B$1001,$A191,Purchases!$C$2:$C$1001)),0))</f>
        <v/>
      </c>
      <c r="L191" s="9" t="str">
        <f aca="false">IF($A191="","",$H191*$K191)</f>
        <v/>
      </c>
    </row>
    <row r="192" customFormat="false" ht="15" hidden="false" customHeight="false" outlineLevel="0" collapsed="false">
      <c r="A192" s="19"/>
      <c r="B192" s="19"/>
      <c r="C192" s="19"/>
      <c r="D192" s="19"/>
      <c r="E192" s="23"/>
      <c r="F192" s="15" t="str">
        <f aca="false">IF($A192="","",SUMIF(Purchases!$B$2:$B$1001,$A192,Purchases!$C$2:$C$1001))</f>
        <v/>
      </c>
      <c r="G192" s="19"/>
      <c r="H192" s="6" t="str">
        <f aca="false">IF($A192="","",IF($D192="",0,$D192)+$F192-IF($G192="",0,$G192))</f>
        <v/>
      </c>
      <c r="I192" s="19"/>
      <c r="J192" s="3" t="str">
        <f aca="false">IF($A192="","",IF($I192="","OK",IF($H192&lt;=$I192,"REORDER","OK")))</f>
        <v/>
      </c>
      <c r="K192" s="16" t="str">
        <f aca="false">IF($A192="","",IFERROR((IF($D192="",0,$D192)*IF($E192="",0,$E192)+SUMIF(Purchases!$B$2:$B$1001,$A192,Purchases!$E$2:$E$1001))/(IF($D192="",0,$D192)+SUMIF(Purchases!$B$2:$B$1001,$A192,Purchases!$C$2:$C$1001)),0))</f>
        <v/>
      </c>
      <c r="L192" s="9" t="str">
        <f aca="false">IF($A192="","",$H192*$K192)</f>
        <v/>
      </c>
    </row>
    <row r="193" customFormat="false" ht="15" hidden="false" customHeight="false" outlineLevel="0" collapsed="false">
      <c r="A193" s="19"/>
      <c r="B193" s="19"/>
      <c r="C193" s="19"/>
      <c r="D193" s="19"/>
      <c r="E193" s="23"/>
      <c r="F193" s="15" t="str">
        <f aca="false">IF($A193="","",SUMIF(Purchases!$B$2:$B$1001,$A193,Purchases!$C$2:$C$1001))</f>
        <v/>
      </c>
      <c r="G193" s="19"/>
      <c r="H193" s="6" t="str">
        <f aca="false">IF($A193="","",IF($D193="",0,$D193)+$F193-IF($G193="",0,$G193))</f>
        <v/>
      </c>
      <c r="I193" s="19"/>
      <c r="J193" s="3" t="str">
        <f aca="false">IF($A193="","",IF($I193="","OK",IF($H193&lt;=$I193,"REORDER","OK")))</f>
        <v/>
      </c>
      <c r="K193" s="16" t="str">
        <f aca="false">IF($A193="","",IFERROR((IF($D193="",0,$D193)*IF($E193="",0,$E193)+SUMIF(Purchases!$B$2:$B$1001,$A193,Purchases!$E$2:$E$1001))/(IF($D193="",0,$D193)+SUMIF(Purchases!$B$2:$B$1001,$A193,Purchases!$C$2:$C$1001)),0))</f>
        <v/>
      </c>
      <c r="L193" s="9" t="str">
        <f aca="false">IF($A193="","",$H193*$K193)</f>
        <v/>
      </c>
    </row>
    <row r="194" customFormat="false" ht="15" hidden="false" customHeight="false" outlineLevel="0" collapsed="false">
      <c r="A194" s="19"/>
      <c r="B194" s="19"/>
      <c r="C194" s="19"/>
      <c r="D194" s="19"/>
      <c r="E194" s="23"/>
      <c r="F194" s="15" t="str">
        <f aca="false">IF($A194="","",SUMIF(Purchases!$B$2:$B$1001,$A194,Purchases!$C$2:$C$1001))</f>
        <v/>
      </c>
      <c r="G194" s="19"/>
      <c r="H194" s="6" t="str">
        <f aca="false">IF($A194="","",IF($D194="",0,$D194)+$F194-IF($G194="",0,$G194))</f>
        <v/>
      </c>
      <c r="I194" s="19"/>
      <c r="J194" s="3" t="str">
        <f aca="false">IF($A194="","",IF($I194="","OK",IF($H194&lt;=$I194,"REORDER","OK")))</f>
        <v/>
      </c>
      <c r="K194" s="16" t="str">
        <f aca="false">IF($A194="","",IFERROR((IF($D194="",0,$D194)*IF($E194="",0,$E194)+SUMIF(Purchases!$B$2:$B$1001,$A194,Purchases!$E$2:$E$1001))/(IF($D194="",0,$D194)+SUMIF(Purchases!$B$2:$B$1001,$A194,Purchases!$C$2:$C$1001)),0))</f>
        <v/>
      </c>
      <c r="L194" s="9" t="str">
        <f aca="false">IF($A194="","",$H194*$K194)</f>
        <v/>
      </c>
    </row>
    <row r="195" customFormat="false" ht="15" hidden="false" customHeight="false" outlineLevel="0" collapsed="false">
      <c r="A195" s="19"/>
      <c r="B195" s="19"/>
      <c r="C195" s="19"/>
      <c r="D195" s="19"/>
      <c r="E195" s="23"/>
      <c r="F195" s="15" t="str">
        <f aca="false">IF($A195="","",SUMIF(Purchases!$B$2:$B$1001,$A195,Purchases!$C$2:$C$1001))</f>
        <v/>
      </c>
      <c r="G195" s="19"/>
      <c r="H195" s="6" t="str">
        <f aca="false">IF($A195="","",IF($D195="",0,$D195)+$F195-IF($G195="",0,$G195))</f>
        <v/>
      </c>
      <c r="I195" s="19"/>
      <c r="J195" s="3" t="str">
        <f aca="false">IF($A195="","",IF($I195="","OK",IF($H195&lt;=$I195,"REORDER","OK")))</f>
        <v/>
      </c>
      <c r="K195" s="16" t="str">
        <f aca="false">IF($A195="","",IFERROR((IF($D195="",0,$D195)*IF($E195="",0,$E195)+SUMIF(Purchases!$B$2:$B$1001,$A195,Purchases!$E$2:$E$1001))/(IF($D195="",0,$D195)+SUMIF(Purchases!$B$2:$B$1001,$A195,Purchases!$C$2:$C$1001)),0))</f>
        <v/>
      </c>
      <c r="L195" s="9" t="str">
        <f aca="false">IF($A195="","",$H195*$K195)</f>
        <v/>
      </c>
    </row>
    <row r="196" customFormat="false" ht="15" hidden="false" customHeight="false" outlineLevel="0" collapsed="false">
      <c r="A196" s="19"/>
      <c r="B196" s="19"/>
      <c r="C196" s="19"/>
      <c r="D196" s="19"/>
      <c r="E196" s="23"/>
      <c r="F196" s="15" t="str">
        <f aca="false">IF($A196="","",SUMIF(Purchases!$B$2:$B$1001,$A196,Purchases!$C$2:$C$1001))</f>
        <v/>
      </c>
      <c r="G196" s="19"/>
      <c r="H196" s="6" t="str">
        <f aca="false">IF($A196="","",IF($D196="",0,$D196)+$F196-IF($G196="",0,$G196))</f>
        <v/>
      </c>
      <c r="I196" s="19"/>
      <c r="J196" s="3" t="str">
        <f aca="false">IF($A196="","",IF($I196="","OK",IF($H196&lt;=$I196,"REORDER","OK")))</f>
        <v/>
      </c>
      <c r="K196" s="16" t="str">
        <f aca="false">IF($A196="","",IFERROR((IF($D196="",0,$D196)*IF($E196="",0,$E196)+SUMIF(Purchases!$B$2:$B$1001,$A196,Purchases!$E$2:$E$1001))/(IF($D196="",0,$D196)+SUMIF(Purchases!$B$2:$B$1001,$A196,Purchases!$C$2:$C$1001)),0))</f>
        <v/>
      </c>
      <c r="L196" s="9" t="str">
        <f aca="false">IF($A196="","",$H196*$K196)</f>
        <v/>
      </c>
    </row>
    <row r="197" customFormat="false" ht="15" hidden="false" customHeight="false" outlineLevel="0" collapsed="false">
      <c r="A197" s="19"/>
      <c r="B197" s="19"/>
      <c r="C197" s="19"/>
      <c r="D197" s="19"/>
      <c r="E197" s="23"/>
      <c r="F197" s="15" t="str">
        <f aca="false">IF($A197="","",SUMIF(Purchases!$B$2:$B$1001,$A197,Purchases!$C$2:$C$1001))</f>
        <v/>
      </c>
      <c r="G197" s="19"/>
      <c r="H197" s="6" t="str">
        <f aca="false">IF($A197="","",IF($D197="",0,$D197)+$F197-IF($G197="",0,$G197))</f>
        <v/>
      </c>
      <c r="I197" s="19"/>
      <c r="J197" s="3" t="str">
        <f aca="false">IF($A197="","",IF($I197="","OK",IF($H197&lt;=$I197,"REORDER","OK")))</f>
        <v/>
      </c>
      <c r="K197" s="16" t="str">
        <f aca="false">IF($A197="","",IFERROR((IF($D197="",0,$D197)*IF($E197="",0,$E197)+SUMIF(Purchases!$B$2:$B$1001,$A197,Purchases!$E$2:$E$1001))/(IF($D197="",0,$D197)+SUMIF(Purchases!$B$2:$B$1001,$A197,Purchases!$C$2:$C$1001)),0))</f>
        <v/>
      </c>
      <c r="L197" s="9" t="str">
        <f aca="false">IF($A197="","",$H197*$K197)</f>
        <v/>
      </c>
    </row>
    <row r="198" customFormat="false" ht="15" hidden="false" customHeight="false" outlineLevel="0" collapsed="false">
      <c r="A198" s="19"/>
      <c r="B198" s="19"/>
      <c r="C198" s="19"/>
      <c r="D198" s="19"/>
      <c r="E198" s="23"/>
      <c r="F198" s="15" t="str">
        <f aca="false">IF($A198="","",SUMIF(Purchases!$B$2:$B$1001,$A198,Purchases!$C$2:$C$1001))</f>
        <v/>
      </c>
      <c r="G198" s="19"/>
      <c r="H198" s="6" t="str">
        <f aca="false">IF($A198="","",IF($D198="",0,$D198)+$F198-IF($G198="",0,$G198))</f>
        <v/>
      </c>
      <c r="I198" s="19"/>
      <c r="J198" s="3" t="str">
        <f aca="false">IF($A198="","",IF($I198="","OK",IF($H198&lt;=$I198,"REORDER","OK")))</f>
        <v/>
      </c>
      <c r="K198" s="16" t="str">
        <f aca="false">IF($A198="","",IFERROR((IF($D198="",0,$D198)*IF($E198="",0,$E198)+SUMIF(Purchases!$B$2:$B$1001,$A198,Purchases!$E$2:$E$1001))/(IF($D198="",0,$D198)+SUMIF(Purchases!$B$2:$B$1001,$A198,Purchases!$C$2:$C$1001)),0))</f>
        <v/>
      </c>
      <c r="L198" s="9" t="str">
        <f aca="false">IF($A198="","",$H198*$K198)</f>
        <v/>
      </c>
    </row>
    <row r="199" customFormat="false" ht="15" hidden="false" customHeight="false" outlineLevel="0" collapsed="false">
      <c r="A199" s="19"/>
      <c r="B199" s="19"/>
      <c r="C199" s="19"/>
      <c r="D199" s="19"/>
      <c r="E199" s="23"/>
      <c r="F199" s="15" t="str">
        <f aca="false">IF($A199="","",SUMIF(Purchases!$B$2:$B$1001,$A199,Purchases!$C$2:$C$1001))</f>
        <v/>
      </c>
      <c r="G199" s="19"/>
      <c r="H199" s="6" t="str">
        <f aca="false">IF($A199="","",IF($D199="",0,$D199)+$F199-IF($G199="",0,$G199))</f>
        <v/>
      </c>
      <c r="I199" s="19"/>
      <c r="J199" s="3" t="str">
        <f aca="false">IF($A199="","",IF($I199="","OK",IF($H199&lt;=$I199,"REORDER","OK")))</f>
        <v/>
      </c>
      <c r="K199" s="16" t="str">
        <f aca="false">IF($A199="","",IFERROR((IF($D199="",0,$D199)*IF($E199="",0,$E199)+SUMIF(Purchases!$B$2:$B$1001,$A199,Purchases!$E$2:$E$1001))/(IF($D199="",0,$D199)+SUMIF(Purchases!$B$2:$B$1001,$A199,Purchases!$C$2:$C$1001)),0))</f>
        <v/>
      </c>
      <c r="L199" s="9" t="str">
        <f aca="false">IF($A199="","",$H199*$K199)</f>
        <v/>
      </c>
    </row>
    <row r="200" customFormat="false" ht="15" hidden="false" customHeight="false" outlineLevel="0" collapsed="false">
      <c r="A200" s="19"/>
      <c r="B200" s="19"/>
      <c r="C200" s="19"/>
      <c r="D200" s="19"/>
      <c r="E200" s="23"/>
      <c r="F200" s="15" t="str">
        <f aca="false">IF($A200="","",SUMIF(Purchases!$B$2:$B$1001,$A200,Purchases!$C$2:$C$1001))</f>
        <v/>
      </c>
      <c r="G200" s="19"/>
      <c r="H200" s="6" t="str">
        <f aca="false">IF($A200="","",IF($D200="",0,$D200)+$F200-IF($G200="",0,$G200))</f>
        <v/>
      </c>
      <c r="I200" s="19"/>
      <c r="J200" s="3" t="str">
        <f aca="false">IF($A200="","",IF($I200="","OK",IF($H200&lt;=$I200,"REORDER","OK")))</f>
        <v/>
      </c>
      <c r="K200" s="16" t="str">
        <f aca="false">IF($A200="","",IFERROR((IF($D200="",0,$D200)*IF($E200="",0,$E200)+SUMIF(Purchases!$B$2:$B$1001,$A200,Purchases!$E$2:$E$1001))/(IF($D200="",0,$D200)+SUMIF(Purchases!$B$2:$B$1001,$A200,Purchases!$C$2:$C$1001)),0))</f>
        <v/>
      </c>
      <c r="L200" s="9" t="str">
        <f aca="false">IF($A200="","",$H200*$K200)</f>
        <v/>
      </c>
    </row>
    <row r="201" customFormat="false" ht="15" hidden="false" customHeight="false" outlineLevel="0" collapsed="false">
      <c r="A201" s="19"/>
      <c r="B201" s="19"/>
      <c r="C201" s="19"/>
      <c r="D201" s="19"/>
      <c r="E201" s="23"/>
      <c r="F201" s="15" t="str">
        <f aca="false">IF($A201="","",SUMIF(Purchases!$B$2:$B$1001,$A201,Purchases!$C$2:$C$1001))</f>
        <v/>
      </c>
      <c r="G201" s="19"/>
      <c r="H201" s="6" t="str">
        <f aca="false">IF($A201="","",IF($D201="",0,$D201)+$F201-IF($G201="",0,$G201))</f>
        <v/>
      </c>
      <c r="I201" s="19"/>
      <c r="J201" s="3" t="str">
        <f aca="false">IF($A201="","",IF($I201="","OK",IF($H201&lt;=$I201,"REORDER","OK")))</f>
        <v/>
      </c>
      <c r="K201" s="16" t="str">
        <f aca="false">IF($A201="","",IFERROR((IF($D201="",0,$D201)*IF($E201="",0,$E201)+SUMIF(Purchases!$B$2:$B$1001,$A201,Purchases!$E$2:$E$1001))/(IF($D201="",0,$D201)+SUMIF(Purchases!$B$2:$B$1001,$A201,Purchases!$C$2:$C$1001)),0))</f>
        <v/>
      </c>
      <c r="L201" s="9" t="str">
        <f aca="false">IF($A201="","",$H201*$K201)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5" min="3" style="0" width="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2"/>
  </cols>
  <sheetData>
    <row r="1" customFormat="false" ht="19.7" hidden="false" customHeight="false" outlineLevel="0" collapsed="false">
      <c r="A1" s="26" t="s">
        <v>179</v>
      </c>
    </row>
    <row r="3" customFormat="false" ht="15" hidden="false" customHeight="false" outlineLevel="0" collapsed="false">
      <c r="A3" s="5" t="s">
        <v>180</v>
      </c>
      <c r="F3" s="5" t="s">
        <v>181</v>
      </c>
    </row>
    <row r="4" customFormat="false" ht="15" hidden="false" customHeight="false" outlineLevel="0" collapsed="false">
      <c r="A4" s="6" t="s">
        <v>182</v>
      </c>
      <c r="B4" s="10" t="n">
        <f aca="false">COUNTIF('Customer Database'!$C$2:$C$501,"&gt;0")</f>
        <v>0</v>
      </c>
      <c r="F4" s="8" t="s">
        <v>76</v>
      </c>
      <c r="G4" s="8" t="s">
        <v>183</v>
      </c>
      <c r="H4" s="8" t="s">
        <v>184</v>
      </c>
      <c r="I4" s="8" t="s">
        <v>185</v>
      </c>
    </row>
    <row r="5" customFormat="false" ht="15" hidden="false" customHeight="false" outlineLevel="0" collapsed="false">
      <c r="A5" s="6" t="s">
        <v>186</v>
      </c>
      <c r="B5" s="10" t="n">
        <f aca="true">COUNTIFS('Customer Database'!$Q$2:$Q$501,"&gt;="&amp;EOMONTH(TODAY(),-1)+1,'Customer Database'!$Q$2:$Q$501,"&lt;="&amp;EOMONTH(TODAY(),0))</f>
        <v>0</v>
      </c>
      <c r="F5" s="6" t="s">
        <v>187</v>
      </c>
      <c r="G5" s="6" t="n">
        <f aca="false">COUNTIF('Customer Database'!$M$2:$M$501,F5)</f>
        <v>0</v>
      </c>
      <c r="H5" s="9" t="n">
        <f aca="false">SUMIF('Customer Database'!$M$2:$M$501,F5,'Customer Database'!$D$2:$D$501)</f>
        <v>0</v>
      </c>
      <c r="I5" s="9" t="n">
        <f aca="false">IFERROR(SUMIF('Customer Database'!$M$2:$M$501,F5,'Customer Database'!$D$2:$D$501)/COUNTIF('Customer Database'!$M$2:$M$501,F5),0)</f>
        <v>0</v>
      </c>
    </row>
    <row r="6" customFormat="false" ht="15" hidden="false" customHeight="false" outlineLevel="0" collapsed="false">
      <c r="A6" s="6" t="s">
        <v>188</v>
      </c>
      <c r="B6" s="10" t="n">
        <f aca="false">COUNTIF('Customer Database'!$C$2:$C$501,"&gt;1")</f>
        <v>0</v>
      </c>
      <c r="F6" s="6" t="s">
        <v>189</v>
      </c>
      <c r="G6" s="6" t="n">
        <f aca="false">COUNTIF('Customer Database'!$M$2:$M$501,F6)</f>
        <v>0</v>
      </c>
      <c r="H6" s="9" t="n">
        <f aca="false">SUMIF('Customer Database'!$M$2:$M$501,F6,'Customer Database'!$D$2:$D$501)</f>
        <v>0</v>
      </c>
      <c r="I6" s="9" t="n">
        <f aca="false">IFERROR(SUMIF('Customer Database'!$M$2:$M$501,F6,'Customer Database'!$D$2:$D$501)/COUNTIF('Customer Database'!$M$2:$M$501,F6),0)</f>
        <v>0</v>
      </c>
    </row>
    <row r="7" customFormat="false" ht="15" hidden="false" customHeight="false" outlineLevel="0" collapsed="false">
      <c r="A7" s="6" t="s">
        <v>32</v>
      </c>
      <c r="B7" s="11" t="n">
        <f aca="false">IFERROR(COUNTIF('Customer Database'!$C$2:$C$501,"&gt;1")/COUNTIF('Customer Database'!$C$2:$C$501,"&gt;0"),0)</f>
        <v>0</v>
      </c>
      <c r="F7" s="6" t="s">
        <v>190</v>
      </c>
      <c r="G7" s="6" t="n">
        <f aca="false">COUNTIF('Customer Database'!$M$2:$M$501,F7)</f>
        <v>0</v>
      </c>
      <c r="H7" s="9" t="n">
        <f aca="false">SUMIF('Customer Database'!$M$2:$M$501,F7,'Customer Database'!$D$2:$D$501)</f>
        <v>0</v>
      </c>
      <c r="I7" s="9" t="n">
        <f aca="false">IFERROR(SUMIF('Customer Database'!$M$2:$M$501,F7,'Customer Database'!$D$2:$D$501)/COUNTIF('Customer Database'!$M$2:$M$501,F7),0)</f>
        <v>0</v>
      </c>
    </row>
    <row r="8" customFormat="false" ht="15" hidden="false" customHeight="false" outlineLevel="0" collapsed="false">
      <c r="A8" s="6" t="s">
        <v>191</v>
      </c>
      <c r="B8" s="10" t="n">
        <f aca="false">COUNTIFS('Customer Database'!$F$2:$F$501,"&gt;=0",'Customer Database'!$F$2:$F$501,"&lt;=30")</f>
        <v>0</v>
      </c>
      <c r="F8" s="6" t="s">
        <v>192</v>
      </c>
      <c r="G8" s="6" t="n">
        <f aca="false">COUNTIF('Customer Database'!$M$2:$M$501,F8)</f>
        <v>0</v>
      </c>
      <c r="H8" s="9" t="n">
        <f aca="false">SUMIF('Customer Database'!$M$2:$M$501,F8,'Customer Database'!$D$2:$D$501)</f>
        <v>0</v>
      </c>
      <c r="I8" s="9" t="n">
        <f aca="false">IFERROR(SUMIF('Customer Database'!$M$2:$M$501,F8,'Customer Database'!$D$2:$D$501)/COUNTIF('Customer Database'!$M$2:$M$501,F8),0)</f>
        <v>0</v>
      </c>
    </row>
    <row r="9" customFormat="false" ht="15" hidden="false" customHeight="false" outlineLevel="0" collapsed="false">
      <c r="A9" s="6" t="s">
        <v>193</v>
      </c>
      <c r="B9" s="10" t="n">
        <f aca="false">COUNTIFS('Customer Database'!$F$2:$F$501,"&gt;30",'Customer Database'!$F$2:$F$501,"&lt;=60")</f>
        <v>0</v>
      </c>
      <c r="F9" s="6" t="s">
        <v>194</v>
      </c>
      <c r="G9" s="6" t="n">
        <f aca="false">COUNTIF('Customer Database'!$M$2:$M$501,F9)</f>
        <v>0</v>
      </c>
      <c r="H9" s="9" t="n">
        <f aca="false">SUMIF('Customer Database'!$M$2:$M$501,F9,'Customer Database'!$D$2:$D$501)</f>
        <v>0</v>
      </c>
      <c r="I9" s="9" t="n">
        <f aca="false">IFERROR(SUMIF('Customer Database'!$M$2:$M$501,F9,'Customer Database'!$D$2:$D$501)/COUNTIF('Customer Database'!$M$2:$M$501,F9),0)</f>
        <v>0</v>
      </c>
    </row>
    <row r="10" customFormat="false" ht="15" hidden="false" customHeight="false" outlineLevel="0" collapsed="false">
      <c r="A10" s="6" t="s">
        <v>195</v>
      </c>
      <c r="B10" s="10" t="n">
        <f aca="false">COUNTIFS('Customer Database'!$F$2:$F$501,"&gt;60",'Customer Database'!$F$2:$F$501,"&lt;=90")</f>
        <v>0</v>
      </c>
      <c r="F10" s="6" t="s">
        <v>196</v>
      </c>
      <c r="G10" s="6" t="n">
        <f aca="false">COUNTIF('Customer Database'!$M$2:$M$501,F10)</f>
        <v>0</v>
      </c>
      <c r="H10" s="9" t="n">
        <f aca="false">SUMIF('Customer Database'!$M$2:$M$501,F10,'Customer Database'!$D$2:$D$501)</f>
        <v>0</v>
      </c>
      <c r="I10" s="9" t="n">
        <f aca="false">IFERROR(SUMIF('Customer Database'!$M$2:$M$501,F10,'Customer Database'!$D$2:$D$501)/COUNTIF('Customer Database'!$M$2:$M$501,F10),0)</f>
        <v>0</v>
      </c>
    </row>
    <row r="11" customFormat="false" ht="15" hidden="false" customHeight="false" outlineLevel="0" collapsed="false">
      <c r="A11" s="6" t="s">
        <v>197</v>
      </c>
      <c r="B11" s="10" t="n">
        <f aca="false">COUNTIF('Customer Database'!$F$2:$F$501,"&gt;90")</f>
        <v>0</v>
      </c>
      <c r="F11" s="6" t="s">
        <v>198</v>
      </c>
      <c r="G11" s="6" t="n">
        <f aca="false">COUNTIF('Customer Database'!$M$2:$M$501,F11)</f>
        <v>0</v>
      </c>
      <c r="H11" s="9" t="n">
        <f aca="false">SUMIF('Customer Database'!$M$2:$M$501,F11,'Customer Database'!$D$2:$D$501)</f>
        <v>0</v>
      </c>
      <c r="I11" s="9" t="n">
        <f aca="false">IFERROR(SUMIF('Customer Database'!$M$2:$M$501,F11,'Customer Database'!$D$2:$D$501)/COUNTIF('Customer Database'!$M$2:$M$501,F11),0)</f>
        <v>0</v>
      </c>
    </row>
    <row r="12" customFormat="false" ht="15" hidden="false" customHeight="false" outlineLevel="0" collapsed="false">
      <c r="F12" s="6" t="s">
        <v>199</v>
      </c>
      <c r="G12" s="6" t="n">
        <f aca="false">COUNTIF('Customer Database'!$M$2:$M$501,F12)</f>
        <v>0</v>
      </c>
      <c r="H12" s="9" t="n">
        <f aca="false">SUMIF('Customer Database'!$M$2:$M$501,F12,'Customer Database'!$D$2:$D$501)</f>
        <v>0</v>
      </c>
      <c r="I12" s="9" t="n">
        <f aca="false">IFERROR(SUMIF('Customer Database'!$M$2:$M$501,F12,'Customer Database'!$D$2:$D$501)/COUNTIF('Customer Database'!$M$2:$M$501,F12),0)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34"/>
  </cols>
  <sheetData>
    <row r="1" customFormat="false" ht="19.7" hidden="false" customHeight="false" outlineLevel="0" collapsed="false">
      <c r="A1" s="26" t="s">
        <v>200</v>
      </c>
    </row>
    <row r="2" customFormat="false" ht="15" hidden="false" customHeight="false" outlineLevel="0" collapsed="false">
      <c r="A2" s="3" t="s">
        <v>37</v>
      </c>
      <c r="B2" s="4" t="n">
        <f aca="true">EOMONTH(TODAY(),-1)+1</f>
        <v>46174</v>
      </c>
      <c r="C2" s="2" t="s">
        <v>201</v>
      </c>
    </row>
    <row r="4" customFormat="false" ht="15" hidden="false" customHeight="false" outlineLevel="0" collapsed="false">
      <c r="A4" s="27" t="s">
        <v>202</v>
      </c>
      <c r="B4" s="28"/>
    </row>
    <row r="5" customFormat="false" ht="15" hidden="false" customHeight="false" outlineLevel="0" collapsed="false">
      <c r="A5" s="6" t="s">
        <v>203</v>
      </c>
      <c r="B5" s="9" t="n">
        <f aca="false">SUMIFS('Daily tracking'!$G$2:$G$2001,'Daily tracking'!$J$2:$J$2001,"Service",'Daily tracking'!$A$2:$A$2001,"&gt;="&amp;$B$2,'Daily tracking'!$A$2:$A$2001,"&lt;="&amp;EOMONTH($B$2,0))</f>
        <v>0</v>
      </c>
    </row>
    <row r="6" customFormat="false" ht="15" hidden="false" customHeight="false" outlineLevel="0" collapsed="false">
      <c r="A6" s="6" t="s">
        <v>204</v>
      </c>
      <c r="B6" s="9" t="n">
        <f aca="false">SUMIFS('Daily tracking'!$G$2:$G$2001,'Daily tracking'!$J$2:$J$2001,"Retail",'Daily tracking'!$A$2:$A$2001,"&gt;="&amp;$B$2,'Daily tracking'!$A$2:$A$2001,"&lt;="&amp;EOMONTH($B$2,0))</f>
        <v>0</v>
      </c>
    </row>
    <row r="7" customFormat="false" ht="15" hidden="false" customHeight="false" outlineLevel="0" collapsed="false">
      <c r="A7" s="3" t="s">
        <v>205</v>
      </c>
      <c r="B7" s="7" t="n">
        <f aca="false">B5+B6</f>
        <v>0</v>
      </c>
    </row>
    <row r="8" customFormat="false" ht="15" hidden="false" customHeight="false" outlineLevel="0" collapsed="false">
      <c r="A8" s="27" t="s">
        <v>206</v>
      </c>
      <c r="B8" s="28"/>
    </row>
    <row r="9" customFormat="false" ht="15" hidden="false" customHeight="false" outlineLevel="0" collapsed="false">
      <c r="A9" s="6" t="s">
        <v>207</v>
      </c>
      <c r="B9" s="9" t="n">
        <f aca="false">SUMIFS(Purchases!$E$2:$E$1001,Purchases!$A$2:$A$1001,"&gt;="&amp;$B$2,Purchases!$A$2:$A$1001,"&lt;="&amp;EOMONTH($B$2,0))</f>
        <v>0</v>
      </c>
    </row>
    <row r="10" customFormat="false" ht="15" hidden="false" customHeight="false" outlineLevel="0" collapsed="false">
      <c r="A10" s="6" t="s">
        <v>208</v>
      </c>
      <c r="B10" s="9" t="n">
        <f aca="false">SUM(Employee!$B$2:$B$21)</f>
        <v>48000</v>
      </c>
    </row>
    <row r="11" customFormat="false" ht="15" hidden="false" customHeight="false" outlineLevel="0" collapsed="false">
      <c r="A11" s="6" t="s">
        <v>209</v>
      </c>
      <c r="B11" s="9" t="n">
        <f aca="false">SUMIFS(Expenses!$C$2:$C$501,Expenses!$B$2:$B$501,"Rent",Expenses!$A$2:$A$501,"&gt;="&amp;$B$2,Expenses!$A$2:$A$501,"&lt;="&amp;EOMONTH($B$2,0))</f>
        <v>0</v>
      </c>
    </row>
    <row r="12" customFormat="false" ht="15" hidden="false" customHeight="false" outlineLevel="0" collapsed="false">
      <c r="A12" s="6" t="s">
        <v>210</v>
      </c>
      <c r="B12" s="9" t="n">
        <f aca="false">SUMIFS(Expenses!$C$2:$C$501,Expenses!$B$2:$B$501,"Electricity",Expenses!$A$2:$A$501,"&gt;="&amp;$B$2,Expenses!$A$2:$A$501,"&lt;="&amp;EOMONTH($B$2,0))</f>
        <v>0</v>
      </c>
    </row>
    <row r="13" customFormat="false" ht="15" hidden="false" customHeight="false" outlineLevel="0" collapsed="false">
      <c r="A13" s="6" t="s">
        <v>211</v>
      </c>
      <c r="B13" s="9" t="n">
        <f aca="false">SUMIFS(Expenses!$C$2:$C$501,Expenses!$B$2:$B$501,"Internet",Expenses!$A$2:$A$501,"&gt;="&amp;$B$2,Expenses!$A$2:$A$501,"&lt;="&amp;EOMONTH($B$2,0))</f>
        <v>0</v>
      </c>
    </row>
    <row r="14" customFormat="false" ht="15" hidden="false" customHeight="false" outlineLevel="0" collapsed="false">
      <c r="A14" s="6" t="s">
        <v>212</v>
      </c>
      <c r="B14" s="9" t="n">
        <f aca="false">SUMIFS(Expenses!$C$2:$C$501,Expenses!$B$2:$B$501,"Marketing",Expenses!$A$2:$A$501,"&gt;="&amp;$B$2,Expenses!$A$2:$A$501,"&lt;="&amp;EOMONTH($B$2,0))</f>
        <v>0</v>
      </c>
    </row>
    <row r="15" customFormat="false" ht="15" hidden="false" customHeight="false" outlineLevel="0" collapsed="false">
      <c r="A15" s="6" t="s">
        <v>213</v>
      </c>
      <c r="B15" s="9" t="n">
        <f aca="false">SUMIFS(Expenses!$C$2:$C$501,Expenses!$A$2:$A$501,"&gt;="&amp;$B$2,Expenses!$A$2:$A$501,"&lt;="&amp;EOMONTH($B$2,0))-B11-B12-B13-B14</f>
        <v>0</v>
      </c>
    </row>
    <row r="16" customFormat="false" ht="15" hidden="false" customHeight="false" outlineLevel="0" collapsed="false">
      <c r="A16" s="3" t="s">
        <v>214</v>
      </c>
      <c r="B16" s="7" t="n">
        <f aca="false">SUM(B9:B15)</f>
        <v>48000</v>
      </c>
    </row>
    <row r="17" customFormat="false" ht="15" hidden="false" customHeight="false" outlineLevel="0" collapsed="false">
      <c r="A17" s="3" t="s">
        <v>215</v>
      </c>
      <c r="B17" s="7" t="n">
        <f aca="false">B7-B16</f>
        <v>-48000</v>
      </c>
    </row>
    <row r="18" customFormat="false" ht="15" hidden="false" customHeight="false" outlineLevel="0" collapsed="false">
      <c r="A18" s="6" t="s">
        <v>216</v>
      </c>
      <c r="B18" s="11" t="str">
        <f aca="false">IFERROR(B17/B7,"")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28"/>
    <col collapsed="false" customWidth="true" hidden="false" outlineLevel="0" max="7" min="6" style="0" width="13"/>
    <col collapsed="false" customWidth="true" hidden="false" outlineLevel="0" max="9" min="9" style="0" width="24"/>
    <col collapsed="false" customWidth="true" hidden="false" outlineLevel="0" max="10" min="10" style="0" width="11"/>
  </cols>
  <sheetData>
    <row r="1" customFormat="false" ht="15" hidden="false" customHeight="false" outlineLevel="0" collapsed="false">
      <c r="A1" s="17" t="s">
        <v>56</v>
      </c>
      <c r="B1" s="17" t="s">
        <v>217</v>
      </c>
      <c r="C1" s="17" t="s">
        <v>58</v>
      </c>
      <c r="D1" s="17" t="s">
        <v>218</v>
      </c>
      <c r="E1" s="17" t="s">
        <v>57</v>
      </c>
      <c r="F1" s="17" t="s">
        <v>219</v>
      </c>
      <c r="G1" s="17" t="s">
        <v>70</v>
      </c>
      <c r="I1" s="5" t="s">
        <v>220</v>
      </c>
    </row>
    <row r="2" customFormat="false" ht="15" hidden="false" customHeight="false" outlineLevel="0" collapsed="false">
      <c r="A2" s="20"/>
      <c r="B2" s="19"/>
      <c r="C2" s="19"/>
      <c r="D2" s="19"/>
      <c r="E2" s="19"/>
      <c r="F2" s="19"/>
      <c r="G2" s="19"/>
      <c r="I2" s="6" t="s">
        <v>221</v>
      </c>
      <c r="J2" s="10" t="n">
        <f aca="false">COUNTA(Appointments!$A$2:$A$1001)</f>
        <v>0</v>
      </c>
    </row>
    <row r="3" customFormat="false" ht="15" hidden="false" customHeight="false" outlineLevel="0" collapsed="false">
      <c r="A3" s="20"/>
      <c r="B3" s="19"/>
      <c r="C3" s="19"/>
      <c r="D3" s="19"/>
      <c r="E3" s="19"/>
      <c r="F3" s="19"/>
      <c r="G3" s="19"/>
      <c r="I3" s="6" t="s">
        <v>222</v>
      </c>
      <c r="J3" s="10" t="n">
        <f aca="false">COUNTIF(Appointments!$G$2:$G$1001,"Completed")</f>
        <v>0</v>
      </c>
    </row>
    <row r="4" customFormat="false" ht="15" hidden="false" customHeight="false" outlineLevel="0" collapsed="false">
      <c r="A4" s="20"/>
      <c r="B4" s="19"/>
      <c r="C4" s="19"/>
      <c r="D4" s="19"/>
      <c r="E4" s="19"/>
      <c r="F4" s="19"/>
      <c r="G4" s="19"/>
      <c r="I4" s="6" t="s">
        <v>223</v>
      </c>
      <c r="J4" s="10" t="n">
        <f aca="false">COUNTIF(Appointments!$G$2:$G$1001,"Cancelled")</f>
        <v>0</v>
      </c>
    </row>
    <row r="5" customFormat="false" ht="15" hidden="false" customHeight="false" outlineLevel="0" collapsed="false">
      <c r="A5" s="20"/>
      <c r="B5" s="19"/>
      <c r="C5" s="19"/>
      <c r="D5" s="19"/>
      <c r="E5" s="19"/>
      <c r="F5" s="19"/>
      <c r="G5" s="19"/>
      <c r="I5" s="6" t="s">
        <v>224</v>
      </c>
      <c r="J5" s="10" t="n">
        <f aca="false">COUNTIF(Appointments!$G$2:$G$1001,"No-show")</f>
        <v>0</v>
      </c>
    </row>
    <row r="6" customFormat="false" ht="15" hidden="false" customHeight="false" outlineLevel="0" collapsed="false">
      <c r="A6" s="20"/>
      <c r="B6" s="19"/>
      <c r="C6" s="19"/>
      <c r="D6" s="19"/>
      <c r="E6" s="19"/>
      <c r="F6" s="19"/>
      <c r="G6" s="19"/>
      <c r="I6" s="6" t="s">
        <v>225</v>
      </c>
      <c r="J6" s="11" t="n">
        <f aca="false">IFERROR(COUNTIF(Appointments!$G$2:$G$1001,"No-show")/COUNTA(Appointments!$A$2:$A$1001),0)</f>
        <v>0</v>
      </c>
    </row>
    <row r="7" customFormat="false" ht="15" hidden="false" customHeight="false" outlineLevel="0" collapsed="false">
      <c r="A7" s="20"/>
      <c r="B7" s="19"/>
      <c r="C7" s="19"/>
      <c r="D7" s="19"/>
      <c r="E7" s="19"/>
      <c r="F7" s="19"/>
      <c r="G7" s="19"/>
      <c r="I7" s="6" t="s">
        <v>226</v>
      </c>
      <c r="J7" s="11" t="n">
        <f aca="false">IFERROR(COUNTIF(Appointments!$G$2:$G$1001,"Completed")/COUNTA(Appointments!$A$2:$A$1001),0)</f>
        <v>0</v>
      </c>
    </row>
    <row r="8" customFormat="false" ht="15" hidden="false" customHeight="false" outlineLevel="0" collapsed="false">
      <c r="A8" s="20"/>
      <c r="B8" s="19"/>
      <c r="C8" s="19"/>
      <c r="D8" s="19"/>
      <c r="E8" s="19"/>
      <c r="F8" s="19"/>
      <c r="G8" s="19"/>
    </row>
    <row r="9" customFormat="false" ht="15" hidden="false" customHeight="false" outlineLevel="0" collapsed="false">
      <c r="A9" s="20"/>
      <c r="B9" s="19"/>
      <c r="C9" s="19"/>
      <c r="D9" s="19"/>
      <c r="E9" s="19"/>
      <c r="F9" s="19"/>
      <c r="G9" s="19"/>
    </row>
    <row r="10" customFormat="false" ht="15" hidden="false" customHeight="false" outlineLevel="0" collapsed="false">
      <c r="A10" s="20"/>
      <c r="B10" s="19"/>
      <c r="C10" s="19"/>
      <c r="D10" s="19"/>
      <c r="E10" s="19"/>
      <c r="F10" s="19"/>
      <c r="G10" s="19"/>
    </row>
    <row r="11" customFormat="false" ht="15" hidden="false" customHeight="false" outlineLevel="0" collapsed="false">
      <c r="A11" s="20"/>
      <c r="B11" s="19"/>
      <c r="C11" s="19"/>
      <c r="D11" s="19"/>
      <c r="E11" s="19"/>
      <c r="F11" s="19"/>
      <c r="G11" s="19"/>
    </row>
    <row r="12" customFormat="false" ht="15" hidden="false" customHeight="false" outlineLevel="0" collapsed="false">
      <c r="A12" s="20"/>
      <c r="B12" s="19"/>
      <c r="C12" s="19"/>
      <c r="D12" s="19"/>
      <c r="E12" s="19"/>
      <c r="F12" s="19"/>
      <c r="G12" s="19"/>
    </row>
    <row r="13" customFormat="false" ht="15" hidden="false" customHeight="false" outlineLevel="0" collapsed="false">
      <c r="A13" s="20"/>
      <c r="B13" s="19"/>
      <c r="C13" s="19"/>
      <c r="D13" s="19"/>
      <c r="E13" s="19"/>
      <c r="F13" s="19"/>
      <c r="G13" s="19"/>
    </row>
    <row r="14" customFormat="false" ht="15" hidden="false" customHeight="false" outlineLevel="0" collapsed="false">
      <c r="A14" s="20"/>
      <c r="B14" s="19"/>
      <c r="C14" s="19"/>
      <c r="D14" s="19"/>
      <c r="E14" s="19"/>
      <c r="F14" s="19"/>
      <c r="G14" s="19"/>
    </row>
    <row r="15" customFormat="false" ht="15" hidden="false" customHeight="false" outlineLevel="0" collapsed="false">
      <c r="A15" s="20"/>
      <c r="B15" s="19"/>
      <c r="C15" s="19"/>
      <c r="D15" s="19"/>
      <c r="E15" s="19"/>
      <c r="F15" s="19"/>
      <c r="G15" s="19"/>
    </row>
    <row r="16" customFormat="false" ht="15" hidden="false" customHeight="false" outlineLevel="0" collapsed="false">
      <c r="A16" s="20"/>
      <c r="B16" s="19"/>
      <c r="C16" s="19"/>
      <c r="D16" s="19"/>
      <c r="E16" s="19"/>
      <c r="F16" s="19"/>
      <c r="G16" s="19"/>
    </row>
    <row r="17" customFormat="false" ht="15" hidden="false" customHeight="false" outlineLevel="0" collapsed="false">
      <c r="A17" s="20"/>
      <c r="B17" s="19"/>
      <c r="C17" s="19"/>
      <c r="D17" s="19"/>
      <c r="E17" s="19"/>
      <c r="F17" s="19"/>
      <c r="G17" s="19"/>
    </row>
    <row r="18" customFormat="false" ht="15" hidden="false" customHeight="false" outlineLevel="0" collapsed="false">
      <c r="A18" s="20"/>
      <c r="B18" s="19"/>
      <c r="C18" s="19"/>
      <c r="D18" s="19"/>
      <c r="E18" s="19"/>
      <c r="F18" s="19"/>
      <c r="G18" s="19"/>
    </row>
    <row r="19" customFormat="false" ht="15" hidden="false" customHeight="false" outlineLevel="0" collapsed="false">
      <c r="A19" s="20"/>
      <c r="B19" s="19"/>
      <c r="C19" s="19"/>
      <c r="D19" s="19"/>
      <c r="E19" s="19"/>
      <c r="F19" s="19"/>
      <c r="G19" s="19"/>
    </row>
    <row r="20" customFormat="false" ht="15" hidden="false" customHeight="false" outlineLevel="0" collapsed="false">
      <c r="A20" s="20"/>
      <c r="B20" s="19"/>
      <c r="C20" s="19"/>
      <c r="D20" s="19"/>
      <c r="E20" s="19"/>
      <c r="F20" s="19"/>
      <c r="G20" s="19"/>
    </row>
    <row r="21" customFormat="false" ht="15" hidden="false" customHeight="false" outlineLevel="0" collapsed="false">
      <c r="A21" s="20"/>
      <c r="B21" s="19"/>
      <c r="C21" s="19"/>
      <c r="D21" s="19"/>
      <c r="E21" s="19"/>
      <c r="F21" s="19"/>
      <c r="G21" s="19"/>
    </row>
    <row r="22" customFormat="false" ht="15" hidden="false" customHeight="false" outlineLevel="0" collapsed="false">
      <c r="A22" s="20"/>
      <c r="B22" s="19"/>
      <c r="C22" s="19"/>
      <c r="D22" s="19"/>
      <c r="E22" s="19"/>
      <c r="F22" s="19"/>
      <c r="G22" s="19"/>
    </row>
    <row r="23" customFormat="false" ht="15" hidden="false" customHeight="false" outlineLevel="0" collapsed="false">
      <c r="A23" s="20"/>
      <c r="B23" s="19"/>
      <c r="C23" s="19"/>
      <c r="D23" s="19"/>
      <c r="E23" s="19"/>
      <c r="F23" s="19"/>
      <c r="G23" s="19"/>
    </row>
    <row r="24" customFormat="false" ht="15" hidden="false" customHeight="false" outlineLevel="0" collapsed="false">
      <c r="A24" s="20"/>
      <c r="B24" s="19"/>
      <c r="C24" s="19"/>
      <c r="D24" s="19"/>
      <c r="E24" s="19"/>
      <c r="F24" s="19"/>
      <c r="G24" s="19"/>
    </row>
    <row r="25" customFormat="false" ht="15" hidden="false" customHeight="false" outlineLevel="0" collapsed="false">
      <c r="A25" s="20"/>
      <c r="B25" s="19"/>
      <c r="C25" s="19"/>
      <c r="D25" s="19"/>
      <c r="E25" s="19"/>
      <c r="F25" s="19"/>
      <c r="G25" s="19"/>
    </row>
    <row r="26" customFormat="false" ht="15" hidden="false" customHeight="false" outlineLevel="0" collapsed="false">
      <c r="A26" s="20"/>
      <c r="B26" s="19"/>
      <c r="C26" s="19"/>
      <c r="D26" s="19"/>
      <c r="E26" s="19"/>
      <c r="F26" s="19"/>
      <c r="G26" s="19"/>
    </row>
    <row r="27" customFormat="false" ht="15" hidden="false" customHeight="false" outlineLevel="0" collapsed="false">
      <c r="A27" s="20"/>
      <c r="B27" s="19"/>
      <c r="C27" s="19"/>
      <c r="D27" s="19"/>
      <c r="E27" s="19"/>
      <c r="F27" s="19"/>
      <c r="G27" s="19"/>
    </row>
    <row r="28" customFormat="false" ht="15" hidden="false" customHeight="false" outlineLevel="0" collapsed="false">
      <c r="A28" s="20"/>
      <c r="B28" s="19"/>
      <c r="C28" s="19"/>
      <c r="D28" s="19"/>
      <c r="E28" s="19"/>
      <c r="F28" s="19"/>
      <c r="G28" s="19"/>
    </row>
    <row r="29" customFormat="false" ht="15" hidden="false" customHeight="false" outlineLevel="0" collapsed="false">
      <c r="A29" s="20"/>
      <c r="B29" s="19"/>
      <c r="C29" s="19"/>
      <c r="D29" s="19"/>
      <c r="E29" s="19"/>
      <c r="F29" s="19"/>
      <c r="G29" s="19"/>
    </row>
    <row r="30" customFormat="false" ht="15" hidden="false" customHeight="false" outlineLevel="0" collapsed="false">
      <c r="A30" s="20"/>
      <c r="B30" s="19"/>
      <c r="C30" s="19"/>
      <c r="D30" s="19"/>
      <c r="E30" s="19"/>
      <c r="F30" s="19"/>
      <c r="G30" s="19"/>
    </row>
    <row r="31" customFormat="false" ht="15" hidden="false" customHeight="false" outlineLevel="0" collapsed="false">
      <c r="A31" s="20"/>
      <c r="B31" s="19"/>
      <c r="C31" s="19"/>
      <c r="D31" s="19"/>
      <c r="E31" s="19"/>
      <c r="F31" s="19"/>
      <c r="G31" s="19"/>
    </row>
    <row r="32" customFormat="false" ht="15" hidden="false" customHeight="false" outlineLevel="0" collapsed="false">
      <c r="A32" s="20"/>
      <c r="B32" s="19"/>
      <c r="C32" s="19"/>
      <c r="D32" s="19"/>
      <c r="E32" s="19"/>
      <c r="F32" s="19"/>
      <c r="G32" s="19"/>
    </row>
    <row r="33" customFormat="false" ht="15" hidden="false" customHeight="false" outlineLevel="0" collapsed="false">
      <c r="A33" s="20"/>
      <c r="B33" s="19"/>
      <c r="C33" s="19"/>
      <c r="D33" s="19"/>
      <c r="E33" s="19"/>
      <c r="F33" s="19"/>
      <c r="G33" s="19"/>
    </row>
    <row r="34" customFormat="false" ht="15" hidden="false" customHeight="false" outlineLevel="0" collapsed="false">
      <c r="A34" s="20"/>
      <c r="B34" s="19"/>
      <c r="C34" s="19"/>
      <c r="D34" s="19"/>
      <c r="E34" s="19"/>
      <c r="F34" s="19"/>
      <c r="G34" s="19"/>
    </row>
    <row r="35" customFormat="false" ht="15" hidden="false" customHeight="false" outlineLevel="0" collapsed="false">
      <c r="A35" s="20"/>
      <c r="B35" s="19"/>
      <c r="C35" s="19"/>
      <c r="D35" s="19"/>
      <c r="E35" s="19"/>
      <c r="F35" s="19"/>
      <c r="G35" s="19"/>
    </row>
    <row r="36" customFormat="false" ht="15" hidden="false" customHeight="false" outlineLevel="0" collapsed="false">
      <c r="A36" s="20"/>
      <c r="B36" s="19"/>
      <c r="C36" s="19"/>
      <c r="D36" s="19"/>
      <c r="E36" s="19"/>
      <c r="F36" s="19"/>
      <c r="G36" s="19"/>
    </row>
    <row r="37" customFormat="false" ht="15" hidden="false" customHeight="false" outlineLevel="0" collapsed="false">
      <c r="A37" s="20"/>
      <c r="B37" s="19"/>
      <c r="C37" s="19"/>
      <c r="D37" s="19"/>
      <c r="E37" s="19"/>
      <c r="F37" s="19"/>
      <c r="G37" s="19"/>
    </row>
    <row r="38" customFormat="false" ht="15" hidden="false" customHeight="false" outlineLevel="0" collapsed="false">
      <c r="A38" s="20"/>
      <c r="B38" s="19"/>
      <c r="C38" s="19"/>
      <c r="D38" s="19"/>
      <c r="E38" s="19"/>
      <c r="F38" s="19"/>
      <c r="G38" s="19"/>
    </row>
    <row r="39" customFormat="false" ht="15" hidden="false" customHeight="false" outlineLevel="0" collapsed="false">
      <c r="A39" s="20"/>
      <c r="B39" s="19"/>
      <c r="C39" s="19"/>
      <c r="D39" s="19"/>
      <c r="E39" s="19"/>
      <c r="F39" s="19"/>
      <c r="G39" s="19"/>
    </row>
    <row r="40" customFormat="false" ht="15" hidden="false" customHeight="false" outlineLevel="0" collapsed="false">
      <c r="A40" s="20"/>
      <c r="B40" s="19"/>
      <c r="C40" s="19"/>
      <c r="D40" s="19"/>
      <c r="E40" s="19"/>
      <c r="F40" s="19"/>
      <c r="G40" s="19"/>
    </row>
    <row r="41" customFormat="false" ht="15" hidden="false" customHeight="false" outlineLevel="0" collapsed="false">
      <c r="A41" s="20"/>
      <c r="B41" s="19"/>
      <c r="C41" s="19"/>
      <c r="D41" s="19"/>
      <c r="E41" s="19"/>
      <c r="F41" s="19"/>
      <c r="G41" s="19"/>
    </row>
    <row r="42" customFormat="false" ht="15" hidden="false" customHeight="false" outlineLevel="0" collapsed="false">
      <c r="A42" s="20"/>
      <c r="B42" s="19"/>
      <c r="C42" s="19"/>
      <c r="D42" s="19"/>
      <c r="E42" s="19"/>
      <c r="F42" s="19"/>
      <c r="G42" s="19"/>
    </row>
    <row r="43" customFormat="false" ht="15" hidden="false" customHeight="false" outlineLevel="0" collapsed="false">
      <c r="A43" s="20"/>
      <c r="B43" s="19"/>
      <c r="C43" s="19"/>
      <c r="D43" s="19"/>
      <c r="E43" s="19"/>
      <c r="F43" s="19"/>
      <c r="G43" s="19"/>
    </row>
    <row r="44" customFormat="false" ht="15" hidden="false" customHeight="false" outlineLevel="0" collapsed="false">
      <c r="A44" s="20"/>
      <c r="B44" s="19"/>
      <c r="C44" s="19"/>
      <c r="D44" s="19"/>
      <c r="E44" s="19"/>
      <c r="F44" s="19"/>
      <c r="G44" s="19"/>
    </row>
    <row r="45" customFormat="false" ht="15" hidden="false" customHeight="false" outlineLevel="0" collapsed="false">
      <c r="A45" s="20"/>
      <c r="B45" s="19"/>
      <c r="C45" s="19"/>
      <c r="D45" s="19"/>
      <c r="E45" s="19"/>
      <c r="F45" s="19"/>
      <c r="G45" s="19"/>
    </row>
    <row r="46" customFormat="false" ht="15" hidden="false" customHeight="false" outlineLevel="0" collapsed="false">
      <c r="A46" s="20"/>
      <c r="B46" s="19"/>
      <c r="C46" s="19"/>
      <c r="D46" s="19"/>
      <c r="E46" s="19"/>
      <c r="F46" s="19"/>
      <c r="G46" s="19"/>
    </row>
    <row r="47" customFormat="false" ht="15" hidden="false" customHeight="false" outlineLevel="0" collapsed="false">
      <c r="A47" s="20"/>
      <c r="B47" s="19"/>
      <c r="C47" s="19"/>
      <c r="D47" s="19"/>
      <c r="E47" s="19"/>
      <c r="F47" s="19"/>
      <c r="G47" s="19"/>
    </row>
    <row r="48" customFormat="false" ht="15" hidden="false" customHeight="false" outlineLevel="0" collapsed="false">
      <c r="A48" s="20"/>
      <c r="B48" s="19"/>
      <c r="C48" s="19"/>
      <c r="D48" s="19"/>
      <c r="E48" s="19"/>
      <c r="F48" s="19"/>
      <c r="G48" s="19"/>
    </row>
    <row r="49" customFormat="false" ht="15" hidden="false" customHeight="false" outlineLevel="0" collapsed="false">
      <c r="A49" s="20"/>
      <c r="B49" s="19"/>
      <c r="C49" s="19"/>
      <c r="D49" s="19"/>
      <c r="E49" s="19"/>
      <c r="F49" s="19"/>
      <c r="G49" s="19"/>
    </row>
    <row r="50" customFormat="false" ht="15" hidden="false" customHeight="false" outlineLevel="0" collapsed="false">
      <c r="A50" s="20"/>
      <c r="B50" s="19"/>
      <c r="C50" s="19"/>
      <c r="D50" s="19"/>
      <c r="E50" s="19"/>
      <c r="F50" s="19"/>
      <c r="G50" s="19"/>
    </row>
    <row r="51" customFormat="false" ht="15" hidden="false" customHeight="false" outlineLevel="0" collapsed="false">
      <c r="A51" s="20"/>
      <c r="B51" s="19"/>
      <c r="C51" s="19"/>
      <c r="D51" s="19"/>
      <c r="E51" s="19"/>
      <c r="F51" s="19"/>
      <c r="G51" s="19"/>
    </row>
    <row r="52" customFormat="false" ht="15" hidden="false" customHeight="false" outlineLevel="0" collapsed="false">
      <c r="A52" s="20"/>
      <c r="B52" s="19"/>
      <c r="C52" s="19"/>
      <c r="D52" s="19"/>
      <c r="E52" s="19"/>
      <c r="F52" s="19"/>
      <c r="G52" s="19"/>
    </row>
    <row r="53" customFormat="false" ht="15" hidden="false" customHeight="false" outlineLevel="0" collapsed="false">
      <c r="A53" s="20"/>
      <c r="B53" s="19"/>
      <c r="C53" s="19"/>
      <c r="D53" s="19"/>
      <c r="E53" s="19"/>
      <c r="F53" s="19"/>
      <c r="G53" s="19"/>
    </row>
    <row r="54" customFormat="false" ht="15" hidden="false" customHeight="false" outlineLevel="0" collapsed="false">
      <c r="A54" s="20"/>
      <c r="B54" s="19"/>
      <c r="C54" s="19"/>
      <c r="D54" s="19"/>
      <c r="E54" s="19"/>
      <c r="F54" s="19"/>
      <c r="G54" s="19"/>
    </row>
    <row r="55" customFormat="false" ht="15" hidden="false" customHeight="false" outlineLevel="0" collapsed="false">
      <c r="A55" s="20"/>
      <c r="B55" s="19"/>
      <c r="C55" s="19"/>
      <c r="D55" s="19"/>
      <c r="E55" s="19"/>
      <c r="F55" s="19"/>
      <c r="G55" s="19"/>
    </row>
    <row r="56" customFormat="false" ht="15" hidden="false" customHeight="false" outlineLevel="0" collapsed="false">
      <c r="A56" s="20"/>
      <c r="B56" s="19"/>
      <c r="C56" s="19"/>
      <c r="D56" s="19"/>
      <c r="E56" s="19"/>
      <c r="F56" s="19"/>
      <c r="G56" s="19"/>
    </row>
    <row r="57" customFormat="false" ht="15" hidden="false" customHeight="false" outlineLevel="0" collapsed="false">
      <c r="A57" s="20"/>
      <c r="B57" s="19"/>
      <c r="C57" s="19"/>
      <c r="D57" s="19"/>
      <c r="E57" s="19"/>
      <c r="F57" s="19"/>
      <c r="G57" s="19"/>
    </row>
    <row r="58" customFormat="false" ht="15" hidden="false" customHeight="false" outlineLevel="0" collapsed="false">
      <c r="A58" s="20"/>
      <c r="B58" s="19"/>
      <c r="C58" s="19"/>
      <c r="D58" s="19"/>
      <c r="E58" s="19"/>
      <c r="F58" s="19"/>
      <c r="G58" s="19"/>
    </row>
    <row r="59" customFormat="false" ht="15" hidden="false" customHeight="false" outlineLevel="0" collapsed="false">
      <c r="A59" s="20"/>
      <c r="B59" s="19"/>
      <c r="C59" s="19"/>
      <c r="D59" s="19"/>
      <c r="E59" s="19"/>
      <c r="F59" s="19"/>
      <c r="G59" s="19"/>
    </row>
    <row r="60" customFormat="false" ht="15" hidden="false" customHeight="false" outlineLevel="0" collapsed="false">
      <c r="A60" s="20"/>
      <c r="B60" s="19"/>
      <c r="C60" s="19"/>
      <c r="D60" s="19"/>
      <c r="E60" s="19"/>
      <c r="F60" s="19"/>
      <c r="G60" s="19"/>
    </row>
    <row r="61" customFormat="false" ht="15" hidden="false" customHeight="false" outlineLevel="0" collapsed="false">
      <c r="A61" s="20"/>
      <c r="B61" s="19"/>
      <c r="C61" s="19"/>
      <c r="D61" s="19"/>
      <c r="E61" s="19"/>
      <c r="F61" s="19"/>
      <c r="G61" s="19"/>
    </row>
    <row r="62" customFormat="false" ht="15" hidden="false" customHeight="false" outlineLevel="0" collapsed="false">
      <c r="A62" s="20"/>
      <c r="B62" s="19"/>
      <c r="C62" s="19"/>
      <c r="D62" s="19"/>
      <c r="E62" s="19"/>
      <c r="F62" s="19"/>
      <c r="G62" s="19"/>
    </row>
    <row r="63" customFormat="false" ht="15" hidden="false" customHeight="false" outlineLevel="0" collapsed="false">
      <c r="A63" s="20"/>
      <c r="B63" s="19"/>
      <c r="C63" s="19"/>
      <c r="D63" s="19"/>
      <c r="E63" s="19"/>
      <c r="F63" s="19"/>
      <c r="G63" s="19"/>
    </row>
    <row r="64" customFormat="false" ht="15" hidden="false" customHeight="false" outlineLevel="0" collapsed="false">
      <c r="A64" s="20"/>
      <c r="B64" s="19"/>
      <c r="C64" s="19"/>
      <c r="D64" s="19"/>
      <c r="E64" s="19"/>
      <c r="F64" s="19"/>
      <c r="G64" s="19"/>
    </row>
    <row r="65" customFormat="false" ht="15" hidden="false" customHeight="false" outlineLevel="0" collapsed="false">
      <c r="A65" s="20"/>
      <c r="B65" s="19"/>
      <c r="C65" s="19"/>
      <c r="D65" s="19"/>
      <c r="E65" s="19"/>
      <c r="F65" s="19"/>
      <c r="G65" s="19"/>
    </row>
    <row r="66" customFormat="false" ht="15" hidden="false" customHeight="false" outlineLevel="0" collapsed="false">
      <c r="A66" s="20"/>
      <c r="B66" s="19"/>
      <c r="C66" s="19"/>
      <c r="D66" s="19"/>
      <c r="E66" s="19"/>
      <c r="F66" s="19"/>
      <c r="G66" s="19"/>
    </row>
    <row r="67" customFormat="false" ht="15" hidden="false" customHeight="false" outlineLevel="0" collapsed="false">
      <c r="A67" s="20"/>
      <c r="B67" s="19"/>
      <c r="C67" s="19"/>
      <c r="D67" s="19"/>
      <c r="E67" s="19"/>
      <c r="F67" s="19"/>
      <c r="G67" s="19"/>
    </row>
    <row r="68" customFormat="false" ht="15" hidden="false" customHeight="false" outlineLevel="0" collapsed="false">
      <c r="A68" s="20"/>
      <c r="B68" s="19"/>
      <c r="C68" s="19"/>
      <c r="D68" s="19"/>
      <c r="E68" s="19"/>
      <c r="F68" s="19"/>
      <c r="G68" s="19"/>
    </row>
    <row r="69" customFormat="false" ht="15" hidden="false" customHeight="false" outlineLevel="0" collapsed="false">
      <c r="A69" s="20"/>
      <c r="B69" s="19"/>
      <c r="C69" s="19"/>
      <c r="D69" s="19"/>
      <c r="E69" s="19"/>
      <c r="F69" s="19"/>
      <c r="G69" s="19"/>
    </row>
    <row r="70" customFormat="false" ht="15" hidden="false" customHeight="false" outlineLevel="0" collapsed="false">
      <c r="A70" s="20"/>
      <c r="B70" s="19"/>
      <c r="C70" s="19"/>
      <c r="D70" s="19"/>
      <c r="E70" s="19"/>
      <c r="F70" s="19"/>
      <c r="G70" s="19"/>
    </row>
    <row r="71" customFormat="false" ht="15" hidden="false" customHeight="false" outlineLevel="0" collapsed="false">
      <c r="A71" s="20"/>
      <c r="B71" s="19"/>
      <c r="C71" s="19"/>
      <c r="D71" s="19"/>
      <c r="E71" s="19"/>
      <c r="F71" s="19"/>
      <c r="G71" s="19"/>
    </row>
    <row r="72" customFormat="false" ht="15" hidden="false" customHeight="false" outlineLevel="0" collapsed="false">
      <c r="A72" s="20"/>
      <c r="B72" s="19"/>
      <c r="C72" s="19"/>
      <c r="D72" s="19"/>
      <c r="E72" s="19"/>
      <c r="F72" s="19"/>
      <c r="G72" s="19"/>
    </row>
    <row r="73" customFormat="false" ht="15" hidden="false" customHeight="false" outlineLevel="0" collapsed="false">
      <c r="A73" s="20"/>
      <c r="B73" s="19"/>
      <c r="C73" s="19"/>
      <c r="D73" s="19"/>
      <c r="E73" s="19"/>
      <c r="F73" s="19"/>
      <c r="G73" s="19"/>
    </row>
    <row r="74" customFormat="false" ht="15" hidden="false" customHeight="false" outlineLevel="0" collapsed="false">
      <c r="A74" s="20"/>
      <c r="B74" s="19"/>
      <c r="C74" s="19"/>
      <c r="D74" s="19"/>
      <c r="E74" s="19"/>
      <c r="F74" s="19"/>
      <c r="G74" s="19"/>
    </row>
    <row r="75" customFormat="false" ht="15" hidden="false" customHeight="false" outlineLevel="0" collapsed="false">
      <c r="A75" s="20"/>
      <c r="B75" s="19"/>
      <c r="C75" s="19"/>
      <c r="D75" s="19"/>
      <c r="E75" s="19"/>
      <c r="F75" s="19"/>
      <c r="G75" s="19"/>
    </row>
    <row r="76" customFormat="false" ht="15" hidden="false" customHeight="false" outlineLevel="0" collapsed="false">
      <c r="A76" s="20"/>
      <c r="B76" s="19"/>
      <c r="C76" s="19"/>
      <c r="D76" s="19"/>
      <c r="E76" s="19"/>
      <c r="F76" s="19"/>
      <c r="G76" s="19"/>
    </row>
    <row r="77" customFormat="false" ht="15" hidden="false" customHeight="false" outlineLevel="0" collapsed="false">
      <c r="A77" s="20"/>
      <c r="B77" s="19"/>
      <c r="C77" s="19"/>
      <c r="D77" s="19"/>
      <c r="E77" s="19"/>
      <c r="F77" s="19"/>
      <c r="G77" s="19"/>
    </row>
    <row r="78" customFormat="false" ht="15" hidden="false" customHeight="false" outlineLevel="0" collapsed="false">
      <c r="A78" s="20"/>
      <c r="B78" s="19"/>
      <c r="C78" s="19"/>
      <c r="D78" s="19"/>
      <c r="E78" s="19"/>
      <c r="F78" s="19"/>
      <c r="G78" s="19"/>
    </row>
    <row r="79" customFormat="false" ht="15" hidden="false" customHeight="false" outlineLevel="0" collapsed="false">
      <c r="A79" s="20"/>
      <c r="B79" s="19"/>
      <c r="C79" s="19"/>
      <c r="D79" s="19"/>
      <c r="E79" s="19"/>
      <c r="F79" s="19"/>
      <c r="G79" s="19"/>
    </row>
    <row r="80" customFormat="false" ht="15" hidden="false" customHeight="false" outlineLevel="0" collapsed="false">
      <c r="A80" s="20"/>
      <c r="B80" s="19"/>
      <c r="C80" s="19"/>
      <c r="D80" s="19"/>
      <c r="E80" s="19"/>
      <c r="F80" s="19"/>
      <c r="G80" s="19"/>
    </row>
    <row r="81" customFormat="false" ht="15" hidden="false" customHeight="false" outlineLevel="0" collapsed="false">
      <c r="A81" s="20"/>
      <c r="B81" s="19"/>
      <c r="C81" s="19"/>
      <c r="D81" s="19"/>
      <c r="E81" s="19"/>
      <c r="F81" s="19"/>
      <c r="G81" s="19"/>
    </row>
    <row r="82" customFormat="false" ht="15" hidden="false" customHeight="false" outlineLevel="0" collapsed="false">
      <c r="A82" s="20"/>
      <c r="B82" s="19"/>
      <c r="C82" s="19"/>
      <c r="D82" s="19"/>
      <c r="E82" s="19"/>
      <c r="F82" s="19"/>
      <c r="G82" s="19"/>
    </row>
    <row r="83" customFormat="false" ht="15" hidden="false" customHeight="false" outlineLevel="0" collapsed="false">
      <c r="A83" s="20"/>
      <c r="B83" s="19"/>
      <c r="C83" s="19"/>
      <c r="D83" s="19"/>
      <c r="E83" s="19"/>
      <c r="F83" s="19"/>
      <c r="G83" s="19"/>
    </row>
    <row r="84" customFormat="false" ht="15" hidden="false" customHeight="false" outlineLevel="0" collapsed="false">
      <c r="A84" s="20"/>
      <c r="B84" s="19"/>
      <c r="C84" s="19"/>
      <c r="D84" s="19"/>
      <c r="E84" s="19"/>
      <c r="F84" s="19"/>
      <c r="G84" s="19"/>
    </row>
    <row r="85" customFormat="false" ht="15" hidden="false" customHeight="false" outlineLevel="0" collapsed="false">
      <c r="A85" s="20"/>
      <c r="B85" s="19"/>
      <c r="C85" s="19"/>
      <c r="D85" s="19"/>
      <c r="E85" s="19"/>
      <c r="F85" s="19"/>
      <c r="G85" s="19"/>
    </row>
    <row r="86" customFormat="false" ht="15" hidden="false" customHeight="false" outlineLevel="0" collapsed="false">
      <c r="A86" s="20"/>
      <c r="B86" s="19"/>
      <c r="C86" s="19"/>
      <c r="D86" s="19"/>
      <c r="E86" s="19"/>
      <c r="F86" s="19"/>
      <c r="G86" s="19"/>
    </row>
    <row r="87" customFormat="false" ht="15" hidden="false" customHeight="false" outlineLevel="0" collapsed="false">
      <c r="A87" s="20"/>
      <c r="B87" s="19"/>
      <c r="C87" s="19"/>
      <c r="D87" s="19"/>
      <c r="E87" s="19"/>
      <c r="F87" s="19"/>
      <c r="G87" s="19"/>
    </row>
    <row r="88" customFormat="false" ht="15" hidden="false" customHeight="false" outlineLevel="0" collapsed="false">
      <c r="A88" s="20"/>
      <c r="B88" s="19"/>
      <c r="C88" s="19"/>
      <c r="D88" s="19"/>
      <c r="E88" s="19"/>
      <c r="F88" s="19"/>
      <c r="G88" s="19"/>
    </row>
    <row r="89" customFormat="false" ht="15" hidden="false" customHeight="false" outlineLevel="0" collapsed="false">
      <c r="A89" s="20"/>
      <c r="B89" s="19"/>
      <c r="C89" s="19"/>
      <c r="D89" s="19"/>
      <c r="E89" s="19"/>
      <c r="F89" s="19"/>
      <c r="G89" s="19"/>
    </row>
    <row r="90" customFormat="false" ht="15" hidden="false" customHeight="false" outlineLevel="0" collapsed="false">
      <c r="A90" s="20"/>
      <c r="B90" s="19"/>
      <c r="C90" s="19"/>
      <c r="D90" s="19"/>
      <c r="E90" s="19"/>
      <c r="F90" s="19"/>
      <c r="G90" s="19"/>
    </row>
    <row r="91" customFormat="false" ht="15" hidden="false" customHeight="false" outlineLevel="0" collapsed="false">
      <c r="A91" s="20"/>
      <c r="B91" s="19"/>
      <c r="C91" s="19"/>
      <c r="D91" s="19"/>
      <c r="E91" s="19"/>
      <c r="F91" s="19"/>
      <c r="G91" s="19"/>
    </row>
    <row r="92" customFormat="false" ht="15" hidden="false" customHeight="false" outlineLevel="0" collapsed="false">
      <c r="A92" s="20"/>
      <c r="B92" s="19"/>
      <c r="C92" s="19"/>
      <c r="D92" s="19"/>
      <c r="E92" s="19"/>
      <c r="F92" s="19"/>
      <c r="G92" s="19"/>
    </row>
    <row r="93" customFormat="false" ht="15" hidden="false" customHeight="false" outlineLevel="0" collapsed="false">
      <c r="A93" s="20"/>
      <c r="B93" s="19"/>
      <c r="C93" s="19"/>
      <c r="D93" s="19"/>
      <c r="E93" s="19"/>
      <c r="F93" s="19"/>
      <c r="G93" s="19"/>
    </row>
    <row r="94" customFormat="false" ht="15" hidden="false" customHeight="false" outlineLevel="0" collapsed="false">
      <c r="A94" s="20"/>
      <c r="B94" s="19"/>
      <c r="C94" s="19"/>
      <c r="D94" s="19"/>
      <c r="E94" s="19"/>
      <c r="F94" s="19"/>
      <c r="G94" s="19"/>
    </row>
    <row r="95" customFormat="false" ht="15" hidden="false" customHeight="false" outlineLevel="0" collapsed="false">
      <c r="A95" s="20"/>
      <c r="B95" s="19"/>
      <c r="C95" s="19"/>
      <c r="D95" s="19"/>
      <c r="E95" s="19"/>
      <c r="F95" s="19"/>
      <c r="G95" s="19"/>
    </row>
    <row r="96" customFormat="false" ht="15" hidden="false" customHeight="false" outlineLevel="0" collapsed="false">
      <c r="A96" s="20"/>
      <c r="B96" s="19"/>
      <c r="C96" s="19"/>
      <c r="D96" s="19"/>
      <c r="E96" s="19"/>
      <c r="F96" s="19"/>
      <c r="G96" s="19"/>
    </row>
    <row r="97" customFormat="false" ht="15" hidden="false" customHeight="false" outlineLevel="0" collapsed="false">
      <c r="A97" s="20"/>
      <c r="B97" s="19"/>
      <c r="C97" s="19"/>
      <c r="D97" s="19"/>
      <c r="E97" s="19"/>
      <c r="F97" s="19"/>
      <c r="G97" s="19"/>
    </row>
    <row r="98" customFormat="false" ht="15" hidden="false" customHeight="false" outlineLevel="0" collapsed="false">
      <c r="A98" s="20"/>
      <c r="B98" s="19"/>
      <c r="C98" s="19"/>
      <c r="D98" s="19"/>
      <c r="E98" s="19"/>
      <c r="F98" s="19"/>
      <c r="G98" s="19"/>
    </row>
    <row r="99" customFormat="false" ht="15" hidden="false" customHeight="false" outlineLevel="0" collapsed="false">
      <c r="A99" s="20"/>
      <c r="B99" s="19"/>
      <c r="C99" s="19"/>
      <c r="D99" s="19"/>
      <c r="E99" s="19"/>
      <c r="F99" s="19"/>
      <c r="G99" s="19"/>
    </row>
    <row r="100" customFormat="false" ht="15" hidden="false" customHeight="false" outlineLevel="0" collapsed="false">
      <c r="A100" s="20"/>
      <c r="B100" s="19"/>
      <c r="C100" s="19"/>
      <c r="D100" s="19"/>
      <c r="E100" s="19"/>
      <c r="F100" s="19"/>
      <c r="G100" s="19"/>
    </row>
    <row r="101" customFormat="false" ht="15" hidden="false" customHeight="false" outlineLevel="0" collapsed="false">
      <c r="A101" s="20"/>
      <c r="B101" s="19"/>
      <c r="C101" s="19"/>
      <c r="D101" s="19"/>
      <c r="E101" s="19"/>
      <c r="F101" s="19"/>
      <c r="G101" s="19"/>
    </row>
    <row r="102" customFormat="false" ht="15" hidden="false" customHeight="false" outlineLevel="0" collapsed="false">
      <c r="A102" s="20"/>
      <c r="B102" s="19"/>
      <c r="C102" s="19"/>
      <c r="D102" s="19"/>
      <c r="E102" s="19"/>
      <c r="F102" s="19"/>
      <c r="G102" s="19"/>
    </row>
    <row r="103" customFormat="false" ht="15" hidden="false" customHeight="false" outlineLevel="0" collapsed="false">
      <c r="A103" s="20"/>
      <c r="B103" s="19"/>
      <c r="C103" s="19"/>
      <c r="D103" s="19"/>
      <c r="E103" s="19"/>
      <c r="F103" s="19"/>
      <c r="G103" s="19"/>
    </row>
    <row r="104" customFormat="false" ht="15" hidden="false" customHeight="false" outlineLevel="0" collapsed="false">
      <c r="A104" s="20"/>
      <c r="B104" s="19"/>
      <c r="C104" s="19"/>
      <c r="D104" s="19"/>
      <c r="E104" s="19"/>
      <c r="F104" s="19"/>
      <c r="G104" s="19"/>
    </row>
    <row r="105" customFormat="false" ht="15" hidden="false" customHeight="false" outlineLevel="0" collapsed="false">
      <c r="A105" s="20"/>
      <c r="B105" s="19"/>
      <c r="C105" s="19"/>
      <c r="D105" s="19"/>
      <c r="E105" s="19"/>
      <c r="F105" s="19"/>
      <c r="G105" s="19"/>
    </row>
    <row r="106" customFormat="false" ht="15" hidden="false" customHeight="false" outlineLevel="0" collapsed="false">
      <c r="A106" s="20"/>
      <c r="B106" s="19"/>
      <c r="C106" s="19"/>
      <c r="D106" s="19"/>
      <c r="E106" s="19"/>
      <c r="F106" s="19"/>
      <c r="G106" s="19"/>
    </row>
    <row r="107" customFormat="false" ht="15" hidden="false" customHeight="false" outlineLevel="0" collapsed="false">
      <c r="A107" s="20"/>
      <c r="B107" s="19"/>
      <c r="C107" s="19"/>
      <c r="D107" s="19"/>
      <c r="E107" s="19"/>
      <c r="F107" s="19"/>
      <c r="G107" s="19"/>
    </row>
    <row r="108" customFormat="false" ht="15" hidden="false" customHeight="false" outlineLevel="0" collapsed="false">
      <c r="A108" s="20"/>
      <c r="B108" s="19"/>
      <c r="C108" s="19"/>
      <c r="D108" s="19"/>
      <c r="E108" s="19"/>
      <c r="F108" s="19"/>
      <c r="G108" s="19"/>
    </row>
    <row r="109" customFormat="false" ht="15" hidden="false" customHeight="false" outlineLevel="0" collapsed="false">
      <c r="A109" s="20"/>
      <c r="B109" s="19"/>
      <c r="C109" s="19"/>
      <c r="D109" s="19"/>
      <c r="E109" s="19"/>
      <c r="F109" s="19"/>
      <c r="G109" s="19"/>
    </row>
    <row r="110" customFormat="false" ht="15" hidden="false" customHeight="false" outlineLevel="0" collapsed="false">
      <c r="A110" s="20"/>
      <c r="B110" s="19"/>
      <c r="C110" s="19"/>
      <c r="D110" s="19"/>
      <c r="E110" s="19"/>
      <c r="F110" s="19"/>
      <c r="G110" s="19"/>
    </row>
    <row r="111" customFormat="false" ht="15" hidden="false" customHeight="false" outlineLevel="0" collapsed="false">
      <c r="A111" s="20"/>
      <c r="B111" s="19"/>
      <c r="C111" s="19"/>
      <c r="D111" s="19"/>
      <c r="E111" s="19"/>
      <c r="F111" s="19"/>
      <c r="G111" s="19"/>
    </row>
    <row r="112" customFormat="false" ht="15" hidden="false" customHeight="false" outlineLevel="0" collapsed="false">
      <c r="A112" s="20"/>
      <c r="B112" s="19"/>
      <c r="C112" s="19"/>
      <c r="D112" s="19"/>
      <c r="E112" s="19"/>
      <c r="F112" s="19"/>
      <c r="G112" s="19"/>
    </row>
    <row r="113" customFormat="false" ht="15" hidden="false" customHeight="false" outlineLevel="0" collapsed="false">
      <c r="A113" s="20"/>
      <c r="B113" s="19"/>
      <c r="C113" s="19"/>
      <c r="D113" s="19"/>
      <c r="E113" s="19"/>
      <c r="F113" s="19"/>
      <c r="G113" s="19"/>
    </row>
    <row r="114" customFormat="false" ht="15" hidden="false" customHeight="false" outlineLevel="0" collapsed="false">
      <c r="A114" s="20"/>
      <c r="B114" s="19"/>
      <c r="C114" s="19"/>
      <c r="D114" s="19"/>
      <c r="E114" s="19"/>
      <c r="F114" s="19"/>
      <c r="G114" s="19"/>
    </row>
    <row r="115" customFormat="false" ht="15" hidden="false" customHeight="false" outlineLevel="0" collapsed="false">
      <c r="A115" s="20"/>
      <c r="B115" s="19"/>
      <c r="C115" s="19"/>
      <c r="D115" s="19"/>
      <c r="E115" s="19"/>
      <c r="F115" s="19"/>
      <c r="G115" s="19"/>
    </row>
    <row r="116" customFormat="false" ht="15" hidden="false" customHeight="false" outlineLevel="0" collapsed="false">
      <c r="A116" s="20"/>
      <c r="B116" s="19"/>
      <c r="C116" s="19"/>
      <c r="D116" s="19"/>
      <c r="E116" s="19"/>
      <c r="F116" s="19"/>
      <c r="G116" s="19"/>
    </row>
    <row r="117" customFormat="false" ht="15" hidden="false" customHeight="false" outlineLevel="0" collapsed="false">
      <c r="A117" s="20"/>
      <c r="B117" s="19"/>
      <c r="C117" s="19"/>
      <c r="D117" s="19"/>
      <c r="E117" s="19"/>
      <c r="F117" s="19"/>
      <c r="G117" s="19"/>
    </row>
    <row r="118" customFormat="false" ht="15" hidden="false" customHeight="false" outlineLevel="0" collapsed="false">
      <c r="A118" s="20"/>
      <c r="B118" s="19"/>
      <c r="C118" s="19"/>
      <c r="D118" s="19"/>
      <c r="E118" s="19"/>
      <c r="F118" s="19"/>
      <c r="G118" s="19"/>
    </row>
    <row r="119" customFormat="false" ht="15" hidden="false" customHeight="false" outlineLevel="0" collapsed="false">
      <c r="A119" s="20"/>
      <c r="B119" s="19"/>
      <c r="C119" s="19"/>
      <c r="D119" s="19"/>
      <c r="E119" s="19"/>
      <c r="F119" s="19"/>
      <c r="G119" s="19"/>
    </row>
    <row r="120" customFormat="false" ht="15" hidden="false" customHeight="false" outlineLevel="0" collapsed="false">
      <c r="A120" s="20"/>
      <c r="B120" s="19"/>
      <c r="C120" s="19"/>
      <c r="D120" s="19"/>
      <c r="E120" s="19"/>
      <c r="F120" s="19"/>
      <c r="G120" s="19"/>
    </row>
    <row r="121" customFormat="false" ht="15" hidden="false" customHeight="false" outlineLevel="0" collapsed="false">
      <c r="A121" s="20"/>
      <c r="B121" s="19"/>
      <c r="C121" s="19"/>
      <c r="D121" s="19"/>
      <c r="E121" s="19"/>
      <c r="F121" s="19"/>
      <c r="G121" s="19"/>
    </row>
    <row r="122" customFormat="false" ht="15" hidden="false" customHeight="false" outlineLevel="0" collapsed="false">
      <c r="A122" s="20"/>
      <c r="B122" s="19"/>
      <c r="C122" s="19"/>
      <c r="D122" s="19"/>
      <c r="E122" s="19"/>
      <c r="F122" s="19"/>
      <c r="G122" s="19"/>
    </row>
    <row r="123" customFormat="false" ht="15" hidden="false" customHeight="false" outlineLevel="0" collapsed="false">
      <c r="A123" s="20"/>
      <c r="B123" s="19"/>
      <c r="C123" s="19"/>
      <c r="D123" s="19"/>
      <c r="E123" s="19"/>
      <c r="F123" s="19"/>
      <c r="G123" s="19"/>
    </row>
    <row r="124" customFormat="false" ht="15" hidden="false" customHeight="false" outlineLevel="0" collapsed="false">
      <c r="A124" s="20"/>
      <c r="B124" s="19"/>
      <c r="C124" s="19"/>
      <c r="D124" s="19"/>
      <c r="E124" s="19"/>
      <c r="F124" s="19"/>
      <c r="G124" s="19"/>
    </row>
    <row r="125" customFormat="false" ht="15" hidden="false" customHeight="false" outlineLevel="0" collapsed="false">
      <c r="A125" s="20"/>
      <c r="B125" s="19"/>
      <c r="C125" s="19"/>
      <c r="D125" s="19"/>
      <c r="E125" s="19"/>
      <c r="F125" s="19"/>
      <c r="G125" s="19"/>
    </row>
    <row r="126" customFormat="false" ht="15" hidden="false" customHeight="false" outlineLevel="0" collapsed="false">
      <c r="A126" s="20"/>
      <c r="B126" s="19"/>
      <c r="C126" s="19"/>
      <c r="D126" s="19"/>
      <c r="E126" s="19"/>
      <c r="F126" s="19"/>
      <c r="G126" s="19"/>
    </row>
    <row r="127" customFormat="false" ht="15" hidden="false" customHeight="false" outlineLevel="0" collapsed="false">
      <c r="A127" s="20"/>
      <c r="B127" s="19"/>
      <c r="C127" s="19"/>
      <c r="D127" s="19"/>
      <c r="E127" s="19"/>
      <c r="F127" s="19"/>
      <c r="G127" s="19"/>
    </row>
    <row r="128" customFormat="false" ht="15" hidden="false" customHeight="false" outlineLevel="0" collapsed="false">
      <c r="A128" s="20"/>
      <c r="B128" s="19"/>
      <c r="C128" s="19"/>
      <c r="D128" s="19"/>
      <c r="E128" s="19"/>
      <c r="F128" s="19"/>
      <c r="G128" s="19"/>
    </row>
    <row r="129" customFormat="false" ht="15" hidden="false" customHeight="false" outlineLevel="0" collapsed="false">
      <c r="A129" s="20"/>
      <c r="B129" s="19"/>
      <c r="C129" s="19"/>
      <c r="D129" s="19"/>
      <c r="E129" s="19"/>
      <c r="F129" s="19"/>
      <c r="G129" s="19"/>
    </row>
    <row r="130" customFormat="false" ht="15" hidden="false" customHeight="false" outlineLevel="0" collapsed="false">
      <c r="A130" s="20"/>
      <c r="B130" s="19"/>
      <c r="C130" s="19"/>
      <c r="D130" s="19"/>
      <c r="E130" s="19"/>
      <c r="F130" s="19"/>
      <c r="G130" s="19"/>
    </row>
    <row r="131" customFormat="false" ht="15" hidden="false" customHeight="false" outlineLevel="0" collapsed="false">
      <c r="A131" s="20"/>
      <c r="B131" s="19"/>
      <c r="C131" s="19"/>
      <c r="D131" s="19"/>
      <c r="E131" s="19"/>
      <c r="F131" s="19"/>
      <c r="G131" s="19"/>
    </row>
    <row r="132" customFormat="false" ht="15" hidden="false" customHeight="false" outlineLevel="0" collapsed="false">
      <c r="A132" s="20"/>
      <c r="B132" s="19"/>
      <c r="C132" s="19"/>
      <c r="D132" s="19"/>
      <c r="E132" s="19"/>
      <c r="F132" s="19"/>
      <c r="G132" s="19"/>
    </row>
    <row r="133" customFormat="false" ht="15" hidden="false" customHeight="false" outlineLevel="0" collapsed="false">
      <c r="A133" s="20"/>
      <c r="B133" s="19"/>
      <c r="C133" s="19"/>
      <c r="D133" s="19"/>
      <c r="E133" s="19"/>
      <c r="F133" s="19"/>
      <c r="G133" s="19"/>
    </row>
    <row r="134" customFormat="false" ht="15" hidden="false" customHeight="false" outlineLevel="0" collapsed="false">
      <c r="A134" s="20"/>
      <c r="B134" s="19"/>
      <c r="C134" s="19"/>
      <c r="D134" s="19"/>
      <c r="E134" s="19"/>
      <c r="F134" s="19"/>
      <c r="G134" s="19"/>
    </row>
    <row r="135" customFormat="false" ht="15" hidden="false" customHeight="false" outlineLevel="0" collapsed="false">
      <c r="A135" s="20"/>
      <c r="B135" s="19"/>
      <c r="C135" s="19"/>
      <c r="D135" s="19"/>
      <c r="E135" s="19"/>
      <c r="F135" s="19"/>
      <c r="G135" s="19"/>
    </row>
    <row r="136" customFormat="false" ht="15" hidden="false" customHeight="false" outlineLevel="0" collapsed="false">
      <c r="A136" s="20"/>
      <c r="B136" s="19"/>
      <c r="C136" s="19"/>
      <c r="D136" s="19"/>
      <c r="E136" s="19"/>
      <c r="F136" s="19"/>
      <c r="G136" s="19"/>
    </row>
    <row r="137" customFormat="false" ht="15" hidden="false" customHeight="false" outlineLevel="0" collapsed="false">
      <c r="A137" s="20"/>
      <c r="B137" s="19"/>
      <c r="C137" s="19"/>
      <c r="D137" s="19"/>
      <c r="E137" s="19"/>
      <c r="F137" s="19"/>
      <c r="G137" s="19"/>
    </row>
    <row r="138" customFormat="false" ht="15" hidden="false" customHeight="false" outlineLevel="0" collapsed="false">
      <c r="A138" s="20"/>
      <c r="B138" s="19"/>
      <c r="C138" s="19"/>
      <c r="D138" s="19"/>
      <c r="E138" s="19"/>
      <c r="F138" s="19"/>
      <c r="G138" s="19"/>
    </row>
    <row r="139" customFormat="false" ht="15" hidden="false" customHeight="false" outlineLevel="0" collapsed="false">
      <c r="A139" s="20"/>
      <c r="B139" s="19"/>
      <c r="C139" s="19"/>
      <c r="D139" s="19"/>
      <c r="E139" s="19"/>
      <c r="F139" s="19"/>
      <c r="G139" s="19"/>
    </row>
    <row r="140" customFormat="false" ht="15" hidden="false" customHeight="false" outlineLevel="0" collapsed="false">
      <c r="A140" s="20"/>
      <c r="B140" s="19"/>
      <c r="C140" s="19"/>
      <c r="D140" s="19"/>
      <c r="E140" s="19"/>
      <c r="F140" s="19"/>
      <c r="G140" s="19"/>
    </row>
    <row r="141" customFormat="false" ht="15" hidden="false" customHeight="false" outlineLevel="0" collapsed="false">
      <c r="A141" s="20"/>
      <c r="B141" s="19"/>
      <c r="C141" s="19"/>
      <c r="D141" s="19"/>
      <c r="E141" s="19"/>
      <c r="F141" s="19"/>
      <c r="G141" s="19"/>
    </row>
    <row r="142" customFormat="false" ht="15" hidden="false" customHeight="false" outlineLevel="0" collapsed="false">
      <c r="A142" s="20"/>
      <c r="B142" s="19"/>
      <c r="C142" s="19"/>
      <c r="D142" s="19"/>
      <c r="E142" s="19"/>
      <c r="F142" s="19"/>
      <c r="G142" s="19"/>
    </row>
    <row r="143" customFormat="false" ht="15" hidden="false" customHeight="false" outlineLevel="0" collapsed="false">
      <c r="A143" s="20"/>
      <c r="B143" s="19"/>
      <c r="C143" s="19"/>
      <c r="D143" s="19"/>
      <c r="E143" s="19"/>
      <c r="F143" s="19"/>
      <c r="G143" s="19"/>
    </row>
    <row r="144" customFormat="false" ht="15" hidden="false" customHeight="false" outlineLevel="0" collapsed="false">
      <c r="A144" s="20"/>
      <c r="B144" s="19"/>
      <c r="C144" s="19"/>
      <c r="D144" s="19"/>
      <c r="E144" s="19"/>
      <c r="F144" s="19"/>
      <c r="G144" s="19"/>
    </row>
    <row r="145" customFormat="false" ht="15" hidden="false" customHeight="false" outlineLevel="0" collapsed="false">
      <c r="A145" s="20"/>
      <c r="B145" s="19"/>
      <c r="C145" s="19"/>
      <c r="D145" s="19"/>
      <c r="E145" s="19"/>
      <c r="F145" s="19"/>
      <c r="G145" s="19"/>
    </row>
    <row r="146" customFormat="false" ht="15" hidden="false" customHeight="false" outlineLevel="0" collapsed="false">
      <c r="A146" s="20"/>
      <c r="B146" s="19"/>
      <c r="C146" s="19"/>
      <c r="D146" s="19"/>
      <c r="E146" s="19"/>
      <c r="F146" s="19"/>
      <c r="G146" s="19"/>
    </row>
    <row r="147" customFormat="false" ht="15" hidden="false" customHeight="false" outlineLevel="0" collapsed="false">
      <c r="A147" s="20"/>
      <c r="B147" s="19"/>
      <c r="C147" s="19"/>
      <c r="D147" s="19"/>
      <c r="E147" s="19"/>
      <c r="F147" s="19"/>
      <c r="G147" s="19"/>
    </row>
    <row r="148" customFormat="false" ht="15" hidden="false" customHeight="false" outlineLevel="0" collapsed="false">
      <c r="A148" s="20"/>
      <c r="B148" s="19"/>
      <c r="C148" s="19"/>
      <c r="D148" s="19"/>
      <c r="E148" s="19"/>
      <c r="F148" s="19"/>
      <c r="G148" s="19"/>
    </row>
    <row r="149" customFormat="false" ht="15" hidden="false" customHeight="false" outlineLevel="0" collapsed="false">
      <c r="A149" s="20"/>
      <c r="B149" s="19"/>
      <c r="C149" s="19"/>
      <c r="D149" s="19"/>
      <c r="E149" s="19"/>
      <c r="F149" s="19"/>
      <c r="G149" s="19"/>
    </row>
    <row r="150" customFormat="false" ht="15" hidden="false" customHeight="false" outlineLevel="0" collapsed="false">
      <c r="A150" s="20"/>
      <c r="B150" s="19"/>
      <c r="C150" s="19"/>
      <c r="D150" s="19"/>
      <c r="E150" s="19"/>
      <c r="F150" s="19"/>
      <c r="G150" s="19"/>
    </row>
    <row r="151" customFormat="false" ht="15" hidden="false" customHeight="false" outlineLevel="0" collapsed="false">
      <c r="A151" s="20"/>
      <c r="B151" s="19"/>
      <c r="C151" s="19"/>
      <c r="D151" s="19"/>
      <c r="E151" s="19"/>
      <c r="F151" s="19"/>
      <c r="G151" s="19"/>
    </row>
    <row r="152" customFormat="false" ht="15" hidden="false" customHeight="false" outlineLevel="0" collapsed="false">
      <c r="A152" s="20"/>
      <c r="B152" s="19"/>
      <c r="C152" s="19"/>
      <c r="D152" s="19"/>
      <c r="E152" s="19"/>
      <c r="F152" s="19"/>
      <c r="G152" s="19"/>
    </row>
    <row r="153" customFormat="false" ht="15" hidden="false" customHeight="false" outlineLevel="0" collapsed="false">
      <c r="A153" s="20"/>
      <c r="B153" s="19"/>
      <c r="C153" s="19"/>
      <c r="D153" s="19"/>
      <c r="E153" s="19"/>
      <c r="F153" s="19"/>
      <c r="G153" s="19"/>
    </row>
    <row r="154" customFormat="false" ht="15" hidden="false" customHeight="false" outlineLevel="0" collapsed="false">
      <c r="A154" s="20"/>
      <c r="B154" s="19"/>
      <c r="C154" s="19"/>
      <c r="D154" s="19"/>
      <c r="E154" s="19"/>
      <c r="F154" s="19"/>
      <c r="G154" s="19"/>
    </row>
    <row r="155" customFormat="false" ht="15" hidden="false" customHeight="false" outlineLevel="0" collapsed="false">
      <c r="A155" s="20"/>
      <c r="B155" s="19"/>
      <c r="C155" s="19"/>
      <c r="D155" s="19"/>
      <c r="E155" s="19"/>
      <c r="F155" s="19"/>
      <c r="G155" s="19"/>
    </row>
    <row r="156" customFormat="false" ht="15" hidden="false" customHeight="false" outlineLevel="0" collapsed="false">
      <c r="A156" s="20"/>
      <c r="B156" s="19"/>
      <c r="C156" s="19"/>
      <c r="D156" s="19"/>
      <c r="E156" s="19"/>
      <c r="F156" s="19"/>
      <c r="G156" s="19"/>
    </row>
    <row r="157" customFormat="false" ht="15" hidden="false" customHeight="false" outlineLevel="0" collapsed="false">
      <c r="A157" s="20"/>
      <c r="B157" s="19"/>
      <c r="C157" s="19"/>
      <c r="D157" s="19"/>
      <c r="E157" s="19"/>
      <c r="F157" s="19"/>
      <c r="G157" s="19"/>
    </row>
    <row r="158" customFormat="false" ht="15" hidden="false" customHeight="false" outlineLevel="0" collapsed="false">
      <c r="A158" s="20"/>
      <c r="B158" s="19"/>
      <c r="C158" s="19"/>
      <c r="D158" s="19"/>
      <c r="E158" s="19"/>
      <c r="F158" s="19"/>
      <c r="G158" s="19"/>
    </row>
    <row r="159" customFormat="false" ht="15" hidden="false" customHeight="false" outlineLevel="0" collapsed="false">
      <c r="A159" s="20"/>
      <c r="B159" s="19"/>
      <c r="C159" s="19"/>
      <c r="D159" s="19"/>
      <c r="E159" s="19"/>
      <c r="F159" s="19"/>
      <c r="G159" s="19"/>
    </row>
    <row r="160" customFormat="false" ht="15" hidden="false" customHeight="false" outlineLevel="0" collapsed="false">
      <c r="A160" s="20"/>
      <c r="B160" s="19"/>
      <c r="C160" s="19"/>
      <c r="D160" s="19"/>
      <c r="E160" s="19"/>
      <c r="F160" s="19"/>
      <c r="G160" s="19"/>
    </row>
    <row r="161" customFormat="false" ht="15" hidden="false" customHeight="false" outlineLevel="0" collapsed="false">
      <c r="A161" s="20"/>
      <c r="B161" s="19"/>
      <c r="C161" s="19"/>
      <c r="D161" s="19"/>
      <c r="E161" s="19"/>
      <c r="F161" s="19"/>
      <c r="G161" s="19"/>
    </row>
    <row r="162" customFormat="false" ht="15" hidden="false" customHeight="false" outlineLevel="0" collapsed="false">
      <c r="A162" s="20"/>
      <c r="B162" s="19"/>
      <c r="C162" s="19"/>
      <c r="D162" s="19"/>
      <c r="E162" s="19"/>
      <c r="F162" s="19"/>
      <c r="G162" s="19"/>
    </row>
    <row r="163" customFormat="false" ht="15" hidden="false" customHeight="false" outlineLevel="0" collapsed="false">
      <c r="A163" s="20"/>
      <c r="B163" s="19"/>
      <c r="C163" s="19"/>
      <c r="D163" s="19"/>
      <c r="E163" s="19"/>
      <c r="F163" s="19"/>
      <c r="G163" s="19"/>
    </row>
    <row r="164" customFormat="false" ht="15" hidden="false" customHeight="false" outlineLevel="0" collapsed="false">
      <c r="A164" s="20"/>
      <c r="B164" s="19"/>
      <c r="C164" s="19"/>
      <c r="D164" s="19"/>
      <c r="E164" s="19"/>
      <c r="F164" s="19"/>
      <c r="G164" s="19"/>
    </row>
    <row r="165" customFormat="false" ht="15" hidden="false" customHeight="false" outlineLevel="0" collapsed="false">
      <c r="A165" s="20"/>
      <c r="B165" s="19"/>
      <c r="C165" s="19"/>
      <c r="D165" s="19"/>
      <c r="E165" s="19"/>
      <c r="F165" s="19"/>
      <c r="G165" s="19"/>
    </row>
    <row r="166" customFormat="false" ht="15" hidden="false" customHeight="false" outlineLevel="0" collapsed="false">
      <c r="A166" s="20"/>
      <c r="B166" s="19"/>
      <c r="C166" s="19"/>
      <c r="D166" s="19"/>
      <c r="E166" s="19"/>
      <c r="F166" s="19"/>
      <c r="G166" s="19"/>
    </row>
    <row r="167" customFormat="false" ht="15" hidden="false" customHeight="false" outlineLevel="0" collapsed="false">
      <c r="A167" s="20"/>
      <c r="B167" s="19"/>
      <c r="C167" s="19"/>
      <c r="D167" s="19"/>
      <c r="E167" s="19"/>
      <c r="F167" s="19"/>
      <c r="G167" s="19"/>
    </row>
    <row r="168" customFormat="false" ht="15" hidden="false" customHeight="false" outlineLevel="0" collapsed="false">
      <c r="A168" s="20"/>
      <c r="B168" s="19"/>
      <c r="C168" s="19"/>
      <c r="D168" s="19"/>
      <c r="E168" s="19"/>
      <c r="F168" s="19"/>
      <c r="G168" s="19"/>
    </row>
    <row r="169" customFormat="false" ht="15" hidden="false" customHeight="false" outlineLevel="0" collapsed="false">
      <c r="A169" s="20"/>
      <c r="B169" s="19"/>
      <c r="C169" s="19"/>
      <c r="D169" s="19"/>
      <c r="E169" s="19"/>
      <c r="F169" s="19"/>
      <c r="G169" s="19"/>
    </row>
    <row r="170" customFormat="false" ht="15" hidden="false" customHeight="false" outlineLevel="0" collapsed="false">
      <c r="A170" s="20"/>
      <c r="B170" s="19"/>
      <c r="C170" s="19"/>
      <c r="D170" s="19"/>
      <c r="E170" s="19"/>
      <c r="F170" s="19"/>
      <c r="G170" s="19"/>
    </row>
    <row r="171" customFormat="false" ht="15" hidden="false" customHeight="false" outlineLevel="0" collapsed="false">
      <c r="A171" s="20"/>
      <c r="B171" s="19"/>
      <c r="C171" s="19"/>
      <c r="D171" s="19"/>
      <c r="E171" s="19"/>
      <c r="F171" s="19"/>
      <c r="G171" s="19"/>
    </row>
    <row r="172" customFormat="false" ht="15" hidden="false" customHeight="false" outlineLevel="0" collapsed="false">
      <c r="A172" s="20"/>
      <c r="B172" s="19"/>
      <c r="C172" s="19"/>
      <c r="D172" s="19"/>
      <c r="E172" s="19"/>
      <c r="F172" s="19"/>
      <c r="G172" s="19"/>
    </row>
    <row r="173" customFormat="false" ht="15" hidden="false" customHeight="false" outlineLevel="0" collapsed="false">
      <c r="A173" s="20"/>
      <c r="B173" s="19"/>
      <c r="C173" s="19"/>
      <c r="D173" s="19"/>
      <c r="E173" s="19"/>
      <c r="F173" s="19"/>
      <c r="G173" s="19"/>
    </row>
    <row r="174" customFormat="false" ht="15" hidden="false" customHeight="false" outlineLevel="0" collapsed="false">
      <c r="A174" s="20"/>
      <c r="B174" s="19"/>
      <c r="C174" s="19"/>
      <c r="D174" s="19"/>
      <c r="E174" s="19"/>
      <c r="F174" s="19"/>
      <c r="G174" s="19"/>
    </row>
    <row r="175" customFormat="false" ht="15" hidden="false" customHeight="false" outlineLevel="0" collapsed="false">
      <c r="A175" s="20"/>
      <c r="B175" s="19"/>
      <c r="C175" s="19"/>
      <c r="D175" s="19"/>
      <c r="E175" s="19"/>
      <c r="F175" s="19"/>
      <c r="G175" s="19"/>
    </row>
    <row r="176" customFormat="false" ht="15" hidden="false" customHeight="false" outlineLevel="0" collapsed="false">
      <c r="A176" s="20"/>
      <c r="B176" s="19"/>
      <c r="C176" s="19"/>
      <c r="D176" s="19"/>
      <c r="E176" s="19"/>
      <c r="F176" s="19"/>
      <c r="G176" s="19"/>
    </row>
    <row r="177" customFormat="false" ht="15" hidden="false" customHeight="false" outlineLevel="0" collapsed="false">
      <c r="A177" s="20"/>
      <c r="B177" s="19"/>
      <c r="C177" s="19"/>
      <c r="D177" s="19"/>
      <c r="E177" s="19"/>
      <c r="F177" s="19"/>
      <c r="G177" s="19"/>
    </row>
    <row r="178" customFormat="false" ht="15" hidden="false" customHeight="false" outlineLevel="0" collapsed="false">
      <c r="A178" s="20"/>
      <c r="B178" s="19"/>
      <c r="C178" s="19"/>
      <c r="D178" s="19"/>
      <c r="E178" s="19"/>
      <c r="F178" s="19"/>
      <c r="G178" s="19"/>
    </row>
    <row r="179" customFormat="false" ht="15" hidden="false" customHeight="false" outlineLevel="0" collapsed="false">
      <c r="A179" s="20"/>
      <c r="B179" s="19"/>
      <c r="C179" s="19"/>
      <c r="D179" s="19"/>
      <c r="E179" s="19"/>
      <c r="F179" s="19"/>
      <c r="G179" s="19"/>
    </row>
    <row r="180" customFormat="false" ht="15" hidden="false" customHeight="false" outlineLevel="0" collapsed="false">
      <c r="A180" s="20"/>
      <c r="B180" s="19"/>
      <c r="C180" s="19"/>
      <c r="D180" s="19"/>
      <c r="E180" s="19"/>
      <c r="F180" s="19"/>
      <c r="G180" s="19"/>
    </row>
    <row r="181" customFormat="false" ht="15" hidden="false" customHeight="false" outlineLevel="0" collapsed="false">
      <c r="A181" s="20"/>
      <c r="B181" s="19"/>
      <c r="C181" s="19"/>
      <c r="D181" s="19"/>
      <c r="E181" s="19"/>
      <c r="F181" s="19"/>
      <c r="G181" s="19"/>
    </row>
    <row r="182" customFormat="false" ht="15" hidden="false" customHeight="false" outlineLevel="0" collapsed="false">
      <c r="A182" s="20"/>
      <c r="B182" s="19"/>
      <c r="C182" s="19"/>
      <c r="D182" s="19"/>
      <c r="E182" s="19"/>
      <c r="F182" s="19"/>
      <c r="G182" s="19"/>
    </row>
    <row r="183" customFormat="false" ht="15" hidden="false" customHeight="false" outlineLevel="0" collapsed="false">
      <c r="A183" s="20"/>
      <c r="B183" s="19"/>
      <c r="C183" s="19"/>
      <c r="D183" s="19"/>
      <c r="E183" s="19"/>
      <c r="F183" s="19"/>
      <c r="G183" s="19"/>
    </row>
    <row r="184" customFormat="false" ht="15" hidden="false" customHeight="false" outlineLevel="0" collapsed="false">
      <c r="A184" s="20"/>
      <c r="B184" s="19"/>
      <c r="C184" s="19"/>
      <c r="D184" s="19"/>
      <c r="E184" s="19"/>
      <c r="F184" s="19"/>
      <c r="G184" s="19"/>
    </row>
    <row r="185" customFormat="false" ht="15" hidden="false" customHeight="false" outlineLevel="0" collapsed="false">
      <c r="A185" s="20"/>
      <c r="B185" s="19"/>
      <c r="C185" s="19"/>
      <c r="D185" s="19"/>
      <c r="E185" s="19"/>
      <c r="F185" s="19"/>
      <c r="G185" s="19"/>
    </row>
    <row r="186" customFormat="false" ht="15" hidden="false" customHeight="false" outlineLevel="0" collapsed="false">
      <c r="A186" s="20"/>
      <c r="B186" s="19"/>
      <c r="C186" s="19"/>
      <c r="D186" s="19"/>
      <c r="E186" s="19"/>
      <c r="F186" s="19"/>
      <c r="G186" s="19"/>
    </row>
    <row r="187" customFormat="false" ht="15" hidden="false" customHeight="false" outlineLevel="0" collapsed="false">
      <c r="A187" s="20"/>
      <c r="B187" s="19"/>
      <c r="C187" s="19"/>
      <c r="D187" s="19"/>
      <c r="E187" s="19"/>
      <c r="F187" s="19"/>
      <c r="G187" s="19"/>
    </row>
    <row r="188" customFormat="false" ht="15" hidden="false" customHeight="false" outlineLevel="0" collapsed="false">
      <c r="A188" s="20"/>
      <c r="B188" s="19"/>
      <c r="C188" s="19"/>
      <c r="D188" s="19"/>
      <c r="E188" s="19"/>
      <c r="F188" s="19"/>
      <c r="G188" s="19"/>
    </row>
    <row r="189" customFormat="false" ht="15" hidden="false" customHeight="false" outlineLevel="0" collapsed="false">
      <c r="A189" s="20"/>
      <c r="B189" s="19"/>
      <c r="C189" s="19"/>
      <c r="D189" s="19"/>
      <c r="E189" s="19"/>
      <c r="F189" s="19"/>
      <c r="G189" s="19"/>
    </row>
    <row r="190" customFormat="false" ht="15" hidden="false" customHeight="false" outlineLevel="0" collapsed="false">
      <c r="A190" s="20"/>
      <c r="B190" s="19"/>
      <c r="C190" s="19"/>
      <c r="D190" s="19"/>
      <c r="E190" s="19"/>
      <c r="F190" s="19"/>
      <c r="G190" s="19"/>
    </row>
    <row r="191" customFormat="false" ht="15" hidden="false" customHeight="false" outlineLevel="0" collapsed="false">
      <c r="A191" s="20"/>
      <c r="B191" s="19"/>
      <c r="C191" s="19"/>
      <c r="D191" s="19"/>
      <c r="E191" s="19"/>
      <c r="F191" s="19"/>
      <c r="G191" s="19"/>
    </row>
    <row r="192" customFormat="false" ht="15" hidden="false" customHeight="false" outlineLevel="0" collapsed="false">
      <c r="A192" s="20"/>
      <c r="B192" s="19"/>
      <c r="C192" s="19"/>
      <c r="D192" s="19"/>
      <c r="E192" s="19"/>
      <c r="F192" s="19"/>
      <c r="G192" s="19"/>
    </row>
    <row r="193" customFormat="false" ht="15" hidden="false" customHeight="false" outlineLevel="0" collapsed="false">
      <c r="A193" s="20"/>
      <c r="B193" s="19"/>
      <c r="C193" s="19"/>
      <c r="D193" s="19"/>
      <c r="E193" s="19"/>
      <c r="F193" s="19"/>
      <c r="G193" s="19"/>
    </row>
    <row r="194" customFormat="false" ht="15" hidden="false" customHeight="false" outlineLevel="0" collapsed="false">
      <c r="A194" s="20"/>
      <c r="B194" s="19"/>
      <c r="C194" s="19"/>
      <c r="D194" s="19"/>
      <c r="E194" s="19"/>
      <c r="F194" s="19"/>
      <c r="G194" s="19"/>
    </row>
    <row r="195" customFormat="false" ht="15" hidden="false" customHeight="false" outlineLevel="0" collapsed="false">
      <c r="A195" s="20"/>
      <c r="B195" s="19"/>
      <c r="C195" s="19"/>
      <c r="D195" s="19"/>
      <c r="E195" s="19"/>
      <c r="F195" s="19"/>
      <c r="G195" s="19"/>
    </row>
    <row r="196" customFormat="false" ht="15" hidden="false" customHeight="false" outlineLevel="0" collapsed="false">
      <c r="A196" s="20"/>
      <c r="B196" s="19"/>
      <c r="C196" s="19"/>
      <c r="D196" s="19"/>
      <c r="E196" s="19"/>
      <c r="F196" s="19"/>
      <c r="G196" s="19"/>
    </row>
    <row r="197" customFormat="false" ht="15" hidden="false" customHeight="false" outlineLevel="0" collapsed="false">
      <c r="A197" s="20"/>
      <c r="B197" s="19"/>
      <c r="C197" s="19"/>
      <c r="D197" s="19"/>
      <c r="E197" s="19"/>
      <c r="F197" s="19"/>
      <c r="G197" s="19"/>
    </row>
    <row r="198" customFormat="false" ht="15" hidden="false" customHeight="false" outlineLevel="0" collapsed="false">
      <c r="A198" s="20"/>
      <c r="B198" s="19"/>
      <c r="C198" s="19"/>
      <c r="D198" s="19"/>
      <c r="E198" s="19"/>
      <c r="F198" s="19"/>
      <c r="G198" s="19"/>
    </row>
    <row r="199" customFormat="false" ht="15" hidden="false" customHeight="false" outlineLevel="0" collapsed="false">
      <c r="A199" s="20"/>
      <c r="B199" s="19"/>
      <c r="C199" s="19"/>
      <c r="D199" s="19"/>
      <c r="E199" s="19"/>
      <c r="F199" s="19"/>
      <c r="G199" s="19"/>
    </row>
    <row r="200" customFormat="false" ht="15" hidden="false" customHeight="false" outlineLevel="0" collapsed="false">
      <c r="A200" s="20"/>
      <c r="B200" s="19"/>
      <c r="C200" s="19"/>
      <c r="D200" s="19"/>
      <c r="E200" s="19"/>
      <c r="F200" s="19"/>
      <c r="G200" s="19"/>
    </row>
    <row r="201" customFormat="false" ht="15" hidden="false" customHeight="false" outlineLevel="0" collapsed="false">
      <c r="A201" s="20"/>
      <c r="B201" s="19"/>
      <c r="C201" s="19"/>
      <c r="D201" s="19"/>
      <c r="E201" s="19"/>
      <c r="F201" s="19"/>
      <c r="G201" s="19"/>
    </row>
    <row r="202" customFormat="false" ht="15" hidden="false" customHeight="false" outlineLevel="0" collapsed="false">
      <c r="A202" s="20"/>
      <c r="B202" s="19"/>
      <c r="C202" s="19"/>
      <c r="D202" s="19"/>
      <c r="E202" s="19"/>
      <c r="F202" s="19"/>
      <c r="G202" s="19"/>
    </row>
    <row r="203" customFormat="false" ht="15" hidden="false" customHeight="false" outlineLevel="0" collapsed="false">
      <c r="A203" s="20"/>
      <c r="B203" s="19"/>
      <c r="C203" s="19"/>
      <c r="D203" s="19"/>
      <c r="E203" s="19"/>
      <c r="F203" s="19"/>
      <c r="G203" s="19"/>
    </row>
    <row r="204" customFormat="false" ht="15" hidden="false" customHeight="false" outlineLevel="0" collapsed="false">
      <c r="A204" s="20"/>
      <c r="B204" s="19"/>
      <c r="C204" s="19"/>
      <c r="D204" s="19"/>
      <c r="E204" s="19"/>
      <c r="F204" s="19"/>
      <c r="G204" s="19"/>
    </row>
    <row r="205" customFormat="false" ht="15" hidden="false" customHeight="false" outlineLevel="0" collapsed="false">
      <c r="A205" s="20"/>
      <c r="B205" s="19"/>
      <c r="C205" s="19"/>
      <c r="D205" s="19"/>
      <c r="E205" s="19"/>
      <c r="F205" s="19"/>
      <c r="G205" s="19"/>
    </row>
    <row r="206" customFormat="false" ht="15" hidden="false" customHeight="false" outlineLevel="0" collapsed="false">
      <c r="A206" s="20"/>
      <c r="B206" s="19"/>
      <c r="C206" s="19"/>
      <c r="D206" s="19"/>
      <c r="E206" s="19"/>
      <c r="F206" s="19"/>
      <c r="G206" s="19"/>
    </row>
    <row r="207" customFormat="false" ht="15" hidden="false" customHeight="false" outlineLevel="0" collapsed="false">
      <c r="A207" s="20"/>
      <c r="B207" s="19"/>
      <c r="C207" s="19"/>
      <c r="D207" s="19"/>
      <c r="E207" s="19"/>
      <c r="F207" s="19"/>
      <c r="G207" s="19"/>
    </row>
    <row r="208" customFormat="false" ht="15" hidden="false" customHeight="false" outlineLevel="0" collapsed="false">
      <c r="A208" s="20"/>
      <c r="B208" s="19"/>
      <c r="C208" s="19"/>
      <c r="D208" s="19"/>
      <c r="E208" s="19"/>
      <c r="F208" s="19"/>
      <c r="G208" s="19"/>
    </row>
    <row r="209" customFormat="false" ht="15" hidden="false" customHeight="false" outlineLevel="0" collapsed="false">
      <c r="A209" s="20"/>
      <c r="B209" s="19"/>
      <c r="C209" s="19"/>
      <c r="D209" s="19"/>
      <c r="E209" s="19"/>
      <c r="F209" s="19"/>
      <c r="G209" s="19"/>
    </row>
    <row r="210" customFormat="false" ht="15" hidden="false" customHeight="false" outlineLevel="0" collapsed="false">
      <c r="A210" s="20"/>
      <c r="B210" s="19"/>
      <c r="C210" s="19"/>
      <c r="D210" s="19"/>
      <c r="E210" s="19"/>
      <c r="F210" s="19"/>
      <c r="G210" s="19"/>
    </row>
    <row r="211" customFormat="false" ht="15" hidden="false" customHeight="false" outlineLevel="0" collapsed="false">
      <c r="A211" s="20"/>
      <c r="B211" s="19"/>
      <c r="C211" s="19"/>
      <c r="D211" s="19"/>
      <c r="E211" s="19"/>
      <c r="F211" s="19"/>
      <c r="G211" s="19"/>
    </row>
    <row r="212" customFormat="false" ht="15" hidden="false" customHeight="false" outlineLevel="0" collapsed="false">
      <c r="A212" s="20"/>
      <c r="B212" s="19"/>
      <c r="C212" s="19"/>
      <c r="D212" s="19"/>
      <c r="E212" s="19"/>
      <c r="F212" s="19"/>
      <c r="G212" s="19"/>
    </row>
    <row r="213" customFormat="false" ht="15" hidden="false" customHeight="false" outlineLevel="0" collapsed="false">
      <c r="A213" s="20"/>
      <c r="B213" s="19"/>
      <c r="C213" s="19"/>
      <c r="D213" s="19"/>
      <c r="E213" s="19"/>
      <c r="F213" s="19"/>
      <c r="G213" s="19"/>
    </row>
    <row r="214" customFormat="false" ht="15" hidden="false" customHeight="false" outlineLevel="0" collapsed="false">
      <c r="A214" s="20"/>
      <c r="B214" s="19"/>
      <c r="C214" s="19"/>
      <c r="D214" s="19"/>
      <c r="E214" s="19"/>
      <c r="F214" s="19"/>
      <c r="G214" s="19"/>
    </row>
    <row r="215" customFormat="false" ht="15" hidden="false" customHeight="false" outlineLevel="0" collapsed="false">
      <c r="A215" s="20"/>
      <c r="B215" s="19"/>
      <c r="C215" s="19"/>
      <c r="D215" s="19"/>
      <c r="E215" s="19"/>
      <c r="F215" s="19"/>
      <c r="G215" s="19"/>
    </row>
    <row r="216" customFormat="false" ht="15" hidden="false" customHeight="false" outlineLevel="0" collapsed="false">
      <c r="A216" s="20"/>
      <c r="B216" s="19"/>
      <c r="C216" s="19"/>
      <c r="D216" s="19"/>
      <c r="E216" s="19"/>
      <c r="F216" s="19"/>
      <c r="G216" s="19"/>
    </row>
    <row r="217" customFormat="false" ht="15" hidden="false" customHeight="false" outlineLevel="0" collapsed="false">
      <c r="A217" s="20"/>
      <c r="B217" s="19"/>
      <c r="C217" s="19"/>
      <c r="D217" s="19"/>
      <c r="E217" s="19"/>
      <c r="F217" s="19"/>
      <c r="G217" s="19"/>
    </row>
    <row r="218" customFormat="false" ht="15" hidden="false" customHeight="false" outlineLevel="0" collapsed="false">
      <c r="A218" s="20"/>
      <c r="B218" s="19"/>
      <c r="C218" s="19"/>
      <c r="D218" s="19"/>
      <c r="E218" s="19"/>
      <c r="F218" s="19"/>
      <c r="G218" s="19"/>
    </row>
    <row r="219" customFormat="false" ht="15" hidden="false" customHeight="false" outlineLevel="0" collapsed="false">
      <c r="A219" s="20"/>
      <c r="B219" s="19"/>
      <c r="C219" s="19"/>
      <c r="D219" s="19"/>
      <c r="E219" s="19"/>
      <c r="F219" s="19"/>
      <c r="G219" s="19"/>
    </row>
    <row r="220" customFormat="false" ht="15" hidden="false" customHeight="false" outlineLevel="0" collapsed="false">
      <c r="A220" s="20"/>
      <c r="B220" s="19"/>
      <c r="C220" s="19"/>
      <c r="D220" s="19"/>
      <c r="E220" s="19"/>
      <c r="F220" s="19"/>
      <c r="G220" s="19"/>
    </row>
    <row r="221" customFormat="false" ht="15" hidden="false" customHeight="false" outlineLevel="0" collapsed="false">
      <c r="A221" s="20"/>
      <c r="B221" s="19"/>
      <c r="C221" s="19"/>
      <c r="D221" s="19"/>
      <c r="E221" s="19"/>
      <c r="F221" s="19"/>
      <c r="G221" s="19"/>
    </row>
    <row r="222" customFormat="false" ht="15" hidden="false" customHeight="false" outlineLevel="0" collapsed="false">
      <c r="A222" s="20"/>
      <c r="B222" s="19"/>
      <c r="C222" s="19"/>
      <c r="D222" s="19"/>
      <c r="E222" s="19"/>
      <c r="F222" s="19"/>
      <c r="G222" s="19"/>
    </row>
    <row r="223" customFormat="false" ht="15" hidden="false" customHeight="false" outlineLevel="0" collapsed="false">
      <c r="A223" s="20"/>
      <c r="B223" s="19"/>
      <c r="C223" s="19"/>
      <c r="D223" s="19"/>
      <c r="E223" s="19"/>
      <c r="F223" s="19"/>
      <c r="G223" s="19"/>
    </row>
    <row r="224" customFormat="false" ht="15" hidden="false" customHeight="false" outlineLevel="0" collapsed="false">
      <c r="A224" s="20"/>
      <c r="B224" s="19"/>
      <c r="C224" s="19"/>
      <c r="D224" s="19"/>
      <c r="E224" s="19"/>
      <c r="F224" s="19"/>
      <c r="G224" s="19"/>
    </row>
    <row r="225" customFormat="false" ht="15" hidden="false" customHeight="false" outlineLevel="0" collapsed="false">
      <c r="A225" s="20"/>
      <c r="B225" s="19"/>
      <c r="C225" s="19"/>
      <c r="D225" s="19"/>
      <c r="E225" s="19"/>
      <c r="F225" s="19"/>
      <c r="G225" s="19"/>
    </row>
    <row r="226" customFormat="false" ht="15" hidden="false" customHeight="false" outlineLevel="0" collapsed="false">
      <c r="A226" s="20"/>
      <c r="B226" s="19"/>
      <c r="C226" s="19"/>
      <c r="D226" s="19"/>
      <c r="E226" s="19"/>
      <c r="F226" s="19"/>
      <c r="G226" s="19"/>
    </row>
    <row r="227" customFormat="false" ht="15" hidden="false" customHeight="false" outlineLevel="0" collapsed="false">
      <c r="A227" s="20"/>
      <c r="B227" s="19"/>
      <c r="C227" s="19"/>
      <c r="D227" s="19"/>
      <c r="E227" s="19"/>
      <c r="F227" s="19"/>
      <c r="G227" s="19"/>
    </row>
    <row r="228" customFormat="false" ht="15" hidden="false" customHeight="false" outlineLevel="0" collapsed="false">
      <c r="A228" s="20"/>
      <c r="B228" s="19"/>
      <c r="C228" s="19"/>
      <c r="D228" s="19"/>
      <c r="E228" s="19"/>
      <c r="F228" s="19"/>
      <c r="G228" s="19"/>
    </row>
    <row r="229" customFormat="false" ht="15" hidden="false" customHeight="false" outlineLevel="0" collapsed="false">
      <c r="A229" s="20"/>
      <c r="B229" s="19"/>
      <c r="C229" s="19"/>
      <c r="D229" s="19"/>
      <c r="E229" s="19"/>
      <c r="F229" s="19"/>
      <c r="G229" s="19"/>
    </row>
    <row r="230" customFormat="false" ht="15" hidden="false" customHeight="false" outlineLevel="0" collapsed="false">
      <c r="A230" s="20"/>
      <c r="B230" s="19"/>
      <c r="C230" s="19"/>
      <c r="D230" s="19"/>
      <c r="E230" s="19"/>
      <c r="F230" s="19"/>
      <c r="G230" s="19"/>
    </row>
    <row r="231" customFormat="false" ht="15" hidden="false" customHeight="false" outlineLevel="0" collapsed="false">
      <c r="A231" s="20"/>
      <c r="B231" s="19"/>
      <c r="C231" s="19"/>
      <c r="D231" s="19"/>
      <c r="E231" s="19"/>
      <c r="F231" s="19"/>
      <c r="G231" s="19"/>
    </row>
    <row r="232" customFormat="false" ht="15" hidden="false" customHeight="false" outlineLevel="0" collapsed="false">
      <c r="A232" s="20"/>
      <c r="B232" s="19"/>
      <c r="C232" s="19"/>
      <c r="D232" s="19"/>
      <c r="E232" s="19"/>
      <c r="F232" s="19"/>
      <c r="G232" s="19"/>
    </row>
    <row r="233" customFormat="false" ht="15" hidden="false" customHeight="false" outlineLevel="0" collapsed="false">
      <c r="A233" s="20"/>
      <c r="B233" s="19"/>
      <c r="C233" s="19"/>
      <c r="D233" s="19"/>
      <c r="E233" s="19"/>
      <c r="F233" s="19"/>
      <c r="G233" s="19"/>
    </row>
    <row r="234" customFormat="false" ht="15" hidden="false" customHeight="false" outlineLevel="0" collapsed="false">
      <c r="A234" s="20"/>
      <c r="B234" s="19"/>
      <c r="C234" s="19"/>
      <c r="D234" s="19"/>
      <c r="E234" s="19"/>
      <c r="F234" s="19"/>
      <c r="G234" s="19"/>
    </row>
    <row r="235" customFormat="false" ht="15" hidden="false" customHeight="false" outlineLevel="0" collapsed="false">
      <c r="A235" s="20"/>
      <c r="B235" s="19"/>
      <c r="C235" s="19"/>
      <c r="D235" s="19"/>
      <c r="E235" s="19"/>
      <c r="F235" s="19"/>
      <c r="G235" s="19"/>
    </row>
    <row r="236" customFormat="false" ht="15" hidden="false" customHeight="false" outlineLevel="0" collapsed="false">
      <c r="A236" s="20"/>
      <c r="B236" s="19"/>
      <c r="C236" s="19"/>
      <c r="D236" s="19"/>
      <c r="E236" s="19"/>
      <c r="F236" s="19"/>
      <c r="G236" s="19"/>
    </row>
    <row r="237" customFormat="false" ht="15" hidden="false" customHeight="false" outlineLevel="0" collapsed="false">
      <c r="A237" s="20"/>
      <c r="B237" s="19"/>
      <c r="C237" s="19"/>
      <c r="D237" s="19"/>
      <c r="E237" s="19"/>
      <c r="F237" s="19"/>
      <c r="G237" s="19"/>
    </row>
    <row r="238" customFormat="false" ht="15" hidden="false" customHeight="false" outlineLevel="0" collapsed="false">
      <c r="A238" s="20"/>
      <c r="B238" s="19"/>
      <c r="C238" s="19"/>
      <c r="D238" s="19"/>
      <c r="E238" s="19"/>
      <c r="F238" s="19"/>
      <c r="G238" s="19"/>
    </row>
    <row r="239" customFormat="false" ht="15" hidden="false" customHeight="false" outlineLevel="0" collapsed="false">
      <c r="A239" s="20"/>
      <c r="B239" s="19"/>
      <c r="C239" s="19"/>
      <c r="D239" s="19"/>
      <c r="E239" s="19"/>
      <c r="F239" s="19"/>
      <c r="G239" s="19"/>
    </row>
    <row r="240" customFormat="false" ht="15" hidden="false" customHeight="false" outlineLevel="0" collapsed="false">
      <c r="A240" s="20"/>
      <c r="B240" s="19"/>
      <c r="C240" s="19"/>
      <c r="D240" s="19"/>
      <c r="E240" s="19"/>
      <c r="F240" s="19"/>
      <c r="G240" s="19"/>
    </row>
    <row r="241" customFormat="false" ht="15" hidden="false" customHeight="false" outlineLevel="0" collapsed="false">
      <c r="A241" s="20"/>
      <c r="B241" s="19"/>
      <c r="C241" s="19"/>
      <c r="D241" s="19"/>
      <c r="E241" s="19"/>
      <c r="F241" s="19"/>
      <c r="G241" s="19"/>
    </row>
    <row r="242" customFormat="false" ht="15" hidden="false" customHeight="false" outlineLevel="0" collapsed="false">
      <c r="A242" s="20"/>
      <c r="B242" s="19"/>
      <c r="C242" s="19"/>
      <c r="D242" s="19"/>
      <c r="E242" s="19"/>
      <c r="F242" s="19"/>
      <c r="G242" s="19"/>
    </row>
    <row r="243" customFormat="false" ht="15" hidden="false" customHeight="false" outlineLevel="0" collapsed="false">
      <c r="A243" s="20"/>
      <c r="B243" s="19"/>
      <c r="C243" s="19"/>
      <c r="D243" s="19"/>
      <c r="E243" s="19"/>
      <c r="F243" s="19"/>
      <c r="G243" s="19"/>
    </row>
    <row r="244" customFormat="false" ht="15" hidden="false" customHeight="false" outlineLevel="0" collapsed="false">
      <c r="A244" s="20"/>
      <c r="B244" s="19"/>
      <c r="C244" s="19"/>
      <c r="D244" s="19"/>
      <c r="E244" s="19"/>
      <c r="F244" s="19"/>
      <c r="G244" s="19"/>
    </row>
    <row r="245" customFormat="false" ht="15" hidden="false" customHeight="false" outlineLevel="0" collapsed="false">
      <c r="A245" s="20"/>
      <c r="B245" s="19"/>
      <c r="C245" s="19"/>
      <c r="D245" s="19"/>
      <c r="E245" s="19"/>
      <c r="F245" s="19"/>
      <c r="G245" s="19"/>
    </row>
    <row r="246" customFormat="false" ht="15" hidden="false" customHeight="false" outlineLevel="0" collapsed="false">
      <c r="A246" s="20"/>
      <c r="B246" s="19"/>
      <c r="C246" s="19"/>
      <c r="D246" s="19"/>
      <c r="E246" s="19"/>
      <c r="F246" s="19"/>
      <c r="G246" s="19"/>
    </row>
    <row r="247" customFormat="false" ht="15" hidden="false" customHeight="false" outlineLevel="0" collapsed="false">
      <c r="A247" s="20"/>
      <c r="B247" s="19"/>
      <c r="C247" s="19"/>
      <c r="D247" s="19"/>
      <c r="E247" s="19"/>
      <c r="F247" s="19"/>
      <c r="G247" s="19"/>
    </row>
    <row r="248" customFormat="false" ht="15" hidden="false" customHeight="false" outlineLevel="0" collapsed="false">
      <c r="A248" s="20"/>
      <c r="B248" s="19"/>
      <c r="C248" s="19"/>
      <c r="D248" s="19"/>
      <c r="E248" s="19"/>
      <c r="F248" s="19"/>
      <c r="G248" s="19"/>
    </row>
    <row r="249" customFormat="false" ht="15" hidden="false" customHeight="false" outlineLevel="0" collapsed="false">
      <c r="A249" s="20"/>
      <c r="B249" s="19"/>
      <c r="C249" s="19"/>
      <c r="D249" s="19"/>
      <c r="E249" s="19"/>
      <c r="F249" s="19"/>
      <c r="G249" s="19"/>
    </row>
    <row r="250" customFormat="false" ht="15" hidden="false" customHeight="false" outlineLevel="0" collapsed="false">
      <c r="A250" s="20"/>
      <c r="B250" s="19"/>
      <c r="C250" s="19"/>
      <c r="D250" s="19"/>
      <c r="E250" s="19"/>
      <c r="F250" s="19"/>
      <c r="G250" s="19"/>
    </row>
    <row r="251" customFormat="false" ht="15" hidden="false" customHeight="false" outlineLevel="0" collapsed="false">
      <c r="A251" s="20"/>
      <c r="B251" s="19"/>
      <c r="C251" s="19"/>
      <c r="D251" s="19"/>
      <c r="E251" s="19"/>
      <c r="F251" s="19"/>
      <c r="G251" s="19"/>
    </row>
    <row r="252" customFormat="false" ht="15" hidden="false" customHeight="false" outlineLevel="0" collapsed="false">
      <c r="A252" s="20"/>
      <c r="B252" s="19"/>
      <c r="C252" s="19"/>
      <c r="D252" s="19"/>
      <c r="E252" s="19"/>
      <c r="F252" s="19"/>
      <c r="G252" s="19"/>
    </row>
    <row r="253" customFormat="false" ht="15" hidden="false" customHeight="false" outlineLevel="0" collapsed="false">
      <c r="A253" s="20"/>
      <c r="B253" s="19"/>
      <c r="C253" s="19"/>
      <c r="D253" s="19"/>
      <c r="E253" s="19"/>
      <c r="F253" s="19"/>
      <c r="G253" s="19"/>
    </row>
    <row r="254" customFormat="false" ht="15" hidden="false" customHeight="false" outlineLevel="0" collapsed="false">
      <c r="A254" s="20"/>
      <c r="B254" s="19"/>
      <c r="C254" s="19"/>
      <c r="D254" s="19"/>
      <c r="E254" s="19"/>
      <c r="F254" s="19"/>
      <c r="G254" s="19"/>
    </row>
    <row r="255" customFormat="false" ht="15" hidden="false" customHeight="false" outlineLevel="0" collapsed="false">
      <c r="A255" s="20"/>
      <c r="B255" s="19"/>
      <c r="C255" s="19"/>
      <c r="D255" s="19"/>
      <c r="E255" s="19"/>
      <c r="F255" s="19"/>
      <c r="G255" s="19"/>
    </row>
    <row r="256" customFormat="false" ht="15" hidden="false" customHeight="false" outlineLevel="0" collapsed="false">
      <c r="A256" s="20"/>
      <c r="B256" s="19"/>
      <c r="C256" s="19"/>
      <c r="D256" s="19"/>
      <c r="E256" s="19"/>
      <c r="F256" s="19"/>
      <c r="G256" s="19"/>
    </row>
    <row r="257" customFormat="false" ht="15" hidden="false" customHeight="false" outlineLevel="0" collapsed="false">
      <c r="A257" s="20"/>
      <c r="B257" s="19"/>
      <c r="C257" s="19"/>
      <c r="D257" s="19"/>
      <c r="E257" s="19"/>
      <c r="F257" s="19"/>
      <c r="G257" s="19"/>
    </row>
    <row r="258" customFormat="false" ht="15" hidden="false" customHeight="false" outlineLevel="0" collapsed="false">
      <c r="A258" s="20"/>
      <c r="B258" s="19"/>
      <c r="C258" s="19"/>
      <c r="D258" s="19"/>
      <c r="E258" s="19"/>
      <c r="F258" s="19"/>
      <c r="G258" s="19"/>
    </row>
    <row r="259" customFormat="false" ht="15" hidden="false" customHeight="false" outlineLevel="0" collapsed="false">
      <c r="A259" s="20"/>
      <c r="B259" s="19"/>
      <c r="C259" s="19"/>
      <c r="D259" s="19"/>
      <c r="E259" s="19"/>
      <c r="F259" s="19"/>
      <c r="G259" s="19"/>
    </row>
    <row r="260" customFormat="false" ht="15" hidden="false" customHeight="false" outlineLevel="0" collapsed="false">
      <c r="A260" s="20"/>
      <c r="B260" s="19"/>
      <c r="C260" s="19"/>
      <c r="D260" s="19"/>
      <c r="E260" s="19"/>
      <c r="F260" s="19"/>
      <c r="G260" s="19"/>
    </row>
    <row r="261" customFormat="false" ht="15" hidden="false" customHeight="false" outlineLevel="0" collapsed="false">
      <c r="A261" s="20"/>
      <c r="B261" s="19"/>
      <c r="C261" s="19"/>
      <c r="D261" s="19"/>
      <c r="E261" s="19"/>
      <c r="F261" s="19"/>
      <c r="G261" s="19"/>
    </row>
    <row r="262" customFormat="false" ht="15" hidden="false" customHeight="false" outlineLevel="0" collapsed="false">
      <c r="A262" s="20"/>
      <c r="B262" s="19"/>
      <c r="C262" s="19"/>
      <c r="D262" s="19"/>
      <c r="E262" s="19"/>
      <c r="F262" s="19"/>
      <c r="G262" s="19"/>
    </row>
    <row r="263" customFormat="false" ht="15" hidden="false" customHeight="false" outlineLevel="0" collapsed="false">
      <c r="A263" s="20"/>
      <c r="B263" s="19"/>
      <c r="C263" s="19"/>
      <c r="D263" s="19"/>
      <c r="E263" s="19"/>
      <c r="F263" s="19"/>
      <c r="G263" s="19"/>
    </row>
    <row r="264" customFormat="false" ht="15" hidden="false" customHeight="false" outlineLevel="0" collapsed="false">
      <c r="A264" s="20"/>
      <c r="B264" s="19"/>
      <c r="C264" s="19"/>
      <c r="D264" s="19"/>
      <c r="E264" s="19"/>
      <c r="F264" s="19"/>
      <c r="G264" s="19"/>
    </row>
    <row r="265" customFormat="false" ht="15" hidden="false" customHeight="false" outlineLevel="0" collapsed="false">
      <c r="A265" s="20"/>
      <c r="B265" s="19"/>
      <c r="C265" s="19"/>
      <c r="D265" s="19"/>
      <c r="E265" s="19"/>
      <c r="F265" s="19"/>
      <c r="G265" s="19"/>
    </row>
    <row r="266" customFormat="false" ht="15" hidden="false" customHeight="false" outlineLevel="0" collapsed="false">
      <c r="A266" s="20"/>
      <c r="B266" s="19"/>
      <c r="C266" s="19"/>
      <c r="D266" s="19"/>
      <c r="E266" s="19"/>
      <c r="F266" s="19"/>
      <c r="G266" s="19"/>
    </row>
    <row r="267" customFormat="false" ht="15" hidden="false" customHeight="false" outlineLevel="0" collapsed="false">
      <c r="A267" s="20"/>
      <c r="B267" s="19"/>
      <c r="C267" s="19"/>
      <c r="D267" s="19"/>
      <c r="E267" s="19"/>
      <c r="F267" s="19"/>
      <c r="G267" s="19"/>
    </row>
    <row r="268" customFormat="false" ht="15" hidden="false" customHeight="false" outlineLevel="0" collapsed="false">
      <c r="A268" s="20"/>
      <c r="B268" s="19"/>
      <c r="C268" s="19"/>
      <c r="D268" s="19"/>
      <c r="E268" s="19"/>
      <c r="F268" s="19"/>
      <c r="G268" s="19"/>
    </row>
    <row r="269" customFormat="false" ht="15" hidden="false" customHeight="false" outlineLevel="0" collapsed="false">
      <c r="A269" s="20"/>
      <c r="B269" s="19"/>
      <c r="C269" s="19"/>
      <c r="D269" s="19"/>
      <c r="E269" s="19"/>
      <c r="F269" s="19"/>
      <c r="G269" s="19"/>
    </row>
    <row r="270" customFormat="false" ht="15" hidden="false" customHeight="false" outlineLevel="0" collapsed="false">
      <c r="A270" s="20"/>
      <c r="B270" s="19"/>
      <c r="C270" s="19"/>
      <c r="D270" s="19"/>
      <c r="E270" s="19"/>
      <c r="F270" s="19"/>
      <c r="G270" s="19"/>
    </row>
    <row r="271" customFormat="false" ht="15" hidden="false" customHeight="false" outlineLevel="0" collapsed="false">
      <c r="A271" s="20"/>
      <c r="B271" s="19"/>
      <c r="C271" s="19"/>
      <c r="D271" s="19"/>
      <c r="E271" s="19"/>
      <c r="F271" s="19"/>
      <c r="G271" s="19"/>
    </row>
    <row r="272" customFormat="false" ht="15" hidden="false" customHeight="false" outlineLevel="0" collapsed="false">
      <c r="A272" s="20"/>
      <c r="B272" s="19"/>
      <c r="C272" s="19"/>
      <c r="D272" s="19"/>
      <c r="E272" s="19"/>
      <c r="F272" s="19"/>
      <c r="G272" s="19"/>
    </row>
    <row r="273" customFormat="false" ht="15" hidden="false" customHeight="false" outlineLevel="0" collapsed="false">
      <c r="A273" s="20"/>
      <c r="B273" s="19"/>
      <c r="C273" s="19"/>
      <c r="D273" s="19"/>
      <c r="E273" s="19"/>
      <c r="F273" s="19"/>
      <c r="G273" s="19"/>
    </row>
    <row r="274" customFormat="false" ht="15" hidden="false" customHeight="false" outlineLevel="0" collapsed="false">
      <c r="A274" s="20"/>
      <c r="B274" s="19"/>
      <c r="C274" s="19"/>
      <c r="D274" s="19"/>
      <c r="E274" s="19"/>
      <c r="F274" s="19"/>
      <c r="G274" s="19"/>
    </row>
    <row r="275" customFormat="false" ht="15" hidden="false" customHeight="false" outlineLevel="0" collapsed="false">
      <c r="A275" s="20"/>
      <c r="B275" s="19"/>
      <c r="C275" s="19"/>
      <c r="D275" s="19"/>
      <c r="E275" s="19"/>
      <c r="F275" s="19"/>
      <c r="G275" s="19"/>
    </row>
    <row r="276" customFormat="false" ht="15" hidden="false" customHeight="false" outlineLevel="0" collapsed="false">
      <c r="A276" s="20"/>
      <c r="B276" s="19"/>
      <c r="C276" s="19"/>
      <c r="D276" s="19"/>
      <c r="E276" s="19"/>
      <c r="F276" s="19"/>
      <c r="G276" s="19"/>
    </row>
    <row r="277" customFormat="false" ht="15" hidden="false" customHeight="false" outlineLevel="0" collapsed="false">
      <c r="A277" s="20"/>
      <c r="B277" s="19"/>
      <c r="C277" s="19"/>
      <c r="D277" s="19"/>
      <c r="E277" s="19"/>
      <c r="F277" s="19"/>
      <c r="G277" s="19"/>
    </row>
    <row r="278" customFormat="false" ht="15" hidden="false" customHeight="false" outlineLevel="0" collapsed="false">
      <c r="A278" s="20"/>
      <c r="B278" s="19"/>
      <c r="C278" s="19"/>
      <c r="D278" s="19"/>
      <c r="E278" s="19"/>
      <c r="F278" s="19"/>
      <c r="G278" s="19"/>
    </row>
    <row r="279" customFormat="false" ht="15" hidden="false" customHeight="false" outlineLevel="0" collapsed="false">
      <c r="A279" s="20"/>
      <c r="B279" s="19"/>
      <c r="C279" s="19"/>
      <c r="D279" s="19"/>
      <c r="E279" s="19"/>
      <c r="F279" s="19"/>
      <c r="G279" s="19"/>
    </row>
    <row r="280" customFormat="false" ht="15" hidden="false" customHeight="false" outlineLevel="0" collapsed="false">
      <c r="A280" s="20"/>
      <c r="B280" s="19"/>
      <c r="C280" s="19"/>
      <c r="D280" s="19"/>
      <c r="E280" s="19"/>
      <c r="F280" s="19"/>
      <c r="G280" s="19"/>
    </row>
    <row r="281" customFormat="false" ht="15" hidden="false" customHeight="false" outlineLevel="0" collapsed="false">
      <c r="A281" s="20"/>
      <c r="B281" s="19"/>
      <c r="C281" s="19"/>
      <c r="D281" s="19"/>
      <c r="E281" s="19"/>
      <c r="F281" s="19"/>
      <c r="G281" s="19"/>
    </row>
    <row r="282" customFormat="false" ht="15" hidden="false" customHeight="false" outlineLevel="0" collapsed="false">
      <c r="A282" s="20"/>
      <c r="B282" s="19"/>
      <c r="C282" s="19"/>
      <c r="D282" s="19"/>
      <c r="E282" s="19"/>
      <c r="F282" s="19"/>
      <c r="G282" s="19"/>
    </row>
    <row r="283" customFormat="false" ht="15" hidden="false" customHeight="false" outlineLevel="0" collapsed="false">
      <c r="A283" s="20"/>
      <c r="B283" s="19"/>
      <c r="C283" s="19"/>
      <c r="D283" s="19"/>
      <c r="E283" s="19"/>
      <c r="F283" s="19"/>
      <c r="G283" s="19"/>
    </row>
    <row r="284" customFormat="false" ht="15" hidden="false" customHeight="false" outlineLevel="0" collapsed="false">
      <c r="A284" s="20"/>
      <c r="B284" s="19"/>
      <c r="C284" s="19"/>
      <c r="D284" s="19"/>
      <c r="E284" s="19"/>
      <c r="F284" s="19"/>
      <c r="G284" s="19"/>
    </row>
    <row r="285" customFormat="false" ht="15" hidden="false" customHeight="false" outlineLevel="0" collapsed="false">
      <c r="A285" s="20"/>
      <c r="B285" s="19"/>
      <c r="C285" s="19"/>
      <c r="D285" s="19"/>
      <c r="E285" s="19"/>
      <c r="F285" s="19"/>
      <c r="G285" s="19"/>
    </row>
    <row r="286" customFormat="false" ht="15" hidden="false" customHeight="false" outlineLevel="0" collapsed="false">
      <c r="A286" s="20"/>
      <c r="B286" s="19"/>
      <c r="C286" s="19"/>
      <c r="D286" s="19"/>
      <c r="E286" s="19"/>
      <c r="F286" s="19"/>
      <c r="G286" s="19"/>
    </row>
    <row r="287" customFormat="false" ht="15" hidden="false" customHeight="false" outlineLevel="0" collapsed="false">
      <c r="A287" s="20"/>
      <c r="B287" s="19"/>
      <c r="C287" s="19"/>
      <c r="D287" s="19"/>
      <c r="E287" s="19"/>
      <c r="F287" s="19"/>
      <c r="G287" s="19"/>
    </row>
    <row r="288" customFormat="false" ht="15" hidden="false" customHeight="false" outlineLevel="0" collapsed="false">
      <c r="A288" s="20"/>
      <c r="B288" s="19"/>
      <c r="C288" s="19"/>
      <c r="D288" s="19"/>
      <c r="E288" s="19"/>
      <c r="F288" s="19"/>
      <c r="G288" s="19"/>
    </row>
    <row r="289" customFormat="false" ht="15" hidden="false" customHeight="false" outlineLevel="0" collapsed="false">
      <c r="A289" s="20"/>
      <c r="B289" s="19"/>
      <c r="C289" s="19"/>
      <c r="D289" s="19"/>
      <c r="E289" s="19"/>
      <c r="F289" s="19"/>
      <c r="G289" s="19"/>
    </row>
    <row r="290" customFormat="false" ht="15" hidden="false" customHeight="false" outlineLevel="0" collapsed="false">
      <c r="A290" s="20"/>
      <c r="B290" s="19"/>
      <c r="C290" s="19"/>
      <c r="D290" s="19"/>
      <c r="E290" s="19"/>
      <c r="F290" s="19"/>
      <c r="G290" s="19"/>
    </row>
    <row r="291" customFormat="false" ht="15" hidden="false" customHeight="false" outlineLevel="0" collapsed="false">
      <c r="A291" s="20"/>
      <c r="B291" s="19"/>
      <c r="C291" s="19"/>
      <c r="D291" s="19"/>
      <c r="E291" s="19"/>
      <c r="F291" s="19"/>
      <c r="G291" s="19"/>
    </row>
    <row r="292" customFormat="false" ht="15" hidden="false" customHeight="false" outlineLevel="0" collapsed="false">
      <c r="A292" s="20"/>
      <c r="B292" s="19"/>
      <c r="C292" s="19"/>
      <c r="D292" s="19"/>
      <c r="E292" s="19"/>
      <c r="F292" s="19"/>
      <c r="G292" s="19"/>
    </row>
    <row r="293" customFormat="false" ht="15" hidden="false" customHeight="false" outlineLevel="0" collapsed="false">
      <c r="A293" s="20"/>
      <c r="B293" s="19"/>
      <c r="C293" s="19"/>
      <c r="D293" s="19"/>
      <c r="E293" s="19"/>
      <c r="F293" s="19"/>
      <c r="G293" s="19"/>
    </row>
    <row r="294" customFormat="false" ht="15" hidden="false" customHeight="false" outlineLevel="0" collapsed="false">
      <c r="A294" s="20"/>
      <c r="B294" s="19"/>
      <c r="C294" s="19"/>
      <c r="D294" s="19"/>
      <c r="E294" s="19"/>
      <c r="F294" s="19"/>
      <c r="G294" s="19"/>
    </row>
    <row r="295" customFormat="false" ht="15" hidden="false" customHeight="false" outlineLevel="0" collapsed="false">
      <c r="A295" s="20"/>
      <c r="B295" s="19"/>
      <c r="C295" s="19"/>
      <c r="D295" s="19"/>
      <c r="E295" s="19"/>
      <c r="F295" s="19"/>
      <c r="G295" s="19"/>
    </row>
    <row r="296" customFormat="false" ht="15" hidden="false" customHeight="false" outlineLevel="0" collapsed="false">
      <c r="A296" s="20"/>
      <c r="B296" s="19"/>
      <c r="C296" s="19"/>
      <c r="D296" s="19"/>
      <c r="E296" s="19"/>
      <c r="F296" s="19"/>
      <c r="G296" s="19"/>
    </row>
    <row r="297" customFormat="false" ht="15" hidden="false" customHeight="false" outlineLevel="0" collapsed="false">
      <c r="A297" s="20"/>
      <c r="B297" s="19"/>
      <c r="C297" s="19"/>
      <c r="D297" s="19"/>
      <c r="E297" s="19"/>
      <c r="F297" s="19"/>
      <c r="G297" s="19"/>
    </row>
    <row r="298" customFormat="false" ht="15" hidden="false" customHeight="false" outlineLevel="0" collapsed="false">
      <c r="A298" s="20"/>
      <c r="B298" s="19"/>
      <c r="C298" s="19"/>
      <c r="D298" s="19"/>
      <c r="E298" s="19"/>
      <c r="F298" s="19"/>
      <c r="G298" s="19"/>
    </row>
    <row r="299" customFormat="false" ht="15" hidden="false" customHeight="false" outlineLevel="0" collapsed="false">
      <c r="A299" s="20"/>
      <c r="B299" s="19"/>
      <c r="C299" s="19"/>
      <c r="D299" s="19"/>
      <c r="E299" s="19"/>
      <c r="F299" s="19"/>
      <c r="G299" s="19"/>
    </row>
    <row r="300" customFormat="false" ht="15" hidden="false" customHeight="false" outlineLevel="0" collapsed="false">
      <c r="A300" s="20"/>
      <c r="B300" s="19"/>
      <c r="C300" s="19"/>
      <c r="D300" s="19"/>
      <c r="E300" s="19"/>
      <c r="F300" s="19"/>
      <c r="G300" s="19"/>
    </row>
    <row r="301" customFormat="false" ht="15" hidden="false" customHeight="false" outlineLevel="0" collapsed="false">
      <c r="A301" s="20"/>
      <c r="B301" s="19"/>
      <c r="C301" s="19"/>
      <c r="D301" s="19"/>
      <c r="E301" s="19"/>
      <c r="F301" s="19"/>
      <c r="G301" s="19"/>
    </row>
    <row r="302" customFormat="false" ht="15" hidden="false" customHeight="false" outlineLevel="0" collapsed="false">
      <c r="A302" s="20"/>
      <c r="B302" s="19"/>
      <c r="C302" s="19"/>
      <c r="D302" s="19"/>
      <c r="E302" s="19"/>
      <c r="F302" s="19"/>
      <c r="G302" s="19"/>
    </row>
    <row r="303" customFormat="false" ht="15" hidden="false" customHeight="false" outlineLevel="0" collapsed="false">
      <c r="A303" s="20"/>
      <c r="B303" s="19"/>
      <c r="C303" s="19"/>
      <c r="D303" s="19"/>
      <c r="E303" s="19"/>
      <c r="F303" s="19"/>
      <c r="G303" s="19"/>
    </row>
    <row r="304" customFormat="false" ht="15" hidden="false" customHeight="false" outlineLevel="0" collapsed="false">
      <c r="A304" s="20"/>
      <c r="B304" s="19"/>
      <c r="C304" s="19"/>
      <c r="D304" s="19"/>
      <c r="E304" s="19"/>
      <c r="F304" s="19"/>
      <c r="G304" s="19"/>
    </row>
    <row r="305" customFormat="false" ht="15" hidden="false" customHeight="false" outlineLevel="0" collapsed="false">
      <c r="A305" s="20"/>
      <c r="B305" s="19"/>
      <c r="C305" s="19"/>
      <c r="D305" s="19"/>
      <c r="E305" s="19"/>
      <c r="F305" s="19"/>
      <c r="G305" s="19"/>
    </row>
    <row r="306" customFormat="false" ht="15" hidden="false" customHeight="false" outlineLevel="0" collapsed="false">
      <c r="A306" s="20"/>
      <c r="B306" s="19"/>
      <c r="C306" s="19"/>
      <c r="D306" s="19"/>
      <c r="E306" s="19"/>
      <c r="F306" s="19"/>
      <c r="G306" s="19"/>
    </row>
    <row r="307" customFormat="false" ht="15" hidden="false" customHeight="false" outlineLevel="0" collapsed="false">
      <c r="A307" s="20"/>
      <c r="B307" s="19"/>
      <c r="C307" s="19"/>
      <c r="D307" s="19"/>
      <c r="E307" s="19"/>
      <c r="F307" s="19"/>
      <c r="G307" s="19"/>
    </row>
    <row r="308" customFormat="false" ht="15" hidden="false" customHeight="false" outlineLevel="0" collapsed="false">
      <c r="A308" s="20"/>
      <c r="B308" s="19"/>
      <c r="C308" s="19"/>
      <c r="D308" s="19"/>
      <c r="E308" s="19"/>
      <c r="F308" s="19"/>
      <c r="G308" s="19"/>
    </row>
    <row r="309" customFormat="false" ht="15" hidden="false" customHeight="false" outlineLevel="0" collapsed="false">
      <c r="A309" s="20"/>
      <c r="B309" s="19"/>
      <c r="C309" s="19"/>
      <c r="D309" s="19"/>
      <c r="E309" s="19"/>
      <c r="F309" s="19"/>
      <c r="G309" s="19"/>
    </row>
    <row r="310" customFormat="false" ht="15" hidden="false" customHeight="false" outlineLevel="0" collapsed="false">
      <c r="A310" s="20"/>
      <c r="B310" s="19"/>
      <c r="C310" s="19"/>
      <c r="D310" s="19"/>
      <c r="E310" s="19"/>
      <c r="F310" s="19"/>
      <c r="G310" s="19"/>
    </row>
    <row r="311" customFormat="false" ht="15" hidden="false" customHeight="false" outlineLevel="0" collapsed="false">
      <c r="A311" s="20"/>
      <c r="B311" s="19"/>
      <c r="C311" s="19"/>
      <c r="D311" s="19"/>
      <c r="E311" s="19"/>
      <c r="F311" s="19"/>
      <c r="G311" s="19"/>
    </row>
    <row r="312" customFormat="false" ht="15" hidden="false" customHeight="false" outlineLevel="0" collapsed="false">
      <c r="A312" s="20"/>
      <c r="B312" s="19"/>
      <c r="C312" s="19"/>
      <c r="D312" s="19"/>
      <c r="E312" s="19"/>
      <c r="F312" s="19"/>
      <c r="G312" s="19"/>
    </row>
    <row r="313" customFormat="false" ht="15" hidden="false" customHeight="false" outlineLevel="0" collapsed="false">
      <c r="A313" s="20"/>
      <c r="B313" s="19"/>
      <c r="C313" s="19"/>
      <c r="D313" s="19"/>
      <c r="E313" s="19"/>
      <c r="F313" s="19"/>
      <c r="G313" s="19"/>
    </row>
    <row r="314" customFormat="false" ht="15" hidden="false" customHeight="false" outlineLevel="0" collapsed="false">
      <c r="A314" s="20"/>
      <c r="B314" s="19"/>
      <c r="C314" s="19"/>
      <c r="D314" s="19"/>
      <c r="E314" s="19"/>
      <c r="F314" s="19"/>
      <c r="G314" s="19"/>
    </row>
    <row r="315" customFormat="false" ht="15" hidden="false" customHeight="false" outlineLevel="0" collapsed="false">
      <c r="A315" s="20"/>
      <c r="B315" s="19"/>
      <c r="C315" s="19"/>
      <c r="D315" s="19"/>
      <c r="E315" s="19"/>
      <c r="F315" s="19"/>
      <c r="G315" s="19"/>
    </row>
    <row r="316" customFormat="false" ht="15" hidden="false" customHeight="false" outlineLevel="0" collapsed="false">
      <c r="A316" s="20"/>
      <c r="B316" s="19"/>
      <c r="C316" s="19"/>
      <c r="D316" s="19"/>
      <c r="E316" s="19"/>
      <c r="F316" s="19"/>
      <c r="G316" s="19"/>
    </row>
    <row r="317" customFormat="false" ht="15" hidden="false" customHeight="false" outlineLevel="0" collapsed="false">
      <c r="A317" s="20"/>
      <c r="B317" s="19"/>
      <c r="C317" s="19"/>
      <c r="D317" s="19"/>
      <c r="E317" s="19"/>
      <c r="F317" s="19"/>
      <c r="G317" s="19"/>
    </row>
    <row r="318" customFormat="false" ht="15" hidden="false" customHeight="false" outlineLevel="0" collapsed="false">
      <c r="A318" s="20"/>
      <c r="B318" s="19"/>
      <c r="C318" s="19"/>
      <c r="D318" s="19"/>
      <c r="E318" s="19"/>
      <c r="F318" s="19"/>
      <c r="G318" s="19"/>
    </row>
    <row r="319" customFormat="false" ht="15" hidden="false" customHeight="false" outlineLevel="0" collapsed="false">
      <c r="A319" s="20"/>
      <c r="B319" s="19"/>
      <c r="C319" s="19"/>
      <c r="D319" s="19"/>
      <c r="E319" s="19"/>
      <c r="F319" s="19"/>
      <c r="G319" s="19"/>
    </row>
    <row r="320" customFormat="false" ht="15" hidden="false" customHeight="false" outlineLevel="0" collapsed="false">
      <c r="A320" s="20"/>
      <c r="B320" s="19"/>
      <c r="C320" s="19"/>
      <c r="D320" s="19"/>
      <c r="E320" s="19"/>
      <c r="F320" s="19"/>
      <c r="G320" s="19"/>
    </row>
    <row r="321" customFormat="false" ht="15" hidden="false" customHeight="false" outlineLevel="0" collapsed="false">
      <c r="A321" s="20"/>
      <c r="B321" s="19"/>
      <c r="C321" s="19"/>
      <c r="D321" s="19"/>
      <c r="E321" s="19"/>
      <c r="F321" s="19"/>
      <c r="G321" s="19"/>
    </row>
    <row r="322" customFormat="false" ht="15" hidden="false" customHeight="false" outlineLevel="0" collapsed="false">
      <c r="A322" s="20"/>
      <c r="B322" s="19"/>
      <c r="C322" s="19"/>
      <c r="D322" s="19"/>
      <c r="E322" s="19"/>
      <c r="F322" s="19"/>
      <c r="G322" s="19"/>
    </row>
    <row r="323" customFormat="false" ht="15" hidden="false" customHeight="false" outlineLevel="0" collapsed="false">
      <c r="A323" s="20"/>
      <c r="B323" s="19"/>
      <c r="C323" s="19"/>
      <c r="D323" s="19"/>
      <c r="E323" s="19"/>
      <c r="F323" s="19"/>
      <c r="G323" s="19"/>
    </row>
    <row r="324" customFormat="false" ht="15" hidden="false" customHeight="false" outlineLevel="0" collapsed="false">
      <c r="A324" s="20"/>
      <c r="B324" s="19"/>
      <c r="C324" s="19"/>
      <c r="D324" s="19"/>
      <c r="E324" s="19"/>
      <c r="F324" s="19"/>
      <c r="G324" s="19"/>
    </row>
    <row r="325" customFormat="false" ht="15" hidden="false" customHeight="false" outlineLevel="0" collapsed="false">
      <c r="A325" s="20"/>
      <c r="B325" s="19"/>
      <c r="C325" s="19"/>
      <c r="D325" s="19"/>
      <c r="E325" s="19"/>
      <c r="F325" s="19"/>
      <c r="G325" s="19"/>
    </row>
    <row r="326" customFormat="false" ht="15" hidden="false" customHeight="false" outlineLevel="0" collapsed="false">
      <c r="A326" s="20"/>
      <c r="B326" s="19"/>
      <c r="C326" s="19"/>
      <c r="D326" s="19"/>
      <c r="E326" s="19"/>
      <c r="F326" s="19"/>
      <c r="G326" s="19"/>
    </row>
    <row r="327" customFormat="false" ht="15" hidden="false" customHeight="false" outlineLevel="0" collapsed="false">
      <c r="A327" s="20"/>
      <c r="B327" s="19"/>
      <c r="C327" s="19"/>
      <c r="D327" s="19"/>
      <c r="E327" s="19"/>
      <c r="F327" s="19"/>
      <c r="G327" s="19"/>
    </row>
    <row r="328" customFormat="false" ht="15" hidden="false" customHeight="false" outlineLevel="0" collapsed="false">
      <c r="A328" s="20"/>
      <c r="B328" s="19"/>
      <c r="C328" s="19"/>
      <c r="D328" s="19"/>
      <c r="E328" s="19"/>
      <c r="F328" s="19"/>
      <c r="G328" s="19"/>
    </row>
    <row r="329" customFormat="false" ht="15" hidden="false" customHeight="false" outlineLevel="0" collapsed="false">
      <c r="A329" s="20"/>
      <c r="B329" s="19"/>
      <c r="C329" s="19"/>
      <c r="D329" s="19"/>
      <c r="E329" s="19"/>
      <c r="F329" s="19"/>
      <c r="G329" s="19"/>
    </row>
    <row r="330" customFormat="false" ht="15" hidden="false" customHeight="false" outlineLevel="0" collapsed="false">
      <c r="A330" s="20"/>
      <c r="B330" s="19"/>
      <c r="C330" s="19"/>
      <c r="D330" s="19"/>
      <c r="E330" s="19"/>
      <c r="F330" s="19"/>
      <c r="G330" s="19"/>
    </row>
    <row r="331" customFormat="false" ht="15" hidden="false" customHeight="false" outlineLevel="0" collapsed="false">
      <c r="A331" s="20"/>
      <c r="B331" s="19"/>
      <c r="C331" s="19"/>
      <c r="D331" s="19"/>
      <c r="E331" s="19"/>
      <c r="F331" s="19"/>
      <c r="G331" s="19"/>
    </row>
    <row r="332" customFormat="false" ht="15" hidden="false" customHeight="false" outlineLevel="0" collapsed="false">
      <c r="A332" s="20"/>
      <c r="B332" s="19"/>
      <c r="C332" s="19"/>
      <c r="D332" s="19"/>
      <c r="E332" s="19"/>
      <c r="F332" s="19"/>
      <c r="G332" s="19"/>
    </row>
    <row r="333" customFormat="false" ht="15" hidden="false" customHeight="false" outlineLevel="0" collapsed="false">
      <c r="A333" s="20"/>
      <c r="B333" s="19"/>
      <c r="C333" s="19"/>
      <c r="D333" s="19"/>
      <c r="E333" s="19"/>
      <c r="F333" s="19"/>
      <c r="G333" s="19"/>
    </row>
    <row r="334" customFormat="false" ht="15" hidden="false" customHeight="false" outlineLevel="0" collapsed="false">
      <c r="A334" s="20"/>
      <c r="B334" s="19"/>
      <c r="C334" s="19"/>
      <c r="D334" s="19"/>
      <c r="E334" s="19"/>
      <c r="F334" s="19"/>
      <c r="G334" s="19"/>
    </row>
    <row r="335" customFormat="false" ht="15" hidden="false" customHeight="false" outlineLevel="0" collapsed="false">
      <c r="A335" s="20"/>
      <c r="B335" s="19"/>
      <c r="C335" s="19"/>
      <c r="D335" s="19"/>
      <c r="E335" s="19"/>
      <c r="F335" s="19"/>
      <c r="G335" s="19"/>
    </row>
    <row r="336" customFormat="false" ht="15" hidden="false" customHeight="false" outlineLevel="0" collapsed="false">
      <c r="A336" s="20"/>
      <c r="B336" s="19"/>
      <c r="C336" s="19"/>
      <c r="D336" s="19"/>
      <c r="E336" s="19"/>
      <c r="F336" s="19"/>
      <c r="G336" s="19"/>
    </row>
    <row r="337" customFormat="false" ht="15" hidden="false" customHeight="false" outlineLevel="0" collapsed="false">
      <c r="A337" s="20"/>
      <c r="B337" s="19"/>
      <c r="C337" s="19"/>
      <c r="D337" s="19"/>
      <c r="E337" s="19"/>
      <c r="F337" s="19"/>
      <c r="G337" s="19"/>
    </row>
    <row r="338" customFormat="false" ht="15" hidden="false" customHeight="false" outlineLevel="0" collapsed="false">
      <c r="A338" s="20"/>
      <c r="B338" s="19"/>
      <c r="C338" s="19"/>
      <c r="D338" s="19"/>
      <c r="E338" s="19"/>
      <c r="F338" s="19"/>
      <c r="G338" s="19"/>
    </row>
    <row r="339" customFormat="false" ht="15" hidden="false" customHeight="false" outlineLevel="0" collapsed="false">
      <c r="A339" s="20"/>
      <c r="B339" s="19"/>
      <c r="C339" s="19"/>
      <c r="D339" s="19"/>
      <c r="E339" s="19"/>
      <c r="F339" s="19"/>
      <c r="G339" s="19"/>
    </row>
    <row r="340" customFormat="false" ht="15" hidden="false" customHeight="false" outlineLevel="0" collapsed="false">
      <c r="A340" s="20"/>
      <c r="B340" s="19"/>
      <c r="C340" s="19"/>
      <c r="D340" s="19"/>
      <c r="E340" s="19"/>
      <c r="F340" s="19"/>
      <c r="G340" s="19"/>
    </row>
    <row r="341" customFormat="false" ht="15" hidden="false" customHeight="false" outlineLevel="0" collapsed="false">
      <c r="A341" s="20"/>
      <c r="B341" s="19"/>
      <c r="C341" s="19"/>
      <c r="D341" s="19"/>
      <c r="E341" s="19"/>
      <c r="F341" s="19"/>
      <c r="G341" s="19"/>
    </row>
    <row r="342" customFormat="false" ht="15" hidden="false" customHeight="false" outlineLevel="0" collapsed="false">
      <c r="A342" s="20"/>
      <c r="B342" s="19"/>
      <c r="C342" s="19"/>
      <c r="D342" s="19"/>
      <c r="E342" s="19"/>
      <c r="F342" s="19"/>
      <c r="G342" s="19"/>
    </row>
    <row r="343" customFormat="false" ht="15" hidden="false" customHeight="false" outlineLevel="0" collapsed="false">
      <c r="A343" s="20"/>
      <c r="B343" s="19"/>
      <c r="C343" s="19"/>
      <c r="D343" s="19"/>
      <c r="E343" s="19"/>
      <c r="F343" s="19"/>
      <c r="G343" s="19"/>
    </row>
    <row r="344" customFormat="false" ht="15" hidden="false" customHeight="false" outlineLevel="0" collapsed="false">
      <c r="A344" s="20"/>
      <c r="B344" s="19"/>
      <c r="C344" s="19"/>
      <c r="D344" s="19"/>
      <c r="E344" s="19"/>
      <c r="F344" s="19"/>
      <c r="G344" s="19"/>
    </row>
    <row r="345" customFormat="false" ht="15" hidden="false" customHeight="false" outlineLevel="0" collapsed="false">
      <c r="A345" s="20"/>
      <c r="B345" s="19"/>
      <c r="C345" s="19"/>
      <c r="D345" s="19"/>
      <c r="E345" s="19"/>
      <c r="F345" s="19"/>
      <c r="G345" s="19"/>
    </row>
    <row r="346" customFormat="false" ht="15" hidden="false" customHeight="false" outlineLevel="0" collapsed="false">
      <c r="A346" s="20"/>
      <c r="B346" s="19"/>
      <c r="C346" s="19"/>
      <c r="D346" s="19"/>
      <c r="E346" s="19"/>
      <c r="F346" s="19"/>
      <c r="G346" s="19"/>
    </row>
    <row r="347" customFormat="false" ht="15" hidden="false" customHeight="false" outlineLevel="0" collapsed="false">
      <c r="A347" s="20"/>
      <c r="B347" s="19"/>
      <c r="C347" s="19"/>
      <c r="D347" s="19"/>
      <c r="E347" s="19"/>
      <c r="F347" s="19"/>
      <c r="G347" s="19"/>
    </row>
    <row r="348" customFormat="false" ht="15" hidden="false" customHeight="false" outlineLevel="0" collapsed="false">
      <c r="A348" s="20"/>
      <c r="B348" s="19"/>
      <c r="C348" s="19"/>
      <c r="D348" s="19"/>
      <c r="E348" s="19"/>
      <c r="F348" s="19"/>
      <c r="G348" s="19"/>
    </row>
    <row r="349" customFormat="false" ht="15" hidden="false" customHeight="false" outlineLevel="0" collapsed="false">
      <c r="A349" s="20"/>
      <c r="B349" s="19"/>
      <c r="C349" s="19"/>
      <c r="D349" s="19"/>
      <c r="E349" s="19"/>
      <c r="F349" s="19"/>
      <c r="G349" s="19"/>
    </row>
    <row r="350" customFormat="false" ht="15" hidden="false" customHeight="false" outlineLevel="0" collapsed="false">
      <c r="A350" s="20"/>
      <c r="B350" s="19"/>
      <c r="C350" s="19"/>
      <c r="D350" s="19"/>
      <c r="E350" s="19"/>
      <c r="F350" s="19"/>
      <c r="G350" s="19"/>
    </row>
    <row r="351" customFormat="false" ht="15" hidden="false" customHeight="false" outlineLevel="0" collapsed="false">
      <c r="A351" s="20"/>
      <c r="B351" s="19"/>
      <c r="C351" s="19"/>
      <c r="D351" s="19"/>
      <c r="E351" s="19"/>
      <c r="F351" s="19"/>
      <c r="G351" s="19"/>
    </row>
    <row r="352" customFormat="false" ht="15" hidden="false" customHeight="false" outlineLevel="0" collapsed="false">
      <c r="A352" s="20"/>
      <c r="B352" s="19"/>
      <c r="C352" s="19"/>
      <c r="D352" s="19"/>
      <c r="E352" s="19"/>
      <c r="F352" s="19"/>
      <c r="G352" s="19"/>
    </row>
    <row r="353" customFormat="false" ht="15" hidden="false" customHeight="false" outlineLevel="0" collapsed="false">
      <c r="A353" s="20"/>
      <c r="B353" s="19"/>
      <c r="C353" s="19"/>
      <c r="D353" s="19"/>
      <c r="E353" s="19"/>
      <c r="F353" s="19"/>
      <c r="G353" s="19"/>
    </row>
    <row r="354" customFormat="false" ht="15" hidden="false" customHeight="false" outlineLevel="0" collapsed="false">
      <c r="A354" s="20"/>
      <c r="B354" s="19"/>
      <c r="C354" s="19"/>
      <c r="D354" s="19"/>
      <c r="E354" s="19"/>
      <c r="F354" s="19"/>
      <c r="G354" s="19"/>
    </row>
    <row r="355" customFormat="false" ht="15" hidden="false" customHeight="false" outlineLevel="0" collapsed="false">
      <c r="A355" s="20"/>
      <c r="B355" s="19"/>
      <c r="C355" s="19"/>
      <c r="D355" s="19"/>
      <c r="E355" s="19"/>
      <c r="F355" s="19"/>
      <c r="G355" s="19"/>
    </row>
    <row r="356" customFormat="false" ht="15" hidden="false" customHeight="false" outlineLevel="0" collapsed="false">
      <c r="A356" s="20"/>
      <c r="B356" s="19"/>
      <c r="C356" s="19"/>
      <c r="D356" s="19"/>
      <c r="E356" s="19"/>
      <c r="F356" s="19"/>
      <c r="G356" s="19"/>
    </row>
    <row r="357" customFormat="false" ht="15" hidden="false" customHeight="false" outlineLevel="0" collapsed="false">
      <c r="A357" s="20"/>
      <c r="B357" s="19"/>
      <c r="C357" s="19"/>
      <c r="D357" s="19"/>
      <c r="E357" s="19"/>
      <c r="F357" s="19"/>
      <c r="G357" s="19"/>
    </row>
    <row r="358" customFormat="false" ht="15" hidden="false" customHeight="false" outlineLevel="0" collapsed="false">
      <c r="A358" s="20"/>
      <c r="B358" s="19"/>
      <c r="C358" s="19"/>
      <c r="D358" s="19"/>
      <c r="E358" s="19"/>
      <c r="F358" s="19"/>
      <c r="G358" s="19"/>
    </row>
    <row r="359" customFormat="false" ht="15" hidden="false" customHeight="false" outlineLevel="0" collapsed="false">
      <c r="A359" s="20"/>
      <c r="B359" s="19"/>
      <c r="C359" s="19"/>
      <c r="D359" s="19"/>
      <c r="E359" s="19"/>
      <c r="F359" s="19"/>
      <c r="G359" s="19"/>
    </row>
    <row r="360" customFormat="false" ht="15" hidden="false" customHeight="false" outlineLevel="0" collapsed="false">
      <c r="A360" s="20"/>
      <c r="B360" s="19"/>
      <c r="C360" s="19"/>
      <c r="D360" s="19"/>
      <c r="E360" s="19"/>
      <c r="F360" s="19"/>
      <c r="G360" s="19"/>
    </row>
    <row r="361" customFormat="false" ht="15" hidden="false" customHeight="false" outlineLevel="0" collapsed="false">
      <c r="A361" s="20"/>
      <c r="B361" s="19"/>
      <c r="C361" s="19"/>
      <c r="D361" s="19"/>
      <c r="E361" s="19"/>
      <c r="F361" s="19"/>
      <c r="G361" s="19"/>
    </row>
    <row r="362" customFormat="false" ht="15" hidden="false" customHeight="false" outlineLevel="0" collapsed="false">
      <c r="A362" s="20"/>
      <c r="B362" s="19"/>
      <c r="C362" s="19"/>
      <c r="D362" s="19"/>
      <c r="E362" s="19"/>
      <c r="F362" s="19"/>
      <c r="G362" s="19"/>
    </row>
    <row r="363" customFormat="false" ht="15" hidden="false" customHeight="false" outlineLevel="0" collapsed="false">
      <c r="A363" s="20"/>
      <c r="B363" s="19"/>
      <c r="C363" s="19"/>
      <c r="D363" s="19"/>
      <c r="E363" s="19"/>
      <c r="F363" s="19"/>
      <c r="G363" s="19"/>
    </row>
    <row r="364" customFormat="false" ht="15" hidden="false" customHeight="false" outlineLevel="0" collapsed="false">
      <c r="A364" s="20"/>
      <c r="B364" s="19"/>
      <c r="C364" s="19"/>
      <c r="D364" s="19"/>
      <c r="E364" s="19"/>
      <c r="F364" s="19"/>
      <c r="G364" s="19"/>
    </row>
    <row r="365" customFormat="false" ht="15" hidden="false" customHeight="false" outlineLevel="0" collapsed="false">
      <c r="A365" s="20"/>
      <c r="B365" s="19"/>
      <c r="C365" s="19"/>
      <c r="D365" s="19"/>
      <c r="E365" s="19"/>
      <c r="F365" s="19"/>
      <c r="G365" s="19"/>
    </row>
    <row r="366" customFormat="false" ht="15" hidden="false" customHeight="false" outlineLevel="0" collapsed="false">
      <c r="A366" s="20"/>
      <c r="B366" s="19"/>
      <c r="C366" s="19"/>
      <c r="D366" s="19"/>
      <c r="E366" s="19"/>
      <c r="F366" s="19"/>
      <c r="G366" s="19"/>
    </row>
    <row r="367" customFormat="false" ht="15" hidden="false" customHeight="false" outlineLevel="0" collapsed="false">
      <c r="A367" s="20"/>
      <c r="B367" s="19"/>
      <c r="C367" s="19"/>
      <c r="D367" s="19"/>
      <c r="E367" s="19"/>
      <c r="F367" s="19"/>
      <c r="G367" s="19"/>
    </row>
    <row r="368" customFormat="false" ht="15" hidden="false" customHeight="false" outlineLevel="0" collapsed="false">
      <c r="A368" s="20"/>
      <c r="B368" s="19"/>
      <c r="C368" s="19"/>
      <c r="D368" s="19"/>
      <c r="E368" s="19"/>
      <c r="F368" s="19"/>
      <c r="G368" s="19"/>
    </row>
    <row r="369" customFormat="false" ht="15" hidden="false" customHeight="false" outlineLevel="0" collapsed="false">
      <c r="A369" s="20"/>
      <c r="B369" s="19"/>
      <c r="C369" s="19"/>
      <c r="D369" s="19"/>
      <c r="E369" s="19"/>
      <c r="F369" s="19"/>
      <c r="G369" s="19"/>
    </row>
    <row r="370" customFormat="false" ht="15" hidden="false" customHeight="false" outlineLevel="0" collapsed="false">
      <c r="A370" s="20"/>
      <c r="B370" s="19"/>
      <c r="C370" s="19"/>
      <c r="D370" s="19"/>
      <c r="E370" s="19"/>
      <c r="F370" s="19"/>
      <c r="G370" s="19"/>
    </row>
    <row r="371" customFormat="false" ht="15" hidden="false" customHeight="false" outlineLevel="0" collapsed="false">
      <c r="A371" s="20"/>
      <c r="B371" s="19"/>
      <c r="C371" s="19"/>
      <c r="D371" s="19"/>
      <c r="E371" s="19"/>
      <c r="F371" s="19"/>
      <c r="G371" s="19"/>
    </row>
    <row r="372" customFormat="false" ht="15" hidden="false" customHeight="false" outlineLevel="0" collapsed="false">
      <c r="A372" s="20"/>
      <c r="B372" s="19"/>
      <c r="C372" s="19"/>
      <c r="D372" s="19"/>
      <c r="E372" s="19"/>
      <c r="F372" s="19"/>
      <c r="G372" s="19"/>
    </row>
    <row r="373" customFormat="false" ht="15" hidden="false" customHeight="false" outlineLevel="0" collapsed="false">
      <c r="A373" s="20"/>
      <c r="B373" s="19"/>
      <c r="C373" s="19"/>
      <c r="D373" s="19"/>
      <c r="E373" s="19"/>
      <c r="F373" s="19"/>
      <c r="G373" s="19"/>
    </row>
    <row r="374" customFormat="false" ht="15" hidden="false" customHeight="false" outlineLevel="0" collapsed="false">
      <c r="A374" s="20"/>
      <c r="B374" s="19"/>
      <c r="C374" s="19"/>
      <c r="D374" s="19"/>
      <c r="E374" s="19"/>
      <c r="F374" s="19"/>
      <c r="G374" s="19"/>
    </row>
    <row r="375" customFormat="false" ht="15" hidden="false" customHeight="false" outlineLevel="0" collapsed="false">
      <c r="A375" s="20"/>
      <c r="B375" s="19"/>
      <c r="C375" s="19"/>
      <c r="D375" s="19"/>
      <c r="E375" s="19"/>
      <c r="F375" s="19"/>
      <c r="G375" s="19"/>
    </row>
    <row r="376" customFormat="false" ht="15" hidden="false" customHeight="false" outlineLevel="0" collapsed="false">
      <c r="A376" s="20"/>
      <c r="B376" s="19"/>
      <c r="C376" s="19"/>
      <c r="D376" s="19"/>
      <c r="E376" s="19"/>
      <c r="F376" s="19"/>
      <c r="G376" s="19"/>
    </row>
    <row r="377" customFormat="false" ht="15" hidden="false" customHeight="false" outlineLevel="0" collapsed="false">
      <c r="A377" s="20"/>
      <c r="B377" s="19"/>
      <c r="C377" s="19"/>
      <c r="D377" s="19"/>
      <c r="E377" s="19"/>
      <c r="F377" s="19"/>
      <c r="G377" s="19"/>
    </row>
    <row r="378" customFormat="false" ht="15" hidden="false" customHeight="false" outlineLevel="0" collapsed="false">
      <c r="A378" s="20"/>
      <c r="B378" s="19"/>
      <c r="C378" s="19"/>
      <c r="D378" s="19"/>
      <c r="E378" s="19"/>
      <c r="F378" s="19"/>
      <c r="G378" s="19"/>
    </row>
    <row r="379" customFormat="false" ht="15" hidden="false" customHeight="false" outlineLevel="0" collapsed="false">
      <c r="A379" s="20"/>
      <c r="B379" s="19"/>
      <c r="C379" s="19"/>
      <c r="D379" s="19"/>
      <c r="E379" s="19"/>
      <c r="F379" s="19"/>
      <c r="G379" s="19"/>
    </row>
    <row r="380" customFormat="false" ht="15" hidden="false" customHeight="false" outlineLevel="0" collapsed="false">
      <c r="A380" s="20"/>
      <c r="B380" s="19"/>
      <c r="C380" s="19"/>
      <c r="D380" s="19"/>
      <c r="E380" s="19"/>
      <c r="F380" s="19"/>
      <c r="G380" s="19"/>
    </row>
    <row r="381" customFormat="false" ht="15" hidden="false" customHeight="false" outlineLevel="0" collapsed="false">
      <c r="A381" s="20"/>
      <c r="B381" s="19"/>
      <c r="C381" s="19"/>
      <c r="D381" s="19"/>
      <c r="E381" s="19"/>
      <c r="F381" s="19"/>
      <c r="G381" s="19"/>
    </row>
    <row r="382" customFormat="false" ht="15" hidden="false" customHeight="false" outlineLevel="0" collapsed="false">
      <c r="A382" s="20"/>
      <c r="B382" s="19"/>
      <c r="C382" s="19"/>
      <c r="D382" s="19"/>
      <c r="E382" s="19"/>
      <c r="F382" s="19"/>
      <c r="G382" s="19"/>
    </row>
    <row r="383" customFormat="false" ht="15" hidden="false" customHeight="false" outlineLevel="0" collapsed="false">
      <c r="A383" s="20"/>
      <c r="B383" s="19"/>
      <c r="C383" s="19"/>
      <c r="D383" s="19"/>
      <c r="E383" s="19"/>
      <c r="F383" s="19"/>
      <c r="G383" s="19"/>
    </row>
    <row r="384" customFormat="false" ht="15" hidden="false" customHeight="false" outlineLevel="0" collapsed="false">
      <c r="A384" s="20"/>
      <c r="B384" s="19"/>
      <c r="C384" s="19"/>
      <c r="D384" s="19"/>
      <c r="E384" s="19"/>
      <c r="F384" s="19"/>
      <c r="G384" s="19"/>
    </row>
    <row r="385" customFormat="false" ht="15" hidden="false" customHeight="false" outlineLevel="0" collapsed="false">
      <c r="A385" s="20"/>
      <c r="B385" s="19"/>
      <c r="C385" s="19"/>
      <c r="D385" s="19"/>
      <c r="E385" s="19"/>
      <c r="F385" s="19"/>
      <c r="G385" s="19"/>
    </row>
    <row r="386" customFormat="false" ht="15" hidden="false" customHeight="false" outlineLevel="0" collapsed="false">
      <c r="A386" s="20"/>
      <c r="B386" s="19"/>
      <c r="C386" s="19"/>
      <c r="D386" s="19"/>
      <c r="E386" s="19"/>
      <c r="F386" s="19"/>
      <c r="G386" s="19"/>
    </row>
    <row r="387" customFormat="false" ht="15" hidden="false" customHeight="false" outlineLevel="0" collapsed="false">
      <c r="A387" s="20"/>
      <c r="B387" s="19"/>
      <c r="C387" s="19"/>
      <c r="D387" s="19"/>
      <c r="E387" s="19"/>
      <c r="F387" s="19"/>
      <c r="G387" s="19"/>
    </row>
    <row r="388" customFormat="false" ht="15" hidden="false" customHeight="false" outlineLevel="0" collapsed="false">
      <c r="A388" s="20"/>
      <c r="B388" s="19"/>
      <c r="C388" s="19"/>
      <c r="D388" s="19"/>
      <c r="E388" s="19"/>
      <c r="F388" s="19"/>
      <c r="G388" s="19"/>
    </row>
    <row r="389" customFormat="false" ht="15" hidden="false" customHeight="false" outlineLevel="0" collapsed="false">
      <c r="A389" s="20"/>
      <c r="B389" s="19"/>
      <c r="C389" s="19"/>
      <c r="D389" s="19"/>
      <c r="E389" s="19"/>
      <c r="F389" s="19"/>
      <c r="G389" s="19"/>
    </row>
    <row r="390" customFormat="false" ht="15" hidden="false" customHeight="false" outlineLevel="0" collapsed="false">
      <c r="A390" s="20"/>
      <c r="B390" s="19"/>
      <c r="C390" s="19"/>
      <c r="D390" s="19"/>
      <c r="E390" s="19"/>
      <c r="F390" s="19"/>
      <c r="G390" s="19"/>
    </row>
    <row r="391" customFormat="false" ht="15" hidden="false" customHeight="false" outlineLevel="0" collapsed="false">
      <c r="A391" s="20"/>
      <c r="B391" s="19"/>
      <c r="C391" s="19"/>
      <c r="D391" s="19"/>
      <c r="E391" s="19"/>
      <c r="F391" s="19"/>
      <c r="G391" s="19"/>
    </row>
    <row r="392" customFormat="false" ht="15" hidden="false" customHeight="false" outlineLevel="0" collapsed="false">
      <c r="A392" s="20"/>
      <c r="B392" s="19"/>
      <c r="C392" s="19"/>
      <c r="D392" s="19"/>
      <c r="E392" s="19"/>
      <c r="F392" s="19"/>
      <c r="G392" s="19"/>
    </row>
    <row r="393" customFormat="false" ht="15" hidden="false" customHeight="false" outlineLevel="0" collapsed="false">
      <c r="A393" s="20"/>
      <c r="B393" s="19"/>
      <c r="C393" s="19"/>
      <c r="D393" s="19"/>
      <c r="E393" s="19"/>
      <c r="F393" s="19"/>
      <c r="G393" s="19"/>
    </row>
    <row r="394" customFormat="false" ht="15" hidden="false" customHeight="false" outlineLevel="0" collapsed="false">
      <c r="A394" s="20"/>
      <c r="B394" s="19"/>
      <c r="C394" s="19"/>
      <c r="D394" s="19"/>
      <c r="E394" s="19"/>
      <c r="F394" s="19"/>
      <c r="G394" s="19"/>
    </row>
    <row r="395" customFormat="false" ht="15" hidden="false" customHeight="false" outlineLevel="0" collapsed="false">
      <c r="A395" s="20"/>
      <c r="B395" s="19"/>
      <c r="C395" s="19"/>
      <c r="D395" s="19"/>
      <c r="E395" s="19"/>
      <c r="F395" s="19"/>
      <c r="G395" s="19"/>
    </row>
    <row r="396" customFormat="false" ht="15" hidden="false" customHeight="false" outlineLevel="0" collapsed="false">
      <c r="A396" s="20"/>
      <c r="B396" s="19"/>
      <c r="C396" s="19"/>
      <c r="D396" s="19"/>
      <c r="E396" s="19"/>
      <c r="F396" s="19"/>
      <c r="G396" s="19"/>
    </row>
    <row r="397" customFormat="false" ht="15" hidden="false" customHeight="false" outlineLevel="0" collapsed="false">
      <c r="A397" s="20"/>
      <c r="B397" s="19"/>
      <c r="C397" s="19"/>
      <c r="D397" s="19"/>
      <c r="E397" s="19"/>
      <c r="F397" s="19"/>
      <c r="G397" s="19"/>
    </row>
    <row r="398" customFormat="false" ht="15" hidden="false" customHeight="false" outlineLevel="0" collapsed="false">
      <c r="A398" s="20"/>
      <c r="B398" s="19"/>
      <c r="C398" s="19"/>
      <c r="D398" s="19"/>
      <c r="E398" s="19"/>
      <c r="F398" s="19"/>
      <c r="G398" s="19"/>
    </row>
    <row r="399" customFormat="false" ht="15" hidden="false" customHeight="false" outlineLevel="0" collapsed="false">
      <c r="A399" s="20"/>
      <c r="B399" s="19"/>
      <c r="C399" s="19"/>
      <c r="D399" s="19"/>
      <c r="E399" s="19"/>
      <c r="F399" s="19"/>
      <c r="G399" s="19"/>
    </row>
    <row r="400" customFormat="false" ht="15" hidden="false" customHeight="false" outlineLevel="0" collapsed="false">
      <c r="A400" s="20"/>
      <c r="B400" s="19"/>
      <c r="C400" s="19"/>
      <c r="D400" s="19"/>
      <c r="E400" s="19"/>
      <c r="F400" s="19"/>
      <c r="G400" s="19"/>
    </row>
    <row r="401" customFormat="false" ht="15" hidden="false" customHeight="false" outlineLevel="0" collapsed="false">
      <c r="A401" s="20"/>
      <c r="B401" s="19"/>
      <c r="C401" s="19"/>
      <c r="D401" s="19"/>
      <c r="E401" s="19"/>
      <c r="F401" s="19"/>
      <c r="G401" s="19"/>
    </row>
    <row r="402" customFormat="false" ht="15" hidden="false" customHeight="false" outlineLevel="0" collapsed="false">
      <c r="A402" s="20"/>
      <c r="B402" s="19"/>
      <c r="C402" s="19"/>
      <c r="D402" s="19"/>
      <c r="E402" s="19"/>
      <c r="F402" s="19"/>
      <c r="G402" s="19"/>
    </row>
    <row r="403" customFormat="false" ht="15" hidden="false" customHeight="false" outlineLevel="0" collapsed="false">
      <c r="A403" s="20"/>
      <c r="B403" s="19"/>
      <c r="C403" s="19"/>
      <c r="D403" s="19"/>
      <c r="E403" s="19"/>
      <c r="F403" s="19"/>
      <c r="G403" s="19"/>
    </row>
    <row r="404" customFormat="false" ht="15" hidden="false" customHeight="false" outlineLevel="0" collapsed="false">
      <c r="A404" s="20"/>
      <c r="B404" s="19"/>
      <c r="C404" s="19"/>
      <c r="D404" s="19"/>
      <c r="E404" s="19"/>
      <c r="F404" s="19"/>
      <c r="G404" s="19"/>
    </row>
    <row r="405" customFormat="false" ht="15" hidden="false" customHeight="false" outlineLevel="0" collapsed="false">
      <c r="A405" s="20"/>
      <c r="B405" s="19"/>
      <c r="C405" s="19"/>
      <c r="D405" s="19"/>
      <c r="E405" s="19"/>
      <c r="F405" s="19"/>
      <c r="G405" s="19"/>
    </row>
    <row r="406" customFormat="false" ht="15" hidden="false" customHeight="false" outlineLevel="0" collapsed="false">
      <c r="A406" s="20"/>
      <c r="B406" s="19"/>
      <c r="C406" s="19"/>
      <c r="D406" s="19"/>
      <c r="E406" s="19"/>
      <c r="F406" s="19"/>
      <c r="G406" s="19"/>
    </row>
    <row r="407" customFormat="false" ht="15" hidden="false" customHeight="false" outlineLevel="0" collapsed="false">
      <c r="A407" s="20"/>
      <c r="B407" s="19"/>
      <c r="C407" s="19"/>
      <c r="D407" s="19"/>
      <c r="E407" s="19"/>
      <c r="F407" s="19"/>
      <c r="G407" s="19"/>
    </row>
    <row r="408" customFormat="false" ht="15" hidden="false" customHeight="false" outlineLevel="0" collapsed="false">
      <c r="A408" s="20"/>
      <c r="B408" s="19"/>
      <c r="C408" s="19"/>
      <c r="D408" s="19"/>
      <c r="E408" s="19"/>
      <c r="F408" s="19"/>
      <c r="G408" s="19"/>
    </row>
    <row r="409" customFormat="false" ht="15" hidden="false" customHeight="false" outlineLevel="0" collapsed="false">
      <c r="A409" s="20"/>
      <c r="B409" s="19"/>
      <c r="C409" s="19"/>
      <c r="D409" s="19"/>
      <c r="E409" s="19"/>
      <c r="F409" s="19"/>
      <c r="G409" s="19"/>
    </row>
    <row r="410" customFormat="false" ht="15" hidden="false" customHeight="false" outlineLevel="0" collapsed="false">
      <c r="A410" s="20"/>
      <c r="B410" s="19"/>
      <c r="C410" s="19"/>
      <c r="D410" s="19"/>
      <c r="E410" s="19"/>
      <c r="F410" s="19"/>
      <c r="G410" s="19"/>
    </row>
    <row r="411" customFormat="false" ht="15" hidden="false" customHeight="false" outlineLevel="0" collapsed="false">
      <c r="A411" s="20"/>
      <c r="B411" s="19"/>
      <c r="C411" s="19"/>
      <c r="D411" s="19"/>
      <c r="E411" s="19"/>
      <c r="F411" s="19"/>
      <c r="G411" s="19"/>
    </row>
    <row r="412" customFormat="false" ht="15" hidden="false" customHeight="false" outlineLevel="0" collapsed="false">
      <c r="A412" s="20"/>
      <c r="B412" s="19"/>
      <c r="C412" s="19"/>
      <c r="D412" s="19"/>
      <c r="E412" s="19"/>
      <c r="F412" s="19"/>
      <c r="G412" s="19"/>
    </row>
    <row r="413" customFormat="false" ht="15" hidden="false" customHeight="false" outlineLevel="0" collapsed="false">
      <c r="A413" s="20"/>
      <c r="B413" s="19"/>
      <c r="C413" s="19"/>
      <c r="D413" s="19"/>
      <c r="E413" s="19"/>
      <c r="F413" s="19"/>
      <c r="G413" s="19"/>
    </row>
    <row r="414" customFormat="false" ht="15" hidden="false" customHeight="false" outlineLevel="0" collapsed="false">
      <c r="A414" s="20"/>
      <c r="B414" s="19"/>
      <c r="C414" s="19"/>
      <c r="D414" s="19"/>
      <c r="E414" s="19"/>
      <c r="F414" s="19"/>
      <c r="G414" s="19"/>
    </row>
    <row r="415" customFormat="false" ht="15" hidden="false" customHeight="false" outlineLevel="0" collapsed="false">
      <c r="A415" s="20"/>
      <c r="B415" s="19"/>
      <c r="C415" s="19"/>
      <c r="D415" s="19"/>
      <c r="E415" s="19"/>
      <c r="F415" s="19"/>
      <c r="G415" s="19"/>
    </row>
    <row r="416" customFormat="false" ht="15" hidden="false" customHeight="false" outlineLevel="0" collapsed="false">
      <c r="A416" s="20"/>
      <c r="B416" s="19"/>
      <c r="C416" s="19"/>
      <c r="D416" s="19"/>
      <c r="E416" s="19"/>
      <c r="F416" s="19"/>
      <c r="G416" s="19"/>
    </row>
    <row r="417" customFormat="false" ht="15" hidden="false" customHeight="false" outlineLevel="0" collapsed="false">
      <c r="A417" s="20"/>
      <c r="B417" s="19"/>
      <c r="C417" s="19"/>
      <c r="D417" s="19"/>
      <c r="E417" s="19"/>
      <c r="F417" s="19"/>
      <c r="G417" s="19"/>
    </row>
    <row r="418" customFormat="false" ht="15" hidden="false" customHeight="false" outlineLevel="0" collapsed="false">
      <c r="A418" s="20"/>
      <c r="B418" s="19"/>
      <c r="C418" s="19"/>
      <c r="D418" s="19"/>
      <c r="E418" s="19"/>
      <c r="F418" s="19"/>
      <c r="G418" s="19"/>
    </row>
    <row r="419" customFormat="false" ht="15" hidden="false" customHeight="false" outlineLevel="0" collapsed="false">
      <c r="A419" s="20"/>
      <c r="B419" s="19"/>
      <c r="C419" s="19"/>
      <c r="D419" s="19"/>
      <c r="E419" s="19"/>
      <c r="F419" s="19"/>
      <c r="G419" s="19"/>
    </row>
    <row r="420" customFormat="false" ht="15" hidden="false" customHeight="false" outlineLevel="0" collapsed="false">
      <c r="A420" s="20"/>
      <c r="B420" s="19"/>
      <c r="C420" s="19"/>
      <c r="D420" s="19"/>
      <c r="E420" s="19"/>
      <c r="F420" s="19"/>
      <c r="G420" s="19"/>
    </row>
    <row r="421" customFormat="false" ht="15" hidden="false" customHeight="false" outlineLevel="0" collapsed="false">
      <c r="A421" s="20"/>
      <c r="B421" s="19"/>
      <c r="C421" s="19"/>
      <c r="D421" s="19"/>
      <c r="E421" s="19"/>
      <c r="F421" s="19"/>
      <c r="G421" s="19"/>
    </row>
    <row r="422" customFormat="false" ht="15" hidden="false" customHeight="false" outlineLevel="0" collapsed="false">
      <c r="A422" s="20"/>
      <c r="B422" s="19"/>
      <c r="C422" s="19"/>
      <c r="D422" s="19"/>
      <c r="E422" s="19"/>
      <c r="F422" s="19"/>
      <c r="G422" s="19"/>
    </row>
    <row r="423" customFormat="false" ht="15" hidden="false" customHeight="false" outlineLevel="0" collapsed="false">
      <c r="A423" s="20"/>
      <c r="B423" s="19"/>
      <c r="C423" s="19"/>
      <c r="D423" s="19"/>
      <c r="E423" s="19"/>
      <c r="F423" s="19"/>
      <c r="G423" s="19"/>
    </row>
    <row r="424" customFormat="false" ht="15" hidden="false" customHeight="false" outlineLevel="0" collapsed="false">
      <c r="A424" s="20"/>
      <c r="B424" s="19"/>
      <c r="C424" s="19"/>
      <c r="D424" s="19"/>
      <c r="E424" s="19"/>
      <c r="F424" s="19"/>
      <c r="G424" s="19"/>
    </row>
    <row r="425" customFormat="false" ht="15" hidden="false" customHeight="false" outlineLevel="0" collapsed="false">
      <c r="A425" s="20"/>
      <c r="B425" s="19"/>
      <c r="C425" s="19"/>
      <c r="D425" s="19"/>
      <c r="E425" s="19"/>
      <c r="F425" s="19"/>
      <c r="G425" s="19"/>
    </row>
    <row r="426" customFormat="false" ht="15" hidden="false" customHeight="false" outlineLevel="0" collapsed="false">
      <c r="A426" s="20"/>
      <c r="B426" s="19"/>
      <c r="C426" s="19"/>
      <c r="D426" s="19"/>
      <c r="E426" s="19"/>
      <c r="F426" s="19"/>
      <c r="G426" s="19"/>
    </row>
    <row r="427" customFormat="false" ht="15" hidden="false" customHeight="false" outlineLevel="0" collapsed="false">
      <c r="A427" s="20"/>
      <c r="B427" s="19"/>
      <c r="C427" s="19"/>
      <c r="D427" s="19"/>
      <c r="E427" s="19"/>
      <c r="F427" s="19"/>
      <c r="G427" s="19"/>
    </row>
    <row r="428" customFormat="false" ht="15" hidden="false" customHeight="false" outlineLevel="0" collapsed="false">
      <c r="A428" s="20"/>
      <c r="B428" s="19"/>
      <c r="C428" s="19"/>
      <c r="D428" s="19"/>
      <c r="E428" s="19"/>
      <c r="F428" s="19"/>
      <c r="G428" s="19"/>
    </row>
    <row r="429" customFormat="false" ht="15" hidden="false" customHeight="false" outlineLevel="0" collapsed="false">
      <c r="A429" s="20"/>
      <c r="B429" s="19"/>
      <c r="C429" s="19"/>
      <c r="D429" s="19"/>
      <c r="E429" s="19"/>
      <c r="F429" s="19"/>
      <c r="G429" s="19"/>
    </row>
    <row r="430" customFormat="false" ht="15" hidden="false" customHeight="false" outlineLevel="0" collapsed="false">
      <c r="A430" s="20"/>
      <c r="B430" s="19"/>
      <c r="C430" s="19"/>
      <c r="D430" s="19"/>
      <c r="E430" s="19"/>
      <c r="F430" s="19"/>
      <c r="G430" s="19"/>
    </row>
    <row r="431" customFormat="false" ht="15" hidden="false" customHeight="false" outlineLevel="0" collapsed="false">
      <c r="A431" s="20"/>
      <c r="B431" s="19"/>
      <c r="C431" s="19"/>
      <c r="D431" s="19"/>
      <c r="E431" s="19"/>
      <c r="F431" s="19"/>
      <c r="G431" s="19"/>
    </row>
    <row r="432" customFormat="false" ht="15" hidden="false" customHeight="false" outlineLevel="0" collapsed="false">
      <c r="A432" s="20"/>
      <c r="B432" s="19"/>
      <c r="C432" s="19"/>
      <c r="D432" s="19"/>
      <c r="E432" s="19"/>
      <c r="F432" s="19"/>
      <c r="G432" s="19"/>
    </row>
    <row r="433" customFormat="false" ht="15" hidden="false" customHeight="false" outlineLevel="0" collapsed="false">
      <c r="A433" s="20"/>
      <c r="B433" s="19"/>
      <c r="C433" s="19"/>
      <c r="D433" s="19"/>
      <c r="E433" s="19"/>
      <c r="F433" s="19"/>
      <c r="G433" s="19"/>
    </row>
    <row r="434" customFormat="false" ht="15" hidden="false" customHeight="false" outlineLevel="0" collapsed="false">
      <c r="A434" s="20"/>
      <c r="B434" s="19"/>
      <c r="C434" s="19"/>
      <c r="D434" s="19"/>
      <c r="E434" s="19"/>
      <c r="F434" s="19"/>
      <c r="G434" s="19"/>
    </row>
    <row r="435" customFormat="false" ht="15" hidden="false" customHeight="false" outlineLevel="0" collapsed="false">
      <c r="A435" s="20"/>
      <c r="B435" s="19"/>
      <c r="C435" s="19"/>
      <c r="D435" s="19"/>
      <c r="E435" s="19"/>
      <c r="F435" s="19"/>
      <c r="G435" s="19"/>
    </row>
    <row r="436" customFormat="false" ht="15" hidden="false" customHeight="false" outlineLevel="0" collapsed="false">
      <c r="A436" s="20"/>
      <c r="B436" s="19"/>
      <c r="C436" s="19"/>
      <c r="D436" s="19"/>
      <c r="E436" s="19"/>
      <c r="F436" s="19"/>
      <c r="G436" s="19"/>
    </row>
    <row r="437" customFormat="false" ht="15" hidden="false" customHeight="false" outlineLevel="0" collapsed="false">
      <c r="A437" s="20"/>
      <c r="B437" s="19"/>
      <c r="C437" s="19"/>
      <c r="D437" s="19"/>
      <c r="E437" s="19"/>
      <c r="F437" s="19"/>
      <c r="G437" s="19"/>
    </row>
    <row r="438" customFormat="false" ht="15" hidden="false" customHeight="false" outlineLevel="0" collapsed="false">
      <c r="A438" s="20"/>
      <c r="B438" s="19"/>
      <c r="C438" s="19"/>
      <c r="D438" s="19"/>
      <c r="E438" s="19"/>
      <c r="F438" s="19"/>
      <c r="G438" s="19"/>
    </row>
    <row r="439" customFormat="false" ht="15" hidden="false" customHeight="false" outlineLevel="0" collapsed="false">
      <c r="A439" s="20"/>
      <c r="B439" s="19"/>
      <c r="C439" s="19"/>
      <c r="D439" s="19"/>
      <c r="E439" s="19"/>
      <c r="F439" s="19"/>
      <c r="G439" s="19"/>
    </row>
    <row r="440" customFormat="false" ht="15" hidden="false" customHeight="false" outlineLevel="0" collapsed="false">
      <c r="A440" s="20"/>
      <c r="B440" s="19"/>
      <c r="C440" s="19"/>
      <c r="D440" s="19"/>
      <c r="E440" s="19"/>
      <c r="F440" s="19"/>
      <c r="G440" s="19"/>
    </row>
    <row r="441" customFormat="false" ht="15" hidden="false" customHeight="false" outlineLevel="0" collapsed="false">
      <c r="A441" s="20"/>
      <c r="B441" s="19"/>
      <c r="C441" s="19"/>
      <c r="D441" s="19"/>
      <c r="E441" s="19"/>
      <c r="F441" s="19"/>
      <c r="G441" s="19"/>
    </row>
    <row r="442" customFormat="false" ht="15" hidden="false" customHeight="false" outlineLevel="0" collapsed="false">
      <c r="A442" s="20"/>
      <c r="B442" s="19"/>
      <c r="C442" s="19"/>
      <c r="D442" s="19"/>
      <c r="E442" s="19"/>
      <c r="F442" s="19"/>
      <c r="G442" s="19"/>
    </row>
    <row r="443" customFormat="false" ht="15" hidden="false" customHeight="false" outlineLevel="0" collapsed="false">
      <c r="A443" s="20"/>
      <c r="B443" s="19"/>
      <c r="C443" s="19"/>
      <c r="D443" s="19"/>
      <c r="E443" s="19"/>
      <c r="F443" s="19"/>
      <c r="G443" s="19"/>
    </row>
    <row r="444" customFormat="false" ht="15" hidden="false" customHeight="false" outlineLevel="0" collapsed="false">
      <c r="A444" s="20"/>
      <c r="B444" s="19"/>
      <c r="C444" s="19"/>
      <c r="D444" s="19"/>
      <c r="E444" s="19"/>
      <c r="F444" s="19"/>
      <c r="G444" s="19"/>
    </row>
    <row r="445" customFormat="false" ht="15" hidden="false" customHeight="false" outlineLevel="0" collapsed="false">
      <c r="A445" s="20"/>
      <c r="B445" s="19"/>
      <c r="C445" s="19"/>
      <c r="D445" s="19"/>
      <c r="E445" s="19"/>
      <c r="F445" s="19"/>
      <c r="G445" s="19"/>
    </row>
    <row r="446" customFormat="false" ht="15" hidden="false" customHeight="false" outlineLevel="0" collapsed="false">
      <c r="A446" s="20"/>
      <c r="B446" s="19"/>
      <c r="C446" s="19"/>
      <c r="D446" s="19"/>
      <c r="E446" s="19"/>
      <c r="F446" s="19"/>
      <c r="G446" s="19"/>
    </row>
    <row r="447" customFormat="false" ht="15" hidden="false" customHeight="false" outlineLevel="0" collapsed="false">
      <c r="A447" s="20"/>
      <c r="B447" s="19"/>
      <c r="C447" s="19"/>
      <c r="D447" s="19"/>
      <c r="E447" s="19"/>
      <c r="F447" s="19"/>
      <c r="G447" s="19"/>
    </row>
    <row r="448" customFormat="false" ht="15" hidden="false" customHeight="false" outlineLevel="0" collapsed="false">
      <c r="A448" s="20"/>
      <c r="B448" s="19"/>
      <c r="C448" s="19"/>
      <c r="D448" s="19"/>
      <c r="E448" s="19"/>
      <c r="F448" s="19"/>
      <c r="G448" s="19"/>
    </row>
    <row r="449" customFormat="false" ht="15" hidden="false" customHeight="false" outlineLevel="0" collapsed="false">
      <c r="A449" s="20"/>
      <c r="B449" s="19"/>
      <c r="C449" s="19"/>
      <c r="D449" s="19"/>
      <c r="E449" s="19"/>
      <c r="F449" s="19"/>
      <c r="G449" s="19"/>
    </row>
    <row r="450" customFormat="false" ht="15" hidden="false" customHeight="false" outlineLevel="0" collapsed="false">
      <c r="A450" s="20"/>
      <c r="B450" s="19"/>
      <c r="C450" s="19"/>
      <c r="D450" s="19"/>
      <c r="E450" s="19"/>
      <c r="F450" s="19"/>
      <c r="G450" s="19"/>
    </row>
    <row r="451" customFormat="false" ht="15" hidden="false" customHeight="false" outlineLevel="0" collapsed="false">
      <c r="A451" s="20"/>
      <c r="B451" s="19"/>
      <c r="C451" s="19"/>
      <c r="D451" s="19"/>
      <c r="E451" s="19"/>
      <c r="F451" s="19"/>
      <c r="G451" s="19"/>
    </row>
    <row r="452" customFormat="false" ht="15" hidden="false" customHeight="false" outlineLevel="0" collapsed="false">
      <c r="A452" s="20"/>
      <c r="B452" s="19"/>
      <c r="C452" s="19"/>
      <c r="D452" s="19"/>
      <c r="E452" s="19"/>
      <c r="F452" s="19"/>
      <c r="G452" s="19"/>
    </row>
    <row r="453" customFormat="false" ht="15" hidden="false" customHeight="false" outlineLevel="0" collapsed="false">
      <c r="A453" s="20"/>
      <c r="B453" s="19"/>
      <c r="C453" s="19"/>
      <c r="D453" s="19"/>
      <c r="E453" s="19"/>
      <c r="F453" s="19"/>
      <c r="G453" s="19"/>
    </row>
    <row r="454" customFormat="false" ht="15" hidden="false" customHeight="false" outlineLevel="0" collapsed="false">
      <c r="A454" s="20"/>
      <c r="B454" s="19"/>
      <c r="C454" s="19"/>
      <c r="D454" s="19"/>
      <c r="E454" s="19"/>
      <c r="F454" s="19"/>
      <c r="G454" s="19"/>
    </row>
    <row r="455" customFormat="false" ht="15" hidden="false" customHeight="false" outlineLevel="0" collapsed="false">
      <c r="A455" s="20"/>
      <c r="B455" s="19"/>
      <c r="C455" s="19"/>
      <c r="D455" s="19"/>
      <c r="E455" s="19"/>
      <c r="F455" s="19"/>
      <c r="G455" s="19"/>
    </row>
    <row r="456" customFormat="false" ht="15" hidden="false" customHeight="false" outlineLevel="0" collapsed="false">
      <c r="A456" s="20"/>
      <c r="B456" s="19"/>
      <c r="C456" s="19"/>
      <c r="D456" s="19"/>
      <c r="E456" s="19"/>
      <c r="F456" s="19"/>
      <c r="G456" s="19"/>
    </row>
    <row r="457" customFormat="false" ht="15" hidden="false" customHeight="false" outlineLevel="0" collapsed="false">
      <c r="A457" s="20"/>
      <c r="B457" s="19"/>
      <c r="C457" s="19"/>
      <c r="D457" s="19"/>
      <c r="E457" s="19"/>
      <c r="F457" s="19"/>
      <c r="G457" s="19"/>
    </row>
    <row r="458" customFormat="false" ht="15" hidden="false" customHeight="false" outlineLevel="0" collapsed="false">
      <c r="A458" s="20"/>
      <c r="B458" s="19"/>
      <c r="C458" s="19"/>
      <c r="D458" s="19"/>
      <c r="E458" s="19"/>
      <c r="F458" s="19"/>
      <c r="G458" s="19"/>
    </row>
    <row r="459" customFormat="false" ht="15" hidden="false" customHeight="false" outlineLevel="0" collapsed="false">
      <c r="A459" s="20"/>
      <c r="B459" s="19"/>
      <c r="C459" s="19"/>
      <c r="D459" s="19"/>
      <c r="E459" s="19"/>
      <c r="F459" s="19"/>
      <c r="G459" s="19"/>
    </row>
    <row r="460" customFormat="false" ht="15" hidden="false" customHeight="false" outlineLevel="0" collapsed="false">
      <c r="A460" s="20"/>
      <c r="B460" s="19"/>
      <c r="C460" s="19"/>
      <c r="D460" s="19"/>
      <c r="E460" s="19"/>
      <c r="F460" s="19"/>
      <c r="G460" s="19"/>
    </row>
    <row r="461" customFormat="false" ht="15" hidden="false" customHeight="false" outlineLevel="0" collapsed="false">
      <c r="A461" s="20"/>
      <c r="B461" s="19"/>
      <c r="C461" s="19"/>
      <c r="D461" s="19"/>
      <c r="E461" s="19"/>
      <c r="F461" s="19"/>
      <c r="G461" s="19"/>
    </row>
    <row r="462" customFormat="false" ht="15" hidden="false" customHeight="false" outlineLevel="0" collapsed="false">
      <c r="A462" s="20"/>
      <c r="B462" s="19"/>
      <c r="C462" s="19"/>
      <c r="D462" s="19"/>
      <c r="E462" s="19"/>
      <c r="F462" s="19"/>
      <c r="G462" s="19"/>
    </row>
    <row r="463" customFormat="false" ht="15" hidden="false" customHeight="false" outlineLevel="0" collapsed="false">
      <c r="A463" s="20"/>
      <c r="B463" s="19"/>
      <c r="C463" s="19"/>
      <c r="D463" s="19"/>
      <c r="E463" s="19"/>
      <c r="F463" s="19"/>
      <c r="G463" s="19"/>
    </row>
    <row r="464" customFormat="false" ht="15" hidden="false" customHeight="false" outlineLevel="0" collapsed="false">
      <c r="A464" s="20"/>
      <c r="B464" s="19"/>
      <c r="C464" s="19"/>
      <c r="D464" s="19"/>
      <c r="E464" s="19"/>
      <c r="F464" s="19"/>
      <c r="G464" s="19"/>
    </row>
    <row r="465" customFormat="false" ht="15" hidden="false" customHeight="false" outlineLevel="0" collapsed="false">
      <c r="A465" s="20"/>
      <c r="B465" s="19"/>
      <c r="C465" s="19"/>
      <c r="D465" s="19"/>
      <c r="E465" s="19"/>
      <c r="F465" s="19"/>
      <c r="G465" s="19"/>
    </row>
    <row r="466" customFormat="false" ht="15" hidden="false" customHeight="false" outlineLevel="0" collapsed="false">
      <c r="A466" s="20"/>
      <c r="B466" s="19"/>
      <c r="C466" s="19"/>
      <c r="D466" s="19"/>
      <c r="E466" s="19"/>
      <c r="F466" s="19"/>
      <c r="G466" s="19"/>
    </row>
    <row r="467" customFormat="false" ht="15" hidden="false" customHeight="false" outlineLevel="0" collapsed="false">
      <c r="A467" s="20"/>
      <c r="B467" s="19"/>
      <c r="C467" s="19"/>
      <c r="D467" s="19"/>
      <c r="E467" s="19"/>
      <c r="F467" s="19"/>
      <c r="G467" s="19"/>
    </row>
    <row r="468" customFormat="false" ht="15" hidden="false" customHeight="false" outlineLevel="0" collapsed="false">
      <c r="A468" s="20"/>
      <c r="B468" s="19"/>
      <c r="C468" s="19"/>
      <c r="D468" s="19"/>
      <c r="E468" s="19"/>
      <c r="F468" s="19"/>
      <c r="G468" s="19"/>
    </row>
    <row r="469" customFormat="false" ht="15" hidden="false" customHeight="false" outlineLevel="0" collapsed="false">
      <c r="A469" s="20"/>
      <c r="B469" s="19"/>
      <c r="C469" s="19"/>
      <c r="D469" s="19"/>
      <c r="E469" s="19"/>
      <c r="F469" s="19"/>
      <c r="G469" s="19"/>
    </row>
    <row r="470" customFormat="false" ht="15" hidden="false" customHeight="false" outlineLevel="0" collapsed="false">
      <c r="A470" s="20"/>
      <c r="B470" s="19"/>
      <c r="C470" s="19"/>
      <c r="D470" s="19"/>
      <c r="E470" s="19"/>
      <c r="F470" s="19"/>
      <c r="G470" s="19"/>
    </row>
    <row r="471" customFormat="false" ht="15" hidden="false" customHeight="false" outlineLevel="0" collapsed="false">
      <c r="A471" s="20"/>
      <c r="B471" s="19"/>
      <c r="C471" s="19"/>
      <c r="D471" s="19"/>
      <c r="E471" s="19"/>
      <c r="F471" s="19"/>
      <c r="G471" s="19"/>
    </row>
    <row r="472" customFormat="false" ht="15" hidden="false" customHeight="false" outlineLevel="0" collapsed="false">
      <c r="A472" s="20"/>
      <c r="B472" s="19"/>
      <c r="C472" s="19"/>
      <c r="D472" s="19"/>
      <c r="E472" s="19"/>
      <c r="F472" s="19"/>
      <c r="G472" s="19"/>
    </row>
    <row r="473" customFormat="false" ht="15" hidden="false" customHeight="false" outlineLevel="0" collapsed="false">
      <c r="A473" s="20"/>
      <c r="B473" s="19"/>
      <c r="C473" s="19"/>
      <c r="D473" s="19"/>
      <c r="E473" s="19"/>
      <c r="F473" s="19"/>
      <c r="G473" s="19"/>
    </row>
    <row r="474" customFormat="false" ht="15" hidden="false" customHeight="false" outlineLevel="0" collapsed="false">
      <c r="A474" s="20"/>
      <c r="B474" s="19"/>
      <c r="C474" s="19"/>
      <c r="D474" s="19"/>
      <c r="E474" s="19"/>
      <c r="F474" s="19"/>
      <c r="G474" s="19"/>
    </row>
    <row r="475" customFormat="false" ht="15" hidden="false" customHeight="false" outlineLevel="0" collapsed="false">
      <c r="A475" s="20"/>
      <c r="B475" s="19"/>
      <c r="C475" s="19"/>
      <c r="D475" s="19"/>
      <c r="E475" s="19"/>
      <c r="F475" s="19"/>
      <c r="G475" s="19"/>
    </row>
    <row r="476" customFormat="false" ht="15" hidden="false" customHeight="false" outlineLevel="0" collapsed="false">
      <c r="A476" s="20"/>
      <c r="B476" s="19"/>
      <c r="C476" s="19"/>
      <c r="D476" s="19"/>
      <c r="E476" s="19"/>
      <c r="F476" s="19"/>
      <c r="G476" s="19"/>
    </row>
    <row r="477" customFormat="false" ht="15" hidden="false" customHeight="false" outlineLevel="0" collapsed="false">
      <c r="A477" s="20"/>
      <c r="B477" s="19"/>
      <c r="C477" s="19"/>
      <c r="D477" s="19"/>
      <c r="E477" s="19"/>
      <c r="F477" s="19"/>
      <c r="G477" s="19"/>
    </row>
    <row r="478" customFormat="false" ht="15" hidden="false" customHeight="false" outlineLevel="0" collapsed="false">
      <c r="A478" s="20"/>
      <c r="B478" s="19"/>
      <c r="C478" s="19"/>
      <c r="D478" s="19"/>
      <c r="E478" s="19"/>
      <c r="F478" s="19"/>
      <c r="G478" s="19"/>
    </row>
    <row r="479" customFormat="false" ht="15" hidden="false" customHeight="false" outlineLevel="0" collapsed="false">
      <c r="A479" s="20"/>
      <c r="B479" s="19"/>
      <c r="C479" s="19"/>
      <c r="D479" s="19"/>
      <c r="E479" s="19"/>
      <c r="F479" s="19"/>
      <c r="G479" s="19"/>
    </row>
    <row r="480" customFormat="false" ht="15" hidden="false" customHeight="false" outlineLevel="0" collapsed="false">
      <c r="A480" s="20"/>
      <c r="B480" s="19"/>
      <c r="C480" s="19"/>
      <c r="D480" s="19"/>
      <c r="E480" s="19"/>
      <c r="F480" s="19"/>
      <c r="G480" s="19"/>
    </row>
    <row r="481" customFormat="false" ht="15" hidden="false" customHeight="false" outlineLevel="0" collapsed="false">
      <c r="A481" s="20"/>
      <c r="B481" s="19"/>
      <c r="C481" s="19"/>
      <c r="D481" s="19"/>
      <c r="E481" s="19"/>
      <c r="F481" s="19"/>
      <c r="G481" s="19"/>
    </row>
    <row r="482" customFormat="false" ht="15" hidden="false" customHeight="false" outlineLevel="0" collapsed="false">
      <c r="A482" s="20"/>
      <c r="B482" s="19"/>
      <c r="C482" s="19"/>
      <c r="D482" s="19"/>
      <c r="E482" s="19"/>
      <c r="F482" s="19"/>
      <c r="G482" s="19"/>
    </row>
    <row r="483" customFormat="false" ht="15" hidden="false" customHeight="false" outlineLevel="0" collapsed="false">
      <c r="A483" s="20"/>
      <c r="B483" s="19"/>
      <c r="C483" s="19"/>
      <c r="D483" s="19"/>
      <c r="E483" s="19"/>
      <c r="F483" s="19"/>
      <c r="G483" s="19"/>
    </row>
    <row r="484" customFormat="false" ht="15" hidden="false" customHeight="false" outlineLevel="0" collapsed="false">
      <c r="A484" s="20"/>
      <c r="B484" s="19"/>
      <c r="C484" s="19"/>
      <c r="D484" s="19"/>
      <c r="E484" s="19"/>
      <c r="F484" s="19"/>
      <c r="G484" s="19"/>
    </row>
    <row r="485" customFormat="false" ht="15" hidden="false" customHeight="false" outlineLevel="0" collapsed="false">
      <c r="A485" s="20"/>
      <c r="B485" s="19"/>
      <c r="C485" s="19"/>
      <c r="D485" s="19"/>
      <c r="E485" s="19"/>
      <c r="F485" s="19"/>
      <c r="G485" s="19"/>
    </row>
    <row r="486" customFormat="false" ht="15" hidden="false" customHeight="false" outlineLevel="0" collapsed="false">
      <c r="A486" s="20"/>
      <c r="B486" s="19"/>
      <c r="C486" s="19"/>
      <c r="D486" s="19"/>
      <c r="E486" s="19"/>
      <c r="F486" s="19"/>
      <c r="G486" s="19"/>
    </row>
    <row r="487" customFormat="false" ht="15" hidden="false" customHeight="false" outlineLevel="0" collapsed="false">
      <c r="A487" s="20"/>
      <c r="B487" s="19"/>
      <c r="C487" s="19"/>
      <c r="D487" s="19"/>
      <c r="E487" s="19"/>
      <c r="F487" s="19"/>
      <c r="G487" s="19"/>
    </row>
    <row r="488" customFormat="false" ht="15" hidden="false" customHeight="false" outlineLevel="0" collapsed="false">
      <c r="A488" s="20"/>
      <c r="B488" s="19"/>
      <c r="C488" s="19"/>
      <c r="D488" s="19"/>
      <c r="E488" s="19"/>
      <c r="F488" s="19"/>
      <c r="G488" s="19"/>
    </row>
    <row r="489" customFormat="false" ht="15" hidden="false" customHeight="false" outlineLevel="0" collapsed="false">
      <c r="A489" s="20"/>
      <c r="B489" s="19"/>
      <c r="C489" s="19"/>
      <c r="D489" s="19"/>
      <c r="E489" s="19"/>
      <c r="F489" s="19"/>
      <c r="G489" s="19"/>
    </row>
    <row r="490" customFormat="false" ht="15" hidden="false" customHeight="false" outlineLevel="0" collapsed="false">
      <c r="A490" s="20"/>
      <c r="B490" s="19"/>
      <c r="C490" s="19"/>
      <c r="D490" s="19"/>
      <c r="E490" s="19"/>
      <c r="F490" s="19"/>
      <c r="G490" s="19"/>
    </row>
    <row r="491" customFormat="false" ht="15" hidden="false" customHeight="false" outlineLevel="0" collapsed="false">
      <c r="A491" s="20"/>
      <c r="B491" s="19"/>
      <c r="C491" s="19"/>
      <c r="D491" s="19"/>
      <c r="E491" s="19"/>
      <c r="F491" s="19"/>
      <c r="G491" s="19"/>
    </row>
    <row r="492" customFormat="false" ht="15" hidden="false" customHeight="false" outlineLevel="0" collapsed="false">
      <c r="A492" s="20"/>
      <c r="B492" s="19"/>
      <c r="C492" s="19"/>
      <c r="D492" s="19"/>
      <c r="E492" s="19"/>
      <c r="F492" s="19"/>
      <c r="G492" s="19"/>
    </row>
    <row r="493" customFormat="false" ht="15" hidden="false" customHeight="false" outlineLevel="0" collapsed="false">
      <c r="A493" s="20"/>
      <c r="B493" s="19"/>
      <c r="C493" s="19"/>
      <c r="D493" s="19"/>
      <c r="E493" s="19"/>
      <c r="F493" s="19"/>
      <c r="G493" s="19"/>
    </row>
    <row r="494" customFormat="false" ht="15" hidden="false" customHeight="false" outlineLevel="0" collapsed="false">
      <c r="A494" s="20"/>
      <c r="B494" s="19"/>
      <c r="C494" s="19"/>
      <c r="D494" s="19"/>
      <c r="E494" s="19"/>
      <c r="F494" s="19"/>
      <c r="G494" s="19"/>
    </row>
    <row r="495" customFormat="false" ht="15" hidden="false" customHeight="false" outlineLevel="0" collapsed="false">
      <c r="A495" s="20"/>
      <c r="B495" s="19"/>
      <c r="C495" s="19"/>
      <c r="D495" s="19"/>
      <c r="E495" s="19"/>
      <c r="F495" s="19"/>
      <c r="G495" s="19"/>
    </row>
    <row r="496" customFormat="false" ht="15" hidden="false" customHeight="false" outlineLevel="0" collapsed="false">
      <c r="A496" s="20"/>
      <c r="B496" s="19"/>
      <c r="C496" s="19"/>
      <c r="D496" s="19"/>
      <c r="E496" s="19"/>
      <c r="F496" s="19"/>
      <c r="G496" s="19"/>
    </row>
    <row r="497" customFormat="false" ht="15" hidden="false" customHeight="false" outlineLevel="0" collapsed="false">
      <c r="A497" s="20"/>
      <c r="B497" s="19"/>
      <c r="C497" s="19"/>
      <c r="D497" s="19"/>
      <c r="E497" s="19"/>
      <c r="F497" s="19"/>
      <c r="G497" s="19"/>
    </row>
    <row r="498" customFormat="false" ht="15" hidden="false" customHeight="false" outlineLevel="0" collapsed="false">
      <c r="A498" s="20"/>
      <c r="B498" s="19"/>
      <c r="C498" s="19"/>
      <c r="D498" s="19"/>
      <c r="E498" s="19"/>
      <c r="F498" s="19"/>
      <c r="G498" s="19"/>
    </row>
    <row r="499" customFormat="false" ht="15" hidden="false" customHeight="false" outlineLevel="0" collapsed="false">
      <c r="A499" s="20"/>
      <c r="B499" s="19"/>
      <c r="C499" s="19"/>
      <c r="D499" s="19"/>
      <c r="E499" s="19"/>
      <c r="F499" s="19"/>
      <c r="G499" s="19"/>
    </row>
    <row r="500" customFormat="false" ht="15" hidden="false" customHeight="false" outlineLevel="0" collapsed="false">
      <c r="A500" s="20"/>
      <c r="B500" s="19"/>
      <c r="C500" s="19"/>
      <c r="D500" s="19"/>
      <c r="E500" s="19"/>
      <c r="F500" s="19"/>
      <c r="G500" s="19"/>
    </row>
    <row r="501" customFormat="false" ht="15" hidden="false" customHeight="false" outlineLevel="0" collapsed="false">
      <c r="A501" s="20"/>
      <c r="B501" s="19"/>
      <c r="C501" s="19"/>
      <c r="D501" s="19"/>
      <c r="E501" s="19"/>
      <c r="F501" s="19"/>
      <c r="G501" s="19"/>
    </row>
    <row r="502" customFormat="false" ht="15" hidden="false" customHeight="false" outlineLevel="0" collapsed="false">
      <c r="A502" s="20"/>
      <c r="B502" s="19"/>
      <c r="C502" s="19"/>
      <c r="D502" s="19"/>
      <c r="E502" s="19"/>
      <c r="F502" s="19"/>
      <c r="G502" s="19"/>
    </row>
    <row r="503" customFormat="false" ht="15" hidden="false" customHeight="false" outlineLevel="0" collapsed="false">
      <c r="A503" s="20"/>
      <c r="B503" s="19"/>
      <c r="C503" s="19"/>
      <c r="D503" s="19"/>
      <c r="E503" s="19"/>
      <c r="F503" s="19"/>
      <c r="G503" s="19"/>
    </row>
    <row r="504" customFormat="false" ht="15" hidden="false" customHeight="false" outlineLevel="0" collapsed="false">
      <c r="A504" s="20"/>
      <c r="B504" s="19"/>
      <c r="C504" s="19"/>
      <c r="D504" s="19"/>
      <c r="E504" s="19"/>
      <c r="F504" s="19"/>
      <c r="G504" s="19"/>
    </row>
    <row r="505" customFormat="false" ht="15" hidden="false" customHeight="false" outlineLevel="0" collapsed="false">
      <c r="A505" s="20"/>
      <c r="B505" s="19"/>
      <c r="C505" s="19"/>
      <c r="D505" s="19"/>
      <c r="E505" s="19"/>
      <c r="F505" s="19"/>
      <c r="G505" s="19"/>
    </row>
    <row r="506" customFormat="false" ht="15" hidden="false" customHeight="false" outlineLevel="0" collapsed="false">
      <c r="A506" s="20"/>
      <c r="B506" s="19"/>
      <c r="C506" s="19"/>
      <c r="D506" s="19"/>
      <c r="E506" s="19"/>
      <c r="F506" s="19"/>
      <c r="G506" s="19"/>
    </row>
    <row r="507" customFormat="false" ht="15" hidden="false" customHeight="false" outlineLevel="0" collapsed="false">
      <c r="A507" s="20"/>
      <c r="B507" s="19"/>
      <c r="C507" s="19"/>
      <c r="D507" s="19"/>
      <c r="E507" s="19"/>
      <c r="F507" s="19"/>
      <c r="G507" s="19"/>
    </row>
    <row r="508" customFormat="false" ht="15" hidden="false" customHeight="false" outlineLevel="0" collapsed="false">
      <c r="A508" s="20"/>
      <c r="B508" s="19"/>
      <c r="C508" s="19"/>
      <c r="D508" s="19"/>
      <c r="E508" s="19"/>
      <c r="F508" s="19"/>
      <c r="G508" s="19"/>
    </row>
    <row r="509" customFormat="false" ht="15" hidden="false" customHeight="false" outlineLevel="0" collapsed="false">
      <c r="A509" s="20"/>
      <c r="B509" s="19"/>
      <c r="C509" s="19"/>
      <c r="D509" s="19"/>
      <c r="E509" s="19"/>
      <c r="F509" s="19"/>
      <c r="G509" s="19"/>
    </row>
    <row r="510" customFormat="false" ht="15" hidden="false" customHeight="false" outlineLevel="0" collapsed="false">
      <c r="A510" s="20"/>
      <c r="B510" s="19"/>
      <c r="C510" s="19"/>
      <c r="D510" s="19"/>
      <c r="E510" s="19"/>
      <c r="F510" s="19"/>
      <c r="G510" s="19"/>
    </row>
    <row r="511" customFormat="false" ht="15" hidden="false" customHeight="false" outlineLevel="0" collapsed="false">
      <c r="A511" s="20"/>
      <c r="B511" s="19"/>
      <c r="C511" s="19"/>
      <c r="D511" s="19"/>
      <c r="E511" s="19"/>
      <c r="F511" s="19"/>
      <c r="G511" s="19"/>
    </row>
    <row r="512" customFormat="false" ht="15" hidden="false" customHeight="false" outlineLevel="0" collapsed="false">
      <c r="A512" s="20"/>
      <c r="B512" s="19"/>
      <c r="C512" s="19"/>
      <c r="D512" s="19"/>
      <c r="E512" s="19"/>
      <c r="F512" s="19"/>
      <c r="G512" s="19"/>
    </row>
    <row r="513" customFormat="false" ht="15" hidden="false" customHeight="false" outlineLevel="0" collapsed="false">
      <c r="A513" s="20"/>
      <c r="B513" s="19"/>
      <c r="C513" s="19"/>
      <c r="D513" s="19"/>
      <c r="E513" s="19"/>
      <c r="F513" s="19"/>
      <c r="G513" s="19"/>
    </row>
    <row r="514" customFormat="false" ht="15" hidden="false" customHeight="false" outlineLevel="0" collapsed="false">
      <c r="A514" s="20"/>
      <c r="B514" s="19"/>
      <c r="C514" s="19"/>
      <c r="D514" s="19"/>
      <c r="E514" s="19"/>
      <c r="F514" s="19"/>
      <c r="G514" s="19"/>
    </row>
    <row r="515" customFormat="false" ht="15" hidden="false" customHeight="false" outlineLevel="0" collapsed="false">
      <c r="A515" s="20"/>
      <c r="B515" s="19"/>
      <c r="C515" s="19"/>
      <c r="D515" s="19"/>
      <c r="E515" s="19"/>
      <c r="F515" s="19"/>
      <c r="G515" s="19"/>
    </row>
    <row r="516" customFormat="false" ht="15" hidden="false" customHeight="false" outlineLevel="0" collapsed="false">
      <c r="A516" s="20"/>
      <c r="B516" s="19"/>
      <c r="C516" s="19"/>
      <c r="D516" s="19"/>
      <c r="E516" s="19"/>
      <c r="F516" s="19"/>
      <c r="G516" s="19"/>
    </row>
    <row r="517" customFormat="false" ht="15" hidden="false" customHeight="false" outlineLevel="0" collapsed="false">
      <c r="A517" s="20"/>
      <c r="B517" s="19"/>
      <c r="C517" s="19"/>
      <c r="D517" s="19"/>
      <c r="E517" s="19"/>
      <c r="F517" s="19"/>
      <c r="G517" s="19"/>
    </row>
    <row r="518" customFormat="false" ht="15" hidden="false" customHeight="false" outlineLevel="0" collapsed="false">
      <c r="A518" s="20"/>
      <c r="B518" s="19"/>
      <c r="C518" s="19"/>
      <c r="D518" s="19"/>
      <c r="E518" s="19"/>
      <c r="F518" s="19"/>
      <c r="G518" s="19"/>
    </row>
    <row r="519" customFormat="false" ht="15" hidden="false" customHeight="false" outlineLevel="0" collapsed="false">
      <c r="A519" s="20"/>
      <c r="B519" s="19"/>
      <c r="C519" s="19"/>
      <c r="D519" s="19"/>
      <c r="E519" s="19"/>
      <c r="F519" s="19"/>
      <c r="G519" s="19"/>
    </row>
    <row r="520" customFormat="false" ht="15" hidden="false" customHeight="false" outlineLevel="0" collapsed="false">
      <c r="A520" s="20"/>
      <c r="B520" s="19"/>
      <c r="C520" s="19"/>
      <c r="D520" s="19"/>
      <c r="E520" s="19"/>
      <c r="F520" s="19"/>
      <c r="G520" s="19"/>
    </row>
    <row r="521" customFormat="false" ht="15" hidden="false" customHeight="false" outlineLevel="0" collapsed="false">
      <c r="A521" s="20"/>
      <c r="B521" s="19"/>
      <c r="C521" s="19"/>
      <c r="D521" s="19"/>
      <c r="E521" s="19"/>
      <c r="F521" s="19"/>
      <c r="G521" s="19"/>
    </row>
    <row r="522" customFormat="false" ht="15" hidden="false" customHeight="false" outlineLevel="0" collapsed="false">
      <c r="A522" s="20"/>
      <c r="B522" s="19"/>
      <c r="C522" s="19"/>
      <c r="D522" s="19"/>
      <c r="E522" s="19"/>
      <c r="F522" s="19"/>
      <c r="G522" s="19"/>
    </row>
    <row r="523" customFormat="false" ht="15" hidden="false" customHeight="false" outlineLevel="0" collapsed="false">
      <c r="A523" s="20"/>
      <c r="B523" s="19"/>
      <c r="C523" s="19"/>
      <c r="D523" s="19"/>
      <c r="E523" s="19"/>
      <c r="F523" s="19"/>
      <c r="G523" s="19"/>
    </row>
    <row r="524" customFormat="false" ht="15" hidden="false" customHeight="false" outlineLevel="0" collapsed="false">
      <c r="A524" s="20"/>
      <c r="B524" s="19"/>
      <c r="C524" s="19"/>
      <c r="D524" s="19"/>
      <c r="E524" s="19"/>
      <c r="F524" s="19"/>
      <c r="G524" s="19"/>
    </row>
    <row r="525" customFormat="false" ht="15" hidden="false" customHeight="false" outlineLevel="0" collapsed="false">
      <c r="A525" s="20"/>
      <c r="B525" s="19"/>
      <c r="C525" s="19"/>
      <c r="D525" s="19"/>
      <c r="E525" s="19"/>
      <c r="F525" s="19"/>
      <c r="G525" s="19"/>
    </row>
    <row r="526" customFormat="false" ht="15" hidden="false" customHeight="false" outlineLevel="0" collapsed="false">
      <c r="A526" s="20"/>
      <c r="B526" s="19"/>
      <c r="C526" s="19"/>
      <c r="D526" s="19"/>
      <c r="E526" s="19"/>
      <c r="F526" s="19"/>
      <c r="G526" s="19"/>
    </row>
    <row r="527" customFormat="false" ht="15" hidden="false" customHeight="false" outlineLevel="0" collapsed="false">
      <c r="A527" s="20"/>
      <c r="B527" s="19"/>
      <c r="C527" s="19"/>
      <c r="D527" s="19"/>
      <c r="E527" s="19"/>
      <c r="F527" s="19"/>
      <c r="G527" s="19"/>
    </row>
    <row r="528" customFormat="false" ht="15" hidden="false" customHeight="false" outlineLevel="0" collapsed="false">
      <c r="A528" s="20"/>
      <c r="B528" s="19"/>
      <c r="C528" s="19"/>
      <c r="D528" s="19"/>
      <c r="E528" s="19"/>
      <c r="F528" s="19"/>
      <c r="G528" s="19"/>
    </row>
    <row r="529" customFormat="false" ht="15" hidden="false" customHeight="false" outlineLevel="0" collapsed="false">
      <c r="A529" s="20"/>
      <c r="B529" s="19"/>
      <c r="C529" s="19"/>
      <c r="D529" s="19"/>
      <c r="E529" s="19"/>
      <c r="F529" s="19"/>
      <c r="G529" s="19"/>
    </row>
    <row r="530" customFormat="false" ht="15" hidden="false" customHeight="false" outlineLevel="0" collapsed="false">
      <c r="A530" s="20"/>
      <c r="B530" s="19"/>
      <c r="C530" s="19"/>
      <c r="D530" s="19"/>
      <c r="E530" s="19"/>
      <c r="F530" s="19"/>
      <c r="G530" s="19"/>
    </row>
    <row r="531" customFormat="false" ht="15" hidden="false" customHeight="false" outlineLevel="0" collapsed="false">
      <c r="A531" s="20"/>
      <c r="B531" s="19"/>
      <c r="C531" s="19"/>
      <c r="D531" s="19"/>
      <c r="E531" s="19"/>
      <c r="F531" s="19"/>
      <c r="G531" s="19"/>
    </row>
    <row r="532" customFormat="false" ht="15" hidden="false" customHeight="false" outlineLevel="0" collapsed="false">
      <c r="A532" s="20"/>
      <c r="B532" s="19"/>
      <c r="C532" s="19"/>
      <c r="D532" s="19"/>
      <c r="E532" s="19"/>
      <c r="F532" s="19"/>
      <c r="G532" s="19"/>
    </row>
    <row r="533" customFormat="false" ht="15" hidden="false" customHeight="false" outlineLevel="0" collapsed="false">
      <c r="A533" s="20"/>
      <c r="B533" s="19"/>
      <c r="C533" s="19"/>
      <c r="D533" s="19"/>
      <c r="E533" s="19"/>
      <c r="F533" s="19"/>
      <c r="G533" s="19"/>
    </row>
    <row r="534" customFormat="false" ht="15" hidden="false" customHeight="false" outlineLevel="0" collapsed="false">
      <c r="A534" s="20"/>
      <c r="B534" s="19"/>
      <c r="C534" s="19"/>
      <c r="D534" s="19"/>
      <c r="E534" s="19"/>
      <c r="F534" s="19"/>
      <c r="G534" s="19"/>
    </row>
    <row r="535" customFormat="false" ht="15" hidden="false" customHeight="false" outlineLevel="0" collapsed="false">
      <c r="A535" s="20"/>
      <c r="B535" s="19"/>
      <c r="C535" s="19"/>
      <c r="D535" s="19"/>
      <c r="E535" s="19"/>
      <c r="F535" s="19"/>
      <c r="G535" s="19"/>
    </row>
    <row r="536" customFormat="false" ht="15" hidden="false" customHeight="false" outlineLevel="0" collapsed="false">
      <c r="A536" s="20"/>
      <c r="B536" s="19"/>
      <c r="C536" s="19"/>
      <c r="D536" s="19"/>
      <c r="E536" s="19"/>
      <c r="F536" s="19"/>
      <c r="G536" s="19"/>
    </row>
    <row r="537" customFormat="false" ht="15" hidden="false" customHeight="false" outlineLevel="0" collapsed="false">
      <c r="A537" s="20"/>
      <c r="B537" s="19"/>
      <c r="C537" s="19"/>
      <c r="D537" s="19"/>
      <c r="E537" s="19"/>
      <c r="F537" s="19"/>
      <c r="G537" s="19"/>
    </row>
    <row r="538" customFormat="false" ht="15" hidden="false" customHeight="false" outlineLevel="0" collapsed="false">
      <c r="A538" s="20"/>
      <c r="B538" s="19"/>
      <c r="C538" s="19"/>
      <c r="D538" s="19"/>
      <c r="E538" s="19"/>
      <c r="F538" s="19"/>
      <c r="G538" s="19"/>
    </row>
    <row r="539" customFormat="false" ht="15" hidden="false" customHeight="false" outlineLevel="0" collapsed="false">
      <c r="A539" s="20"/>
      <c r="B539" s="19"/>
      <c r="C539" s="19"/>
      <c r="D539" s="19"/>
      <c r="E539" s="19"/>
      <c r="F539" s="19"/>
      <c r="G539" s="19"/>
    </row>
    <row r="540" customFormat="false" ht="15" hidden="false" customHeight="false" outlineLevel="0" collapsed="false">
      <c r="A540" s="20"/>
      <c r="B540" s="19"/>
      <c r="C540" s="19"/>
      <c r="D540" s="19"/>
      <c r="E540" s="19"/>
      <c r="F540" s="19"/>
      <c r="G540" s="19"/>
    </row>
    <row r="541" customFormat="false" ht="15" hidden="false" customHeight="false" outlineLevel="0" collapsed="false">
      <c r="A541" s="20"/>
      <c r="B541" s="19"/>
      <c r="C541" s="19"/>
      <c r="D541" s="19"/>
      <c r="E541" s="19"/>
      <c r="F541" s="19"/>
      <c r="G541" s="19"/>
    </row>
    <row r="542" customFormat="false" ht="15" hidden="false" customHeight="false" outlineLevel="0" collapsed="false">
      <c r="A542" s="20"/>
      <c r="B542" s="19"/>
      <c r="C542" s="19"/>
      <c r="D542" s="19"/>
      <c r="E542" s="19"/>
      <c r="F542" s="19"/>
      <c r="G542" s="19"/>
    </row>
    <row r="543" customFormat="false" ht="15" hidden="false" customHeight="false" outlineLevel="0" collapsed="false">
      <c r="A543" s="20"/>
      <c r="B543" s="19"/>
      <c r="C543" s="19"/>
      <c r="D543" s="19"/>
      <c r="E543" s="19"/>
      <c r="F543" s="19"/>
      <c r="G543" s="19"/>
    </row>
    <row r="544" customFormat="false" ht="15" hidden="false" customHeight="false" outlineLevel="0" collapsed="false">
      <c r="A544" s="20"/>
      <c r="B544" s="19"/>
      <c r="C544" s="19"/>
      <c r="D544" s="19"/>
      <c r="E544" s="19"/>
      <c r="F544" s="19"/>
      <c r="G544" s="19"/>
    </row>
    <row r="545" customFormat="false" ht="15" hidden="false" customHeight="false" outlineLevel="0" collapsed="false">
      <c r="A545" s="20"/>
      <c r="B545" s="19"/>
      <c r="C545" s="19"/>
      <c r="D545" s="19"/>
      <c r="E545" s="19"/>
      <c r="F545" s="19"/>
      <c r="G545" s="19"/>
    </row>
    <row r="546" customFormat="false" ht="15" hidden="false" customHeight="false" outlineLevel="0" collapsed="false">
      <c r="A546" s="20"/>
      <c r="B546" s="19"/>
      <c r="C546" s="19"/>
      <c r="D546" s="19"/>
      <c r="E546" s="19"/>
      <c r="F546" s="19"/>
      <c r="G546" s="19"/>
    </row>
    <row r="547" customFormat="false" ht="15" hidden="false" customHeight="false" outlineLevel="0" collapsed="false">
      <c r="A547" s="20"/>
      <c r="B547" s="19"/>
      <c r="C547" s="19"/>
      <c r="D547" s="19"/>
      <c r="E547" s="19"/>
      <c r="F547" s="19"/>
      <c r="G547" s="19"/>
    </row>
    <row r="548" customFormat="false" ht="15" hidden="false" customHeight="false" outlineLevel="0" collapsed="false">
      <c r="A548" s="20"/>
      <c r="B548" s="19"/>
      <c r="C548" s="19"/>
      <c r="D548" s="19"/>
      <c r="E548" s="19"/>
      <c r="F548" s="19"/>
      <c r="G548" s="19"/>
    </row>
    <row r="549" customFormat="false" ht="15" hidden="false" customHeight="false" outlineLevel="0" collapsed="false">
      <c r="A549" s="20"/>
      <c r="B549" s="19"/>
      <c r="C549" s="19"/>
      <c r="D549" s="19"/>
      <c r="E549" s="19"/>
      <c r="F549" s="19"/>
      <c r="G549" s="19"/>
    </row>
    <row r="550" customFormat="false" ht="15" hidden="false" customHeight="false" outlineLevel="0" collapsed="false">
      <c r="A550" s="20"/>
      <c r="B550" s="19"/>
      <c r="C550" s="19"/>
      <c r="D550" s="19"/>
      <c r="E550" s="19"/>
      <c r="F550" s="19"/>
      <c r="G550" s="19"/>
    </row>
    <row r="551" customFormat="false" ht="15" hidden="false" customHeight="false" outlineLevel="0" collapsed="false">
      <c r="A551" s="20"/>
      <c r="B551" s="19"/>
      <c r="C551" s="19"/>
      <c r="D551" s="19"/>
      <c r="E551" s="19"/>
      <c r="F551" s="19"/>
      <c r="G551" s="19"/>
    </row>
    <row r="552" customFormat="false" ht="15" hidden="false" customHeight="false" outlineLevel="0" collapsed="false">
      <c r="A552" s="20"/>
      <c r="B552" s="19"/>
      <c r="C552" s="19"/>
      <c r="D552" s="19"/>
      <c r="E552" s="19"/>
      <c r="F552" s="19"/>
      <c r="G552" s="19"/>
    </row>
    <row r="553" customFormat="false" ht="15" hidden="false" customHeight="false" outlineLevel="0" collapsed="false">
      <c r="A553" s="20"/>
      <c r="B553" s="19"/>
      <c r="C553" s="19"/>
      <c r="D553" s="19"/>
      <c r="E553" s="19"/>
      <c r="F553" s="19"/>
      <c r="G553" s="19"/>
    </row>
    <row r="554" customFormat="false" ht="15" hidden="false" customHeight="false" outlineLevel="0" collapsed="false">
      <c r="A554" s="20"/>
      <c r="B554" s="19"/>
      <c r="C554" s="19"/>
      <c r="D554" s="19"/>
      <c r="E554" s="19"/>
      <c r="F554" s="19"/>
      <c r="G554" s="19"/>
    </row>
    <row r="555" customFormat="false" ht="15" hidden="false" customHeight="false" outlineLevel="0" collapsed="false">
      <c r="A555" s="20"/>
      <c r="B555" s="19"/>
      <c r="C555" s="19"/>
      <c r="D555" s="19"/>
      <c r="E555" s="19"/>
      <c r="F555" s="19"/>
      <c r="G555" s="19"/>
    </row>
    <row r="556" customFormat="false" ht="15" hidden="false" customHeight="false" outlineLevel="0" collapsed="false">
      <c r="A556" s="20"/>
      <c r="B556" s="19"/>
      <c r="C556" s="19"/>
      <c r="D556" s="19"/>
      <c r="E556" s="19"/>
      <c r="F556" s="19"/>
      <c r="G556" s="19"/>
    </row>
    <row r="557" customFormat="false" ht="15" hidden="false" customHeight="false" outlineLevel="0" collapsed="false">
      <c r="A557" s="20"/>
      <c r="B557" s="19"/>
      <c r="C557" s="19"/>
      <c r="D557" s="19"/>
      <c r="E557" s="19"/>
      <c r="F557" s="19"/>
      <c r="G557" s="19"/>
    </row>
    <row r="558" customFormat="false" ht="15" hidden="false" customHeight="false" outlineLevel="0" collapsed="false">
      <c r="A558" s="20"/>
      <c r="B558" s="19"/>
      <c r="C558" s="19"/>
      <c r="D558" s="19"/>
      <c r="E558" s="19"/>
      <c r="F558" s="19"/>
      <c r="G558" s="19"/>
    </row>
    <row r="559" customFormat="false" ht="15" hidden="false" customHeight="false" outlineLevel="0" collapsed="false">
      <c r="A559" s="20"/>
      <c r="B559" s="19"/>
      <c r="C559" s="19"/>
      <c r="D559" s="19"/>
      <c r="E559" s="19"/>
      <c r="F559" s="19"/>
      <c r="G559" s="19"/>
    </row>
    <row r="560" customFormat="false" ht="15" hidden="false" customHeight="false" outlineLevel="0" collapsed="false">
      <c r="A560" s="20"/>
      <c r="B560" s="19"/>
      <c r="C560" s="19"/>
      <c r="D560" s="19"/>
      <c r="E560" s="19"/>
      <c r="F560" s="19"/>
      <c r="G560" s="19"/>
    </row>
    <row r="561" customFormat="false" ht="15" hidden="false" customHeight="false" outlineLevel="0" collapsed="false">
      <c r="A561" s="20"/>
      <c r="B561" s="19"/>
      <c r="C561" s="19"/>
      <c r="D561" s="19"/>
      <c r="E561" s="19"/>
      <c r="F561" s="19"/>
      <c r="G561" s="19"/>
    </row>
    <row r="562" customFormat="false" ht="15" hidden="false" customHeight="false" outlineLevel="0" collapsed="false">
      <c r="A562" s="20"/>
      <c r="B562" s="19"/>
      <c r="C562" s="19"/>
      <c r="D562" s="19"/>
      <c r="E562" s="19"/>
      <c r="F562" s="19"/>
      <c r="G562" s="19"/>
    </row>
    <row r="563" customFormat="false" ht="15" hidden="false" customHeight="false" outlineLevel="0" collapsed="false">
      <c r="A563" s="20"/>
      <c r="B563" s="19"/>
      <c r="C563" s="19"/>
      <c r="D563" s="19"/>
      <c r="E563" s="19"/>
      <c r="F563" s="19"/>
      <c r="G563" s="19"/>
    </row>
    <row r="564" customFormat="false" ht="15" hidden="false" customHeight="false" outlineLevel="0" collapsed="false">
      <c r="A564" s="20"/>
      <c r="B564" s="19"/>
      <c r="C564" s="19"/>
      <c r="D564" s="19"/>
      <c r="E564" s="19"/>
      <c r="F564" s="19"/>
      <c r="G564" s="19"/>
    </row>
    <row r="565" customFormat="false" ht="15" hidden="false" customHeight="false" outlineLevel="0" collapsed="false">
      <c r="A565" s="20"/>
      <c r="B565" s="19"/>
      <c r="C565" s="19"/>
      <c r="D565" s="19"/>
      <c r="E565" s="19"/>
      <c r="F565" s="19"/>
      <c r="G565" s="19"/>
    </row>
    <row r="566" customFormat="false" ht="15" hidden="false" customHeight="false" outlineLevel="0" collapsed="false">
      <c r="A566" s="20"/>
      <c r="B566" s="19"/>
      <c r="C566" s="19"/>
      <c r="D566" s="19"/>
      <c r="E566" s="19"/>
      <c r="F566" s="19"/>
      <c r="G566" s="19"/>
    </row>
    <row r="567" customFormat="false" ht="15" hidden="false" customHeight="false" outlineLevel="0" collapsed="false">
      <c r="A567" s="20"/>
      <c r="B567" s="19"/>
      <c r="C567" s="19"/>
      <c r="D567" s="19"/>
      <c r="E567" s="19"/>
      <c r="F567" s="19"/>
      <c r="G567" s="19"/>
    </row>
    <row r="568" customFormat="false" ht="15" hidden="false" customHeight="false" outlineLevel="0" collapsed="false">
      <c r="A568" s="20"/>
      <c r="B568" s="19"/>
      <c r="C568" s="19"/>
      <c r="D568" s="19"/>
      <c r="E568" s="19"/>
      <c r="F568" s="19"/>
      <c r="G568" s="19"/>
    </row>
    <row r="569" customFormat="false" ht="15" hidden="false" customHeight="false" outlineLevel="0" collapsed="false">
      <c r="A569" s="20"/>
      <c r="B569" s="19"/>
      <c r="C569" s="19"/>
      <c r="D569" s="19"/>
      <c r="E569" s="19"/>
      <c r="F569" s="19"/>
      <c r="G569" s="19"/>
    </row>
    <row r="570" customFormat="false" ht="15" hidden="false" customHeight="false" outlineLevel="0" collapsed="false">
      <c r="A570" s="20"/>
      <c r="B570" s="19"/>
      <c r="C570" s="19"/>
      <c r="D570" s="19"/>
      <c r="E570" s="19"/>
      <c r="F570" s="19"/>
      <c r="G570" s="19"/>
    </row>
    <row r="571" customFormat="false" ht="15" hidden="false" customHeight="false" outlineLevel="0" collapsed="false">
      <c r="A571" s="20"/>
      <c r="B571" s="19"/>
      <c r="C571" s="19"/>
      <c r="D571" s="19"/>
      <c r="E571" s="19"/>
      <c r="F571" s="19"/>
      <c r="G571" s="19"/>
    </row>
    <row r="572" customFormat="false" ht="15" hidden="false" customHeight="false" outlineLevel="0" collapsed="false">
      <c r="A572" s="20"/>
      <c r="B572" s="19"/>
      <c r="C572" s="19"/>
      <c r="D572" s="19"/>
      <c r="E572" s="19"/>
      <c r="F572" s="19"/>
      <c r="G572" s="19"/>
    </row>
    <row r="573" customFormat="false" ht="15" hidden="false" customHeight="false" outlineLevel="0" collapsed="false">
      <c r="A573" s="20"/>
      <c r="B573" s="19"/>
      <c r="C573" s="19"/>
      <c r="D573" s="19"/>
      <c r="E573" s="19"/>
      <c r="F573" s="19"/>
      <c r="G573" s="19"/>
    </row>
    <row r="574" customFormat="false" ht="15" hidden="false" customHeight="false" outlineLevel="0" collapsed="false">
      <c r="A574" s="20"/>
      <c r="B574" s="19"/>
      <c r="C574" s="19"/>
      <c r="D574" s="19"/>
      <c r="E574" s="19"/>
      <c r="F574" s="19"/>
      <c r="G574" s="19"/>
    </row>
    <row r="575" customFormat="false" ht="15" hidden="false" customHeight="false" outlineLevel="0" collapsed="false">
      <c r="A575" s="20"/>
      <c r="B575" s="19"/>
      <c r="C575" s="19"/>
      <c r="D575" s="19"/>
      <c r="E575" s="19"/>
      <c r="F575" s="19"/>
      <c r="G575" s="19"/>
    </row>
    <row r="576" customFormat="false" ht="15" hidden="false" customHeight="false" outlineLevel="0" collapsed="false">
      <c r="A576" s="20"/>
      <c r="B576" s="19"/>
      <c r="C576" s="19"/>
      <c r="D576" s="19"/>
      <c r="E576" s="19"/>
      <c r="F576" s="19"/>
      <c r="G576" s="19"/>
    </row>
    <row r="577" customFormat="false" ht="15" hidden="false" customHeight="false" outlineLevel="0" collapsed="false">
      <c r="A577" s="20"/>
      <c r="B577" s="19"/>
      <c r="C577" s="19"/>
      <c r="D577" s="19"/>
      <c r="E577" s="19"/>
      <c r="F577" s="19"/>
      <c r="G577" s="19"/>
    </row>
    <row r="578" customFormat="false" ht="15" hidden="false" customHeight="false" outlineLevel="0" collapsed="false">
      <c r="A578" s="20"/>
      <c r="B578" s="19"/>
      <c r="C578" s="19"/>
      <c r="D578" s="19"/>
      <c r="E578" s="19"/>
      <c r="F578" s="19"/>
      <c r="G578" s="19"/>
    </row>
    <row r="579" customFormat="false" ht="15" hidden="false" customHeight="false" outlineLevel="0" collapsed="false">
      <c r="A579" s="20"/>
      <c r="B579" s="19"/>
      <c r="C579" s="19"/>
      <c r="D579" s="19"/>
      <c r="E579" s="19"/>
      <c r="F579" s="19"/>
      <c r="G579" s="19"/>
    </row>
    <row r="580" customFormat="false" ht="15" hidden="false" customHeight="false" outlineLevel="0" collapsed="false">
      <c r="A580" s="20"/>
      <c r="B580" s="19"/>
      <c r="C580" s="19"/>
      <c r="D580" s="19"/>
      <c r="E580" s="19"/>
      <c r="F580" s="19"/>
      <c r="G580" s="19"/>
    </row>
    <row r="581" customFormat="false" ht="15" hidden="false" customHeight="false" outlineLevel="0" collapsed="false">
      <c r="A581" s="20"/>
      <c r="B581" s="19"/>
      <c r="C581" s="19"/>
      <c r="D581" s="19"/>
      <c r="E581" s="19"/>
      <c r="F581" s="19"/>
      <c r="G581" s="19"/>
    </row>
    <row r="582" customFormat="false" ht="15" hidden="false" customHeight="false" outlineLevel="0" collapsed="false">
      <c r="A582" s="20"/>
      <c r="B582" s="19"/>
      <c r="C582" s="19"/>
      <c r="D582" s="19"/>
      <c r="E582" s="19"/>
      <c r="F582" s="19"/>
      <c r="G582" s="19"/>
    </row>
    <row r="583" customFormat="false" ht="15" hidden="false" customHeight="false" outlineLevel="0" collapsed="false">
      <c r="A583" s="20"/>
      <c r="B583" s="19"/>
      <c r="C583" s="19"/>
      <c r="D583" s="19"/>
      <c r="E583" s="19"/>
      <c r="F583" s="19"/>
      <c r="G583" s="19"/>
    </row>
    <row r="584" customFormat="false" ht="15" hidden="false" customHeight="false" outlineLevel="0" collapsed="false">
      <c r="A584" s="20"/>
      <c r="B584" s="19"/>
      <c r="C584" s="19"/>
      <c r="D584" s="19"/>
      <c r="E584" s="19"/>
      <c r="F584" s="19"/>
      <c r="G584" s="19"/>
    </row>
    <row r="585" customFormat="false" ht="15" hidden="false" customHeight="false" outlineLevel="0" collapsed="false">
      <c r="A585" s="20"/>
      <c r="B585" s="19"/>
      <c r="C585" s="19"/>
      <c r="D585" s="19"/>
      <c r="E585" s="19"/>
      <c r="F585" s="19"/>
      <c r="G585" s="19"/>
    </row>
    <row r="586" customFormat="false" ht="15" hidden="false" customHeight="false" outlineLevel="0" collapsed="false">
      <c r="A586" s="20"/>
      <c r="B586" s="19"/>
      <c r="C586" s="19"/>
      <c r="D586" s="19"/>
      <c r="E586" s="19"/>
      <c r="F586" s="19"/>
      <c r="G586" s="19"/>
    </row>
    <row r="587" customFormat="false" ht="15" hidden="false" customHeight="false" outlineLevel="0" collapsed="false">
      <c r="A587" s="20"/>
      <c r="B587" s="19"/>
      <c r="C587" s="19"/>
      <c r="D587" s="19"/>
      <c r="E587" s="19"/>
      <c r="F587" s="19"/>
      <c r="G587" s="19"/>
    </row>
    <row r="588" customFormat="false" ht="15" hidden="false" customHeight="false" outlineLevel="0" collapsed="false">
      <c r="A588" s="20"/>
      <c r="B588" s="19"/>
      <c r="C588" s="19"/>
      <c r="D588" s="19"/>
      <c r="E588" s="19"/>
      <c r="F588" s="19"/>
      <c r="G588" s="19"/>
    </row>
    <row r="589" customFormat="false" ht="15" hidden="false" customHeight="false" outlineLevel="0" collapsed="false">
      <c r="A589" s="20"/>
      <c r="B589" s="19"/>
      <c r="C589" s="19"/>
      <c r="D589" s="19"/>
      <c r="E589" s="19"/>
      <c r="F589" s="19"/>
      <c r="G589" s="19"/>
    </row>
    <row r="590" customFormat="false" ht="15" hidden="false" customHeight="false" outlineLevel="0" collapsed="false">
      <c r="A590" s="20"/>
      <c r="B590" s="19"/>
      <c r="C590" s="19"/>
      <c r="D590" s="19"/>
      <c r="E590" s="19"/>
      <c r="F590" s="19"/>
      <c r="G590" s="19"/>
    </row>
    <row r="591" customFormat="false" ht="15" hidden="false" customHeight="false" outlineLevel="0" collapsed="false">
      <c r="A591" s="20"/>
      <c r="B591" s="19"/>
      <c r="C591" s="19"/>
      <c r="D591" s="19"/>
      <c r="E591" s="19"/>
      <c r="F591" s="19"/>
      <c r="G591" s="19"/>
    </row>
    <row r="592" customFormat="false" ht="15" hidden="false" customHeight="false" outlineLevel="0" collapsed="false">
      <c r="A592" s="20"/>
      <c r="B592" s="19"/>
      <c r="C592" s="19"/>
      <c r="D592" s="19"/>
      <c r="E592" s="19"/>
      <c r="F592" s="19"/>
      <c r="G592" s="19"/>
    </row>
    <row r="593" customFormat="false" ht="15" hidden="false" customHeight="false" outlineLevel="0" collapsed="false">
      <c r="A593" s="20"/>
      <c r="B593" s="19"/>
      <c r="C593" s="19"/>
      <c r="D593" s="19"/>
      <c r="E593" s="19"/>
      <c r="F593" s="19"/>
      <c r="G593" s="19"/>
    </row>
    <row r="594" customFormat="false" ht="15" hidden="false" customHeight="false" outlineLevel="0" collapsed="false">
      <c r="A594" s="20"/>
      <c r="B594" s="19"/>
      <c r="C594" s="19"/>
      <c r="D594" s="19"/>
      <c r="E594" s="19"/>
      <c r="F594" s="19"/>
      <c r="G594" s="19"/>
    </row>
    <row r="595" customFormat="false" ht="15" hidden="false" customHeight="false" outlineLevel="0" collapsed="false">
      <c r="A595" s="20"/>
      <c r="B595" s="19"/>
      <c r="C595" s="19"/>
      <c r="D595" s="19"/>
      <c r="E595" s="19"/>
      <c r="F595" s="19"/>
      <c r="G595" s="19"/>
    </row>
    <row r="596" customFormat="false" ht="15" hidden="false" customHeight="false" outlineLevel="0" collapsed="false">
      <c r="A596" s="20"/>
      <c r="B596" s="19"/>
      <c r="C596" s="19"/>
      <c r="D596" s="19"/>
      <c r="E596" s="19"/>
      <c r="F596" s="19"/>
      <c r="G596" s="19"/>
    </row>
    <row r="597" customFormat="false" ht="15" hidden="false" customHeight="false" outlineLevel="0" collapsed="false">
      <c r="A597" s="20"/>
      <c r="B597" s="19"/>
      <c r="C597" s="19"/>
      <c r="D597" s="19"/>
      <c r="E597" s="19"/>
      <c r="F597" s="19"/>
      <c r="G597" s="19"/>
    </row>
    <row r="598" customFormat="false" ht="15" hidden="false" customHeight="false" outlineLevel="0" collapsed="false">
      <c r="A598" s="20"/>
      <c r="B598" s="19"/>
      <c r="C598" s="19"/>
      <c r="D598" s="19"/>
      <c r="E598" s="19"/>
      <c r="F598" s="19"/>
      <c r="G598" s="19"/>
    </row>
    <row r="599" customFormat="false" ht="15" hidden="false" customHeight="false" outlineLevel="0" collapsed="false">
      <c r="A599" s="20"/>
      <c r="B599" s="19"/>
      <c r="C599" s="19"/>
      <c r="D599" s="19"/>
      <c r="E599" s="19"/>
      <c r="F599" s="19"/>
      <c r="G599" s="19"/>
    </row>
    <row r="600" customFormat="false" ht="15" hidden="false" customHeight="false" outlineLevel="0" collapsed="false">
      <c r="A600" s="20"/>
      <c r="B600" s="19"/>
      <c r="C600" s="19"/>
      <c r="D600" s="19"/>
      <c r="E600" s="19"/>
      <c r="F600" s="19"/>
      <c r="G600" s="19"/>
    </row>
    <row r="601" customFormat="false" ht="15" hidden="false" customHeight="false" outlineLevel="0" collapsed="false">
      <c r="A601" s="20"/>
      <c r="B601" s="19"/>
      <c r="C601" s="19"/>
      <c r="D601" s="19"/>
      <c r="E601" s="19"/>
      <c r="F601" s="19"/>
      <c r="G601" s="19"/>
    </row>
    <row r="602" customFormat="false" ht="15" hidden="false" customHeight="false" outlineLevel="0" collapsed="false">
      <c r="A602" s="20"/>
      <c r="B602" s="19"/>
      <c r="C602" s="19"/>
      <c r="D602" s="19"/>
      <c r="E602" s="19"/>
      <c r="F602" s="19"/>
      <c r="G602" s="19"/>
    </row>
    <row r="603" customFormat="false" ht="15" hidden="false" customHeight="false" outlineLevel="0" collapsed="false">
      <c r="A603" s="20"/>
      <c r="B603" s="19"/>
      <c r="C603" s="19"/>
      <c r="D603" s="19"/>
      <c r="E603" s="19"/>
      <c r="F603" s="19"/>
      <c r="G603" s="19"/>
    </row>
    <row r="604" customFormat="false" ht="15" hidden="false" customHeight="false" outlineLevel="0" collapsed="false">
      <c r="A604" s="20"/>
      <c r="B604" s="19"/>
      <c r="C604" s="19"/>
      <c r="D604" s="19"/>
      <c r="E604" s="19"/>
      <c r="F604" s="19"/>
      <c r="G604" s="19"/>
    </row>
    <row r="605" customFormat="false" ht="15" hidden="false" customHeight="false" outlineLevel="0" collapsed="false">
      <c r="A605" s="20"/>
      <c r="B605" s="19"/>
      <c r="C605" s="19"/>
      <c r="D605" s="19"/>
      <c r="E605" s="19"/>
      <c r="F605" s="19"/>
      <c r="G605" s="19"/>
    </row>
    <row r="606" customFormat="false" ht="15" hidden="false" customHeight="false" outlineLevel="0" collapsed="false">
      <c r="A606" s="20"/>
      <c r="B606" s="19"/>
      <c r="C606" s="19"/>
      <c r="D606" s="19"/>
      <c r="E606" s="19"/>
      <c r="F606" s="19"/>
      <c r="G606" s="19"/>
    </row>
    <row r="607" customFormat="false" ht="15" hidden="false" customHeight="false" outlineLevel="0" collapsed="false">
      <c r="A607" s="20"/>
      <c r="B607" s="19"/>
      <c r="C607" s="19"/>
      <c r="D607" s="19"/>
      <c r="E607" s="19"/>
      <c r="F607" s="19"/>
      <c r="G607" s="19"/>
    </row>
    <row r="608" customFormat="false" ht="15" hidden="false" customHeight="false" outlineLevel="0" collapsed="false">
      <c r="A608" s="20"/>
      <c r="B608" s="19"/>
      <c r="C608" s="19"/>
      <c r="D608" s="19"/>
      <c r="E608" s="19"/>
      <c r="F608" s="19"/>
      <c r="G608" s="19"/>
    </row>
    <row r="609" customFormat="false" ht="15" hidden="false" customHeight="false" outlineLevel="0" collapsed="false">
      <c r="A609" s="20"/>
      <c r="B609" s="19"/>
      <c r="C609" s="19"/>
      <c r="D609" s="19"/>
      <c r="E609" s="19"/>
      <c r="F609" s="19"/>
      <c r="G609" s="19"/>
    </row>
    <row r="610" customFormat="false" ht="15" hidden="false" customHeight="false" outlineLevel="0" collapsed="false">
      <c r="A610" s="20"/>
      <c r="B610" s="19"/>
      <c r="C610" s="19"/>
      <c r="D610" s="19"/>
      <c r="E610" s="19"/>
      <c r="F610" s="19"/>
      <c r="G610" s="19"/>
    </row>
    <row r="611" customFormat="false" ht="15" hidden="false" customHeight="false" outlineLevel="0" collapsed="false">
      <c r="A611" s="20"/>
      <c r="B611" s="19"/>
      <c r="C611" s="19"/>
      <c r="D611" s="19"/>
      <c r="E611" s="19"/>
      <c r="F611" s="19"/>
      <c r="G611" s="19"/>
    </row>
    <row r="612" customFormat="false" ht="15" hidden="false" customHeight="false" outlineLevel="0" collapsed="false">
      <c r="A612" s="20"/>
      <c r="B612" s="19"/>
      <c r="C612" s="19"/>
      <c r="D612" s="19"/>
      <c r="E612" s="19"/>
      <c r="F612" s="19"/>
      <c r="G612" s="19"/>
    </row>
    <row r="613" customFormat="false" ht="15" hidden="false" customHeight="false" outlineLevel="0" collapsed="false">
      <c r="A613" s="20"/>
      <c r="B613" s="19"/>
      <c r="C613" s="19"/>
      <c r="D613" s="19"/>
      <c r="E613" s="19"/>
      <c r="F613" s="19"/>
      <c r="G613" s="19"/>
    </row>
    <row r="614" customFormat="false" ht="15" hidden="false" customHeight="false" outlineLevel="0" collapsed="false">
      <c r="A614" s="20"/>
      <c r="B614" s="19"/>
      <c r="C614" s="19"/>
      <c r="D614" s="19"/>
      <c r="E614" s="19"/>
      <c r="F614" s="19"/>
      <c r="G614" s="19"/>
    </row>
    <row r="615" customFormat="false" ht="15" hidden="false" customHeight="false" outlineLevel="0" collapsed="false">
      <c r="A615" s="20"/>
      <c r="B615" s="19"/>
      <c r="C615" s="19"/>
      <c r="D615" s="19"/>
      <c r="E615" s="19"/>
      <c r="F615" s="19"/>
      <c r="G615" s="19"/>
    </row>
    <row r="616" customFormat="false" ht="15" hidden="false" customHeight="false" outlineLevel="0" collapsed="false">
      <c r="A616" s="20"/>
      <c r="B616" s="19"/>
      <c r="C616" s="19"/>
      <c r="D616" s="19"/>
      <c r="E616" s="19"/>
      <c r="F616" s="19"/>
      <c r="G616" s="19"/>
    </row>
    <row r="617" customFormat="false" ht="15" hidden="false" customHeight="false" outlineLevel="0" collapsed="false">
      <c r="A617" s="20"/>
      <c r="B617" s="19"/>
      <c r="C617" s="19"/>
      <c r="D617" s="19"/>
      <c r="E617" s="19"/>
      <c r="F617" s="19"/>
      <c r="G617" s="19"/>
    </row>
    <row r="618" customFormat="false" ht="15" hidden="false" customHeight="false" outlineLevel="0" collapsed="false">
      <c r="A618" s="20"/>
      <c r="B618" s="19"/>
      <c r="C618" s="19"/>
      <c r="D618" s="19"/>
      <c r="E618" s="19"/>
      <c r="F618" s="19"/>
      <c r="G618" s="19"/>
    </row>
    <row r="619" customFormat="false" ht="15" hidden="false" customHeight="false" outlineLevel="0" collapsed="false">
      <c r="A619" s="20"/>
      <c r="B619" s="19"/>
      <c r="C619" s="19"/>
      <c r="D619" s="19"/>
      <c r="E619" s="19"/>
      <c r="F619" s="19"/>
      <c r="G619" s="19"/>
    </row>
    <row r="620" customFormat="false" ht="15" hidden="false" customHeight="false" outlineLevel="0" collapsed="false">
      <c r="A620" s="20"/>
      <c r="B620" s="19"/>
      <c r="C620" s="19"/>
      <c r="D620" s="19"/>
      <c r="E620" s="19"/>
      <c r="F620" s="19"/>
      <c r="G620" s="19"/>
    </row>
    <row r="621" customFormat="false" ht="15" hidden="false" customHeight="false" outlineLevel="0" collapsed="false">
      <c r="A621" s="20"/>
      <c r="B621" s="19"/>
      <c r="C621" s="19"/>
      <c r="D621" s="19"/>
      <c r="E621" s="19"/>
      <c r="F621" s="19"/>
      <c r="G621" s="19"/>
    </row>
    <row r="622" customFormat="false" ht="15" hidden="false" customHeight="false" outlineLevel="0" collapsed="false">
      <c r="A622" s="20"/>
      <c r="B622" s="19"/>
      <c r="C622" s="19"/>
      <c r="D622" s="19"/>
      <c r="E622" s="19"/>
      <c r="F622" s="19"/>
      <c r="G622" s="19"/>
    </row>
    <row r="623" customFormat="false" ht="15" hidden="false" customHeight="false" outlineLevel="0" collapsed="false">
      <c r="A623" s="20"/>
      <c r="B623" s="19"/>
      <c r="C623" s="19"/>
      <c r="D623" s="19"/>
      <c r="E623" s="19"/>
      <c r="F623" s="19"/>
      <c r="G623" s="19"/>
    </row>
    <row r="624" customFormat="false" ht="15" hidden="false" customHeight="false" outlineLevel="0" collapsed="false">
      <c r="A624" s="20"/>
      <c r="B624" s="19"/>
      <c r="C624" s="19"/>
      <c r="D624" s="19"/>
      <c r="E624" s="19"/>
      <c r="F624" s="19"/>
      <c r="G624" s="19"/>
    </row>
    <row r="625" customFormat="false" ht="15" hidden="false" customHeight="false" outlineLevel="0" collapsed="false">
      <c r="A625" s="20"/>
      <c r="B625" s="19"/>
      <c r="C625" s="19"/>
      <c r="D625" s="19"/>
      <c r="E625" s="19"/>
      <c r="F625" s="19"/>
      <c r="G625" s="19"/>
    </row>
    <row r="626" customFormat="false" ht="15" hidden="false" customHeight="false" outlineLevel="0" collapsed="false">
      <c r="A626" s="20"/>
      <c r="B626" s="19"/>
      <c r="C626" s="19"/>
      <c r="D626" s="19"/>
      <c r="E626" s="19"/>
      <c r="F626" s="19"/>
      <c r="G626" s="19"/>
    </row>
    <row r="627" customFormat="false" ht="15" hidden="false" customHeight="false" outlineLevel="0" collapsed="false">
      <c r="A627" s="20"/>
      <c r="B627" s="19"/>
      <c r="C627" s="19"/>
      <c r="D627" s="19"/>
      <c r="E627" s="19"/>
      <c r="F627" s="19"/>
      <c r="G627" s="19"/>
    </row>
    <row r="628" customFormat="false" ht="15" hidden="false" customHeight="false" outlineLevel="0" collapsed="false">
      <c r="A628" s="20"/>
      <c r="B628" s="19"/>
      <c r="C628" s="19"/>
      <c r="D628" s="19"/>
      <c r="E628" s="19"/>
      <c r="F628" s="19"/>
      <c r="G628" s="19"/>
    </row>
    <row r="629" customFormat="false" ht="15" hidden="false" customHeight="false" outlineLevel="0" collapsed="false">
      <c r="A629" s="20"/>
      <c r="B629" s="19"/>
      <c r="C629" s="19"/>
      <c r="D629" s="19"/>
      <c r="E629" s="19"/>
      <c r="F629" s="19"/>
      <c r="G629" s="19"/>
    </row>
    <row r="630" customFormat="false" ht="15" hidden="false" customHeight="false" outlineLevel="0" collapsed="false">
      <c r="A630" s="20"/>
      <c r="B630" s="19"/>
      <c r="C630" s="19"/>
      <c r="D630" s="19"/>
      <c r="E630" s="19"/>
      <c r="F630" s="19"/>
      <c r="G630" s="19"/>
    </row>
    <row r="631" customFormat="false" ht="15" hidden="false" customHeight="false" outlineLevel="0" collapsed="false">
      <c r="A631" s="20"/>
      <c r="B631" s="19"/>
      <c r="C631" s="19"/>
      <c r="D631" s="19"/>
      <c r="E631" s="19"/>
      <c r="F631" s="19"/>
      <c r="G631" s="19"/>
    </row>
    <row r="632" customFormat="false" ht="15" hidden="false" customHeight="false" outlineLevel="0" collapsed="false">
      <c r="A632" s="20"/>
      <c r="B632" s="19"/>
      <c r="C632" s="19"/>
      <c r="D632" s="19"/>
      <c r="E632" s="19"/>
      <c r="F632" s="19"/>
      <c r="G632" s="19"/>
    </row>
    <row r="633" customFormat="false" ht="15" hidden="false" customHeight="false" outlineLevel="0" collapsed="false">
      <c r="A633" s="20"/>
      <c r="B633" s="19"/>
      <c r="C633" s="19"/>
      <c r="D633" s="19"/>
      <c r="E633" s="19"/>
      <c r="F633" s="19"/>
      <c r="G633" s="19"/>
    </row>
    <row r="634" customFormat="false" ht="15" hidden="false" customHeight="false" outlineLevel="0" collapsed="false">
      <c r="A634" s="20"/>
      <c r="B634" s="19"/>
      <c r="C634" s="19"/>
      <c r="D634" s="19"/>
      <c r="E634" s="19"/>
      <c r="F634" s="19"/>
      <c r="G634" s="19"/>
    </row>
    <row r="635" customFormat="false" ht="15" hidden="false" customHeight="false" outlineLevel="0" collapsed="false">
      <c r="A635" s="20"/>
      <c r="B635" s="19"/>
      <c r="C635" s="19"/>
      <c r="D635" s="19"/>
      <c r="E635" s="19"/>
      <c r="F635" s="19"/>
      <c r="G635" s="19"/>
    </row>
    <row r="636" customFormat="false" ht="15" hidden="false" customHeight="false" outlineLevel="0" collapsed="false">
      <c r="A636" s="20"/>
      <c r="B636" s="19"/>
      <c r="C636" s="19"/>
      <c r="D636" s="19"/>
      <c r="E636" s="19"/>
      <c r="F636" s="19"/>
      <c r="G636" s="19"/>
    </row>
    <row r="637" customFormat="false" ht="15" hidden="false" customHeight="false" outlineLevel="0" collapsed="false">
      <c r="A637" s="20"/>
      <c r="B637" s="19"/>
      <c r="C637" s="19"/>
      <c r="D637" s="19"/>
      <c r="E637" s="19"/>
      <c r="F637" s="19"/>
      <c r="G637" s="19"/>
    </row>
    <row r="638" customFormat="false" ht="15" hidden="false" customHeight="false" outlineLevel="0" collapsed="false">
      <c r="A638" s="20"/>
      <c r="B638" s="19"/>
      <c r="C638" s="19"/>
      <c r="D638" s="19"/>
      <c r="E638" s="19"/>
      <c r="F638" s="19"/>
      <c r="G638" s="19"/>
    </row>
    <row r="639" customFormat="false" ht="15" hidden="false" customHeight="false" outlineLevel="0" collapsed="false">
      <c r="A639" s="20"/>
      <c r="B639" s="19"/>
      <c r="C639" s="19"/>
      <c r="D639" s="19"/>
      <c r="E639" s="19"/>
      <c r="F639" s="19"/>
      <c r="G639" s="19"/>
    </row>
    <row r="640" customFormat="false" ht="15" hidden="false" customHeight="false" outlineLevel="0" collapsed="false">
      <c r="A640" s="20"/>
      <c r="B640" s="19"/>
      <c r="C640" s="19"/>
      <c r="D640" s="19"/>
      <c r="E640" s="19"/>
      <c r="F640" s="19"/>
      <c r="G640" s="19"/>
    </row>
    <row r="641" customFormat="false" ht="15" hidden="false" customHeight="false" outlineLevel="0" collapsed="false">
      <c r="A641" s="20"/>
      <c r="B641" s="19"/>
      <c r="C641" s="19"/>
      <c r="D641" s="19"/>
      <c r="E641" s="19"/>
      <c r="F641" s="19"/>
      <c r="G641" s="19"/>
    </row>
    <row r="642" customFormat="false" ht="15" hidden="false" customHeight="false" outlineLevel="0" collapsed="false">
      <c r="A642" s="20"/>
      <c r="B642" s="19"/>
      <c r="C642" s="19"/>
      <c r="D642" s="19"/>
      <c r="E642" s="19"/>
      <c r="F642" s="19"/>
      <c r="G642" s="19"/>
    </row>
    <row r="643" customFormat="false" ht="15" hidden="false" customHeight="false" outlineLevel="0" collapsed="false">
      <c r="A643" s="20"/>
      <c r="B643" s="19"/>
      <c r="C643" s="19"/>
      <c r="D643" s="19"/>
      <c r="E643" s="19"/>
      <c r="F643" s="19"/>
      <c r="G643" s="19"/>
    </row>
    <row r="644" customFormat="false" ht="15" hidden="false" customHeight="false" outlineLevel="0" collapsed="false">
      <c r="A644" s="20"/>
      <c r="B644" s="19"/>
      <c r="C644" s="19"/>
      <c r="D644" s="19"/>
      <c r="E644" s="19"/>
      <c r="F644" s="19"/>
      <c r="G644" s="19"/>
    </row>
    <row r="645" customFormat="false" ht="15" hidden="false" customHeight="false" outlineLevel="0" collapsed="false">
      <c r="A645" s="20"/>
      <c r="B645" s="19"/>
      <c r="C645" s="19"/>
      <c r="D645" s="19"/>
      <c r="E645" s="19"/>
      <c r="F645" s="19"/>
      <c r="G645" s="19"/>
    </row>
    <row r="646" customFormat="false" ht="15" hidden="false" customHeight="false" outlineLevel="0" collapsed="false">
      <c r="A646" s="20"/>
      <c r="B646" s="19"/>
      <c r="C646" s="19"/>
      <c r="D646" s="19"/>
      <c r="E646" s="19"/>
      <c r="F646" s="19"/>
      <c r="G646" s="19"/>
    </row>
    <row r="647" customFormat="false" ht="15" hidden="false" customHeight="false" outlineLevel="0" collapsed="false">
      <c r="A647" s="20"/>
      <c r="B647" s="19"/>
      <c r="C647" s="19"/>
      <c r="D647" s="19"/>
      <c r="E647" s="19"/>
      <c r="F647" s="19"/>
      <c r="G647" s="19"/>
    </row>
    <row r="648" customFormat="false" ht="15" hidden="false" customHeight="false" outlineLevel="0" collapsed="false">
      <c r="A648" s="20"/>
      <c r="B648" s="19"/>
      <c r="C648" s="19"/>
      <c r="D648" s="19"/>
      <c r="E648" s="19"/>
      <c r="F648" s="19"/>
      <c r="G648" s="19"/>
    </row>
    <row r="649" customFormat="false" ht="15" hidden="false" customHeight="false" outlineLevel="0" collapsed="false">
      <c r="A649" s="20"/>
      <c r="B649" s="19"/>
      <c r="C649" s="19"/>
      <c r="D649" s="19"/>
      <c r="E649" s="19"/>
      <c r="F649" s="19"/>
      <c r="G649" s="19"/>
    </row>
    <row r="650" customFormat="false" ht="15" hidden="false" customHeight="false" outlineLevel="0" collapsed="false">
      <c r="A650" s="20"/>
      <c r="B650" s="19"/>
      <c r="C650" s="19"/>
      <c r="D650" s="19"/>
      <c r="E650" s="19"/>
      <c r="F650" s="19"/>
      <c r="G650" s="19"/>
    </row>
    <row r="651" customFormat="false" ht="15" hidden="false" customHeight="false" outlineLevel="0" collapsed="false">
      <c r="A651" s="20"/>
      <c r="B651" s="19"/>
      <c r="C651" s="19"/>
      <c r="D651" s="19"/>
      <c r="E651" s="19"/>
      <c r="F651" s="19"/>
      <c r="G651" s="19"/>
    </row>
    <row r="652" customFormat="false" ht="15" hidden="false" customHeight="false" outlineLevel="0" collapsed="false">
      <c r="A652" s="20"/>
      <c r="B652" s="19"/>
      <c r="C652" s="19"/>
      <c r="D652" s="19"/>
      <c r="E652" s="19"/>
      <c r="F652" s="19"/>
      <c r="G652" s="19"/>
    </row>
    <row r="653" customFormat="false" ht="15" hidden="false" customHeight="false" outlineLevel="0" collapsed="false">
      <c r="A653" s="20"/>
      <c r="B653" s="19"/>
      <c r="C653" s="19"/>
      <c r="D653" s="19"/>
      <c r="E653" s="19"/>
      <c r="F653" s="19"/>
      <c r="G653" s="19"/>
    </row>
    <row r="654" customFormat="false" ht="15" hidden="false" customHeight="false" outlineLevel="0" collapsed="false">
      <c r="A654" s="20"/>
      <c r="B654" s="19"/>
      <c r="C654" s="19"/>
      <c r="D654" s="19"/>
      <c r="E654" s="19"/>
      <c r="F654" s="19"/>
      <c r="G654" s="19"/>
    </row>
    <row r="655" customFormat="false" ht="15" hidden="false" customHeight="false" outlineLevel="0" collapsed="false">
      <c r="A655" s="20"/>
      <c r="B655" s="19"/>
      <c r="C655" s="19"/>
      <c r="D655" s="19"/>
      <c r="E655" s="19"/>
      <c r="F655" s="19"/>
      <c r="G655" s="19"/>
    </row>
    <row r="656" customFormat="false" ht="15" hidden="false" customHeight="false" outlineLevel="0" collapsed="false">
      <c r="A656" s="20"/>
      <c r="B656" s="19"/>
      <c r="C656" s="19"/>
      <c r="D656" s="19"/>
      <c r="E656" s="19"/>
      <c r="F656" s="19"/>
      <c r="G656" s="19"/>
    </row>
    <row r="657" customFormat="false" ht="15" hidden="false" customHeight="false" outlineLevel="0" collapsed="false">
      <c r="A657" s="20"/>
      <c r="B657" s="19"/>
      <c r="C657" s="19"/>
      <c r="D657" s="19"/>
      <c r="E657" s="19"/>
      <c r="F657" s="19"/>
      <c r="G657" s="19"/>
    </row>
    <row r="658" customFormat="false" ht="15" hidden="false" customHeight="false" outlineLevel="0" collapsed="false">
      <c r="A658" s="20"/>
      <c r="B658" s="19"/>
      <c r="C658" s="19"/>
      <c r="D658" s="19"/>
      <c r="E658" s="19"/>
      <c r="F658" s="19"/>
      <c r="G658" s="19"/>
    </row>
    <row r="659" customFormat="false" ht="15" hidden="false" customHeight="false" outlineLevel="0" collapsed="false">
      <c r="A659" s="20"/>
      <c r="B659" s="19"/>
      <c r="C659" s="19"/>
      <c r="D659" s="19"/>
      <c r="E659" s="19"/>
      <c r="F659" s="19"/>
      <c r="G659" s="19"/>
    </row>
    <row r="660" customFormat="false" ht="15" hidden="false" customHeight="false" outlineLevel="0" collapsed="false">
      <c r="A660" s="20"/>
      <c r="B660" s="19"/>
      <c r="C660" s="19"/>
      <c r="D660" s="19"/>
      <c r="E660" s="19"/>
      <c r="F660" s="19"/>
      <c r="G660" s="19"/>
    </row>
    <row r="661" customFormat="false" ht="15" hidden="false" customHeight="false" outlineLevel="0" collapsed="false">
      <c r="A661" s="20"/>
      <c r="B661" s="19"/>
      <c r="C661" s="19"/>
      <c r="D661" s="19"/>
      <c r="E661" s="19"/>
      <c r="F661" s="19"/>
      <c r="G661" s="19"/>
    </row>
    <row r="662" customFormat="false" ht="15" hidden="false" customHeight="false" outlineLevel="0" collapsed="false">
      <c r="A662" s="20"/>
      <c r="B662" s="19"/>
      <c r="C662" s="19"/>
      <c r="D662" s="19"/>
      <c r="E662" s="19"/>
      <c r="F662" s="19"/>
      <c r="G662" s="19"/>
    </row>
    <row r="663" customFormat="false" ht="15" hidden="false" customHeight="false" outlineLevel="0" collapsed="false">
      <c r="A663" s="20"/>
      <c r="B663" s="19"/>
      <c r="C663" s="19"/>
      <c r="D663" s="19"/>
      <c r="E663" s="19"/>
      <c r="F663" s="19"/>
      <c r="G663" s="19"/>
    </row>
    <row r="664" customFormat="false" ht="15" hidden="false" customHeight="false" outlineLevel="0" collapsed="false">
      <c r="A664" s="20"/>
      <c r="B664" s="19"/>
      <c r="C664" s="19"/>
      <c r="D664" s="19"/>
      <c r="E664" s="19"/>
      <c r="F664" s="19"/>
      <c r="G664" s="19"/>
    </row>
    <row r="665" customFormat="false" ht="15" hidden="false" customHeight="false" outlineLevel="0" collapsed="false">
      <c r="A665" s="20"/>
      <c r="B665" s="19"/>
      <c r="C665" s="19"/>
      <c r="D665" s="19"/>
      <c r="E665" s="19"/>
      <c r="F665" s="19"/>
      <c r="G665" s="19"/>
    </row>
    <row r="666" customFormat="false" ht="15" hidden="false" customHeight="false" outlineLevel="0" collapsed="false">
      <c r="A666" s="20"/>
      <c r="B666" s="19"/>
      <c r="C666" s="19"/>
      <c r="D666" s="19"/>
      <c r="E666" s="19"/>
      <c r="F666" s="19"/>
      <c r="G666" s="19"/>
    </row>
    <row r="667" customFormat="false" ht="15" hidden="false" customHeight="false" outlineLevel="0" collapsed="false">
      <c r="A667" s="20"/>
      <c r="B667" s="19"/>
      <c r="C667" s="19"/>
      <c r="D667" s="19"/>
      <c r="E667" s="19"/>
      <c r="F667" s="19"/>
      <c r="G667" s="19"/>
    </row>
    <row r="668" customFormat="false" ht="15" hidden="false" customHeight="false" outlineLevel="0" collapsed="false">
      <c r="A668" s="20"/>
      <c r="B668" s="19"/>
      <c r="C668" s="19"/>
      <c r="D668" s="19"/>
      <c r="E668" s="19"/>
      <c r="F668" s="19"/>
      <c r="G668" s="19"/>
    </row>
    <row r="669" customFormat="false" ht="15" hidden="false" customHeight="false" outlineLevel="0" collapsed="false">
      <c r="A669" s="20"/>
      <c r="B669" s="19"/>
      <c r="C669" s="19"/>
      <c r="D669" s="19"/>
      <c r="E669" s="19"/>
      <c r="F669" s="19"/>
      <c r="G669" s="19"/>
    </row>
    <row r="670" customFormat="false" ht="15" hidden="false" customHeight="false" outlineLevel="0" collapsed="false">
      <c r="A670" s="20"/>
      <c r="B670" s="19"/>
      <c r="C670" s="19"/>
      <c r="D670" s="19"/>
      <c r="E670" s="19"/>
      <c r="F670" s="19"/>
      <c r="G670" s="19"/>
    </row>
    <row r="671" customFormat="false" ht="15" hidden="false" customHeight="false" outlineLevel="0" collapsed="false">
      <c r="A671" s="20"/>
      <c r="B671" s="19"/>
      <c r="C671" s="19"/>
      <c r="D671" s="19"/>
      <c r="E671" s="19"/>
      <c r="F671" s="19"/>
      <c r="G671" s="19"/>
    </row>
    <row r="672" customFormat="false" ht="15" hidden="false" customHeight="false" outlineLevel="0" collapsed="false">
      <c r="A672" s="20"/>
      <c r="B672" s="19"/>
      <c r="C672" s="19"/>
      <c r="D672" s="19"/>
      <c r="E672" s="19"/>
      <c r="F672" s="19"/>
      <c r="G672" s="19"/>
    </row>
    <row r="673" customFormat="false" ht="15" hidden="false" customHeight="false" outlineLevel="0" collapsed="false">
      <c r="A673" s="20"/>
      <c r="B673" s="19"/>
      <c r="C673" s="19"/>
      <c r="D673" s="19"/>
      <c r="E673" s="19"/>
      <c r="F673" s="19"/>
      <c r="G673" s="19"/>
    </row>
    <row r="674" customFormat="false" ht="15" hidden="false" customHeight="false" outlineLevel="0" collapsed="false">
      <c r="A674" s="20"/>
      <c r="B674" s="19"/>
      <c r="C674" s="19"/>
      <c r="D674" s="19"/>
      <c r="E674" s="19"/>
      <c r="F674" s="19"/>
      <c r="G674" s="19"/>
    </row>
    <row r="675" customFormat="false" ht="15" hidden="false" customHeight="false" outlineLevel="0" collapsed="false">
      <c r="A675" s="20"/>
      <c r="B675" s="19"/>
      <c r="C675" s="19"/>
      <c r="D675" s="19"/>
      <c r="E675" s="19"/>
      <c r="F675" s="19"/>
      <c r="G675" s="19"/>
    </row>
    <row r="676" customFormat="false" ht="15" hidden="false" customHeight="false" outlineLevel="0" collapsed="false">
      <c r="A676" s="20"/>
      <c r="B676" s="19"/>
      <c r="C676" s="19"/>
      <c r="D676" s="19"/>
      <c r="E676" s="19"/>
      <c r="F676" s="19"/>
      <c r="G676" s="19"/>
    </row>
    <row r="677" customFormat="false" ht="15" hidden="false" customHeight="false" outlineLevel="0" collapsed="false">
      <c r="A677" s="20"/>
      <c r="B677" s="19"/>
      <c r="C677" s="19"/>
      <c r="D677" s="19"/>
      <c r="E677" s="19"/>
      <c r="F677" s="19"/>
      <c r="G677" s="19"/>
    </row>
    <row r="678" customFormat="false" ht="15" hidden="false" customHeight="false" outlineLevel="0" collapsed="false">
      <c r="A678" s="20"/>
      <c r="B678" s="19"/>
      <c r="C678" s="19"/>
      <c r="D678" s="19"/>
      <c r="E678" s="19"/>
      <c r="F678" s="19"/>
      <c r="G678" s="19"/>
    </row>
    <row r="679" customFormat="false" ht="15" hidden="false" customHeight="false" outlineLevel="0" collapsed="false">
      <c r="A679" s="20"/>
      <c r="B679" s="19"/>
      <c r="C679" s="19"/>
      <c r="D679" s="19"/>
      <c r="E679" s="19"/>
      <c r="F679" s="19"/>
      <c r="G679" s="19"/>
    </row>
    <row r="680" customFormat="false" ht="15" hidden="false" customHeight="false" outlineLevel="0" collapsed="false">
      <c r="A680" s="20"/>
      <c r="B680" s="19"/>
      <c r="C680" s="19"/>
      <c r="D680" s="19"/>
      <c r="E680" s="19"/>
      <c r="F680" s="19"/>
      <c r="G680" s="19"/>
    </row>
    <row r="681" customFormat="false" ht="15" hidden="false" customHeight="false" outlineLevel="0" collapsed="false">
      <c r="A681" s="20"/>
      <c r="B681" s="19"/>
      <c r="C681" s="19"/>
      <c r="D681" s="19"/>
      <c r="E681" s="19"/>
      <c r="F681" s="19"/>
      <c r="G681" s="19"/>
    </row>
    <row r="682" customFormat="false" ht="15" hidden="false" customHeight="false" outlineLevel="0" collapsed="false">
      <c r="A682" s="20"/>
      <c r="B682" s="19"/>
      <c r="C682" s="19"/>
      <c r="D682" s="19"/>
      <c r="E682" s="19"/>
      <c r="F682" s="19"/>
      <c r="G682" s="19"/>
    </row>
    <row r="683" customFormat="false" ht="15" hidden="false" customHeight="false" outlineLevel="0" collapsed="false">
      <c r="A683" s="20"/>
      <c r="B683" s="19"/>
      <c r="C683" s="19"/>
      <c r="D683" s="19"/>
      <c r="E683" s="19"/>
      <c r="F683" s="19"/>
      <c r="G683" s="19"/>
    </row>
    <row r="684" customFormat="false" ht="15" hidden="false" customHeight="false" outlineLevel="0" collapsed="false">
      <c r="A684" s="20"/>
      <c r="B684" s="19"/>
      <c r="C684" s="19"/>
      <c r="D684" s="19"/>
      <c r="E684" s="19"/>
      <c r="F684" s="19"/>
      <c r="G684" s="19"/>
    </row>
    <row r="685" customFormat="false" ht="15" hidden="false" customHeight="false" outlineLevel="0" collapsed="false">
      <c r="A685" s="20"/>
      <c r="B685" s="19"/>
      <c r="C685" s="19"/>
      <c r="D685" s="19"/>
      <c r="E685" s="19"/>
      <c r="F685" s="19"/>
      <c r="G685" s="19"/>
    </row>
    <row r="686" customFormat="false" ht="15" hidden="false" customHeight="false" outlineLevel="0" collapsed="false">
      <c r="A686" s="20"/>
      <c r="B686" s="19"/>
      <c r="C686" s="19"/>
      <c r="D686" s="19"/>
      <c r="E686" s="19"/>
      <c r="F686" s="19"/>
      <c r="G686" s="19"/>
    </row>
    <row r="687" customFormat="false" ht="15" hidden="false" customHeight="false" outlineLevel="0" collapsed="false">
      <c r="A687" s="20"/>
      <c r="B687" s="19"/>
      <c r="C687" s="19"/>
      <c r="D687" s="19"/>
      <c r="E687" s="19"/>
      <c r="F687" s="19"/>
      <c r="G687" s="19"/>
    </row>
    <row r="688" customFormat="false" ht="15" hidden="false" customHeight="false" outlineLevel="0" collapsed="false">
      <c r="A688" s="20"/>
      <c r="B688" s="19"/>
      <c r="C688" s="19"/>
      <c r="D688" s="19"/>
      <c r="E688" s="19"/>
      <c r="F688" s="19"/>
      <c r="G688" s="19"/>
    </row>
    <row r="689" customFormat="false" ht="15" hidden="false" customHeight="false" outlineLevel="0" collapsed="false">
      <c r="A689" s="20"/>
      <c r="B689" s="19"/>
      <c r="C689" s="19"/>
      <c r="D689" s="19"/>
      <c r="E689" s="19"/>
      <c r="F689" s="19"/>
      <c r="G689" s="19"/>
    </row>
    <row r="690" customFormat="false" ht="15" hidden="false" customHeight="false" outlineLevel="0" collapsed="false">
      <c r="A690" s="20"/>
      <c r="B690" s="19"/>
      <c r="C690" s="19"/>
      <c r="D690" s="19"/>
      <c r="E690" s="19"/>
      <c r="F690" s="19"/>
      <c r="G690" s="19"/>
    </row>
    <row r="691" customFormat="false" ht="15" hidden="false" customHeight="false" outlineLevel="0" collapsed="false">
      <c r="A691" s="20"/>
      <c r="B691" s="19"/>
      <c r="C691" s="19"/>
      <c r="D691" s="19"/>
      <c r="E691" s="19"/>
      <c r="F691" s="19"/>
      <c r="G691" s="19"/>
    </row>
    <row r="692" customFormat="false" ht="15" hidden="false" customHeight="false" outlineLevel="0" collapsed="false">
      <c r="A692" s="20"/>
      <c r="B692" s="19"/>
      <c r="C692" s="19"/>
      <c r="D692" s="19"/>
      <c r="E692" s="19"/>
      <c r="F692" s="19"/>
      <c r="G692" s="19"/>
    </row>
    <row r="693" customFormat="false" ht="15" hidden="false" customHeight="false" outlineLevel="0" collapsed="false">
      <c r="A693" s="20"/>
      <c r="B693" s="19"/>
      <c r="C693" s="19"/>
      <c r="D693" s="19"/>
      <c r="E693" s="19"/>
      <c r="F693" s="19"/>
      <c r="G693" s="19"/>
    </row>
    <row r="694" customFormat="false" ht="15" hidden="false" customHeight="false" outlineLevel="0" collapsed="false">
      <c r="A694" s="20"/>
      <c r="B694" s="19"/>
      <c r="C694" s="19"/>
      <c r="D694" s="19"/>
      <c r="E694" s="19"/>
      <c r="F694" s="19"/>
      <c r="G694" s="19"/>
    </row>
    <row r="695" customFormat="false" ht="15" hidden="false" customHeight="false" outlineLevel="0" collapsed="false">
      <c r="A695" s="20"/>
      <c r="B695" s="19"/>
      <c r="C695" s="19"/>
      <c r="D695" s="19"/>
      <c r="E695" s="19"/>
      <c r="F695" s="19"/>
      <c r="G695" s="19"/>
    </row>
    <row r="696" customFormat="false" ht="15" hidden="false" customHeight="false" outlineLevel="0" collapsed="false">
      <c r="A696" s="20"/>
      <c r="B696" s="19"/>
      <c r="C696" s="19"/>
      <c r="D696" s="19"/>
      <c r="E696" s="19"/>
      <c r="F696" s="19"/>
      <c r="G696" s="19"/>
    </row>
    <row r="697" customFormat="false" ht="15" hidden="false" customHeight="false" outlineLevel="0" collapsed="false">
      <c r="A697" s="20"/>
      <c r="B697" s="19"/>
      <c r="C697" s="19"/>
      <c r="D697" s="19"/>
      <c r="E697" s="19"/>
      <c r="F697" s="19"/>
      <c r="G697" s="19"/>
    </row>
    <row r="698" customFormat="false" ht="15" hidden="false" customHeight="false" outlineLevel="0" collapsed="false">
      <c r="A698" s="20"/>
      <c r="B698" s="19"/>
      <c r="C698" s="19"/>
      <c r="D698" s="19"/>
      <c r="E698" s="19"/>
      <c r="F698" s="19"/>
      <c r="G698" s="19"/>
    </row>
    <row r="699" customFormat="false" ht="15" hidden="false" customHeight="false" outlineLevel="0" collapsed="false">
      <c r="A699" s="20"/>
      <c r="B699" s="19"/>
      <c r="C699" s="19"/>
      <c r="D699" s="19"/>
      <c r="E699" s="19"/>
      <c r="F699" s="19"/>
      <c r="G699" s="19"/>
    </row>
    <row r="700" customFormat="false" ht="15" hidden="false" customHeight="false" outlineLevel="0" collapsed="false">
      <c r="A700" s="20"/>
      <c r="B700" s="19"/>
      <c r="C700" s="19"/>
      <c r="D700" s="19"/>
      <c r="E700" s="19"/>
      <c r="F700" s="19"/>
      <c r="G700" s="19"/>
    </row>
    <row r="701" customFormat="false" ht="15" hidden="false" customHeight="false" outlineLevel="0" collapsed="false">
      <c r="A701" s="20"/>
      <c r="B701" s="19"/>
      <c r="C701" s="19"/>
      <c r="D701" s="19"/>
      <c r="E701" s="19"/>
      <c r="F701" s="19"/>
      <c r="G701" s="19"/>
    </row>
    <row r="702" customFormat="false" ht="15" hidden="false" customHeight="false" outlineLevel="0" collapsed="false">
      <c r="A702" s="20"/>
      <c r="B702" s="19"/>
      <c r="C702" s="19"/>
      <c r="D702" s="19"/>
      <c r="E702" s="19"/>
      <c r="F702" s="19"/>
      <c r="G702" s="19"/>
    </row>
    <row r="703" customFormat="false" ht="15" hidden="false" customHeight="false" outlineLevel="0" collapsed="false">
      <c r="A703" s="20"/>
      <c r="B703" s="19"/>
      <c r="C703" s="19"/>
      <c r="D703" s="19"/>
      <c r="E703" s="19"/>
      <c r="F703" s="19"/>
      <c r="G703" s="19"/>
    </row>
    <row r="704" customFormat="false" ht="15" hidden="false" customHeight="false" outlineLevel="0" collapsed="false">
      <c r="A704" s="20"/>
      <c r="B704" s="19"/>
      <c r="C704" s="19"/>
      <c r="D704" s="19"/>
      <c r="E704" s="19"/>
      <c r="F704" s="19"/>
      <c r="G704" s="19"/>
    </row>
    <row r="705" customFormat="false" ht="15" hidden="false" customHeight="false" outlineLevel="0" collapsed="false">
      <c r="A705" s="20"/>
      <c r="B705" s="19"/>
      <c r="C705" s="19"/>
      <c r="D705" s="19"/>
      <c r="E705" s="19"/>
      <c r="F705" s="19"/>
      <c r="G705" s="19"/>
    </row>
    <row r="706" customFormat="false" ht="15" hidden="false" customHeight="false" outlineLevel="0" collapsed="false">
      <c r="A706" s="20"/>
      <c r="B706" s="19"/>
      <c r="C706" s="19"/>
      <c r="D706" s="19"/>
      <c r="E706" s="19"/>
      <c r="F706" s="19"/>
      <c r="G706" s="19"/>
    </row>
    <row r="707" customFormat="false" ht="15" hidden="false" customHeight="false" outlineLevel="0" collapsed="false">
      <c r="A707" s="20"/>
      <c r="B707" s="19"/>
      <c r="C707" s="19"/>
      <c r="D707" s="19"/>
      <c r="E707" s="19"/>
      <c r="F707" s="19"/>
      <c r="G707" s="19"/>
    </row>
    <row r="708" customFormat="false" ht="15" hidden="false" customHeight="false" outlineLevel="0" collapsed="false">
      <c r="A708" s="20"/>
      <c r="B708" s="19"/>
      <c r="C708" s="19"/>
      <c r="D708" s="19"/>
      <c r="E708" s="19"/>
      <c r="F708" s="19"/>
      <c r="G708" s="19"/>
    </row>
    <row r="709" customFormat="false" ht="15" hidden="false" customHeight="false" outlineLevel="0" collapsed="false">
      <c r="A709" s="20"/>
      <c r="B709" s="19"/>
      <c r="C709" s="19"/>
      <c r="D709" s="19"/>
      <c r="E709" s="19"/>
      <c r="F709" s="19"/>
      <c r="G709" s="19"/>
    </row>
    <row r="710" customFormat="false" ht="15" hidden="false" customHeight="false" outlineLevel="0" collapsed="false">
      <c r="A710" s="20"/>
      <c r="B710" s="19"/>
      <c r="C710" s="19"/>
      <c r="D710" s="19"/>
      <c r="E710" s="19"/>
      <c r="F710" s="19"/>
      <c r="G710" s="19"/>
    </row>
    <row r="711" customFormat="false" ht="15" hidden="false" customHeight="false" outlineLevel="0" collapsed="false">
      <c r="A711" s="20"/>
      <c r="B711" s="19"/>
      <c r="C711" s="19"/>
      <c r="D711" s="19"/>
      <c r="E711" s="19"/>
      <c r="F711" s="19"/>
      <c r="G711" s="19"/>
    </row>
    <row r="712" customFormat="false" ht="15" hidden="false" customHeight="false" outlineLevel="0" collapsed="false">
      <c r="A712" s="20"/>
      <c r="B712" s="19"/>
      <c r="C712" s="19"/>
      <c r="D712" s="19"/>
      <c r="E712" s="19"/>
      <c r="F712" s="19"/>
      <c r="G712" s="19"/>
    </row>
    <row r="713" customFormat="false" ht="15" hidden="false" customHeight="false" outlineLevel="0" collapsed="false">
      <c r="A713" s="20"/>
      <c r="B713" s="19"/>
      <c r="C713" s="19"/>
      <c r="D713" s="19"/>
      <c r="E713" s="19"/>
      <c r="F713" s="19"/>
      <c r="G713" s="19"/>
    </row>
    <row r="714" customFormat="false" ht="15" hidden="false" customHeight="false" outlineLevel="0" collapsed="false">
      <c r="A714" s="20"/>
      <c r="B714" s="19"/>
      <c r="C714" s="19"/>
      <c r="D714" s="19"/>
      <c r="E714" s="19"/>
      <c r="F714" s="19"/>
      <c r="G714" s="19"/>
    </row>
    <row r="715" customFormat="false" ht="15" hidden="false" customHeight="false" outlineLevel="0" collapsed="false">
      <c r="A715" s="20"/>
      <c r="B715" s="19"/>
      <c r="C715" s="19"/>
      <c r="D715" s="19"/>
      <c r="E715" s="19"/>
      <c r="F715" s="19"/>
      <c r="G715" s="19"/>
    </row>
    <row r="716" customFormat="false" ht="15" hidden="false" customHeight="false" outlineLevel="0" collapsed="false">
      <c r="A716" s="20"/>
      <c r="B716" s="19"/>
      <c r="C716" s="19"/>
      <c r="D716" s="19"/>
      <c r="E716" s="19"/>
      <c r="F716" s="19"/>
      <c r="G716" s="19"/>
    </row>
    <row r="717" customFormat="false" ht="15" hidden="false" customHeight="false" outlineLevel="0" collapsed="false">
      <c r="A717" s="20"/>
      <c r="B717" s="19"/>
      <c r="C717" s="19"/>
      <c r="D717" s="19"/>
      <c r="E717" s="19"/>
      <c r="F717" s="19"/>
      <c r="G717" s="19"/>
    </row>
    <row r="718" customFormat="false" ht="15" hidden="false" customHeight="false" outlineLevel="0" collapsed="false">
      <c r="A718" s="20"/>
      <c r="B718" s="19"/>
      <c r="C718" s="19"/>
      <c r="D718" s="19"/>
      <c r="E718" s="19"/>
      <c r="F718" s="19"/>
      <c r="G718" s="19"/>
    </row>
    <row r="719" customFormat="false" ht="15" hidden="false" customHeight="false" outlineLevel="0" collapsed="false">
      <c r="A719" s="20"/>
      <c r="B719" s="19"/>
      <c r="C719" s="19"/>
      <c r="D719" s="19"/>
      <c r="E719" s="19"/>
      <c r="F719" s="19"/>
      <c r="G719" s="19"/>
    </row>
    <row r="720" customFormat="false" ht="15" hidden="false" customHeight="false" outlineLevel="0" collapsed="false">
      <c r="A720" s="20"/>
      <c r="B720" s="19"/>
      <c r="C720" s="19"/>
      <c r="D720" s="19"/>
      <c r="E720" s="19"/>
      <c r="F720" s="19"/>
      <c r="G720" s="19"/>
    </row>
    <row r="721" customFormat="false" ht="15" hidden="false" customHeight="false" outlineLevel="0" collapsed="false">
      <c r="A721" s="20"/>
      <c r="B721" s="19"/>
      <c r="C721" s="19"/>
      <c r="D721" s="19"/>
      <c r="E721" s="19"/>
      <c r="F721" s="19"/>
      <c r="G721" s="19"/>
    </row>
    <row r="722" customFormat="false" ht="15" hidden="false" customHeight="false" outlineLevel="0" collapsed="false">
      <c r="A722" s="20"/>
      <c r="B722" s="19"/>
      <c r="C722" s="19"/>
      <c r="D722" s="19"/>
      <c r="E722" s="19"/>
      <c r="F722" s="19"/>
      <c r="G722" s="19"/>
    </row>
    <row r="723" customFormat="false" ht="15" hidden="false" customHeight="false" outlineLevel="0" collapsed="false">
      <c r="A723" s="20"/>
      <c r="B723" s="19"/>
      <c r="C723" s="19"/>
      <c r="D723" s="19"/>
      <c r="E723" s="19"/>
      <c r="F723" s="19"/>
      <c r="G723" s="19"/>
    </row>
    <row r="724" customFormat="false" ht="15" hidden="false" customHeight="false" outlineLevel="0" collapsed="false">
      <c r="A724" s="20"/>
      <c r="B724" s="19"/>
      <c r="C724" s="19"/>
      <c r="D724" s="19"/>
      <c r="E724" s="19"/>
      <c r="F724" s="19"/>
      <c r="G724" s="19"/>
    </row>
    <row r="725" customFormat="false" ht="15" hidden="false" customHeight="false" outlineLevel="0" collapsed="false">
      <c r="A725" s="20"/>
      <c r="B725" s="19"/>
      <c r="C725" s="19"/>
      <c r="D725" s="19"/>
      <c r="E725" s="19"/>
      <c r="F725" s="19"/>
      <c r="G725" s="19"/>
    </row>
    <row r="726" customFormat="false" ht="15" hidden="false" customHeight="false" outlineLevel="0" collapsed="false">
      <c r="A726" s="20"/>
      <c r="B726" s="19"/>
      <c r="C726" s="19"/>
      <c r="D726" s="19"/>
      <c r="E726" s="19"/>
      <c r="F726" s="19"/>
      <c r="G726" s="19"/>
    </row>
    <row r="727" customFormat="false" ht="15" hidden="false" customHeight="false" outlineLevel="0" collapsed="false">
      <c r="A727" s="20"/>
      <c r="B727" s="19"/>
      <c r="C727" s="19"/>
      <c r="D727" s="19"/>
      <c r="E727" s="19"/>
      <c r="F727" s="19"/>
      <c r="G727" s="19"/>
    </row>
    <row r="728" customFormat="false" ht="15" hidden="false" customHeight="false" outlineLevel="0" collapsed="false">
      <c r="A728" s="20"/>
      <c r="B728" s="19"/>
      <c r="C728" s="19"/>
      <c r="D728" s="19"/>
      <c r="E728" s="19"/>
      <c r="F728" s="19"/>
      <c r="G728" s="19"/>
    </row>
    <row r="729" customFormat="false" ht="15" hidden="false" customHeight="false" outlineLevel="0" collapsed="false">
      <c r="A729" s="20"/>
      <c r="B729" s="19"/>
      <c r="C729" s="19"/>
      <c r="D729" s="19"/>
      <c r="E729" s="19"/>
      <c r="F729" s="19"/>
      <c r="G729" s="19"/>
    </row>
    <row r="730" customFormat="false" ht="15" hidden="false" customHeight="false" outlineLevel="0" collapsed="false">
      <c r="A730" s="20"/>
      <c r="B730" s="19"/>
      <c r="C730" s="19"/>
      <c r="D730" s="19"/>
      <c r="E730" s="19"/>
      <c r="F730" s="19"/>
      <c r="G730" s="19"/>
    </row>
    <row r="731" customFormat="false" ht="15" hidden="false" customHeight="false" outlineLevel="0" collapsed="false">
      <c r="A731" s="20"/>
      <c r="B731" s="19"/>
      <c r="C731" s="19"/>
      <c r="D731" s="19"/>
      <c r="E731" s="19"/>
      <c r="F731" s="19"/>
      <c r="G731" s="19"/>
    </row>
    <row r="732" customFormat="false" ht="15" hidden="false" customHeight="false" outlineLevel="0" collapsed="false">
      <c r="A732" s="20"/>
      <c r="B732" s="19"/>
      <c r="C732" s="19"/>
      <c r="D732" s="19"/>
      <c r="E732" s="19"/>
      <c r="F732" s="19"/>
      <c r="G732" s="19"/>
    </row>
    <row r="733" customFormat="false" ht="15" hidden="false" customHeight="false" outlineLevel="0" collapsed="false">
      <c r="A733" s="20"/>
      <c r="B733" s="19"/>
      <c r="C733" s="19"/>
      <c r="D733" s="19"/>
      <c r="E733" s="19"/>
      <c r="F733" s="19"/>
      <c r="G733" s="19"/>
    </row>
    <row r="734" customFormat="false" ht="15" hidden="false" customHeight="false" outlineLevel="0" collapsed="false">
      <c r="A734" s="20"/>
      <c r="B734" s="19"/>
      <c r="C734" s="19"/>
      <c r="D734" s="19"/>
      <c r="E734" s="19"/>
      <c r="F734" s="19"/>
      <c r="G734" s="19"/>
    </row>
    <row r="735" customFormat="false" ht="15" hidden="false" customHeight="false" outlineLevel="0" collapsed="false">
      <c r="A735" s="20"/>
      <c r="B735" s="19"/>
      <c r="C735" s="19"/>
      <c r="D735" s="19"/>
      <c r="E735" s="19"/>
      <c r="F735" s="19"/>
      <c r="G735" s="19"/>
    </row>
    <row r="736" customFormat="false" ht="15" hidden="false" customHeight="false" outlineLevel="0" collapsed="false">
      <c r="A736" s="20"/>
      <c r="B736" s="19"/>
      <c r="C736" s="19"/>
      <c r="D736" s="19"/>
      <c r="E736" s="19"/>
      <c r="F736" s="19"/>
      <c r="G736" s="19"/>
    </row>
    <row r="737" customFormat="false" ht="15" hidden="false" customHeight="false" outlineLevel="0" collapsed="false">
      <c r="A737" s="20"/>
      <c r="B737" s="19"/>
      <c r="C737" s="19"/>
      <c r="D737" s="19"/>
      <c r="E737" s="19"/>
      <c r="F737" s="19"/>
      <c r="G737" s="19"/>
    </row>
    <row r="738" customFormat="false" ht="15" hidden="false" customHeight="false" outlineLevel="0" collapsed="false">
      <c r="A738" s="20"/>
      <c r="B738" s="19"/>
      <c r="C738" s="19"/>
      <c r="D738" s="19"/>
      <c r="E738" s="19"/>
      <c r="F738" s="19"/>
      <c r="G738" s="19"/>
    </row>
    <row r="739" customFormat="false" ht="15" hidden="false" customHeight="false" outlineLevel="0" collapsed="false">
      <c r="A739" s="20"/>
      <c r="B739" s="19"/>
      <c r="C739" s="19"/>
      <c r="D739" s="19"/>
      <c r="E739" s="19"/>
      <c r="F739" s="19"/>
      <c r="G739" s="19"/>
    </row>
    <row r="740" customFormat="false" ht="15" hidden="false" customHeight="false" outlineLevel="0" collapsed="false">
      <c r="A740" s="20"/>
      <c r="B740" s="19"/>
      <c r="C740" s="19"/>
      <c r="D740" s="19"/>
      <c r="E740" s="19"/>
      <c r="F740" s="19"/>
      <c r="G740" s="19"/>
    </row>
    <row r="741" customFormat="false" ht="15" hidden="false" customHeight="false" outlineLevel="0" collapsed="false">
      <c r="A741" s="20"/>
      <c r="B741" s="19"/>
      <c r="C741" s="19"/>
      <c r="D741" s="19"/>
      <c r="E741" s="19"/>
      <c r="F741" s="19"/>
      <c r="G741" s="19"/>
    </row>
    <row r="742" customFormat="false" ht="15" hidden="false" customHeight="false" outlineLevel="0" collapsed="false">
      <c r="A742" s="20"/>
      <c r="B742" s="19"/>
      <c r="C742" s="19"/>
      <c r="D742" s="19"/>
      <c r="E742" s="19"/>
      <c r="F742" s="19"/>
      <c r="G742" s="19"/>
    </row>
    <row r="743" customFormat="false" ht="15" hidden="false" customHeight="false" outlineLevel="0" collapsed="false">
      <c r="A743" s="20"/>
      <c r="B743" s="19"/>
      <c r="C743" s="19"/>
      <c r="D743" s="19"/>
      <c r="E743" s="19"/>
      <c r="F743" s="19"/>
      <c r="G743" s="19"/>
    </row>
    <row r="744" customFormat="false" ht="15" hidden="false" customHeight="false" outlineLevel="0" collapsed="false">
      <c r="A744" s="20"/>
      <c r="B744" s="19"/>
      <c r="C744" s="19"/>
      <c r="D744" s="19"/>
      <c r="E744" s="19"/>
      <c r="F744" s="19"/>
      <c r="G744" s="19"/>
    </row>
    <row r="745" customFormat="false" ht="15" hidden="false" customHeight="false" outlineLevel="0" collapsed="false">
      <c r="A745" s="20"/>
      <c r="B745" s="19"/>
      <c r="C745" s="19"/>
      <c r="D745" s="19"/>
      <c r="E745" s="19"/>
      <c r="F745" s="19"/>
      <c r="G745" s="19"/>
    </row>
    <row r="746" customFormat="false" ht="15" hidden="false" customHeight="false" outlineLevel="0" collapsed="false">
      <c r="A746" s="20"/>
      <c r="B746" s="19"/>
      <c r="C746" s="19"/>
      <c r="D746" s="19"/>
      <c r="E746" s="19"/>
      <c r="F746" s="19"/>
      <c r="G746" s="19"/>
    </row>
    <row r="747" customFormat="false" ht="15" hidden="false" customHeight="false" outlineLevel="0" collapsed="false">
      <c r="A747" s="20"/>
      <c r="B747" s="19"/>
      <c r="C747" s="19"/>
      <c r="D747" s="19"/>
      <c r="E747" s="19"/>
      <c r="F747" s="19"/>
      <c r="G747" s="19"/>
    </row>
    <row r="748" customFormat="false" ht="15" hidden="false" customHeight="false" outlineLevel="0" collapsed="false">
      <c r="A748" s="20"/>
      <c r="B748" s="19"/>
      <c r="C748" s="19"/>
      <c r="D748" s="19"/>
      <c r="E748" s="19"/>
      <c r="F748" s="19"/>
      <c r="G748" s="19"/>
    </row>
    <row r="749" customFormat="false" ht="15" hidden="false" customHeight="false" outlineLevel="0" collapsed="false">
      <c r="A749" s="20"/>
      <c r="B749" s="19"/>
      <c r="C749" s="19"/>
      <c r="D749" s="19"/>
      <c r="E749" s="19"/>
      <c r="F749" s="19"/>
      <c r="G749" s="19"/>
    </row>
    <row r="750" customFormat="false" ht="15" hidden="false" customHeight="false" outlineLevel="0" collapsed="false">
      <c r="A750" s="20"/>
      <c r="B750" s="19"/>
      <c r="C750" s="19"/>
      <c r="D750" s="19"/>
      <c r="E750" s="19"/>
      <c r="F750" s="19"/>
      <c r="G750" s="19"/>
    </row>
    <row r="751" customFormat="false" ht="15" hidden="false" customHeight="false" outlineLevel="0" collapsed="false">
      <c r="A751" s="20"/>
      <c r="B751" s="19"/>
      <c r="C751" s="19"/>
      <c r="D751" s="19"/>
      <c r="E751" s="19"/>
      <c r="F751" s="19"/>
      <c r="G751" s="19"/>
    </row>
    <row r="752" customFormat="false" ht="15" hidden="false" customHeight="false" outlineLevel="0" collapsed="false">
      <c r="A752" s="20"/>
      <c r="B752" s="19"/>
      <c r="C752" s="19"/>
      <c r="D752" s="19"/>
      <c r="E752" s="19"/>
      <c r="F752" s="19"/>
      <c r="G752" s="19"/>
    </row>
    <row r="753" customFormat="false" ht="15" hidden="false" customHeight="false" outlineLevel="0" collapsed="false">
      <c r="A753" s="20"/>
      <c r="B753" s="19"/>
      <c r="C753" s="19"/>
      <c r="D753" s="19"/>
      <c r="E753" s="19"/>
      <c r="F753" s="19"/>
      <c r="G753" s="19"/>
    </row>
    <row r="754" customFormat="false" ht="15" hidden="false" customHeight="false" outlineLevel="0" collapsed="false">
      <c r="A754" s="20"/>
      <c r="B754" s="19"/>
      <c r="C754" s="19"/>
      <c r="D754" s="19"/>
      <c r="E754" s="19"/>
      <c r="F754" s="19"/>
      <c r="G754" s="19"/>
    </row>
    <row r="755" customFormat="false" ht="15" hidden="false" customHeight="false" outlineLevel="0" collapsed="false">
      <c r="A755" s="20"/>
      <c r="B755" s="19"/>
      <c r="C755" s="19"/>
      <c r="D755" s="19"/>
      <c r="E755" s="19"/>
      <c r="F755" s="19"/>
      <c r="G755" s="19"/>
    </row>
    <row r="756" customFormat="false" ht="15" hidden="false" customHeight="false" outlineLevel="0" collapsed="false">
      <c r="A756" s="20"/>
      <c r="B756" s="19"/>
      <c r="C756" s="19"/>
      <c r="D756" s="19"/>
      <c r="E756" s="19"/>
      <c r="F756" s="19"/>
      <c r="G756" s="19"/>
    </row>
    <row r="757" customFormat="false" ht="15" hidden="false" customHeight="false" outlineLevel="0" collapsed="false">
      <c r="A757" s="20"/>
      <c r="B757" s="19"/>
      <c r="C757" s="19"/>
      <c r="D757" s="19"/>
      <c r="E757" s="19"/>
      <c r="F757" s="19"/>
      <c r="G757" s="19"/>
    </row>
    <row r="758" customFormat="false" ht="15" hidden="false" customHeight="false" outlineLevel="0" collapsed="false">
      <c r="A758" s="20"/>
      <c r="B758" s="19"/>
      <c r="C758" s="19"/>
      <c r="D758" s="19"/>
      <c r="E758" s="19"/>
      <c r="F758" s="19"/>
      <c r="G758" s="19"/>
    </row>
    <row r="759" customFormat="false" ht="15" hidden="false" customHeight="false" outlineLevel="0" collapsed="false">
      <c r="A759" s="20"/>
      <c r="B759" s="19"/>
      <c r="C759" s="19"/>
      <c r="D759" s="19"/>
      <c r="E759" s="19"/>
      <c r="F759" s="19"/>
      <c r="G759" s="19"/>
    </row>
    <row r="760" customFormat="false" ht="15" hidden="false" customHeight="false" outlineLevel="0" collapsed="false">
      <c r="A760" s="20"/>
      <c r="B760" s="19"/>
      <c r="C760" s="19"/>
      <c r="D760" s="19"/>
      <c r="E760" s="19"/>
      <c r="F760" s="19"/>
      <c r="G760" s="19"/>
    </row>
    <row r="761" customFormat="false" ht="15" hidden="false" customHeight="false" outlineLevel="0" collapsed="false">
      <c r="A761" s="20"/>
      <c r="B761" s="19"/>
      <c r="C761" s="19"/>
      <c r="D761" s="19"/>
      <c r="E761" s="19"/>
      <c r="F761" s="19"/>
      <c r="G761" s="19"/>
    </row>
    <row r="762" customFormat="false" ht="15" hidden="false" customHeight="false" outlineLevel="0" collapsed="false">
      <c r="A762" s="20"/>
      <c r="B762" s="19"/>
      <c r="C762" s="19"/>
      <c r="D762" s="19"/>
      <c r="E762" s="19"/>
      <c r="F762" s="19"/>
      <c r="G762" s="19"/>
    </row>
    <row r="763" customFormat="false" ht="15" hidden="false" customHeight="false" outlineLevel="0" collapsed="false">
      <c r="A763" s="20"/>
      <c r="B763" s="19"/>
      <c r="C763" s="19"/>
      <c r="D763" s="19"/>
      <c r="E763" s="19"/>
      <c r="F763" s="19"/>
      <c r="G763" s="19"/>
    </row>
    <row r="764" customFormat="false" ht="15" hidden="false" customHeight="false" outlineLevel="0" collapsed="false">
      <c r="A764" s="20"/>
      <c r="B764" s="19"/>
      <c r="C764" s="19"/>
      <c r="D764" s="19"/>
      <c r="E764" s="19"/>
      <c r="F764" s="19"/>
      <c r="G764" s="19"/>
    </row>
    <row r="765" customFormat="false" ht="15" hidden="false" customHeight="false" outlineLevel="0" collapsed="false">
      <c r="A765" s="20"/>
      <c r="B765" s="19"/>
      <c r="C765" s="19"/>
      <c r="D765" s="19"/>
      <c r="E765" s="19"/>
      <c r="F765" s="19"/>
      <c r="G765" s="19"/>
    </row>
    <row r="766" customFormat="false" ht="15" hidden="false" customHeight="false" outlineLevel="0" collapsed="false">
      <c r="A766" s="20"/>
      <c r="B766" s="19"/>
      <c r="C766" s="19"/>
      <c r="D766" s="19"/>
      <c r="E766" s="19"/>
      <c r="F766" s="19"/>
      <c r="G766" s="19"/>
    </row>
    <row r="767" customFormat="false" ht="15" hidden="false" customHeight="false" outlineLevel="0" collapsed="false">
      <c r="A767" s="20"/>
      <c r="B767" s="19"/>
      <c r="C767" s="19"/>
      <c r="D767" s="19"/>
      <c r="E767" s="19"/>
      <c r="F767" s="19"/>
      <c r="G767" s="19"/>
    </row>
    <row r="768" customFormat="false" ht="15" hidden="false" customHeight="false" outlineLevel="0" collapsed="false">
      <c r="A768" s="20"/>
      <c r="B768" s="19"/>
      <c r="C768" s="19"/>
      <c r="D768" s="19"/>
      <c r="E768" s="19"/>
      <c r="F768" s="19"/>
      <c r="G768" s="19"/>
    </row>
    <row r="769" customFormat="false" ht="15" hidden="false" customHeight="false" outlineLevel="0" collapsed="false">
      <c r="A769" s="20"/>
      <c r="B769" s="19"/>
      <c r="C769" s="19"/>
      <c r="D769" s="19"/>
      <c r="E769" s="19"/>
      <c r="F769" s="19"/>
      <c r="G769" s="19"/>
    </row>
    <row r="770" customFormat="false" ht="15" hidden="false" customHeight="false" outlineLevel="0" collapsed="false">
      <c r="A770" s="20"/>
      <c r="B770" s="19"/>
      <c r="C770" s="19"/>
      <c r="D770" s="19"/>
      <c r="E770" s="19"/>
      <c r="F770" s="19"/>
      <c r="G770" s="19"/>
    </row>
    <row r="771" customFormat="false" ht="15" hidden="false" customHeight="false" outlineLevel="0" collapsed="false">
      <c r="A771" s="20"/>
      <c r="B771" s="19"/>
      <c r="C771" s="19"/>
      <c r="D771" s="19"/>
      <c r="E771" s="19"/>
      <c r="F771" s="19"/>
      <c r="G771" s="19"/>
    </row>
    <row r="772" customFormat="false" ht="15" hidden="false" customHeight="false" outlineLevel="0" collapsed="false">
      <c r="A772" s="20"/>
      <c r="B772" s="19"/>
      <c r="C772" s="19"/>
      <c r="D772" s="19"/>
      <c r="E772" s="19"/>
      <c r="F772" s="19"/>
      <c r="G772" s="19"/>
    </row>
    <row r="773" customFormat="false" ht="15" hidden="false" customHeight="false" outlineLevel="0" collapsed="false">
      <c r="A773" s="20"/>
      <c r="B773" s="19"/>
      <c r="C773" s="19"/>
      <c r="D773" s="19"/>
      <c r="E773" s="19"/>
      <c r="F773" s="19"/>
      <c r="G773" s="19"/>
    </row>
    <row r="774" customFormat="false" ht="15" hidden="false" customHeight="false" outlineLevel="0" collapsed="false">
      <c r="A774" s="20"/>
      <c r="B774" s="19"/>
      <c r="C774" s="19"/>
      <c r="D774" s="19"/>
      <c r="E774" s="19"/>
      <c r="F774" s="19"/>
      <c r="G774" s="19"/>
    </row>
    <row r="775" customFormat="false" ht="15" hidden="false" customHeight="false" outlineLevel="0" collapsed="false">
      <c r="A775" s="20"/>
      <c r="B775" s="19"/>
      <c r="C775" s="19"/>
      <c r="D775" s="19"/>
      <c r="E775" s="19"/>
      <c r="F775" s="19"/>
      <c r="G775" s="19"/>
    </row>
    <row r="776" customFormat="false" ht="15" hidden="false" customHeight="false" outlineLevel="0" collapsed="false">
      <c r="A776" s="20"/>
      <c r="B776" s="19"/>
      <c r="C776" s="19"/>
      <c r="D776" s="19"/>
      <c r="E776" s="19"/>
      <c r="F776" s="19"/>
      <c r="G776" s="19"/>
    </row>
    <row r="777" customFormat="false" ht="15" hidden="false" customHeight="false" outlineLevel="0" collapsed="false">
      <c r="A777" s="20"/>
      <c r="B777" s="19"/>
      <c r="C777" s="19"/>
      <c r="D777" s="19"/>
      <c r="E777" s="19"/>
      <c r="F777" s="19"/>
      <c r="G777" s="19"/>
    </row>
    <row r="778" customFormat="false" ht="15" hidden="false" customHeight="false" outlineLevel="0" collapsed="false">
      <c r="A778" s="20"/>
      <c r="B778" s="19"/>
      <c r="C778" s="19"/>
      <c r="D778" s="19"/>
      <c r="E778" s="19"/>
      <c r="F778" s="19"/>
      <c r="G778" s="19"/>
    </row>
    <row r="779" customFormat="false" ht="15" hidden="false" customHeight="false" outlineLevel="0" collapsed="false">
      <c r="A779" s="20"/>
      <c r="B779" s="19"/>
      <c r="C779" s="19"/>
      <c r="D779" s="19"/>
      <c r="E779" s="19"/>
      <c r="F779" s="19"/>
      <c r="G779" s="19"/>
    </row>
    <row r="780" customFormat="false" ht="15" hidden="false" customHeight="false" outlineLevel="0" collapsed="false">
      <c r="A780" s="20"/>
      <c r="B780" s="19"/>
      <c r="C780" s="19"/>
      <c r="D780" s="19"/>
      <c r="E780" s="19"/>
      <c r="F780" s="19"/>
      <c r="G780" s="19"/>
    </row>
    <row r="781" customFormat="false" ht="15" hidden="false" customHeight="false" outlineLevel="0" collapsed="false">
      <c r="A781" s="20"/>
      <c r="B781" s="19"/>
      <c r="C781" s="19"/>
      <c r="D781" s="19"/>
      <c r="E781" s="19"/>
      <c r="F781" s="19"/>
      <c r="G781" s="19"/>
    </row>
    <row r="782" customFormat="false" ht="15" hidden="false" customHeight="false" outlineLevel="0" collapsed="false">
      <c r="A782" s="20"/>
      <c r="B782" s="19"/>
      <c r="C782" s="19"/>
      <c r="D782" s="19"/>
      <c r="E782" s="19"/>
      <c r="F782" s="19"/>
      <c r="G782" s="19"/>
    </row>
    <row r="783" customFormat="false" ht="15" hidden="false" customHeight="false" outlineLevel="0" collapsed="false">
      <c r="A783" s="20"/>
      <c r="B783" s="19"/>
      <c r="C783" s="19"/>
      <c r="D783" s="19"/>
      <c r="E783" s="19"/>
      <c r="F783" s="19"/>
      <c r="G783" s="19"/>
    </row>
    <row r="784" customFormat="false" ht="15" hidden="false" customHeight="false" outlineLevel="0" collapsed="false">
      <c r="A784" s="20"/>
      <c r="B784" s="19"/>
      <c r="C784" s="19"/>
      <c r="D784" s="19"/>
      <c r="E784" s="19"/>
      <c r="F784" s="19"/>
      <c r="G784" s="19"/>
    </row>
    <row r="785" customFormat="false" ht="15" hidden="false" customHeight="false" outlineLevel="0" collapsed="false">
      <c r="A785" s="20"/>
      <c r="B785" s="19"/>
      <c r="C785" s="19"/>
      <c r="D785" s="19"/>
      <c r="E785" s="19"/>
      <c r="F785" s="19"/>
      <c r="G785" s="19"/>
    </row>
    <row r="786" customFormat="false" ht="15" hidden="false" customHeight="false" outlineLevel="0" collapsed="false">
      <c r="A786" s="20"/>
      <c r="B786" s="19"/>
      <c r="C786" s="19"/>
      <c r="D786" s="19"/>
      <c r="E786" s="19"/>
      <c r="F786" s="19"/>
      <c r="G786" s="19"/>
    </row>
    <row r="787" customFormat="false" ht="15" hidden="false" customHeight="false" outlineLevel="0" collapsed="false">
      <c r="A787" s="20"/>
      <c r="B787" s="19"/>
      <c r="C787" s="19"/>
      <c r="D787" s="19"/>
      <c r="E787" s="19"/>
      <c r="F787" s="19"/>
      <c r="G787" s="19"/>
    </row>
    <row r="788" customFormat="false" ht="15" hidden="false" customHeight="false" outlineLevel="0" collapsed="false">
      <c r="A788" s="20"/>
      <c r="B788" s="19"/>
      <c r="C788" s="19"/>
      <c r="D788" s="19"/>
      <c r="E788" s="19"/>
      <c r="F788" s="19"/>
      <c r="G788" s="19"/>
    </row>
    <row r="789" customFormat="false" ht="15" hidden="false" customHeight="false" outlineLevel="0" collapsed="false">
      <c r="A789" s="20"/>
      <c r="B789" s="19"/>
      <c r="C789" s="19"/>
      <c r="D789" s="19"/>
      <c r="E789" s="19"/>
      <c r="F789" s="19"/>
      <c r="G789" s="19"/>
    </row>
    <row r="790" customFormat="false" ht="15" hidden="false" customHeight="false" outlineLevel="0" collapsed="false">
      <c r="A790" s="20"/>
      <c r="B790" s="19"/>
      <c r="C790" s="19"/>
      <c r="D790" s="19"/>
      <c r="E790" s="19"/>
      <c r="F790" s="19"/>
      <c r="G790" s="19"/>
    </row>
    <row r="791" customFormat="false" ht="15" hidden="false" customHeight="false" outlineLevel="0" collapsed="false">
      <c r="A791" s="20"/>
      <c r="B791" s="19"/>
      <c r="C791" s="19"/>
      <c r="D791" s="19"/>
      <c r="E791" s="19"/>
      <c r="F791" s="19"/>
      <c r="G791" s="19"/>
    </row>
    <row r="792" customFormat="false" ht="15" hidden="false" customHeight="false" outlineLevel="0" collapsed="false">
      <c r="A792" s="20"/>
      <c r="B792" s="19"/>
      <c r="C792" s="19"/>
      <c r="D792" s="19"/>
      <c r="E792" s="19"/>
      <c r="F792" s="19"/>
      <c r="G792" s="19"/>
    </row>
    <row r="793" customFormat="false" ht="15" hidden="false" customHeight="false" outlineLevel="0" collapsed="false">
      <c r="A793" s="20"/>
      <c r="B793" s="19"/>
      <c r="C793" s="19"/>
      <c r="D793" s="19"/>
      <c r="E793" s="19"/>
      <c r="F793" s="19"/>
      <c r="G793" s="19"/>
    </row>
    <row r="794" customFormat="false" ht="15" hidden="false" customHeight="false" outlineLevel="0" collapsed="false">
      <c r="A794" s="20"/>
      <c r="B794" s="19"/>
      <c r="C794" s="19"/>
      <c r="D794" s="19"/>
      <c r="E794" s="19"/>
      <c r="F794" s="19"/>
      <c r="G794" s="19"/>
    </row>
    <row r="795" customFormat="false" ht="15" hidden="false" customHeight="false" outlineLevel="0" collapsed="false">
      <c r="A795" s="20"/>
      <c r="B795" s="19"/>
      <c r="C795" s="19"/>
      <c r="D795" s="19"/>
      <c r="E795" s="19"/>
      <c r="F795" s="19"/>
      <c r="G795" s="19"/>
    </row>
    <row r="796" customFormat="false" ht="15" hidden="false" customHeight="false" outlineLevel="0" collapsed="false">
      <c r="A796" s="20"/>
      <c r="B796" s="19"/>
      <c r="C796" s="19"/>
      <c r="D796" s="19"/>
      <c r="E796" s="19"/>
      <c r="F796" s="19"/>
      <c r="G796" s="19"/>
    </row>
    <row r="797" customFormat="false" ht="15" hidden="false" customHeight="false" outlineLevel="0" collapsed="false">
      <c r="A797" s="20"/>
      <c r="B797" s="19"/>
      <c r="C797" s="19"/>
      <c r="D797" s="19"/>
      <c r="E797" s="19"/>
      <c r="F797" s="19"/>
      <c r="G797" s="19"/>
    </row>
    <row r="798" customFormat="false" ht="15" hidden="false" customHeight="false" outlineLevel="0" collapsed="false">
      <c r="A798" s="20"/>
      <c r="B798" s="19"/>
      <c r="C798" s="19"/>
      <c r="D798" s="19"/>
      <c r="E798" s="19"/>
      <c r="F798" s="19"/>
      <c r="G798" s="19"/>
    </row>
    <row r="799" customFormat="false" ht="15" hidden="false" customHeight="false" outlineLevel="0" collapsed="false">
      <c r="A799" s="20"/>
      <c r="B799" s="19"/>
      <c r="C799" s="19"/>
      <c r="D799" s="19"/>
      <c r="E799" s="19"/>
      <c r="F799" s="19"/>
      <c r="G799" s="19"/>
    </row>
    <row r="800" customFormat="false" ht="15" hidden="false" customHeight="false" outlineLevel="0" collapsed="false">
      <c r="A800" s="20"/>
      <c r="B800" s="19"/>
      <c r="C800" s="19"/>
      <c r="D800" s="19"/>
      <c r="E800" s="19"/>
      <c r="F800" s="19"/>
      <c r="G800" s="19"/>
    </row>
    <row r="801" customFormat="false" ht="15" hidden="false" customHeight="false" outlineLevel="0" collapsed="false">
      <c r="A801" s="20"/>
      <c r="B801" s="19"/>
      <c r="C801" s="19"/>
      <c r="D801" s="19"/>
      <c r="E801" s="19"/>
      <c r="F801" s="19"/>
      <c r="G801" s="19"/>
    </row>
    <row r="802" customFormat="false" ht="15" hidden="false" customHeight="false" outlineLevel="0" collapsed="false">
      <c r="A802" s="20"/>
      <c r="B802" s="19"/>
      <c r="C802" s="19"/>
      <c r="D802" s="19"/>
      <c r="E802" s="19"/>
      <c r="F802" s="19"/>
      <c r="G802" s="19"/>
    </row>
    <row r="803" customFormat="false" ht="15" hidden="false" customHeight="false" outlineLevel="0" collapsed="false">
      <c r="A803" s="20"/>
      <c r="B803" s="19"/>
      <c r="C803" s="19"/>
      <c r="D803" s="19"/>
      <c r="E803" s="19"/>
      <c r="F803" s="19"/>
      <c r="G803" s="19"/>
    </row>
    <row r="804" customFormat="false" ht="15" hidden="false" customHeight="false" outlineLevel="0" collapsed="false">
      <c r="A804" s="20"/>
      <c r="B804" s="19"/>
      <c r="C804" s="19"/>
      <c r="D804" s="19"/>
      <c r="E804" s="19"/>
      <c r="F804" s="19"/>
      <c r="G804" s="19"/>
    </row>
    <row r="805" customFormat="false" ht="15" hidden="false" customHeight="false" outlineLevel="0" collapsed="false">
      <c r="A805" s="20"/>
      <c r="B805" s="19"/>
      <c r="C805" s="19"/>
      <c r="D805" s="19"/>
      <c r="E805" s="19"/>
      <c r="F805" s="19"/>
      <c r="G805" s="19"/>
    </row>
    <row r="806" customFormat="false" ht="15" hidden="false" customHeight="false" outlineLevel="0" collapsed="false">
      <c r="A806" s="20"/>
      <c r="B806" s="19"/>
      <c r="C806" s="19"/>
      <c r="D806" s="19"/>
      <c r="E806" s="19"/>
      <c r="F806" s="19"/>
      <c r="G806" s="19"/>
    </row>
    <row r="807" customFormat="false" ht="15" hidden="false" customHeight="false" outlineLevel="0" collapsed="false">
      <c r="A807" s="20"/>
      <c r="B807" s="19"/>
      <c r="C807" s="19"/>
      <c r="D807" s="19"/>
      <c r="E807" s="19"/>
      <c r="F807" s="19"/>
      <c r="G807" s="19"/>
    </row>
    <row r="808" customFormat="false" ht="15" hidden="false" customHeight="false" outlineLevel="0" collapsed="false">
      <c r="A808" s="20"/>
      <c r="B808" s="19"/>
      <c r="C808" s="19"/>
      <c r="D808" s="19"/>
      <c r="E808" s="19"/>
      <c r="F808" s="19"/>
      <c r="G808" s="19"/>
    </row>
    <row r="809" customFormat="false" ht="15" hidden="false" customHeight="false" outlineLevel="0" collapsed="false">
      <c r="A809" s="20"/>
      <c r="B809" s="19"/>
      <c r="C809" s="19"/>
      <c r="D809" s="19"/>
      <c r="E809" s="19"/>
      <c r="F809" s="19"/>
      <c r="G809" s="19"/>
    </row>
    <row r="810" customFormat="false" ht="15" hidden="false" customHeight="false" outlineLevel="0" collapsed="false">
      <c r="A810" s="20"/>
      <c r="B810" s="19"/>
      <c r="C810" s="19"/>
      <c r="D810" s="19"/>
      <c r="E810" s="19"/>
      <c r="F810" s="19"/>
      <c r="G810" s="19"/>
    </row>
    <row r="811" customFormat="false" ht="15" hidden="false" customHeight="false" outlineLevel="0" collapsed="false">
      <c r="A811" s="20"/>
      <c r="B811" s="19"/>
      <c r="C811" s="19"/>
      <c r="D811" s="19"/>
      <c r="E811" s="19"/>
      <c r="F811" s="19"/>
      <c r="G811" s="19"/>
    </row>
    <row r="812" customFormat="false" ht="15" hidden="false" customHeight="false" outlineLevel="0" collapsed="false">
      <c r="A812" s="20"/>
      <c r="B812" s="19"/>
      <c r="C812" s="19"/>
      <c r="D812" s="19"/>
      <c r="E812" s="19"/>
      <c r="F812" s="19"/>
      <c r="G812" s="19"/>
    </row>
    <row r="813" customFormat="false" ht="15" hidden="false" customHeight="false" outlineLevel="0" collapsed="false">
      <c r="A813" s="20"/>
      <c r="B813" s="19"/>
      <c r="C813" s="19"/>
      <c r="D813" s="19"/>
      <c r="E813" s="19"/>
      <c r="F813" s="19"/>
      <c r="G813" s="19"/>
    </row>
    <row r="814" customFormat="false" ht="15" hidden="false" customHeight="false" outlineLevel="0" collapsed="false">
      <c r="A814" s="20"/>
      <c r="B814" s="19"/>
      <c r="C814" s="19"/>
      <c r="D814" s="19"/>
      <c r="E814" s="19"/>
      <c r="F814" s="19"/>
      <c r="G814" s="19"/>
    </row>
    <row r="815" customFormat="false" ht="15" hidden="false" customHeight="false" outlineLevel="0" collapsed="false">
      <c r="A815" s="20"/>
      <c r="B815" s="19"/>
      <c r="C815" s="19"/>
      <c r="D815" s="19"/>
      <c r="E815" s="19"/>
      <c r="F815" s="19"/>
      <c r="G815" s="19"/>
    </row>
    <row r="816" customFormat="false" ht="15" hidden="false" customHeight="false" outlineLevel="0" collapsed="false">
      <c r="A816" s="20"/>
      <c r="B816" s="19"/>
      <c r="C816" s="19"/>
      <c r="D816" s="19"/>
      <c r="E816" s="19"/>
      <c r="F816" s="19"/>
      <c r="G816" s="19"/>
    </row>
    <row r="817" customFormat="false" ht="15" hidden="false" customHeight="false" outlineLevel="0" collapsed="false">
      <c r="A817" s="20"/>
      <c r="B817" s="19"/>
      <c r="C817" s="19"/>
      <c r="D817" s="19"/>
      <c r="E817" s="19"/>
      <c r="F817" s="19"/>
      <c r="G817" s="19"/>
    </row>
    <row r="818" customFormat="false" ht="15" hidden="false" customHeight="false" outlineLevel="0" collapsed="false">
      <c r="A818" s="20"/>
      <c r="B818" s="19"/>
      <c r="C818" s="19"/>
      <c r="D818" s="19"/>
      <c r="E818" s="19"/>
      <c r="F818" s="19"/>
      <c r="G818" s="19"/>
    </row>
    <row r="819" customFormat="false" ht="15" hidden="false" customHeight="false" outlineLevel="0" collapsed="false">
      <c r="A819" s="20"/>
      <c r="B819" s="19"/>
      <c r="C819" s="19"/>
      <c r="D819" s="19"/>
      <c r="E819" s="19"/>
      <c r="F819" s="19"/>
      <c r="G819" s="19"/>
    </row>
    <row r="820" customFormat="false" ht="15" hidden="false" customHeight="false" outlineLevel="0" collapsed="false">
      <c r="A820" s="20"/>
      <c r="B820" s="19"/>
      <c r="C820" s="19"/>
      <c r="D820" s="19"/>
      <c r="E820" s="19"/>
      <c r="F820" s="19"/>
      <c r="G820" s="19"/>
    </row>
    <row r="821" customFormat="false" ht="15" hidden="false" customHeight="false" outlineLevel="0" collapsed="false">
      <c r="A821" s="20"/>
      <c r="B821" s="19"/>
      <c r="C821" s="19"/>
      <c r="D821" s="19"/>
      <c r="E821" s="19"/>
      <c r="F821" s="19"/>
      <c r="G821" s="19"/>
    </row>
    <row r="822" customFormat="false" ht="15" hidden="false" customHeight="false" outlineLevel="0" collapsed="false">
      <c r="A822" s="20"/>
      <c r="B822" s="19"/>
      <c r="C822" s="19"/>
      <c r="D822" s="19"/>
      <c r="E822" s="19"/>
      <c r="F822" s="19"/>
      <c r="G822" s="19"/>
    </row>
    <row r="823" customFormat="false" ht="15" hidden="false" customHeight="false" outlineLevel="0" collapsed="false">
      <c r="A823" s="20"/>
      <c r="B823" s="19"/>
      <c r="C823" s="19"/>
      <c r="D823" s="19"/>
      <c r="E823" s="19"/>
      <c r="F823" s="19"/>
      <c r="G823" s="19"/>
    </row>
    <row r="824" customFormat="false" ht="15" hidden="false" customHeight="false" outlineLevel="0" collapsed="false">
      <c r="A824" s="20"/>
      <c r="B824" s="19"/>
      <c r="C824" s="19"/>
      <c r="D824" s="19"/>
      <c r="E824" s="19"/>
      <c r="F824" s="19"/>
      <c r="G824" s="19"/>
    </row>
    <row r="825" customFormat="false" ht="15" hidden="false" customHeight="false" outlineLevel="0" collapsed="false">
      <c r="A825" s="20"/>
      <c r="B825" s="19"/>
      <c r="C825" s="19"/>
      <c r="D825" s="19"/>
      <c r="E825" s="19"/>
      <c r="F825" s="19"/>
      <c r="G825" s="19"/>
    </row>
    <row r="826" customFormat="false" ht="15" hidden="false" customHeight="false" outlineLevel="0" collapsed="false">
      <c r="A826" s="20"/>
      <c r="B826" s="19"/>
      <c r="C826" s="19"/>
      <c r="D826" s="19"/>
      <c r="E826" s="19"/>
      <c r="F826" s="19"/>
      <c r="G826" s="19"/>
    </row>
    <row r="827" customFormat="false" ht="15" hidden="false" customHeight="false" outlineLevel="0" collapsed="false">
      <c r="A827" s="20"/>
      <c r="B827" s="19"/>
      <c r="C827" s="19"/>
      <c r="D827" s="19"/>
      <c r="E827" s="19"/>
      <c r="F827" s="19"/>
      <c r="G827" s="19"/>
    </row>
    <row r="828" customFormat="false" ht="15" hidden="false" customHeight="false" outlineLevel="0" collapsed="false">
      <c r="A828" s="20"/>
      <c r="B828" s="19"/>
      <c r="C828" s="19"/>
      <c r="D828" s="19"/>
      <c r="E828" s="19"/>
      <c r="F828" s="19"/>
      <c r="G828" s="19"/>
    </row>
    <row r="829" customFormat="false" ht="15" hidden="false" customHeight="false" outlineLevel="0" collapsed="false">
      <c r="A829" s="20"/>
      <c r="B829" s="19"/>
      <c r="C829" s="19"/>
      <c r="D829" s="19"/>
      <c r="E829" s="19"/>
      <c r="F829" s="19"/>
      <c r="G829" s="19"/>
    </row>
    <row r="830" customFormat="false" ht="15" hidden="false" customHeight="false" outlineLevel="0" collapsed="false">
      <c r="A830" s="20"/>
      <c r="B830" s="19"/>
      <c r="C830" s="19"/>
      <c r="D830" s="19"/>
      <c r="E830" s="19"/>
      <c r="F830" s="19"/>
      <c r="G830" s="19"/>
    </row>
    <row r="831" customFormat="false" ht="15" hidden="false" customHeight="false" outlineLevel="0" collapsed="false">
      <c r="A831" s="20"/>
      <c r="B831" s="19"/>
      <c r="C831" s="19"/>
      <c r="D831" s="19"/>
      <c r="E831" s="19"/>
      <c r="F831" s="19"/>
      <c r="G831" s="19"/>
    </row>
    <row r="832" customFormat="false" ht="15" hidden="false" customHeight="false" outlineLevel="0" collapsed="false">
      <c r="A832" s="20"/>
      <c r="B832" s="19"/>
      <c r="C832" s="19"/>
      <c r="D832" s="19"/>
      <c r="E832" s="19"/>
      <c r="F832" s="19"/>
      <c r="G832" s="19"/>
    </row>
    <row r="833" customFormat="false" ht="15" hidden="false" customHeight="false" outlineLevel="0" collapsed="false">
      <c r="A833" s="20"/>
      <c r="B833" s="19"/>
      <c r="C833" s="19"/>
      <c r="D833" s="19"/>
      <c r="E833" s="19"/>
      <c r="F833" s="19"/>
      <c r="G833" s="19"/>
    </row>
    <row r="834" customFormat="false" ht="15" hidden="false" customHeight="false" outlineLevel="0" collapsed="false">
      <c r="A834" s="20"/>
      <c r="B834" s="19"/>
      <c r="C834" s="19"/>
      <c r="D834" s="19"/>
      <c r="E834" s="19"/>
      <c r="F834" s="19"/>
      <c r="G834" s="19"/>
    </row>
    <row r="835" customFormat="false" ht="15" hidden="false" customHeight="false" outlineLevel="0" collapsed="false">
      <c r="A835" s="20"/>
      <c r="B835" s="19"/>
      <c r="C835" s="19"/>
      <c r="D835" s="19"/>
      <c r="E835" s="19"/>
      <c r="F835" s="19"/>
      <c r="G835" s="19"/>
    </row>
    <row r="836" customFormat="false" ht="15" hidden="false" customHeight="false" outlineLevel="0" collapsed="false">
      <c r="A836" s="20"/>
      <c r="B836" s="19"/>
      <c r="C836" s="19"/>
      <c r="D836" s="19"/>
      <c r="E836" s="19"/>
      <c r="F836" s="19"/>
      <c r="G836" s="19"/>
    </row>
    <row r="837" customFormat="false" ht="15" hidden="false" customHeight="false" outlineLevel="0" collapsed="false">
      <c r="A837" s="20"/>
      <c r="B837" s="19"/>
      <c r="C837" s="19"/>
      <c r="D837" s="19"/>
      <c r="E837" s="19"/>
      <c r="F837" s="19"/>
      <c r="G837" s="19"/>
    </row>
    <row r="838" customFormat="false" ht="15" hidden="false" customHeight="false" outlineLevel="0" collapsed="false">
      <c r="A838" s="20"/>
      <c r="B838" s="19"/>
      <c r="C838" s="19"/>
      <c r="D838" s="19"/>
      <c r="E838" s="19"/>
      <c r="F838" s="19"/>
      <c r="G838" s="19"/>
    </row>
    <row r="839" customFormat="false" ht="15" hidden="false" customHeight="false" outlineLevel="0" collapsed="false">
      <c r="A839" s="20"/>
      <c r="B839" s="19"/>
      <c r="C839" s="19"/>
      <c r="D839" s="19"/>
      <c r="E839" s="19"/>
      <c r="F839" s="19"/>
      <c r="G839" s="19"/>
    </row>
    <row r="840" customFormat="false" ht="15" hidden="false" customHeight="false" outlineLevel="0" collapsed="false">
      <c r="A840" s="20"/>
      <c r="B840" s="19"/>
      <c r="C840" s="19"/>
      <c r="D840" s="19"/>
      <c r="E840" s="19"/>
      <c r="F840" s="19"/>
      <c r="G840" s="19"/>
    </row>
    <row r="841" customFormat="false" ht="15" hidden="false" customHeight="false" outlineLevel="0" collapsed="false">
      <c r="A841" s="20"/>
      <c r="B841" s="19"/>
      <c r="C841" s="19"/>
      <c r="D841" s="19"/>
      <c r="E841" s="19"/>
      <c r="F841" s="19"/>
      <c r="G841" s="19"/>
    </row>
    <row r="842" customFormat="false" ht="15" hidden="false" customHeight="false" outlineLevel="0" collapsed="false">
      <c r="A842" s="20"/>
      <c r="B842" s="19"/>
      <c r="C842" s="19"/>
      <c r="D842" s="19"/>
      <c r="E842" s="19"/>
      <c r="F842" s="19"/>
      <c r="G842" s="19"/>
    </row>
    <row r="843" customFormat="false" ht="15" hidden="false" customHeight="false" outlineLevel="0" collapsed="false">
      <c r="A843" s="20"/>
      <c r="B843" s="19"/>
      <c r="C843" s="19"/>
      <c r="D843" s="19"/>
      <c r="E843" s="19"/>
      <c r="F843" s="19"/>
      <c r="G843" s="19"/>
    </row>
    <row r="844" customFormat="false" ht="15" hidden="false" customHeight="false" outlineLevel="0" collapsed="false">
      <c r="A844" s="20"/>
      <c r="B844" s="19"/>
      <c r="C844" s="19"/>
      <c r="D844" s="19"/>
      <c r="E844" s="19"/>
      <c r="F844" s="19"/>
      <c r="G844" s="19"/>
    </row>
    <row r="845" customFormat="false" ht="15" hidden="false" customHeight="false" outlineLevel="0" collapsed="false">
      <c r="A845" s="20"/>
      <c r="B845" s="19"/>
      <c r="C845" s="19"/>
      <c r="D845" s="19"/>
      <c r="E845" s="19"/>
      <c r="F845" s="19"/>
      <c r="G845" s="19"/>
    </row>
    <row r="846" customFormat="false" ht="15" hidden="false" customHeight="false" outlineLevel="0" collapsed="false">
      <c r="A846" s="20"/>
      <c r="B846" s="19"/>
      <c r="C846" s="19"/>
      <c r="D846" s="19"/>
      <c r="E846" s="19"/>
      <c r="F846" s="19"/>
      <c r="G846" s="19"/>
    </row>
    <row r="847" customFormat="false" ht="15" hidden="false" customHeight="false" outlineLevel="0" collapsed="false">
      <c r="A847" s="20"/>
      <c r="B847" s="19"/>
      <c r="C847" s="19"/>
      <c r="D847" s="19"/>
      <c r="E847" s="19"/>
      <c r="F847" s="19"/>
      <c r="G847" s="19"/>
    </row>
    <row r="848" customFormat="false" ht="15" hidden="false" customHeight="false" outlineLevel="0" collapsed="false">
      <c r="A848" s="20"/>
      <c r="B848" s="19"/>
      <c r="C848" s="19"/>
      <c r="D848" s="19"/>
      <c r="E848" s="19"/>
      <c r="F848" s="19"/>
      <c r="G848" s="19"/>
    </row>
    <row r="849" customFormat="false" ht="15" hidden="false" customHeight="false" outlineLevel="0" collapsed="false">
      <c r="A849" s="20"/>
      <c r="B849" s="19"/>
      <c r="C849" s="19"/>
      <c r="D849" s="19"/>
      <c r="E849" s="19"/>
      <c r="F849" s="19"/>
      <c r="G849" s="19"/>
    </row>
    <row r="850" customFormat="false" ht="15" hidden="false" customHeight="false" outlineLevel="0" collapsed="false">
      <c r="A850" s="20"/>
      <c r="B850" s="19"/>
      <c r="C850" s="19"/>
      <c r="D850" s="19"/>
      <c r="E850" s="19"/>
      <c r="F850" s="19"/>
      <c r="G850" s="19"/>
    </row>
    <row r="851" customFormat="false" ht="15" hidden="false" customHeight="false" outlineLevel="0" collapsed="false">
      <c r="A851" s="20"/>
      <c r="B851" s="19"/>
      <c r="C851" s="19"/>
      <c r="D851" s="19"/>
      <c r="E851" s="19"/>
      <c r="F851" s="19"/>
      <c r="G851" s="19"/>
    </row>
    <row r="852" customFormat="false" ht="15" hidden="false" customHeight="false" outlineLevel="0" collapsed="false">
      <c r="A852" s="20"/>
      <c r="B852" s="19"/>
      <c r="C852" s="19"/>
      <c r="D852" s="19"/>
      <c r="E852" s="19"/>
      <c r="F852" s="19"/>
      <c r="G852" s="19"/>
    </row>
    <row r="853" customFormat="false" ht="15" hidden="false" customHeight="false" outlineLevel="0" collapsed="false">
      <c r="A853" s="20"/>
      <c r="B853" s="19"/>
      <c r="C853" s="19"/>
      <c r="D853" s="19"/>
      <c r="E853" s="19"/>
      <c r="F853" s="19"/>
      <c r="G853" s="19"/>
    </row>
    <row r="854" customFormat="false" ht="15" hidden="false" customHeight="false" outlineLevel="0" collapsed="false">
      <c r="A854" s="20"/>
      <c r="B854" s="19"/>
      <c r="C854" s="19"/>
      <c r="D854" s="19"/>
      <c r="E854" s="19"/>
      <c r="F854" s="19"/>
      <c r="G854" s="19"/>
    </row>
    <row r="855" customFormat="false" ht="15" hidden="false" customHeight="false" outlineLevel="0" collapsed="false">
      <c r="A855" s="20"/>
      <c r="B855" s="19"/>
      <c r="C855" s="19"/>
      <c r="D855" s="19"/>
      <c r="E855" s="19"/>
      <c r="F855" s="19"/>
      <c r="G855" s="19"/>
    </row>
    <row r="856" customFormat="false" ht="15" hidden="false" customHeight="false" outlineLevel="0" collapsed="false">
      <c r="A856" s="20"/>
      <c r="B856" s="19"/>
      <c r="C856" s="19"/>
      <c r="D856" s="19"/>
      <c r="E856" s="19"/>
      <c r="F856" s="19"/>
      <c r="G856" s="19"/>
    </row>
    <row r="857" customFormat="false" ht="15" hidden="false" customHeight="false" outlineLevel="0" collapsed="false">
      <c r="A857" s="20"/>
      <c r="B857" s="19"/>
      <c r="C857" s="19"/>
      <c r="D857" s="19"/>
      <c r="E857" s="19"/>
      <c r="F857" s="19"/>
      <c r="G857" s="19"/>
    </row>
    <row r="858" customFormat="false" ht="15" hidden="false" customHeight="false" outlineLevel="0" collapsed="false">
      <c r="A858" s="20"/>
      <c r="B858" s="19"/>
      <c r="C858" s="19"/>
      <c r="D858" s="19"/>
      <c r="E858" s="19"/>
      <c r="F858" s="19"/>
      <c r="G858" s="19"/>
    </row>
    <row r="859" customFormat="false" ht="15" hidden="false" customHeight="false" outlineLevel="0" collapsed="false">
      <c r="A859" s="20"/>
      <c r="B859" s="19"/>
      <c r="C859" s="19"/>
      <c r="D859" s="19"/>
      <c r="E859" s="19"/>
      <c r="F859" s="19"/>
      <c r="G859" s="19"/>
    </row>
    <row r="860" customFormat="false" ht="15" hidden="false" customHeight="false" outlineLevel="0" collapsed="false">
      <c r="A860" s="20"/>
      <c r="B860" s="19"/>
      <c r="C860" s="19"/>
      <c r="D860" s="19"/>
      <c r="E860" s="19"/>
      <c r="F860" s="19"/>
      <c r="G860" s="19"/>
    </row>
    <row r="861" customFormat="false" ht="15" hidden="false" customHeight="false" outlineLevel="0" collapsed="false">
      <c r="A861" s="20"/>
      <c r="B861" s="19"/>
      <c r="C861" s="19"/>
      <c r="D861" s="19"/>
      <c r="E861" s="19"/>
      <c r="F861" s="19"/>
      <c r="G861" s="19"/>
    </row>
    <row r="862" customFormat="false" ht="15" hidden="false" customHeight="false" outlineLevel="0" collapsed="false">
      <c r="A862" s="20"/>
      <c r="B862" s="19"/>
      <c r="C862" s="19"/>
      <c r="D862" s="19"/>
      <c r="E862" s="19"/>
      <c r="F862" s="19"/>
      <c r="G862" s="19"/>
    </row>
    <row r="863" customFormat="false" ht="15" hidden="false" customHeight="false" outlineLevel="0" collapsed="false">
      <c r="A863" s="20"/>
      <c r="B863" s="19"/>
      <c r="C863" s="19"/>
      <c r="D863" s="19"/>
      <c r="E863" s="19"/>
      <c r="F863" s="19"/>
      <c r="G863" s="19"/>
    </row>
    <row r="864" customFormat="false" ht="15" hidden="false" customHeight="false" outlineLevel="0" collapsed="false">
      <c r="A864" s="20"/>
      <c r="B864" s="19"/>
      <c r="C864" s="19"/>
      <c r="D864" s="19"/>
      <c r="E864" s="19"/>
      <c r="F864" s="19"/>
      <c r="G864" s="19"/>
    </row>
    <row r="865" customFormat="false" ht="15" hidden="false" customHeight="false" outlineLevel="0" collapsed="false">
      <c r="A865" s="20"/>
      <c r="B865" s="19"/>
      <c r="C865" s="19"/>
      <c r="D865" s="19"/>
      <c r="E865" s="19"/>
      <c r="F865" s="19"/>
      <c r="G865" s="19"/>
    </row>
    <row r="866" customFormat="false" ht="15" hidden="false" customHeight="false" outlineLevel="0" collapsed="false">
      <c r="A866" s="20"/>
      <c r="B866" s="19"/>
      <c r="C866" s="19"/>
      <c r="D866" s="19"/>
      <c r="E866" s="19"/>
      <c r="F866" s="19"/>
      <c r="G866" s="19"/>
    </row>
    <row r="867" customFormat="false" ht="15" hidden="false" customHeight="false" outlineLevel="0" collapsed="false">
      <c r="A867" s="20"/>
      <c r="B867" s="19"/>
      <c r="C867" s="19"/>
      <c r="D867" s="19"/>
      <c r="E867" s="19"/>
      <c r="F867" s="19"/>
      <c r="G867" s="19"/>
    </row>
    <row r="868" customFormat="false" ht="15" hidden="false" customHeight="false" outlineLevel="0" collapsed="false">
      <c r="A868" s="20"/>
      <c r="B868" s="19"/>
      <c r="C868" s="19"/>
      <c r="D868" s="19"/>
      <c r="E868" s="19"/>
      <c r="F868" s="19"/>
      <c r="G868" s="19"/>
    </row>
    <row r="869" customFormat="false" ht="15" hidden="false" customHeight="false" outlineLevel="0" collapsed="false">
      <c r="A869" s="20"/>
      <c r="B869" s="19"/>
      <c r="C869" s="19"/>
      <c r="D869" s="19"/>
      <c r="E869" s="19"/>
      <c r="F869" s="19"/>
      <c r="G869" s="19"/>
    </row>
    <row r="870" customFormat="false" ht="15" hidden="false" customHeight="false" outlineLevel="0" collapsed="false">
      <c r="A870" s="20"/>
      <c r="B870" s="19"/>
      <c r="C870" s="19"/>
      <c r="D870" s="19"/>
      <c r="E870" s="19"/>
      <c r="F870" s="19"/>
      <c r="G870" s="19"/>
    </row>
    <row r="871" customFormat="false" ht="15" hidden="false" customHeight="false" outlineLevel="0" collapsed="false">
      <c r="A871" s="20"/>
      <c r="B871" s="19"/>
      <c r="C871" s="19"/>
      <c r="D871" s="19"/>
      <c r="E871" s="19"/>
      <c r="F871" s="19"/>
      <c r="G871" s="19"/>
    </row>
    <row r="872" customFormat="false" ht="15" hidden="false" customHeight="false" outlineLevel="0" collapsed="false">
      <c r="A872" s="20"/>
      <c r="B872" s="19"/>
      <c r="C872" s="19"/>
      <c r="D872" s="19"/>
      <c r="E872" s="19"/>
      <c r="F872" s="19"/>
      <c r="G872" s="19"/>
    </row>
    <row r="873" customFormat="false" ht="15" hidden="false" customHeight="false" outlineLevel="0" collapsed="false">
      <c r="A873" s="20"/>
      <c r="B873" s="19"/>
      <c r="C873" s="19"/>
      <c r="D873" s="19"/>
      <c r="E873" s="19"/>
      <c r="F873" s="19"/>
      <c r="G873" s="19"/>
    </row>
    <row r="874" customFormat="false" ht="15" hidden="false" customHeight="false" outlineLevel="0" collapsed="false">
      <c r="A874" s="20"/>
      <c r="B874" s="19"/>
      <c r="C874" s="19"/>
      <c r="D874" s="19"/>
      <c r="E874" s="19"/>
      <c r="F874" s="19"/>
      <c r="G874" s="19"/>
    </row>
    <row r="875" customFormat="false" ht="15" hidden="false" customHeight="false" outlineLevel="0" collapsed="false">
      <c r="A875" s="20"/>
      <c r="B875" s="19"/>
      <c r="C875" s="19"/>
      <c r="D875" s="19"/>
      <c r="E875" s="19"/>
      <c r="F875" s="19"/>
      <c r="G875" s="19"/>
    </row>
    <row r="876" customFormat="false" ht="15" hidden="false" customHeight="false" outlineLevel="0" collapsed="false">
      <c r="A876" s="20"/>
      <c r="B876" s="19"/>
      <c r="C876" s="19"/>
      <c r="D876" s="19"/>
      <c r="E876" s="19"/>
      <c r="F876" s="19"/>
      <c r="G876" s="19"/>
    </row>
    <row r="877" customFormat="false" ht="15" hidden="false" customHeight="false" outlineLevel="0" collapsed="false">
      <c r="A877" s="20"/>
      <c r="B877" s="19"/>
      <c r="C877" s="19"/>
      <c r="D877" s="19"/>
      <c r="E877" s="19"/>
      <c r="F877" s="19"/>
      <c r="G877" s="19"/>
    </row>
    <row r="878" customFormat="false" ht="15" hidden="false" customHeight="false" outlineLevel="0" collapsed="false">
      <c r="A878" s="20"/>
      <c r="B878" s="19"/>
      <c r="C878" s="19"/>
      <c r="D878" s="19"/>
      <c r="E878" s="19"/>
      <c r="F878" s="19"/>
      <c r="G878" s="19"/>
    </row>
    <row r="879" customFormat="false" ht="15" hidden="false" customHeight="false" outlineLevel="0" collapsed="false">
      <c r="A879" s="20"/>
      <c r="B879" s="19"/>
      <c r="C879" s="19"/>
      <c r="D879" s="19"/>
      <c r="E879" s="19"/>
      <c r="F879" s="19"/>
      <c r="G879" s="19"/>
    </row>
    <row r="880" customFormat="false" ht="15" hidden="false" customHeight="false" outlineLevel="0" collapsed="false">
      <c r="A880" s="20"/>
      <c r="B880" s="19"/>
      <c r="C880" s="19"/>
      <c r="D880" s="19"/>
      <c r="E880" s="19"/>
      <c r="F880" s="19"/>
      <c r="G880" s="19"/>
    </row>
    <row r="881" customFormat="false" ht="15" hidden="false" customHeight="false" outlineLevel="0" collapsed="false">
      <c r="A881" s="20"/>
      <c r="B881" s="19"/>
      <c r="C881" s="19"/>
      <c r="D881" s="19"/>
      <c r="E881" s="19"/>
      <c r="F881" s="19"/>
      <c r="G881" s="19"/>
    </row>
    <row r="882" customFormat="false" ht="15" hidden="false" customHeight="false" outlineLevel="0" collapsed="false">
      <c r="A882" s="20"/>
      <c r="B882" s="19"/>
      <c r="C882" s="19"/>
      <c r="D882" s="19"/>
      <c r="E882" s="19"/>
      <c r="F882" s="19"/>
      <c r="G882" s="19"/>
    </row>
    <row r="883" customFormat="false" ht="15" hidden="false" customHeight="false" outlineLevel="0" collapsed="false">
      <c r="A883" s="20"/>
      <c r="B883" s="19"/>
      <c r="C883" s="19"/>
      <c r="D883" s="19"/>
      <c r="E883" s="19"/>
      <c r="F883" s="19"/>
      <c r="G883" s="19"/>
    </row>
    <row r="884" customFormat="false" ht="15" hidden="false" customHeight="false" outlineLevel="0" collapsed="false">
      <c r="A884" s="20"/>
      <c r="B884" s="19"/>
      <c r="C884" s="19"/>
      <c r="D884" s="19"/>
      <c r="E884" s="19"/>
      <c r="F884" s="19"/>
      <c r="G884" s="19"/>
    </row>
    <row r="885" customFormat="false" ht="15" hidden="false" customHeight="false" outlineLevel="0" collapsed="false">
      <c r="A885" s="20"/>
      <c r="B885" s="19"/>
      <c r="C885" s="19"/>
      <c r="D885" s="19"/>
      <c r="E885" s="19"/>
      <c r="F885" s="19"/>
      <c r="G885" s="19"/>
    </row>
    <row r="886" customFormat="false" ht="15" hidden="false" customHeight="false" outlineLevel="0" collapsed="false">
      <c r="A886" s="20"/>
      <c r="B886" s="19"/>
      <c r="C886" s="19"/>
      <c r="D886" s="19"/>
      <c r="E886" s="19"/>
      <c r="F886" s="19"/>
      <c r="G886" s="19"/>
    </row>
    <row r="887" customFormat="false" ht="15" hidden="false" customHeight="false" outlineLevel="0" collapsed="false">
      <c r="A887" s="20"/>
      <c r="B887" s="19"/>
      <c r="C887" s="19"/>
      <c r="D887" s="19"/>
      <c r="E887" s="19"/>
      <c r="F887" s="19"/>
      <c r="G887" s="19"/>
    </row>
    <row r="888" customFormat="false" ht="15" hidden="false" customHeight="false" outlineLevel="0" collapsed="false">
      <c r="A888" s="20"/>
      <c r="B888" s="19"/>
      <c r="C888" s="19"/>
      <c r="D888" s="19"/>
      <c r="E888" s="19"/>
      <c r="F888" s="19"/>
      <c r="G888" s="19"/>
    </row>
    <row r="889" customFormat="false" ht="15" hidden="false" customHeight="false" outlineLevel="0" collapsed="false">
      <c r="A889" s="20"/>
      <c r="B889" s="19"/>
      <c r="C889" s="19"/>
      <c r="D889" s="19"/>
      <c r="E889" s="19"/>
      <c r="F889" s="19"/>
      <c r="G889" s="19"/>
    </row>
    <row r="890" customFormat="false" ht="15" hidden="false" customHeight="false" outlineLevel="0" collapsed="false">
      <c r="A890" s="20"/>
      <c r="B890" s="19"/>
      <c r="C890" s="19"/>
      <c r="D890" s="19"/>
      <c r="E890" s="19"/>
      <c r="F890" s="19"/>
      <c r="G890" s="19"/>
    </row>
    <row r="891" customFormat="false" ht="15" hidden="false" customHeight="false" outlineLevel="0" collapsed="false">
      <c r="A891" s="20"/>
      <c r="B891" s="19"/>
      <c r="C891" s="19"/>
      <c r="D891" s="19"/>
      <c r="E891" s="19"/>
      <c r="F891" s="19"/>
      <c r="G891" s="19"/>
    </row>
    <row r="892" customFormat="false" ht="15" hidden="false" customHeight="false" outlineLevel="0" collapsed="false">
      <c r="A892" s="20"/>
      <c r="B892" s="19"/>
      <c r="C892" s="19"/>
      <c r="D892" s="19"/>
      <c r="E892" s="19"/>
      <c r="F892" s="19"/>
      <c r="G892" s="19"/>
    </row>
    <row r="893" customFormat="false" ht="15" hidden="false" customHeight="false" outlineLevel="0" collapsed="false">
      <c r="A893" s="20"/>
      <c r="B893" s="19"/>
      <c r="C893" s="19"/>
      <c r="D893" s="19"/>
      <c r="E893" s="19"/>
      <c r="F893" s="19"/>
      <c r="G893" s="19"/>
    </row>
    <row r="894" customFormat="false" ht="15" hidden="false" customHeight="false" outlineLevel="0" collapsed="false">
      <c r="A894" s="20"/>
      <c r="B894" s="19"/>
      <c r="C894" s="19"/>
      <c r="D894" s="19"/>
      <c r="E894" s="19"/>
      <c r="F894" s="19"/>
      <c r="G894" s="19"/>
    </row>
    <row r="895" customFormat="false" ht="15" hidden="false" customHeight="false" outlineLevel="0" collapsed="false">
      <c r="A895" s="20"/>
      <c r="B895" s="19"/>
      <c r="C895" s="19"/>
      <c r="D895" s="19"/>
      <c r="E895" s="19"/>
      <c r="F895" s="19"/>
      <c r="G895" s="19"/>
    </row>
    <row r="896" customFormat="false" ht="15" hidden="false" customHeight="false" outlineLevel="0" collapsed="false">
      <c r="A896" s="20"/>
      <c r="B896" s="19"/>
      <c r="C896" s="19"/>
      <c r="D896" s="19"/>
      <c r="E896" s="19"/>
      <c r="F896" s="19"/>
      <c r="G896" s="19"/>
    </row>
    <row r="897" customFormat="false" ht="15" hidden="false" customHeight="false" outlineLevel="0" collapsed="false">
      <c r="A897" s="20"/>
      <c r="B897" s="19"/>
      <c r="C897" s="19"/>
      <c r="D897" s="19"/>
      <c r="E897" s="19"/>
      <c r="F897" s="19"/>
      <c r="G897" s="19"/>
    </row>
    <row r="898" customFormat="false" ht="15" hidden="false" customHeight="false" outlineLevel="0" collapsed="false">
      <c r="A898" s="20"/>
      <c r="B898" s="19"/>
      <c r="C898" s="19"/>
      <c r="D898" s="19"/>
      <c r="E898" s="19"/>
      <c r="F898" s="19"/>
      <c r="G898" s="19"/>
    </row>
    <row r="899" customFormat="false" ht="15" hidden="false" customHeight="false" outlineLevel="0" collapsed="false">
      <c r="A899" s="20"/>
      <c r="B899" s="19"/>
      <c r="C899" s="19"/>
      <c r="D899" s="19"/>
      <c r="E899" s="19"/>
      <c r="F899" s="19"/>
      <c r="G899" s="19"/>
    </row>
    <row r="900" customFormat="false" ht="15" hidden="false" customHeight="false" outlineLevel="0" collapsed="false">
      <c r="A900" s="20"/>
      <c r="B900" s="19"/>
      <c r="C900" s="19"/>
      <c r="D900" s="19"/>
      <c r="E900" s="19"/>
      <c r="F900" s="19"/>
      <c r="G900" s="19"/>
    </row>
    <row r="901" customFormat="false" ht="15" hidden="false" customHeight="false" outlineLevel="0" collapsed="false">
      <c r="A901" s="20"/>
      <c r="B901" s="19"/>
      <c r="C901" s="19"/>
      <c r="D901" s="19"/>
      <c r="E901" s="19"/>
      <c r="F901" s="19"/>
      <c r="G901" s="19"/>
    </row>
    <row r="902" customFormat="false" ht="15" hidden="false" customHeight="false" outlineLevel="0" collapsed="false">
      <c r="A902" s="20"/>
      <c r="B902" s="19"/>
      <c r="C902" s="19"/>
      <c r="D902" s="19"/>
      <c r="E902" s="19"/>
      <c r="F902" s="19"/>
      <c r="G902" s="19"/>
    </row>
    <row r="903" customFormat="false" ht="15" hidden="false" customHeight="false" outlineLevel="0" collapsed="false">
      <c r="A903" s="20"/>
      <c r="B903" s="19"/>
      <c r="C903" s="19"/>
      <c r="D903" s="19"/>
      <c r="E903" s="19"/>
      <c r="F903" s="19"/>
      <c r="G903" s="19"/>
    </row>
    <row r="904" customFormat="false" ht="15" hidden="false" customHeight="false" outlineLevel="0" collapsed="false">
      <c r="A904" s="20"/>
      <c r="B904" s="19"/>
      <c r="C904" s="19"/>
      <c r="D904" s="19"/>
      <c r="E904" s="19"/>
      <c r="F904" s="19"/>
      <c r="G904" s="19"/>
    </row>
    <row r="905" customFormat="false" ht="15" hidden="false" customHeight="false" outlineLevel="0" collapsed="false">
      <c r="A905" s="20"/>
      <c r="B905" s="19"/>
      <c r="C905" s="19"/>
      <c r="D905" s="19"/>
      <c r="E905" s="19"/>
      <c r="F905" s="19"/>
      <c r="G905" s="19"/>
    </row>
    <row r="906" customFormat="false" ht="15" hidden="false" customHeight="false" outlineLevel="0" collapsed="false">
      <c r="A906" s="20"/>
      <c r="B906" s="19"/>
      <c r="C906" s="19"/>
      <c r="D906" s="19"/>
      <c r="E906" s="19"/>
      <c r="F906" s="19"/>
      <c r="G906" s="19"/>
    </row>
    <row r="907" customFormat="false" ht="15" hidden="false" customHeight="false" outlineLevel="0" collapsed="false">
      <c r="A907" s="20"/>
      <c r="B907" s="19"/>
      <c r="C907" s="19"/>
      <c r="D907" s="19"/>
      <c r="E907" s="19"/>
      <c r="F907" s="19"/>
      <c r="G907" s="19"/>
    </row>
    <row r="908" customFormat="false" ht="15" hidden="false" customHeight="false" outlineLevel="0" collapsed="false">
      <c r="A908" s="20"/>
      <c r="B908" s="19"/>
      <c r="C908" s="19"/>
      <c r="D908" s="19"/>
      <c r="E908" s="19"/>
      <c r="F908" s="19"/>
      <c r="G908" s="19"/>
    </row>
    <row r="909" customFormat="false" ht="15" hidden="false" customHeight="false" outlineLevel="0" collapsed="false">
      <c r="A909" s="20"/>
      <c r="B909" s="19"/>
      <c r="C909" s="19"/>
      <c r="D909" s="19"/>
      <c r="E909" s="19"/>
      <c r="F909" s="19"/>
      <c r="G909" s="19"/>
    </row>
    <row r="910" customFormat="false" ht="15" hidden="false" customHeight="false" outlineLevel="0" collapsed="false">
      <c r="A910" s="20"/>
      <c r="B910" s="19"/>
      <c r="C910" s="19"/>
      <c r="D910" s="19"/>
      <c r="E910" s="19"/>
      <c r="F910" s="19"/>
      <c r="G910" s="19"/>
    </row>
    <row r="911" customFormat="false" ht="15" hidden="false" customHeight="false" outlineLevel="0" collapsed="false">
      <c r="A911" s="20"/>
      <c r="B911" s="19"/>
      <c r="C911" s="19"/>
      <c r="D911" s="19"/>
      <c r="E911" s="19"/>
      <c r="F911" s="19"/>
      <c r="G911" s="19"/>
    </row>
    <row r="912" customFormat="false" ht="15" hidden="false" customHeight="false" outlineLevel="0" collapsed="false">
      <c r="A912" s="20"/>
      <c r="B912" s="19"/>
      <c r="C912" s="19"/>
      <c r="D912" s="19"/>
      <c r="E912" s="19"/>
      <c r="F912" s="19"/>
      <c r="G912" s="19"/>
    </row>
    <row r="913" customFormat="false" ht="15" hidden="false" customHeight="false" outlineLevel="0" collapsed="false">
      <c r="A913" s="20"/>
      <c r="B913" s="19"/>
      <c r="C913" s="19"/>
      <c r="D913" s="19"/>
      <c r="E913" s="19"/>
      <c r="F913" s="19"/>
      <c r="G913" s="19"/>
    </row>
    <row r="914" customFormat="false" ht="15" hidden="false" customHeight="false" outlineLevel="0" collapsed="false">
      <c r="A914" s="20"/>
      <c r="B914" s="19"/>
      <c r="C914" s="19"/>
      <c r="D914" s="19"/>
      <c r="E914" s="19"/>
      <c r="F914" s="19"/>
      <c r="G914" s="19"/>
    </row>
    <row r="915" customFormat="false" ht="15" hidden="false" customHeight="false" outlineLevel="0" collapsed="false">
      <c r="A915" s="20"/>
      <c r="B915" s="19"/>
      <c r="C915" s="19"/>
      <c r="D915" s="19"/>
      <c r="E915" s="19"/>
      <c r="F915" s="19"/>
      <c r="G915" s="19"/>
    </row>
    <row r="916" customFormat="false" ht="15" hidden="false" customHeight="false" outlineLevel="0" collapsed="false">
      <c r="A916" s="20"/>
      <c r="B916" s="19"/>
      <c r="C916" s="19"/>
      <c r="D916" s="19"/>
      <c r="E916" s="19"/>
      <c r="F916" s="19"/>
      <c r="G916" s="19"/>
    </row>
    <row r="917" customFormat="false" ht="15" hidden="false" customHeight="false" outlineLevel="0" collapsed="false">
      <c r="A917" s="20"/>
      <c r="B917" s="19"/>
      <c r="C917" s="19"/>
      <c r="D917" s="19"/>
      <c r="E917" s="19"/>
      <c r="F917" s="19"/>
      <c r="G917" s="19"/>
    </row>
    <row r="918" customFormat="false" ht="15" hidden="false" customHeight="false" outlineLevel="0" collapsed="false">
      <c r="A918" s="20"/>
      <c r="B918" s="19"/>
      <c r="C918" s="19"/>
      <c r="D918" s="19"/>
      <c r="E918" s="19"/>
      <c r="F918" s="19"/>
      <c r="G918" s="19"/>
    </row>
    <row r="919" customFormat="false" ht="15" hidden="false" customHeight="false" outlineLevel="0" collapsed="false">
      <c r="A919" s="20"/>
      <c r="B919" s="19"/>
      <c r="C919" s="19"/>
      <c r="D919" s="19"/>
      <c r="E919" s="19"/>
      <c r="F919" s="19"/>
      <c r="G919" s="19"/>
    </row>
    <row r="920" customFormat="false" ht="15" hidden="false" customHeight="false" outlineLevel="0" collapsed="false">
      <c r="A920" s="20"/>
      <c r="B920" s="19"/>
      <c r="C920" s="19"/>
      <c r="D920" s="19"/>
      <c r="E920" s="19"/>
      <c r="F920" s="19"/>
      <c r="G920" s="19"/>
    </row>
    <row r="921" customFormat="false" ht="15" hidden="false" customHeight="false" outlineLevel="0" collapsed="false">
      <c r="A921" s="20"/>
      <c r="B921" s="19"/>
      <c r="C921" s="19"/>
      <c r="D921" s="19"/>
      <c r="E921" s="19"/>
      <c r="F921" s="19"/>
      <c r="G921" s="19"/>
    </row>
    <row r="922" customFormat="false" ht="15" hidden="false" customHeight="false" outlineLevel="0" collapsed="false">
      <c r="A922" s="20"/>
      <c r="B922" s="19"/>
      <c r="C922" s="19"/>
      <c r="D922" s="19"/>
      <c r="E922" s="19"/>
      <c r="F922" s="19"/>
      <c r="G922" s="19"/>
    </row>
    <row r="923" customFormat="false" ht="15" hidden="false" customHeight="false" outlineLevel="0" collapsed="false">
      <c r="A923" s="20"/>
      <c r="B923" s="19"/>
      <c r="C923" s="19"/>
      <c r="D923" s="19"/>
      <c r="E923" s="19"/>
      <c r="F923" s="19"/>
      <c r="G923" s="19"/>
    </row>
    <row r="924" customFormat="false" ht="15" hidden="false" customHeight="false" outlineLevel="0" collapsed="false">
      <c r="A924" s="20"/>
      <c r="B924" s="19"/>
      <c r="C924" s="19"/>
      <c r="D924" s="19"/>
      <c r="E924" s="19"/>
      <c r="F924" s="19"/>
      <c r="G924" s="19"/>
    </row>
    <row r="925" customFormat="false" ht="15" hidden="false" customHeight="false" outlineLevel="0" collapsed="false">
      <c r="A925" s="20"/>
      <c r="B925" s="19"/>
      <c r="C925" s="19"/>
      <c r="D925" s="19"/>
      <c r="E925" s="19"/>
      <c r="F925" s="19"/>
      <c r="G925" s="19"/>
    </row>
    <row r="926" customFormat="false" ht="15" hidden="false" customHeight="false" outlineLevel="0" collapsed="false">
      <c r="A926" s="20"/>
      <c r="B926" s="19"/>
      <c r="C926" s="19"/>
      <c r="D926" s="19"/>
      <c r="E926" s="19"/>
      <c r="F926" s="19"/>
      <c r="G926" s="19"/>
    </row>
    <row r="927" customFormat="false" ht="15" hidden="false" customHeight="false" outlineLevel="0" collapsed="false">
      <c r="A927" s="20"/>
      <c r="B927" s="19"/>
      <c r="C927" s="19"/>
      <c r="D927" s="19"/>
      <c r="E927" s="19"/>
      <c r="F927" s="19"/>
      <c r="G927" s="19"/>
    </row>
    <row r="928" customFormat="false" ht="15" hidden="false" customHeight="false" outlineLevel="0" collapsed="false">
      <c r="A928" s="20"/>
      <c r="B928" s="19"/>
      <c r="C928" s="19"/>
      <c r="D928" s="19"/>
      <c r="E928" s="19"/>
      <c r="F928" s="19"/>
      <c r="G928" s="19"/>
    </row>
    <row r="929" customFormat="false" ht="15" hidden="false" customHeight="false" outlineLevel="0" collapsed="false">
      <c r="A929" s="20"/>
      <c r="B929" s="19"/>
      <c r="C929" s="19"/>
      <c r="D929" s="19"/>
      <c r="E929" s="19"/>
      <c r="F929" s="19"/>
      <c r="G929" s="19"/>
    </row>
    <row r="930" customFormat="false" ht="15" hidden="false" customHeight="false" outlineLevel="0" collapsed="false">
      <c r="A930" s="20"/>
      <c r="B930" s="19"/>
      <c r="C930" s="19"/>
      <c r="D930" s="19"/>
      <c r="E930" s="19"/>
      <c r="F930" s="19"/>
      <c r="G930" s="19"/>
    </row>
    <row r="931" customFormat="false" ht="15" hidden="false" customHeight="false" outlineLevel="0" collapsed="false">
      <c r="A931" s="20"/>
      <c r="B931" s="19"/>
      <c r="C931" s="19"/>
      <c r="D931" s="19"/>
      <c r="E931" s="19"/>
      <c r="F931" s="19"/>
      <c r="G931" s="19"/>
    </row>
    <row r="932" customFormat="false" ht="15" hidden="false" customHeight="false" outlineLevel="0" collapsed="false">
      <c r="A932" s="20"/>
      <c r="B932" s="19"/>
      <c r="C932" s="19"/>
      <c r="D932" s="19"/>
      <c r="E932" s="19"/>
      <c r="F932" s="19"/>
      <c r="G932" s="19"/>
    </row>
    <row r="933" customFormat="false" ht="15" hidden="false" customHeight="false" outlineLevel="0" collapsed="false">
      <c r="A933" s="20"/>
      <c r="B933" s="19"/>
      <c r="C933" s="19"/>
      <c r="D933" s="19"/>
      <c r="E933" s="19"/>
      <c r="F933" s="19"/>
      <c r="G933" s="19"/>
    </row>
    <row r="934" customFormat="false" ht="15" hidden="false" customHeight="false" outlineLevel="0" collapsed="false">
      <c r="A934" s="20"/>
      <c r="B934" s="19"/>
      <c r="C934" s="19"/>
      <c r="D934" s="19"/>
      <c r="E934" s="19"/>
      <c r="F934" s="19"/>
      <c r="G934" s="19"/>
    </row>
    <row r="935" customFormat="false" ht="15" hidden="false" customHeight="false" outlineLevel="0" collapsed="false">
      <c r="A935" s="20"/>
      <c r="B935" s="19"/>
      <c r="C935" s="19"/>
      <c r="D935" s="19"/>
      <c r="E935" s="19"/>
      <c r="F935" s="19"/>
      <c r="G935" s="19"/>
    </row>
    <row r="936" customFormat="false" ht="15" hidden="false" customHeight="false" outlineLevel="0" collapsed="false">
      <c r="A936" s="20"/>
      <c r="B936" s="19"/>
      <c r="C936" s="19"/>
      <c r="D936" s="19"/>
      <c r="E936" s="19"/>
      <c r="F936" s="19"/>
      <c r="G936" s="19"/>
    </row>
    <row r="937" customFormat="false" ht="15" hidden="false" customHeight="false" outlineLevel="0" collapsed="false">
      <c r="A937" s="20"/>
      <c r="B937" s="19"/>
      <c r="C937" s="19"/>
      <c r="D937" s="19"/>
      <c r="E937" s="19"/>
      <c r="F937" s="19"/>
      <c r="G937" s="19"/>
    </row>
    <row r="938" customFormat="false" ht="15" hidden="false" customHeight="false" outlineLevel="0" collapsed="false">
      <c r="A938" s="20"/>
      <c r="B938" s="19"/>
      <c r="C938" s="19"/>
      <c r="D938" s="19"/>
      <c r="E938" s="19"/>
      <c r="F938" s="19"/>
      <c r="G938" s="19"/>
    </row>
    <row r="939" customFormat="false" ht="15" hidden="false" customHeight="false" outlineLevel="0" collapsed="false">
      <c r="A939" s="20"/>
      <c r="B939" s="19"/>
      <c r="C939" s="19"/>
      <c r="D939" s="19"/>
      <c r="E939" s="19"/>
      <c r="F939" s="19"/>
      <c r="G939" s="19"/>
    </row>
    <row r="940" customFormat="false" ht="15" hidden="false" customHeight="false" outlineLevel="0" collapsed="false">
      <c r="A940" s="20"/>
      <c r="B940" s="19"/>
      <c r="C940" s="19"/>
      <c r="D940" s="19"/>
      <c r="E940" s="19"/>
      <c r="F940" s="19"/>
      <c r="G940" s="19"/>
    </row>
    <row r="941" customFormat="false" ht="15" hidden="false" customHeight="false" outlineLevel="0" collapsed="false">
      <c r="A941" s="20"/>
      <c r="B941" s="19"/>
      <c r="C941" s="19"/>
      <c r="D941" s="19"/>
      <c r="E941" s="19"/>
      <c r="F941" s="19"/>
      <c r="G941" s="19"/>
    </row>
    <row r="942" customFormat="false" ht="15" hidden="false" customHeight="false" outlineLevel="0" collapsed="false">
      <c r="A942" s="20"/>
      <c r="B942" s="19"/>
      <c r="C942" s="19"/>
      <c r="D942" s="19"/>
      <c r="E942" s="19"/>
      <c r="F942" s="19"/>
      <c r="G942" s="19"/>
    </row>
    <row r="943" customFormat="false" ht="15" hidden="false" customHeight="false" outlineLevel="0" collapsed="false">
      <c r="A943" s="20"/>
      <c r="B943" s="19"/>
      <c r="C943" s="19"/>
      <c r="D943" s="19"/>
      <c r="E943" s="19"/>
      <c r="F943" s="19"/>
      <c r="G943" s="19"/>
    </row>
    <row r="944" customFormat="false" ht="15" hidden="false" customHeight="false" outlineLevel="0" collapsed="false">
      <c r="A944" s="20"/>
      <c r="B944" s="19"/>
      <c r="C944" s="19"/>
      <c r="D944" s="19"/>
      <c r="E944" s="19"/>
      <c r="F944" s="19"/>
      <c r="G944" s="19"/>
    </row>
    <row r="945" customFormat="false" ht="15" hidden="false" customHeight="false" outlineLevel="0" collapsed="false">
      <c r="A945" s="20"/>
      <c r="B945" s="19"/>
      <c r="C945" s="19"/>
      <c r="D945" s="19"/>
      <c r="E945" s="19"/>
      <c r="F945" s="19"/>
      <c r="G945" s="19"/>
    </row>
    <row r="946" customFormat="false" ht="15" hidden="false" customHeight="false" outlineLevel="0" collapsed="false">
      <c r="A946" s="20"/>
      <c r="B946" s="19"/>
      <c r="C946" s="19"/>
      <c r="D946" s="19"/>
      <c r="E946" s="19"/>
      <c r="F946" s="19"/>
      <c r="G946" s="19"/>
    </row>
    <row r="947" customFormat="false" ht="15" hidden="false" customHeight="false" outlineLevel="0" collapsed="false">
      <c r="A947" s="20"/>
      <c r="B947" s="19"/>
      <c r="C947" s="19"/>
      <c r="D947" s="19"/>
      <c r="E947" s="19"/>
      <c r="F947" s="19"/>
      <c r="G947" s="19"/>
    </row>
    <row r="948" customFormat="false" ht="15" hidden="false" customHeight="false" outlineLevel="0" collapsed="false">
      <c r="A948" s="20"/>
      <c r="B948" s="19"/>
      <c r="C948" s="19"/>
      <c r="D948" s="19"/>
      <c r="E948" s="19"/>
      <c r="F948" s="19"/>
      <c r="G948" s="19"/>
    </row>
    <row r="949" customFormat="false" ht="15" hidden="false" customHeight="false" outlineLevel="0" collapsed="false">
      <c r="A949" s="20"/>
      <c r="B949" s="19"/>
      <c r="C949" s="19"/>
      <c r="D949" s="19"/>
      <c r="E949" s="19"/>
      <c r="F949" s="19"/>
      <c r="G949" s="19"/>
    </row>
    <row r="950" customFormat="false" ht="15" hidden="false" customHeight="false" outlineLevel="0" collapsed="false">
      <c r="A950" s="20"/>
      <c r="B950" s="19"/>
      <c r="C950" s="19"/>
      <c r="D950" s="19"/>
      <c r="E950" s="19"/>
      <c r="F950" s="19"/>
      <c r="G950" s="19"/>
    </row>
    <row r="951" customFormat="false" ht="15" hidden="false" customHeight="false" outlineLevel="0" collapsed="false">
      <c r="A951" s="20"/>
      <c r="B951" s="19"/>
      <c r="C951" s="19"/>
      <c r="D951" s="19"/>
      <c r="E951" s="19"/>
      <c r="F951" s="19"/>
      <c r="G951" s="19"/>
    </row>
    <row r="952" customFormat="false" ht="15" hidden="false" customHeight="false" outlineLevel="0" collapsed="false">
      <c r="A952" s="20"/>
      <c r="B952" s="19"/>
      <c r="C952" s="19"/>
      <c r="D952" s="19"/>
      <c r="E952" s="19"/>
      <c r="F952" s="19"/>
      <c r="G952" s="19"/>
    </row>
    <row r="953" customFormat="false" ht="15" hidden="false" customHeight="false" outlineLevel="0" collapsed="false">
      <c r="A953" s="20"/>
      <c r="B953" s="19"/>
      <c r="C953" s="19"/>
      <c r="D953" s="19"/>
      <c r="E953" s="19"/>
      <c r="F953" s="19"/>
      <c r="G953" s="19"/>
    </row>
    <row r="954" customFormat="false" ht="15" hidden="false" customHeight="false" outlineLevel="0" collapsed="false">
      <c r="A954" s="20"/>
      <c r="B954" s="19"/>
      <c r="C954" s="19"/>
      <c r="D954" s="19"/>
      <c r="E954" s="19"/>
      <c r="F954" s="19"/>
      <c r="G954" s="19"/>
    </row>
    <row r="955" customFormat="false" ht="15" hidden="false" customHeight="false" outlineLevel="0" collapsed="false">
      <c r="A955" s="20"/>
      <c r="B955" s="19"/>
      <c r="C955" s="19"/>
      <c r="D955" s="19"/>
      <c r="E955" s="19"/>
      <c r="F955" s="19"/>
      <c r="G955" s="19"/>
    </row>
    <row r="956" customFormat="false" ht="15" hidden="false" customHeight="false" outlineLevel="0" collapsed="false">
      <c r="A956" s="20"/>
      <c r="B956" s="19"/>
      <c r="C956" s="19"/>
      <c r="D956" s="19"/>
      <c r="E956" s="19"/>
      <c r="F956" s="19"/>
      <c r="G956" s="19"/>
    </row>
    <row r="957" customFormat="false" ht="15" hidden="false" customHeight="false" outlineLevel="0" collapsed="false">
      <c r="A957" s="20"/>
      <c r="B957" s="19"/>
      <c r="C957" s="19"/>
      <c r="D957" s="19"/>
      <c r="E957" s="19"/>
      <c r="F957" s="19"/>
      <c r="G957" s="19"/>
    </row>
    <row r="958" customFormat="false" ht="15" hidden="false" customHeight="false" outlineLevel="0" collapsed="false">
      <c r="A958" s="20"/>
      <c r="B958" s="19"/>
      <c r="C958" s="19"/>
      <c r="D958" s="19"/>
      <c r="E958" s="19"/>
      <c r="F958" s="19"/>
      <c r="G958" s="19"/>
    </row>
    <row r="959" customFormat="false" ht="15" hidden="false" customHeight="false" outlineLevel="0" collapsed="false">
      <c r="A959" s="20"/>
      <c r="B959" s="19"/>
      <c r="C959" s="19"/>
      <c r="D959" s="19"/>
      <c r="E959" s="19"/>
      <c r="F959" s="19"/>
      <c r="G959" s="19"/>
    </row>
    <row r="960" customFormat="false" ht="15" hidden="false" customHeight="false" outlineLevel="0" collapsed="false">
      <c r="A960" s="20"/>
      <c r="B960" s="19"/>
      <c r="C960" s="19"/>
      <c r="D960" s="19"/>
      <c r="E960" s="19"/>
      <c r="F960" s="19"/>
      <c r="G960" s="19"/>
    </row>
    <row r="961" customFormat="false" ht="15" hidden="false" customHeight="false" outlineLevel="0" collapsed="false">
      <c r="A961" s="20"/>
      <c r="B961" s="19"/>
      <c r="C961" s="19"/>
      <c r="D961" s="19"/>
      <c r="E961" s="19"/>
      <c r="F961" s="19"/>
      <c r="G961" s="19"/>
    </row>
    <row r="962" customFormat="false" ht="15" hidden="false" customHeight="false" outlineLevel="0" collapsed="false">
      <c r="A962" s="20"/>
      <c r="B962" s="19"/>
      <c r="C962" s="19"/>
      <c r="D962" s="19"/>
      <c r="E962" s="19"/>
      <c r="F962" s="19"/>
      <c r="G962" s="19"/>
    </row>
    <row r="963" customFormat="false" ht="15" hidden="false" customHeight="false" outlineLevel="0" collapsed="false">
      <c r="A963" s="20"/>
      <c r="B963" s="19"/>
      <c r="C963" s="19"/>
      <c r="D963" s="19"/>
      <c r="E963" s="19"/>
      <c r="F963" s="19"/>
      <c r="G963" s="19"/>
    </row>
    <row r="964" customFormat="false" ht="15" hidden="false" customHeight="false" outlineLevel="0" collapsed="false">
      <c r="A964" s="20"/>
      <c r="B964" s="19"/>
      <c r="C964" s="19"/>
      <c r="D964" s="19"/>
      <c r="E964" s="19"/>
      <c r="F964" s="19"/>
      <c r="G964" s="19"/>
    </row>
    <row r="965" customFormat="false" ht="15" hidden="false" customHeight="false" outlineLevel="0" collapsed="false">
      <c r="A965" s="20"/>
      <c r="B965" s="19"/>
      <c r="C965" s="19"/>
      <c r="D965" s="19"/>
      <c r="E965" s="19"/>
      <c r="F965" s="19"/>
      <c r="G965" s="19"/>
    </row>
    <row r="966" customFormat="false" ht="15" hidden="false" customHeight="false" outlineLevel="0" collapsed="false">
      <c r="A966" s="20"/>
      <c r="B966" s="19"/>
      <c r="C966" s="19"/>
      <c r="D966" s="19"/>
      <c r="E966" s="19"/>
      <c r="F966" s="19"/>
      <c r="G966" s="19"/>
    </row>
    <row r="967" customFormat="false" ht="15" hidden="false" customHeight="false" outlineLevel="0" collapsed="false">
      <c r="A967" s="20"/>
      <c r="B967" s="19"/>
      <c r="C967" s="19"/>
      <c r="D967" s="19"/>
      <c r="E967" s="19"/>
      <c r="F967" s="19"/>
      <c r="G967" s="19"/>
    </row>
    <row r="968" customFormat="false" ht="15" hidden="false" customHeight="false" outlineLevel="0" collapsed="false">
      <c r="A968" s="20"/>
      <c r="B968" s="19"/>
      <c r="C968" s="19"/>
      <c r="D968" s="19"/>
      <c r="E968" s="19"/>
      <c r="F968" s="19"/>
      <c r="G968" s="19"/>
    </row>
    <row r="969" customFormat="false" ht="15" hidden="false" customHeight="false" outlineLevel="0" collapsed="false">
      <c r="A969" s="20"/>
      <c r="B969" s="19"/>
      <c r="C969" s="19"/>
      <c r="D969" s="19"/>
      <c r="E969" s="19"/>
      <c r="F969" s="19"/>
      <c r="G969" s="19"/>
    </row>
    <row r="970" customFormat="false" ht="15" hidden="false" customHeight="false" outlineLevel="0" collapsed="false">
      <c r="A970" s="20"/>
      <c r="B970" s="19"/>
      <c r="C970" s="19"/>
      <c r="D970" s="19"/>
      <c r="E970" s="19"/>
      <c r="F970" s="19"/>
      <c r="G970" s="19"/>
    </row>
    <row r="971" customFormat="false" ht="15" hidden="false" customHeight="false" outlineLevel="0" collapsed="false">
      <c r="A971" s="20"/>
      <c r="B971" s="19"/>
      <c r="C971" s="19"/>
      <c r="D971" s="19"/>
      <c r="E971" s="19"/>
      <c r="F971" s="19"/>
      <c r="G971" s="19"/>
    </row>
    <row r="972" customFormat="false" ht="15" hidden="false" customHeight="false" outlineLevel="0" collapsed="false">
      <c r="A972" s="20"/>
      <c r="B972" s="19"/>
      <c r="C972" s="19"/>
      <c r="D972" s="19"/>
      <c r="E972" s="19"/>
      <c r="F972" s="19"/>
      <c r="G972" s="19"/>
    </row>
    <row r="973" customFormat="false" ht="15" hidden="false" customHeight="false" outlineLevel="0" collapsed="false">
      <c r="A973" s="20"/>
      <c r="B973" s="19"/>
      <c r="C973" s="19"/>
      <c r="D973" s="19"/>
      <c r="E973" s="19"/>
      <c r="F973" s="19"/>
      <c r="G973" s="19"/>
    </row>
    <row r="974" customFormat="false" ht="15" hidden="false" customHeight="false" outlineLevel="0" collapsed="false">
      <c r="A974" s="20"/>
      <c r="B974" s="19"/>
      <c r="C974" s="19"/>
      <c r="D974" s="19"/>
      <c r="E974" s="19"/>
      <c r="F974" s="19"/>
      <c r="G974" s="19"/>
    </row>
    <row r="975" customFormat="false" ht="15" hidden="false" customHeight="false" outlineLevel="0" collapsed="false">
      <c r="A975" s="20"/>
      <c r="B975" s="19"/>
      <c r="C975" s="19"/>
      <c r="D975" s="19"/>
      <c r="E975" s="19"/>
      <c r="F975" s="19"/>
      <c r="G975" s="19"/>
    </row>
    <row r="976" customFormat="false" ht="15" hidden="false" customHeight="false" outlineLevel="0" collapsed="false">
      <c r="A976" s="20"/>
      <c r="B976" s="19"/>
      <c r="C976" s="19"/>
      <c r="D976" s="19"/>
      <c r="E976" s="19"/>
      <c r="F976" s="19"/>
      <c r="G976" s="19"/>
    </row>
    <row r="977" customFormat="false" ht="15" hidden="false" customHeight="false" outlineLevel="0" collapsed="false">
      <c r="A977" s="20"/>
      <c r="B977" s="19"/>
      <c r="C977" s="19"/>
      <c r="D977" s="19"/>
      <c r="E977" s="19"/>
      <c r="F977" s="19"/>
      <c r="G977" s="19"/>
    </row>
    <row r="978" customFormat="false" ht="15" hidden="false" customHeight="false" outlineLevel="0" collapsed="false">
      <c r="A978" s="20"/>
      <c r="B978" s="19"/>
      <c r="C978" s="19"/>
      <c r="D978" s="19"/>
      <c r="E978" s="19"/>
      <c r="F978" s="19"/>
      <c r="G978" s="19"/>
    </row>
    <row r="979" customFormat="false" ht="15" hidden="false" customHeight="false" outlineLevel="0" collapsed="false">
      <c r="A979" s="20"/>
      <c r="B979" s="19"/>
      <c r="C979" s="19"/>
      <c r="D979" s="19"/>
      <c r="E979" s="19"/>
      <c r="F979" s="19"/>
      <c r="G979" s="19"/>
    </row>
    <row r="980" customFormat="false" ht="15" hidden="false" customHeight="false" outlineLevel="0" collapsed="false">
      <c r="A980" s="20"/>
      <c r="B980" s="19"/>
      <c r="C980" s="19"/>
      <c r="D980" s="19"/>
      <c r="E980" s="19"/>
      <c r="F980" s="19"/>
      <c r="G980" s="19"/>
    </row>
    <row r="981" customFormat="false" ht="15" hidden="false" customHeight="false" outlineLevel="0" collapsed="false">
      <c r="A981" s="20"/>
      <c r="B981" s="19"/>
      <c r="C981" s="19"/>
      <c r="D981" s="19"/>
      <c r="E981" s="19"/>
      <c r="F981" s="19"/>
      <c r="G981" s="19"/>
    </row>
    <row r="982" customFormat="false" ht="15" hidden="false" customHeight="false" outlineLevel="0" collapsed="false">
      <c r="A982" s="20"/>
      <c r="B982" s="19"/>
      <c r="C982" s="19"/>
      <c r="D982" s="19"/>
      <c r="E982" s="19"/>
      <c r="F982" s="19"/>
      <c r="G982" s="19"/>
    </row>
    <row r="983" customFormat="false" ht="15" hidden="false" customHeight="false" outlineLevel="0" collapsed="false">
      <c r="A983" s="20"/>
      <c r="B983" s="19"/>
      <c r="C983" s="19"/>
      <c r="D983" s="19"/>
      <c r="E983" s="19"/>
      <c r="F983" s="19"/>
      <c r="G983" s="19"/>
    </row>
    <row r="984" customFormat="false" ht="15" hidden="false" customHeight="false" outlineLevel="0" collapsed="false">
      <c r="A984" s="20"/>
      <c r="B984" s="19"/>
      <c r="C984" s="19"/>
      <c r="D984" s="19"/>
      <c r="E984" s="19"/>
      <c r="F984" s="19"/>
      <c r="G984" s="19"/>
    </row>
    <row r="985" customFormat="false" ht="15" hidden="false" customHeight="false" outlineLevel="0" collapsed="false">
      <c r="A985" s="20"/>
      <c r="B985" s="19"/>
      <c r="C985" s="19"/>
      <c r="D985" s="19"/>
      <c r="E985" s="19"/>
      <c r="F985" s="19"/>
      <c r="G985" s="19"/>
    </row>
    <row r="986" customFormat="false" ht="15" hidden="false" customHeight="false" outlineLevel="0" collapsed="false">
      <c r="A986" s="20"/>
      <c r="B986" s="19"/>
      <c r="C986" s="19"/>
      <c r="D986" s="19"/>
      <c r="E986" s="19"/>
      <c r="F986" s="19"/>
      <c r="G986" s="19"/>
    </row>
    <row r="987" customFormat="false" ht="15" hidden="false" customHeight="false" outlineLevel="0" collapsed="false">
      <c r="A987" s="20"/>
      <c r="B987" s="19"/>
      <c r="C987" s="19"/>
      <c r="D987" s="19"/>
      <c r="E987" s="19"/>
      <c r="F987" s="19"/>
      <c r="G987" s="19"/>
    </row>
    <row r="988" customFormat="false" ht="15" hidden="false" customHeight="false" outlineLevel="0" collapsed="false">
      <c r="A988" s="20"/>
      <c r="B988" s="19"/>
      <c r="C988" s="19"/>
      <c r="D988" s="19"/>
      <c r="E988" s="19"/>
      <c r="F988" s="19"/>
      <c r="G988" s="19"/>
    </row>
    <row r="989" customFormat="false" ht="15" hidden="false" customHeight="false" outlineLevel="0" collapsed="false">
      <c r="A989" s="20"/>
      <c r="B989" s="19"/>
      <c r="C989" s="19"/>
      <c r="D989" s="19"/>
      <c r="E989" s="19"/>
      <c r="F989" s="19"/>
      <c r="G989" s="19"/>
    </row>
    <row r="990" customFormat="false" ht="15" hidden="false" customHeight="false" outlineLevel="0" collapsed="false">
      <c r="A990" s="20"/>
      <c r="B990" s="19"/>
      <c r="C990" s="19"/>
      <c r="D990" s="19"/>
      <c r="E990" s="19"/>
      <c r="F990" s="19"/>
      <c r="G990" s="19"/>
    </row>
    <row r="991" customFormat="false" ht="15" hidden="false" customHeight="false" outlineLevel="0" collapsed="false">
      <c r="A991" s="20"/>
      <c r="B991" s="19"/>
      <c r="C991" s="19"/>
      <c r="D991" s="19"/>
      <c r="E991" s="19"/>
      <c r="F991" s="19"/>
      <c r="G991" s="19"/>
    </row>
    <row r="992" customFormat="false" ht="15" hidden="false" customHeight="false" outlineLevel="0" collapsed="false">
      <c r="A992" s="20"/>
      <c r="B992" s="19"/>
      <c r="C992" s="19"/>
      <c r="D992" s="19"/>
      <c r="E992" s="19"/>
      <c r="F992" s="19"/>
      <c r="G992" s="19"/>
    </row>
    <row r="993" customFormat="false" ht="15" hidden="false" customHeight="false" outlineLevel="0" collapsed="false">
      <c r="A993" s="20"/>
      <c r="B993" s="19"/>
      <c r="C993" s="19"/>
      <c r="D993" s="19"/>
      <c r="E993" s="19"/>
      <c r="F993" s="19"/>
      <c r="G993" s="19"/>
    </row>
    <row r="994" customFormat="false" ht="15" hidden="false" customHeight="false" outlineLevel="0" collapsed="false">
      <c r="A994" s="20"/>
      <c r="B994" s="19"/>
      <c r="C994" s="19"/>
      <c r="D994" s="19"/>
      <c r="E994" s="19"/>
      <c r="F994" s="19"/>
      <c r="G994" s="19"/>
    </row>
    <row r="995" customFormat="false" ht="15" hidden="false" customHeight="false" outlineLevel="0" collapsed="false">
      <c r="A995" s="20"/>
      <c r="B995" s="19"/>
      <c r="C995" s="19"/>
      <c r="D995" s="19"/>
      <c r="E995" s="19"/>
      <c r="F995" s="19"/>
      <c r="G995" s="19"/>
    </row>
    <row r="996" customFormat="false" ht="15" hidden="false" customHeight="false" outlineLevel="0" collapsed="false">
      <c r="A996" s="20"/>
      <c r="B996" s="19"/>
      <c r="C996" s="19"/>
      <c r="D996" s="19"/>
      <c r="E996" s="19"/>
      <c r="F996" s="19"/>
      <c r="G996" s="19"/>
    </row>
    <row r="997" customFormat="false" ht="15" hidden="false" customHeight="false" outlineLevel="0" collapsed="false">
      <c r="A997" s="20"/>
      <c r="B997" s="19"/>
      <c r="C997" s="19"/>
      <c r="D997" s="19"/>
      <c r="E997" s="19"/>
      <c r="F997" s="19"/>
      <c r="G997" s="19"/>
    </row>
    <row r="998" customFormat="false" ht="15" hidden="false" customHeight="false" outlineLevel="0" collapsed="false">
      <c r="A998" s="20"/>
      <c r="B998" s="19"/>
      <c r="C998" s="19"/>
      <c r="D998" s="19"/>
      <c r="E998" s="19"/>
      <c r="F998" s="19"/>
      <c r="G998" s="19"/>
    </row>
    <row r="999" customFormat="false" ht="15" hidden="false" customHeight="false" outlineLevel="0" collapsed="false">
      <c r="A999" s="20"/>
      <c r="B999" s="19"/>
      <c r="C999" s="19"/>
      <c r="D999" s="19"/>
      <c r="E999" s="19"/>
      <c r="F999" s="19"/>
      <c r="G999" s="19"/>
    </row>
    <row r="1000" customFormat="false" ht="15" hidden="false" customHeight="false" outlineLevel="0" collapsed="false">
      <c r="A1000" s="20"/>
      <c r="B1000" s="19"/>
      <c r="C1000" s="19"/>
      <c r="D1000" s="19"/>
      <c r="E1000" s="19"/>
      <c r="F1000" s="19"/>
      <c r="G1000" s="19"/>
    </row>
    <row r="1001" customFormat="false" ht="15" hidden="false" customHeight="false" outlineLevel="0" collapsed="false">
      <c r="A1001" s="20"/>
      <c r="B1001" s="19"/>
      <c r="C1001" s="19"/>
      <c r="D1001" s="19"/>
      <c r="E1001" s="19"/>
      <c r="F1001" s="19"/>
      <c r="G1001" s="19"/>
    </row>
  </sheetData>
  <dataValidations count="3">
    <dataValidation allowBlank="true" errorStyle="stop" operator="between" showDropDown="false" showErrorMessage="true" showInputMessage="false" sqref="G2:G1001" type="list">
      <formula1>"Confirmed,Completed,Cancelled,No-show,Walk-in"</formula1>
      <formula2>0</formula2>
    </dataValidation>
    <dataValidation allowBlank="true" errorStyle="stop" operator="between" showDropDown="false" showErrorMessage="true" showInputMessage="false" sqref="E2:E1001" type="list">
      <formula1>ServiceKeys</formula1>
      <formula2>0</formula2>
    </dataValidation>
    <dataValidation allowBlank="true" errorStyle="stop" operator="between" showDropDown="false" showErrorMessage="true" showInputMessage="false" sqref="C2:C1001" type="list">
      <formula1>CustNames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2026-06-28T07:14:02Z</dcterms:created>
  <dc:creator>Singh, Karanveer</dc:creator>
  <dc:description/>
  <dc:language>en-US</dc:language>
  <cp:lastModifiedBy>Singh, Karanveer</cp:lastModifiedBy>
  <dcterms:modified xsi:type="dcterms:W3CDTF">2026-06-28T08:55:19Z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