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RAN\Downloads\"/>
    </mc:Choice>
  </mc:AlternateContent>
  <xr:revisionPtr revIDLastSave="0" documentId="13_ncr:1_{1BADA619-8EEE-456A-81E1-B74FDA491CEE}" xr6:coauthVersionLast="47" xr6:coauthVersionMax="47" xr10:uidLastSave="{00000000-0000-0000-0000-000000000000}"/>
  <bookViews>
    <workbookView xWindow="-108" yWindow="-108" windowWidth="23256" windowHeight="12456" tabRatio="789" activeTab="7" xr2:uid="{00000000-000D-0000-FFFF-FFFF00000000}"/>
  </bookViews>
  <sheets>
    <sheet name="Dashboard" sheetId="1" r:id="rId1"/>
    <sheet name="Daily tracking" sheetId="2" r:id="rId2"/>
    <sheet name="Customer Database" sheetId="3" r:id="rId3"/>
    <sheet name="Services" sheetId="4" r:id="rId4"/>
    <sheet name="Employee" sheetId="5" r:id="rId5"/>
    <sheet name="Expenses" sheetId="6" r:id="rId6"/>
    <sheet name="Purchases" sheetId="7" r:id="rId7"/>
    <sheet name="Inventory" sheetId="8" r:id="rId8"/>
    <sheet name="Retention" sheetId="9" r:id="rId9"/>
    <sheet name="P&amp;L Statement" sheetId="10" r:id="rId10"/>
    <sheet name="Appointments" sheetId="11" r:id="rId11"/>
  </sheets>
  <definedNames>
    <definedName name="CustNames">'Customer Database'!$A$2:$A$501</definedName>
    <definedName name="EmpNames">Employee!$A$2:$A$21</definedName>
    <definedName name="ProductNames">Inventory!$A$2:$A$201</definedName>
    <definedName name="ServiceKeys">Services!$D$2:$D$120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11" l="1"/>
  <c r="J6" i="11"/>
  <c r="J5" i="11"/>
  <c r="J4" i="11"/>
  <c r="J3" i="11"/>
  <c r="J2" i="11"/>
  <c r="B12" i="10"/>
  <c r="B11" i="10"/>
  <c r="B10" i="10"/>
  <c r="B9" i="10"/>
  <c r="B2" i="10"/>
  <c r="I12" i="9"/>
  <c r="H12" i="9"/>
  <c r="G12" i="9"/>
  <c r="I11" i="9"/>
  <c r="H11" i="9"/>
  <c r="G11" i="9"/>
  <c r="I10" i="9"/>
  <c r="H10" i="9"/>
  <c r="G10" i="9"/>
  <c r="I9" i="9"/>
  <c r="H9" i="9"/>
  <c r="G9" i="9"/>
  <c r="I8" i="9"/>
  <c r="H8" i="9"/>
  <c r="G8" i="9"/>
  <c r="I7" i="9"/>
  <c r="H7" i="9"/>
  <c r="G7" i="9"/>
  <c r="I6" i="9"/>
  <c r="H6" i="9"/>
  <c r="G6" i="9"/>
  <c r="I5" i="9"/>
  <c r="H5" i="9"/>
  <c r="G5" i="9"/>
  <c r="L201" i="8"/>
  <c r="K201" i="8"/>
  <c r="J201" i="8"/>
  <c r="H201" i="8"/>
  <c r="F201" i="8"/>
  <c r="L200" i="8"/>
  <c r="K200" i="8"/>
  <c r="J200" i="8"/>
  <c r="H200" i="8"/>
  <c r="F200" i="8"/>
  <c r="L199" i="8"/>
  <c r="K199" i="8"/>
  <c r="J199" i="8"/>
  <c r="H199" i="8"/>
  <c r="F199" i="8"/>
  <c r="L198" i="8"/>
  <c r="K198" i="8"/>
  <c r="J198" i="8"/>
  <c r="H198" i="8"/>
  <c r="F198" i="8"/>
  <c r="L197" i="8"/>
  <c r="K197" i="8"/>
  <c r="J197" i="8"/>
  <c r="H197" i="8"/>
  <c r="F197" i="8"/>
  <c r="L196" i="8"/>
  <c r="K196" i="8"/>
  <c r="J196" i="8"/>
  <c r="H196" i="8"/>
  <c r="F196" i="8"/>
  <c r="L195" i="8"/>
  <c r="K195" i="8"/>
  <c r="J195" i="8"/>
  <c r="H195" i="8"/>
  <c r="F195" i="8"/>
  <c r="L194" i="8"/>
  <c r="K194" i="8"/>
  <c r="J194" i="8"/>
  <c r="H194" i="8"/>
  <c r="F194" i="8"/>
  <c r="L193" i="8"/>
  <c r="K193" i="8"/>
  <c r="J193" i="8"/>
  <c r="H193" i="8"/>
  <c r="F193" i="8"/>
  <c r="L192" i="8"/>
  <c r="K192" i="8"/>
  <c r="J192" i="8"/>
  <c r="H192" i="8"/>
  <c r="F192" i="8"/>
  <c r="L191" i="8"/>
  <c r="K191" i="8"/>
  <c r="J191" i="8"/>
  <c r="H191" i="8"/>
  <c r="F191" i="8"/>
  <c r="L190" i="8"/>
  <c r="K190" i="8"/>
  <c r="J190" i="8"/>
  <c r="H190" i="8"/>
  <c r="F190" i="8"/>
  <c r="L189" i="8"/>
  <c r="K189" i="8"/>
  <c r="J189" i="8"/>
  <c r="H189" i="8"/>
  <c r="F189" i="8"/>
  <c r="L188" i="8"/>
  <c r="K188" i="8"/>
  <c r="J188" i="8"/>
  <c r="H188" i="8"/>
  <c r="F188" i="8"/>
  <c r="L187" i="8"/>
  <c r="K187" i="8"/>
  <c r="J187" i="8"/>
  <c r="H187" i="8"/>
  <c r="F187" i="8"/>
  <c r="L186" i="8"/>
  <c r="K186" i="8"/>
  <c r="J186" i="8"/>
  <c r="H186" i="8"/>
  <c r="F186" i="8"/>
  <c r="L185" i="8"/>
  <c r="K185" i="8"/>
  <c r="J185" i="8"/>
  <c r="H185" i="8"/>
  <c r="F185" i="8"/>
  <c r="L184" i="8"/>
  <c r="K184" i="8"/>
  <c r="J184" i="8"/>
  <c r="H184" i="8"/>
  <c r="F184" i="8"/>
  <c r="L183" i="8"/>
  <c r="K183" i="8"/>
  <c r="J183" i="8"/>
  <c r="H183" i="8"/>
  <c r="F183" i="8"/>
  <c r="L182" i="8"/>
  <c r="K182" i="8"/>
  <c r="J182" i="8"/>
  <c r="H182" i="8"/>
  <c r="F182" i="8"/>
  <c r="L181" i="8"/>
  <c r="K181" i="8"/>
  <c r="J181" i="8"/>
  <c r="H181" i="8"/>
  <c r="F181" i="8"/>
  <c r="L180" i="8"/>
  <c r="K180" i="8"/>
  <c r="J180" i="8"/>
  <c r="H180" i="8"/>
  <c r="F180" i="8"/>
  <c r="L179" i="8"/>
  <c r="K179" i="8"/>
  <c r="J179" i="8"/>
  <c r="H179" i="8"/>
  <c r="F179" i="8"/>
  <c r="L178" i="8"/>
  <c r="K178" i="8"/>
  <c r="J178" i="8"/>
  <c r="H178" i="8"/>
  <c r="F178" i="8"/>
  <c r="L177" i="8"/>
  <c r="K177" i="8"/>
  <c r="J177" i="8"/>
  <c r="H177" i="8"/>
  <c r="F177" i="8"/>
  <c r="L176" i="8"/>
  <c r="K176" i="8"/>
  <c r="J176" i="8"/>
  <c r="H176" i="8"/>
  <c r="F176" i="8"/>
  <c r="L175" i="8"/>
  <c r="K175" i="8"/>
  <c r="J175" i="8"/>
  <c r="H175" i="8"/>
  <c r="F175" i="8"/>
  <c r="L174" i="8"/>
  <c r="K174" i="8"/>
  <c r="J174" i="8"/>
  <c r="H174" i="8"/>
  <c r="F174" i="8"/>
  <c r="L173" i="8"/>
  <c r="K173" i="8"/>
  <c r="J173" i="8"/>
  <c r="H173" i="8"/>
  <c r="F173" i="8"/>
  <c r="L172" i="8"/>
  <c r="K172" i="8"/>
  <c r="J172" i="8"/>
  <c r="H172" i="8"/>
  <c r="F172" i="8"/>
  <c r="L171" i="8"/>
  <c r="K171" i="8"/>
  <c r="J171" i="8"/>
  <c r="H171" i="8"/>
  <c r="F171" i="8"/>
  <c r="L170" i="8"/>
  <c r="K170" i="8"/>
  <c r="J170" i="8"/>
  <c r="H170" i="8"/>
  <c r="F170" i="8"/>
  <c r="L169" i="8"/>
  <c r="K169" i="8"/>
  <c r="J169" i="8"/>
  <c r="H169" i="8"/>
  <c r="F169" i="8"/>
  <c r="L168" i="8"/>
  <c r="K168" i="8"/>
  <c r="J168" i="8"/>
  <c r="H168" i="8"/>
  <c r="F168" i="8"/>
  <c r="L167" i="8"/>
  <c r="K167" i="8"/>
  <c r="J167" i="8"/>
  <c r="H167" i="8"/>
  <c r="F167" i="8"/>
  <c r="L166" i="8"/>
  <c r="K166" i="8"/>
  <c r="J166" i="8"/>
  <c r="H166" i="8"/>
  <c r="F166" i="8"/>
  <c r="L165" i="8"/>
  <c r="K165" i="8"/>
  <c r="J165" i="8"/>
  <c r="H165" i="8"/>
  <c r="F165" i="8"/>
  <c r="L164" i="8"/>
  <c r="K164" i="8"/>
  <c r="J164" i="8"/>
  <c r="H164" i="8"/>
  <c r="F164" i="8"/>
  <c r="L163" i="8"/>
  <c r="K163" i="8"/>
  <c r="J163" i="8"/>
  <c r="H163" i="8"/>
  <c r="F163" i="8"/>
  <c r="L162" i="8"/>
  <c r="K162" i="8"/>
  <c r="J162" i="8"/>
  <c r="H162" i="8"/>
  <c r="F162" i="8"/>
  <c r="L161" i="8"/>
  <c r="K161" i="8"/>
  <c r="J161" i="8"/>
  <c r="H161" i="8"/>
  <c r="F161" i="8"/>
  <c r="L160" i="8"/>
  <c r="K160" i="8"/>
  <c r="J160" i="8"/>
  <c r="H160" i="8"/>
  <c r="F160" i="8"/>
  <c r="L159" i="8"/>
  <c r="K159" i="8"/>
  <c r="J159" i="8"/>
  <c r="H159" i="8"/>
  <c r="F159" i="8"/>
  <c r="L158" i="8"/>
  <c r="K158" i="8"/>
  <c r="J158" i="8"/>
  <c r="H158" i="8"/>
  <c r="F158" i="8"/>
  <c r="L157" i="8"/>
  <c r="K157" i="8"/>
  <c r="J157" i="8"/>
  <c r="H157" i="8"/>
  <c r="F157" i="8"/>
  <c r="L156" i="8"/>
  <c r="K156" i="8"/>
  <c r="J156" i="8"/>
  <c r="H156" i="8"/>
  <c r="F156" i="8"/>
  <c r="L155" i="8"/>
  <c r="K155" i="8"/>
  <c r="J155" i="8"/>
  <c r="H155" i="8"/>
  <c r="F155" i="8"/>
  <c r="L154" i="8"/>
  <c r="K154" i="8"/>
  <c r="J154" i="8"/>
  <c r="H154" i="8"/>
  <c r="F154" i="8"/>
  <c r="L153" i="8"/>
  <c r="K153" i="8"/>
  <c r="J153" i="8"/>
  <c r="H153" i="8"/>
  <c r="F153" i="8"/>
  <c r="L152" i="8"/>
  <c r="K152" i="8"/>
  <c r="J152" i="8"/>
  <c r="H152" i="8"/>
  <c r="F152" i="8"/>
  <c r="L151" i="8"/>
  <c r="K151" i="8"/>
  <c r="J151" i="8"/>
  <c r="H151" i="8"/>
  <c r="F151" i="8"/>
  <c r="L150" i="8"/>
  <c r="K150" i="8"/>
  <c r="J150" i="8"/>
  <c r="H150" i="8"/>
  <c r="F150" i="8"/>
  <c r="L149" i="8"/>
  <c r="K149" i="8"/>
  <c r="J149" i="8"/>
  <c r="H149" i="8"/>
  <c r="F149" i="8"/>
  <c r="L148" i="8"/>
  <c r="K148" i="8"/>
  <c r="J148" i="8"/>
  <c r="H148" i="8"/>
  <c r="F148" i="8"/>
  <c r="L147" i="8"/>
  <c r="K147" i="8"/>
  <c r="J147" i="8"/>
  <c r="H147" i="8"/>
  <c r="F147" i="8"/>
  <c r="L146" i="8"/>
  <c r="K146" i="8"/>
  <c r="J146" i="8"/>
  <c r="H146" i="8"/>
  <c r="F146" i="8"/>
  <c r="L145" i="8"/>
  <c r="K145" i="8"/>
  <c r="J145" i="8"/>
  <c r="H145" i="8"/>
  <c r="F145" i="8"/>
  <c r="L144" i="8"/>
  <c r="K144" i="8"/>
  <c r="J144" i="8"/>
  <c r="H144" i="8"/>
  <c r="F144" i="8"/>
  <c r="L143" i="8"/>
  <c r="K143" i="8"/>
  <c r="J143" i="8"/>
  <c r="H143" i="8"/>
  <c r="F143" i="8"/>
  <c r="L142" i="8"/>
  <c r="K142" i="8"/>
  <c r="J142" i="8"/>
  <c r="H142" i="8"/>
  <c r="F142" i="8"/>
  <c r="L141" i="8"/>
  <c r="K141" i="8"/>
  <c r="J141" i="8"/>
  <c r="H141" i="8"/>
  <c r="F141" i="8"/>
  <c r="L140" i="8"/>
  <c r="K140" i="8"/>
  <c r="J140" i="8"/>
  <c r="H140" i="8"/>
  <c r="F140" i="8"/>
  <c r="L139" i="8"/>
  <c r="K139" i="8"/>
  <c r="J139" i="8"/>
  <c r="H139" i="8"/>
  <c r="F139" i="8"/>
  <c r="L138" i="8"/>
  <c r="K138" i="8"/>
  <c r="J138" i="8"/>
  <c r="H138" i="8"/>
  <c r="F138" i="8"/>
  <c r="L137" i="8"/>
  <c r="K137" i="8"/>
  <c r="J137" i="8"/>
  <c r="H137" i="8"/>
  <c r="F137" i="8"/>
  <c r="L136" i="8"/>
  <c r="K136" i="8"/>
  <c r="J136" i="8"/>
  <c r="H136" i="8"/>
  <c r="F136" i="8"/>
  <c r="L135" i="8"/>
  <c r="K135" i="8"/>
  <c r="J135" i="8"/>
  <c r="H135" i="8"/>
  <c r="F135" i="8"/>
  <c r="L134" i="8"/>
  <c r="K134" i="8"/>
  <c r="J134" i="8"/>
  <c r="H134" i="8"/>
  <c r="F134" i="8"/>
  <c r="L133" i="8"/>
  <c r="K133" i="8"/>
  <c r="J133" i="8"/>
  <c r="H133" i="8"/>
  <c r="F133" i="8"/>
  <c r="L132" i="8"/>
  <c r="K132" i="8"/>
  <c r="J132" i="8"/>
  <c r="H132" i="8"/>
  <c r="F132" i="8"/>
  <c r="L131" i="8"/>
  <c r="K131" i="8"/>
  <c r="J131" i="8"/>
  <c r="H131" i="8"/>
  <c r="F131" i="8"/>
  <c r="L130" i="8"/>
  <c r="K130" i="8"/>
  <c r="J130" i="8"/>
  <c r="H130" i="8"/>
  <c r="F130" i="8"/>
  <c r="L129" i="8"/>
  <c r="K129" i="8"/>
  <c r="J129" i="8"/>
  <c r="H129" i="8"/>
  <c r="F129" i="8"/>
  <c r="L128" i="8"/>
  <c r="K128" i="8"/>
  <c r="J128" i="8"/>
  <c r="H128" i="8"/>
  <c r="F128" i="8"/>
  <c r="L127" i="8"/>
  <c r="K127" i="8"/>
  <c r="J127" i="8"/>
  <c r="H127" i="8"/>
  <c r="F127" i="8"/>
  <c r="L126" i="8"/>
  <c r="K126" i="8"/>
  <c r="J126" i="8"/>
  <c r="H126" i="8"/>
  <c r="F126" i="8"/>
  <c r="L125" i="8"/>
  <c r="K125" i="8"/>
  <c r="J125" i="8"/>
  <c r="H125" i="8"/>
  <c r="F125" i="8"/>
  <c r="L124" i="8"/>
  <c r="K124" i="8"/>
  <c r="J124" i="8"/>
  <c r="H124" i="8"/>
  <c r="F124" i="8"/>
  <c r="L123" i="8"/>
  <c r="K123" i="8"/>
  <c r="J123" i="8"/>
  <c r="H123" i="8"/>
  <c r="F123" i="8"/>
  <c r="L122" i="8"/>
  <c r="K122" i="8"/>
  <c r="J122" i="8"/>
  <c r="H122" i="8"/>
  <c r="F122" i="8"/>
  <c r="L121" i="8"/>
  <c r="K121" i="8"/>
  <c r="J121" i="8"/>
  <c r="H121" i="8"/>
  <c r="F121" i="8"/>
  <c r="L120" i="8"/>
  <c r="K120" i="8"/>
  <c r="J120" i="8"/>
  <c r="H120" i="8"/>
  <c r="F120" i="8"/>
  <c r="L119" i="8"/>
  <c r="K119" i="8"/>
  <c r="J119" i="8"/>
  <c r="H119" i="8"/>
  <c r="F119" i="8"/>
  <c r="L118" i="8"/>
  <c r="K118" i="8"/>
  <c r="J118" i="8"/>
  <c r="H118" i="8"/>
  <c r="F118" i="8"/>
  <c r="L117" i="8"/>
  <c r="K117" i="8"/>
  <c r="J117" i="8"/>
  <c r="H117" i="8"/>
  <c r="F117" i="8"/>
  <c r="L116" i="8"/>
  <c r="K116" i="8"/>
  <c r="J116" i="8"/>
  <c r="H116" i="8"/>
  <c r="F116" i="8"/>
  <c r="L115" i="8"/>
  <c r="K115" i="8"/>
  <c r="J115" i="8"/>
  <c r="H115" i="8"/>
  <c r="F115" i="8"/>
  <c r="L114" i="8"/>
  <c r="K114" i="8"/>
  <c r="J114" i="8"/>
  <c r="H114" i="8"/>
  <c r="F114" i="8"/>
  <c r="L113" i="8"/>
  <c r="K113" i="8"/>
  <c r="J113" i="8"/>
  <c r="H113" i="8"/>
  <c r="F113" i="8"/>
  <c r="L112" i="8"/>
  <c r="K112" i="8"/>
  <c r="J112" i="8"/>
  <c r="H112" i="8"/>
  <c r="F112" i="8"/>
  <c r="L111" i="8"/>
  <c r="K111" i="8"/>
  <c r="J111" i="8"/>
  <c r="H111" i="8"/>
  <c r="F111" i="8"/>
  <c r="L110" i="8"/>
  <c r="K110" i="8"/>
  <c r="J110" i="8"/>
  <c r="H110" i="8"/>
  <c r="F110" i="8"/>
  <c r="L109" i="8"/>
  <c r="K109" i="8"/>
  <c r="J109" i="8"/>
  <c r="H109" i="8"/>
  <c r="F109" i="8"/>
  <c r="L108" i="8"/>
  <c r="K108" i="8"/>
  <c r="J108" i="8"/>
  <c r="H108" i="8"/>
  <c r="F108" i="8"/>
  <c r="L107" i="8"/>
  <c r="K107" i="8"/>
  <c r="J107" i="8"/>
  <c r="H107" i="8"/>
  <c r="F107" i="8"/>
  <c r="L106" i="8"/>
  <c r="K106" i="8"/>
  <c r="J106" i="8"/>
  <c r="H106" i="8"/>
  <c r="F106" i="8"/>
  <c r="L105" i="8"/>
  <c r="K105" i="8"/>
  <c r="J105" i="8"/>
  <c r="H105" i="8"/>
  <c r="F105" i="8"/>
  <c r="L104" i="8"/>
  <c r="K104" i="8"/>
  <c r="J104" i="8"/>
  <c r="H104" i="8"/>
  <c r="F104" i="8"/>
  <c r="L103" i="8"/>
  <c r="K103" i="8"/>
  <c r="J103" i="8"/>
  <c r="H103" i="8"/>
  <c r="F103" i="8"/>
  <c r="L102" i="8"/>
  <c r="K102" i="8"/>
  <c r="J102" i="8"/>
  <c r="H102" i="8"/>
  <c r="F102" i="8"/>
  <c r="L101" i="8"/>
  <c r="K101" i="8"/>
  <c r="J101" i="8"/>
  <c r="H101" i="8"/>
  <c r="F101" i="8"/>
  <c r="L100" i="8"/>
  <c r="K100" i="8"/>
  <c r="J100" i="8"/>
  <c r="H100" i="8"/>
  <c r="F100" i="8"/>
  <c r="L99" i="8"/>
  <c r="K99" i="8"/>
  <c r="J99" i="8"/>
  <c r="H99" i="8"/>
  <c r="F99" i="8"/>
  <c r="L98" i="8"/>
  <c r="K98" i="8"/>
  <c r="J98" i="8"/>
  <c r="H98" i="8"/>
  <c r="F98" i="8"/>
  <c r="L97" i="8"/>
  <c r="K97" i="8"/>
  <c r="J97" i="8"/>
  <c r="H97" i="8"/>
  <c r="F97" i="8"/>
  <c r="L96" i="8"/>
  <c r="K96" i="8"/>
  <c r="J96" i="8"/>
  <c r="H96" i="8"/>
  <c r="F96" i="8"/>
  <c r="L95" i="8"/>
  <c r="K95" i="8"/>
  <c r="J95" i="8"/>
  <c r="H95" i="8"/>
  <c r="F95" i="8"/>
  <c r="L94" i="8"/>
  <c r="K94" i="8"/>
  <c r="J94" i="8"/>
  <c r="H94" i="8"/>
  <c r="F94" i="8"/>
  <c r="L93" i="8"/>
  <c r="K93" i="8"/>
  <c r="J93" i="8"/>
  <c r="H93" i="8"/>
  <c r="F93" i="8"/>
  <c r="L92" i="8"/>
  <c r="K92" i="8"/>
  <c r="J92" i="8"/>
  <c r="H92" i="8"/>
  <c r="F92" i="8"/>
  <c r="L91" i="8"/>
  <c r="K91" i="8"/>
  <c r="J91" i="8"/>
  <c r="H91" i="8"/>
  <c r="F91" i="8"/>
  <c r="L90" i="8"/>
  <c r="K90" i="8"/>
  <c r="J90" i="8"/>
  <c r="H90" i="8"/>
  <c r="F90" i="8"/>
  <c r="L89" i="8"/>
  <c r="K89" i="8"/>
  <c r="J89" i="8"/>
  <c r="H89" i="8"/>
  <c r="F89" i="8"/>
  <c r="L88" i="8"/>
  <c r="K88" i="8"/>
  <c r="J88" i="8"/>
  <c r="H88" i="8"/>
  <c r="F88" i="8"/>
  <c r="L87" i="8"/>
  <c r="K87" i="8"/>
  <c r="J87" i="8"/>
  <c r="H87" i="8"/>
  <c r="F87" i="8"/>
  <c r="L86" i="8"/>
  <c r="K86" i="8"/>
  <c r="J86" i="8"/>
  <c r="H86" i="8"/>
  <c r="F86" i="8"/>
  <c r="L85" i="8"/>
  <c r="K85" i="8"/>
  <c r="J85" i="8"/>
  <c r="H85" i="8"/>
  <c r="F85" i="8"/>
  <c r="L84" i="8"/>
  <c r="K84" i="8"/>
  <c r="J84" i="8"/>
  <c r="H84" i="8"/>
  <c r="F84" i="8"/>
  <c r="L83" i="8"/>
  <c r="K83" i="8"/>
  <c r="J83" i="8"/>
  <c r="H83" i="8"/>
  <c r="F83" i="8"/>
  <c r="L82" i="8"/>
  <c r="K82" i="8"/>
  <c r="J82" i="8"/>
  <c r="H82" i="8"/>
  <c r="F82" i="8"/>
  <c r="L81" i="8"/>
  <c r="K81" i="8"/>
  <c r="J81" i="8"/>
  <c r="H81" i="8"/>
  <c r="F81" i="8"/>
  <c r="L80" i="8"/>
  <c r="K80" i="8"/>
  <c r="J80" i="8"/>
  <c r="H80" i="8"/>
  <c r="F80" i="8"/>
  <c r="L79" i="8"/>
  <c r="K79" i="8"/>
  <c r="J79" i="8"/>
  <c r="H79" i="8"/>
  <c r="F79" i="8"/>
  <c r="L78" i="8"/>
  <c r="K78" i="8"/>
  <c r="J78" i="8"/>
  <c r="H78" i="8"/>
  <c r="F78" i="8"/>
  <c r="L77" i="8"/>
  <c r="K77" i="8"/>
  <c r="J77" i="8"/>
  <c r="H77" i="8"/>
  <c r="F77" i="8"/>
  <c r="L76" i="8"/>
  <c r="K76" i="8"/>
  <c r="J76" i="8"/>
  <c r="H76" i="8"/>
  <c r="F76" i="8"/>
  <c r="L75" i="8"/>
  <c r="K75" i="8"/>
  <c r="J75" i="8"/>
  <c r="H75" i="8"/>
  <c r="F75" i="8"/>
  <c r="L74" i="8"/>
  <c r="K74" i="8"/>
  <c r="J74" i="8"/>
  <c r="H74" i="8"/>
  <c r="F74" i="8"/>
  <c r="L73" i="8"/>
  <c r="K73" i="8"/>
  <c r="J73" i="8"/>
  <c r="H73" i="8"/>
  <c r="F73" i="8"/>
  <c r="L72" i="8"/>
  <c r="K72" i="8"/>
  <c r="J72" i="8"/>
  <c r="H72" i="8"/>
  <c r="F72" i="8"/>
  <c r="L71" i="8"/>
  <c r="K71" i="8"/>
  <c r="J71" i="8"/>
  <c r="H71" i="8"/>
  <c r="F71" i="8"/>
  <c r="L70" i="8"/>
  <c r="K70" i="8"/>
  <c r="J70" i="8"/>
  <c r="H70" i="8"/>
  <c r="F70" i="8"/>
  <c r="L69" i="8"/>
  <c r="K69" i="8"/>
  <c r="J69" i="8"/>
  <c r="H69" i="8"/>
  <c r="F69" i="8"/>
  <c r="L68" i="8"/>
  <c r="K68" i="8"/>
  <c r="J68" i="8"/>
  <c r="H68" i="8"/>
  <c r="F68" i="8"/>
  <c r="L67" i="8"/>
  <c r="K67" i="8"/>
  <c r="J67" i="8"/>
  <c r="H67" i="8"/>
  <c r="F67" i="8"/>
  <c r="L66" i="8"/>
  <c r="K66" i="8"/>
  <c r="J66" i="8"/>
  <c r="H66" i="8"/>
  <c r="F66" i="8"/>
  <c r="L65" i="8"/>
  <c r="K65" i="8"/>
  <c r="J65" i="8"/>
  <c r="H65" i="8"/>
  <c r="F65" i="8"/>
  <c r="L64" i="8"/>
  <c r="K64" i="8"/>
  <c r="J64" i="8"/>
  <c r="H64" i="8"/>
  <c r="F64" i="8"/>
  <c r="L63" i="8"/>
  <c r="K63" i="8"/>
  <c r="J63" i="8"/>
  <c r="H63" i="8"/>
  <c r="F63" i="8"/>
  <c r="L62" i="8"/>
  <c r="K62" i="8"/>
  <c r="J62" i="8"/>
  <c r="H62" i="8"/>
  <c r="F62" i="8"/>
  <c r="L61" i="8"/>
  <c r="K61" i="8"/>
  <c r="J61" i="8"/>
  <c r="H61" i="8"/>
  <c r="F61" i="8"/>
  <c r="L60" i="8"/>
  <c r="K60" i="8"/>
  <c r="J60" i="8"/>
  <c r="H60" i="8"/>
  <c r="F60" i="8"/>
  <c r="L59" i="8"/>
  <c r="K59" i="8"/>
  <c r="J59" i="8"/>
  <c r="H59" i="8"/>
  <c r="F59" i="8"/>
  <c r="L58" i="8"/>
  <c r="K58" i="8"/>
  <c r="J58" i="8"/>
  <c r="H58" i="8"/>
  <c r="F58" i="8"/>
  <c r="L57" i="8"/>
  <c r="K57" i="8"/>
  <c r="J57" i="8"/>
  <c r="H57" i="8"/>
  <c r="F57" i="8"/>
  <c r="L56" i="8"/>
  <c r="K56" i="8"/>
  <c r="J56" i="8"/>
  <c r="H56" i="8"/>
  <c r="F56" i="8"/>
  <c r="L55" i="8"/>
  <c r="K55" i="8"/>
  <c r="J55" i="8"/>
  <c r="H55" i="8"/>
  <c r="F55" i="8"/>
  <c r="L54" i="8"/>
  <c r="K54" i="8"/>
  <c r="J54" i="8"/>
  <c r="H54" i="8"/>
  <c r="F54" i="8"/>
  <c r="L53" i="8"/>
  <c r="K53" i="8"/>
  <c r="J53" i="8"/>
  <c r="H53" i="8"/>
  <c r="F53" i="8"/>
  <c r="L52" i="8"/>
  <c r="K52" i="8"/>
  <c r="J52" i="8"/>
  <c r="H52" i="8"/>
  <c r="F52" i="8"/>
  <c r="L51" i="8"/>
  <c r="K51" i="8"/>
  <c r="J51" i="8"/>
  <c r="H51" i="8"/>
  <c r="F51" i="8"/>
  <c r="L50" i="8"/>
  <c r="K50" i="8"/>
  <c r="J50" i="8"/>
  <c r="H50" i="8"/>
  <c r="F50" i="8"/>
  <c r="L49" i="8"/>
  <c r="K49" i="8"/>
  <c r="J49" i="8"/>
  <c r="H49" i="8"/>
  <c r="F49" i="8"/>
  <c r="L48" i="8"/>
  <c r="K48" i="8"/>
  <c r="J48" i="8"/>
  <c r="H48" i="8"/>
  <c r="F48" i="8"/>
  <c r="L47" i="8"/>
  <c r="K47" i="8"/>
  <c r="J47" i="8"/>
  <c r="H47" i="8"/>
  <c r="F47" i="8"/>
  <c r="L46" i="8"/>
  <c r="K46" i="8"/>
  <c r="J46" i="8"/>
  <c r="H46" i="8"/>
  <c r="F46" i="8"/>
  <c r="L45" i="8"/>
  <c r="K45" i="8"/>
  <c r="J45" i="8"/>
  <c r="H45" i="8"/>
  <c r="F45" i="8"/>
  <c r="L44" i="8"/>
  <c r="K44" i="8"/>
  <c r="J44" i="8"/>
  <c r="H44" i="8"/>
  <c r="F44" i="8"/>
  <c r="L43" i="8"/>
  <c r="K43" i="8"/>
  <c r="J43" i="8"/>
  <c r="H43" i="8"/>
  <c r="F43" i="8"/>
  <c r="L42" i="8"/>
  <c r="K42" i="8"/>
  <c r="J42" i="8"/>
  <c r="H42" i="8"/>
  <c r="F42" i="8"/>
  <c r="L41" i="8"/>
  <c r="K41" i="8"/>
  <c r="J41" i="8"/>
  <c r="H41" i="8"/>
  <c r="F41" i="8"/>
  <c r="L40" i="8"/>
  <c r="K40" i="8"/>
  <c r="J40" i="8"/>
  <c r="H40" i="8"/>
  <c r="F40" i="8"/>
  <c r="L39" i="8"/>
  <c r="K39" i="8"/>
  <c r="J39" i="8"/>
  <c r="H39" i="8"/>
  <c r="F39" i="8"/>
  <c r="L38" i="8"/>
  <c r="K38" i="8"/>
  <c r="J38" i="8"/>
  <c r="H38" i="8"/>
  <c r="F38" i="8"/>
  <c r="L37" i="8"/>
  <c r="K37" i="8"/>
  <c r="J37" i="8"/>
  <c r="H37" i="8"/>
  <c r="F37" i="8"/>
  <c r="L36" i="8"/>
  <c r="K36" i="8"/>
  <c r="J36" i="8"/>
  <c r="H36" i="8"/>
  <c r="F36" i="8"/>
  <c r="L35" i="8"/>
  <c r="K35" i="8"/>
  <c r="J35" i="8"/>
  <c r="H35" i="8"/>
  <c r="F35" i="8"/>
  <c r="L34" i="8"/>
  <c r="K34" i="8"/>
  <c r="J34" i="8"/>
  <c r="H34" i="8"/>
  <c r="F34" i="8"/>
  <c r="L33" i="8"/>
  <c r="K33" i="8"/>
  <c r="J33" i="8"/>
  <c r="H33" i="8"/>
  <c r="F33" i="8"/>
  <c r="L32" i="8"/>
  <c r="K32" i="8"/>
  <c r="J32" i="8"/>
  <c r="H32" i="8"/>
  <c r="F32" i="8"/>
  <c r="L31" i="8"/>
  <c r="K31" i="8"/>
  <c r="J31" i="8"/>
  <c r="H31" i="8"/>
  <c r="F31" i="8"/>
  <c r="L30" i="8"/>
  <c r="K30" i="8"/>
  <c r="J30" i="8"/>
  <c r="H30" i="8"/>
  <c r="F30" i="8"/>
  <c r="L29" i="8"/>
  <c r="K29" i="8"/>
  <c r="J29" i="8"/>
  <c r="H29" i="8"/>
  <c r="F29" i="8"/>
  <c r="L28" i="8"/>
  <c r="K28" i="8"/>
  <c r="J28" i="8"/>
  <c r="H28" i="8"/>
  <c r="F28" i="8"/>
  <c r="L27" i="8"/>
  <c r="K27" i="8"/>
  <c r="J27" i="8"/>
  <c r="H27" i="8"/>
  <c r="F27" i="8"/>
  <c r="L26" i="8"/>
  <c r="K26" i="8"/>
  <c r="J26" i="8"/>
  <c r="H26" i="8"/>
  <c r="F26" i="8"/>
  <c r="L25" i="8"/>
  <c r="K25" i="8"/>
  <c r="J25" i="8"/>
  <c r="H25" i="8"/>
  <c r="F25" i="8"/>
  <c r="L24" i="8"/>
  <c r="K24" i="8"/>
  <c r="J24" i="8"/>
  <c r="H24" i="8"/>
  <c r="F24" i="8"/>
  <c r="L23" i="8"/>
  <c r="K23" i="8"/>
  <c r="J23" i="8"/>
  <c r="H23" i="8"/>
  <c r="F23" i="8"/>
  <c r="L22" i="8"/>
  <c r="K22" i="8"/>
  <c r="J22" i="8"/>
  <c r="H22" i="8"/>
  <c r="F22" i="8"/>
  <c r="L21" i="8"/>
  <c r="K21" i="8"/>
  <c r="J21" i="8"/>
  <c r="H21" i="8"/>
  <c r="F21" i="8"/>
  <c r="L20" i="8"/>
  <c r="K20" i="8"/>
  <c r="J20" i="8"/>
  <c r="H20" i="8"/>
  <c r="F20" i="8"/>
  <c r="L19" i="8"/>
  <c r="K19" i="8"/>
  <c r="J19" i="8"/>
  <c r="H19" i="8"/>
  <c r="F19" i="8"/>
  <c r="L18" i="8"/>
  <c r="K18" i="8"/>
  <c r="J18" i="8"/>
  <c r="H18" i="8"/>
  <c r="F18" i="8"/>
  <c r="L17" i="8"/>
  <c r="K17" i="8"/>
  <c r="J17" i="8"/>
  <c r="H17" i="8"/>
  <c r="F17" i="8"/>
  <c r="L16" i="8"/>
  <c r="K16" i="8"/>
  <c r="J16" i="8"/>
  <c r="H16" i="8"/>
  <c r="F16" i="8"/>
  <c r="L15" i="8"/>
  <c r="K15" i="8"/>
  <c r="J15" i="8"/>
  <c r="H15" i="8"/>
  <c r="F15" i="8"/>
  <c r="L14" i="8"/>
  <c r="K14" i="8"/>
  <c r="J14" i="8"/>
  <c r="H14" i="8"/>
  <c r="F14" i="8"/>
  <c r="L13" i="8"/>
  <c r="K13" i="8"/>
  <c r="J13" i="8"/>
  <c r="H13" i="8"/>
  <c r="F13" i="8"/>
  <c r="L12" i="8"/>
  <c r="K12" i="8"/>
  <c r="J12" i="8"/>
  <c r="H12" i="8"/>
  <c r="F12" i="8"/>
  <c r="L11" i="8"/>
  <c r="K11" i="8"/>
  <c r="J11" i="8"/>
  <c r="H11" i="8"/>
  <c r="F11" i="8"/>
  <c r="L10" i="8"/>
  <c r="K10" i="8"/>
  <c r="J10" i="8"/>
  <c r="H10" i="8"/>
  <c r="F10" i="8"/>
  <c r="L9" i="8"/>
  <c r="K9" i="8"/>
  <c r="J9" i="8"/>
  <c r="H9" i="8"/>
  <c r="F9" i="8"/>
  <c r="L8" i="8"/>
  <c r="K8" i="8"/>
  <c r="J8" i="8"/>
  <c r="H8" i="8"/>
  <c r="F8" i="8"/>
  <c r="L7" i="8"/>
  <c r="K7" i="8"/>
  <c r="J7" i="8"/>
  <c r="H7" i="8"/>
  <c r="F7" i="8"/>
  <c r="L6" i="8"/>
  <c r="K6" i="8"/>
  <c r="J6" i="8"/>
  <c r="H6" i="8"/>
  <c r="F6" i="8"/>
  <c r="L5" i="8"/>
  <c r="K5" i="8"/>
  <c r="J5" i="8"/>
  <c r="H5" i="8"/>
  <c r="F5" i="8"/>
  <c r="L4" i="8"/>
  <c r="K4" i="8"/>
  <c r="J4" i="8"/>
  <c r="H4" i="8"/>
  <c r="F4" i="8"/>
  <c r="L3" i="8"/>
  <c r="K3" i="8"/>
  <c r="J3" i="8"/>
  <c r="H3" i="8"/>
  <c r="F3" i="8"/>
  <c r="L2" i="8"/>
  <c r="K2" i="8"/>
  <c r="J2" i="8"/>
  <c r="H2" i="8"/>
  <c r="F2" i="8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I21" i="5"/>
  <c r="H21" i="5"/>
  <c r="F21" i="5"/>
  <c r="E21" i="5"/>
  <c r="D21" i="5"/>
  <c r="C21" i="5"/>
  <c r="I20" i="5"/>
  <c r="H20" i="5"/>
  <c r="F20" i="5"/>
  <c r="E20" i="5"/>
  <c r="D20" i="5"/>
  <c r="C20" i="5"/>
  <c r="I19" i="5"/>
  <c r="H19" i="5"/>
  <c r="F19" i="5"/>
  <c r="E19" i="5"/>
  <c r="D19" i="5"/>
  <c r="C19" i="5"/>
  <c r="I18" i="5"/>
  <c r="H18" i="5"/>
  <c r="F18" i="5"/>
  <c r="E18" i="5"/>
  <c r="D18" i="5"/>
  <c r="C18" i="5"/>
  <c r="I17" i="5"/>
  <c r="H17" i="5"/>
  <c r="F17" i="5"/>
  <c r="E17" i="5"/>
  <c r="D17" i="5"/>
  <c r="C17" i="5"/>
  <c r="I16" i="5"/>
  <c r="H16" i="5"/>
  <c r="F16" i="5"/>
  <c r="E16" i="5"/>
  <c r="D16" i="5"/>
  <c r="C16" i="5"/>
  <c r="I15" i="5"/>
  <c r="H15" i="5"/>
  <c r="F15" i="5"/>
  <c r="E15" i="5"/>
  <c r="D15" i="5"/>
  <c r="C15" i="5"/>
  <c r="I14" i="5"/>
  <c r="H14" i="5"/>
  <c r="F14" i="5"/>
  <c r="E14" i="5"/>
  <c r="D14" i="5"/>
  <c r="C14" i="5"/>
  <c r="I13" i="5"/>
  <c r="H13" i="5"/>
  <c r="F13" i="5"/>
  <c r="E13" i="5"/>
  <c r="D13" i="5"/>
  <c r="C13" i="5"/>
  <c r="I12" i="5"/>
  <c r="H12" i="5"/>
  <c r="F12" i="5"/>
  <c r="E12" i="5"/>
  <c r="D12" i="5"/>
  <c r="C12" i="5"/>
  <c r="I11" i="5"/>
  <c r="H11" i="5"/>
  <c r="F11" i="5"/>
  <c r="E11" i="5"/>
  <c r="D11" i="5"/>
  <c r="C11" i="5"/>
  <c r="I10" i="5"/>
  <c r="H10" i="5"/>
  <c r="F10" i="5"/>
  <c r="E10" i="5"/>
  <c r="D10" i="5"/>
  <c r="C10" i="5"/>
  <c r="I9" i="5"/>
  <c r="H9" i="5"/>
  <c r="F9" i="5"/>
  <c r="E9" i="5"/>
  <c r="D9" i="5"/>
  <c r="C9" i="5"/>
  <c r="I8" i="5"/>
  <c r="H8" i="5"/>
  <c r="F8" i="5"/>
  <c r="E8" i="5"/>
  <c r="D8" i="5"/>
  <c r="C8" i="5"/>
  <c r="I7" i="5"/>
  <c r="H7" i="5"/>
  <c r="F7" i="5"/>
  <c r="E7" i="5"/>
  <c r="D7" i="5"/>
  <c r="C7" i="5"/>
  <c r="I6" i="5"/>
  <c r="H6" i="5"/>
  <c r="F6" i="5"/>
  <c r="E6" i="5"/>
  <c r="D6" i="5"/>
  <c r="C6" i="5"/>
  <c r="E5" i="5"/>
  <c r="H5" i="5" s="1"/>
  <c r="I5" i="5" s="1"/>
  <c r="D5" i="5"/>
  <c r="F5" i="5" s="1"/>
  <c r="C5" i="5"/>
  <c r="E4" i="5"/>
  <c r="H4" i="5" s="1"/>
  <c r="I4" i="5" s="1"/>
  <c r="D4" i="5"/>
  <c r="F4" i="5" s="1"/>
  <c r="C4" i="5"/>
  <c r="E3" i="5"/>
  <c r="H3" i="5" s="1"/>
  <c r="I3" i="5" s="1"/>
  <c r="D3" i="5"/>
  <c r="F3" i="5" s="1"/>
  <c r="C3" i="5"/>
  <c r="H2" i="5"/>
  <c r="I2" i="5" s="1"/>
  <c r="F2" i="5"/>
  <c r="E2" i="5"/>
  <c r="D2" i="5"/>
  <c r="C2" i="5"/>
  <c r="H120" i="4"/>
  <c r="G120" i="4"/>
  <c r="D120" i="4"/>
  <c r="K120" i="4" s="1"/>
  <c r="K119" i="4"/>
  <c r="J119" i="4"/>
  <c r="I119" i="4"/>
  <c r="H119" i="4"/>
  <c r="G119" i="4"/>
  <c r="D119" i="4"/>
  <c r="H118" i="4"/>
  <c r="G118" i="4"/>
  <c r="D118" i="4"/>
  <c r="K118" i="4" s="1"/>
  <c r="K117" i="4"/>
  <c r="J117" i="4"/>
  <c r="I117" i="4"/>
  <c r="H117" i="4"/>
  <c r="G117" i="4"/>
  <c r="D117" i="4"/>
  <c r="H116" i="4"/>
  <c r="G116" i="4"/>
  <c r="D116" i="4"/>
  <c r="K116" i="4" s="1"/>
  <c r="K115" i="4"/>
  <c r="J115" i="4"/>
  <c r="I115" i="4"/>
  <c r="H115" i="4"/>
  <c r="G115" i="4"/>
  <c r="D115" i="4"/>
  <c r="H114" i="4"/>
  <c r="G114" i="4"/>
  <c r="D114" i="4"/>
  <c r="K114" i="4" s="1"/>
  <c r="K113" i="4"/>
  <c r="J113" i="4"/>
  <c r="I113" i="4"/>
  <c r="H113" i="4"/>
  <c r="G113" i="4"/>
  <c r="D113" i="4"/>
  <c r="H112" i="4"/>
  <c r="G112" i="4"/>
  <c r="D112" i="4"/>
  <c r="K112" i="4" s="1"/>
  <c r="K111" i="4"/>
  <c r="J111" i="4"/>
  <c r="I111" i="4"/>
  <c r="H111" i="4"/>
  <c r="G111" i="4"/>
  <c r="D111" i="4"/>
  <c r="H110" i="4"/>
  <c r="G110" i="4"/>
  <c r="D110" i="4"/>
  <c r="K110" i="4" s="1"/>
  <c r="K109" i="4"/>
  <c r="J109" i="4"/>
  <c r="I109" i="4"/>
  <c r="H109" i="4"/>
  <c r="G109" i="4"/>
  <c r="D109" i="4"/>
  <c r="H108" i="4"/>
  <c r="G108" i="4"/>
  <c r="D108" i="4"/>
  <c r="K108" i="4" s="1"/>
  <c r="K107" i="4"/>
  <c r="J107" i="4"/>
  <c r="I107" i="4"/>
  <c r="H107" i="4"/>
  <c r="G107" i="4"/>
  <c r="D107" i="4"/>
  <c r="H106" i="4"/>
  <c r="G106" i="4"/>
  <c r="D106" i="4"/>
  <c r="K106" i="4" s="1"/>
  <c r="K105" i="4"/>
  <c r="J105" i="4"/>
  <c r="I105" i="4"/>
  <c r="H105" i="4"/>
  <c r="G105" i="4"/>
  <c r="D105" i="4"/>
  <c r="H104" i="4"/>
  <c r="G104" i="4"/>
  <c r="D104" i="4"/>
  <c r="K104" i="4" s="1"/>
  <c r="K103" i="4"/>
  <c r="J103" i="4"/>
  <c r="I103" i="4"/>
  <c r="H103" i="4"/>
  <c r="G103" i="4"/>
  <c r="D103" i="4"/>
  <c r="H102" i="4"/>
  <c r="G102" i="4"/>
  <c r="D102" i="4"/>
  <c r="K102" i="4" s="1"/>
  <c r="K101" i="4"/>
  <c r="J101" i="4"/>
  <c r="I101" i="4"/>
  <c r="H101" i="4"/>
  <c r="G101" i="4"/>
  <c r="D101" i="4"/>
  <c r="H100" i="4"/>
  <c r="G100" i="4"/>
  <c r="D100" i="4"/>
  <c r="K100" i="4" s="1"/>
  <c r="K99" i="4"/>
  <c r="J99" i="4"/>
  <c r="I99" i="4"/>
  <c r="H99" i="4"/>
  <c r="G99" i="4"/>
  <c r="D99" i="4"/>
  <c r="H98" i="4"/>
  <c r="G98" i="4"/>
  <c r="D98" i="4"/>
  <c r="K98" i="4" s="1"/>
  <c r="K97" i="4"/>
  <c r="J97" i="4"/>
  <c r="I97" i="4"/>
  <c r="H97" i="4"/>
  <c r="G97" i="4"/>
  <c r="D97" i="4"/>
  <c r="H96" i="4"/>
  <c r="G96" i="4"/>
  <c r="D96" i="4"/>
  <c r="K96" i="4" s="1"/>
  <c r="K95" i="4"/>
  <c r="J95" i="4"/>
  <c r="I95" i="4"/>
  <c r="H95" i="4"/>
  <c r="G95" i="4"/>
  <c r="D95" i="4"/>
  <c r="H94" i="4"/>
  <c r="G94" i="4"/>
  <c r="D94" i="4"/>
  <c r="K94" i="4" s="1"/>
  <c r="K93" i="4"/>
  <c r="J93" i="4"/>
  <c r="I93" i="4"/>
  <c r="H93" i="4"/>
  <c r="G93" i="4"/>
  <c r="D93" i="4"/>
  <c r="H92" i="4"/>
  <c r="G92" i="4"/>
  <c r="D92" i="4"/>
  <c r="K92" i="4" s="1"/>
  <c r="K91" i="4"/>
  <c r="J91" i="4"/>
  <c r="I91" i="4"/>
  <c r="H91" i="4"/>
  <c r="G91" i="4"/>
  <c r="D91" i="4"/>
  <c r="H90" i="4"/>
  <c r="G90" i="4"/>
  <c r="D90" i="4"/>
  <c r="K90" i="4" s="1"/>
  <c r="K89" i="4"/>
  <c r="J89" i="4"/>
  <c r="I89" i="4"/>
  <c r="H89" i="4"/>
  <c r="G89" i="4"/>
  <c r="D89" i="4"/>
  <c r="H88" i="4"/>
  <c r="G88" i="4"/>
  <c r="D88" i="4"/>
  <c r="K88" i="4" s="1"/>
  <c r="K87" i="4"/>
  <c r="J87" i="4"/>
  <c r="I87" i="4"/>
  <c r="H87" i="4"/>
  <c r="G87" i="4"/>
  <c r="D87" i="4"/>
  <c r="H86" i="4"/>
  <c r="G86" i="4"/>
  <c r="D86" i="4"/>
  <c r="K86" i="4" s="1"/>
  <c r="K85" i="4"/>
  <c r="H85" i="4"/>
  <c r="I85" i="4" s="1"/>
  <c r="J85" i="4" s="1"/>
  <c r="G85" i="4"/>
  <c r="D85" i="4"/>
  <c r="H84" i="4"/>
  <c r="G84" i="4"/>
  <c r="D84" i="4"/>
  <c r="K84" i="4" s="1"/>
  <c r="H83" i="4"/>
  <c r="I83" i="4" s="1"/>
  <c r="G83" i="4"/>
  <c r="K83" i="4" s="1"/>
  <c r="D83" i="4"/>
  <c r="H82" i="4"/>
  <c r="G82" i="4"/>
  <c r="D82" i="4"/>
  <c r="K82" i="4" s="1"/>
  <c r="H81" i="4"/>
  <c r="I81" i="4" s="1"/>
  <c r="G81" i="4"/>
  <c r="K81" i="4" s="1"/>
  <c r="D81" i="4"/>
  <c r="H80" i="4"/>
  <c r="G80" i="4"/>
  <c r="D80" i="4"/>
  <c r="H79" i="4"/>
  <c r="I79" i="4" s="1"/>
  <c r="G79" i="4"/>
  <c r="D79" i="4"/>
  <c r="H78" i="4"/>
  <c r="G78" i="4"/>
  <c r="D78" i="4"/>
  <c r="H77" i="4"/>
  <c r="I77" i="4" s="1"/>
  <c r="G77" i="4"/>
  <c r="D77" i="4"/>
  <c r="H76" i="4"/>
  <c r="G76" i="4"/>
  <c r="D76" i="4"/>
  <c r="H75" i="4"/>
  <c r="I75" i="4" s="1"/>
  <c r="G75" i="4"/>
  <c r="D75" i="4"/>
  <c r="H74" i="4"/>
  <c r="G74" i="4"/>
  <c r="D74" i="4"/>
  <c r="H73" i="4"/>
  <c r="I73" i="4" s="1"/>
  <c r="G73" i="4"/>
  <c r="D73" i="4"/>
  <c r="H72" i="4"/>
  <c r="G72" i="4"/>
  <c r="D72" i="4"/>
  <c r="H71" i="4"/>
  <c r="I71" i="4" s="1"/>
  <c r="G71" i="4"/>
  <c r="D71" i="4"/>
  <c r="H70" i="4"/>
  <c r="G70" i="4"/>
  <c r="D70" i="4"/>
  <c r="H69" i="4"/>
  <c r="I69" i="4" s="1"/>
  <c r="G69" i="4"/>
  <c r="D69" i="4"/>
  <c r="H68" i="4"/>
  <c r="G68" i="4"/>
  <c r="D68" i="4"/>
  <c r="H67" i="4"/>
  <c r="I67" i="4" s="1"/>
  <c r="G67" i="4"/>
  <c r="D67" i="4"/>
  <c r="H66" i="4"/>
  <c r="G66" i="4"/>
  <c r="D66" i="4"/>
  <c r="H65" i="4"/>
  <c r="I65" i="4" s="1"/>
  <c r="G65" i="4"/>
  <c r="D65" i="4"/>
  <c r="H64" i="4"/>
  <c r="G64" i="4"/>
  <c r="D64" i="4"/>
  <c r="H63" i="4"/>
  <c r="I63" i="4" s="1"/>
  <c r="G63" i="4"/>
  <c r="D63" i="4"/>
  <c r="H62" i="4"/>
  <c r="G62" i="4"/>
  <c r="D62" i="4"/>
  <c r="H61" i="4"/>
  <c r="I61" i="4" s="1"/>
  <c r="G61" i="4"/>
  <c r="D61" i="4"/>
  <c r="H60" i="4"/>
  <c r="G60" i="4"/>
  <c r="D60" i="4"/>
  <c r="H59" i="4"/>
  <c r="I59" i="4" s="1"/>
  <c r="G59" i="4"/>
  <c r="D59" i="4"/>
  <c r="H58" i="4"/>
  <c r="G58" i="4"/>
  <c r="D58" i="4"/>
  <c r="H57" i="4"/>
  <c r="I57" i="4" s="1"/>
  <c r="G57" i="4"/>
  <c r="D57" i="4"/>
  <c r="H56" i="4"/>
  <c r="G56" i="4"/>
  <c r="D56" i="4"/>
  <c r="H55" i="4"/>
  <c r="I55" i="4" s="1"/>
  <c r="G55" i="4"/>
  <c r="D55" i="4"/>
  <c r="H54" i="4"/>
  <c r="G54" i="4"/>
  <c r="D54" i="4"/>
  <c r="H53" i="4"/>
  <c r="I53" i="4" s="1"/>
  <c r="G53" i="4"/>
  <c r="D53" i="4"/>
  <c r="H52" i="4"/>
  <c r="G52" i="4"/>
  <c r="D52" i="4"/>
  <c r="H51" i="4"/>
  <c r="I51" i="4" s="1"/>
  <c r="G51" i="4"/>
  <c r="D51" i="4"/>
  <c r="H50" i="4"/>
  <c r="G50" i="4"/>
  <c r="D50" i="4"/>
  <c r="H49" i="4"/>
  <c r="I49" i="4" s="1"/>
  <c r="G49" i="4"/>
  <c r="D49" i="4"/>
  <c r="H48" i="4"/>
  <c r="G48" i="4"/>
  <c r="D48" i="4"/>
  <c r="H47" i="4"/>
  <c r="I47" i="4" s="1"/>
  <c r="G47" i="4"/>
  <c r="D47" i="4"/>
  <c r="H46" i="4"/>
  <c r="G46" i="4"/>
  <c r="D46" i="4"/>
  <c r="H45" i="4"/>
  <c r="I45" i="4" s="1"/>
  <c r="G45" i="4"/>
  <c r="D45" i="4"/>
  <c r="H44" i="4"/>
  <c r="G44" i="4"/>
  <c r="D44" i="4"/>
  <c r="H43" i="4"/>
  <c r="I43" i="4" s="1"/>
  <c r="G43" i="4"/>
  <c r="D43" i="4"/>
  <c r="H42" i="4"/>
  <c r="G42" i="4"/>
  <c r="D42" i="4"/>
  <c r="H41" i="4"/>
  <c r="I41" i="4" s="1"/>
  <c r="G41" i="4"/>
  <c r="D41" i="4"/>
  <c r="H40" i="4"/>
  <c r="G40" i="4"/>
  <c r="D40" i="4"/>
  <c r="H39" i="4"/>
  <c r="I39" i="4" s="1"/>
  <c r="G39" i="4"/>
  <c r="D39" i="4"/>
  <c r="H38" i="4"/>
  <c r="G38" i="4"/>
  <c r="D38" i="4"/>
  <c r="H37" i="4"/>
  <c r="I37" i="4" s="1"/>
  <c r="G37" i="4"/>
  <c r="D37" i="4"/>
  <c r="H36" i="4"/>
  <c r="G36" i="4"/>
  <c r="D36" i="4"/>
  <c r="H35" i="4"/>
  <c r="I35" i="4" s="1"/>
  <c r="G35" i="4"/>
  <c r="D35" i="4"/>
  <c r="H34" i="4"/>
  <c r="G34" i="4"/>
  <c r="D34" i="4"/>
  <c r="H33" i="4"/>
  <c r="I33" i="4" s="1"/>
  <c r="G33" i="4"/>
  <c r="D33" i="4"/>
  <c r="H32" i="4"/>
  <c r="G32" i="4"/>
  <c r="D32" i="4"/>
  <c r="H31" i="4"/>
  <c r="I31" i="4" s="1"/>
  <c r="G31" i="4"/>
  <c r="D31" i="4"/>
  <c r="H30" i="4"/>
  <c r="G30" i="4"/>
  <c r="D30" i="4"/>
  <c r="H29" i="4"/>
  <c r="I29" i="4" s="1"/>
  <c r="G29" i="4"/>
  <c r="D29" i="4"/>
  <c r="H28" i="4"/>
  <c r="G28" i="4"/>
  <c r="D28" i="4"/>
  <c r="H27" i="4"/>
  <c r="I27" i="4" s="1"/>
  <c r="G27" i="4"/>
  <c r="D27" i="4"/>
  <c r="H26" i="4"/>
  <c r="G26" i="4"/>
  <c r="D26" i="4"/>
  <c r="H25" i="4"/>
  <c r="I25" i="4" s="1"/>
  <c r="G25" i="4"/>
  <c r="D25" i="4"/>
  <c r="H24" i="4"/>
  <c r="G24" i="4"/>
  <c r="D24" i="4"/>
  <c r="H23" i="4"/>
  <c r="I23" i="4" s="1"/>
  <c r="G23" i="4"/>
  <c r="D23" i="4"/>
  <c r="H22" i="4"/>
  <c r="G22" i="4"/>
  <c r="D22" i="4"/>
  <c r="H21" i="4"/>
  <c r="I21" i="4" s="1"/>
  <c r="G21" i="4"/>
  <c r="D21" i="4"/>
  <c r="H20" i="4"/>
  <c r="G20" i="4"/>
  <c r="D20" i="4"/>
  <c r="H19" i="4"/>
  <c r="I19" i="4" s="1"/>
  <c r="G19" i="4"/>
  <c r="D19" i="4"/>
  <c r="H18" i="4"/>
  <c r="G18" i="4"/>
  <c r="D18" i="4"/>
  <c r="H17" i="4"/>
  <c r="I17" i="4" s="1"/>
  <c r="G17" i="4"/>
  <c r="D17" i="4"/>
  <c r="H16" i="4"/>
  <c r="G16" i="4"/>
  <c r="D16" i="4"/>
  <c r="H15" i="4"/>
  <c r="I15" i="4" s="1"/>
  <c r="G15" i="4"/>
  <c r="D15" i="4"/>
  <c r="H14" i="4"/>
  <c r="G14" i="4"/>
  <c r="D14" i="4"/>
  <c r="H13" i="4"/>
  <c r="I13" i="4" s="1"/>
  <c r="G13" i="4"/>
  <c r="D13" i="4"/>
  <c r="H12" i="4"/>
  <c r="G12" i="4"/>
  <c r="D12" i="4"/>
  <c r="H11" i="4"/>
  <c r="I11" i="4" s="1"/>
  <c r="G11" i="4"/>
  <c r="D11" i="4"/>
  <c r="H10" i="4"/>
  <c r="G10" i="4"/>
  <c r="D10" i="4"/>
  <c r="H9" i="4"/>
  <c r="I9" i="4" s="1"/>
  <c r="G9" i="4"/>
  <c r="D9" i="4"/>
  <c r="H8" i="4"/>
  <c r="G8" i="4"/>
  <c r="D8" i="4"/>
  <c r="H7" i="4"/>
  <c r="I7" i="4" s="1"/>
  <c r="G7" i="4"/>
  <c r="D7" i="4"/>
  <c r="H6" i="4"/>
  <c r="G6" i="4"/>
  <c r="D6" i="4"/>
  <c r="H5" i="4"/>
  <c r="I5" i="4" s="1"/>
  <c r="G5" i="4"/>
  <c r="D5" i="4"/>
  <c r="H4" i="4"/>
  <c r="G4" i="4"/>
  <c r="D4" i="4"/>
  <c r="H3" i="4"/>
  <c r="I3" i="4" s="1"/>
  <c r="G3" i="4"/>
  <c r="D3" i="4"/>
  <c r="H2" i="4"/>
  <c r="G2" i="4"/>
  <c r="D2" i="4"/>
  <c r="Q501" i="3"/>
  <c r="P501" i="3"/>
  <c r="O501" i="3"/>
  <c r="N501" i="3"/>
  <c r="G501" i="3"/>
  <c r="F501" i="3"/>
  <c r="E501" i="3"/>
  <c r="D501" i="3"/>
  <c r="C501" i="3"/>
  <c r="Q500" i="3"/>
  <c r="P500" i="3"/>
  <c r="O500" i="3"/>
  <c r="N500" i="3"/>
  <c r="H500" i="3"/>
  <c r="G500" i="3"/>
  <c r="E500" i="3"/>
  <c r="F500" i="3" s="1"/>
  <c r="D500" i="3"/>
  <c r="C500" i="3"/>
  <c r="R500" i="3" s="1"/>
  <c r="R499" i="3"/>
  <c r="Q499" i="3"/>
  <c r="P499" i="3"/>
  <c r="O499" i="3"/>
  <c r="N499" i="3"/>
  <c r="H499" i="3"/>
  <c r="G499" i="3"/>
  <c r="E499" i="3"/>
  <c r="F499" i="3" s="1"/>
  <c r="D499" i="3"/>
  <c r="C499" i="3"/>
  <c r="R498" i="3"/>
  <c r="Q498" i="3"/>
  <c r="P498" i="3"/>
  <c r="O498" i="3"/>
  <c r="N498" i="3"/>
  <c r="G498" i="3"/>
  <c r="F498" i="3"/>
  <c r="E498" i="3"/>
  <c r="D498" i="3"/>
  <c r="C498" i="3"/>
  <c r="H498" i="3" s="1"/>
  <c r="Q497" i="3"/>
  <c r="P497" i="3"/>
  <c r="O497" i="3"/>
  <c r="N497" i="3"/>
  <c r="H497" i="3"/>
  <c r="G497" i="3"/>
  <c r="E497" i="3"/>
  <c r="F497" i="3" s="1"/>
  <c r="D497" i="3"/>
  <c r="C497" i="3"/>
  <c r="R497" i="3" s="1"/>
  <c r="R496" i="3"/>
  <c r="Q496" i="3"/>
  <c r="P496" i="3"/>
  <c r="O496" i="3"/>
  <c r="N496" i="3"/>
  <c r="H496" i="3"/>
  <c r="G496" i="3"/>
  <c r="E496" i="3"/>
  <c r="F496" i="3" s="1"/>
  <c r="D496" i="3"/>
  <c r="C496" i="3"/>
  <c r="Q495" i="3"/>
  <c r="P495" i="3"/>
  <c r="O495" i="3"/>
  <c r="N495" i="3"/>
  <c r="G495" i="3"/>
  <c r="F495" i="3"/>
  <c r="E495" i="3"/>
  <c r="D495" i="3"/>
  <c r="C495" i="3"/>
  <c r="Q494" i="3"/>
  <c r="P494" i="3"/>
  <c r="O494" i="3"/>
  <c r="N494" i="3"/>
  <c r="G494" i="3"/>
  <c r="E494" i="3"/>
  <c r="F494" i="3" s="1"/>
  <c r="D494" i="3"/>
  <c r="C494" i="3"/>
  <c r="R493" i="3"/>
  <c r="Q493" i="3"/>
  <c r="P493" i="3"/>
  <c r="O493" i="3"/>
  <c r="N493" i="3"/>
  <c r="H493" i="3"/>
  <c r="G493" i="3"/>
  <c r="F493" i="3"/>
  <c r="E493" i="3"/>
  <c r="D493" i="3"/>
  <c r="C493" i="3"/>
  <c r="R492" i="3"/>
  <c r="Q492" i="3"/>
  <c r="P492" i="3"/>
  <c r="O492" i="3"/>
  <c r="N492" i="3"/>
  <c r="G492" i="3"/>
  <c r="F492" i="3"/>
  <c r="E492" i="3"/>
  <c r="D492" i="3"/>
  <c r="C492" i="3"/>
  <c r="H492" i="3" s="1"/>
  <c r="Q491" i="3"/>
  <c r="P491" i="3"/>
  <c r="O491" i="3"/>
  <c r="N491" i="3"/>
  <c r="H491" i="3"/>
  <c r="G491" i="3"/>
  <c r="F491" i="3"/>
  <c r="E491" i="3"/>
  <c r="D491" i="3"/>
  <c r="C491" i="3"/>
  <c r="R491" i="3" s="1"/>
  <c r="R490" i="3"/>
  <c r="Q490" i="3"/>
  <c r="P490" i="3"/>
  <c r="O490" i="3"/>
  <c r="N490" i="3"/>
  <c r="G490" i="3"/>
  <c r="E490" i="3"/>
  <c r="F490" i="3" s="1"/>
  <c r="D490" i="3"/>
  <c r="C490" i="3"/>
  <c r="H490" i="3" s="1"/>
  <c r="Q489" i="3"/>
  <c r="P489" i="3"/>
  <c r="O489" i="3"/>
  <c r="N489" i="3"/>
  <c r="G489" i="3"/>
  <c r="F489" i="3"/>
  <c r="E489" i="3"/>
  <c r="D489" i="3"/>
  <c r="C489" i="3"/>
  <c r="Q488" i="3"/>
  <c r="P488" i="3"/>
  <c r="O488" i="3"/>
  <c r="N488" i="3"/>
  <c r="H488" i="3"/>
  <c r="G488" i="3"/>
  <c r="E488" i="3"/>
  <c r="F488" i="3" s="1"/>
  <c r="D488" i="3"/>
  <c r="C488" i="3"/>
  <c r="R488" i="3" s="1"/>
  <c r="R487" i="3"/>
  <c r="Q487" i="3"/>
  <c r="P487" i="3"/>
  <c r="O487" i="3"/>
  <c r="N487" i="3"/>
  <c r="H487" i="3"/>
  <c r="G487" i="3"/>
  <c r="E487" i="3"/>
  <c r="F487" i="3" s="1"/>
  <c r="D487" i="3"/>
  <c r="C487" i="3"/>
  <c r="R486" i="3"/>
  <c r="Q486" i="3"/>
  <c r="P486" i="3"/>
  <c r="O486" i="3"/>
  <c r="N486" i="3"/>
  <c r="G486" i="3"/>
  <c r="F486" i="3"/>
  <c r="E486" i="3"/>
  <c r="D486" i="3"/>
  <c r="C486" i="3"/>
  <c r="H486" i="3" s="1"/>
  <c r="Q485" i="3"/>
  <c r="P485" i="3"/>
  <c r="O485" i="3"/>
  <c r="N485" i="3"/>
  <c r="H485" i="3"/>
  <c r="G485" i="3"/>
  <c r="F485" i="3"/>
  <c r="E485" i="3"/>
  <c r="D485" i="3"/>
  <c r="C485" i="3"/>
  <c r="R485" i="3" s="1"/>
  <c r="R484" i="3"/>
  <c r="Q484" i="3"/>
  <c r="P484" i="3"/>
  <c r="O484" i="3"/>
  <c r="N484" i="3"/>
  <c r="H484" i="3"/>
  <c r="G484" i="3"/>
  <c r="E484" i="3"/>
  <c r="F484" i="3" s="1"/>
  <c r="D484" i="3"/>
  <c r="C484" i="3"/>
  <c r="Q483" i="3"/>
  <c r="P483" i="3"/>
  <c r="O483" i="3"/>
  <c r="N483" i="3"/>
  <c r="G483" i="3"/>
  <c r="F483" i="3"/>
  <c r="E483" i="3"/>
  <c r="D483" i="3"/>
  <c r="C483" i="3"/>
  <c r="Q482" i="3"/>
  <c r="P482" i="3"/>
  <c r="O482" i="3"/>
  <c r="N482" i="3"/>
  <c r="H482" i="3"/>
  <c r="G482" i="3"/>
  <c r="E482" i="3"/>
  <c r="F482" i="3" s="1"/>
  <c r="D482" i="3"/>
  <c r="C482" i="3"/>
  <c r="R482" i="3" s="1"/>
  <c r="R481" i="3"/>
  <c r="Q481" i="3"/>
  <c r="P481" i="3"/>
  <c r="O481" i="3"/>
  <c r="N481" i="3"/>
  <c r="H481" i="3"/>
  <c r="G481" i="3"/>
  <c r="F481" i="3"/>
  <c r="E481" i="3"/>
  <c r="D481" i="3"/>
  <c r="C481" i="3"/>
  <c r="R480" i="3"/>
  <c r="Q480" i="3"/>
  <c r="P480" i="3"/>
  <c r="O480" i="3"/>
  <c r="N480" i="3"/>
  <c r="G480" i="3"/>
  <c r="F480" i="3"/>
  <c r="E480" i="3"/>
  <c r="D480" i="3"/>
  <c r="C480" i="3"/>
  <c r="H480" i="3" s="1"/>
  <c r="Q479" i="3"/>
  <c r="P479" i="3"/>
  <c r="O479" i="3"/>
  <c r="N479" i="3"/>
  <c r="H479" i="3"/>
  <c r="G479" i="3"/>
  <c r="F479" i="3"/>
  <c r="E479" i="3"/>
  <c r="D479" i="3"/>
  <c r="C479" i="3"/>
  <c r="R479" i="3" s="1"/>
  <c r="R478" i="3"/>
  <c r="Q478" i="3"/>
  <c r="P478" i="3"/>
  <c r="O478" i="3"/>
  <c r="N478" i="3"/>
  <c r="G478" i="3"/>
  <c r="E478" i="3"/>
  <c r="F478" i="3" s="1"/>
  <c r="D478" i="3"/>
  <c r="C478" i="3"/>
  <c r="H478" i="3" s="1"/>
  <c r="Q477" i="3"/>
  <c r="P477" i="3"/>
  <c r="O477" i="3"/>
  <c r="N477" i="3"/>
  <c r="G477" i="3"/>
  <c r="F477" i="3"/>
  <c r="E477" i="3"/>
  <c r="D477" i="3"/>
  <c r="C477" i="3"/>
  <c r="Q476" i="3"/>
  <c r="P476" i="3"/>
  <c r="O476" i="3"/>
  <c r="N476" i="3"/>
  <c r="G476" i="3"/>
  <c r="E476" i="3"/>
  <c r="F476" i="3" s="1"/>
  <c r="D476" i="3"/>
  <c r="C476" i="3"/>
  <c r="R475" i="3"/>
  <c r="Q475" i="3"/>
  <c r="P475" i="3"/>
  <c r="O475" i="3"/>
  <c r="N475" i="3"/>
  <c r="H475" i="3"/>
  <c r="G475" i="3"/>
  <c r="E475" i="3"/>
  <c r="F475" i="3" s="1"/>
  <c r="D475" i="3"/>
  <c r="C475" i="3"/>
  <c r="R474" i="3"/>
  <c r="Q474" i="3"/>
  <c r="P474" i="3"/>
  <c r="O474" i="3"/>
  <c r="N474" i="3"/>
  <c r="G474" i="3"/>
  <c r="F474" i="3"/>
  <c r="E474" i="3"/>
  <c r="D474" i="3"/>
  <c r="C474" i="3"/>
  <c r="H474" i="3" s="1"/>
  <c r="Q473" i="3"/>
  <c r="P473" i="3"/>
  <c r="O473" i="3"/>
  <c r="N473" i="3"/>
  <c r="H473" i="3"/>
  <c r="G473" i="3"/>
  <c r="F473" i="3"/>
  <c r="E473" i="3"/>
  <c r="D473" i="3"/>
  <c r="C473" i="3"/>
  <c r="R473" i="3" s="1"/>
  <c r="R472" i="3"/>
  <c r="Q472" i="3"/>
  <c r="P472" i="3"/>
  <c r="O472" i="3"/>
  <c r="N472" i="3"/>
  <c r="H472" i="3"/>
  <c r="G472" i="3"/>
  <c r="E472" i="3"/>
  <c r="F472" i="3" s="1"/>
  <c r="D472" i="3"/>
  <c r="C472" i="3"/>
  <c r="Q471" i="3"/>
  <c r="P471" i="3"/>
  <c r="O471" i="3"/>
  <c r="E43" i="1" s="1"/>
  <c r="N471" i="3"/>
  <c r="G471" i="3"/>
  <c r="F471" i="3"/>
  <c r="E471" i="3"/>
  <c r="D471" i="3"/>
  <c r="C471" i="3"/>
  <c r="Q470" i="3"/>
  <c r="P470" i="3"/>
  <c r="O470" i="3"/>
  <c r="N470" i="3"/>
  <c r="H470" i="3"/>
  <c r="G470" i="3"/>
  <c r="E470" i="3"/>
  <c r="F470" i="3" s="1"/>
  <c r="D470" i="3"/>
  <c r="C470" i="3"/>
  <c r="R470" i="3" s="1"/>
  <c r="R469" i="3"/>
  <c r="Q469" i="3"/>
  <c r="P469" i="3"/>
  <c r="O469" i="3"/>
  <c r="N469" i="3"/>
  <c r="H469" i="3"/>
  <c r="G469" i="3"/>
  <c r="F469" i="3"/>
  <c r="E469" i="3"/>
  <c r="D469" i="3"/>
  <c r="C469" i="3"/>
  <c r="R468" i="3"/>
  <c r="Q468" i="3"/>
  <c r="P468" i="3"/>
  <c r="O468" i="3"/>
  <c r="N468" i="3"/>
  <c r="G468" i="3"/>
  <c r="F468" i="3"/>
  <c r="E468" i="3"/>
  <c r="D468" i="3"/>
  <c r="C468" i="3"/>
  <c r="H468" i="3" s="1"/>
  <c r="Q467" i="3"/>
  <c r="P467" i="3"/>
  <c r="O467" i="3"/>
  <c r="N467" i="3"/>
  <c r="H467" i="3"/>
  <c r="G467" i="3"/>
  <c r="E467" i="3"/>
  <c r="F467" i="3" s="1"/>
  <c r="D467" i="3"/>
  <c r="C467" i="3"/>
  <c r="R467" i="3" s="1"/>
  <c r="R466" i="3"/>
  <c r="Q466" i="3"/>
  <c r="P466" i="3"/>
  <c r="O466" i="3"/>
  <c r="N466" i="3"/>
  <c r="G466" i="3"/>
  <c r="E466" i="3"/>
  <c r="F466" i="3" s="1"/>
  <c r="D466" i="3"/>
  <c r="C466" i="3"/>
  <c r="H466" i="3" s="1"/>
  <c r="Q465" i="3"/>
  <c r="P465" i="3"/>
  <c r="O465" i="3"/>
  <c r="N465" i="3"/>
  <c r="G465" i="3"/>
  <c r="F465" i="3"/>
  <c r="E465" i="3"/>
  <c r="D465" i="3"/>
  <c r="C465" i="3"/>
  <c r="Q464" i="3"/>
  <c r="P464" i="3"/>
  <c r="O464" i="3"/>
  <c r="N464" i="3"/>
  <c r="H464" i="3"/>
  <c r="G464" i="3"/>
  <c r="E464" i="3"/>
  <c r="F464" i="3" s="1"/>
  <c r="D464" i="3"/>
  <c r="C464" i="3"/>
  <c r="R464" i="3" s="1"/>
  <c r="R463" i="3"/>
  <c r="Q463" i="3"/>
  <c r="P463" i="3"/>
  <c r="O463" i="3"/>
  <c r="N463" i="3"/>
  <c r="H463" i="3"/>
  <c r="G463" i="3"/>
  <c r="E463" i="3"/>
  <c r="F463" i="3" s="1"/>
  <c r="D463" i="3"/>
  <c r="C463" i="3"/>
  <c r="R462" i="3"/>
  <c r="Q462" i="3"/>
  <c r="P462" i="3"/>
  <c r="O462" i="3"/>
  <c r="N462" i="3"/>
  <c r="G462" i="3"/>
  <c r="F462" i="3"/>
  <c r="E462" i="3"/>
  <c r="D462" i="3"/>
  <c r="C462" i="3"/>
  <c r="H462" i="3" s="1"/>
  <c r="Q461" i="3"/>
  <c r="P461" i="3"/>
  <c r="O461" i="3"/>
  <c r="N461" i="3"/>
  <c r="H461" i="3"/>
  <c r="G461" i="3"/>
  <c r="E461" i="3"/>
  <c r="F461" i="3" s="1"/>
  <c r="D461" i="3"/>
  <c r="C461" i="3"/>
  <c r="R461" i="3" s="1"/>
  <c r="R460" i="3"/>
  <c r="Q460" i="3"/>
  <c r="P460" i="3"/>
  <c r="O460" i="3"/>
  <c r="N460" i="3"/>
  <c r="H460" i="3"/>
  <c r="G460" i="3"/>
  <c r="E460" i="3"/>
  <c r="F460" i="3" s="1"/>
  <c r="D460" i="3"/>
  <c r="C460" i="3"/>
  <c r="Q459" i="3"/>
  <c r="P459" i="3"/>
  <c r="O459" i="3"/>
  <c r="N459" i="3"/>
  <c r="G459" i="3"/>
  <c r="F459" i="3"/>
  <c r="E459" i="3"/>
  <c r="D459" i="3"/>
  <c r="C459" i="3"/>
  <c r="B19" i="1" s="1"/>
  <c r="Q458" i="3"/>
  <c r="P458" i="3"/>
  <c r="O458" i="3"/>
  <c r="N458" i="3"/>
  <c r="G458" i="3"/>
  <c r="E458" i="3"/>
  <c r="F458" i="3" s="1"/>
  <c r="D458" i="3"/>
  <c r="C458" i="3"/>
  <c r="R457" i="3"/>
  <c r="Q457" i="3"/>
  <c r="P457" i="3"/>
  <c r="O457" i="3"/>
  <c r="N457" i="3"/>
  <c r="H457" i="3"/>
  <c r="G457" i="3"/>
  <c r="F457" i="3"/>
  <c r="E457" i="3"/>
  <c r="D457" i="3"/>
  <c r="C457" i="3"/>
  <c r="R456" i="3"/>
  <c r="Q456" i="3"/>
  <c r="P456" i="3"/>
  <c r="O456" i="3"/>
  <c r="N456" i="3"/>
  <c r="G456" i="3"/>
  <c r="F456" i="3"/>
  <c r="E456" i="3"/>
  <c r="D456" i="3"/>
  <c r="C456" i="3"/>
  <c r="H456" i="3" s="1"/>
  <c r="Q455" i="3"/>
  <c r="P455" i="3"/>
  <c r="O455" i="3"/>
  <c r="N455" i="3"/>
  <c r="H455" i="3"/>
  <c r="G455" i="3"/>
  <c r="F455" i="3"/>
  <c r="E455" i="3"/>
  <c r="D455" i="3"/>
  <c r="C455" i="3"/>
  <c r="R455" i="3" s="1"/>
  <c r="R454" i="3"/>
  <c r="Q454" i="3"/>
  <c r="P454" i="3"/>
  <c r="O454" i="3"/>
  <c r="N454" i="3"/>
  <c r="G454" i="3"/>
  <c r="E454" i="3"/>
  <c r="F454" i="3" s="1"/>
  <c r="D454" i="3"/>
  <c r="C454" i="3"/>
  <c r="H454" i="3" s="1"/>
  <c r="Q453" i="3"/>
  <c r="P453" i="3"/>
  <c r="O453" i="3"/>
  <c r="N453" i="3"/>
  <c r="G453" i="3"/>
  <c r="F453" i="3"/>
  <c r="E453" i="3"/>
  <c r="D453" i="3"/>
  <c r="C453" i="3"/>
  <c r="Q452" i="3"/>
  <c r="P452" i="3"/>
  <c r="O452" i="3"/>
  <c r="N452" i="3"/>
  <c r="G452" i="3"/>
  <c r="E452" i="3"/>
  <c r="F452" i="3" s="1"/>
  <c r="D452" i="3"/>
  <c r="C452" i="3"/>
  <c r="R451" i="3"/>
  <c r="Q451" i="3"/>
  <c r="P451" i="3"/>
  <c r="O451" i="3"/>
  <c r="N451" i="3"/>
  <c r="H451" i="3"/>
  <c r="G451" i="3"/>
  <c r="E451" i="3"/>
  <c r="F451" i="3" s="1"/>
  <c r="D451" i="3"/>
  <c r="C451" i="3"/>
  <c r="R450" i="3"/>
  <c r="Q450" i="3"/>
  <c r="P450" i="3"/>
  <c r="O450" i="3"/>
  <c r="N450" i="3"/>
  <c r="G450" i="3"/>
  <c r="F450" i="3"/>
  <c r="E450" i="3"/>
  <c r="D450" i="3"/>
  <c r="C450" i="3"/>
  <c r="H450" i="3" s="1"/>
  <c r="R449" i="3"/>
  <c r="Q449" i="3"/>
  <c r="P449" i="3"/>
  <c r="O449" i="3"/>
  <c r="N449" i="3"/>
  <c r="H449" i="3"/>
  <c r="G449" i="3"/>
  <c r="E449" i="3"/>
  <c r="F449" i="3" s="1"/>
  <c r="D449" i="3"/>
  <c r="C449" i="3"/>
  <c r="R448" i="3"/>
  <c r="Q448" i="3"/>
  <c r="P448" i="3"/>
  <c r="O448" i="3"/>
  <c r="N448" i="3"/>
  <c r="H448" i="3"/>
  <c r="G448" i="3"/>
  <c r="E448" i="3"/>
  <c r="F448" i="3" s="1"/>
  <c r="D448" i="3"/>
  <c r="C448" i="3"/>
  <c r="Q447" i="3"/>
  <c r="P447" i="3"/>
  <c r="O447" i="3"/>
  <c r="N447" i="3"/>
  <c r="G447" i="3"/>
  <c r="F447" i="3"/>
  <c r="E447" i="3"/>
  <c r="D447" i="3"/>
  <c r="C447" i="3"/>
  <c r="Q446" i="3"/>
  <c r="P446" i="3"/>
  <c r="O446" i="3"/>
  <c r="N446" i="3"/>
  <c r="G446" i="3"/>
  <c r="E446" i="3"/>
  <c r="F446" i="3" s="1"/>
  <c r="D446" i="3"/>
  <c r="C446" i="3"/>
  <c r="R445" i="3"/>
  <c r="Q445" i="3"/>
  <c r="P445" i="3"/>
  <c r="O445" i="3"/>
  <c r="N445" i="3"/>
  <c r="H445" i="3"/>
  <c r="G445" i="3"/>
  <c r="F445" i="3"/>
  <c r="E445" i="3"/>
  <c r="D445" i="3"/>
  <c r="C445" i="3"/>
  <c r="R444" i="3"/>
  <c r="Q444" i="3"/>
  <c r="P444" i="3"/>
  <c r="O444" i="3"/>
  <c r="N444" i="3"/>
  <c r="G444" i="3"/>
  <c r="F444" i="3"/>
  <c r="E444" i="3"/>
  <c r="D444" i="3"/>
  <c r="C444" i="3"/>
  <c r="H444" i="3" s="1"/>
  <c r="Q443" i="3"/>
  <c r="P443" i="3"/>
  <c r="O443" i="3"/>
  <c r="N443" i="3"/>
  <c r="H443" i="3"/>
  <c r="G443" i="3"/>
  <c r="F443" i="3"/>
  <c r="E443" i="3"/>
  <c r="D443" i="3"/>
  <c r="C443" i="3"/>
  <c r="R443" i="3" s="1"/>
  <c r="R442" i="3"/>
  <c r="Q442" i="3"/>
  <c r="P442" i="3"/>
  <c r="O442" i="3"/>
  <c r="N442" i="3"/>
  <c r="G442" i="3"/>
  <c r="E442" i="3"/>
  <c r="F442" i="3" s="1"/>
  <c r="D442" i="3"/>
  <c r="C442" i="3"/>
  <c r="H442" i="3" s="1"/>
  <c r="Q441" i="3"/>
  <c r="P441" i="3"/>
  <c r="O441" i="3"/>
  <c r="N441" i="3"/>
  <c r="G441" i="3"/>
  <c r="F441" i="3"/>
  <c r="E441" i="3"/>
  <c r="D441" i="3"/>
  <c r="C441" i="3"/>
  <c r="Q440" i="3"/>
  <c r="P440" i="3"/>
  <c r="O440" i="3"/>
  <c r="N440" i="3"/>
  <c r="H440" i="3"/>
  <c r="G440" i="3"/>
  <c r="E440" i="3"/>
  <c r="F440" i="3" s="1"/>
  <c r="D440" i="3"/>
  <c r="C440" i="3"/>
  <c r="R440" i="3" s="1"/>
  <c r="R439" i="3"/>
  <c r="Q439" i="3"/>
  <c r="P439" i="3"/>
  <c r="O439" i="3"/>
  <c r="N439" i="3"/>
  <c r="H439" i="3"/>
  <c r="G439" i="3"/>
  <c r="E439" i="3"/>
  <c r="F439" i="3" s="1"/>
  <c r="D439" i="3"/>
  <c r="C439" i="3"/>
  <c r="R438" i="3"/>
  <c r="Q438" i="3"/>
  <c r="P438" i="3"/>
  <c r="O438" i="3"/>
  <c r="N438" i="3"/>
  <c r="G438" i="3"/>
  <c r="F438" i="3"/>
  <c r="E438" i="3"/>
  <c r="D438" i="3"/>
  <c r="C438" i="3"/>
  <c r="H438" i="3" s="1"/>
  <c r="R437" i="3"/>
  <c r="Q437" i="3"/>
  <c r="P437" i="3"/>
  <c r="O437" i="3"/>
  <c r="N437" i="3"/>
  <c r="H437" i="3"/>
  <c r="G437" i="3"/>
  <c r="E437" i="3"/>
  <c r="F437" i="3" s="1"/>
  <c r="D437" i="3"/>
  <c r="C437" i="3"/>
  <c r="R436" i="3"/>
  <c r="Q436" i="3"/>
  <c r="P436" i="3"/>
  <c r="O436" i="3"/>
  <c r="N436" i="3"/>
  <c r="H436" i="3"/>
  <c r="G436" i="3"/>
  <c r="E436" i="3"/>
  <c r="F436" i="3" s="1"/>
  <c r="D436" i="3"/>
  <c r="C436" i="3"/>
  <c r="Q435" i="3"/>
  <c r="P435" i="3"/>
  <c r="O435" i="3"/>
  <c r="N435" i="3"/>
  <c r="G435" i="3"/>
  <c r="F435" i="3"/>
  <c r="E435" i="3"/>
  <c r="D435" i="3"/>
  <c r="C435" i="3"/>
  <c r="Q434" i="3"/>
  <c r="P434" i="3"/>
  <c r="O434" i="3"/>
  <c r="N434" i="3"/>
  <c r="G434" i="3"/>
  <c r="E434" i="3"/>
  <c r="F434" i="3" s="1"/>
  <c r="D434" i="3"/>
  <c r="C434" i="3"/>
  <c r="R433" i="3"/>
  <c r="Q433" i="3"/>
  <c r="P433" i="3"/>
  <c r="O433" i="3"/>
  <c r="N433" i="3"/>
  <c r="H433" i="3"/>
  <c r="G433" i="3"/>
  <c r="F433" i="3"/>
  <c r="E433" i="3"/>
  <c r="D433" i="3"/>
  <c r="C433" i="3"/>
  <c r="R432" i="3"/>
  <c r="Q432" i="3"/>
  <c r="P432" i="3"/>
  <c r="O432" i="3"/>
  <c r="N432" i="3"/>
  <c r="G432" i="3"/>
  <c r="F432" i="3"/>
  <c r="E432" i="3"/>
  <c r="D432" i="3"/>
  <c r="C432" i="3"/>
  <c r="H432" i="3" s="1"/>
  <c r="Q431" i="3"/>
  <c r="P431" i="3"/>
  <c r="O431" i="3"/>
  <c r="N431" i="3"/>
  <c r="H431" i="3"/>
  <c r="G431" i="3"/>
  <c r="F431" i="3"/>
  <c r="E431" i="3"/>
  <c r="D431" i="3"/>
  <c r="C431" i="3"/>
  <c r="R431" i="3" s="1"/>
  <c r="R430" i="3"/>
  <c r="Q430" i="3"/>
  <c r="P430" i="3"/>
  <c r="O430" i="3"/>
  <c r="N430" i="3"/>
  <c r="G430" i="3"/>
  <c r="E430" i="3"/>
  <c r="F430" i="3" s="1"/>
  <c r="D430" i="3"/>
  <c r="C430" i="3"/>
  <c r="H430" i="3" s="1"/>
  <c r="Q429" i="3"/>
  <c r="P429" i="3"/>
  <c r="O429" i="3"/>
  <c r="N429" i="3"/>
  <c r="G429" i="3"/>
  <c r="F429" i="3"/>
  <c r="E429" i="3"/>
  <c r="D429" i="3"/>
  <c r="C429" i="3"/>
  <c r="Q428" i="3"/>
  <c r="P428" i="3"/>
  <c r="O428" i="3"/>
  <c r="N428" i="3"/>
  <c r="G428" i="3"/>
  <c r="E428" i="3"/>
  <c r="F428" i="3" s="1"/>
  <c r="D428" i="3"/>
  <c r="C428" i="3"/>
  <c r="R427" i="3"/>
  <c r="Q427" i="3"/>
  <c r="P427" i="3"/>
  <c r="O427" i="3"/>
  <c r="N427" i="3"/>
  <c r="H427" i="3"/>
  <c r="G427" i="3"/>
  <c r="E427" i="3"/>
  <c r="F427" i="3" s="1"/>
  <c r="D427" i="3"/>
  <c r="C427" i="3"/>
  <c r="R426" i="3"/>
  <c r="Q426" i="3"/>
  <c r="P426" i="3"/>
  <c r="O426" i="3"/>
  <c r="N426" i="3"/>
  <c r="G426" i="3"/>
  <c r="F426" i="3"/>
  <c r="E426" i="3"/>
  <c r="D426" i="3"/>
  <c r="C426" i="3"/>
  <c r="H426" i="3" s="1"/>
  <c r="R425" i="3"/>
  <c r="Q425" i="3"/>
  <c r="P425" i="3"/>
  <c r="O425" i="3"/>
  <c r="N425" i="3"/>
  <c r="H425" i="3"/>
  <c r="G425" i="3"/>
  <c r="E425" i="3"/>
  <c r="F425" i="3" s="1"/>
  <c r="D425" i="3"/>
  <c r="C425" i="3"/>
  <c r="R424" i="3"/>
  <c r="Q424" i="3"/>
  <c r="P424" i="3"/>
  <c r="O424" i="3"/>
  <c r="N424" i="3"/>
  <c r="H424" i="3"/>
  <c r="G424" i="3"/>
  <c r="E424" i="3"/>
  <c r="F424" i="3" s="1"/>
  <c r="D424" i="3"/>
  <c r="C424" i="3"/>
  <c r="Q423" i="3"/>
  <c r="P423" i="3"/>
  <c r="O423" i="3"/>
  <c r="N423" i="3"/>
  <c r="G423" i="3"/>
  <c r="F423" i="3"/>
  <c r="E423" i="3"/>
  <c r="D423" i="3"/>
  <c r="C423" i="3"/>
  <c r="Q422" i="3"/>
  <c r="P422" i="3"/>
  <c r="O422" i="3"/>
  <c r="N422" i="3"/>
  <c r="G422" i="3"/>
  <c r="E422" i="3"/>
  <c r="F422" i="3" s="1"/>
  <c r="D422" i="3"/>
  <c r="C422" i="3"/>
  <c r="R421" i="3"/>
  <c r="Q421" i="3"/>
  <c r="P421" i="3"/>
  <c r="O421" i="3"/>
  <c r="N421" i="3"/>
  <c r="H421" i="3"/>
  <c r="G421" i="3"/>
  <c r="F421" i="3"/>
  <c r="E421" i="3"/>
  <c r="D421" i="3"/>
  <c r="C421" i="3"/>
  <c r="R420" i="3"/>
  <c r="Q420" i="3"/>
  <c r="P420" i="3"/>
  <c r="O420" i="3"/>
  <c r="N420" i="3"/>
  <c r="G420" i="3"/>
  <c r="F420" i="3"/>
  <c r="E420" i="3"/>
  <c r="D420" i="3"/>
  <c r="C420" i="3"/>
  <c r="H420" i="3" s="1"/>
  <c r="Q419" i="3"/>
  <c r="P419" i="3"/>
  <c r="O419" i="3"/>
  <c r="N419" i="3"/>
  <c r="H419" i="3"/>
  <c r="G419" i="3"/>
  <c r="F419" i="3"/>
  <c r="E419" i="3"/>
  <c r="D419" i="3"/>
  <c r="C419" i="3"/>
  <c r="R419" i="3" s="1"/>
  <c r="R418" i="3"/>
  <c r="Q418" i="3"/>
  <c r="P418" i="3"/>
  <c r="O418" i="3"/>
  <c r="N418" i="3"/>
  <c r="G418" i="3"/>
  <c r="E418" i="3"/>
  <c r="F418" i="3" s="1"/>
  <c r="D418" i="3"/>
  <c r="C418" i="3"/>
  <c r="H418" i="3" s="1"/>
  <c r="Q417" i="3"/>
  <c r="P417" i="3"/>
  <c r="O417" i="3"/>
  <c r="N417" i="3"/>
  <c r="G417" i="3"/>
  <c r="F417" i="3"/>
  <c r="E417" i="3"/>
  <c r="D417" i="3"/>
  <c r="C417" i="3"/>
  <c r="Q416" i="3"/>
  <c r="P416" i="3"/>
  <c r="O416" i="3"/>
  <c r="N416" i="3"/>
  <c r="G416" i="3"/>
  <c r="E416" i="3"/>
  <c r="F416" i="3" s="1"/>
  <c r="D416" i="3"/>
  <c r="C416" i="3"/>
  <c r="R415" i="3"/>
  <c r="Q415" i="3"/>
  <c r="P415" i="3"/>
  <c r="O415" i="3"/>
  <c r="N415" i="3"/>
  <c r="H415" i="3"/>
  <c r="G415" i="3"/>
  <c r="E415" i="3"/>
  <c r="F415" i="3" s="1"/>
  <c r="D415" i="3"/>
  <c r="C415" i="3"/>
  <c r="R414" i="3"/>
  <c r="Q414" i="3"/>
  <c r="P414" i="3"/>
  <c r="O414" i="3"/>
  <c r="N414" i="3"/>
  <c r="G414" i="3"/>
  <c r="F414" i="3"/>
  <c r="E414" i="3"/>
  <c r="D414" i="3"/>
  <c r="C414" i="3"/>
  <c r="H414" i="3" s="1"/>
  <c r="R413" i="3"/>
  <c r="Q413" i="3"/>
  <c r="P413" i="3"/>
  <c r="O413" i="3"/>
  <c r="N413" i="3"/>
  <c r="H413" i="3"/>
  <c r="G413" i="3"/>
  <c r="E413" i="3"/>
  <c r="F413" i="3" s="1"/>
  <c r="D413" i="3"/>
  <c r="C413" i="3"/>
  <c r="R412" i="3"/>
  <c r="Q412" i="3"/>
  <c r="P412" i="3"/>
  <c r="O412" i="3"/>
  <c r="N412" i="3"/>
  <c r="H412" i="3"/>
  <c r="G412" i="3"/>
  <c r="E412" i="3"/>
  <c r="F412" i="3" s="1"/>
  <c r="D412" i="3"/>
  <c r="C412" i="3"/>
  <c r="Q411" i="3"/>
  <c r="P411" i="3"/>
  <c r="O411" i="3"/>
  <c r="N411" i="3"/>
  <c r="G411" i="3"/>
  <c r="F411" i="3"/>
  <c r="E411" i="3"/>
  <c r="D411" i="3"/>
  <c r="C411" i="3"/>
  <c r="Q410" i="3"/>
  <c r="P410" i="3"/>
  <c r="O410" i="3"/>
  <c r="N410" i="3"/>
  <c r="G410" i="3"/>
  <c r="E410" i="3"/>
  <c r="F410" i="3" s="1"/>
  <c r="D410" i="3"/>
  <c r="C410" i="3"/>
  <c r="R409" i="3"/>
  <c r="Q409" i="3"/>
  <c r="P409" i="3"/>
  <c r="O409" i="3"/>
  <c r="N409" i="3"/>
  <c r="H409" i="3"/>
  <c r="G409" i="3"/>
  <c r="F409" i="3"/>
  <c r="E409" i="3"/>
  <c r="D409" i="3"/>
  <c r="C409" i="3"/>
  <c r="R408" i="3"/>
  <c r="Q408" i="3"/>
  <c r="P408" i="3"/>
  <c r="O408" i="3"/>
  <c r="N408" i="3"/>
  <c r="G408" i="3"/>
  <c r="F408" i="3"/>
  <c r="E408" i="3"/>
  <c r="D408" i="3"/>
  <c r="C408" i="3"/>
  <c r="H408" i="3" s="1"/>
  <c r="Q407" i="3"/>
  <c r="P407" i="3"/>
  <c r="O407" i="3"/>
  <c r="N407" i="3"/>
  <c r="H407" i="3"/>
  <c r="G407" i="3"/>
  <c r="F407" i="3"/>
  <c r="E407" i="3"/>
  <c r="D407" i="3"/>
  <c r="C407" i="3"/>
  <c r="R407" i="3" s="1"/>
  <c r="R406" i="3"/>
  <c r="Q406" i="3"/>
  <c r="P406" i="3"/>
  <c r="O406" i="3"/>
  <c r="N406" i="3"/>
  <c r="H406" i="3"/>
  <c r="G406" i="3"/>
  <c r="E406" i="3"/>
  <c r="F406" i="3" s="1"/>
  <c r="D406" i="3"/>
  <c r="C406" i="3"/>
  <c r="Q405" i="3"/>
  <c r="P405" i="3"/>
  <c r="O405" i="3"/>
  <c r="N405" i="3"/>
  <c r="G405" i="3"/>
  <c r="E405" i="3"/>
  <c r="F405" i="3" s="1"/>
  <c r="D405" i="3"/>
  <c r="C405" i="3"/>
  <c r="Q404" i="3"/>
  <c r="P404" i="3"/>
  <c r="O404" i="3"/>
  <c r="N404" i="3"/>
  <c r="H404" i="3"/>
  <c r="G404" i="3"/>
  <c r="F404" i="3"/>
  <c r="E404" i="3"/>
  <c r="D404" i="3"/>
  <c r="C404" i="3"/>
  <c r="R404" i="3" s="1"/>
  <c r="R403" i="3"/>
  <c r="Q403" i="3"/>
  <c r="P403" i="3"/>
  <c r="O403" i="3"/>
  <c r="N403" i="3"/>
  <c r="G403" i="3"/>
  <c r="E403" i="3"/>
  <c r="F403" i="3" s="1"/>
  <c r="D403" i="3"/>
  <c r="C403" i="3"/>
  <c r="H403" i="3" s="1"/>
  <c r="R402" i="3"/>
  <c r="Q402" i="3"/>
  <c r="P402" i="3"/>
  <c r="O402" i="3"/>
  <c r="N402" i="3"/>
  <c r="G402" i="3"/>
  <c r="F402" i="3"/>
  <c r="E402" i="3"/>
  <c r="D402" i="3"/>
  <c r="C402" i="3"/>
  <c r="H402" i="3" s="1"/>
  <c r="R401" i="3"/>
  <c r="Q401" i="3"/>
  <c r="P401" i="3"/>
  <c r="O401" i="3"/>
  <c r="N401" i="3"/>
  <c r="G401" i="3"/>
  <c r="E401" i="3"/>
  <c r="F401" i="3" s="1"/>
  <c r="D401" i="3"/>
  <c r="C401" i="3"/>
  <c r="H401" i="3" s="1"/>
  <c r="R400" i="3"/>
  <c r="Q400" i="3"/>
  <c r="P400" i="3"/>
  <c r="O400" i="3"/>
  <c r="N400" i="3"/>
  <c r="H400" i="3"/>
  <c r="G400" i="3"/>
  <c r="E400" i="3"/>
  <c r="F400" i="3" s="1"/>
  <c r="D400" i="3"/>
  <c r="C400" i="3"/>
  <c r="Q399" i="3"/>
  <c r="P399" i="3"/>
  <c r="O399" i="3"/>
  <c r="N399" i="3"/>
  <c r="G399" i="3"/>
  <c r="F399" i="3"/>
  <c r="E399" i="3"/>
  <c r="D399" i="3"/>
  <c r="C399" i="3"/>
  <c r="H399" i="3" s="1"/>
  <c r="Q398" i="3"/>
  <c r="P398" i="3"/>
  <c r="O398" i="3"/>
  <c r="N398" i="3"/>
  <c r="G398" i="3"/>
  <c r="E398" i="3"/>
  <c r="F398" i="3" s="1"/>
  <c r="D398" i="3"/>
  <c r="C398" i="3"/>
  <c r="R397" i="3"/>
  <c r="Q397" i="3"/>
  <c r="P397" i="3"/>
  <c r="O397" i="3"/>
  <c r="N397" i="3"/>
  <c r="H397" i="3"/>
  <c r="G397" i="3"/>
  <c r="F397" i="3"/>
  <c r="E397" i="3"/>
  <c r="D397" i="3"/>
  <c r="C397" i="3"/>
  <c r="R396" i="3"/>
  <c r="Q396" i="3"/>
  <c r="P396" i="3"/>
  <c r="O396" i="3"/>
  <c r="N396" i="3"/>
  <c r="H396" i="3"/>
  <c r="G396" i="3"/>
  <c r="F396" i="3"/>
  <c r="E396" i="3"/>
  <c r="D396" i="3"/>
  <c r="C396" i="3"/>
  <c r="Q395" i="3"/>
  <c r="P395" i="3"/>
  <c r="O395" i="3"/>
  <c r="N395" i="3"/>
  <c r="H395" i="3"/>
  <c r="G395" i="3"/>
  <c r="E395" i="3"/>
  <c r="F395" i="3" s="1"/>
  <c r="D395" i="3"/>
  <c r="C395" i="3"/>
  <c r="R395" i="3" s="1"/>
  <c r="R394" i="3"/>
  <c r="Q394" i="3"/>
  <c r="P394" i="3"/>
  <c r="O394" i="3"/>
  <c r="N394" i="3"/>
  <c r="H394" i="3"/>
  <c r="G394" i="3"/>
  <c r="E394" i="3"/>
  <c r="F394" i="3" s="1"/>
  <c r="D394" i="3"/>
  <c r="C394" i="3"/>
  <c r="Q393" i="3"/>
  <c r="P393" i="3"/>
  <c r="O393" i="3"/>
  <c r="N393" i="3"/>
  <c r="G393" i="3"/>
  <c r="E393" i="3"/>
  <c r="F393" i="3" s="1"/>
  <c r="D393" i="3"/>
  <c r="C393" i="3"/>
  <c r="Q392" i="3"/>
  <c r="P392" i="3"/>
  <c r="O392" i="3"/>
  <c r="N392" i="3"/>
  <c r="H392" i="3"/>
  <c r="G392" i="3"/>
  <c r="F392" i="3"/>
  <c r="E392" i="3"/>
  <c r="D392" i="3"/>
  <c r="C392" i="3"/>
  <c r="R392" i="3" s="1"/>
  <c r="Q391" i="3"/>
  <c r="P391" i="3"/>
  <c r="O391" i="3"/>
  <c r="N391" i="3"/>
  <c r="G391" i="3"/>
  <c r="E391" i="3"/>
  <c r="F391" i="3" s="1"/>
  <c r="D391" i="3"/>
  <c r="C391" i="3"/>
  <c r="R390" i="3"/>
  <c r="Q390" i="3"/>
  <c r="P390" i="3"/>
  <c r="O390" i="3"/>
  <c r="N390" i="3"/>
  <c r="G390" i="3"/>
  <c r="F390" i="3"/>
  <c r="E390" i="3"/>
  <c r="D390" i="3"/>
  <c r="C390" i="3"/>
  <c r="H390" i="3" s="1"/>
  <c r="R389" i="3"/>
  <c r="Q389" i="3"/>
  <c r="P389" i="3"/>
  <c r="O389" i="3"/>
  <c r="N389" i="3"/>
  <c r="G389" i="3"/>
  <c r="E389" i="3"/>
  <c r="F389" i="3" s="1"/>
  <c r="D389" i="3"/>
  <c r="C389" i="3"/>
  <c r="H389" i="3" s="1"/>
  <c r="R388" i="3"/>
  <c r="Q388" i="3"/>
  <c r="P388" i="3"/>
  <c r="O388" i="3"/>
  <c r="N388" i="3"/>
  <c r="H388" i="3"/>
  <c r="G388" i="3"/>
  <c r="E388" i="3"/>
  <c r="F388" i="3" s="1"/>
  <c r="D388" i="3"/>
  <c r="C388" i="3"/>
  <c r="R387" i="3"/>
  <c r="Q387" i="3"/>
  <c r="P387" i="3"/>
  <c r="O387" i="3"/>
  <c r="N387" i="3"/>
  <c r="G387" i="3"/>
  <c r="F387" i="3"/>
  <c r="E387" i="3"/>
  <c r="D387" i="3"/>
  <c r="C387" i="3"/>
  <c r="H387" i="3" s="1"/>
  <c r="Q386" i="3"/>
  <c r="P386" i="3"/>
  <c r="O386" i="3"/>
  <c r="N386" i="3"/>
  <c r="G386" i="3"/>
  <c r="E386" i="3"/>
  <c r="F386" i="3" s="1"/>
  <c r="D386" i="3"/>
  <c r="C386" i="3"/>
  <c r="R385" i="3"/>
  <c r="Q385" i="3"/>
  <c r="P385" i="3"/>
  <c r="O385" i="3"/>
  <c r="N385" i="3"/>
  <c r="H385" i="3"/>
  <c r="G385" i="3"/>
  <c r="F385" i="3"/>
  <c r="E385" i="3"/>
  <c r="D385" i="3"/>
  <c r="C385" i="3"/>
  <c r="R384" i="3"/>
  <c r="Q384" i="3"/>
  <c r="P384" i="3"/>
  <c r="O384" i="3"/>
  <c r="N384" i="3"/>
  <c r="H384" i="3"/>
  <c r="G384" i="3"/>
  <c r="F384" i="3"/>
  <c r="E384" i="3"/>
  <c r="D384" i="3"/>
  <c r="C384" i="3"/>
  <c r="Q383" i="3"/>
  <c r="P383" i="3"/>
  <c r="O383" i="3"/>
  <c r="N383" i="3"/>
  <c r="H383" i="3"/>
  <c r="G383" i="3"/>
  <c r="E383" i="3"/>
  <c r="F383" i="3" s="1"/>
  <c r="D383" i="3"/>
  <c r="C383" i="3"/>
  <c r="R383" i="3" s="1"/>
  <c r="R382" i="3"/>
  <c r="Q382" i="3"/>
  <c r="P382" i="3"/>
  <c r="O382" i="3"/>
  <c r="N382" i="3"/>
  <c r="H382" i="3"/>
  <c r="G382" i="3"/>
  <c r="E382" i="3"/>
  <c r="F382" i="3" s="1"/>
  <c r="D382" i="3"/>
  <c r="C382" i="3"/>
  <c r="Q381" i="3"/>
  <c r="P381" i="3"/>
  <c r="O381" i="3"/>
  <c r="N381" i="3"/>
  <c r="G381" i="3"/>
  <c r="E381" i="3"/>
  <c r="F381" i="3" s="1"/>
  <c r="D381" i="3"/>
  <c r="C381" i="3"/>
  <c r="Q380" i="3"/>
  <c r="P380" i="3"/>
  <c r="O380" i="3"/>
  <c r="N380" i="3"/>
  <c r="H380" i="3"/>
  <c r="G380" i="3"/>
  <c r="F380" i="3"/>
  <c r="E380" i="3"/>
  <c r="D380" i="3"/>
  <c r="C380" i="3"/>
  <c r="R380" i="3" s="1"/>
  <c r="Q379" i="3"/>
  <c r="P379" i="3"/>
  <c r="O379" i="3"/>
  <c r="N379" i="3"/>
  <c r="G379" i="3"/>
  <c r="E379" i="3"/>
  <c r="F379" i="3" s="1"/>
  <c r="D379" i="3"/>
  <c r="C379" i="3"/>
  <c r="R378" i="3"/>
  <c r="Q378" i="3"/>
  <c r="P378" i="3"/>
  <c r="O378" i="3"/>
  <c r="N378" i="3"/>
  <c r="G378" i="3"/>
  <c r="F378" i="3"/>
  <c r="E378" i="3"/>
  <c r="D378" i="3"/>
  <c r="C378" i="3"/>
  <c r="H378" i="3" s="1"/>
  <c r="R377" i="3"/>
  <c r="Q377" i="3"/>
  <c r="P377" i="3"/>
  <c r="O377" i="3"/>
  <c r="N377" i="3"/>
  <c r="G377" i="3"/>
  <c r="E377" i="3"/>
  <c r="F377" i="3" s="1"/>
  <c r="D377" i="3"/>
  <c r="C377" i="3"/>
  <c r="H377" i="3" s="1"/>
  <c r="R376" i="3"/>
  <c r="Q376" i="3"/>
  <c r="P376" i="3"/>
  <c r="O376" i="3"/>
  <c r="N376" i="3"/>
  <c r="H376" i="3"/>
  <c r="G376" i="3"/>
  <c r="E376" i="3"/>
  <c r="F376" i="3" s="1"/>
  <c r="D376" i="3"/>
  <c r="C376" i="3"/>
  <c r="Q375" i="3"/>
  <c r="P375" i="3"/>
  <c r="O375" i="3"/>
  <c r="N375" i="3"/>
  <c r="G375" i="3"/>
  <c r="F375" i="3"/>
  <c r="E375" i="3"/>
  <c r="D375" i="3"/>
  <c r="C375" i="3"/>
  <c r="H375" i="3" s="1"/>
  <c r="Q374" i="3"/>
  <c r="P374" i="3"/>
  <c r="O374" i="3"/>
  <c r="N374" i="3"/>
  <c r="G374" i="3"/>
  <c r="E374" i="3"/>
  <c r="F374" i="3" s="1"/>
  <c r="D374" i="3"/>
  <c r="C374" i="3"/>
  <c r="R373" i="3"/>
  <c r="Q373" i="3"/>
  <c r="P373" i="3"/>
  <c r="O373" i="3"/>
  <c r="N373" i="3"/>
  <c r="H373" i="3"/>
  <c r="G373" i="3"/>
  <c r="F373" i="3"/>
  <c r="E373" i="3"/>
  <c r="D373" i="3"/>
  <c r="C373" i="3"/>
  <c r="R372" i="3"/>
  <c r="Q372" i="3"/>
  <c r="P372" i="3"/>
  <c r="O372" i="3"/>
  <c r="N372" i="3"/>
  <c r="H372" i="3"/>
  <c r="G372" i="3"/>
  <c r="F372" i="3"/>
  <c r="E372" i="3"/>
  <c r="D372" i="3"/>
  <c r="C372" i="3"/>
  <c r="Q371" i="3"/>
  <c r="P371" i="3"/>
  <c r="O371" i="3"/>
  <c r="N371" i="3"/>
  <c r="H371" i="3"/>
  <c r="G371" i="3"/>
  <c r="E371" i="3"/>
  <c r="F371" i="3" s="1"/>
  <c r="D371" i="3"/>
  <c r="C371" i="3"/>
  <c r="R371" i="3" s="1"/>
  <c r="R370" i="3"/>
  <c r="Q370" i="3"/>
  <c r="P370" i="3"/>
  <c r="O370" i="3"/>
  <c r="N370" i="3"/>
  <c r="H370" i="3"/>
  <c r="G370" i="3"/>
  <c r="E370" i="3"/>
  <c r="F370" i="3" s="1"/>
  <c r="D370" i="3"/>
  <c r="C370" i="3"/>
  <c r="Q369" i="3"/>
  <c r="P369" i="3"/>
  <c r="O369" i="3"/>
  <c r="N369" i="3"/>
  <c r="G369" i="3"/>
  <c r="E369" i="3"/>
  <c r="F369" i="3" s="1"/>
  <c r="D369" i="3"/>
  <c r="C369" i="3"/>
  <c r="Q368" i="3"/>
  <c r="P368" i="3"/>
  <c r="O368" i="3"/>
  <c r="N368" i="3"/>
  <c r="H368" i="3"/>
  <c r="G368" i="3"/>
  <c r="F368" i="3"/>
  <c r="E368" i="3"/>
  <c r="D368" i="3"/>
  <c r="C368" i="3"/>
  <c r="R368" i="3" s="1"/>
  <c r="R367" i="3"/>
  <c r="Q367" i="3"/>
  <c r="P367" i="3"/>
  <c r="O367" i="3"/>
  <c r="N367" i="3"/>
  <c r="G367" i="3"/>
  <c r="E367" i="3"/>
  <c r="F367" i="3" s="1"/>
  <c r="D367" i="3"/>
  <c r="C367" i="3"/>
  <c r="H367" i="3" s="1"/>
  <c r="R366" i="3"/>
  <c r="Q366" i="3"/>
  <c r="P366" i="3"/>
  <c r="O366" i="3"/>
  <c r="N366" i="3"/>
  <c r="G366" i="3"/>
  <c r="F366" i="3"/>
  <c r="E366" i="3"/>
  <c r="D366" i="3"/>
  <c r="C366" i="3"/>
  <c r="H366" i="3" s="1"/>
  <c r="R365" i="3"/>
  <c r="Q365" i="3"/>
  <c r="P365" i="3"/>
  <c r="O365" i="3"/>
  <c r="N365" i="3"/>
  <c r="G365" i="3"/>
  <c r="E365" i="3"/>
  <c r="F365" i="3" s="1"/>
  <c r="D365" i="3"/>
  <c r="C365" i="3"/>
  <c r="H365" i="3" s="1"/>
  <c r="R364" i="3"/>
  <c r="Q364" i="3"/>
  <c r="P364" i="3"/>
  <c r="O364" i="3"/>
  <c r="N364" i="3"/>
  <c r="H364" i="3"/>
  <c r="G364" i="3"/>
  <c r="E364" i="3"/>
  <c r="F364" i="3" s="1"/>
  <c r="D364" i="3"/>
  <c r="C364" i="3"/>
  <c r="R363" i="3"/>
  <c r="Q363" i="3"/>
  <c r="P363" i="3"/>
  <c r="O363" i="3"/>
  <c r="N363" i="3"/>
  <c r="G363" i="3"/>
  <c r="F363" i="3"/>
  <c r="E363" i="3"/>
  <c r="D363" i="3"/>
  <c r="C363" i="3"/>
  <c r="H363" i="3" s="1"/>
  <c r="Q362" i="3"/>
  <c r="P362" i="3"/>
  <c r="O362" i="3"/>
  <c r="N362" i="3"/>
  <c r="G362" i="3"/>
  <c r="E362" i="3"/>
  <c r="F362" i="3" s="1"/>
  <c r="D362" i="3"/>
  <c r="C362" i="3"/>
  <c r="R361" i="3"/>
  <c r="Q361" i="3"/>
  <c r="P361" i="3"/>
  <c r="O361" i="3"/>
  <c r="N361" i="3"/>
  <c r="H361" i="3"/>
  <c r="G361" i="3"/>
  <c r="F361" i="3"/>
  <c r="E361" i="3"/>
  <c r="D361" i="3"/>
  <c r="C361" i="3"/>
  <c r="R360" i="3"/>
  <c r="Q360" i="3"/>
  <c r="P360" i="3"/>
  <c r="O360" i="3"/>
  <c r="N360" i="3"/>
  <c r="H360" i="3"/>
  <c r="G360" i="3"/>
  <c r="F360" i="3"/>
  <c r="E360" i="3"/>
  <c r="D360" i="3"/>
  <c r="C360" i="3"/>
  <c r="Q359" i="3"/>
  <c r="P359" i="3"/>
  <c r="O359" i="3"/>
  <c r="N359" i="3"/>
  <c r="H359" i="3"/>
  <c r="G359" i="3"/>
  <c r="E359" i="3"/>
  <c r="F359" i="3" s="1"/>
  <c r="D359" i="3"/>
  <c r="C359" i="3"/>
  <c r="R359" i="3" s="1"/>
  <c r="R358" i="3"/>
  <c r="Q358" i="3"/>
  <c r="P358" i="3"/>
  <c r="O358" i="3"/>
  <c r="N358" i="3"/>
  <c r="H358" i="3"/>
  <c r="G358" i="3"/>
  <c r="E358" i="3"/>
  <c r="F358" i="3" s="1"/>
  <c r="D358" i="3"/>
  <c r="C358" i="3"/>
  <c r="Q357" i="3"/>
  <c r="P357" i="3"/>
  <c r="O357" i="3"/>
  <c r="N357" i="3"/>
  <c r="G357" i="3"/>
  <c r="E357" i="3"/>
  <c r="F357" i="3" s="1"/>
  <c r="D357" i="3"/>
  <c r="C357" i="3"/>
  <c r="Q356" i="3"/>
  <c r="P356" i="3"/>
  <c r="O356" i="3"/>
  <c r="N356" i="3"/>
  <c r="H356" i="3"/>
  <c r="G356" i="3"/>
  <c r="F356" i="3"/>
  <c r="E356" i="3"/>
  <c r="D356" i="3"/>
  <c r="C356" i="3"/>
  <c r="R356" i="3" s="1"/>
  <c r="Q355" i="3"/>
  <c r="P355" i="3"/>
  <c r="O355" i="3"/>
  <c r="N355" i="3"/>
  <c r="G355" i="3"/>
  <c r="E355" i="3"/>
  <c r="F355" i="3" s="1"/>
  <c r="D355" i="3"/>
  <c r="C355" i="3"/>
  <c r="R354" i="3"/>
  <c r="Q354" i="3"/>
  <c r="P354" i="3"/>
  <c r="O354" i="3"/>
  <c r="N354" i="3"/>
  <c r="G354" i="3"/>
  <c r="F354" i="3"/>
  <c r="E354" i="3"/>
  <c r="D354" i="3"/>
  <c r="C354" i="3"/>
  <c r="H354" i="3" s="1"/>
  <c r="Q353" i="3"/>
  <c r="P353" i="3"/>
  <c r="O353" i="3"/>
  <c r="N353" i="3"/>
  <c r="H353" i="3"/>
  <c r="G353" i="3"/>
  <c r="E353" i="3"/>
  <c r="F353" i="3" s="1"/>
  <c r="D353" i="3"/>
  <c r="C353" i="3"/>
  <c r="R353" i="3" s="1"/>
  <c r="R352" i="3"/>
  <c r="Q352" i="3"/>
  <c r="P352" i="3"/>
  <c r="O352" i="3"/>
  <c r="N352" i="3"/>
  <c r="H352" i="3"/>
  <c r="G352" i="3"/>
  <c r="E352" i="3"/>
  <c r="F352" i="3" s="1"/>
  <c r="D352" i="3"/>
  <c r="C352" i="3"/>
  <c r="R351" i="3"/>
  <c r="Q351" i="3"/>
  <c r="P351" i="3"/>
  <c r="O351" i="3"/>
  <c r="N351" i="3"/>
  <c r="G351" i="3"/>
  <c r="F351" i="3"/>
  <c r="E351" i="3"/>
  <c r="D351" i="3"/>
  <c r="C351" i="3"/>
  <c r="H351" i="3" s="1"/>
  <c r="Q350" i="3"/>
  <c r="P350" i="3"/>
  <c r="O350" i="3"/>
  <c r="N350" i="3"/>
  <c r="H350" i="3"/>
  <c r="G350" i="3"/>
  <c r="E350" i="3"/>
  <c r="F350" i="3" s="1"/>
  <c r="D350" i="3"/>
  <c r="C350" i="3"/>
  <c r="R350" i="3" s="1"/>
  <c r="R349" i="3"/>
  <c r="Q349" i="3"/>
  <c r="P349" i="3"/>
  <c r="O349" i="3"/>
  <c r="N349" i="3"/>
  <c r="H349" i="3"/>
  <c r="G349" i="3"/>
  <c r="F349" i="3"/>
  <c r="E349" i="3"/>
  <c r="D349" i="3"/>
  <c r="C349" i="3"/>
  <c r="Q348" i="3"/>
  <c r="P348" i="3"/>
  <c r="O348" i="3"/>
  <c r="N348" i="3"/>
  <c r="G348" i="3"/>
  <c r="F348" i="3"/>
  <c r="E348" i="3"/>
  <c r="D348" i="3"/>
  <c r="C348" i="3"/>
  <c r="Q347" i="3"/>
  <c r="P347" i="3"/>
  <c r="O347" i="3"/>
  <c r="N347" i="3"/>
  <c r="H347" i="3"/>
  <c r="G347" i="3"/>
  <c r="F347" i="3"/>
  <c r="E347" i="3"/>
  <c r="D347" i="3"/>
  <c r="C347" i="3"/>
  <c r="R347" i="3" s="1"/>
  <c r="R346" i="3"/>
  <c r="Q346" i="3"/>
  <c r="P346" i="3"/>
  <c r="O346" i="3"/>
  <c r="N346" i="3"/>
  <c r="H346" i="3"/>
  <c r="G346" i="3"/>
  <c r="F346" i="3"/>
  <c r="E346" i="3"/>
  <c r="D346" i="3"/>
  <c r="C346" i="3"/>
  <c r="Q345" i="3"/>
  <c r="P345" i="3"/>
  <c r="O345" i="3"/>
  <c r="N345" i="3"/>
  <c r="G345" i="3"/>
  <c r="E345" i="3"/>
  <c r="F345" i="3" s="1"/>
  <c r="D345" i="3"/>
  <c r="C345" i="3"/>
  <c r="Q344" i="3"/>
  <c r="P344" i="3"/>
  <c r="O344" i="3"/>
  <c r="N344" i="3"/>
  <c r="G344" i="3"/>
  <c r="F344" i="3"/>
  <c r="E344" i="3"/>
  <c r="D344" i="3"/>
  <c r="C344" i="3"/>
  <c r="R343" i="3"/>
  <c r="Q343" i="3"/>
  <c r="P343" i="3"/>
  <c r="O343" i="3"/>
  <c r="N343" i="3"/>
  <c r="H343" i="3"/>
  <c r="G343" i="3"/>
  <c r="E343" i="3"/>
  <c r="F343" i="3" s="1"/>
  <c r="D343" i="3"/>
  <c r="C343" i="3"/>
  <c r="R342" i="3"/>
  <c r="Q342" i="3"/>
  <c r="P342" i="3"/>
  <c r="O342" i="3"/>
  <c r="N342" i="3"/>
  <c r="G342" i="3"/>
  <c r="F342" i="3"/>
  <c r="E342" i="3"/>
  <c r="D342" i="3"/>
  <c r="C342" i="3"/>
  <c r="H342" i="3" s="1"/>
  <c r="Q341" i="3"/>
  <c r="P341" i="3"/>
  <c r="O341" i="3"/>
  <c r="N341" i="3"/>
  <c r="G341" i="3"/>
  <c r="F341" i="3"/>
  <c r="E341" i="3"/>
  <c r="D341" i="3"/>
  <c r="C341" i="3"/>
  <c r="R340" i="3"/>
  <c r="Q340" i="3"/>
  <c r="P340" i="3"/>
  <c r="O340" i="3"/>
  <c r="N340" i="3"/>
  <c r="H340" i="3"/>
  <c r="G340" i="3"/>
  <c r="E340" i="3"/>
  <c r="F340" i="3" s="1"/>
  <c r="D340" i="3"/>
  <c r="C340" i="3"/>
  <c r="R339" i="3"/>
  <c r="Q339" i="3"/>
  <c r="P339" i="3"/>
  <c r="O339" i="3"/>
  <c r="N339" i="3"/>
  <c r="G339" i="3"/>
  <c r="E339" i="3"/>
  <c r="F339" i="3" s="1"/>
  <c r="D339" i="3"/>
  <c r="C339" i="3"/>
  <c r="H339" i="3" s="1"/>
  <c r="Q338" i="3"/>
  <c r="P338" i="3"/>
  <c r="O338" i="3"/>
  <c r="N338" i="3"/>
  <c r="G338" i="3"/>
  <c r="E338" i="3"/>
  <c r="F338" i="3" s="1"/>
  <c r="D338" i="3"/>
  <c r="C338" i="3"/>
  <c r="R337" i="3"/>
  <c r="Q337" i="3"/>
  <c r="P337" i="3"/>
  <c r="O337" i="3"/>
  <c r="N337" i="3"/>
  <c r="H337" i="3"/>
  <c r="G337" i="3"/>
  <c r="F337" i="3"/>
  <c r="E337" i="3"/>
  <c r="D337" i="3"/>
  <c r="C337" i="3"/>
  <c r="R336" i="3"/>
  <c r="Q336" i="3"/>
  <c r="P336" i="3"/>
  <c r="O336" i="3"/>
  <c r="N336" i="3"/>
  <c r="G336" i="3"/>
  <c r="F336" i="3"/>
  <c r="E336" i="3"/>
  <c r="D336" i="3"/>
  <c r="C336" i="3"/>
  <c r="H336" i="3" s="1"/>
  <c r="R335" i="3"/>
  <c r="Q335" i="3"/>
  <c r="P335" i="3"/>
  <c r="O335" i="3"/>
  <c r="N335" i="3"/>
  <c r="H335" i="3"/>
  <c r="G335" i="3"/>
  <c r="F335" i="3"/>
  <c r="E335" i="3"/>
  <c r="D335" i="3"/>
  <c r="C335" i="3"/>
  <c r="R334" i="3"/>
  <c r="Q334" i="3"/>
  <c r="P334" i="3"/>
  <c r="O334" i="3"/>
  <c r="N334" i="3"/>
  <c r="H334" i="3"/>
  <c r="G334" i="3"/>
  <c r="E334" i="3"/>
  <c r="F334" i="3" s="1"/>
  <c r="D334" i="3"/>
  <c r="C334" i="3"/>
  <c r="Q333" i="3"/>
  <c r="P333" i="3"/>
  <c r="O333" i="3"/>
  <c r="N333" i="3"/>
  <c r="G333" i="3"/>
  <c r="E333" i="3"/>
  <c r="F333" i="3" s="1"/>
  <c r="D333" i="3"/>
  <c r="C333" i="3"/>
  <c r="Q332" i="3"/>
  <c r="P332" i="3"/>
  <c r="O332" i="3"/>
  <c r="N332" i="3"/>
  <c r="H332" i="3"/>
  <c r="G332" i="3"/>
  <c r="F332" i="3"/>
  <c r="E332" i="3"/>
  <c r="D332" i="3"/>
  <c r="C332" i="3"/>
  <c r="R332" i="3" s="1"/>
  <c r="R331" i="3"/>
  <c r="Q331" i="3"/>
  <c r="P331" i="3"/>
  <c r="O331" i="3"/>
  <c r="N331" i="3"/>
  <c r="G331" i="3"/>
  <c r="E331" i="3"/>
  <c r="F331" i="3" s="1"/>
  <c r="D331" i="3"/>
  <c r="C331" i="3"/>
  <c r="H331" i="3" s="1"/>
  <c r="R330" i="3"/>
  <c r="Q330" i="3"/>
  <c r="P330" i="3"/>
  <c r="O330" i="3"/>
  <c r="N330" i="3"/>
  <c r="H330" i="3"/>
  <c r="G330" i="3"/>
  <c r="F330" i="3"/>
  <c r="E330" i="3"/>
  <c r="D330" i="3"/>
  <c r="C330" i="3"/>
  <c r="Q329" i="3"/>
  <c r="P329" i="3"/>
  <c r="O329" i="3"/>
  <c r="N329" i="3"/>
  <c r="G329" i="3"/>
  <c r="F329" i="3"/>
  <c r="E329" i="3"/>
  <c r="D329" i="3"/>
  <c r="C329" i="3"/>
  <c r="H329" i="3" s="1"/>
  <c r="R328" i="3"/>
  <c r="Q328" i="3"/>
  <c r="P328" i="3"/>
  <c r="O328" i="3"/>
  <c r="N328" i="3"/>
  <c r="H328" i="3"/>
  <c r="G328" i="3"/>
  <c r="F328" i="3"/>
  <c r="E328" i="3"/>
  <c r="D328" i="3"/>
  <c r="C328" i="3"/>
  <c r="Q327" i="3"/>
  <c r="P327" i="3"/>
  <c r="O327" i="3"/>
  <c r="N327" i="3"/>
  <c r="G327" i="3"/>
  <c r="F327" i="3"/>
  <c r="E327" i="3"/>
  <c r="D327" i="3"/>
  <c r="C327" i="3"/>
  <c r="H327" i="3" s="1"/>
  <c r="Q326" i="3"/>
  <c r="P326" i="3"/>
  <c r="O326" i="3"/>
  <c r="N326" i="3"/>
  <c r="H326" i="3"/>
  <c r="G326" i="3"/>
  <c r="E326" i="3"/>
  <c r="F326" i="3" s="1"/>
  <c r="D326" i="3"/>
  <c r="C326" i="3"/>
  <c r="R326" i="3" s="1"/>
  <c r="Q325" i="3"/>
  <c r="P325" i="3"/>
  <c r="O325" i="3"/>
  <c r="N325" i="3"/>
  <c r="G325" i="3"/>
  <c r="F325" i="3"/>
  <c r="E325" i="3"/>
  <c r="D325" i="3"/>
  <c r="C325" i="3"/>
  <c r="R324" i="3"/>
  <c r="Q324" i="3"/>
  <c r="P324" i="3"/>
  <c r="O324" i="3"/>
  <c r="N324" i="3"/>
  <c r="H324" i="3"/>
  <c r="G324" i="3"/>
  <c r="F324" i="3"/>
  <c r="E324" i="3"/>
  <c r="D324" i="3"/>
  <c r="C324" i="3"/>
  <c r="R323" i="3"/>
  <c r="Q323" i="3"/>
  <c r="P323" i="3"/>
  <c r="O323" i="3"/>
  <c r="N323" i="3"/>
  <c r="H323" i="3"/>
  <c r="G323" i="3"/>
  <c r="F323" i="3"/>
  <c r="E323" i="3"/>
  <c r="D323" i="3"/>
  <c r="C323" i="3"/>
  <c r="R322" i="3"/>
  <c r="Q322" i="3"/>
  <c r="P322" i="3"/>
  <c r="O322" i="3"/>
  <c r="N322" i="3"/>
  <c r="H322" i="3"/>
  <c r="G322" i="3"/>
  <c r="F322" i="3"/>
  <c r="E322" i="3"/>
  <c r="D322" i="3"/>
  <c r="C322" i="3"/>
  <c r="Q321" i="3"/>
  <c r="P321" i="3"/>
  <c r="O321" i="3"/>
  <c r="N321" i="3"/>
  <c r="G321" i="3"/>
  <c r="E321" i="3"/>
  <c r="F321" i="3" s="1"/>
  <c r="D321" i="3"/>
  <c r="C321" i="3"/>
  <c r="Q320" i="3"/>
  <c r="P320" i="3"/>
  <c r="O320" i="3"/>
  <c r="N320" i="3"/>
  <c r="G320" i="3"/>
  <c r="F320" i="3"/>
  <c r="E320" i="3"/>
  <c r="D320" i="3"/>
  <c r="C320" i="3"/>
  <c r="R319" i="3"/>
  <c r="Q319" i="3"/>
  <c r="P319" i="3"/>
  <c r="O319" i="3"/>
  <c r="N319" i="3"/>
  <c r="H319" i="3"/>
  <c r="G319" i="3"/>
  <c r="E319" i="3"/>
  <c r="F319" i="3" s="1"/>
  <c r="D319" i="3"/>
  <c r="C319" i="3"/>
  <c r="R318" i="3"/>
  <c r="Q318" i="3"/>
  <c r="P318" i="3"/>
  <c r="O318" i="3"/>
  <c r="N318" i="3"/>
  <c r="H318" i="3"/>
  <c r="G318" i="3"/>
  <c r="F318" i="3"/>
  <c r="E318" i="3"/>
  <c r="D318" i="3"/>
  <c r="C318" i="3"/>
  <c r="R317" i="3"/>
  <c r="Q317" i="3"/>
  <c r="P317" i="3"/>
  <c r="O317" i="3"/>
  <c r="N317" i="3"/>
  <c r="H317" i="3"/>
  <c r="G317" i="3"/>
  <c r="E317" i="3"/>
  <c r="F317" i="3" s="1"/>
  <c r="D317" i="3"/>
  <c r="C317" i="3"/>
  <c r="R316" i="3"/>
  <c r="Q316" i="3"/>
  <c r="P316" i="3"/>
  <c r="O316" i="3"/>
  <c r="N316" i="3"/>
  <c r="H316" i="3"/>
  <c r="G316" i="3"/>
  <c r="F316" i="3"/>
  <c r="E316" i="3"/>
  <c r="D316" i="3"/>
  <c r="C316" i="3"/>
  <c r="Q315" i="3"/>
  <c r="P315" i="3"/>
  <c r="O315" i="3"/>
  <c r="N315" i="3"/>
  <c r="G315" i="3"/>
  <c r="E315" i="3"/>
  <c r="F315" i="3" s="1"/>
  <c r="D315" i="3"/>
  <c r="C315" i="3"/>
  <c r="H315" i="3" s="1"/>
  <c r="Q314" i="3"/>
  <c r="P314" i="3"/>
  <c r="O314" i="3"/>
  <c r="N314" i="3"/>
  <c r="H314" i="3"/>
  <c r="G314" i="3"/>
  <c r="E314" i="3"/>
  <c r="F314" i="3" s="1"/>
  <c r="D314" i="3"/>
  <c r="C314" i="3"/>
  <c r="R314" i="3" s="1"/>
  <c r="R313" i="3"/>
  <c r="Q313" i="3"/>
  <c r="P313" i="3"/>
  <c r="O313" i="3"/>
  <c r="N313" i="3"/>
  <c r="G313" i="3"/>
  <c r="F313" i="3"/>
  <c r="E313" i="3"/>
  <c r="D313" i="3"/>
  <c r="C313" i="3"/>
  <c r="H313" i="3" s="1"/>
  <c r="Q312" i="3"/>
  <c r="P312" i="3"/>
  <c r="O312" i="3"/>
  <c r="N312" i="3"/>
  <c r="G312" i="3"/>
  <c r="F312" i="3"/>
  <c r="E312" i="3"/>
  <c r="D312" i="3"/>
  <c r="C312" i="3"/>
  <c r="R311" i="3"/>
  <c r="Q311" i="3"/>
  <c r="P311" i="3"/>
  <c r="O311" i="3"/>
  <c r="N311" i="3"/>
  <c r="H311" i="3"/>
  <c r="G311" i="3"/>
  <c r="E311" i="3"/>
  <c r="F311" i="3" s="1"/>
  <c r="D311" i="3"/>
  <c r="C311" i="3"/>
  <c r="R310" i="3"/>
  <c r="Q310" i="3"/>
  <c r="P310" i="3"/>
  <c r="O310" i="3"/>
  <c r="N310" i="3"/>
  <c r="H310" i="3"/>
  <c r="G310" i="3"/>
  <c r="F310" i="3"/>
  <c r="E310" i="3"/>
  <c r="D310" i="3"/>
  <c r="C310" i="3"/>
  <c r="Q309" i="3"/>
  <c r="P309" i="3"/>
  <c r="O309" i="3"/>
  <c r="N309" i="3"/>
  <c r="G309" i="3"/>
  <c r="E309" i="3"/>
  <c r="F309" i="3" s="1"/>
  <c r="D309" i="3"/>
  <c r="C309" i="3"/>
  <c r="Q308" i="3"/>
  <c r="P308" i="3"/>
  <c r="O308" i="3"/>
  <c r="N308" i="3"/>
  <c r="G308" i="3"/>
  <c r="F308" i="3"/>
  <c r="E308" i="3"/>
  <c r="D308" i="3"/>
  <c r="C308" i="3"/>
  <c r="Q307" i="3"/>
  <c r="P307" i="3"/>
  <c r="O307" i="3"/>
  <c r="N307" i="3"/>
  <c r="H307" i="3"/>
  <c r="G307" i="3"/>
  <c r="E307" i="3"/>
  <c r="F307" i="3" s="1"/>
  <c r="D307" i="3"/>
  <c r="C307" i="3"/>
  <c r="R307" i="3" s="1"/>
  <c r="R306" i="3"/>
  <c r="Q306" i="3"/>
  <c r="P306" i="3"/>
  <c r="O306" i="3"/>
  <c r="N306" i="3"/>
  <c r="H306" i="3"/>
  <c r="G306" i="3"/>
  <c r="F306" i="3"/>
  <c r="E306" i="3"/>
  <c r="D306" i="3"/>
  <c r="C306" i="3"/>
  <c r="Q305" i="3"/>
  <c r="P305" i="3"/>
  <c r="O305" i="3"/>
  <c r="N305" i="3"/>
  <c r="G305" i="3"/>
  <c r="F305" i="3"/>
  <c r="E305" i="3"/>
  <c r="D305" i="3"/>
  <c r="C305" i="3"/>
  <c r="R305" i="3" s="1"/>
  <c r="R304" i="3"/>
  <c r="Q304" i="3"/>
  <c r="P304" i="3"/>
  <c r="O304" i="3"/>
  <c r="N304" i="3"/>
  <c r="H304" i="3"/>
  <c r="G304" i="3"/>
  <c r="E304" i="3"/>
  <c r="F304" i="3" s="1"/>
  <c r="D304" i="3"/>
  <c r="C304" i="3"/>
  <c r="R303" i="3"/>
  <c r="Q303" i="3"/>
  <c r="P303" i="3"/>
  <c r="O303" i="3"/>
  <c r="N303" i="3"/>
  <c r="G303" i="3"/>
  <c r="E303" i="3"/>
  <c r="F303" i="3" s="1"/>
  <c r="D303" i="3"/>
  <c r="C303" i="3"/>
  <c r="H303" i="3" s="1"/>
  <c r="Q302" i="3"/>
  <c r="P302" i="3"/>
  <c r="O302" i="3"/>
  <c r="N302" i="3"/>
  <c r="G302" i="3"/>
  <c r="E302" i="3"/>
  <c r="F302" i="3" s="1"/>
  <c r="D302" i="3"/>
  <c r="C302" i="3"/>
  <c r="R301" i="3"/>
  <c r="Q301" i="3"/>
  <c r="P301" i="3"/>
  <c r="O301" i="3"/>
  <c r="N301" i="3"/>
  <c r="H301" i="3"/>
  <c r="G301" i="3"/>
  <c r="F301" i="3"/>
  <c r="E301" i="3"/>
  <c r="D301" i="3"/>
  <c r="C301" i="3"/>
  <c r="R300" i="3"/>
  <c r="Q300" i="3"/>
  <c r="P300" i="3"/>
  <c r="O300" i="3"/>
  <c r="N300" i="3"/>
  <c r="G300" i="3"/>
  <c r="F300" i="3"/>
  <c r="E300" i="3"/>
  <c r="D300" i="3"/>
  <c r="C300" i="3"/>
  <c r="H300" i="3" s="1"/>
  <c r="R299" i="3"/>
  <c r="Q299" i="3"/>
  <c r="P299" i="3"/>
  <c r="O299" i="3"/>
  <c r="N299" i="3"/>
  <c r="H299" i="3"/>
  <c r="G299" i="3"/>
  <c r="E299" i="3"/>
  <c r="F299" i="3" s="1"/>
  <c r="D299" i="3"/>
  <c r="C299" i="3"/>
  <c r="R298" i="3"/>
  <c r="Q298" i="3"/>
  <c r="P298" i="3"/>
  <c r="O298" i="3"/>
  <c r="N298" i="3"/>
  <c r="H298" i="3"/>
  <c r="G298" i="3"/>
  <c r="E298" i="3"/>
  <c r="F298" i="3" s="1"/>
  <c r="D298" i="3"/>
  <c r="C298" i="3"/>
  <c r="Q297" i="3"/>
  <c r="P297" i="3"/>
  <c r="O297" i="3"/>
  <c r="N297" i="3"/>
  <c r="G297" i="3"/>
  <c r="E297" i="3"/>
  <c r="F297" i="3" s="1"/>
  <c r="D297" i="3"/>
  <c r="C297" i="3"/>
  <c r="Q296" i="3"/>
  <c r="P296" i="3"/>
  <c r="O296" i="3"/>
  <c r="N296" i="3"/>
  <c r="G296" i="3"/>
  <c r="F296" i="3"/>
  <c r="E296" i="3"/>
  <c r="D296" i="3"/>
  <c r="C296" i="3"/>
  <c r="Q295" i="3"/>
  <c r="P295" i="3"/>
  <c r="O295" i="3"/>
  <c r="N295" i="3"/>
  <c r="H295" i="3"/>
  <c r="G295" i="3"/>
  <c r="E295" i="3"/>
  <c r="F295" i="3" s="1"/>
  <c r="D295" i="3"/>
  <c r="C295" i="3"/>
  <c r="R295" i="3" s="1"/>
  <c r="Q294" i="3"/>
  <c r="P294" i="3"/>
  <c r="O294" i="3"/>
  <c r="N294" i="3"/>
  <c r="G294" i="3"/>
  <c r="F294" i="3"/>
  <c r="E294" i="3"/>
  <c r="D294" i="3"/>
  <c r="C294" i="3"/>
  <c r="R293" i="3"/>
  <c r="Q293" i="3"/>
  <c r="P293" i="3"/>
  <c r="O293" i="3"/>
  <c r="N293" i="3"/>
  <c r="H293" i="3"/>
  <c r="G293" i="3"/>
  <c r="E293" i="3"/>
  <c r="F293" i="3" s="1"/>
  <c r="D293" i="3"/>
  <c r="C293" i="3"/>
  <c r="R292" i="3"/>
  <c r="Q292" i="3"/>
  <c r="P292" i="3"/>
  <c r="O292" i="3"/>
  <c r="N292" i="3"/>
  <c r="H292" i="3"/>
  <c r="G292" i="3"/>
  <c r="F292" i="3"/>
  <c r="E292" i="3"/>
  <c r="D292" i="3"/>
  <c r="C292" i="3"/>
  <c r="Q291" i="3"/>
  <c r="P291" i="3"/>
  <c r="O291" i="3"/>
  <c r="N291" i="3"/>
  <c r="G291" i="3"/>
  <c r="F291" i="3"/>
  <c r="E291" i="3"/>
  <c r="D291" i="3"/>
  <c r="C291" i="3"/>
  <c r="Q290" i="3"/>
  <c r="P290" i="3"/>
  <c r="O290" i="3"/>
  <c r="N290" i="3"/>
  <c r="G290" i="3"/>
  <c r="E290" i="3"/>
  <c r="F290" i="3" s="1"/>
  <c r="D290" i="3"/>
  <c r="C290" i="3"/>
  <c r="R289" i="3"/>
  <c r="Q289" i="3"/>
  <c r="P289" i="3"/>
  <c r="O289" i="3"/>
  <c r="N289" i="3"/>
  <c r="H289" i="3"/>
  <c r="G289" i="3"/>
  <c r="F289" i="3"/>
  <c r="E289" i="3"/>
  <c r="D289" i="3"/>
  <c r="C289" i="3"/>
  <c r="R288" i="3"/>
  <c r="Q288" i="3"/>
  <c r="P288" i="3"/>
  <c r="O288" i="3"/>
  <c r="N288" i="3"/>
  <c r="G288" i="3"/>
  <c r="F288" i="3"/>
  <c r="E288" i="3"/>
  <c r="D288" i="3"/>
  <c r="C288" i="3"/>
  <c r="H288" i="3" s="1"/>
  <c r="R287" i="3"/>
  <c r="Q287" i="3"/>
  <c r="P287" i="3"/>
  <c r="O287" i="3"/>
  <c r="N287" i="3"/>
  <c r="H287" i="3"/>
  <c r="G287" i="3"/>
  <c r="E287" i="3"/>
  <c r="F287" i="3" s="1"/>
  <c r="D287" i="3"/>
  <c r="C287" i="3"/>
  <c r="R286" i="3"/>
  <c r="Q286" i="3"/>
  <c r="P286" i="3"/>
  <c r="O286" i="3"/>
  <c r="N286" i="3"/>
  <c r="H286" i="3"/>
  <c r="G286" i="3"/>
  <c r="E286" i="3"/>
  <c r="F286" i="3" s="1"/>
  <c r="D286" i="3"/>
  <c r="C286" i="3"/>
  <c r="Q285" i="3"/>
  <c r="P285" i="3"/>
  <c r="O285" i="3"/>
  <c r="N285" i="3"/>
  <c r="G285" i="3"/>
  <c r="E285" i="3"/>
  <c r="F285" i="3" s="1"/>
  <c r="D285" i="3"/>
  <c r="C285" i="3"/>
  <c r="Q284" i="3"/>
  <c r="P284" i="3"/>
  <c r="O284" i="3"/>
  <c r="N284" i="3"/>
  <c r="G284" i="3"/>
  <c r="F284" i="3"/>
  <c r="E284" i="3"/>
  <c r="D284" i="3"/>
  <c r="C284" i="3"/>
  <c r="Q283" i="3"/>
  <c r="P283" i="3"/>
  <c r="O283" i="3"/>
  <c r="N283" i="3"/>
  <c r="H283" i="3"/>
  <c r="G283" i="3"/>
  <c r="E283" i="3"/>
  <c r="F283" i="3" s="1"/>
  <c r="D283" i="3"/>
  <c r="C283" i="3"/>
  <c r="R283" i="3" s="1"/>
  <c r="R282" i="3"/>
  <c r="Q282" i="3"/>
  <c r="P282" i="3"/>
  <c r="O282" i="3"/>
  <c r="N282" i="3"/>
  <c r="G282" i="3"/>
  <c r="F282" i="3"/>
  <c r="E282" i="3"/>
  <c r="D282" i="3"/>
  <c r="C282" i="3"/>
  <c r="H282" i="3" s="1"/>
  <c r="Q281" i="3"/>
  <c r="P281" i="3"/>
  <c r="O281" i="3"/>
  <c r="N281" i="3"/>
  <c r="H281" i="3"/>
  <c r="G281" i="3"/>
  <c r="E281" i="3"/>
  <c r="F281" i="3" s="1"/>
  <c r="D281" i="3"/>
  <c r="C281" i="3"/>
  <c r="R281" i="3" s="1"/>
  <c r="R280" i="3"/>
  <c r="Q280" i="3"/>
  <c r="P280" i="3"/>
  <c r="O280" i="3"/>
  <c r="N280" i="3"/>
  <c r="H280" i="3"/>
  <c r="G280" i="3"/>
  <c r="E280" i="3"/>
  <c r="F280" i="3" s="1"/>
  <c r="D280" i="3"/>
  <c r="C280" i="3"/>
  <c r="Q279" i="3"/>
  <c r="P279" i="3"/>
  <c r="O279" i="3"/>
  <c r="N279" i="3"/>
  <c r="G279" i="3"/>
  <c r="F279" i="3"/>
  <c r="E279" i="3"/>
  <c r="D279" i="3"/>
  <c r="C279" i="3"/>
  <c r="Q278" i="3"/>
  <c r="P278" i="3"/>
  <c r="O278" i="3"/>
  <c r="N278" i="3"/>
  <c r="G278" i="3"/>
  <c r="E278" i="3"/>
  <c r="F278" i="3" s="1"/>
  <c r="D278" i="3"/>
  <c r="C278" i="3"/>
  <c r="Q277" i="3"/>
  <c r="P277" i="3"/>
  <c r="O277" i="3"/>
  <c r="N277" i="3"/>
  <c r="G277" i="3"/>
  <c r="E277" i="3"/>
  <c r="F277" i="3" s="1"/>
  <c r="D277" i="3"/>
  <c r="C277" i="3"/>
  <c r="R276" i="3"/>
  <c r="Q276" i="3"/>
  <c r="P276" i="3"/>
  <c r="O276" i="3"/>
  <c r="N276" i="3"/>
  <c r="H276" i="3"/>
  <c r="G276" i="3"/>
  <c r="E276" i="3"/>
  <c r="F276" i="3" s="1"/>
  <c r="D276" i="3"/>
  <c r="C276" i="3"/>
  <c r="Q275" i="3"/>
  <c r="P275" i="3"/>
  <c r="O275" i="3"/>
  <c r="N275" i="3"/>
  <c r="G275" i="3"/>
  <c r="F275" i="3"/>
  <c r="E275" i="3"/>
  <c r="D275" i="3"/>
  <c r="C275" i="3"/>
  <c r="H275" i="3" s="1"/>
  <c r="Q274" i="3"/>
  <c r="P274" i="3"/>
  <c r="O274" i="3"/>
  <c r="N274" i="3"/>
  <c r="H274" i="3"/>
  <c r="G274" i="3"/>
  <c r="E274" i="3"/>
  <c r="F274" i="3" s="1"/>
  <c r="D274" i="3"/>
  <c r="C274" i="3"/>
  <c r="R274" i="3" s="1"/>
  <c r="Q273" i="3"/>
  <c r="P273" i="3"/>
  <c r="O273" i="3"/>
  <c r="N273" i="3"/>
  <c r="G273" i="3"/>
  <c r="F273" i="3"/>
  <c r="E273" i="3"/>
  <c r="D273" i="3"/>
  <c r="C273" i="3"/>
  <c r="Q272" i="3"/>
  <c r="P272" i="3"/>
  <c r="O272" i="3"/>
  <c r="N272" i="3"/>
  <c r="G272" i="3"/>
  <c r="F272" i="3"/>
  <c r="E272" i="3"/>
  <c r="D272" i="3"/>
  <c r="C272" i="3"/>
  <c r="Q271" i="3"/>
  <c r="P271" i="3"/>
  <c r="O271" i="3"/>
  <c r="N271" i="3"/>
  <c r="H271" i="3"/>
  <c r="G271" i="3"/>
  <c r="E271" i="3"/>
  <c r="F271" i="3" s="1"/>
  <c r="D271" i="3"/>
  <c r="C271" i="3"/>
  <c r="R271" i="3" s="1"/>
  <c r="Q270" i="3"/>
  <c r="P270" i="3"/>
  <c r="O270" i="3"/>
  <c r="N270" i="3"/>
  <c r="H270" i="3"/>
  <c r="G270" i="3"/>
  <c r="F270" i="3"/>
  <c r="E270" i="3"/>
  <c r="D270" i="3"/>
  <c r="C270" i="3"/>
  <c r="R270" i="3" s="1"/>
  <c r="R269" i="3"/>
  <c r="Q269" i="3"/>
  <c r="P269" i="3"/>
  <c r="O269" i="3"/>
  <c r="N269" i="3"/>
  <c r="H269" i="3"/>
  <c r="G269" i="3"/>
  <c r="E269" i="3"/>
  <c r="F269" i="3" s="1"/>
  <c r="D269" i="3"/>
  <c r="C269" i="3"/>
  <c r="R268" i="3"/>
  <c r="Q268" i="3"/>
  <c r="P268" i="3"/>
  <c r="O268" i="3"/>
  <c r="N268" i="3"/>
  <c r="H268" i="3"/>
  <c r="G268" i="3"/>
  <c r="F268" i="3"/>
  <c r="E268" i="3"/>
  <c r="D268" i="3"/>
  <c r="C268" i="3"/>
  <c r="Q267" i="3"/>
  <c r="P267" i="3"/>
  <c r="O267" i="3"/>
  <c r="N267" i="3"/>
  <c r="G267" i="3"/>
  <c r="F267" i="3"/>
  <c r="E267" i="3"/>
  <c r="D267" i="3"/>
  <c r="C267" i="3"/>
  <c r="Q266" i="3"/>
  <c r="P266" i="3"/>
  <c r="O266" i="3"/>
  <c r="N266" i="3"/>
  <c r="G266" i="3"/>
  <c r="F266" i="3"/>
  <c r="E266" i="3"/>
  <c r="D266" i="3"/>
  <c r="C266" i="3"/>
  <c r="Q265" i="3"/>
  <c r="P265" i="3"/>
  <c r="O265" i="3"/>
  <c r="N265" i="3"/>
  <c r="G265" i="3"/>
  <c r="E265" i="3"/>
  <c r="F265" i="3" s="1"/>
  <c r="D265" i="3"/>
  <c r="C265" i="3"/>
  <c r="R264" i="3"/>
  <c r="Q264" i="3"/>
  <c r="P264" i="3"/>
  <c r="O264" i="3"/>
  <c r="N264" i="3"/>
  <c r="H264" i="3"/>
  <c r="G264" i="3"/>
  <c r="E264" i="3"/>
  <c r="F264" i="3" s="1"/>
  <c r="D264" i="3"/>
  <c r="C264" i="3"/>
  <c r="R263" i="3"/>
  <c r="Q263" i="3"/>
  <c r="P263" i="3"/>
  <c r="O263" i="3"/>
  <c r="N263" i="3"/>
  <c r="G263" i="3"/>
  <c r="F263" i="3"/>
  <c r="E263" i="3"/>
  <c r="D263" i="3"/>
  <c r="C263" i="3"/>
  <c r="H263" i="3" s="1"/>
  <c r="Q262" i="3"/>
  <c r="P262" i="3"/>
  <c r="O262" i="3"/>
  <c r="N262" i="3"/>
  <c r="H262" i="3"/>
  <c r="G262" i="3"/>
  <c r="E262" i="3"/>
  <c r="F262" i="3" s="1"/>
  <c r="D262" i="3"/>
  <c r="C262" i="3"/>
  <c r="R262" i="3" s="1"/>
  <c r="Q261" i="3"/>
  <c r="P261" i="3"/>
  <c r="O261" i="3"/>
  <c r="N261" i="3"/>
  <c r="G261" i="3"/>
  <c r="F261" i="3"/>
  <c r="E261" i="3"/>
  <c r="D261" i="3"/>
  <c r="C261" i="3"/>
  <c r="H261" i="3" s="1"/>
  <c r="Q260" i="3"/>
  <c r="P260" i="3"/>
  <c r="O260" i="3"/>
  <c r="N260" i="3"/>
  <c r="G260" i="3"/>
  <c r="E260" i="3"/>
  <c r="F260" i="3" s="1"/>
  <c r="D260" i="3"/>
  <c r="C260" i="3"/>
  <c r="Q259" i="3"/>
  <c r="P259" i="3"/>
  <c r="O259" i="3"/>
  <c r="N259" i="3"/>
  <c r="G259" i="3"/>
  <c r="E259" i="3"/>
  <c r="F259" i="3" s="1"/>
  <c r="D259" i="3"/>
  <c r="C259" i="3"/>
  <c r="Q258" i="3"/>
  <c r="P258" i="3"/>
  <c r="O258" i="3"/>
  <c r="N258" i="3"/>
  <c r="G258" i="3"/>
  <c r="F258" i="3"/>
  <c r="E258" i="3"/>
  <c r="D258" i="3"/>
  <c r="C258" i="3"/>
  <c r="R257" i="3"/>
  <c r="Q257" i="3"/>
  <c r="P257" i="3"/>
  <c r="O257" i="3"/>
  <c r="N257" i="3"/>
  <c r="H257" i="3"/>
  <c r="G257" i="3"/>
  <c r="E257" i="3"/>
  <c r="F257" i="3" s="1"/>
  <c r="D257" i="3"/>
  <c r="C257" i="3"/>
  <c r="R256" i="3"/>
  <c r="Q256" i="3"/>
  <c r="P256" i="3"/>
  <c r="O256" i="3"/>
  <c r="N256" i="3"/>
  <c r="H256" i="3"/>
  <c r="G256" i="3"/>
  <c r="F256" i="3"/>
  <c r="E256" i="3"/>
  <c r="D256" i="3"/>
  <c r="C256" i="3"/>
  <c r="Q255" i="3"/>
  <c r="P255" i="3"/>
  <c r="O255" i="3"/>
  <c r="N255" i="3"/>
  <c r="H255" i="3"/>
  <c r="G255" i="3"/>
  <c r="F255" i="3"/>
  <c r="E255" i="3"/>
  <c r="D255" i="3"/>
  <c r="C255" i="3"/>
  <c r="R255" i="3" s="1"/>
  <c r="Q254" i="3"/>
  <c r="P254" i="3"/>
  <c r="O254" i="3"/>
  <c r="N254" i="3"/>
  <c r="G254" i="3"/>
  <c r="F254" i="3"/>
  <c r="E254" i="3"/>
  <c r="D254" i="3"/>
  <c r="C254" i="3"/>
  <c r="Q253" i="3"/>
  <c r="P253" i="3"/>
  <c r="O253" i="3"/>
  <c r="N253" i="3"/>
  <c r="H253" i="3"/>
  <c r="G253" i="3"/>
  <c r="E253" i="3"/>
  <c r="F253" i="3" s="1"/>
  <c r="D253" i="3"/>
  <c r="C253" i="3"/>
  <c r="R253" i="3" s="1"/>
  <c r="R252" i="3"/>
  <c r="Q252" i="3"/>
  <c r="P252" i="3"/>
  <c r="O252" i="3"/>
  <c r="N252" i="3"/>
  <c r="H252" i="3"/>
  <c r="G252" i="3"/>
  <c r="E252" i="3"/>
  <c r="F252" i="3" s="1"/>
  <c r="D252" i="3"/>
  <c r="C252" i="3"/>
  <c r="R251" i="3"/>
  <c r="Q251" i="3"/>
  <c r="P251" i="3"/>
  <c r="O251" i="3"/>
  <c r="N251" i="3"/>
  <c r="G251" i="3"/>
  <c r="F251" i="3"/>
  <c r="E251" i="3"/>
  <c r="D251" i="3"/>
  <c r="C251" i="3"/>
  <c r="H251" i="3" s="1"/>
  <c r="Q250" i="3"/>
  <c r="P250" i="3"/>
  <c r="O250" i="3"/>
  <c r="N250" i="3"/>
  <c r="H250" i="3"/>
  <c r="G250" i="3"/>
  <c r="E250" i="3"/>
  <c r="F250" i="3" s="1"/>
  <c r="D250" i="3"/>
  <c r="C250" i="3"/>
  <c r="R250" i="3" s="1"/>
  <c r="R249" i="3"/>
  <c r="Q249" i="3"/>
  <c r="P249" i="3"/>
  <c r="O249" i="3"/>
  <c r="N249" i="3"/>
  <c r="G249" i="3"/>
  <c r="F249" i="3"/>
  <c r="E249" i="3"/>
  <c r="D249" i="3"/>
  <c r="C249" i="3"/>
  <c r="H249" i="3" s="1"/>
  <c r="Q248" i="3"/>
  <c r="P248" i="3"/>
  <c r="O248" i="3"/>
  <c r="N248" i="3"/>
  <c r="G248" i="3"/>
  <c r="E248" i="3"/>
  <c r="F248" i="3" s="1"/>
  <c r="D248" i="3"/>
  <c r="C248" i="3"/>
  <c r="Q247" i="3"/>
  <c r="P247" i="3"/>
  <c r="O247" i="3"/>
  <c r="N247" i="3"/>
  <c r="H247" i="3"/>
  <c r="G247" i="3"/>
  <c r="E247" i="3"/>
  <c r="F247" i="3" s="1"/>
  <c r="D247" i="3"/>
  <c r="C247" i="3"/>
  <c r="R247" i="3" s="1"/>
  <c r="Q246" i="3"/>
  <c r="P246" i="3"/>
  <c r="O246" i="3"/>
  <c r="N246" i="3"/>
  <c r="H246" i="3"/>
  <c r="G246" i="3"/>
  <c r="F246" i="3"/>
  <c r="E246" i="3"/>
  <c r="D246" i="3"/>
  <c r="C246" i="3"/>
  <c r="R246" i="3" s="1"/>
  <c r="R245" i="3"/>
  <c r="Q245" i="3"/>
  <c r="P245" i="3"/>
  <c r="O245" i="3"/>
  <c r="N245" i="3"/>
  <c r="H245" i="3"/>
  <c r="G245" i="3"/>
  <c r="E245" i="3"/>
  <c r="F245" i="3" s="1"/>
  <c r="D245" i="3"/>
  <c r="C245" i="3"/>
  <c r="R244" i="3"/>
  <c r="Q244" i="3"/>
  <c r="P244" i="3"/>
  <c r="O244" i="3"/>
  <c r="N244" i="3"/>
  <c r="H244" i="3"/>
  <c r="G244" i="3"/>
  <c r="F244" i="3"/>
  <c r="E244" i="3"/>
  <c r="D244" i="3"/>
  <c r="C244" i="3"/>
  <c r="Q243" i="3"/>
  <c r="P243" i="3"/>
  <c r="O243" i="3"/>
  <c r="N243" i="3"/>
  <c r="G243" i="3"/>
  <c r="F243" i="3"/>
  <c r="E243" i="3"/>
  <c r="D243" i="3"/>
  <c r="C243" i="3"/>
  <c r="Q242" i="3"/>
  <c r="P242" i="3"/>
  <c r="O242" i="3"/>
  <c r="N242" i="3"/>
  <c r="G242" i="3"/>
  <c r="F242" i="3"/>
  <c r="E242" i="3"/>
  <c r="D242" i="3"/>
  <c r="C242" i="3"/>
  <c r="Q241" i="3"/>
  <c r="P241" i="3"/>
  <c r="O241" i="3"/>
  <c r="N241" i="3"/>
  <c r="H241" i="3"/>
  <c r="G241" i="3"/>
  <c r="E241" i="3"/>
  <c r="F241" i="3" s="1"/>
  <c r="D241" i="3"/>
  <c r="C241" i="3"/>
  <c r="R241" i="3" s="1"/>
  <c r="R240" i="3"/>
  <c r="Q240" i="3"/>
  <c r="P240" i="3"/>
  <c r="O240" i="3"/>
  <c r="N240" i="3"/>
  <c r="H240" i="3"/>
  <c r="G240" i="3"/>
  <c r="E240" i="3"/>
  <c r="F240" i="3" s="1"/>
  <c r="D240" i="3"/>
  <c r="C240" i="3"/>
  <c r="R239" i="3"/>
  <c r="Q239" i="3"/>
  <c r="P239" i="3"/>
  <c r="O239" i="3"/>
  <c r="N239" i="3"/>
  <c r="G239" i="3"/>
  <c r="F239" i="3"/>
  <c r="E239" i="3"/>
  <c r="D239" i="3"/>
  <c r="C239" i="3"/>
  <c r="H239" i="3" s="1"/>
  <c r="Q238" i="3"/>
  <c r="P238" i="3"/>
  <c r="O238" i="3"/>
  <c r="N238" i="3"/>
  <c r="H238" i="3"/>
  <c r="G238" i="3"/>
  <c r="E238" i="3"/>
  <c r="F238" i="3" s="1"/>
  <c r="D238" i="3"/>
  <c r="C238" i="3"/>
  <c r="R238" i="3" s="1"/>
  <c r="Q237" i="3"/>
  <c r="P237" i="3"/>
  <c r="O237" i="3"/>
  <c r="N237" i="3"/>
  <c r="G237" i="3"/>
  <c r="F237" i="3"/>
  <c r="E237" i="3"/>
  <c r="D237" i="3"/>
  <c r="C237" i="3"/>
  <c r="H237" i="3" s="1"/>
  <c r="Q236" i="3"/>
  <c r="P236" i="3"/>
  <c r="O236" i="3"/>
  <c r="N236" i="3"/>
  <c r="G236" i="3"/>
  <c r="F236" i="3"/>
  <c r="E236" i="3"/>
  <c r="D236" i="3"/>
  <c r="C236" i="3"/>
  <c r="Q235" i="3"/>
  <c r="P235" i="3"/>
  <c r="O235" i="3"/>
  <c r="N235" i="3"/>
  <c r="H235" i="3"/>
  <c r="G235" i="3"/>
  <c r="E235" i="3"/>
  <c r="F235" i="3" s="1"/>
  <c r="D235" i="3"/>
  <c r="C235" i="3"/>
  <c r="R235" i="3" s="1"/>
  <c r="Q234" i="3"/>
  <c r="P234" i="3"/>
  <c r="O234" i="3"/>
  <c r="N234" i="3"/>
  <c r="H234" i="3"/>
  <c r="G234" i="3"/>
  <c r="F234" i="3"/>
  <c r="E234" i="3"/>
  <c r="D234" i="3"/>
  <c r="C234" i="3"/>
  <c r="R234" i="3" s="1"/>
  <c r="R233" i="3"/>
  <c r="Q233" i="3"/>
  <c r="P233" i="3"/>
  <c r="O233" i="3"/>
  <c r="N233" i="3"/>
  <c r="H233" i="3"/>
  <c r="G233" i="3"/>
  <c r="E233" i="3"/>
  <c r="F233" i="3" s="1"/>
  <c r="D233" i="3"/>
  <c r="C233" i="3"/>
  <c r="R232" i="3"/>
  <c r="Q232" i="3"/>
  <c r="P232" i="3"/>
  <c r="O232" i="3"/>
  <c r="N232" i="3"/>
  <c r="H232" i="3"/>
  <c r="G232" i="3"/>
  <c r="F232" i="3"/>
  <c r="E232" i="3"/>
  <c r="D232" i="3"/>
  <c r="C232" i="3"/>
  <c r="Q231" i="3"/>
  <c r="P231" i="3"/>
  <c r="O231" i="3"/>
  <c r="N231" i="3"/>
  <c r="G231" i="3"/>
  <c r="F231" i="3"/>
  <c r="E231" i="3"/>
  <c r="D231" i="3"/>
  <c r="C231" i="3"/>
  <c r="R231" i="3" s="1"/>
  <c r="Q230" i="3"/>
  <c r="P230" i="3"/>
  <c r="O230" i="3"/>
  <c r="N230" i="3"/>
  <c r="G230" i="3"/>
  <c r="F230" i="3"/>
  <c r="E230" i="3"/>
  <c r="D230" i="3"/>
  <c r="C230" i="3"/>
  <c r="Q229" i="3"/>
  <c r="P229" i="3"/>
  <c r="O229" i="3"/>
  <c r="N229" i="3"/>
  <c r="G229" i="3"/>
  <c r="E229" i="3"/>
  <c r="F229" i="3" s="1"/>
  <c r="D229" i="3"/>
  <c r="C229" i="3"/>
  <c r="R228" i="3"/>
  <c r="Q228" i="3"/>
  <c r="P228" i="3"/>
  <c r="O228" i="3"/>
  <c r="N228" i="3"/>
  <c r="H228" i="3"/>
  <c r="G228" i="3"/>
  <c r="E228" i="3"/>
  <c r="F228" i="3" s="1"/>
  <c r="D228" i="3"/>
  <c r="C228" i="3"/>
  <c r="R227" i="3"/>
  <c r="Q227" i="3"/>
  <c r="P227" i="3"/>
  <c r="O227" i="3"/>
  <c r="N227" i="3"/>
  <c r="G227" i="3"/>
  <c r="F227" i="3"/>
  <c r="E227" i="3"/>
  <c r="D227" i="3"/>
  <c r="C227" i="3"/>
  <c r="H227" i="3" s="1"/>
  <c r="Q226" i="3"/>
  <c r="P226" i="3"/>
  <c r="O226" i="3"/>
  <c r="N226" i="3"/>
  <c r="H226" i="3"/>
  <c r="G226" i="3"/>
  <c r="E226" i="3"/>
  <c r="F226" i="3" s="1"/>
  <c r="D226" i="3"/>
  <c r="C226" i="3"/>
  <c r="R226" i="3" s="1"/>
  <c r="Q225" i="3"/>
  <c r="P225" i="3"/>
  <c r="O225" i="3"/>
  <c r="N225" i="3"/>
  <c r="G225" i="3"/>
  <c r="F225" i="3"/>
  <c r="E225" i="3"/>
  <c r="D225" i="3"/>
  <c r="C225" i="3"/>
  <c r="Q224" i="3"/>
  <c r="P224" i="3"/>
  <c r="O224" i="3"/>
  <c r="N224" i="3"/>
  <c r="G224" i="3"/>
  <c r="E224" i="3"/>
  <c r="F224" i="3" s="1"/>
  <c r="D224" i="3"/>
  <c r="C224" i="3"/>
  <c r="Q223" i="3"/>
  <c r="P223" i="3"/>
  <c r="O223" i="3"/>
  <c r="N223" i="3"/>
  <c r="G223" i="3"/>
  <c r="E223" i="3"/>
  <c r="F223" i="3" s="1"/>
  <c r="D223" i="3"/>
  <c r="C223" i="3"/>
  <c r="Q222" i="3"/>
  <c r="P222" i="3"/>
  <c r="O222" i="3"/>
  <c r="N222" i="3"/>
  <c r="G222" i="3"/>
  <c r="F222" i="3"/>
  <c r="E222" i="3"/>
  <c r="D222" i="3"/>
  <c r="C222" i="3"/>
  <c r="R221" i="3"/>
  <c r="Q221" i="3"/>
  <c r="P221" i="3"/>
  <c r="O221" i="3"/>
  <c r="N221" i="3"/>
  <c r="H221" i="3"/>
  <c r="G221" i="3"/>
  <c r="E221" i="3"/>
  <c r="F221" i="3" s="1"/>
  <c r="D221" i="3"/>
  <c r="C221" i="3"/>
  <c r="R220" i="3"/>
  <c r="Q220" i="3"/>
  <c r="P220" i="3"/>
  <c r="O220" i="3"/>
  <c r="N220" i="3"/>
  <c r="H220" i="3"/>
  <c r="G220" i="3"/>
  <c r="F220" i="3"/>
  <c r="E220" i="3"/>
  <c r="D220" i="3"/>
  <c r="C220" i="3"/>
  <c r="Q219" i="3"/>
  <c r="P219" i="3"/>
  <c r="O219" i="3"/>
  <c r="N219" i="3"/>
  <c r="H219" i="3"/>
  <c r="G219" i="3"/>
  <c r="F219" i="3"/>
  <c r="E219" i="3"/>
  <c r="D219" i="3"/>
  <c r="C219" i="3"/>
  <c r="R219" i="3" s="1"/>
  <c r="Q218" i="3"/>
  <c r="P218" i="3"/>
  <c r="O218" i="3"/>
  <c r="N218" i="3"/>
  <c r="G218" i="3"/>
  <c r="F218" i="3"/>
  <c r="E218" i="3"/>
  <c r="D218" i="3"/>
  <c r="C218" i="3"/>
  <c r="Q217" i="3"/>
  <c r="P217" i="3"/>
  <c r="O217" i="3"/>
  <c r="N217" i="3"/>
  <c r="H217" i="3"/>
  <c r="G217" i="3"/>
  <c r="E217" i="3"/>
  <c r="F217" i="3" s="1"/>
  <c r="D217" i="3"/>
  <c r="C217" i="3"/>
  <c r="R217" i="3" s="1"/>
  <c r="R216" i="3"/>
  <c r="Q216" i="3"/>
  <c r="P216" i="3"/>
  <c r="O216" i="3"/>
  <c r="N216" i="3"/>
  <c r="H216" i="3"/>
  <c r="G216" i="3"/>
  <c r="E216" i="3"/>
  <c r="F216" i="3" s="1"/>
  <c r="D216" i="3"/>
  <c r="C216" i="3"/>
  <c r="R215" i="3"/>
  <c r="Q215" i="3"/>
  <c r="P215" i="3"/>
  <c r="O215" i="3"/>
  <c r="N215" i="3"/>
  <c r="G215" i="3"/>
  <c r="F215" i="3"/>
  <c r="E215" i="3"/>
  <c r="D215" i="3"/>
  <c r="C215" i="3"/>
  <c r="H215" i="3" s="1"/>
  <c r="Q214" i="3"/>
  <c r="P214" i="3"/>
  <c r="O214" i="3"/>
  <c r="N214" i="3"/>
  <c r="H214" i="3"/>
  <c r="G214" i="3"/>
  <c r="E214" i="3"/>
  <c r="F214" i="3" s="1"/>
  <c r="D214" i="3"/>
  <c r="C214" i="3"/>
  <c r="R214" i="3" s="1"/>
  <c r="R213" i="3"/>
  <c r="Q213" i="3"/>
  <c r="P213" i="3"/>
  <c r="O213" i="3"/>
  <c r="N213" i="3"/>
  <c r="G213" i="3"/>
  <c r="F213" i="3"/>
  <c r="E213" i="3"/>
  <c r="D213" i="3"/>
  <c r="C213" i="3"/>
  <c r="H213" i="3" s="1"/>
  <c r="Q212" i="3"/>
  <c r="P212" i="3"/>
  <c r="O212" i="3"/>
  <c r="N212" i="3"/>
  <c r="G212" i="3"/>
  <c r="E212" i="3"/>
  <c r="F212" i="3" s="1"/>
  <c r="D212" i="3"/>
  <c r="C212" i="3"/>
  <c r="Q211" i="3"/>
  <c r="P211" i="3"/>
  <c r="O211" i="3"/>
  <c r="N211" i="3"/>
  <c r="H211" i="3"/>
  <c r="G211" i="3"/>
  <c r="E211" i="3"/>
  <c r="F211" i="3" s="1"/>
  <c r="D211" i="3"/>
  <c r="C211" i="3"/>
  <c r="R211" i="3" s="1"/>
  <c r="Q210" i="3"/>
  <c r="P210" i="3"/>
  <c r="O210" i="3"/>
  <c r="N210" i="3"/>
  <c r="G210" i="3"/>
  <c r="F210" i="3"/>
  <c r="E210" i="3"/>
  <c r="D210" i="3"/>
  <c r="C210" i="3"/>
  <c r="R209" i="3"/>
  <c r="Q209" i="3"/>
  <c r="P209" i="3"/>
  <c r="O209" i="3"/>
  <c r="N209" i="3"/>
  <c r="H209" i="3"/>
  <c r="G209" i="3"/>
  <c r="E209" i="3"/>
  <c r="F209" i="3" s="1"/>
  <c r="D209" i="3"/>
  <c r="C209" i="3"/>
  <c r="R208" i="3"/>
  <c r="Q208" i="3"/>
  <c r="P208" i="3"/>
  <c r="O208" i="3"/>
  <c r="N208" i="3"/>
  <c r="H208" i="3"/>
  <c r="G208" i="3"/>
  <c r="F208" i="3"/>
  <c r="E208" i="3"/>
  <c r="D208" i="3"/>
  <c r="C208" i="3"/>
  <c r="Q207" i="3"/>
  <c r="P207" i="3"/>
  <c r="O207" i="3"/>
  <c r="N207" i="3"/>
  <c r="G207" i="3"/>
  <c r="F207" i="3"/>
  <c r="E207" i="3"/>
  <c r="D207" i="3"/>
  <c r="C207" i="3"/>
  <c r="Q206" i="3"/>
  <c r="P206" i="3"/>
  <c r="O206" i="3"/>
  <c r="N206" i="3"/>
  <c r="G206" i="3"/>
  <c r="F206" i="3"/>
  <c r="E206" i="3"/>
  <c r="D206" i="3"/>
  <c r="C206" i="3"/>
  <c r="Q205" i="3"/>
  <c r="P205" i="3"/>
  <c r="O205" i="3"/>
  <c r="N205" i="3"/>
  <c r="G205" i="3"/>
  <c r="E205" i="3"/>
  <c r="F205" i="3" s="1"/>
  <c r="D205" i="3"/>
  <c r="C205" i="3"/>
  <c r="R204" i="3"/>
  <c r="Q204" i="3"/>
  <c r="P204" i="3"/>
  <c r="O204" i="3"/>
  <c r="N204" i="3"/>
  <c r="H204" i="3"/>
  <c r="G204" i="3"/>
  <c r="E204" i="3"/>
  <c r="F204" i="3" s="1"/>
  <c r="D204" i="3"/>
  <c r="C204" i="3"/>
  <c r="Q203" i="3"/>
  <c r="P203" i="3"/>
  <c r="O203" i="3"/>
  <c r="N203" i="3"/>
  <c r="G203" i="3"/>
  <c r="F203" i="3"/>
  <c r="E203" i="3"/>
  <c r="D203" i="3"/>
  <c r="C203" i="3"/>
  <c r="H203" i="3" s="1"/>
  <c r="Q202" i="3"/>
  <c r="P202" i="3"/>
  <c r="O202" i="3"/>
  <c r="N202" i="3"/>
  <c r="H202" i="3"/>
  <c r="G202" i="3"/>
  <c r="E202" i="3"/>
  <c r="F202" i="3" s="1"/>
  <c r="D202" i="3"/>
  <c r="C202" i="3"/>
  <c r="R202" i="3" s="1"/>
  <c r="Q201" i="3"/>
  <c r="P201" i="3"/>
  <c r="O201" i="3"/>
  <c r="N201" i="3"/>
  <c r="G201" i="3"/>
  <c r="F201" i="3"/>
  <c r="E201" i="3"/>
  <c r="D201" i="3"/>
  <c r="C201" i="3"/>
  <c r="Q200" i="3"/>
  <c r="P200" i="3"/>
  <c r="O200" i="3"/>
  <c r="N200" i="3"/>
  <c r="G200" i="3"/>
  <c r="F200" i="3"/>
  <c r="E200" i="3"/>
  <c r="D200" i="3"/>
  <c r="C200" i="3"/>
  <c r="Q199" i="3"/>
  <c r="P199" i="3"/>
  <c r="O199" i="3"/>
  <c r="N199" i="3"/>
  <c r="G199" i="3"/>
  <c r="E199" i="3"/>
  <c r="F199" i="3" s="1"/>
  <c r="D199" i="3"/>
  <c r="C199" i="3"/>
  <c r="R199" i="3" s="1"/>
  <c r="Q198" i="3"/>
  <c r="P198" i="3"/>
  <c r="O198" i="3"/>
  <c r="N198" i="3"/>
  <c r="H198" i="3"/>
  <c r="G198" i="3"/>
  <c r="F198" i="3"/>
  <c r="E198" i="3"/>
  <c r="D198" i="3"/>
  <c r="C198" i="3"/>
  <c r="R198" i="3" s="1"/>
  <c r="R197" i="3"/>
  <c r="Q197" i="3"/>
  <c r="P197" i="3"/>
  <c r="O197" i="3"/>
  <c r="N197" i="3"/>
  <c r="H197" i="3"/>
  <c r="G197" i="3"/>
  <c r="E197" i="3"/>
  <c r="F197" i="3" s="1"/>
  <c r="D197" i="3"/>
  <c r="C197" i="3"/>
  <c r="R196" i="3"/>
  <c r="Q196" i="3"/>
  <c r="P196" i="3"/>
  <c r="O196" i="3"/>
  <c r="N196" i="3"/>
  <c r="H196" i="3"/>
  <c r="G196" i="3"/>
  <c r="F196" i="3"/>
  <c r="E196" i="3"/>
  <c r="D196" i="3"/>
  <c r="C196" i="3"/>
  <c r="Q195" i="3"/>
  <c r="P195" i="3"/>
  <c r="O195" i="3"/>
  <c r="N195" i="3"/>
  <c r="H195" i="3"/>
  <c r="G195" i="3"/>
  <c r="F195" i="3"/>
  <c r="E195" i="3"/>
  <c r="D195" i="3"/>
  <c r="C195" i="3"/>
  <c r="R195" i="3" s="1"/>
  <c r="Q194" i="3"/>
  <c r="P194" i="3"/>
  <c r="O194" i="3"/>
  <c r="N194" i="3"/>
  <c r="G194" i="3"/>
  <c r="F194" i="3"/>
  <c r="E194" i="3"/>
  <c r="D194" i="3"/>
  <c r="C194" i="3"/>
  <c r="Q193" i="3"/>
  <c r="P193" i="3"/>
  <c r="O193" i="3"/>
  <c r="N193" i="3"/>
  <c r="G193" i="3"/>
  <c r="E193" i="3"/>
  <c r="F193" i="3" s="1"/>
  <c r="D193" i="3"/>
  <c r="C193" i="3"/>
  <c r="R192" i="3"/>
  <c r="Q192" i="3"/>
  <c r="P192" i="3"/>
  <c r="O192" i="3"/>
  <c r="N192" i="3"/>
  <c r="H192" i="3"/>
  <c r="G192" i="3"/>
  <c r="E192" i="3"/>
  <c r="F192" i="3" s="1"/>
  <c r="D192" i="3"/>
  <c r="C192" i="3"/>
  <c r="R191" i="3"/>
  <c r="Q191" i="3"/>
  <c r="P191" i="3"/>
  <c r="O191" i="3"/>
  <c r="N191" i="3"/>
  <c r="G191" i="3"/>
  <c r="F191" i="3"/>
  <c r="E191" i="3"/>
  <c r="D191" i="3"/>
  <c r="C191" i="3"/>
  <c r="H191" i="3" s="1"/>
  <c r="Q190" i="3"/>
  <c r="P190" i="3"/>
  <c r="O190" i="3"/>
  <c r="N190" i="3"/>
  <c r="H190" i="3"/>
  <c r="G190" i="3"/>
  <c r="E190" i="3"/>
  <c r="F190" i="3" s="1"/>
  <c r="D190" i="3"/>
  <c r="C190" i="3"/>
  <c r="R190" i="3" s="1"/>
  <c r="R189" i="3"/>
  <c r="Q189" i="3"/>
  <c r="P189" i="3"/>
  <c r="O189" i="3"/>
  <c r="N189" i="3"/>
  <c r="G189" i="3"/>
  <c r="F189" i="3"/>
  <c r="E189" i="3"/>
  <c r="D189" i="3"/>
  <c r="C189" i="3"/>
  <c r="H189" i="3" s="1"/>
  <c r="Q188" i="3"/>
  <c r="P188" i="3"/>
  <c r="O188" i="3"/>
  <c r="N188" i="3"/>
  <c r="G188" i="3"/>
  <c r="F188" i="3"/>
  <c r="E188" i="3"/>
  <c r="D188" i="3"/>
  <c r="C188" i="3"/>
  <c r="Q187" i="3"/>
  <c r="P187" i="3"/>
  <c r="O187" i="3"/>
  <c r="N187" i="3"/>
  <c r="G187" i="3"/>
  <c r="E187" i="3"/>
  <c r="F187" i="3" s="1"/>
  <c r="D187" i="3"/>
  <c r="C187" i="3"/>
  <c r="Q186" i="3"/>
  <c r="P186" i="3"/>
  <c r="O186" i="3"/>
  <c r="N186" i="3"/>
  <c r="G186" i="3"/>
  <c r="F186" i="3"/>
  <c r="E186" i="3"/>
  <c r="D186" i="3"/>
  <c r="C186" i="3"/>
  <c r="R185" i="3"/>
  <c r="Q185" i="3"/>
  <c r="P185" i="3"/>
  <c r="O185" i="3"/>
  <c r="N185" i="3"/>
  <c r="H185" i="3"/>
  <c r="G185" i="3"/>
  <c r="E185" i="3"/>
  <c r="F185" i="3" s="1"/>
  <c r="D185" i="3"/>
  <c r="C185" i="3"/>
  <c r="R184" i="3"/>
  <c r="Q184" i="3"/>
  <c r="P184" i="3"/>
  <c r="O184" i="3"/>
  <c r="N184" i="3"/>
  <c r="G184" i="3"/>
  <c r="F184" i="3"/>
  <c r="E184" i="3"/>
  <c r="D184" i="3"/>
  <c r="C184" i="3"/>
  <c r="H184" i="3" s="1"/>
  <c r="Q183" i="3"/>
  <c r="P183" i="3"/>
  <c r="O183" i="3"/>
  <c r="N183" i="3"/>
  <c r="G183" i="3"/>
  <c r="F183" i="3"/>
  <c r="E183" i="3"/>
  <c r="D183" i="3"/>
  <c r="C183" i="3"/>
  <c r="R182" i="3"/>
  <c r="Q182" i="3"/>
  <c r="P182" i="3"/>
  <c r="O182" i="3"/>
  <c r="N182" i="3"/>
  <c r="H182" i="3"/>
  <c r="G182" i="3"/>
  <c r="E182" i="3"/>
  <c r="F182" i="3" s="1"/>
  <c r="D182" i="3"/>
  <c r="C182" i="3"/>
  <c r="Q181" i="3"/>
  <c r="P181" i="3"/>
  <c r="O181" i="3"/>
  <c r="N181" i="3"/>
  <c r="G181" i="3"/>
  <c r="F181" i="3"/>
  <c r="E181" i="3"/>
  <c r="D181" i="3"/>
  <c r="C181" i="3"/>
  <c r="Q180" i="3"/>
  <c r="P180" i="3"/>
  <c r="O180" i="3"/>
  <c r="N180" i="3"/>
  <c r="G180" i="3"/>
  <c r="F180" i="3"/>
  <c r="E180" i="3"/>
  <c r="D180" i="3"/>
  <c r="C180" i="3"/>
  <c r="R179" i="3"/>
  <c r="Q179" i="3"/>
  <c r="P179" i="3"/>
  <c r="O179" i="3"/>
  <c r="N179" i="3"/>
  <c r="H179" i="3"/>
  <c r="G179" i="3"/>
  <c r="E179" i="3"/>
  <c r="F179" i="3" s="1"/>
  <c r="D179" i="3"/>
  <c r="C179" i="3"/>
  <c r="R178" i="3"/>
  <c r="Q178" i="3"/>
  <c r="P178" i="3"/>
  <c r="O178" i="3"/>
  <c r="N178" i="3"/>
  <c r="G178" i="3"/>
  <c r="F178" i="3"/>
  <c r="E178" i="3"/>
  <c r="D178" i="3"/>
  <c r="C178" i="3"/>
  <c r="H178" i="3" s="1"/>
  <c r="Q177" i="3"/>
  <c r="P177" i="3"/>
  <c r="O177" i="3"/>
  <c r="N177" i="3"/>
  <c r="G177" i="3"/>
  <c r="F177" i="3"/>
  <c r="E177" i="3"/>
  <c r="D177" i="3"/>
  <c r="C177" i="3"/>
  <c r="R176" i="3"/>
  <c r="Q176" i="3"/>
  <c r="P176" i="3"/>
  <c r="O176" i="3"/>
  <c r="N176" i="3"/>
  <c r="H176" i="3"/>
  <c r="G176" i="3"/>
  <c r="E176" i="3"/>
  <c r="F176" i="3" s="1"/>
  <c r="D176" i="3"/>
  <c r="C176" i="3"/>
  <c r="Q175" i="3"/>
  <c r="P175" i="3"/>
  <c r="O175" i="3"/>
  <c r="N175" i="3"/>
  <c r="G175" i="3"/>
  <c r="F175" i="3"/>
  <c r="E175" i="3"/>
  <c r="D175" i="3"/>
  <c r="C175" i="3"/>
  <c r="Q174" i="3"/>
  <c r="P174" i="3"/>
  <c r="O174" i="3"/>
  <c r="N174" i="3"/>
  <c r="H174" i="3"/>
  <c r="G174" i="3"/>
  <c r="E174" i="3"/>
  <c r="F174" i="3" s="1"/>
  <c r="D174" i="3"/>
  <c r="C174" i="3"/>
  <c r="R174" i="3" s="1"/>
  <c r="R173" i="3"/>
  <c r="Q173" i="3"/>
  <c r="P173" i="3"/>
  <c r="O173" i="3"/>
  <c r="N173" i="3"/>
  <c r="H173" i="3"/>
  <c r="G173" i="3"/>
  <c r="E173" i="3"/>
  <c r="F173" i="3" s="1"/>
  <c r="D173" i="3"/>
  <c r="C173" i="3"/>
  <c r="R172" i="3"/>
  <c r="Q172" i="3"/>
  <c r="P172" i="3"/>
  <c r="O172" i="3"/>
  <c r="N172" i="3"/>
  <c r="G172" i="3"/>
  <c r="F172" i="3"/>
  <c r="E172" i="3"/>
  <c r="D172" i="3"/>
  <c r="C172" i="3"/>
  <c r="H172" i="3" s="1"/>
  <c r="Q171" i="3"/>
  <c r="P171" i="3"/>
  <c r="O171" i="3"/>
  <c r="N171" i="3"/>
  <c r="H171" i="3"/>
  <c r="G171" i="3"/>
  <c r="E171" i="3"/>
  <c r="F171" i="3" s="1"/>
  <c r="D171" i="3"/>
  <c r="C171" i="3"/>
  <c r="R171" i="3" s="1"/>
  <c r="R170" i="3"/>
  <c r="Q170" i="3"/>
  <c r="P170" i="3"/>
  <c r="O170" i="3"/>
  <c r="N170" i="3"/>
  <c r="H170" i="3"/>
  <c r="G170" i="3"/>
  <c r="E170" i="3"/>
  <c r="F170" i="3" s="1"/>
  <c r="D170" i="3"/>
  <c r="C170" i="3"/>
  <c r="Q169" i="3"/>
  <c r="P169" i="3"/>
  <c r="O169" i="3"/>
  <c r="N169" i="3"/>
  <c r="G169" i="3"/>
  <c r="F169" i="3"/>
  <c r="E169" i="3"/>
  <c r="D169" i="3"/>
  <c r="C169" i="3"/>
  <c r="Q168" i="3"/>
  <c r="P168" i="3"/>
  <c r="O168" i="3"/>
  <c r="N168" i="3"/>
  <c r="G168" i="3"/>
  <c r="F168" i="3"/>
  <c r="E168" i="3"/>
  <c r="D168" i="3"/>
  <c r="C168" i="3"/>
  <c r="R167" i="3"/>
  <c r="Q167" i="3"/>
  <c r="P167" i="3"/>
  <c r="O167" i="3"/>
  <c r="N167" i="3"/>
  <c r="H167" i="3"/>
  <c r="G167" i="3"/>
  <c r="E167" i="3"/>
  <c r="F167" i="3" s="1"/>
  <c r="D167" i="3"/>
  <c r="C167" i="3"/>
  <c r="R166" i="3"/>
  <c r="Q166" i="3"/>
  <c r="P166" i="3"/>
  <c r="O166" i="3"/>
  <c r="N166" i="3"/>
  <c r="G166" i="3"/>
  <c r="F166" i="3"/>
  <c r="E166" i="3"/>
  <c r="D166" i="3"/>
  <c r="C166" i="3"/>
  <c r="H166" i="3" s="1"/>
  <c r="Q165" i="3"/>
  <c r="P165" i="3"/>
  <c r="O165" i="3"/>
  <c r="N165" i="3"/>
  <c r="G165" i="3"/>
  <c r="F165" i="3"/>
  <c r="E165" i="3"/>
  <c r="D165" i="3"/>
  <c r="C165" i="3"/>
  <c r="R164" i="3"/>
  <c r="Q164" i="3"/>
  <c r="P164" i="3"/>
  <c r="O164" i="3"/>
  <c r="N164" i="3"/>
  <c r="H164" i="3"/>
  <c r="G164" i="3"/>
  <c r="E164" i="3"/>
  <c r="F164" i="3" s="1"/>
  <c r="D164" i="3"/>
  <c r="C164" i="3"/>
  <c r="Q163" i="3"/>
  <c r="P163" i="3"/>
  <c r="O163" i="3"/>
  <c r="N163" i="3"/>
  <c r="G163" i="3"/>
  <c r="F163" i="3"/>
  <c r="E163" i="3"/>
  <c r="D163" i="3"/>
  <c r="C163" i="3"/>
  <c r="Q162" i="3"/>
  <c r="P162" i="3"/>
  <c r="O162" i="3"/>
  <c r="N162" i="3"/>
  <c r="G162" i="3"/>
  <c r="F162" i="3"/>
  <c r="E162" i="3"/>
  <c r="D162" i="3"/>
  <c r="C162" i="3"/>
  <c r="R162" i="3" s="1"/>
  <c r="R161" i="3"/>
  <c r="Q161" i="3"/>
  <c r="P161" i="3"/>
  <c r="O161" i="3"/>
  <c r="N161" i="3"/>
  <c r="H161" i="3"/>
  <c r="G161" i="3"/>
  <c r="E161" i="3"/>
  <c r="F161" i="3" s="1"/>
  <c r="D161" i="3"/>
  <c r="C161" i="3"/>
  <c r="R160" i="3"/>
  <c r="Q160" i="3"/>
  <c r="P160" i="3"/>
  <c r="O160" i="3"/>
  <c r="N160" i="3"/>
  <c r="G160" i="3"/>
  <c r="F160" i="3"/>
  <c r="E160" i="3"/>
  <c r="D160" i="3"/>
  <c r="C160" i="3"/>
  <c r="H160" i="3" s="1"/>
  <c r="Q159" i="3"/>
  <c r="P159" i="3"/>
  <c r="O159" i="3"/>
  <c r="N159" i="3"/>
  <c r="H159" i="3"/>
  <c r="G159" i="3"/>
  <c r="F159" i="3"/>
  <c r="E159" i="3"/>
  <c r="D159" i="3"/>
  <c r="C159" i="3"/>
  <c r="R159" i="3" s="1"/>
  <c r="R158" i="3"/>
  <c r="Q158" i="3"/>
  <c r="P158" i="3"/>
  <c r="O158" i="3"/>
  <c r="N158" i="3"/>
  <c r="H158" i="3"/>
  <c r="G158" i="3"/>
  <c r="E158" i="3"/>
  <c r="F158" i="3" s="1"/>
  <c r="D158" i="3"/>
  <c r="C158" i="3"/>
  <c r="Q157" i="3"/>
  <c r="P157" i="3"/>
  <c r="O157" i="3"/>
  <c r="N157" i="3"/>
  <c r="G157" i="3"/>
  <c r="F157" i="3"/>
  <c r="E157" i="3"/>
  <c r="D157" i="3"/>
  <c r="C157" i="3"/>
  <c r="Q156" i="3"/>
  <c r="P156" i="3"/>
  <c r="O156" i="3"/>
  <c r="N156" i="3"/>
  <c r="H156" i="3"/>
  <c r="G156" i="3"/>
  <c r="E156" i="3"/>
  <c r="F156" i="3" s="1"/>
  <c r="D156" i="3"/>
  <c r="C156" i="3"/>
  <c r="R156" i="3" s="1"/>
  <c r="R155" i="3"/>
  <c r="Q155" i="3"/>
  <c r="P155" i="3"/>
  <c r="O155" i="3"/>
  <c r="N155" i="3"/>
  <c r="H155" i="3"/>
  <c r="G155" i="3"/>
  <c r="E155" i="3"/>
  <c r="F155" i="3" s="1"/>
  <c r="D155" i="3"/>
  <c r="C155" i="3"/>
  <c r="R154" i="3"/>
  <c r="Q154" i="3"/>
  <c r="P154" i="3"/>
  <c r="O154" i="3"/>
  <c r="N154" i="3"/>
  <c r="G154" i="3"/>
  <c r="F154" i="3"/>
  <c r="E154" i="3"/>
  <c r="D154" i="3"/>
  <c r="C154" i="3"/>
  <c r="H154" i="3" s="1"/>
  <c r="Q153" i="3"/>
  <c r="P153" i="3"/>
  <c r="O153" i="3"/>
  <c r="N153" i="3"/>
  <c r="H153" i="3"/>
  <c r="G153" i="3"/>
  <c r="E153" i="3"/>
  <c r="F153" i="3" s="1"/>
  <c r="D153" i="3"/>
  <c r="C153" i="3"/>
  <c r="R153" i="3" s="1"/>
  <c r="R152" i="3"/>
  <c r="Q152" i="3"/>
  <c r="P152" i="3"/>
  <c r="O152" i="3"/>
  <c r="N152" i="3"/>
  <c r="H152" i="3"/>
  <c r="G152" i="3"/>
  <c r="E152" i="3"/>
  <c r="F152" i="3" s="1"/>
  <c r="D152" i="3"/>
  <c r="C152" i="3"/>
  <c r="Q151" i="3"/>
  <c r="P151" i="3"/>
  <c r="O151" i="3"/>
  <c r="N151" i="3"/>
  <c r="G151" i="3"/>
  <c r="F151" i="3"/>
  <c r="E151" i="3"/>
  <c r="D151" i="3"/>
  <c r="C151" i="3"/>
  <c r="Q150" i="3"/>
  <c r="P150" i="3"/>
  <c r="O150" i="3"/>
  <c r="N150" i="3"/>
  <c r="G150" i="3"/>
  <c r="F150" i="3"/>
  <c r="E150" i="3"/>
  <c r="D150" i="3"/>
  <c r="C150" i="3"/>
  <c r="R149" i="3"/>
  <c r="Q149" i="3"/>
  <c r="P149" i="3"/>
  <c r="O149" i="3"/>
  <c r="N149" i="3"/>
  <c r="H149" i="3"/>
  <c r="G149" i="3"/>
  <c r="E149" i="3"/>
  <c r="F149" i="3" s="1"/>
  <c r="D149" i="3"/>
  <c r="C149" i="3"/>
  <c r="R148" i="3"/>
  <c r="Q148" i="3"/>
  <c r="P148" i="3"/>
  <c r="O148" i="3"/>
  <c r="N148" i="3"/>
  <c r="G148" i="3"/>
  <c r="F148" i="3"/>
  <c r="E148" i="3"/>
  <c r="D148" i="3"/>
  <c r="C148" i="3"/>
  <c r="H148" i="3" s="1"/>
  <c r="Q147" i="3"/>
  <c r="P147" i="3"/>
  <c r="O147" i="3"/>
  <c r="N147" i="3"/>
  <c r="G147" i="3"/>
  <c r="F147" i="3"/>
  <c r="E147" i="3"/>
  <c r="D147" i="3"/>
  <c r="C147" i="3"/>
  <c r="R146" i="3"/>
  <c r="Q146" i="3"/>
  <c r="P146" i="3"/>
  <c r="O146" i="3"/>
  <c r="N146" i="3"/>
  <c r="H146" i="3"/>
  <c r="G146" i="3"/>
  <c r="E146" i="3"/>
  <c r="F146" i="3" s="1"/>
  <c r="D146" i="3"/>
  <c r="C146" i="3"/>
  <c r="Q145" i="3"/>
  <c r="P145" i="3"/>
  <c r="O145" i="3"/>
  <c r="N145" i="3"/>
  <c r="G145" i="3"/>
  <c r="F145" i="3"/>
  <c r="E145" i="3"/>
  <c r="D145" i="3"/>
  <c r="C145" i="3"/>
  <c r="Q144" i="3"/>
  <c r="P144" i="3"/>
  <c r="O144" i="3"/>
  <c r="N144" i="3"/>
  <c r="H144" i="3"/>
  <c r="G144" i="3"/>
  <c r="E144" i="3"/>
  <c r="F144" i="3" s="1"/>
  <c r="D144" i="3"/>
  <c r="C144" i="3"/>
  <c r="R144" i="3" s="1"/>
  <c r="R143" i="3"/>
  <c r="Q143" i="3"/>
  <c r="P143" i="3"/>
  <c r="O143" i="3"/>
  <c r="N143" i="3"/>
  <c r="H143" i="3"/>
  <c r="G143" i="3"/>
  <c r="E143" i="3"/>
  <c r="F143" i="3" s="1"/>
  <c r="D143" i="3"/>
  <c r="C143" i="3"/>
  <c r="Q142" i="3"/>
  <c r="P142" i="3"/>
  <c r="O142" i="3"/>
  <c r="N142" i="3"/>
  <c r="G142" i="3"/>
  <c r="F142" i="3"/>
  <c r="E142" i="3"/>
  <c r="D142" i="3"/>
  <c r="C142" i="3"/>
  <c r="H142" i="3" s="1"/>
  <c r="Q141" i="3"/>
  <c r="P141" i="3"/>
  <c r="O141" i="3"/>
  <c r="N141" i="3"/>
  <c r="H141" i="3"/>
  <c r="G141" i="3"/>
  <c r="E141" i="3"/>
  <c r="F141" i="3" s="1"/>
  <c r="D141" i="3"/>
  <c r="C141" i="3"/>
  <c r="R141" i="3" s="1"/>
  <c r="R140" i="3"/>
  <c r="Q140" i="3"/>
  <c r="P140" i="3"/>
  <c r="O140" i="3"/>
  <c r="N140" i="3"/>
  <c r="H140" i="3"/>
  <c r="G140" i="3"/>
  <c r="E140" i="3"/>
  <c r="F140" i="3" s="1"/>
  <c r="D140" i="3"/>
  <c r="C140" i="3"/>
  <c r="Q139" i="3"/>
  <c r="P139" i="3"/>
  <c r="O139" i="3"/>
  <c r="N139" i="3"/>
  <c r="G139" i="3"/>
  <c r="F139" i="3"/>
  <c r="E139" i="3"/>
  <c r="D139" i="3"/>
  <c r="C139" i="3"/>
  <c r="Q138" i="3"/>
  <c r="P138" i="3"/>
  <c r="O138" i="3"/>
  <c r="N138" i="3"/>
  <c r="G138" i="3"/>
  <c r="F138" i="3"/>
  <c r="E138" i="3"/>
  <c r="D138" i="3"/>
  <c r="C138" i="3"/>
  <c r="R137" i="3"/>
  <c r="Q137" i="3"/>
  <c r="P137" i="3"/>
  <c r="O137" i="3"/>
  <c r="N137" i="3"/>
  <c r="H137" i="3"/>
  <c r="G137" i="3"/>
  <c r="E137" i="3"/>
  <c r="F137" i="3" s="1"/>
  <c r="D137" i="3"/>
  <c r="C137" i="3"/>
  <c r="Q136" i="3"/>
  <c r="P136" i="3"/>
  <c r="O136" i="3"/>
  <c r="N136" i="3"/>
  <c r="G136" i="3"/>
  <c r="F136" i="3"/>
  <c r="E136" i="3"/>
  <c r="D136" i="3"/>
  <c r="C136" i="3"/>
  <c r="H136" i="3" s="1"/>
  <c r="Q135" i="3"/>
  <c r="P135" i="3"/>
  <c r="O135" i="3"/>
  <c r="N135" i="3"/>
  <c r="H135" i="3"/>
  <c r="G135" i="3"/>
  <c r="F135" i="3"/>
  <c r="E135" i="3"/>
  <c r="D135" i="3"/>
  <c r="C135" i="3"/>
  <c r="R135" i="3" s="1"/>
  <c r="R134" i="3"/>
  <c r="Q134" i="3"/>
  <c r="P134" i="3"/>
  <c r="O134" i="3"/>
  <c r="N134" i="3"/>
  <c r="H134" i="3"/>
  <c r="G134" i="3"/>
  <c r="E134" i="3"/>
  <c r="F134" i="3" s="1"/>
  <c r="D134" i="3"/>
  <c r="C134" i="3"/>
  <c r="Q133" i="3"/>
  <c r="P133" i="3"/>
  <c r="O133" i="3"/>
  <c r="N133" i="3"/>
  <c r="G133" i="3"/>
  <c r="F133" i="3"/>
  <c r="E133" i="3"/>
  <c r="D133" i="3"/>
  <c r="C133" i="3"/>
  <c r="Q132" i="3"/>
  <c r="P132" i="3"/>
  <c r="O132" i="3"/>
  <c r="N132" i="3"/>
  <c r="H132" i="3"/>
  <c r="G132" i="3"/>
  <c r="E132" i="3"/>
  <c r="F132" i="3" s="1"/>
  <c r="D132" i="3"/>
  <c r="C132" i="3"/>
  <c r="R132" i="3" s="1"/>
  <c r="R131" i="3"/>
  <c r="Q131" i="3"/>
  <c r="P131" i="3"/>
  <c r="O131" i="3"/>
  <c r="N131" i="3"/>
  <c r="H131" i="3"/>
  <c r="G131" i="3"/>
  <c r="E131" i="3"/>
  <c r="F131" i="3" s="1"/>
  <c r="D131" i="3"/>
  <c r="C131" i="3"/>
  <c r="Q130" i="3"/>
  <c r="P130" i="3"/>
  <c r="O130" i="3"/>
  <c r="N130" i="3"/>
  <c r="G130" i="3"/>
  <c r="F130" i="3"/>
  <c r="E130" i="3"/>
  <c r="D130" i="3"/>
  <c r="C130" i="3"/>
  <c r="H130" i="3" s="1"/>
  <c r="Q129" i="3"/>
  <c r="P129" i="3"/>
  <c r="O129" i="3"/>
  <c r="N129" i="3"/>
  <c r="G129" i="3"/>
  <c r="F129" i="3"/>
  <c r="E129" i="3"/>
  <c r="D129" i="3"/>
  <c r="C129" i="3"/>
  <c r="R128" i="3"/>
  <c r="Q128" i="3"/>
  <c r="P128" i="3"/>
  <c r="O128" i="3"/>
  <c r="N128" i="3"/>
  <c r="H128" i="3"/>
  <c r="G128" i="3"/>
  <c r="E128" i="3"/>
  <c r="F128" i="3" s="1"/>
  <c r="D128" i="3"/>
  <c r="C128" i="3"/>
  <c r="Q127" i="3"/>
  <c r="P127" i="3"/>
  <c r="O127" i="3"/>
  <c r="N127" i="3"/>
  <c r="G127" i="3"/>
  <c r="F127" i="3"/>
  <c r="E127" i="3"/>
  <c r="D127" i="3"/>
  <c r="C127" i="3"/>
  <c r="Q126" i="3"/>
  <c r="P126" i="3"/>
  <c r="O126" i="3"/>
  <c r="N126" i="3"/>
  <c r="G126" i="3"/>
  <c r="F126" i="3"/>
  <c r="E126" i="3"/>
  <c r="D126" i="3"/>
  <c r="C126" i="3"/>
  <c r="R125" i="3"/>
  <c r="Q125" i="3"/>
  <c r="P125" i="3"/>
  <c r="O125" i="3"/>
  <c r="N125" i="3"/>
  <c r="H125" i="3"/>
  <c r="G125" i="3"/>
  <c r="E125" i="3"/>
  <c r="F125" i="3" s="1"/>
  <c r="D125" i="3"/>
  <c r="C125" i="3"/>
  <c r="Q124" i="3"/>
  <c r="P124" i="3"/>
  <c r="O124" i="3"/>
  <c r="N124" i="3"/>
  <c r="G124" i="3"/>
  <c r="F124" i="3"/>
  <c r="E124" i="3"/>
  <c r="D124" i="3"/>
  <c r="C124" i="3"/>
  <c r="H124" i="3" s="1"/>
  <c r="Q123" i="3"/>
  <c r="P123" i="3"/>
  <c r="O123" i="3"/>
  <c r="N123" i="3"/>
  <c r="H123" i="3"/>
  <c r="G123" i="3"/>
  <c r="E123" i="3"/>
  <c r="F123" i="3" s="1"/>
  <c r="D123" i="3"/>
  <c r="C123" i="3"/>
  <c r="R123" i="3" s="1"/>
  <c r="R122" i="3"/>
  <c r="Q122" i="3"/>
  <c r="P122" i="3"/>
  <c r="O122" i="3"/>
  <c r="N122" i="3"/>
  <c r="H122" i="3"/>
  <c r="G122" i="3"/>
  <c r="E122" i="3"/>
  <c r="F122" i="3" s="1"/>
  <c r="D122" i="3"/>
  <c r="C122" i="3"/>
  <c r="Q121" i="3"/>
  <c r="P121" i="3"/>
  <c r="O121" i="3"/>
  <c r="N121" i="3"/>
  <c r="G121" i="3"/>
  <c r="F121" i="3"/>
  <c r="E121" i="3"/>
  <c r="D121" i="3"/>
  <c r="C121" i="3"/>
  <c r="Q120" i="3"/>
  <c r="P120" i="3"/>
  <c r="O120" i="3"/>
  <c r="N120" i="3"/>
  <c r="G120" i="3"/>
  <c r="F120" i="3"/>
  <c r="E120" i="3"/>
  <c r="D120" i="3"/>
  <c r="C120" i="3"/>
  <c r="R119" i="3"/>
  <c r="Q119" i="3"/>
  <c r="P119" i="3"/>
  <c r="O119" i="3"/>
  <c r="N119" i="3"/>
  <c r="H119" i="3"/>
  <c r="G119" i="3"/>
  <c r="E119" i="3"/>
  <c r="F119" i="3" s="1"/>
  <c r="D119" i="3"/>
  <c r="C119" i="3"/>
  <c r="Q118" i="3"/>
  <c r="P118" i="3"/>
  <c r="O118" i="3"/>
  <c r="N118" i="3"/>
  <c r="G118" i="3"/>
  <c r="F118" i="3"/>
  <c r="E118" i="3"/>
  <c r="D118" i="3"/>
  <c r="C118" i="3"/>
  <c r="H118" i="3" s="1"/>
  <c r="Q117" i="3"/>
  <c r="P117" i="3"/>
  <c r="O117" i="3"/>
  <c r="N117" i="3"/>
  <c r="H117" i="3"/>
  <c r="G117" i="3"/>
  <c r="E117" i="3"/>
  <c r="F117" i="3" s="1"/>
  <c r="D117" i="3"/>
  <c r="C117" i="3"/>
  <c r="R117" i="3" s="1"/>
  <c r="R116" i="3"/>
  <c r="Q116" i="3"/>
  <c r="P116" i="3"/>
  <c r="O116" i="3"/>
  <c r="N116" i="3"/>
  <c r="H116" i="3"/>
  <c r="G116" i="3"/>
  <c r="E116" i="3"/>
  <c r="F116" i="3" s="1"/>
  <c r="D116" i="3"/>
  <c r="C116" i="3"/>
  <c r="Q115" i="3"/>
  <c r="P115" i="3"/>
  <c r="O115" i="3"/>
  <c r="N115" i="3"/>
  <c r="G115" i="3"/>
  <c r="F115" i="3"/>
  <c r="E115" i="3"/>
  <c r="D115" i="3"/>
  <c r="C115" i="3"/>
  <c r="Q114" i="3"/>
  <c r="P114" i="3"/>
  <c r="O114" i="3"/>
  <c r="N114" i="3"/>
  <c r="H114" i="3"/>
  <c r="G114" i="3"/>
  <c r="E114" i="3"/>
  <c r="F114" i="3" s="1"/>
  <c r="D114" i="3"/>
  <c r="C114" i="3"/>
  <c r="R114" i="3" s="1"/>
  <c r="R113" i="3"/>
  <c r="Q113" i="3"/>
  <c r="P113" i="3"/>
  <c r="O113" i="3"/>
  <c r="N113" i="3"/>
  <c r="H113" i="3"/>
  <c r="G113" i="3"/>
  <c r="E113" i="3"/>
  <c r="F113" i="3" s="1"/>
  <c r="D113" i="3"/>
  <c r="C113" i="3"/>
  <c r="Q112" i="3"/>
  <c r="P112" i="3"/>
  <c r="O112" i="3"/>
  <c r="N112" i="3"/>
  <c r="G112" i="3"/>
  <c r="F112" i="3"/>
  <c r="E112" i="3"/>
  <c r="D112" i="3"/>
  <c r="C112" i="3"/>
  <c r="H112" i="3" s="1"/>
  <c r="Q111" i="3"/>
  <c r="P111" i="3"/>
  <c r="O111" i="3"/>
  <c r="N111" i="3"/>
  <c r="G111" i="3"/>
  <c r="F111" i="3"/>
  <c r="E111" i="3"/>
  <c r="D111" i="3"/>
  <c r="C111" i="3"/>
  <c r="R110" i="3"/>
  <c r="Q110" i="3"/>
  <c r="P110" i="3"/>
  <c r="O110" i="3"/>
  <c r="N110" i="3"/>
  <c r="H110" i="3"/>
  <c r="G110" i="3"/>
  <c r="E110" i="3"/>
  <c r="F110" i="3" s="1"/>
  <c r="D110" i="3"/>
  <c r="C110" i="3"/>
  <c r="Q109" i="3"/>
  <c r="P109" i="3"/>
  <c r="O109" i="3"/>
  <c r="N109" i="3"/>
  <c r="G109" i="3"/>
  <c r="F109" i="3"/>
  <c r="E109" i="3"/>
  <c r="D109" i="3"/>
  <c r="C109" i="3"/>
  <c r="Q108" i="3"/>
  <c r="P108" i="3"/>
  <c r="O108" i="3"/>
  <c r="N108" i="3"/>
  <c r="G108" i="3"/>
  <c r="E108" i="3"/>
  <c r="F108" i="3" s="1"/>
  <c r="D108" i="3"/>
  <c r="C108" i="3"/>
  <c r="R107" i="3"/>
  <c r="Q107" i="3"/>
  <c r="P107" i="3"/>
  <c r="O107" i="3"/>
  <c r="N107" i="3"/>
  <c r="H107" i="3"/>
  <c r="G107" i="3"/>
  <c r="E107" i="3"/>
  <c r="F107" i="3" s="1"/>
  <c r="D107" i="3"/>
  <c r="C107" i="3"/>
  <c r="Q106" i="3"/>
  <c r="P106" i="3"/>
  <c r="O106" i="3"/>
  <c r="N106" i="3"/>
  <c r="G106" i="3"/>
  <c r="F106" i="3"/>
  <c r="E106" i="3"/>
  <c r="D106" i="3"/>
  <c r="C106" i="3"/>
  <c r="H106" i="3" s="1"/>
  <c r="Q105" i="3"/>
  <c r="P105" i="3"/>
  <c r="O105" i="3"/>
  <c r="N105" i="3"/>
  <c r="H105" i="3"/>
  <c r="G105" i="3"/>
  <c r="E105" i="3"/>
  <c r="F105" i="3" s="1"/>
  <c r="D105" i="3"/>
  <c r="C105" i="3"/>
  <c r="R105" i="3" s="1"/>
  <c r="R104" i="3"/>
  <c r="Q104" i="3"/>
  <c r="P104" i="3"/>
  <c r="O104" i="3"/>
  <c r="N104" i="3"/>
  <c r="H104" i="3"/>
  <c r="G104" i="3"/>
  <c r="E104" i="3"/>
  <c r="F104" i="3" s="1"/>
  <c r="D104" i="3"/>
  <c r="C104" i="3"/>
  <c r="Q103" i="3"/>
  <c r="P103" i="3"/>
  <c r="O103" i="3"/>
  <c r="N103" i="3"/>
  <c r="G103" i="3"/>
  <c r="F103" i="3"/>
  <c r="E103" i="3"/>
  <c r="D103" i="3"/>
  <c r="C103" i="3"/>
  <c r="Q102" i="3"/>
  <c r="P102" i="3"/>
  <c r="O102" i="3"/>
  <c r="N102" i="3"/>
  <c r="G102" i="3"/>
  <c r="F102" i="3"/>
  <c r="E102" i="3"/>
  <c r="D102" i="3"/>
  <c r="C102" i="3"/>
  <c r="R101" i="3"/>
  <c r="Q101" i="3"/>
  <c r="P101" i="3"/>
  <c r="O101" i="3"/>
  <c r="N101" i="3"/>
  <c r="H101" i="3"/>
  <c r="G101" i="3"/>
  <c r="E101" i="3"/>
  <c r="F101" i="3" s="1"/>
  <c r="D101" i="3"/>
  <c r="C101" i="3"/>
  <c r="Q100" i="3"/>
  <c r="P100" i="3"/>
  <c r="O100" i="3"/>
  <c r="N100" i="3"/>
  <c r="G100" i="3"/>
  <c r="F100" i="3"/>
  <c r="E100" i="3"/>
  <c r="D100" i="3"/>
  <c r="C100" i="3"/>
  <c r="Q99" i="3"/>
  <c r="P99" i="3"/>
  <c r="O99" i="3"/>
  <c r="N99" i="3"/>
  <c r="G99" i="3"/>
  <c r="F99" i="3"/>
  <c r="E99" i="3"/>
  <c r="D99" i="3"/>
  <c r="C99" i="3"/>
  <c r="R98" i="3"/>
  <c r="Q98" i="3"/>
  <c r="P98" i="3"/>
  <c r="O98" i="3"/>
  <c r="N98" i="3"/>
  <c r="H98" i="3"/>
  <c r="G98" i="3"/>
  <c r="E98" i="3"/>
  <c r="F98" i="3" s="1"/>
  <c r="D98" i="3"/>
  <c r="C98" i="3"/>
  <c r="Q97" i="3"/>
  <c r="P97" i="3"/>
  <c r="O97" i="3"/>
  <c r="N97" i="3"/>
  <c r="G97" i="3"/>
  <c r="F97" i="3"/>
  <c r="E97" i="3"/>
  <c r="D97" i="3"/>
  <c r="C97" i="3"/>
  <c r="H97" i="3" s="1"/>
  <c r="Q96" i="3"/>
  <c r="P96" i="3"/>
  <c r="O96" i="3"/>
  <c r="N96" i="3"/>
  <c r="H96" i="3"/>
  <c r="G96" i="3"/>
  <c r="E96" i="3"/>
  <c r="F96" i="3" s="1"/>
  <c r="D96" i="3"/>
  <c r="C96" i="3"/>
  <c r="R96" i="3" s="1"/>
  <c r="Q95" i="3"/>
  <c r="P95" i="3"/>
  <c r="O95" i="3"/>
  <c r="N95" i="3"/>
  <c r="G95" i="3"/>
  <c r="E95" i="3"/>
  <c r="F95" i="3" s="1"/>
  <c r="D95" i="3"/>
  <c r="C95" i="3"/>
  <c r="R94" i="3"/>
  <c r="Q94" i="3"/>
  <c r="P94" i="3"/>
  <c r="O94" i="3"/>
  <c r="N94" i="3"/>
  <c r="G94" i="3"/>
  <c r="F94" i="3"/>
  <c r="E94" i="3"/>
  <c r="D94" i="3"/>
  <c r="C94" i="3"/>
  <c r="H94" i="3" s="1"/>
  <c r="Q93" i="3"/>
  <c r="P93" i="3"/>
  <c r="O93" i="3"/>
  <c r="N93" i="3"/>
  <c r="H93" i="3"/>
  <c r="G93" i="3"/>
  <c r="E93" i="3"/>
  <c r="F93" i="3" s="1"/>
  <c r="D93" i="3"/>
  <c r="C93" i="3"/>
  <c r="R93" i="3" s="1"/>
  <c r="R92" i="3"/>
  <c r="Q92" i="3"/>
  <c r="P92" i="3"/>
  <c r="O92" i="3"/>
  <c r="N92" i="3"/>
  <c r="G92" i="3"/>
  <c r="E92" i="3"/>
  <c r="F92" i="3" s="1"/>
  <c r="D92" i="3"/>
  <c r="C92" i="3"/>
  <c r="H92" i="3" s="1"/>
  <c r="R91" i="3"/>
  <c r="Q91" i="3"/>
  <c r="P91" i="3"/>
  <c r="O91" i="3"/>
  <c r="N91" i="3"/>
  <c r="G91" i="3"/>
  <c r="F91" i="3"/>
  <c r="E91" i="3"/>
  <c r="D91" i="3"/>
  <c r="C91" i="3"/>
  <c r="H91" i="3" s="1"/>
  <c r="Q90" i="3"/>
  <c r="P90" i="3"/>
  <c r="O90" i="3"/>
  <c r="N90" i="3"/>
  <c r="G90" i="3"/>
  <c r="E90" i="3"/>
  <c r="F90" i="3" s="1"/>
  <c r="D90" i="3"/>
  <c r="C90" i="3"/>
  <c r="H90" i="3" s="1"/>
  <c r="R89" i="3"/>
  <c r="Q89" i="3"/>
  <c r="P89" i="3"/>
  <c r="O89" i="3"/>
  <c r="N89" i="3"/>
  <c r="H89" i="3"/>
  <c r="G89" i="3"/>
  <c r="E89" i="3"/>
  <c r="F89" i="3" s="1"/>
  <c r="D89" i="3"/>
  <c r="C89" i="3"/>
  <c r="R88" i="3"/>
  <c r="Q88" i="3"/>
  <c r="P88" i="3"/>
  <c r="O88" i="3"/>
  <c r="N88" i="3"/>
  <c r="G88" i="3"/>
  <c r="F88" i="3"/>
  <c r="E88" i="3"/>
  <c r="D88" i="3"/>
  <c r="C88" i="3"/>
  <c r="H88" i="3" s="1"/>
  <c r="Q87" i="3"/>
  <c r="P87" i="3"/>
  <c r="O87" i="3"/>
  <c r="N87" i="3"/>
  <c r="H87" i="3"/>
  <c r="G87" i="3"/>
  <c r="E87" i="3"/>
  <c r="F87" i="3" s="1"/>
  <c r="D87" i="3"/>
  <c r="C87" i="3"/>
  <c r="R87" i="3" s="1"/>
  <c r="R86" i="3"/>
  <c r="Q86" i="3"/>
  <c r="P86" i="3"/>
  <c r="O86" i="3"/>
  <c r="N86" i="3"/>
  <c r="H86" i="3"/>
  <c r="G86" i="3"/>
  <c r="F86" i="3"/>
  <c r="E86" i="3"/>
  <c r="D86" i="3"/>
  <c r="C86" i="3"/>
  <c r="Q85" i="3"/>
  <c r="P85" i="3"/>
  <c r="O85" i="3"/>
  <c r="N85" i="3"/>
  <c r="H85" i="3"/>
  <c r="G85" i="3"/>
  <c r="E85" i="3"/>
  <c r="F85" i="3" s="1"/>
  <c r="D85" i="3"/>
  <c r="C85" i="3"/>
  <c r="R85" i="3" s="1"/>
  <c r="Q84" i="3"/>
  <c r="P84" i="3"/>
  <c r="O84" i="3"/>
  <c r="N84" i="3"/>
  <c r="G84" i="3"/>
  <c r="F84" i="3"/>
  <c r="E84" i="3"/>
  <c r="D84" i="3"/>
  <c r="C84" i="3"/>
  <c r="Q83" i="3"/>
  <c r="P83" i="3"/>
  <c r="O83" i="3"/>
  <c r="N83" i="3"/>
  <c r="G83" i="3"/>
  <c r="F83" i="3"/>
  <c r="E83" i="3"/>
  <c r="D83" i="3"/>
  <c r="C83" i="3"/>
  <c r="R82" i="3"/>
  <c r="Q82" i="3"/>
  <c r="P82" i="3"/>
  <c r="O82" i="3"/>
  <c r="N82" i="3"/>
  <c r="G82" i="3"/>
  <c r="E82" i="3"/>
  <c r="F82" i="3" s="1"/>
  <c r="D82" i="3"/>
  <c r="C82" i="3"/>
  <c r="H82" i="3" s="1"/>
  <c r="Q81" i="3"/>
  <c r="P81" i="3"/>
  <c r="O81" i="3"/>
  <c r="N81" i="3"/>
  <c r="H81" i="3"/>
  <c r="G81" i="3"/>
  <c r="E81" i="3"/>
  <c r="F81" i="3" s="1"/>
  <c r="D81" i="3"/>
  <c r="C81" i="3"/>
  <c r="R81" i="3" s="1"/>
  <c r="Q80" i="3"/>
  <c r="P80" i="3"/>
  <c r="O80" i="3"/>
  <c r="N80" i="3"/>
  <c r="G80" i="3"/>
  <c r="E80" i="3"/>
  <c r="F80" i="3" s="1"/>
  <c r="D80" i="3"/>
  <c r="C80" i="3"/>
  <c r="R80" i="3" s="1"/>
  <c r="R79" i="3"/>
  <c r="Q79" i="3"/>
  <c r="P79" i="3"/>
  <c r="O79" i="3"/>
  <c r="N79" i="3"/>
  <c r="G79" i="3"/>
  <c r="F79" i="3"/>
  <c r="E79" i="3"/>
  <c r="D79" i="3"/>
  <c r="C79" i="3"/>
  <c r="H79" i="3" s="1"/>
  <c r="R78" i="3"/>
  <c r="Q78" i="3"/>
  <c r="P78" i="3"/>
  <c r="O78" i="3"/>
  <c r="N78" i="3"/>
  <c r="G78" i="3"/>
  <c r="F78" i="3"/>
  <c r="E78" i="3"/>
  <c r="D78" i="3"/>
  <c r="C78" i="3"/>
  <c r="H78" i="3" s="1"/>
  <c r="R77" i="3"/>
  <c r="Q77" i="3"/>
  <c r="P77" i="3"/>
  <c r="O77" i="3"/>
  <c r="N77" i="3"/>
  <c r="H77" i="3"/>
  <c r="G77" i="3"/>
  <c r="E77" i="3"/>
  <c r="F77" i="3" s="1"/>
  <c r="D77" i="3"/>
  <c r="C77" i="3"/>
  <c r="R76" i="3"/>
  <c r="Q76" i="3"/>
  <c r="P76" i="3"/>
  <c r="O76" i="3"/>
  <c r="N76" i="3"/>
  <c r="H76" i="3"/>
  <c r="G76" i="3"/>
  <c r="E76" i="3"/>
  <c r="F76" i="3" s="1"/>
  <c r="D76" i="3"/>
  <c r="C76" i="3"/>
  <c r="Q75" i="3"/>
  <c r="P75" i="3"/>
  <c r="O75" i="3"/>
  <c r="N75" i="3"/>
  <c r="G75" i="3"/>
  <c r="F75" i="3"/>
  <c r="E75" i="3"/>
  <c r="D75" i="3"/>
  <c r="C75" i="3"/>
  <c r="R74" i="3"/>
  <c r="Q74" i="3"/>
  <c r="P74" i="3"/>
  <c r="O74" i="3"/>
  <c r="N74" i="3"/>
  <c r="H74" i="3"/>
  <c r="G74" i="3"/>
  <c r="F74" i="3"/>
  <c r="E74" i="3"/>
  <c r="D74" i="3"/>
  <c r="C74" i="3"/>
  <c r="Q73" i="3"/>
  <c r="P73" i="3"/>
  <c r="O73" i="3"/>
  <c r="N73" i="3"/>
  <c r="G73" i="3"/>
  <c r="F73" i="3"/>
  <c r="E73" i="3"/>
  <c r="D73" i="3"/>
  <c r="C73" i="3"/>
  <c r="Q72" i="3"/>
  <c r="P72" i="3"/>
  <c r="O72" i="3"/>
  <c r="N72" i="3"/>
  <c r="H72" i="3"/>
  <c r="G72" i="3"/>
  <c r="E72" i="3"/>
  <c r="F72" i="3" s="1"/>
  <c r="D72" i="3"/>
  <c r="C72" i="3"/>
  <c r="R72" i="3" s="1"/>
  <c r="Q71" i="3"/>
  <c r="P71" i="3"/>
  <c r="O71" i="3"/>
  <c r="N71" i="3"/>
  <c r="G71" i="3"/>
  <c r="E71" i="3"/>
  <c r="F71" i="3" s="1"/>
  <c r="D71" i="3"/>
  <c r="C71" i="3"/>
  <c r="Q70" i="3"/>
  <c r="P70" i="3"/>
  <c r="O70" i="3"/>
  <c r="N70" i="3"/>
  <c r="G70" i="3"/>
  <c r="F70" i="3"/>
  <c r="E70" i="3"/>
  <c r="D70" i="3"/>
  <c r="C70" i="3"/>
  <c r="H70" i="3" s="1"/>
  <c r="Q69" i="3"/>
  <c r="P69" i="3"/>
  <c r="O69" i="3"/>
  <c r="N69" i="3"/>
  <c r="H69" i="3"/>
  <c r="G69" i="3"/>
  <c r="E69" i="3"/>
  <c r="F69" i="3" s="1"/>
  <c r="D69" i="3"/>
  <c r="C69" i="3"/>
  <c r="R69" i="3" s="1"/>
  <c r="R68" i="3"/>
  <c r="Q68" i="3"/>
  <c r="P68" i="3"/>
  <c r="O68" i="3"/>
  <c r="N68" i="3"/>
  <c r="H68" i="3"/>
  <c r="G68" i="3"/>
  <c r="E68" i="3"/>
  <c r="F68" i="3" s="1"/>
  <c r="D68" i="3"/>
  <c r="C68" i="3"/>
  <c r="Q67" i="3"/>
  <c r="P67" i="3"/>
  <c r="O67" i="3"/>
  <c r="N67" i="3"/>
  <c r="G67" i="3"/>
  <c r="F67" i="3"/>
  <c r="E67" i="3"/>
  <c r="D67" i="3"/>
  <c r="C67" i="3"/>
  <c r="H67" i="3" s="1"/>
  <c r="Q66" i="3"/>
  <c r="P66" i="3"/>
  <c r="O66" i="3"/>
  <c r="N66" i="3"/>
  <c r="H66" i="3"/>
  <c r="G66" i="3"/>
  <c r="E66" i="3"/>
  <c r="F66" i="3" s="1"/>
  <c r="D66" i="3"/>
  <c r="C66" i="3"/>
  <c r="R66" i="3" s="1"/>
  <c r="R65" i="3"/>
  <c r="Q65" i="3"/>
  <c r="P65" i="3"/>
  <c r="O65" i="3"/>
  <c r="N65" i="3"/>
  <c r="H65" i="3"/>
  <c r="G65" i="3"/>
  <c r="E65" i="3"/>
  <c r="F65" i="3" s="1"/>
  <c r="D65" i="3"/>
  <c r="C65" i="3"/>
  <c r="Q64" i="3"/>
  <c r="P64" i="3"/>
  <c r="O64" i="3"/>
  <c r="N64" i="3"/>
  <c r="G64" i="3"/>
  <c r="F64" i="3"/>
  <c r="E64" i="3"/>
  <c r="D64" i="3"/>
  <c r="C64" i="3"/>
  <c r="R64" i="3" s="1"/>
  <c r="Q63" i="3"/>
  <c r="P63" i="3"/>
  <c r="O63" i="3"/>
  <c r="N63" i="3"/>
  <c r="G63" i="3"/>
  <c r="F63" i="3"/>
  <c r="E63" i="3"/>
  <c r="D63" i="3"/>
  <c r="C63" i="3"/>
  <c r="R62" i="3"/>
  <c r="Q62" i="3"/>
  <c r="P62" i="3"/>
  <c r="O62" i="3"/>
  <c r="N62" i="3"/>
  <c r="H62" i="3"/>
  <c r="G62" i="3"/>
  <c r="F62" i="3"/>
  <c r="E62" i="3"/>
  <c r="D62" i="3"/>
  <c r="C62" i="3"/>
  <c r="R61" i="3"/>
  <c r="Q61" i="3"/>
  <c r="P61" i="3"/>
  <c r="O61" i="3"/>
  <c r="N61" i="3"/>
  <c r="G61" i="3"/>
  <c r="F61" i="3"/>
  <c r="E61" i="3"/>
  <c r="D61" i="3"/>
  <c r="C61" i="3"/>
  <c r="H61" i="3" s="1"/>
  <c r="Q60" i="3"/>
  <c r="P60" i="3"/>
  <c r="O60" i="3"/>
  <c r="N60" i="3"/>
  <c r="H60" i="3"/>
  <c r="G60" i="3"/>
  <c r="E60" i="3"/>
  <c r="F60" i="3" s="1"/>
  <c r="D60" i="3"/>
  <c r="C60" i="3"/>
  <c r="R60" i="3" s="1"/>
  <c r="Q59" i="3"/>
  <c r="P59" i="3"/>
  <c r="O59" i="3"/>
  <c r="N59" i="3"/>
  <c r="G59" i="3"/>
  <c r="E59" i="3"/>
  <c r="F59" i="3" s="1"/>
  <c r="D59" i="3"/>
  <c r="C59" i="3"/>
  <c r="H59" i="3" s="1"/>
  <c r="Q58" i="3"/>
  <c r="P58" i="3"/>
  <c r="O58" i="3"/>
  <c r="N58" i="3"/>
  <c r="G58" i="3"/>
  <c r="F58" i="3"/>
  <c r="E58" i="3"/>
  <c r="D58" i="3"/>
  <c r="C58" i="3"/>
  <c r="H58" i="3" s="1"/>
  <c r="Q57" i="3"/>
  <c r="P57" i="3"/>
  <c r="O57" i="3"/>
  <c r="N57" i="3"/>
  <c r="H57" i="3"/>
  <c r="G57" i="3"/>
  <c r="E57" i="3"/>
  <c r="F57" i="3" s="1"/>
  <c r="D57" i="3"/>
  <c r="C57" i="3"/>
  <c r="R57" i="3" s="1"/>
  <c r="R56" i="3"/>
  <c r="Q56" i="3"/>
  <c r="P56" i="3"/>
  <c r="O56" i="3"/>
  <c r="N56" i="3"/>
  <c r="H56" i="3"/>
  <c r="G56" i="3"/>
  <c r="E56" i="3"/>
  <c r="F56" i="3" s="1"/>
  <c r="D56" i="3"/>
  <c r="C56" i="3"/>
  <c r="Q55" i="3"/>
  <c r="P55" i="3"/>
  <c r="O55" i="3"/>
  <c r="N55" i="3"/>
  <c r="G55" i="3"/>
  <c r="F55" i="3"/>
  <c r="E55" i="3"/>
  <c r="D55" i="3"/>
  <c r="C55" i="3"/>
  <c r="H55" i="3" s="1"/>
  <c r="Q54" i="3"/>
  <c r="P54" i="3"/>
  <c r="O54" i="3"/>
  <c r="N54" i="3"/>
  <c r="H54" i="3"/>
  <c r="G54" i="3"/>
  <c r="E54" i="3"/>
  <c r="F54" i="3" s="1"/>
  <c r="D54" i="3"/>
  <c r="C54" i="3"/>
  <c r="R54" i="3" s="1"/>
  <c r="R53" i="3"/>
  <c r="Q53" i="3"/>
  <c r="P53" i="3"/>
  <c r="O53" i="3"/>
  <c r="N53" i="3"/>
  <c r="H53" i="3"/>
  <c r="G53" i="3"/>
  <c r="E53" i="3"/>
  <c r="F53" i="3" s="1"/>
  <c r="D53" i="3"/>
  <c r="C53" i="3"/>
  <c r="Q52" i="3"/>
  <c r="P52" i="3"/>
  <c r="O52" i="3"/>
  <c r="N52" i="3"/>
  <c r="G52" i="3"/>
  <c r="F52" i="3"/>
  <c r="E52" i="3"/>
  <c r="D52" i="3"/>
  <c r="C52" i="3"/>
  <c r="Q51" i="3"/>
  <c r="P51" i="3"/>
  <c r="O51" i="3"/>
  <c r="N51" i="3"/>
  <c r="G51" i="3"/>
  <c r="F51" i="3"/>
  <c r="E51" i="3"/>
  <c r="D51" i="3"/>
  <c r="C51" i="3"/>
  <c r="R50" i="3"/>
  <c r="Q50" i="3"/>
  <c r="P50" i="3"/>
  <c r="O50" i="3"/>
  <c r="N50" i="3"/>
  <c r="H50" i="3"/>
  <c r="G50" i="3"/>
  <c r="E50" i="3"/>
  <c r="F50" i="3" s="1"/>
  <c r="D50" i="3"/>
  <c r="C50" i="3"/>
  <c r="Q49" i="3"/>
  <c r="P49" i="3"/>
  <c r="O49" i="3"/>
  <c r="N49" i="3"/>
  <c r="G49" i="3"/>
  <c r="F49" i="3"/>
  <c r="E49" i="3"/>
  <c r="D49" i="3"/>
  <c r="C49" i="3"/>
  <c r="H49" i="3" s="1"/>
  <c r="Q48" i="3"/>
  <c r="P48" i="3"/>
  <c r="O48" i="3"/>
  <c r="N48" i="3"/>
  <c r="H48" i="3"/>
  <c r="G48" i="3"/>
  <c r="E48" i="3"/>
  <c r="F48" i="3" s="1"/>
  <c r="D48" i="3"/>
  <c r="C48" i="3"/>
  <c r="R48" i="3" s="1"/>
  <c r="Q47" i="3"/>
  <c r="P47" i="3"/>
  <c r="O47" i="3"/>
  <c r="N47" i="3"/>
  <c r="G47" i="3"/>
  <c r="E47" i="3"/>
  <c r="F47" i="3" s="1"/>
  <c r="D47" i="3"/>
  <c r="C47" i="3"/>
  <c r="R46" i="3"/>
  <c r="Q46" i="3"/>
  <c r="P46" i="3"/>
  <c r="O46" i="3"/>
  <c r="N46" i="3"/>
  <c r="G46" i="3"/>
  <c r="F46" i="3"/>
  <c r="E46" i="3"/>
  <c r="D46" i="3"/>
  <c r="C46" i="3"/>
  <c r="H46" i="3" s="1"/>
  <c r="Q45" i="3"/>
  <c r="P45" i="3"/>
  <c r="O45" i="3"/>
  <c r="N45" i="3"/>
  <c r="G45" i="3"/>
  <c r="E45" i="3"/>
  <c r="F45" i="3" s="1"/>
  <c r="D45" i="3"/>
  <c r="C45" i="3"/>
  <c r="R44" i="3"/>
  <c r="Q44" i="3"/>
  <c r="P44" i="3"/>
  <c r="O44" i="3"/>
  <c r="N44" i="3"/>
  <c r="H44" i="3"/>
  <c r="G44" i="3"/>
  <c r="E44" i="3"/>
  <c r="F44" i="3" s="1"/>
  <c r="D44" i="3"/>
  <c r="C44" i="3"/>
  <c r="R43" i="3"/>
  <c r="Q43" i="3"/>
  <c r="P43" i="3"/>
  <c r="E45" i="1" s="1"/>
  <c r="O43" i="3"/>
  <c r="N43" i="3"/>
  <c r="G43" i="3"/>
  <c r="F43" i="3"/>
  <c r="E43" i="3"/>
  <c r="D43" i="3"/>
  <c r="C43" i="3"/>
  <c r="H43" i="3" s="1"/>
  <c r="Q42" i="3"/>
  <c r="P42" i="3"/>
  <c r="O42" i="3"/>
  <c r="N42" i="3"/>
  <c r="H42" i="3"/>
  <c r="G42" i="3"/>
  <c r="E42" i="3"/>
  <c r="F42" i="3" s="1"/>
  <c r="D42" i="3"/>
  <c r="C42" i="3"/>
  <c r="R42" i="3" s="1"/>
  <c r="R41" i="3"/>
  <c r="Q41" i="3"/>
  <c r="P41" i="3"/>
  <c r="O41" i="3"/>
  <c r="N41" i="3"/>
  <c r="H41" i="3"/>
  <c r="G41" i="3"/>
  <c r="E41" i="3"/>
  <c r="F41" i="3" s="1"/>
  <c r="D41" i="3"/>
  <c r="C41" i="3"/>
  <c r="Q40" i="3"/>
  <c r="P40" i="3"/>
  <c r="O40" i="3"/>
  <c r="N40" i="3"/>
  <c r="H40" i="3"/>
  <c r="G40" i="3"/>
  <c r="F40" i="3"/>
  <c r="E40" i="3"/>
  <c r="D40" i="3"/>
  <c r="C40" i="3"/>
  <c r="R40" i="3" s="1"/>
  <c r="Q39" i="3"/>
  <c r="P39" i="3"/>
  <c r="O39" i="3"/>
  <c r="N39" i="3"/>
  <c r="G39" i="3"/>
  <c r="F39" i="3"/>
  <c r="E39" i="3"/>
  <c r="D39" i="3"/>
  <c r="C39" i="3"/>
  <c r="R38" i="3"/>
  <c r="Q38" i="3"/>
  <c r="P38" i="3"/>
  <c r="O38" i="3"/>
  <c r="N38" i="3"/>
  <c r="H38" i="3"/>
  <c r="G38" i="3"/>
  <c r="F38" i="3"/>
  <c r="E38" i="3"/>
  <c r="D38" i="3"/>
  <c r="C38" i="3"/>
  <c r="Q37" i="3"/>
  <c r="P37" i="3"/>
  <c r="O37" i="3"/>
  <c r="N37" i="3"/>
  <c r="G37" i="3"/>
  <c r="F37" i="3"/>
  <c r="E37" i="3"/>
  <c r="D37" i="3"/>
  <c r="C37" i="3"/>
  <c r="H37" i="3" s="1"/>
  <c r="Q36" i="3"/>
  <c r="P36" i="3"/>
  <c r="O36" i="3"/>
  <c r="N36" i="3"/>
  <c r="H36" i="3"/>
  <c r="G36" i="3"/>
  <c r="E36" i="3"/>
  <c r="F36" i="3" s="1"/>
  <c r="D36" i="3"/>
  <c r="C36" i="3"/>
  <c r="R36" i="3" s="1"/>
  <c r="R35" i="3"/>
  <c r="Q35" i="3"/>
  <c r="P35" i="3"/>
  <c r="O35" i="3"/>
  <c r="N35" i="3"/>
  <c r="G35" i="3"/>
  <c r="E35" i="3"/>
  <c r="F35" i="3" s="1"/>
  <c r="D35" i="3"/>
  <c r="C35" i="3"/>
  <c r="H35" i="3" s="1"/>
  <c r="R34" i="3"/>
  <c r="Q34" i="3"/>
  <c r="P34" i="3"/>
  <c r="O34" i="3"/>
  <c r="N34" i="3"/>
  <c r="G34" i="3"/>
  <c r="F34" i="3"/>
  <c r="E34" i="3"/>
  <c r="D34" i="3"/>
  <c r="C34" i="3"/>
  <c r="H34" i="3" s="1"/>
  <c r="Q33" i="3"/>
  <c r="P33" i="3"/>
  <c r="O33" i="3"/>
  <c r="N33" i="3"/>
  <c r="G33" i="3"/>
  <c r="F33" i="3"/>
  <c r="E33" i="3"/>
  <c r="D33" i="3"/>
  <c r="C33" i="3"/>
  <c r="R32" i="3"/>
  <c r="Q32" i="3"/>
  <c r="P32" i="3"/>
  <c r="O32" i="3"/>
  <c r="N32" i="3"/>
  <c r="H32" i="3"/>
  <c r="G32" i="3"/>
  <c r="E32" i="3"/>
  <c r="F32" i="3" s="1"/>
  <c r="D32" i="3"/>
  <c r="C32" i="3"/>
  <c r="Q31" i="3"/>
  <c r="P31" i="3"/>
  <c r="O31" i="3"/>
  <c r="N31" i="3"/>
  <c r="G31" i="3"/>
  <c r="F31" i="3"/>
  <c r="E31" i="3"/>
  <c r="D31" i="3"/>
  <c r="C31" i="3"/>
  <c r="H31" i="3" s="1"/>
  <c r="Q30" i="3"/>
  <c r="P30" i="3"/>
  <c r="O30" i="3"/>
  <c r="N30" i="3"/>
  <c r="G30" i="3"/>
  <c r="F30" i="3"/>
  <c r="E30" i="3"/>
  <c r="D30" i="3"/>
  <c r="C30" i="3"/>
  <c r="R30" i="3" s="1"/>
  <c r="R29" i="3"/>
  <c r="Q29" i="3"/>
  <c r="P29" i="3"/>
  <c r="O29" i="3"/>
  <c r="N29" i="3"/>
  <c r="H29" i="3"/>
  <c r="G29" i="3"/>
  <c r="E29" i="3"/>
  <c r="F29" i="3" s="1"/>
  <c r="D29" i="3"/>
  <c r="C29" i="3"/>
  <c r="Q28" i="3"/>
  <c r="P28" i="3"/>
  <c r="O28" i="3"/>
  <c r="N28" i="3"/>
  <c r="H28" i="3"/>
  <c r="G28" i="3"/>
  <c r="F28" i="3"/>
  <c r="E28" i="3"/>
  <c r="D28" i="3"/>
  <c r="C28" i="3"/>
  <c r="R28" i="3" s="1"/>
  <c r="Q27" i="3"/>
  <c r="P27" i="3"/>
  <c r="O27" i="3"/>
  <c r="N27" i="3"/>
  <c r="G27" i="3"/>
  <c r="B16" i="1" s="1"/>
  <c r="F27" i="3"/>
  <c r="E27" i="3"/>
  <c r="D27" i="3"/>
  <c r="C27" i="3"/>
  <c r="R26" i="3"/>
  <c r="Q26" i="3"/>
  <c r="P26" i="3"/>
  <c r="O26" i="3"/>
  <c r="N26" i="3"/>
  <c r="H26" i="3"/>
  <c r="G26" i="3"/>
  <c r="F26" i="3"/>
  <c r="E26" i="3"/>
  <c r="D26" i="3"/>
  <c r="C26" i="3"/>
  <c r="Q25" i="3"/>
  <c r="P25" i="3"/>
  <c r="O25" i="3"/>
  <c r="N25" i="3"/>
  <c r="G25" i="3"/>
  <c r="F25" i="3"/>
  <c r="E25" i="3"/>
  <c r="D25" i="3"/>
  <c r="C25" i="3"/>
  <c r="H25" i="3" s="1"/>
  <c r="Q24" i="3"/>
  <c r="P24" i="3"/>
  <c r="O24" i="3"/>
  <c r="N24" i="3"/>
  <c r="H24" i="3"/>
  <c r="G24" i="3"/>
  <c r="E24" i="3"/>
  <c r="F24" i="3" s="1"/>
  <c r="D24" i="3"/>
  <c r="C24" i="3"/>
  <c r="R24" i="3" s="1"/>
  <c r="R23" i="3"/>
  <c r="Q23" i="3"/>
  <c r="P23" i="3"/>
  <c r="O23" i="3"/>
  <c r="N23" i="3"/>
  <c r="G23" i="3"/>
  <c r="E23" i="3"/>
  <c r="F23" i="3" s="1"/>
  <c r="D23" i="3"/>
  <c r="C23" i="3"/>
  <c r="H23" i="3" s="1"/>
  <c r="R22" i="3"/>
  <c r="Q22" i="3"/>
  <c r="P22" i="3"/>
  <c r="O22" i="3"/>
  <c r="N22" i="3"/>
  <c r="G22" i="3"/>
  <c r="F22" i="3"/>
  <c r="E22" i="3"/>
  <c r="D22" i="3"/>
  <c r="C22" i="3"/>
  <c r="H22" i="3" s="1"/>
  <c r="Q21" i="3"/>
  <c r="P21" i="3"/>
  <c r="O21" i="3"/>
  <c r="N21" i="3"/>
  <c r="G21" i="3"/>
  <c r="F21" i="3"/>
  <c r="E21" i="3"/>
  <c r="D21" i="3"/>
  <c r="C21" i="3"/>
  <c r="R21" i="3" s="1"/>
  <c r="R20" i="3"/>
  <c r="Q20" i="3"/>
  <c r="P20" i="3"/>
  <c r="O20" i="3"/>
  <c r="N20" i="3"/>
  <c r="H20" i="3"/>
  <c r="G20" i="3"/>
  <c r="E20" i="3"/>
  <c r="F20" i="3" s="1"/>
  <c r="D20" i="3"/>
  <c r="C20" i="3"/>
  <c r="Q19" i="3"/>
  <c r="P19" i="3"/>
  <c r="O19" i="3"/>
  <c r="N19" i="3"/>
  <c r="G19" i="3"/>
  <c r="F19" i="3"/>
  <c r="E19" i="3"/>
  <c r="D19" i="3"/>
  <c r="C19" i="3"/>
  <c r="H19" i="3" s="1"/>
  <c r="Q18" i="3"/>
  <c r="P18" i="3"/>
  <c r="O18" i="3"/>
  <c r="N18" i="3"/>
  <c r="G18" i="3"/>
  <c r="E18" i="3"/>
  <c r="F18" i="3" s="1"/>
  <c r="D18" i="3"/>
  <c r="C18" i="3"/>
  <c r="R17" i="3"/>
  <c r="Q17" i="3"/>
  <c r="P17" i="3"/>
  <c r="O17" i="3"/>
  <c r="N17" i="3"/>
  <c r="H17" i="3"/>
  <c r="G17" i="3"/>
  <c r="E17" i="3"/>
  <c r="F17" i="3" s="1"/>
  <c r="D17" i="3"/>
  <c r="C17" i="3"/>
  <c r="Q16" i="3"/>
  <c r="P16" i="3"/>
  <c r="O16" i="3"/>
  <c r="N16" i="3"/>
  <c r="H16" i="3"/>
  <c r="G16" i="3"/>
  <c r="F16" i="3"/>
  <c r="E16" i="3"/>
  <c r="D16" i="3"/>
  <c r="C16" i="3"/>
  <c r="R16" i="3" s="1"/>
  <c r="Q15" i="3"/>
  <c r="P15" i="3"/>
  <c r="O15" i="3"/>
  <c r="N15" i="3"/>
  <c r="G15" i="3"/>
  <c r="F15" i="3"/>
  <c r="E15" i="3"/>
  <c r="D15" i="3"/>
  <c r="C15" i="3"/>
  <c r="R14" i="3"/>
  <c r="Q14" i="3"/>
  <c r="P14" i="3"/>
  <c r="O14" i="3"/>
  <c r="N14" i="3"/>
  <c r="H14" i="3"/>
  <c r="G14" i="3"/>
  <c r="F14" i="3"/>
  <c r="E14" i="3"/>
  <c r="D14" i="3"/>
  <c r="C14" i="3"/>
  <c r="R13" i="3"/>
  <c r="Q13" i="3"/>
  <c r="P13" i="3"/>
  <c r="O13" i="3"/>
  <c r="N13" i="3"/>
  <c r="G13" i="3"/>
  <c r="F13" i="3"/>
  <c r="E13" i="3"/>
  <c r="D13" i="3"/>
  <c r="C13" i="3"/>
  <c r="H13" i="3" s="1"/>
  <c r="Q12" i="3"/>
  <c r="P12" i="3"/>
  <c r="O12" i="3"/>
  <c r="N12" i="3"/>
  <c r="H12" i="3"/>
  <c r="G12" i="3"/>
  <c r="E12" i="3"/>
  <c r="F12" i="3" s="1"/>
  <c r="D12" i="3"/>
  <c r="C12" i="3"/>
  <c r="R12" i="3" s="1"/>
  <c r="R11" i="3"/>
  <c r="Q11" i="3"/>
  <c r="P11" i="3"/>
  <c r="O11" i="3"/>
  <c r="N11" i="3"/>
  <c r="G11" i="3"/>
  <c r="E11" i="3"/>
  <c r="F11" i="3" s="1"/>
  <c r="D11" i="3"/>
  <c r="C11" i="3"/>
  <c r="H11" i="3" s="1"/>
  <c r="R10" i="3"/>
  <c r="Q10" i="3"/>
  <c r="P10" i="3"/>
  <c r="O10" i="3"/>
  <c r="N10" i="3"/>
  <c r="G10" i="3"/>
  <c r="F10" i="3"/>
  <c r="E10" i="3"/>
  <c r="D10" i="3"/>
  <c r="C10" i="3"/>
  <c r="H10" i="3" s="1"/>
  <c r="Q9" i="3"/>
  <c r="P9" i="3"/>
  <c r="O9" i="3"/>
  <c r="N9" i="3"/>
  <c r="G9" i="3"/>
  <c r="F9" i="3"/>
  <c r="E9" i="3"/>
  <c r="D9" i="3"/>
  <c r="C9" i="3"/>
  <c r="R8" i="3"/>
  <c r="Q8" i="3"/>
  <c r="P8" i="3"/>
  <c r="O8" i="3"/>
  <c r="N8" i="3"/>
  <c r="H8" i="3"/>
  <c r="G8" i="3"/>
  <c r="E8" i="3"/>
  <c r="F8" i="3" s="1"/>
  <c r="D8" i="3"/>
  <c r="C8" i="3"/>
  <c r="Q7" i="3"/>
  <c r="P7" i="3"/>
  <c r="O7" i="3"/>
  <c r="N7" i="3"/>
  <c r="G7" i="3"/>
  <c r="F7" i="3"/>
  <c r="E7" i="3"/>
  <c r="D7" i="3"/>
  <c r="C7" i="3"/>
  <c r="H7" i="3" s="1"/>
  <c r="Q6" i="3"/>
  <c r="P6" i="3"/>
  <c r="O6" i="3"/>
  <c r="N6" i="3"/>
  <c r="G6" i="3"/>
  <c r="F6" i="3"/>
  <c r="E6" i="3"/>
  <c r="D6" i="3"/>
  <c r="C6" i="3"/>
  <c r="R5" i="3"/>
  <c r="Q5" i="3"/>
  <c r="P5" i="3"/>
  <c r="O5" i="3"/>
  <c r="N5" i="3"/>
  <c r="H5" i="3"/>
  <c r="G5" i="3"/>
  <c r="E5" i="3"/>
  <c r="F5" i="3" s="1"/>
  <c r="D5" i="3"/>
  <c r="C5" i="3"/>
  <c r="Q4" i="3"/>
  <c r="P4" i="3"/>
  <c r="O4" i="3"/>
  <c r="N4" i="3"/>
  <c r="H4" i="3"/>
  <c r="G4" i="3"/>
  <c r="F4" i="3"/>
  <c r="E4" i="3"/>
  <c r="D4" i="3"/>
  <c r="C4" i="3"/>
  <c r="R4" i="3" s="1"/>
  <c r="Q3" i="3"/>
  <c r="P3" i="3"/>
  <c r="O3" i="3"/>
  <c r="N3" i="3"/>
  <c r="G3" i="3"/>
  <c r="F3" i="3"/>
  <c r="E3" i="3"/>
  <c r="D3" i="3"/>
  <c r="C3" i="3"/>
  <c r="R2" i="3"/>
  <c r="Q2" i="3"/>
  <c r="P2" i="3"/>
  <c r="O2" i="3"/>
  <c r="N2" i="3"/>
  <c r="H2" i="3"/>
  <c r="G2" i="3"/>
  <c r="F2" i="3"/>
  <c r="E2" i="3"/>
  <c r="D2" i="3"/>
  <c r="C2" i="3"/>
  <c r="J2001" i="2"/>
  <c r="H2001" i="2"/>
  <c r="E2001" i="2"/>
  <c r="G2001" i="2" s="1"/>
  <c r="J2000" i="2"/>
  <c r="H2000" i="2"/>
  <c r="G2000" i="2"/>
  <c r="E2000" i="2"/>
  <c r="J1999" i="2"/>
  <c r="H1999" i="2"/>
  <c r="G1999" i="2"/>
  <c r="E1999" i="2"/>
  <c r="J1998" i="2"/>
  <c r="H1998" i="2"/>
  <c r="E1998" i="2"/>
  <c r="G1998" i="2" s="1"/>
  <c r="J1997" i="2"/>
  <c r="H1997" i="2"/>
  <c r="E1997" i="2"/>
  <c r="G1997" i="2" s="1"/>
  <c r="J1996" i="2"/>
  <c r="H1996" i="2"/>
  <c r="G1996" i="2"/>
  <c r="E1996" i="2"/>
  <c r="J1995" i="2"/>
  <c r="H1995" i="2"/>
  <c r="E1995" i="2"/>
  <c r="G1995" i="2" s="1"/>
  <c r="J1994" i="2"/>
  <c r="H1994" i="2"/>
  <c r="G1994" i="2"/>
  <c r="E1994" i="2"/>
  <c r="J1993" i="2"/>
  <c r="H1993" i="2"/>
  <c r="G1993" i="2"/>
  <c r="E1993" i="2"/>
  <c r="J1992" i="2"/>
  <c r="H1992" i="2"/>
  <c r="E1992" i="2"/>
  <c r="G1992" i="2" s="1"/>
  <c r="J1991" i="2"/>
  <c r="H1991" i="2"/>
  <c r="G1991" i="2"/>
  <c r="E1991" i="2"/>
  <c r="J1990" i="2"/>
  <c r="H1990" i="2"/>
  <c r="G1990" i="2"/>
  <c r="E1990" i="2"/>
  <c r="J1989" i="2"/>
  <c r="H1989" i="2"/>
  <c r="E1989" i="2"/>
  <c r="G1989" i="2" s="1"/>
  <c r="J1988" i="2"/>
  <c r="H1988" i="2"/>
  <c r="E1988" i="2"/>
  <c r="G1988" i="2" s="1"/>
  <c r="J1987" i="2"/>
  <c r="H1987" i="2"/>
  <c r="G1987" i="2"/>
  <c r="E1987" i="2"/>
  <c r="J1986" i="2"/>
  <c r="H1986" i="2"/>
  <c r="E1986" i="2"/>
  <c r="G1986" i="2" s="1"/>
  <c r="J1985" i="2"/>
  <c r="H1985" i="2"/>
  <c r="G1985" i="2"/>
  <c r="E1985" i="2"/>
  <c r="J1984" i="2"/>
  <c r="H1984" i="2"/>
  <c r="G1984" i="2"/>
  <c r="E1984" i="2"/>
  <c r="J1983" i="2"/>
  <c r="H1983" i="2"/>
  <c r="E1983" i="2"/>
  <c r="G1983" i="2" s="1"/>
  <c r="J1982" i="2"/>
  <c r="H1982" i="2"/>
  <c r="E1982" i="2"/>
  <c r="G1982" i="2" s="1"/>
  <c r="J1981" i="2"/>
  <c r="H1981" i="2"/>
  <c r="G1981" i="2"/>
  <c r="E1981" i="2"/>
  <c r="J1980" i="2"/>
  <c r="H1980" i="2"/>
  <c r="E1980" i="2"/>
  <c r="G1980" i="2" s="1"/>
  <c r="J1979" i="2"/>
  <c r="H1979" i="2"/>
  <c r="E1979" i="2"/>
  <c r="G1979" i="2" s="1"/>
  <c r="J1978" i="2"/>
  <c r="H1978" i="2"/>
  <c r="G1978" i="2"/>
  <c r="E1978" i="2"/>
  <c r="J1977" i="2"/>
  <c r="H1977" i="2"/>
  <c r="E1977" i="2"/>
  <c r="G1977" i="2" s="1"/>
  <c r="J1976" i="2"/>
  <c r="H1976" i="2"/>
  <c r="G1976" i="2"/>
  <c r="E1976" i="2"/>
  <c r="J1975" i="2"/>
  <c r="H1975" i="2"/>
  <c r="G1975" i="2"/>
  <c r="E1975" i="2"/>
  <c r="J1974" i="2"/>
  <c r="H1974" i="2"/>
  <c r="E1974" i="2"/>
  <c r="G1974" i="2" s="1"/>
  <c r="J1973" i="2"/>
  <c r="H1973" i="2"/>
  <c r="G1973" i="2"/>
  <c r="E1973" i="2"/>
  <c r="J1972" i="2"/>
  <c r="H1972" i="2"/>
  <c r="G1972" i="2"/>
  <c r="E1972" i="2"/>
  <c r="J1971" i="2"/>
  <c r="H1971" i="2"/>
  <c r="E1971" i="2"/>
  <c r="G1971" i="2" s="1"/>
  <c r="J1970" i="2"/>
  <c r="H1970" i="2"/>
  <c r="E1970" i="2"/>
  <c r="G1970" i="2" s="1"/>
  <c r="J1969" i="2"/>
  <c r="H1969" i="2"/>
  <c r="G1969" i="2"/>
  <c r="E1969" i="2"/>
  <c r="J1968" i="2"/>
  <c r="H1968" i="2"/>
  <c r="E1968" i="2"/>
  <c r="G1968" i="2" s="1"/>
  <c r="J1967" i="2"/>
  <c r="H1967" i="2"/>
  <c r="G1967" i="2"/>
  <c r="E1967" i="2"/>
  <c r="J1966" i="2"/>
  <c r="H1966" i="2"/>
  <c r="G1966" i="2"/>
  <c r="E1966" i="2"/>
  <c r="J1965" i="2"/>
  <c r="H1965" i="2"/>
  <c r="E1965" i="2"/>
  <c r="G1965" i="2" s="1"/>
  <c r="J1964" i="2"/>
  <c r="H1964" i="2"/>
  <c r="E1964" i="2"/>
  <c r="G1964" i="2" s="1"/>
  <c r="J1963" i="2"/>
  <c r="H1963" i="2"/>
  <c r="G1963" i="2"/>
  <c r="E1963" i="2"/>
  <c r="J1962" i="2"/>
  <c r="H1962" i="2"/>
  <c r="E1962" i="2"/>
  <c r="G1962" i="2" s="1"/>
  <c r="J1961" i="2"/>
  <c r="H1961" i="2"/>
  <c r="E1961" i="2"/>
  <c r="G1961" i="2" s="1"/>
  <c r="J1960" i="2"/>
  <c r="H1960" i="2"/>
  <c r="G1960" i="2"/>
  <c r="E1960" i="2"/>
  <c r="J1959" i="2"/>
  <c r="H1959" i="2"/>
  <c r="E1959" i="2"/>
  <c r="G1959" i="2" s="1"/>
  <c r="J1958" i="2"/>
  <c r="H1958" i="2"/>
  <c r="G1958" i="2"/>
  <c r="E1958" i="2"/>
  <c r="J1957" i="2"/>
  <c r="H1957" i="2"/>
  <c r="G1957" i="2"/>
  <c r="E1957" i="2"/>
  <c r="J1956" i="2"/>
  <c r="H1956" i="2"/>
  <c r="E1956" i="2"/>
  <c r="G1956" i="2" s="1"/>
  <c r="J1955" i="2"/>
  <c r="H1955" i="2"/>
  <c r="E1955" i="2"/>
  <c r="G1955" i="2" s="1"/>
  <c r="J1954" i="2"/>
  <c r="H1954" i="2"/>
  <c r="G1954" i="2"/>
  <c r="E1954" i="2"/>
  <c r="J1953" i="2"/>
  <c r="H1953" i="2"/>
  <c r="E1953" i="2"/>
  <c r="G1953" i="2" s="1"/>
  <c r="J1952" i="2"/>
  <c r="H1952" i="2"/>
  <c r="E1952" i="2"/>
  <c r="G1952" i="2" s="1"/>
  <c r="J1951" i="2"/>
  <c r="H1951" i="2"/>
  <c r="G1951" i="2"/>
  <c r="E1951" i="2"/>
  <c r="J1950" i="2"/>
  <c r="H1950" i="2"/>
  <c r="E1950" i="2"/>
  <c r="G1950" i="2" s="1"/>
  <c r="J1949" i="2"/>
  <c r="H1949" i="2"/>
  <c r="G1949" i="2"/>
  <c r="E1949" i="2"/>
  <c r="J1948" i="2"/>
  <c r="H1948" i="2"/>
  <c r="G1948" i="2"/>
  <c r="E1948" i="2"/>
  <c r="J1947" i="2"/>
  <c r="H1947" i="2"/>
  <c r="E1947" i="2"/>
  <c r="G1947" i="2" s="1"/>
  <c r="J1946" i="2"/>
  <c r="H1946" i="2"/>
  <c r="G1946" i="2"/>
  <c r="E1946" i="2"/>
  <c r="J1945" i="2"/>
  <c r="H1945" i="2"/>
  <c r="G1945" i="2"/>
  <c r="E1945" i="2"/>
  <c r="J1944" i="2"/>
  <c r="H1944" i="2"/>
  <c r="E1944" i="2"/>
  <c r="G1944" i="2" s="1"/>
  <c r="J1943" i="2"/>
  <c r="H1943" i="2"/>
  <c r="E1943" i="2"/>
  <c r="G1943" i="2" s="1"/>
  <c r="J1942" i="2"/>
  <c r="H1942" i="2"/>
  <c r="G1942" i="2"/>
  <c r="E1942" i="2"/>
  <c r="J1941" i="2"/>
  <c r="H1941" i="2"/>
  <c r="E1941" i="2"/>
  <c r="G1941" i="2" s="1"/>
  <c r="J1940" i="2"/>
  <c r="H1940" i="2"/>
  <c r="G1940" i="2"/>
  <c r="E1940" i="2"/>
  <c r="J1939" i="2"/>
  <c r="H1939" i="2"/>
  <c r="G1939" i="2"/>
  <c r="E1939" i="2"/>
  <c r="J1938" i="2"/>
  <c r="H1938" i="2"/>
  <c r="E1938" i="2"/>
  <c r="G1938" i="2" s="1"/>
  <c r="J1937" i="2"/>
  <c r="H1937" i="2"/>
  <c r="E1937" i="2"/>
  <c r="G1937" i="2" s="1"/>
  <c r="J1936" i="2"/>
  <c r="H1936" i="2"/>
  <c r="G1936" i="2"/>
  <c r="E1936" i="2"/>
  <c r="J1935" i="2"/>
  <c r="H1935" i="2"/>
  <c r="E1935" i="2"/>
  <c r="G1935" i="2" s="1"/>
  <c r="J1934" i="2"/>
  <c r="H1934" i="2"/>
  <c r="E1934" i="2"/>
  <c r="G1934" i="2" s="1"/>
  <c r="J1933" i="2"/>
  <c r="H1933" i="2"/>
  <c r="G1933" i="2"/>
  <c r="E1933" i="2"/>
  <c r="J1932" i="2"/>
  <c r="H1932" i="2"/>
  <c r="E1932" i="2"/>
  <c r="G1932" i="2" s="1"/>
  <c r="J1931" i="2"/>
  <c r="H1931" i="2"/>
  <c r="G1931" i="2"/>
  <c r="E1931" i="2"/>
  <c r="J1930" i="2"/>
  <c r="H1930" i="2"/>
  <c r="G1930" i="2"/>
  <c r="E1930" i="2"/>
  <c r="J1929" i="2"/>
  <c r="H1929" i="2"/>
  <c r="E1929" i="2"/>
  <c r="G1929" i="2" s="1"/>
  <c r="J1928" i="2"/>
  <c r="H1928" i="2"/>
  <c r="E1928" i="2"/>
  <c r="G1928" i="2" s="1"/>
  <c r="J1927" i="2"/>
  <c r="H1927" i="2"/>
  <c r="G1927" i="2"/>
  <c r="E1927" i="2"/>
  <c r="J1926" i="2"/>
  <c r="H1926" i="2"/>
  <c r="E1926" i="2"/>
  <c r="G1926" i="2" s="1"/>
  <c r="J1925" i="2"/>
  <c r="H1925" i="2"/>
  <c r="E1925" i="2"/>
  <c r="G1925" i="2" s="1"/>
  <c r="J1924" i="2"/>
  <c r="H1924" i="2"/>
  <c r="G1924" i="2"/>
  <c r="E1924" i="2"/>
  <c r="J1923" i="2"/>
  <c r="H1923" i="2"/>
  <c r="E1923" i="2"/>
  <c r="G1923" i="2" s="1"/>
  <c r="J1922" i="2"/>
  <c r="H1922" i="2"/>
  <c r="G1922" i="2"/>
  <c r="E1922" i="2"/>
  <c r="J1921" i="2"/>
  <c r="H1921" i="2"/>
  <c r="G1921" i="2"/>
  <c r="E1921" i="2"/>
  <c r="J1920" i="2"/>
  <c r="H1920" i="2"/>
  <c r="E1920" i="2"/>
  <c r="G1920" i="2" s="1"/>
  <c r="J1919" i="2"/>
  <c r="H1919" i="2"/>
  <c r="G1919" i="2"/>
  <c r="E1919" i="2"/>
  <c r="J1918" i="2"/>
  <c r="H1918" i="2"/>
  <c r="G1918" i="2"/>
  <c r="E1918" i="2"/>
  <c r="J1917" i="2"/>
  <c r="H1917" i="2"/>
  <c r="E1917" i="2"/>
  <c r="G1917" i="2" s="1"/>
  <c r="J1916" i="2"/>
  <c r="H1916" i="2"/>
  <c r="E1916" i="2"/>
  <c r="G1916" i="2" s="1"/>
  <c r="J1915" i="2"/>
  <c r="H1915" i="2"/>
  <c r="G1915" i="2"/>
  <c r="E1915" i="2"/>
  <c r="J1914" i="2"/>
  <c r="H1914" i="2"/>
  <c r="E1914" i="2"/>
  <c r="G1914" i="2" s="1"/>
  <c r="J1913" i="2"/>
  <c r="H1913" i="2"/>
  <c r="G1913" i="2"/>
  <c r="E1913" i="2"/>
  <c r="J1912" i="2"/>
  <c r="H1912" i="2"/>
  <c r="G1912" i="2"/>
  <c r="E1912" i="2"/>
  <c r="J1911" i="2"/>
  <c r="H1911" i="2"/>
  <c r="E1911" i="2"/>
  <c r="G1911" i="2" s="1"/>
  <c r="J1910" i="2"/>
  <c r="H1910" i="2"/>
  <c r="G1910" i="2"/>
  <c r="E1910" i="2"/>
  <c r="J1909" i="2"/>
  <c r="H1909" i="2"/>
  <c r="G1909" i="2"/>
  <c r="E1909" i="2"/>
  <c r="J1908" i="2"/>
  <c r="H1908" i="2"/>
  <c r="E1908" i="2"/>
  <c r="G1908" i="2" s="1"/>
  <c r="J1907" i="2"/>
  <c r="H1907" i="2"/>
  <c r="E1907" i="2"/>
  <c r="G1907" i="2" s="1"/>
  <c r="J1906" i="2"/>
  <c r="H1906" i="2"/>
  <c r="G1906" i="2"/>
  <c r="E1906" i="2"/>
  <c r="J1905" i="2"/>
  <c r="H1905" i="2"/>
  <c r="E1905" i="2"/>
  <c r="G1905" i="2" s="1"/>
  <c r="J1904" i="2"/>
  <c r="H1904" i="2"/>
  <c r="G1904" i="2"/>
  <c r="E1904" i="2"/>
  <c r="J1903" i="2"/>
  <c r="H1903" i="2"/>
  <c r="G1903" i="2"/>
  <c r="E1903" i="2"/>
  <c r="J1902" i="2"/>
  <c r="H1902" i="2"/>
  <c r="E1902" i="2"/>
  <c r="G1902" i="2" s="1"/>
  <c r="J1901" i="2"/>
  <c r="H1901" i="2"/>
  <c r="E1901" i="2"/>
  <c r="G1901" i="2" s="1"/>
  <c r="J1900" i="2"/>
  <c r="H1900" i="2"/>
  <c r="G1900" i="2"/>
  <c r="E1900" i="2"/>
  <c r="J1899" i="2"/>
  <c r="H1899" i="2"/>
  <c r="E1899" i="2"/>
  <c r="G1899" i="2" s="1"/>
  <c r="J1898" i="2"/>
  <c r="H1898" i="2"/>
  <c r="E1898" i="2"/>
  <c r="G1898" i="2" s="1"/>
  <c r="J1897" i="2"/>
  <c r="H1897" i="2"/>
  <c r="G1897" i="2"/>
  <c r="E1897" i="2"/>
  <c r="J1896" i="2"/>
  <c r="H1896" i="2"/>
  <c r="E1896" i="2"/>
  <c r="G1896" i="2" s="1"/>
  <c r="J1895" i="2"/>
  <c r="H1895" i="2"/>
  <c r="G1895" i="2"/>
  <c r="E1895" i="2"/>
  <c r="J1894" i="2"/>
  <c r="H1894" i="2"/>
  <c r="G1894" i="2"/>
  <c r="E1894" i="2"/>
  <c r="J1893" i="2"/>
  <c r="H1893" i="2"/>
  <c r="E1893" i="2"/>
  <c r="G1893" i="2" s="1"/>
  <c r="J1892" i="2"/>
  <c r="H1892" i="2"/>
  <c r="G1892" i="2"/>
  <c r="E1892" i="2"/>
  <c r="J1891" i="2"/>
  <c r="H1891" i="2"/>
  <c r="G1891" i="2"/>
  <c r="E1891" i="2"/>
  <c r="J1890" i="2"/>
  <c r="H1890" i="2"/>
  <c r="E1890" i="2"/>
  <c r="G1890" i="2" s="1"/>
  <c r="J1889" i="2"/>
  <c r="H1889" i="2"/>
  <c r="E1889" i="2"/>
  <c r="G1889" i="2" s="1"/>
  <c r="J1888" i="2"/>
  <c r="H1888" i="2"/>
  <c r="G1888" i="2"/>
  <c r="E1888" i="2"/>
  <c r="J1887" i="2"/>
  <c r="H1887" i="2"/>
  <c r="E1887" i="2"/>
  <c r="G1887" i="2" s="1"/>
  <c r="J1886" i="2"/>
  <c r="H1886" i="2"/>
  <c r="G1886" i="2"/>
  <c r="E1886" i="2"/>
  <c r="J1885" i="2"/>
  <c r="H1885" i="2"/>
  <c r="G1885" i="2"/>
  <c r="E1885" i="2"/>
  <c r="J1884" i="2"/>
  <c r="H1884" i="2"/>
  <c r="E1884" i="2"/>
  <c r="G1884" i="2" s="1"/>
  <c r="J1883" i="2"/>
  <c r="H1883" i="2"/>
  <c r="E1883" i="2"/>
  <c r="G1883" i="2" s="1"/>
  <c r="J1882" i="2"/>
  <c r="H1882" i="2"/>
  <c r="G1882" i="2"/>
  <c r="E1882" i="2"/>
  <c r="J1881" i="2"/>
  <c r="H1881" i="2"/>
  <c r="E1881" i="2"/>
  <c r="G1881" i="2" s="1"/>
  <c r="J1880" i="2"/>
  <c r="H1880" i="2"/>
  <c r="E1880" i="2"/>
  <c r="G1880" i="2" s="1"/>
  <c r="J1879" i="2"/>
  <c r="H1879" i="2"/>
  <c r="G1879" i="2"/>
  <c r="E1879" i="2"/>
  <c r="J1878" i="2"/>
  <c r="H1878" i="2"/>
  <c r="E1878" i="2"/>
  <c r="G1878" i="2" s="1"/>
  <c r="J1877" i="2"/>
  <c r="H1877" i="2"/>
  <c r="G1877" i="2"/>
  <c r="E1877" i="2"/>
  <c r="J1876" i="2"/>
  <c r="H1876" i="2"/>
  <c r="G1876" i="2"/>
  <c r="E1876" i="2"/>
  <c r="J1875" i="2"/>
  <c r="H1875" i="2"/>
  <c r="E1875" i="2"/>
  <c r="G1875" i="2" s="1"/>
  <c r="J1874" i="2"/>
  <c r="H1874" i="2"/>
  <c r="E1874" i="2"/>
  <c r="G1874" i="2" s="1"/>
  <c r="J1873" i="2"/>
  <c r="H1873" i="2"/>
  <c r="G1873" i="2"/>
  <c r="E1873" i="2"/>
  <c r="J1872" i="2"/>
  <c r="H1872" i="2"/>
  <c r="E1872" i="2"/>
  <c r="G1872" i="2" s="1"/>
  <c r="J1871" i="2"/>
  <c r="H1871" i="2"/>
  <c r="E1871" i="2"/>
  <c r="G1871" i="2" s="1"/>
  <c r="J1870" i="2"/>
  <c r="H1870" i="2"/>
  <c r="G1870" i="2"/>
  <c r="E1870" i="2"/>
  <c r="J1869" i="2"/>
  <c r="H1869" i="2"/>
  <c r="E1869" i="2"/>
  <c r="G1869" i="2" s="1"/>
  <c r="J1868" i="2"/>
  <c r="H1868" i="2"/>
  <c r="G1868" i="2"/>
  <c r="E1868" i="2"/>
  <c r="J1867" i="2"/>
  <c r="H1867" i="2"/>
  <c r="G1867" i="2"/>
  <c r="E1867" i="2"/>
  <c r="J1866" i="2"/>
  <c r="H1866" i="2"/>
  <c r="E1866" i="2"/>
  <c r="G1866" i="2" s="1"/>
  <c r="J1865" i="2"/>
  <c r="H1865" i="2"/>
  <c r="G1865" i="2"/>
  <c r="E1865" i="2"/>
  <c r="J1864" i="2"/>
  <c r="H1864" i="2"/>
  <c r="G1864" i="2"/>
  <c r="E1864" i="2"/>
  <c r="J1863" i="2"/>
  <c r="H1863" i="2"/>
  <c r="E1863" i="2"/>
  <c r="G1863" i="2" s="1"/>
  <c r="J1862" i="2"/>
  <c r="H1862" i="2"/>
  <c r="E1862" i="2"/>
  <c r="G1862" i="2" s="1"/>
  <c r="J1861" i="2"/>
  <c r="H1861" i="2"/>
  <c r="G1861" i="2"/>
  <c r="E1861" i="2"/>
  <c r="J1860" i="2"/>
  <c r="H1860" i="2"/>
  <c r="E1860" i="2"/>
  <c r="G1860" i="2" s="1"/>
  <c r="J1859" i="2"/>
  <c r="H1859" i="2"/>
  <c r="G1859" i="2"/>
  <c r="E1859" i="2"/>
  <c r="J1858" i="2"/>
  <c r="H1858" i="2"/>
  <c r="G1858" i="2"/>
  <c r="E1858" i="2"/>
  <c r="J1857" i="2"/>
  <c r="H1857" i="2"/>
  <c r="E1857" i="2"/>
  <c r="G1857" i="2" s="1"/>
  <c r="J1856" i="2"/>
  <c r="H1856" i="2"/>
  <c r="E1856" i="2"/>
  <c r="G1856" i="2" s="1"/>
  <c r="J1855" i="2"/>
  <c r="H1855" i="2"/>
  <c r="G1855" i="2"/>
  <c r="E1855" i="2"/>
  <c r="J1854" i="2"/>
  <c r="H1854" i="2"/>
  <c r="E1854" i="2"/>
  <c r="G1854" i="2" s="1"/>
  <c r="J1853" i="2"/>
  <c r="H1853" i="2"/>
  <c r="E1853" i="2"/>
  <c r="G1853" i="2" s="1"/>
  <c r="J1852" i="2"/>
  <c r="H1852" i="2"/>
  <c r="G1852" i="2"/>
  <c r="E1852" i="2"/>
  <c r="J1851" i="2"/>
  <c r="H1851" i="2"/>
  <c r="E1851" i="2"/>
  <c r="G1851" i="2" s="1"/>
  <c r="J1850" i="2"/>
  <c r="H1850" i="2"/>
  <c r="G1850" i="2"/>
  <c r="E1850" i="2"/>
  <c r="J1849" i="2"/>
  <c r="H1849" i="2"/>
  <c r="G1849" i="2"/>
  <c r="E1849" i="2"/>
  <c r="J1848" i="2"/>
  <c r="H1848" i="2"/>
  <c r="E1848" i="2"/>
  <c r="G1848" i="2" s="1"/>
  <c r="J1847" i="2"/>
  <c r="H1847" i="2"/>
  <c r="E1847" i="2"/>
  <c r="G1847" i="2" s="1"/>
  <c r="J1846" i="2"/>
  <c r="H1846" i="2"/>
  <c r="G1846" i="2"/>
  <c r="E1846" i="2"/>
  <c r="J1845" i="2"/>
  <c r="H1845" i="2"/>
  <c r="E1845" i="2"/>
  <c r="G1845" i="2" s="1"/>
  <c r="J1844" i="2"/>
  <c r="H1844" i="2"/>
  <c r="E1844" i="2"/>
  <c r="G1844" i="2" s="1"/>
  <c r="J1843" i="2"/>
  <c r="H1843" i="2"/>
  <c r="G1843" i="2"/>
  <c r="E1843" i="2"/>
  <c r="J1842" i="2"/>
  <c r="H1842" i="2"/>
  <c r="E1842" i="2"/>
  <c r="G1842" i="2" s="1"/>
  <c r="J1841" i="2"/>
  <c r="H1841" i="2"/>
  <c r="G1841" i="2"/>
  <c r="E1841" i="2"/>
  <c r="J1840" i="2"/>
  <c r="H1840" i="2"/>
  <c r="G1840" i="2"/>
  <c r="E1840" i="2"/>
  <c r="J1839" i="2"/>
  <c r="H1839" i="2"/>
  <c r="E1839" i="2"/>
  <c r="G1839" i="2" s="1"/>
  <c r="J1838" i="2"/>
  <c r="H1838" i="2"/>
  <c r="G1838" i="2"/>
  <c r="E1838" i="2"/>
  <c r="J1837" i="2"/>
  <c r="H1837" i="2"/>
  <c r="G1837" i="2"/>
  <c r="E1837" i="2"/>
  <c r="J1836" i="2"/>
  <c r="H1836" i="2"/>
  <c r="E1836" i="2"/>
  <c r="G1836" i="2" s="1"/>
  <c r="J1835" i="2"/>
  <c r="H1835" i="2"/>
  <c r="E1835" i="2"/>
  <c r="G1835" i="2" s="1"/>
  <c r="J1834" i="2"/>
  <c r="H1834" i="2"/>
  <c r="G1834" i="2"/>
  <c r="E1834" i="2"/>
  <c r="J1833" i="2"/>
  <c r="H1833" i="2"/>
  <c r="E1833" i="2"/>
  <c r="G1833" i="2" s="1"/>
  <c r="J1832" i="2"/>
  <c r="H1832" i="2"/>
  <c r="G1832" i="2"/>
  <c r="E1832" i="2"/>
  <c r="J1831" i="2"/>
  <c r="H1831" i="2"/>
  <c r="G1831" i="2"/>
  <c r="E1831" i="2"/>
  <c r="J1830" i="2"/>
  <c r="H1830" i="2"/>
  <c r="E1830" i="2"/>
  <c r="G1830" i="2" s="1"/>
  <c r="J1829" i="2"/>
  <c r="H1829" i="2"/>
  <c r="G1829" i="2"/>
  <c r="E1829" i="2"/>
  <c r="J1828" i="2"/>
  <c r="H1828" i="2"/>
  <c r="G1828" i="2"/>
  <c r="E1828" i="2"/>
  <c r="J1827" i="2"/>
  <c r="H1827" i="2"/>
  <c r="E1827" i="2"/>
  <c r="G1827" i="2" s="1"/>
  <c r="J1826" i="2"/>
  <c r="H1826" i="2"/>
  <c r="E1826" i="2"/>
  <c r="G1826" i="2" s="1"/>
  <c r="J1825" i="2"/>
  <c r="H1825" i="2"/>
  <c r="G1825" i="2"/>
  <c r="E1825" i="2"/>
  <c r="J1824" i="2"/>
  <c r="H1824" i="2"/>
  <c r="E1824" i="2"/>
  <c r="G1824" i="2" s="1"/>
  <c r="J1823" i="2"/>
  <c r="H1823" i="2"/>
  <c r="G1823" i="2"/>
  <c r="E1823" i="2"/>
  <c r="J1822" i="2"/>
  <c r="H1822" i="2"/>
  <c r="G1822" i="2"/>
  <c r="E1822" i="2"/>
  <c r="J1821" i="2"/>
  <c r="H1821" i="2"/>
  <c r="E1821" i="2"/>
  <c r="G1821" i="2" s="1"/>
  <c r="J1820" i="2"/>
  <c r="H1820" i="2"/>
  <c r="E1820" i="2"/>
  <c r="G1820" i="2" s="1"/>
  <c r="J1819" i="2"/>
  <c r="H1819" i="2"/>
  <c r="G1819" i="2"/>
  <c r="E1819" i="2"/>
  <c r="J1818" i="2"/>
  <c r="H1818" i="2"/>
  <c r="E1818" i="2"/>
  <c r="G1818" i="2" s="1"/>
  <c r="J1817" i="2"/>
  <c r="H1817" i="2"/>
  <c r="E1817" i="2"/>
  <c r="G1817" i="2" s="1"/>
  <c r="J1816" i="2"/>
  <c r="H1816" i="2"/>
  <c r="G1816" i="2"/>
  <c r="E1816" i="2"/>
  <c r="J1815" i="2"/>
  <c r="H1815" i="2"/>
  <c r="E1815" i="2"/>
  <c r="G1815" i="2" s="1"/>
  <c r="J1814" i="2"/>
  <c r="H1814" i="2"/>
  <c r="G1814" i="2"/>
  <c r="E1814" i="2"/>
  <c r="J1813" i="2"/>
  <c r="H1813" i="2"/>
  <c r="G1813" i="2"/>
  <c r="E1813" i="2"/>
  <c r="J1812" i="2"/>
  <c r="H1812" i="2"/>
  <c r="E1812" i="2"/>
  <c r="G1812" i="2" s="1"/>
  <c r="J1811" i="2"/>
  <c r="H1811" i="2"/>
  <c r="G1811" i="2"/>
  <c r="E1811" i="2"/>
  <c r="J1810" i="2"/>
  <c r="H1810" i="2"/>
  <c r="G1810" i="2"/>
  <c r="E1810" i="2"/>
  <c r="J1809" i="2"/>
  <c r="H1809" i="2"/>
  <c r="E1809" i="2"/>
  <c r="G1809" i="2" s="1"/>
  <c r="J1808" i="2"/>
  <c r="H1808" i="2"/>
  <c r="E1808" i="2"/>
  <c r="G1808" i="2" s="1"/>
  <c r="J1807" i="2"/>
  <c r="H1807" i="2"/>
  <c r="G1807" i="2"/>
  <c r="E1807" i="2"/>
  <c r="J1806" i="2"/>
  <c r="H1806" i="2"/>
  <c r="E1806" i="2"/>
  <c r="G1806" i="2" s="1"/>
  <c r="J1805" i="2"/>
  <c r="H1805" i="2"/>
  <c r="G1805" i="2"/>
  <c r="E1805" i="2"/>
  <c r="J1804" i="2"/>
  <c r="H1804" i="2"/>
  <c r="G1804" i="2"/>
  <c r="E1804" i="2"/>
  <c r="J1803" i="2"/>
  <c r="H1803" i="2"/>
  <c r="E1803" i="2"/>
  <c r="G1803" i="2" s="1"/>
  <c r="J1802" i="2"/>
  <c r="H1802" i="2"/>
  <c r="E1802" i="2"/>
  <c r="G1802" i="2" s="1"/>
  <c r="J1801" i="2"/>
  <c r="H1801" i="2"/>
  <c r="G1801" i="2"/>
  <c r="E1801" i="2"/>
  <c r="J1800" i="2"/>
  <c r="H1800" i="2"/>
  <c r="E1800" i="2"/>
  <c r="G1800" i="2" s="1"/>
  <c r="J1799" i="2"/>
  <c r="H1799" i="2"/>
  <c r="E1799" i="2"/>
  <c r="G1799" i="2" s="1"/>
  <c r="J1798" i="2"/>
  <c r="H1798" i="2"/>
  <c r="G1798" i="2"/>
  <c r="E1798" i="2"/>
  <c r="J1797" i="2"/>
  <c r="H1797" i="2"/>
  <c r="E1797" i="2"/>
  <c r="G1797" i="2" s="1"/>
  <c r="J1796" i="2"/>
  <c r="H1796" i="2"/>
  <c r="G1796" i="2"/>
  <c r="E1796" i="2"/>
  <c r="J1795" i="2"/>
  <c r="H1795" i="2"/>
  <c r="G1795" i="2"/>
  <c r="E1795" i="2"/>
  <c r="J1794" i="2"/>
  <c r="H1794" i="2"/>
  <c r="E1794" i="2"/>
  <c r="G1794" i="2" s="1"/>
  <c r="J1793" i="2"/>
  <c r="H1793" i="2"/>
  <c r="E1793" i="2"/>
  <c r="G1793" i="2" s="1"/>
  <c r="J1792" i="2"/>
  <c r="H1792" i="2"/>
  <c r="G1792" i="2"/>
  <c r="E1792" i="2"/>
  <c r="J1791" i="2"/>
  <c r="H1791" i="2"/>
  <c r="E1791" i="2"/>
  <c r="G1791" i="2" s="1"/>
  <c r="J1790" i="2"/>
  <c r="H1790" i="2"/>
  <c r="E1790" i="2"/>
  <c r="G1790" i="2" s="1"/>
  <c r="J1789" i="2"/>
  <c r="H1789" i="2"/>
  <c r="G1789" i="2"/>
  <c r="E1789" i="2"/>
  <c r="J1788" i="2"/>
  <c r="H1788" i="2"/>
  <c r="E1788" i="2"/>
  <c r="G1788" i="2" s="1"/>
  <c r="J1787" i="2"/>
  <c r="H1787" i="2"/>
  <c r="G1787" i="2"/>
  <c r="E1787" i="2"/>
  <c r="J1786" i="2"/>
  <c r="H1786" i="2"/>
  <c r="G1786" i="2"/>
  <c r="E1786" i="2"/>
  <c r="J1785" i="2"/>
  <c r="H1785" i="2"/>
  <c r="E1785" i="2"/>
  <c r="G1785" i="2" s="1"/>
  <c r="J1784" i="2"/>
  <c r="H1784" i="2"/>
  <c r="G1784" i="2"/>
  <c r="E1784" i="2"/>
  <c r="J1783" i="2"/>
  <c r="H1783" i="2"/>
  <c r="G1783" i="2"/>
  <c r="E1783" i="2"/>
  <c r="J1782" i="2"/>
  <c r="H1782" i="2"/>
  <c r="E1782" i="2"/>
  <c r="G1782" i="2" s="1"/>
  <c r="J1781" i="2"/>
  <c r="H1781" i="2"/>
  <c r="E1781" i="2"/>
  <c r="G1781" i="2" s="1"/>
  <c r="J1780" i="2"/>
  <c r="H1780" i="2"/>
  <c r="G1780" i="2"/>
  <c r="E1780" i="2"/>
  <c r="J1779" i="2"/>
  <c r="H1779" i="2"/>
  <c r="E1779" i="2"/>
  <c r="G1779" i="2" s="1"/>
  <c r="J1778" i="2"/>
  <c r="H1778" i="2"/>
  <c r="G1778" i="2"/>
  <c r="E1778" i="2"/>
  <c r="J1777" i="2"/>
  <c r="H1777" i="2"/>
  <c r="G1777" i="2"/>
  <c r="E1777" i="2"/>
  <c r="J1776" i="2"/>
  <c r="H1776" i="2"/>
  <c r="E1776" i="2"/>
  <c r="G1776" i="2" s="1"/>
  <c r="J1775" i="2"/>
  <c r="H1775" i="2"/>
  <c r="E1775" i="2"/>
  <c r="G1775" i="2" s="1"/>
  <c r="J1774" i="2"/>
  <c r="H1774" i="2"/>
  <c r="G1774" i="2"/>
  <c r="E1774" i="2"/>
  <c r="J1773" i="2"/>
  <c r="H1773" i="2"/>
  <c r="E1773" i="2"/>
  <c r="G1773" i="2" s="1"/>
  <c r="J1772" i="2"/>
  <c r="H1772" i="2"/>
  <c r="E1772" i="2"/>
  <c r="G1772" i="2" s="1"/>
  <c r="J1771" i="2"/>
  <c r="H1771" i="2"/>
  <c r="G1771" i="2"/>
  <c r="E1771" i="2"/>
  <c r="J1770" i="2"/>
  <c r="H1770" i="2"/>
  <c r="E1770" i="2"/>
  <c r="G1770" i="2" s="1"/>
  <c r="J1769" i="2"/>
  <c r="H1769" i="2"/>
  <c r="G1769" i="2"/>
  <c r="E1769" i="2"/>
  <c r="J1768" i="2"/>
  <c r="H1768" i="2"/>
  <c r="G1768" i="2"/>
  <c r="E1768" i="2"/>
  <c r="J1767" i="2"/>
  <c r="H1767" i="2"/>
  <c r="E1767" i="2"/>
  <c r="G1767" i="2" s="1"/>
  <c r="J1766" i="2"/>
  <c r="H1766" i="2"/>
  <c r="E1766" i="2"/>
  <c r="G1766" i="2" s="1"/>
  <c r="J1765" i="2"/>
  <c r="H1765" i="2"/>
  <c r="G1765" i="2"/>
  <c r="E1765" i="2"/>
  <c r="J1764" i="2"/>
  <c r="H1764" i="2"/>
  <c r="E1764" i="2"/>
  <c r="G1764" i="2" s="1"/>
  <c r="J1763" i="2"/>
  <c r="H1763" i="2"/>
  <c r="E1763" i="2"/>
  <c r="G1763" i="2" s="1"/>
  <c r="J1762" i="2"/>
  <c r="H1762" i="2"/>
  <c r="G1762" i="2"/>
  <c r="E1762" i="2"/>
  <c r="J1761" i="2"/>
  <c r="H1761" i="2"/>
  <c r="E1761" i="2"/>
  <c r="G1761" i="2" s="1"/>
  <c r="J1760" i="2"/>
  <c r="H1760" i="2"/>
  <c r="G1760" i="2"/>
  <c r="E1760" i="2"/>
  <c r="J1759" i="2"/>
  <c r="H1759" i="2"/>
  <c r="G1759" i="2"/>
  <c r="E1759" i="2"/>
  <c r="J1758" i="2"/>
  <c r="H1758" i="2"/>
  <c r="E1758" i="2"/>
  <c r="G1758" i="2" s="1"/>
  <c r="J1757" i="2"/>
  <c r="H1757" i="2"/>
  <c r="G1757" i="2"/>
  <c r="E1757" i="2"/>
  <c r="J1756" i="2"/>
  <c r="H1756" i="2"/>
  <c r="G1756" i="2"/>
  <c r="E1756" i="2"/>
  <c r="J1755" i="2"/>
  <c r="H1755" i="2"/>
  <c r="E1755" i="2"/>
  <c r="G1755" i="2" s="1"/>
  <c r="J1754" i="2"/>
  <c r="H1754" i="2"/>
  <c r="E1754" i="2"/>
  <c r="G1754" i="2" s="1"/>
  <c r="J1753" i="2"/>
  <c r="H1753" i="2"/>
  <c r="G1753" i="2"/>
  <c r="E1753" i="2"/>
  <c r="J1752" i="2"/>
  <c r="H1752" i="2"/>
  <c r="E1752" i="2"/>
  <c r="G1752" i="2" s="1"/>
  <c r="J1751" i="2"/>
  <c r="H1751" i="2"/>
  <c r="G1751" i="2"/>
  <c r="E1751" i="2"/>
  <c r="J1750" i="2"/>
  <c r="H1750" i="2"/>
  <c r="G1750" i="2"/>
  <c r="E1750" i="2"/>
  <c r="J1749" i="2"/>
  <c r="H1749" i="2"/>
  <c r="E1749" i="2"/>
  <c r="G1749" i="2" s="1"/>
  <c r="J1748" i="2"/>
  <c r="H1748" i="2"/>
  <c r="E1748" i="2"/>
  <c r="G1748" i="2" s="1"/>
  <c r="J1747" i="2"/>
  <c r="H1747" i="2"/>
  <c r="G1747" i="2"/>
  <c r="E1747" i="2"/>
  <c r="J1746" i="2"/>
  <c r="H1746" i="2"/>
  <c r="E1746" i="2"/>
  <c r="G1746" i="2" s="1"/>
  <c r="J1745" i="2"/>
  <c r="H1745" i="2"/>
  <c r="E1745" i="2"/>
  <c r="G1745" i="2" s="1"/>
  <c r="J1744" i="2"/>
  <c r="H1744" i="2"/>
  <c r="G1744" i="2"/>
  <c r="E1744" i="2"/>
  <c r="J1743" i="2"/>
  <c r="H1743" i="2"/>
  <c r="E1743" i="2"/>
  <c r="G1743" i="2" s="1"/>
  <c r="J1742" i="2"/>
  <c r="H1742" i="2"/>
  <c r="G1742" i="2"/>
  <c r="E1742" i="2"/>
  <c r="J1741" i="2"/>
  <c r="H1741" i="2"/>
  <c r="G1741" i="2"/>
  <c r="E1741" i="2"/>
  <c r="J1740" i="2"/>
  <c r="H1740" i="2"/>
  <c r="E1740" i="2"/>
  <c r="G1740" i="2" s="1"/>
  <c r="J1739" i="2"/>
  <c r="H1739" i="2"/>
  <c r="E1739" i="2"/>
  <c r="G1739" i="2" s="1"/>
  <c r="J1738" i="2"/>
  <c r="H1738" i="2"/>
  <c r="G1738" i="2"/>
  <c r="E1738" i="2"/>
  <c r="J1737" i="2"/>
  <c r="H1737" i="2"/>
  <c r="E1737" i="2"/>
  <c r="G1737" i="2" s="1"/>
  <c r="J1736" i="2"/>
  <c r="H1736" i="2"/>
  <c r="E1736" i="2"/>
  <c r="G1736" i="2" s="1"/>
  <c r="J1735" i="2"/>
  <c r="H1735" i="2"/>
  <c r="G1735" i="2"/>
  <c r="E1735" i="2"/>
  <c r="J1734" i="2"/>
  <c r="H1734" i="2"/>
  <c r="E1734" i="2"/>
  <c r="G1734" i="2" s="1"/>
  <c r="J1733" i="2"/>
  <c r="H1733" i="2"/>
  <c r="G1733" i="2"/>
  <c r="E1733" i="2"/>
  <c r="J1732" i="2"/>
  <c r="H1732" i="2"/>
  <c r="G1732" i="2"/>
  <c r="E1732" i="2"/>
  <c r="J1731" i="2"/>
  <c r="H1731" i="2"/>
  <c r="E1731" i="2"/>
  <c r="G1731" i="2" s="1"/>
  <c r="J1730" i="2"/>
  <c r="H1730" i="2"/>
  <c r="G1730" i="2"/>
  <c r="E1730" i="2"/>
  <c r="J1729" i="2"/>
  <c r="H1729" i="2"/>
  <c r="G1729" i="2"/>
  <c r="E1729" i="2"/>
  <c r="J1728" i="2"/>
  <c r="H1728" i="2"/>
  <c r="E1728" i="2"/>
  <c r="G1728" i="2" s="1"/>
  <c r="J1727" i="2"/>
  <c r="H1727" i="2"/>
  <c r="E1727" i="2"/>
  <c r="G1727" i="2" s="1"/>
  <c r="J1726" i="2"/>
  <c r="H1726" i="2"/>
  <c r="G1726" i="2"/>
  <c r="E1726" i="2"/>
  <c r="J1725" i="2"/>
  <c r="H1725" i="2"/>
  <c r="E1725" i="2"/>
  <c r="G1725" i="2" s="1"/>
  <c r="J1724" i="2"/>
  <c r="H1724" i="2"/>
  <c r="G1724" i="2"/>
  <c r="E1724" i="2"/>
  <c r="J1723" i="2"/>
  <c r="H1723" i="2"/>
  <c r="G1723" i="2"/>
  <c r="E1723" i="2"/>
  <c r="J1722" i="2"/>
  <c r="H1722" i="2"/>
  <c r="E1722" i="2"/>
  <c r="G1722" i="2" s="1"/>
  <c r="J1721" i="2"/>
  <c r="H1721" i="2"/>
  <c r="G1721" i="2"/>
  <c r="E1721" i="2"/>
  <c r="J1720" i="2"/>
  <c r="H1720" i="2"/>
  <c r="G1720" i="2"/>
  <c r="E1720" i="2"/>
  <c r="J1719" i="2"/>
  <c r="H1719" i="2"/>
  <c r="E1719" i="2"/>
  <c r="G1719" i="2" s="1"/>
  <c r="J1718" i="2"/>
  <c r="H1718" i="2"/>
  <c r="E1718" i="2"/>
  <c r="G1718" i="2" s="1"/>
  <c r="J1717" i="2"/>
  <c r="H1717" i="2"/>
  <c r="G1717" i="2"/>
  <c r="E1717" i="2"/>
  <c r="J1716" i="2"/>
  <c r="H1716" i="2"/>
  <c r="E1716" i="2"/>
  <c r="G1716" i="2" s="1"/>
  <c r="J1715" i="2"/>
  <c r="H1715" i="2"/>
  <c r="G1715" i="2"/>
  <c r="E1715" i="2"/>
  <c r="J1714" i="2"/>
  <c r="H1714" i="2"/>
  <c r="G1714" i="2"/>
  <c r="E1714" i="2"/>
  <c r="J1713" i="2"/>
  <c r="H1713" i="2"/>
  <c r="E1713" i="2"/>
  <c r="G1713" i="2" s="1"/>
  <c r="J1712" i="2"/>
  <c r="H1712" i="2"/>
  <c r="E1712" i="2"/>
  <c r="G1712" i="2" s="1"/>
  <c r="J1711" i="2"/>
  <c r="H1711" i="2"/>
  <c r="G1711" i="2"/>
  <c r="E1711" i="2"/>
  <c r="J1710" i="2"/>
  <c r="H1710" i="2"/>
  <c r="E1710" i="2"/>
  <c r="G1710" i="2" s="1"/>
  <c r="J1709" i="2"/>
  <c r="H1709" i="2"/>
  <c r="E1709" i="2"/>
  <c r="G1709" i="2" s="1"/>
  <c r="J1708" i="2"/>
  <c r="H1708" i="2"/>
  <c r="G1708" i="2"/>
  <c r="E1708" i="2"/>
  <c r="J1707" i="2"/>
  <c r="H1707" i="2"/>
  <c r="E1707" i="2"/>
  <c r="G1707" i="2" s="1"/>
  <c r="J1706" i="2"/>
  <c r="H1706" i="2"/>
  <c r="G1706" i="2"/>
  <c r="E1706" i="2"/>
  <c r="J1705" i="2"/>
  <c r="H1705" i="2"/>
  <c r="G1705" i="2"/>
  <c r="E1705" i="2"/>
  <c r="J1704" i="2"/>
  <c r="H1704" i="2"/>
  <c r="E1704" i="2"/>
  <c r="G1704" i="2" s="1"/>
  <c r="J1703" i="2"/>
  <c r="H1703" i="2"/>
  <c r="G1703" i="2"/>
  <c r="E1703" i="2"/>
  <c r="J1702" i="2"/>
  <c r="H1702" i="2"/>
  <c r="G1702" i="2"/>
  <c r="E1702" i="2"/>
  <c r="J1701" i="2"/>
  <c r="H1701" i="2"/>
  <c r="E1701" i="2"/>
  <c r="G1701" i="2" s="1"/>
  <c r="J1700" i="2"/>
  <c r="H1700" i="2"/>
  <c r="E1700" i="2"/>
  <c r="G1700" i="2" s="1"/>
  <c r="J1699" i="2"/>
  <c r="H1699" i="2"/>
  <c r="G1699" i="2"/>
  <c r="E1699" i="2"/>
  <c r="J1698" i="2"/>
  <c r="H1698" i="2"/>
  <c r="E1698" i="2"/>
  <c r="G1698" i="2" s="1"/>
  <c r="J1697" i="2"/>
  <c r="H1697" i="2"/>
  <c r="G1697" i="2"/>
  <c r="E1697" i="2"/>
  <c r="J1696" i="2"/>
  <c r="H1696" i="2"/>
  <c r="G1696" i="2"/>
  <c r="E1696" i="2"/>
  <c r="J1695" i="2"/>
  <c r="H1695" i="2"/>
  <c r="E1695" i="2"/>
  <c r="G1695" i="2" s="1"/>
  <c r="J1694" i="2"/>
  <c r="H1694" i="2"/>
  <c r="E1694" i="2"/>
  <c r="G1694" i="2" s="1"/>
  <c r="J1693" i="2"/>
  <c r="H1693" i="2"/>
  <c r="G1693" i="2"/>
  <c r="E1693" i="2"/>
  <c r="J1692" i="2"/>
  <c r="H1692" i="2"/>
  <c r="E1692" i="2"/>
  <c r="G1692" i="2" s="1"/>
  <c r="J1691" i="2"/>
  <c r="H1691" i="2"/>
  <c r="E1691" i="2"/>
  <c r="G1691" i="2" s="1"/>
  <c r="J1690" i="2"/>
  <c r="H1690" i="2"/>
  <c r="G1690" i="2"/>
  <c r="E1690" i="2"/>
  <c r="J1689" i="2"/>
  <c r="H1689" i="2"/>
  <c r="E1689" i="2"/>
  <c r="G1689" i="2" s="1"/>
  <c r="J1688" i="2"/>
  <c r="H1688" i="2"/>
  <c r="G1688" i="2"/>
  <c r="E1688" i="2"/>
  <c r="J1687" i="2"/>
  <c r="H1687" i="2"/>
  <c r="G1687" i="2"/>
  <c r="E1687" i="2"/>
  <c r="J1686" i="2"/>
  <c r="H1686" i="2"/>
  <c r="E1686" i="2"/>
  <c r="G1686" i="2" s="1"/>
  <c r="J1685" i="2"/>
  <c r="H1685" i="2"/>
  <c r="E1685" i="2"/>
  <c r="G1685" i="2" s="1"/>
  <c r="J1684" i="2"/>
  <c r="H1684" i="2"/>
  <c r="G1684" i="2"/>
  <c r="E1684" i="2"/>
  <c r="J1683" i="2"/>
  <c r="H1683" i="2"/>
  <c r="E1683" i="2"/>
  <c r="G1683" i="2" s="1"/>
  <c r="J1682" i="2"/>
  <c r="H1682" i="2"/>
  <c r="E1682" i="2"/>
  <c r="G1682" i="2" s="1"/>
  <c r="J1681" i="2"/>
  <c r="H1681" i="2"/>
  <c r="G1681" i="2"/>
  <c r="E1681" i="2"/>
  <c r="J1680" i="2"/>
  <c r="H1680" i="2"/>
  <c r="E1680" i="2"/>
  <c r="G1680" i="2" s="1"/>
  <c r="J1679" i="2"/>
  <c r="H1679" i="2"/>
  <c r="G1679" i="2"/>
  <c r="E1679" i="2"/>
  <c r="J1678" i="2"/>
  <c r="H1678" i="2"/>
  <c r="E1678" i="2"/>
  <c r="G1678" i="2" s="1"/>
  <c r="J1677" i="2"/>
  <c r="H1677" i="2"/>
  <c r="E1677" i="2"/>
  <c r="G1677" i="2" s="1"/>
  <c r="J1676" i="2"/>
  <c r="H1676" i="2"/>
  <c r="E1676" i="2"/>
  <c r="G1676" i="2" s="1"/>
  <c r="J1675" i="2"/>
  <c r="H1675" i="2"/>
  <c r="G1675" i="2"/>
  <c r="E1675" i="2"/>
  <c r="J1674" i="2"/>
  <c r="H1674" i="2"/>
  <c r="E1674" i="2"/>
  <c r="G1674" i="2" s="1"/>
  <c r="J1673" i="2"/>
  <c r="H1673" i="2"/>
  <c r="E1673" i="2"/>
  <c r="G1673" i="2" s="1"/>
  <c r="J1672" i="2"/>
  <c r="H1672" i="2"/>
  <c r="E1672" i="2"/>
  <c r="G1672" i="2" s="1"/>
  <c r="J1671" i="2"/>
  <c r="H1671" i="2"/>
  <c r="E1671" i="2"/>
  <c r="G1671" i="2" s="1"/>
  <c r="J1670" i="2"/>
  <c r="H1670" i="2"/>
  <c r="G1670" i="2"/>
  <c r="E1670" i="2"/>
  <c r="J1669" i="2"/>
  <c r="H1669" i="2"/>
  <c r="E1669" i="2"/>
  <c r="G1669" i="2" s="1"/>
  <c r="J1668" i="2"/>
  <c r="H1668" i="2"/>
  <c r="E1668" i="2"/>
  <c r="G1668" i="2" s="1"/>
  <c r="J1667" i="2"/>
  <c r="H1667" i="2"/>
  <c r="G1667" i="2"/>
  <c r="E1667" i="2"/>
  <c r="J1666" i="2"/>
  <c r="H1666" i="2"/>
  <c r="G1666" i="2"/>
  <c r="E1666" i="2"/>
  <c r="J1665" i="2"/>
  <c r="H1665" i="2"/>
  <c r="E1665" i="2"/>
  <c r="G1665" i="2" s="1"/>
  <c r="J1664" i="2"/>
  <c r="H1664" i="2"/>
  <c r="E1664" i="2"/>
  <c r="G1664" i="2" s="1"/>
  <c r="J1663" i="2"/>
  <c r="H1663" i="2"/>
  <c r="E1663" i="2"/>
  <c r="G1663" i="2" s="1"/>
  <c r="J1662" i="2"/>
  <c r="H1662" i="2"/>
  <c r="E1662" i="2"/>
  <c r="G1662" i="2" s="1"/>
  <c r="J1661" i="2"/>
  <c r="H1661" i="2"/>
  <c r="G1661" i="2"/>
  <c r="E1661" i="2"/>
  <c r="J1660" i="2"/>
  <c r="H1660" i="2"/>
  <c r="E1660" i="2"/>
  <c r="G1660" i="2" s="1"/>
  <c r="J1659" i="2"/>
  <c r="H1659" i="2"/>
  <c r="E1659" i="2"/>
  <c r="G1659" i="2" s="1"/>
  <c r="J1658" i="2"/>
  <c r="H1658" i="2"/>
  <c r="E1658" i="2"/>
  <c r="G1658" i="2" s="1"/>
  <c r="J1657" i="2"/>
  <c r="H1657" i="2"/>
  <c r="G1657" i="2"/>
  <c r="E1657" i="2"/>
  <c r="J1656" i="2"/>
  <c r="H1656" i="2"/>
  <c r="E1656" i="2"/>
  <c r="G1656" i="2" s="1"/>
  <c r="J1655" i="2"/>
  <c r="H1655" i="2"/>
  <c r="E1655" i="2"/>
  <c r="G1655" i="2" s="1"/>
  <c r="J1654" i="2"/>
  <c r="H1654" i="2"/>
  <c r="G1654" i="2"/>
  <c r="E1654" i="2"/>
  <c r="J1653" i="2"/>
  <c r="H1653" i="2"/>
  <c r="E1653" i="2"/>
  <c r="G1653" i="2" s="1"/>
  <c r="J1652" i="2"/>
  <c r="H1652" i="2"/>
  <c r="G1652" i="2"/>
  <c r="E1652" i="2"/>
  <c r="J1651" i="2"/>
  <c r="H1651" i="2"/>
  <c r="E1651" i="2"/>
  <c r="G1651" i="2" s="1"/>
  <c r="J1650" i="2"/>
  <c r="H1650" i="2"/>
  <c r="E1650" i="2"/>
  <c r="G1650" i="2" s="1"/>
  <c r="J1649" i="2"/>
  <c r="H1649" i="2"/>
  <c r="E1649" i="2"/>
  <c r="G1649" i="2" s="1"/>
  <c r="J1648" i="2"/>
  <c r="H1648" i="2"/>
  <c r="G1648" i="2"/>
  <c r="E1648" i="2"/>
  <c r="J1647" i="2"/>
  <c r="H1647" i="2"/>
  <c r="E1647" i="2"/>
  <c r="G1647" i="2" s="1"/>
  <c r="J1646" i="2"/>
  <c r="H1646" i="2"/>
  <c r="E1646" i="2"/>
  <c r="G1646" i="2" s="1"/>
  <c r="J1645" i="2"/>
  <c r="H1645" i="2"/>
  <c r="G1645" i="2"/>
  <c r="E1645" i="2"/>
  <c r="J1644" i="2"/>
  <c r="H1644" i="2"/>
  <c r="E1644" i="2"/>
  <c r="G1644" i="2" s="1"/>
  <c r="J1643" i="2"/>
  <c r="H1643" i="2"/>
  <c r="G1643" i="2"/>
  <c r="E1643" i="2"/>
  <c r="J1642" i="2"/>
  <c r="H1642" i="2"/>
  <c r="E1642" i="2"/>
  <c r="G1642" i="2" s="1"/>
  <c r="J1641" i="2"/>
  <c r="H1641" i="2"/>
  <c r="E1641" i="2"/>
  <c r="G1641" i="2" s="1"/>
  <c r="J1640" i="2"/>
  <c r="H1640" i="2"/>
  <c r="G1640" i="2"/>
  <c r="E1640" i="2"/>
  <c r="J1639" i="2"/>
  <c r="H1639" i="2"/>
  <c r="G1639" i="2"/>
  <c r="E1639" i="2"/>
  <c r="J1638" i="2"/>
  <c r="H1638" i="2"/>
  <c r="E1638" i="2"/>
  <c r="G1638" i="2" s="1"/>
  <c r="J1637" i="2"/>
  <c r="H1637" i="2"/>
  <c r="E1637" i="2"/>
  <c r="G1637" i="2" s="1"/>
  <c r="J1636" i="2"/>
  <c r="H1636" i="2"/>
  <c r="E1636" i="2"/>
  <c r="G1636" i="2" s="1"/>
  <c r="J1635" i="2"/>
  <c r="H1635" i="2"/>
  <c r="E1635" i="2"/>
  <c r="G1635" i="2" s="1"/>
  <c r="J1634" i="2"/>
  <c r="H1634" i="2"/>
  <c r="G1634" i="2"/>
  <c r="E1634" i="2"/>
  <c r="J1633" i="2"/>
  <c r="H1633" i="2"/>
  <c r="E1633" i="2"/>
  <c r="G1633" i="2" s="1"/>
  <c r="J1632" i="2"/>
  <c r="H1632" i="2"/>
  <c r="E1632" i="2"/>
  <c r="G1632" i="2" s="1"/>
  <c r="J1631" i="2"/>
  <c r="H1631" i="2"/>
  <c r="G1631" i="2"/>
  <c r="E1631" i="2"/>
  <c r="J1630" i="2"/>
  <c r="H1630" i="2"/>
  <c r="G1630" i="2"/>
  <c r="E1630" i="2"/>
  <c r="J1629" i="2"/>
  <c r="H1629" i="2"/>
  <c r="E1629" i="2"/>
  <c r="G1629" i="2" s="1"/>
  <c r="J1628" i="2"/>
  <c r="H1628" i="2"/>
  <c r="E1628" i="2"/>
  <c r="G1628" i="2" s="1"/>
  <c r="J1627" i="2"/>
  <c r="H1627" i="2"/>
  <c r="G1627" i="2"/>
  <c r="E1627" i="2"/>
  <c r="J1626" i="2"/>
  <c r="H1626" i="2"/>
  <c r="E1626" i="2"/>
  <c r="G1626" i="2" s="1"/>
  <c r="J1625" i="2"/>
  <c r="H1625" i="2"/>
  <c r="G1625" i="2"/>
  <c r="E1625" i="2"/>
  <c r="J1624" i="2"/>
  <c r="H1624" i="2"/>
  <c r="E1624" i="2"/>
  <c r="G1624" i="2" s="1"/>
  <c r="J1623" i="2"/>
  <c r="H1623" i="2"/>
  <c r="E1623" i="2"/>
  <c r="G1623" i="2" s="1"/>
  <c r="J1622" i="2"/>
  <c r="H1622" i="2"/>
  <c r="E1622" i="2"/>
  <c r="G1622" i="2" s="1"/>
  <c r="J1621" i="2"/>
  <c r="H1621" i="2"/>
  <c r="G1621" i="2"/>
  <c r="E1621" i="2"/>
  <c r="J1620" i="2"/>
  <c r="H1620" i="2"/>
  <c r="E1620" i="2"/>
  <c r="G1620" i="2" s="1"/>
  <c r="J1619" i="2"/>
  <c r="H1619" i="2"/>
  <c r="E1619" i="2"/>
  <c r="G1619" i="2" s="1"/>
  <c r="J1618" i="2"/>
  <c r="H1618" i="2"/>
  <c r="E1618" i="2"/>
  <c r="G1618" i="2" s="1"/>
  <c r="J1617" i="2"/>
  <c r="H1617" i="2"/>
  <c r="E1617" i="2"/>
  <c r="G1617" i="2" s="1"/>
  <c r="J1616" i="2"/>
  <c r="H1616" i="2"/>
  <c r="G1616" i="2"/>
  <c r="E1616" i="2"/>
  <c r="J1615" i="2"/>
  <c r="H1615" i="2"/>
  <c r="E1615" i="2"/>
  <c r="G1615" i="2" s="1"/>
  <c r="J1614" i="2"/>
  <c r="H1614" i="2"/>
  <c r="E1614" i="2"/>
  <c r="G1614" i="2" s="1"/>
  <c r="J1613" i="2"/>
  <c r="H1613" i="2"/>
  <c r="G1613" i="2"/>
  <c r="E1613" i="2"/>
  <c r="J1612" i="2"/>
  <c r="H1612" i="2"/>
  <c r="G1612" i="2"/>
  <c r="E1612" i="2"/>
  <c r="J1611" i="2"/>
  <c r="H1611" i="2"/>
  <c r="E1611" i="2"/>
  <c r="G1611" i="2" s="1"/>
  <c r="J1610" i="2"/>
  <c r="H1610" i="2"/>
  <c r="E1610" i="2"/>
  <c r="G1610" i="2" s="1"/>
  <c r="J1609" i="2"/>
  <c r="H1609" i="2"/>
  <c r="E1609" i="2"/>
  <c r="G1609" i="2" s="1"/>
  <c r="J1608" i="2"/>
  <c r="H1608" i="2"/>
  <c r="E1608" i="2"/>
  <c r="G1608" i="2" s="1"/>
  <c r="J1607" i="2"/>
  <c r="H1607" i="2"/>
  <c r="G1607" i="2"/>
  <c r="E1607" i="2"/>
  <c r="J1606" i="2"/>
  <c r="H1606" i="2"/>
  <c r="E1606" i="2"/>
  <c r="G1606" i="2" s="1"/>
  <c r="J1605" i="2"/>
  <c r="H1605" i="2"/>
  <c r="E1605" i="2"/>
  <c r="G1605" i="2" s="1"/>
  <c r="J1604" i="2"/>
  <c r="H1604" i="2"/>
  <c r="E1604" i="2"/>
  <c r="G1604" i="2" s="1"/>
  <c r="J1603" i="2"/>
  <c r="H1603" i="2"/>
  <c r="G1603" i="2"/>
  <c r="E1603" i="2"/>
  <c r="J1602" i="2"/>
  <c r="H1602" i="2"/>
  <c r="E1602" i="2"/>
  <c r="G1602" i="2" s="1"/>
  <c r="J1601" i="2"/>
  <c r="H1601" i="2"/>
  <c r="E1601" i="2"/>
  <c r="G1601" i="2" s="1"/>
  <c r="J1600" i="2"/>
  <c r="H1600" i="2"/>
  <c r="G1600" i="2"/>
  <c r="E1600" i="2"/>
  <c r="J1599" i="2"/>
  <c r="H1599" i="2"/>
  <c r="E1599" i="2"/>
  <c r="G1599" i="2" s="1"/>
  <c r="J1598" i="2"/>
  <c r="H1598" i="2"/>
  <c r="G1598" i="2"/>
  <c r="E1598" i="2"/>
  <c r="J1597" i="2"/>
  <c r="H1597" i="2"/>
  <c r="E1597" i="2"/>
  <c r="G1597" i="2" s="1"/>
  <c r="J1596" i="2"/>
  <c r="H1596" i="2"/>
  <c r="E1596" i="2"/>
  <c r="G1596" i="2" s="1"/>
  <c r="J1595" i="2"/>
  <c r="H1595" i="2"/>
  <c r="G1595" i="2"/>
  <c r="E1595" i="2"/>
  <c r="J1594" i="2"/>
  <c r="H1594" i="2"/>
  <c r="G1594" i="2"/>
  <c r="E1594" i="2"/>
  <c r="J1593" i="2"/>
  <c r="H1593" i="2"/>
  <c r="E1593" i="2"/>
  <c r="G1593" i="2" s="1"/>
  <c r="J1592" i="2"/>
  <c r="H1592" i="2"/>
  <c r="E1592" i="2"/>
  <c r="G1592" i="2" s="1"/>
  <c r="J1591" i="2"/>
  <c r="H1591" i="2"/>
  <c r="E1591" i="2"/>
  <c r="G1591" i="2" s="1"/>
  <c r="J1590" i="2"/>
  <c r="H1590" i="2"/>
  <c r="E1590" i="2"/>
  <c r="G1590" i="2" s="1"/>
  <c r="J1589" i="2"/>
  <c r="H1589" i="2"/>
  <c r="G1589" i="2"/>
  <c r="E1589" i="2"/>
  <c r="J1588" i="2"/>
  <c r="H1588" i="2"/>
  <c r="E1588" i="2"/>
  <c r="G1588" i="2" s="1"/>
  <c r="J1587" i="2"/>
  <c r="H1587" i="2"/>
  <c r="G1587" i="2"/>
  <c r="E1587" i="2"/>
  <c r="J1586" i="2"/>
  <c r="H1586" i="2"/>
  <c r="G1586" i="2"/>
  <c r="E1586" i="2"/>
  <c r="J1585" i="2"/>
  <c r="H1585" i="2"/>
  <c r="E1585" i="2"/>
  <c r="G1585" i="2" s="1"/>
  <c r="J1584" i="2"/>
  <c r="H1584" i="2"/>
  <c r="E1584" i="2"/>
  <c r="G1584" i="2" s="1"/>
  <c r="J1583" i="2"/>
  <c r="H1583" i="2"/>
  <c r="G1583" i="2"/>
  <c r="E1583" i="2"/>
  <c r="J1582" i="2"/>
  <c r="H1582" i="2"/>
  <c r="E1582" i="2"/>
  <c r="G1582" i="2" s="1"/>
  <c r="J1581" i="2"/>
  <c r="H1581" i="2"/>
  <c r="E1581" i="2"/>
  <c r="G1581" i="2" s="1"/>
  <c r="J1580" i="2"/>
  <c r="H1580" i="2"/>
  <c r="G1580" i="2"/>
  <c r="E1580" i="2"/>
  <c r="J1579" i="2"/>
  <c r="H1579" i="2"/>
  <c r="E1579" i="2"/>
  <c r="G1579" i="2" s="1"/>
  <c r="J1578" i="2"/>
  <c r="H1578" i="2"/>
  <c r="G1578" i="2"/>
  <c r="E1578" i="2"/>
  <c r="J1577" i="2"/>
  <c r="H1577" i="2"/>
  <c r="G1577" i="2"/>
  <c r="E1577" i="2"/>
  <c r="J1576" i="2"/>
  <c r="H1576" i="2"/>
  <c r="E1576" i="2"/>
  <c r="G1576" i="2" s="1"/>
  <c r="J1575" i="2"/>
  <c r="H1575" i="2"/>
  <c r="G1575" i="2"/>
  <c r="E1575" i="2"/>
  <c r="J1574" i="2"/>
  <c r="H1574" i="2"/>
  <c r="G1574" i="2"/>
  <c r="E1574" i="2"/>
  <c r="J1573" i="2"/>
  <c r="H1573" i="2"/>
  <c r="E1573" i="2"/>
  <c r="G1573" i="2" s="1"/>
  <c r="J1572" i="2"/>
  <c r="H1572" i="2"/>
  <c r="E1572" i="2"/>
  <c r="G1572" i="2" s="1"/>
  <c r="J1571" i="2"/>
  <c r="H1571" i="2"/>
  <c r="G1571" i="2"/>
  <c r="E1571" i="2"/>
  <c r="J1570" i="2"/>
  <c r="H1570" i="2"/>
  <c r="E1570" i="2"/>
  <c r="G1570" i="2" s="1"/>
  <c r="J1569" i="2"/>
  <c r="H1569" i="2"/>
  <c r="G1569" i="2"/>
  <c r="E1569" i="2"/>
  <c r="J1568" i="2"/>
  <c r="H1568" i="2"/>
  <c r="E1568" i="2"/>
  <c r="G1568" i="2" s="1"/>
  <c r="J1567" i="2"/>
  <c r="H1567" i="2"/>
  <c r="E1567" i="2"/>
  <c r="G1567" i="2" s="1"/>
  <c r="J1566" i="2"/>
  <c r="H1566" i="2"/>
  <c r="E1566" i="2"/>
  <c r="G1566" i="2" s="1"/>
  <c r="J1565" i="2"/>
  <c r="H1565" i="2"/>
  <c r="G1565" i="2"/>
  <c r="E1565" i="2"/>
  <c r="J1564" i="2"/>
  <c r="H1564" i="2"/>
  <c r="E1564" i="2"/>
  <c r="G1564" i="2" s="1"/>
  <c r="J1563" i="2"/>
  <c r="H1563" i="2"/>
  <c r="G1563" i="2"/>
  <c r="E1563" i="2"/>
  <c r="J1562" i="2"/>
  <c r="H1562" i="2"/>
  <c r="E1562" i="2"/>
  <c r="G1562" i="2" s="1"/>
  <c r="J1561" i="2"/>
  <c r="H1561" i="2"/>
  <c r="E1561" i="2"/>
  <c r="G1561" i="2" s="1"/>
  <c r="J1560" i="2"/>
  <c r="H1560" i="2"/>
  <c r="G1560" i="2"/>
  <c r="E1560" i="2"/>
  <c r="J1559" i="2"/>
  <c r="H1559" i="2"/>
  <c r="E1559" i="2"/>
  <c r="G1559" i="2" s="1"/>
  <c r="J1558" i="2"/>
  <c r="H1558" i="2"/>
  <c r="E1558" i="2"/>
  <c r="G1558" i="2" s="1"/>
  <c r="J1557" i="2"/>
  <c r="H1557" i="2"/>
  <c r="E1557" i="2"/>
  <c r="G1557" i="2" s="1"/>
  <c r="J1556" i="2"/>
  <c r="H1556" i="2"/>
  <c r="G1556" i="2"/>
  <c r="E1556" i="2"/>
  <c r="J1555" i="2"/>
  <c r="H1555" i="2"/>
  <c r="E1555" i="2"/>
  <c r="G1555" i="2" s="1"/>
  <c r="J1554" i="2"/>
  <c r="H1554" i="2"/>
  <c r="E1554" i="2"/>
  <c r="G1554" i="2" s="1"/>
  <c r="J1553" i="2"/>
  <c r="H1553" i="2"/>
  <c r="E1553" i="2"/>
  <c r="G1553" i="2" s="1"/>
  <c r="J1552" i="2"/>
  <c r="H1552" i="2"/>
  <c r="E1552" i="2"/>
  <c r="G1552" i="2" s="1"/>
  <c r="J1551" i="2"/>
  <c r="H1551" i="2"/>
  <c r="G1551" i="2"/>
  <c r="E1551" i="2"/>
  <c r="J1550" i="2"/>
  <c r="H1550" i="2"/>
  <c r="E1550" i="2"/>
  <c r="G1550" i="2" s="1"/>
  <c r="J1549" i="2"/>
  <c r="H1549" i="2"/>
  <c r="E1549" i="2"/>
  <c r="G1549" i="2" s="1"/>
  <c r="J1548" i="2"/>
  <c r="H1548" i="2"/>
  <c r="G1548" i="2"/>
  <c r="E1548" i="2"/>
  <c r="J1547" i="2"/>
  <c r="H1547" i="2"/>
  <c r="E1547" i="2"/>
  <c r="G1547" i="2" s="1"/>
  <c r="J1546" i="2"/>
  <c r="H1546" i="2"/>
  <c r="E1546" i="2"/>
  <c r="G1546" i="2" s="1"/>
  <c r="J1545" i="2"/>
  <c r="H1545" i="2"/>
  <c r="E1545" i="2"/>
  <c r="G1545" i="2" s="1"/>
  <c r="J1544" i="2"/>
  <c r="H1544" i="2"/>
  <c r="E1544" i="2"/>
  <c r="G1544" i="2" s="1"/>
  <c r="J1543" i="2"/>
  <c r="H1543" i="2"/>
  <c r="E1543" i="2"/>
  <c r="G1543" i="2" s="1"/>
  <c r="J1542" i="2"/>
  <c r="H1542" i="2"/>
  <c r="G1542" i="2"/>
  <c r="E1542" i="2"/>
  <c r="J1541" i="2"/>
  <c r="H1541" i="2"/>
  <c r="E1541" i="2"/>
  <c r="G1541" i="2" s="1"/>
  <c r="J1540" i="2"/>
  <c r="H1540" i="2"/>
  <c r="E1540" i="2"/>
  <c r="G1540" i="2" s="1"/>
  <c r="J1539" i="2"/>
  <c r="H1539" i="2"/>
  <c r="G1539" i="2"/>
  <c r="E1539" i="2"/>
  <c r="J1538" i="2"/>
  <c r="H1538" i="2"/>
  <c r="G1538" i="2"/>
  <c r="E1538" i="2"/>
  <c r="J1537" i="2"/>
  <c r="H1537" i="2"/>
  <c r="E1537" i="2"/>
  <c r="G1537" i="2" s="1"/>
  <c r="J1536" i="2"/>
  <c r="H1536" i="2"/>
  <c r="E1536" i="2"/>
  <c r="G1536" i="2" s="1"/>
  <c r="J1535" i="2"/>
  <c r="H1535" i="2"/>
  <c r="E1535" i="2"/>
  <c r="G1535" i="2" s="1"/>
  <c r="J1534" i="2"/>
  <c r="H1534" i="2"/>
  <c r="E1534" i="2"/>
  <c r="G1534" i="2" s="1"/>
  <c r="J1533" i="2"/>
  <c r="H1533" i="2"/>
  <c r="G1533" i="2"/>
  <c r="E1533" i="2"/>
  <c r="J1532" i="2"/>
  <c r="H1532" i="2"/>
  <c r="E1532" i="2"/>
  <c r="G1532" i="2" s="1"/>
  <c r="J1531" i="2"/>
  <c r="H1531" i="2"/>
  <c r="E1531" i="2"/>
  <c r="G1531" i="2" s="1"/>
  <c r="J1530" i="2"/>
  <c r="H1530" i="2"/>
  <c r="E1530" i="2"/>
  <c r="G1530" i="2" s="1"/>
  <c r="J1529" i="2"/>
  <c r="H1529" i="2"/>
  <c r="G1529" i="2"/>
  <c r="E1529" i="2"/>
  <c r="J1528" i="2"/>
  <c r="H1528" i="2"/>
  <c r="E1528" i="2"/>
  <c r="G1528" i="2" s="1"/>
  <c r="J1527" i="2"/>
  <c r="H1527" i="2"/>
  <c r="G1527" i="2"/>
  <c r="E1527" i="2"/>
  <c r="J1526" i="2"/>
  <c r="H1526" i="2"/>
  <c r="E1526" i="2"/>
  <c r="G1526" i="2" s="1"/>
  <c r="J1525" i="2"/>
  <c r="H1525" i="2"/>
  <c r="E1525" i="2"/>
  <c r="G1525" i="2" s="1"/>
  <c r="J1524" i="2"/>
  <c r="H1524" i="2"/>
  <c r="G1524" i="2"/>
  <c r="E1524" i="2"/>
  <c r="J1523" i="2"/>
  <c r="H1523" i="2"/>
  <c r="E1523" i="2"/>
  <c r="G1523" i="2" s="1"/>
  <c r="J1522" i="2"/>
  <c r="H1522" i="2"/>
  <c r="E1522" i="2"/>
  <c r="G1522" i="2" s="1"/>
  <c r="J1521" i="2"/>
  <c r="H1521" i="2"/>
  <c r="G1521" i="2"/>
  <c r="E1521" i="2"/>
  <c r="J1520" i="2"/>
  <c r="H1520" i="2"/>
  <c r="G1520" i="2"/>
  <c r="E1520" i="2"/>
  <c r="J1519" i="2"/>
  <c r="H1519" i="2"/>
  <c r="E1519" i="2"/>
  <c r="G1519" i="2" s="1"/>
  <c r="J1518" i="2"/>
  <c r="H1518" i="2"/>
  <c r="E1518" i="2"/>
  <c r="G1518" i="2" s="1"/>
  <c r="J1517" i="2"/>
  <c r="H1517" i="2"/>
  <c r="G1517" i="2"/>
  <c r="E1517" i="2"/>
  <c r="J1516" i="2"/>
  <c r="H1516" i="2"/>
  <c r="E1516" i="2"/>
  <c r="G1516" i="2" s="1"/>
  <c r="J1515" i="2"/>
  <c r="H1515" i="2"/>
  <c r="G1515" i="2"/>
  <c r="E1515" i="2"/>
  <c r="J1514" i="2"/>
  <c r="H1514" i="2"/>
  <c r="E1514" i="2"/>
  <c r="G1514" i="2" s="1"/>
  <c r="J1513" i="2"/>
  <c r="H1513" i="2"/>
  <c r="E1513" i="2"/>
  <c r="G1513" i="2" s="1"/>
  <c r="J1512" i="2"/>
  <c r="H1512" i="2"/>
  <c r="E1512" i="2"/>
  <c r="G1512" i="2" s="1"/>
  <c r="J1511" i="2"/>
  <c r="H1511" i="2"/>
  <c r="G1511" i="2"/>
  <c r="E1511" i="2"/>
  <c r="J1510" i="2"/>
  <c r="H1510" i="2"/>
  <c r="E1510" i="2"/>
  <c r="G1510" i="2" s="1"/>
  <c r="J1509" i="2"/>
  <c r="H1509" i="2"/>
  <c r="E1509" i="2"/>
  <c r="G1509" i="2" s="1"/>
  <c r="J1508" i="2"/>
  <c r="H1508" i="2"/>
  <c r="E1508" i="2"/>
  <c r="G1508" i="2" s="1"/>
  <c r="J1507" i="2"/>
  <c r="H1507" i="2"/>
  <c r="E1507" i="2"/>
  <c r="G1507" i="2" s="1"/>
  <c r="J1506" i="2"/>
  <c r="H1506" i="2"/>
  <c r="G1506" i="2"/>
  <c r="E1506" i="2"/>
  <c r="J1505" i="2"/>
  <c r="H1505" i="2"/>
  <c r="E1505" i="2"/>
  <c r="G1505" i="2" s="1"/>
  <c r="J1504" i="2"/>
  <c r="H1504" i="2"/>
  <c r="E1504" i="2"/>
  <c r="G1504" i="2" s="1"/>
  <c r="J1503" i="2"/>
  <c r="H1503" i="2"/>
  <c r="G1503" i="2"/>
  <c r="E1503" i="2"/>
  <c r="J1502" i="2"/>
  <c r="H1502" i="2"/>
  <c r="G1502" i="2"/>
  <c r="E1502" i="2"/>
  <c r="J1501" i="2"/>
  <c r="H1501" i="2"/>
  <c r="E1501" i="2"/>
  <c r="G1501" i="2" s="1"/>
  <c r="J1500" i="2"/>
  <c r="H1500" i="2"/>
  <c r="E1500" i="2"/>
  <c r="G1500" i="2" s="1"/>
  <c r="J1499" i="2"/>
  <c r="H1499" i="2"/>
  <c r="G1499" i="2"/>
  <c r="E1499" i="2"/>
  <c r="J1498" i="2"/>
  <c r="H1498" i="2"/>
  <c r="E1498" i="2"/>
  <c r="G1498" i="2" s="1"/>
  <c r="J1497" i="2"/>
  <c r="H1497" i="2"/>
  <c r="G1497" i="2"/>
  <c r="E1497" i="2"/>
  <c r="J1496" i="2"/>
  <c r="H1496" i="2"/>
  <c r="E1496" i="2"/>
  <c r="G1496" i="2" s="1"/>
  <c r="J1495" i="2"/>
  <c r="H1495" i="2"/>
  <c r="E1495" i="2"/>
  <c r="G1495" i="2" s="1"/>
  <c r="J1494" i="2"/>
  <c r="H1494" i="2"/>
  <c r="E1494" i="2"/>
  <c r="G1494" i="2" s="1"/>
  <c r="J1493" i="2"/>
  <c r="H1493" i="2"/>
  <c r="G1493" i="2"/>
  <c r="E1493" i="2"/>
  <c r="J1492" i="2"/>
  <c r="H1492" i="2"/>
  <c r="E1492" i="2"/>
  <c r="G1492" i="2" s="1"/>
  <c r="J1491" i="2"/>
  <c r="H1491" i="2"/>
  <c r="G1491" i="2"/>
  <c r="E1491" i="2"/>
  <c r="J1490" i="2"/>
  <c r="H1490" i="2"/>
  <c r="E1490" i="2"/>
  <c r="G1490" i="2" s="1"/>
  <c r="J1489" i="2"/>
  <c r="H1489" i="2"/>
  <c r="E1489" i="2"/>
  <c r="G1489" i="2" s="1"/>
  <c r="J1488" i="2"/>
  <c r="H1488" i="2"/>
  <c r="E1488" i="2"/>
  <c r="G1488" i="2" s="1"/>
  <c r="J1487" i="2"/>
  <c r="H1487" i="2"/>
  <c r="E1487" i="2"/>
  <c r="G1487" i="2" s="1"/>
  <c r="J1486" i="2"/>
  <c r="H1486" i="2"/>
  <c r="E1486" i="2"/>
  <c r="G1486" i="2" s="1"/>
  <c r="J1485" i="2"/>
  <c r="H1485" i="2"/>
  <c r="E1485" i="2"/>
  <c r="G1485" i="2" s="1"/>
  <c r="J1484" i="2"/>
  <c r="H1484" i="2"/>
  <c r="G1484" i="2"/>
  <c r="E1484" i="2"/>
  <c r="J1483" i="2"/>
  <c r="H1483" i="2"/>
  <c r="E1483" i="2"/>
  <c r="G1483" i="2" s="1"/>
  <c r="J1482" i="2"/>
  <c r="H1482" i="2"/>
  <c r="E1482" i="2"/>
  <c r="G1482" i="2" s="1"/>
  <c r="J1481" i="2"/>
  <c r="H1481" i="2"/>
  <c r="E1481" i="2"/>
  <c r="G1481" i="2" s="1"/>
  <c r="J1480" i="2"/>
  <c r="H1480" i="2"/>
  <c r="E1480" i="2"/>
  <c r="G1480" i="2" s="1"/>
  <c r="J1479" i="2"/>
  <c r="H1479" i="2"/>
  <c r="G1479" i="2"/>
  <c r="E1479" i="2"/>
  <c r="J1478" i="2"/>
  <c r="H1478" i="2"/>
  <c r="E1478" i="2"/>
  <c r="G1478" i="2" s="1"/>
  <c r="J1477" i="2"/>
  <c r="H1477" i="2"/>
  <c r="E1477" i="2"/>
  <c r="G1477" i="2" s="1"/>
  <c r="J1476" i="2"/>
  <c r="H1476" i="2"/>
  <c r="G1476" i="2"/>
  <c r="E1476" i="2"/>
  <c r="J1475" i="2"/>
  <c r="H1475" i="2"/>
  <c r="E1475" i="2"/>
  <c r="G1475" i="2" s="1"/>
  <c r="J1474" i="2"/>
  <c r="H1474" i="2"/>
  <c r="E1474" i="2"/>
  <c r="G1474" i="2" s="1"/>
  <c r="J1473" i="2"/>
  <c r="H1473" i="2"/>
  <c r="E1473" i="2"/>
  <c r="G1473" i="2" s="1"/>
  <c r="J1472" i="2"/>
  <c r="H1472" i="2"/>
  <c r="E1472" i="2"/>
  <c r="G1472" i="2" s="1"/>
  <c r="J1471" i="2"/>
  <c r="H1471" i="2"/>
  <c r="E1471" i="2"/>
  <c r="G1471" i="2" s="1"/>
  <c r="J1470" i="2"/>
  <c r="H1470" i="2"/>
  <c r="G1470" i="2"/>
  <c r="E1470" i="2"/>
  <c r="J1469" i="2"/>
  <c r="H1469" i="2"/>
  <c r="E1469" i="2"/>
  <c r="G1469" i="2" s="1"/>
  <c r="J1468" i="2"/>
  <c r="H1468" i="2"/>
  <c r="E1468" i="2"/>
  <c r="G1468" i="2" s="1"/>
  <c r="J1467" i="2"/>
  <c r="H1467" i="2"/>
  <c r="G1467" i="2"/>
  <c r="E1467" i="2"/>
  <c r="J1466" i="2"/>
  <c r="H1466" i="2"/>
  <c r="G1466" i="2"/>
  <c r="E1466" i="2"/>
  <c r="J1465" i="2"/>
  <c r="H1465" i="2"/>
  <c r="E1465" i="2"/>
  <c r="G1465" i="2" s="1"/>
  <c r="J1464" i="2"/>
  <c r="H1464" i="2"/>
  <c r="E1464" i="2"/>
  <c r="G1464" i="2" s="1"/>
  <c r="J1463" i="2"/>
  <c r="H1463" i="2"/>
  <c r="E1463" i="2"/>
  <c r="G1463" i="2" s="1"/>
  <c r="J1462" i="2"/>
  <c r="H1462" i="2"/>
  <c r="E1462" i="2"/>
  <c r="G1462" i="2" s="1"/>
  <c r="J1461" i="2"/>
  <c r="H1461" i="2"/>
  <c r="G1461" i="2"/>
  <c r="E1461" i="2"/>
  <c r="J1460" i="2"/>
  <c r="H1460" i="2"/>
  <c r="E1460" i="2"/>
  <c r="G1460" i="2" s="1"/>
  <c r="J1459" i="2"/>
  <c r="H1459" i="2"/>
  <c r="E1459" i="2"/>
  <c r="G1459" i="2" s="1"/>
  <c r="J1458" i="2"/>
  <c r="H1458" i="2"/>
  <c r="E1458" i="2"/>
  <c r="G1458" i="2" s="1"/>
  <c r="J1457" i="2"/>
  <c r="H1457" i="2"/>
  <c r="G1457" i="2"/>
  <c r="E1457" i="2"/>
  <c r="J1456" i="2"/>
  <c r="H1456" i="2"/>
  <c r="E1456" i="2"/>
  <c r="G1456" i="2" s="1"/>
  <c r="J1455" i="2"/>
  <c r="H1455" i="2"/>
  <c r="G1455" i="2"/>
  <c r="E1455" i="2"/>
  <c r="J1454" i="2"/>
  <c r="H1454" i="2"/>
  <c r="E1454" i="2"/>
  <c r="G1454" i="2" s="1"/>
  <c r="J1453" i="2"/>
  <c r="H1453" i="2"/>
  <c r="E1453" i="2"/>
  <c r="G1453" i="2" s="1"/>
  <c r="J1452" i="2"/>
  <c r="H1452" i="2"/>
  <c r="E1452" i="2"/>
  <c r="G1452" i="2" s="1"/>
  <c r="J1451" i="2"/>
  <c r="H1451" i="2"/>
  <c r="E1451" i="2"/>
  <c r="G1451" i="2" s="1"/>
  <c r="J1450" i="2"/>
  <c r="H1450" i="2"/>
  <c r="E1450" i="2"/>
  <c r="G1450" i="2" s="1"/>
  <c r="J1449" i="2"/>
  <c r="H1449" i="2"/>
  <c r="G1449" i="2"/>
  <c r="E1449" i="2"/>
  <c r="J1448" i="2"/>
  <c r="H1448" i="2"/>
  <c r="G1448" i="2"/>
  <c r="E1448" i="2"/>
  <c r="J1447" i="2"/>
  <c r="H1447" i="2"/>
  <c r="E1447" i="2"/>
  <c r="G1447" i="2" s="1"/>
  <c r="J1446" i="2"/>
  <c r="H1446" i="2"/>
  <c r="E1446" i="2"/>
  <c r="G1446" i="2" s="1"/>
  <c r="J1445" i="2"/>
  <c r="H1445" i="2"/>
  <c r="E1445" i="2"/>
  <c r="G1445" i="2" s="1"/>
  <c r="J1444" i="2"/>
  <c r="H1444" i="2"/>
  <c r="E1444" i="2"/>
  <c r="G1444" i="2" s="1"/>
  <c r="J1443" i="2"/>
  <c r="H1443" i="2"/>
  <c r="G1443" i="2"/>
  <c r="E1443" i="2"/>
  <c r="J1442" i="2"/>
  <c r="H1442" i="2"/>
  <c r="E1442" i="2"/>
  <c r="G1442" i="2" s="1"/>
  <c r="J1441" i="2"/>
  <c r="H1441" i="2"/>
  <c r="E1441" i="2"/>
  <c r="G1441" i="2" s="1"/>
  <c r="J1440" i="2"/>
  <c r="H1440" i="2"/>
  <c r="E1440" i="2"/>
  <c r="G1440" i="2" s="1"/>
  <c r="J1439" i="2"/>
  <c r="H1439" i="2"/>
  <c r="G1439" i="2"/>
  <c r="E1439" i="2"/>
  <c r="J1438" i="2"/>
  <c r="H1438" i="2"/>
  <c r="E1438" i="2"/>
  <c r="G1438" i="2" s="1"/>
  <c r="J1437" i="2"/>
  <c r="H1437" i="2"/>
  <c r="E1437" i="2"/>
  <c r="G1437" i="2" s="1"/>
  <c r="J1436" i="2"/>
  <c r="H1436" i="2"/>
  <c r="E1436" i="2"/>
  <c r="G1436" i="2" s="1"/>
  <c r="J1435" i="2"/>
  <c r="H1435" i="2"/>
  <c r="E1435" i="2"/>
  <c r="G1435" i="2" s="1"/>
  <c r="J1434" i="2"/>
  <c r="H1434" i="2"/>
  <c r="E1434" i="2"/>
  <c r="G1434" i="2" s="1"/>
  <c r="J1433" i="2"/>
  <c r="H1433" i="2"/>
  <c r="E1433" i="2"/>
  <c r="G1433" i="2" s="1"/>
  <c r="J1432" i="2"/>
  <c r="H1432" i="2"/>
  <c r="E1432" i="2"/>
  <c r="G1432" i="2" s="1"/>
  <c r="J1431" i="2"/>
  <c r="H1431" i="2"/>
  <c r="G1431" i="2"/>
  <c r="E1431" i="2"/>
  <c r="J1430" i="2"/>
  <c r="H1430" i="2"/>
  <c r="G1430" i="2"/>
  <c r="E1430" i="2"/>
  <c r="J1429" i="2"/>
  <c r="H1429" i="2"/>
  <c r="E1429" i="2"/>
  <c r="G1429" i="2" s="1"/>
  <c r="J1428" i="2"/>
  <c r="H1428" i="2"/>
  <c r="E1428" i="2"/>
  <c r="G1428" i="2" s="1"/>
  <c r="J1427" i="2"/>
  <c r="H1427" i="2"/>
  <c r="E1427" i="2"/>
  <c r="G1427" i="2" s="1"/>
  <c r="J1426" i="2"/>
  <c r="H1426" i="2"/>
  <c r="E1426" i="2"/>
  <c r="G1426" i="2" s="1"/>
  <c r="J1425" i="2"/>
  <c r="H1425" i="2"/>
  <c r="G1425" i="2"/>
  <c r="E1425" i="2"/>
  <c r="J1424" i="2"/>
  <c r="H1424" i="2"/>
  <c r="E1424" i="2"/>
  <c r="G1424" i="2" s="1"/>
  <c r="J1423" i="2"/>
  <c r="H1423" i="2"/>
  <c r="E1423" i="2"/>
  <c r="G1423" i="2" s="1"/>
  <c r="J1422" i="2"/>
  <c r="H1422" i="2"/>
  <c r="G1422" i="2"/>
  <c r="E1422" i="2"/>
  <c r="J1421" i="2"/>
  <c r="H1421" i="2"/>
  <c r="E1421" i="2"/>
  <c r="G1421" i="2" s="1"/>
  <c r="J1420" i="2"/>
  <c r="H1420" i="2"/>
  <c r="E1420" i="2"/>
  <c r="G1420" i="2" s="1"/>
  <c r="J1419" i="2"/>
  <c r="H1419" i="2"/>
  <c r="E1419" i="2"/>
  <c r="G1419" i="2" s="1"/>
  <c r="J1418" i="2"/>
  <c r="H1418" i="2"/>
  <c r="G1418" i="2"/>
  <c r="E1418" i="2"/>
  <c r="J1417" i="2"/>
  <c r="H1417" i="2"/>
  <c r="E1417" i="2"/>
  <c r="G1417" i="2" s="1"/>
  <c r="J1416" i="2"/>
  <c r="H1416" i="2"/>
  <c r="G1416" i="2"/>
  <c r="E1416" i="2"/>
  <c r="J1415" i="2"/>
  <c r="H1415" i="2"/>
  <c r="E1415" i="2"/>
  <c r="G1415" i="2" s="1"/>
  <c r="J1414" i="2"/>
  <c r="H1414" i="2"/>
  <c r="E1414" i="2"/>
  <c r="G1414" i="2" s="1"/>
  <c r="J1413" i="2"/>
  <c r="H1413" i="2"/>
  <c r="E1413" i="2"/>
  <c r="G1413" i="2" s="1"/>
  <c r="J1412" i="2"/>
  <c r="H1412" i="2"/>
  <c r="G1412" i="2"/>
  <c r="E1412" i="2"/>
  <c r="J1411" i="2"/>
  <c r="H1411" i="2"/>
  <c r="E1411" i="2"/>
  <c r="G1411" i="2" s="1"/>
  <c r="J1410" i="2"/>
  <c r="H1410" i="2"/>
  <c r="E1410" i="2"/>
  <c r="G1410" i="2" s="1"/>
  <c r="J1409" i="2"/>
  <c r="H1409" i="2"/>
  <c r="G1409" i="2"/>
  <c r="E1409" i="2"/>
  <c r="J1408" i="2"/>
  <c r="H1408" i="2"/>
  <c r="E1408" i="2"/>
  <c r="G1408" i="2" s="1"/>
  <c r="J1407" i="2"/>
  <c r="H1407" i="2"/>
  <c r="G1407" i="2"/>
  <c r="E1407" i="2"/>
  <c r="J1406" i="2"/>
  <c r="H1406" i="2"/>
  <c r="E1406" i="2"/>
  <c r="G1406" i="2" s="1"/>
  <c r="J1405" i="2"/>
  <c r="H1405" i="2"/>
  <c r="E1405" i="2"/>
  <c r="G1405" i="2" s="1"/>
  <c r="J1404" i="2"/>
  <c r="H1404" i="2"/>
  <c r="E1404" i="2"/>
  <c r="G1404" i="2" s="1"/>
  <c r="J1403" i="2"/>
  <c r="H1403" i="2"/>
  <c r="G1403" i="2"/>
  <c r="E1403" i="2"/>
  <c r="J1402" i="2"/>
  <c r="H1402" i="2"/>
  <c r="E1402" i="2"/>
  <c r="G1402" i="2" s="1"/>
  <c r="J1401" i="2"/>
  <c r="H1401" i="2"/>
  <c r="E1401" i="2"/>
  <c r="G1401" i="2" s="1"/>
  <c r="J1400" i="2"/>
  <c r="H1400" i="2"/>
  <c r="E1400" i="2"/>
  <c r="G1400" i="2" s="1"/>
  <c r="J1399" i="2"/>
  <c r="H1399" i="2"/>
  <c r="E1399" i="2"/>
  <c r="G1399" i="2" s="1"/>
  <c r="J1398" i="2"/>
  <c r="H1398" i="2"/>
  <c r="E1398" i="2"/>
  <c r="G1398" i="2" s="1"/>
  <c r="J1397" i="2"/>
  <c r="H1397" i="2"/>
  <c r="E1397" i="2"/>
  <c r="G1397" i="2" s="1"/>
  <c r="J1396" i="2"/>
  <c r="H1396" i="2"/>
  <c r="E1396" i="2"/>
  <c r="G1396" i="2" s="1"/>
  <c r="J1395" i="2"/>
  <c r="H1395" i="2"/>
  <c r="G1395" i="2"/>
  <c r="E1395" i="2"/>
  <c r="J1394" i="2"/>
  <c r="H1394" i="2"/>
  <c r="G1394" i="2"/>
  <c r="E1394" i="2"/>
  <c r="J1393" i="2"/>
  <c r="H1393" i="2"/>
  <c r="E1393" i="2"/>
  <c r="G1393" i="2" s="1"/>
  <c r="J1392" i="2"/>
  <c r="H1392" i="2"/>
  <c r="E1392" i="2"/>
  <c r="G1392" i="2" s="1"/>
  <c r="J1391" i="2"/>
  <c r="H1391" i="2"/>
  <c r="E1391" i="2"/>
  <c r="G1391" i="2" s="1"/>
  <c r="J1390" i="2"/>
  <c r="H1390" i="2"/>
  <c r="E1390" i="2"/>
  <c r="G1390" i="2" s="1"/>
  <c r="J1389" i="2"/>
  <c r="H1389" i="2"/>
  <c r="G1389" i="2"/>
  <c r="E1389" i="2"/>
  <c r="J1388" i="2"/>
  <c r="H1388" i="2"/>
  <c r="E1388" i="2"/>
  <c r="G1388" i="2" s="1"/>
  <c r="J1387" i="2"/>
  <c r="H1387" i="2"/>
  <c r="E1387" i="2"/>
  <c r="G1387" i="2" s="1"/>
  <c r="J1386" i="2"/>
  <c r="H1386" i="2"/>
  <c r="E1386" i="2"/>
  <c r="G1386" i="2" s="1"/>
  <c r="J1385" i="2"/>
  <c r="H1385" i="2"/>
  <c r="E1385" i="2"/>
  <c r="G1385" i="2" s="1"/>
  <c r="J1384" i="2"/>
  <c r="H1384" i="2"/>
  <c r="E1384" i="2"/>
  <c r="G1384" i="2" s="1"/>
  <c r="J1383" i="2"/>
  <c r="H1383" i="2"/>
  <c r="E1383" i="2"/>
  <c r="G1383" i="2" s="1"/>
  <c r="J1382" i="2"/>
  <c r="H1382" i="2"/>
  <c r="G1382" i="2"/>
  <c r="E1382" i="2"/>
  <c r="J1381" i="2"/>
  <c r="H1381" i="2"/>
  <c r="E1381" i="2"/>
  <c r="G1381" i="2" s="1"/>
  <c r="J1380" i="2"/>
  <c r="H1380" i="2"/>
  <c r="G1380" i="2"/>
  <c r="E1380" i="2"/>
  <c r="J1379" i="2"/>
  <c r="H1379" i="2"/>
  <c r="E1379" i="2"/>
  <c r="G1379" i="2" s="1"/>
  <c r="J1378" i="2"/>
  <c r="H1378" i="2"/>
  <c r="E1378" i="2"/>
  <c r="G1378" i="2" s="1"/>
  <c r="J1377" i="2"/>
  <c r="H1377" i="2"/>
  <c r="G1377" i="2"/>
  <c r="E1377" i="2"/>
  <c r="J1376" i="2"/>
  <c r="H1376" i="2"/>
  <c r="G1376" i="2"/>
  <c r="E1376" i="2"/>
  <c r="J1375" i="2"/>
  <c r="H1375" i="2"/>
  <c r="E1375" i="2"/>
  <c r="G1375" i="2" s="1"/>
  <c r="J1374" i="2"/>
  <c r="H1374" i="2"/>
  <c r="E1374" i="2"/>
  <c r="G1374" i="2" s="1"/>
  <c r="J1373" i="2"/>
  <c r="H1373" i="2"/>
  <c r="G1373" i="2"/>
  <c r="E1373" i="2"/>
  <c r="J1372" i="2"/>
  <c r="H1372" i="2"/>
  <c r="E1372" i="2"/>
  <c r="G1372" i="2" s="1"/>
  <c r="J1371" i="2"/>
  <c r="H1371" i="2"/>
  <c r="G1371" i="2"/>
  <c r="E1371" i="2"/>
  <c r="J1370" i="2"/>
  <c r="H1370" i="2"/>
  <c r="E1370" i="2"/>
  <c r="G1370" i="2" s="1"/>
  <c r="J1369" i="2"/>
  <c r="H1369" i="2"/>
  <c r="E1369" i="2"/>
  <c r="G1369" i="2" s="1"/>
  <c r="J1368" i="2"/>
  <c r="H1368" i="2"/>
  <c r="E1368" i="2"/>
  <c r="G1368" i="2" s="1"/>
  <c r="J1367" i="2"/>
  <c r="H1367" i="2"/>
  <c r="G1367" i="2"/>
  <c r="E1367" i="2"/>
  <c r="J1366" i="2"/>
  <c r="H1366" i="2"/>
  <c r="E1366" i="2"/>
  <c r="G1366" i="2" s="1"/>
  <c r="J1365" i="2"/>
  <c r="H1365" i="2"/>
  <c r="E1365" i="2"/>
  <c r="G1365" i="2" s="1"/>
  <c r="J1364" i="2"/>
  <c r="H1364" i="2"/>
  <c r="E1364" i="2"/>
  <c r="G1364" i="2" s="1"/>
  <c r="J1363" i="2"/>
  <c r="H1363" i="2"/>
  <c r="E1363" i="2"/>
  <c r="G1363" i="2" s="1"/>
  <c r="J1362" i="2"/>
  <c r="H1362" i="2"/>
  <c r="E1362" i="2"/>
  <c r="G1362" i="2" s="1"/>
  <c r="J1361" i="2"/>
  <c r="H1361" i="2"/>
  <c r="E1361" i="2"/>
  <c r="G1361" i="2" s="1"/>
  <c r="J1360" i="2"/>
  <c r="H1360" i="2"/>
  <c r="E1360" i="2"/>
  <c r="G1360" i="2" s="1"/>
  <c r="J1359" i="2"/>
  <c r="H1359" i="2"/>
  <c r="G1359" i="2"/>
  <c r="E1359" i="2"/>
  <c r="J1358" i="2"/>
  <c r="H1358" i="2"/>
  <c r="G1358" i="2"/>
  <c r="E1358" i="2"/>
  <c r="J1357" i="2"/>
  <c r="H1357" i="2"/>
  <c r="E1357" i="2"/>
  <c r="G1357" i="2" s="1"/>
  <c r="J1356" i="2"/>
  <c r="H1356" i="2"/>
  <c r="E1356" i="2"/>
  <c r="G1356" i="2" s="1"/>
  <c r="J1355" i="2"/>
  <c r="H1355" i="2"/>
  <c r="E1355" i="2"/>
  <c r="G1355" i="2" s="1"/>
  <c r="J1354" i="2"/>
  <c r="H1354" i="2"/>
  <c r="E1354" i="2"/>
  <c r="G1354" i="2" s="1"/>
  <c r="J1353" i="2"/>
  <c r="H1353" i="2"/>
  <c r="G1353" i="2"/>
  <c r="E1353" i="2"/>
  <c r="J1352" i="2"/>
  <c r="H1352" i="2"/>
  <c r="E1352" i="2"/>
  <c r="G1352" i="2" s="1"/>
  <c r="J1351" i="2"/>
  <c r="H1351" i="2"/>
  <c r="E1351" i="2"/>
  <c r="G1351" i="2" s="1"/>
  <c r="J1350" i="2"/>
  <c r="H1350" i="2"/>
  <c r="G1350" i="2"/>
  <c r="E1350" i="2"/>
  <c r="J1349" i="2"/>
  <c r="H1349" i="2"/>
  <c r="E1349" i="2"/>
  <c r="G1349" i="2" s="1"/>
  <c r="J1348" i="2"/>
  <c r="H1348" i="2"/>
  <c r="E1348" i="2"/>
  <c r="G1348" i="2" s="1"/>
  <c r="J1347" i="2"/>
  <c r="H1347" i="2"/>
  <c r="E1347" i="2"/>
  <c r="G1347" i="2" s="1"/>
  <c r="J1346" i="2"/>
  <c r="H1346" i="2"/>
  <c r="G1346" i="2"/>
  <c r="E1346" i="2"/>
  <c r="J1345" i="2"/>
  <c r="H1345" i="2"/>
  <c r="E1345" i="2"/>
  <c r="G1345" i="2" s="1"/>
  <c r="J1344" i="2"/>
  <c r="H1344" i="2"/>
  <c r="G1344" i="2"/>
  <c r="E1344" i="2"/>
  <c r="J1343" i="2"/>
  <c r="H1343" i="2"/>
  <c r="E1343" i="2"/>
  <c r="G1343" i="2" s="1"/>
  <c r="J1342" i="2"/>
  <c r="H1342" i="2"/>
  <c r="E1342" i="2"/>
  <c r="G1342" i="2" s="1"/>
  <c r="J1341" i="2"/>
  <c r="H1341" i="2"/>
  <c r="G1341" i="2"/>
  <c r="E1341" i="2"/>
  <c r="J1340" i="2"/>
  <c r="H1340" i="2"/>
  <c r="G1340" i="2"/>
  <c r="E1340" i="2"/>
  <c r="J1339" i="2"/>
  <c r="H1339" i="2"/>
  <c r="E1339" i="2"/>
  <c r="G1339" i="2" s="1"/>
  <c r="J1338" i="2"/>
  <c r="H1338" i="2"/>
  <c r="E1338" i="2"/>
  <c r="G1338" i="2" s="1"/>
  <c r="J1337" i="2"/>
  <c r="H1337" i="2"/>
  <c r="G1337" i="2"/>
  <c r="E1337" i="2"/>
  <c r="J1336" i="2"/>
  <c r="H1336" i="2"/>
  <c r="E1336" i="2"/>
  <c r="G1336" i="2" s="1"/>
  <c r="J1335" i="2"/>
  <c r="H1335" i="2"/>
  <c r="G1335" i="2"/>
  <c r="E1335" i="2"/>
  <c r="J1334" i="2"/>
  <c r="H1334" i="2"/>
  <c r="E1334" i="2"/>
  <c r="G1334" i="2" s="1"/>
  <c r="J1333" i="2"/>
  <c r="H1333" i="2"/>
  <c r="E1333" i="2"/>
  <c r="G1333" i="2" s="1"/>
  <c r="J1332" i="2"/>
  <c r="H1332" i="2"/>
  <c r="E1332" i="2"/>
  <c r="G1332" i="2" s="1"/>
  <c r="J1331" i="2"/>
  <c r="H1331" i="2"/>
  <c r="G1331" i="2"/>
  <c r="E1331" i="2"/>
  <c r="J1330" i="2"/>
  <c r="H1330" i="2"/>
  <c r="E1330" i="2"/>
  <c r="G1330" i="2" s="1"/>
  <c r="J1329" i="2"/>
  <c r="H1329" i="2"/>
  <c r="E1329" i="2"/>
  <c r="G1329" i="2" s="1"/>
  <c r="J1328" i="2"/>
  <c r="H1328" i="2"/>
  <c r="E1328" i="2"/>
  <c r="G1328" i="2" s="1"/>
  <c r="J1327" i="2"/>
  <c r="H1327" i="2"/>
  <c r="E1327" i="2"/>
  <c r="G1327" i="2" s="1"/>
  <c r="J1326" i="2"/>
  <c r="H1326" i="2"/>
  <c r="E1326" i="2"/>
  <c r="G1326" i="2" s="1"/>
  <c r="J1325" i="2"/>
  <c r="H1325" i="2"/>
  <c r="E1325" i="2"/>
  <c r="G1325" i="2" s="1"/>
  <c r="J1324" i="2"/>
  <c r="H1324" i="2"/>
  <c r="E1324" i="2"/>
  <c r="G1324" i="2" s="1"/>
  <c r="J1323" i="2"/>
  <c r="H1323" i="2"/>
  <c r="G1323" i="2"/>
  <c r="E1323" i="2"/>
  <c r="J1322" i="2"/>
  <c r="H1322" i="2"/>
  <c r="G1322" i="2"/>
  <c r="E1322" i="2"/>
  <c r="J1321" i="2"/>
  <c r="H1321" i="2"/>
  <c r="E1321" i="2"/>
  <c r="G1321" i="2" s="1"/>
  <c r="J1320" i="2"/>
  <c r="H1320" i="2"/>
  <c r="E1320" i="2"/>
  <c r="G1320" i="2" s="1"/>
  <c r="J1319" i="2"/>
  <c r="H1319" i="2"/>
  <c r="E1319" i="2"/>
  <c r="G1319" i="2" s="1"/>
  <c r="J1318" i="2"/>
  <c r="H1318" i="2"/>
  <c r="E1318" i="2"/>
  <c r="G1318" i="2" s="1"/>
  <c r="J1317" i="2"/>
  <c r="H1317" i="2"/>
  <c r="G1317" i="2"/>
  <c r="E1317" i="2"/>
  <c r="J1316" i="2"/>
  <c r="H1316" i="2"/>
  <c r="E1316" i="2"/>
  <c r="G1316" i="2" s="1"/>
  <c r="J1315" i="2"/>
  <c r="H1315" i="2"/>
  <c r="E1315" i="2"/>
  <c r="G1315" i="2" s="1"/>
  <c r="J1314" i="2"/>
  <c r="H1314" i="2"/>
  <c r="E1314" i="2"/>
  <c r="G1314" i="2" s="1"/>
  <c r="J1313" i="2"/>
  <c r="H1313" i="2"/>
  <c r="E1313" i="2"/>
  <c r="G1313" i="2" s="1"/>
  <c r="J1312" i="2"/>
  <c r="H1312" i="2"/>
  <c r="E1312" i="2"/>
  <c r="G1312" i="2" s="1"/>
  <c r="J1311" i="2"/>
  <c r="H1311" i="2"/>
  <c r="E1311" i="2"/>
  <c r="G1311" i="2" s="1"/>
  <c r="J1310" i="2"/>
  <c r="H1310" i="2"/>
  <c r="G1310" i="2"/>
  <c r="E1310" i="2"/>
  <c r="J1309" i="2"/>
  <c r="H1309" i="2"/>
  <c r="E1309" i="2"/>
  <c r="G1309" i="2" s="1"/>
  <c r="J1308" i="2"/>
  <c r="H1308" i="2"/>
  <c r="G1308" i="2"/>
  <c r="E1308" i="2"/>
  <c r="J1307" i="2"/>
  <c r="H1307" i="2"/>
  <c r="E1307" i="2"/>
  <c r="G1307" i="2" s="1"/>
  <c r="J1306" i="2"/>
  <c r="H1306" i="2"/>
  <c r="E1306" i="2"/>
  <c r="G1306" i="2" s="1"/>
  <c r="J1305" i="2"/>
  <c r="H1305" i="2"/>
  <c r="G1305" i="2"/>
  <c r="E1305" i="2"/>
  <c r="J1304" i="2"/>
  <c r="H1304" i="2"/>
  <c r="G1304" i="2"/>
  <c r="E1304" i="2"/>
  <c r="J1303" i="2"/>
  <c r="H1303" i="2"/>
  <c r="E1303" i="2"/>
  <c r="G1303" i="2" s="1"/>
  <c r="J1302" i="2"/>
  <c r="H1302" i="2"/>
  <c r="E1302" i="2"/>
  <c r="G1302" i="2" s="1"/>
  <c r="J1301" i="2"/>
  <c r="H1301" i="2"/>
  <c r="E1301" i="2"/>
  <c r="G1301" i="2" s="1"/>
  <c r="J1300" i="2"/>
  <c r="H1300" i="2"/>
  <c r="E1300" i="2"/>
  <c r="G1300" i="2" s="1"/>
  <c r="J1299" i="2"/>
  <c r="H1299" i="2"/>
  <c r="G1299" i="2"/>
  <c r="E1299" i="2"/>
  <c r="J1298" i="2"/>
  <c r="H1298" i="2"/>
  <c r="E1298" i="2"/>
  <c r="G1298" i="2" s="1"/>
  <c r="J1297" i="2"/>
  <c r="H1297" i="2"/>
  <c r="E1297" i="2"/>
  <c r="G1297" i="2" s="1"/>
  <c r="J1296" i="2"/>
  <c r="H1296" i="2"/>
  <c r="E1296" i="2"/>
  <c r="G1296" i="2" s="1"/>
  <c r="J1295" i="2"/>
  <c r="H1295" i="2"/>
  <c r="G1295" i="2"/>
  <c r="E1295" i="2"/>
  <c r="J1294" i="2"/>
  <c r="H1294" i="2"/>
  <c r="E1294" i="2"/>
  <c r="G1294" i="2" s="1"/>
  <c r="J1293" i="2"/>
  <c r="H1293" i="2"/>
  <c r="E1293" i="2"/>
  <c r="G1293" i="2" s="1"/>
  <c r="J1292" i="2"/>
  <c r="H1292" i="2"/>
  <c r="E1292" i="2"/>
  <c r="G1292" i="2" s="1"/>
  <c r="J1291" i="2"/>
  <c r="H1291" i="2"/>
  <c r="E1291" i="2"/>
  <c r="G1291" i="2" s="1"/>
  <c r="J1290" i="2"/>
  <c r="H1290" i="2"/>
  <c r="E1290" i="2"/>
  <c r="G1290" i="2" s="1"/>
  <c r="J1289" i="2"/>
  <c r="H1289" i="2"/>
  <c r="E1289" i="2"/>
  <c r="G1289" i="2" s="1"/>
  <c r="J1288" i="2"/>
  <c r="H1288" i="2"/>
  <c r="E1288" i="2"/>
  <c r="G1288" i="2" s="1"/>
  <c r="J1287" i="2"/>
  <c r="H1287" i="2"/>
  <c r="G1287" i="2"/>
  <c r="E1287" i="2"/>
  <c r="J1286" i="2"/>
  <c r="H1286" i="2"/>
  <c r="G1286" i="2"/>
  <c r="E1286" i="2"/>
  <c r="J1285" i="2"/>
  <c r="H1285" i="2"/>
  <c r="E1285" i="2"/>
  <c r="G1285" i="2" s="1"/>
  <c r="J1284" i="2"/>
  <c r="H1284" i="2"/>
  <c r="E1284" i="2"/>
  <c r="G1284" i="2" s="1"/>
  <c r="J1283" i="2"/>
  <c r="H1283" i="2"/>
  <c r="E1283" i="2"/>
  <c r="G1283" i="2" s="1"/>
  <c r="J1282" i="2"/>
  <c r="H1282" i="2"/>
  <c r="E1282" i="2"/>
  <c r="G1282" i="2" s="1"/>
  <c r="J1281" i="2"/>
  <c r="H1281" i="2"/>
  <c r="G1281" i="2"/>
  <c r="E1281" i="2"/>
  <c r="J1280" i="2"/>
  <c r="H1280" i="2"/>
  <c r="E1280" i="2"/>
  <c r="G1280" i="2" s="1"/>
  <c r="J1279" i="2"/>
  <c r="H1279" i="2"/>
  <c r="E1279" i="2"/>
  <c r="G1279" i="2" s="1"/>
  <c r="J1278" i="2"/>
  <c r="H1278" i="2"/>
  <c r="G1278" i="2"/>
  <c r="E1278" i="2"/>
  <c r="J1277" i="2"/>
  <c r="H1277" i="2"/>
  <c r="E1277" i="2"/>
  <c r="G1277" i="2" s="1"/>
  <c r="J1276" i="2"/>
  <c r="H1276" i="2"/>
  <c r="E1276" i="2"/>
  <c r="G1276" i="2" s="1"/>
  <c r="J1275" i="2"/>
  <c r="H1275" i="2"/>
  <c r="E1275" i="2"/>
  <c r="G1275" i="2" s="1"/>
  <c r="J1274" i="2"/>
  <c r="H1274" i="2"/>
  <c r="G1274" i="2"/>
  <c r="E1274" i="2"/>
  <c r="J1273" i="2"/>
  <c r="H1273" i="2"/>
  <c r="E1273" i="2"/>
  <c r="G1273" i="2" s="1"/>
  <c r="J1272" i="2"/>
  <c r="H1272" i="2"/>
  <c r="G1272" i="2"/>
  <c r="E1272" i="2"/>
  <c r="J1271" i="2"/>
  <c r="H1271" i="2"/>
  <c r="E1271" i="2"/>
  <c r="G1271" i="2" s="1"/>
  <c r="J1270" i="2"/>
  <c r="H1270" i="2"/>
  <c r="E1270" i="2"/>
  <c r="G1270" i="2" s="1"/>
  <c r="J1269" i="2"/>
  <c r="H1269" i="2"/>
  <c r="E1269" i="2"/>
  <c r="G1269" i="2" s="1"/>
  <c r="J1268" i="2"/>
  <c r="H1268" i="2"/>
  <c r="G1268" i="2"/>
  <c r="E1268" i="2"/>
  <c r="J1267" i="2"/>
  <c r="H1267" i="2"/>
  <c r="E1267" i="2"/>
  <c r="G1267" i="2" s="1"/>
  <c r="J1266" i="2"/>
  <c r="H1266" i="2"/>
  <c r="E1266" i="2"/>
  <c r="G1266" i="2" s="1"/>
  <c r="J1265" i="2"/>
  <c r="H1265" i="2"/>
  <c r="G1265" i="2"/>
  <c r="E1265" i="2"/>
  <c r="J1264" i="2"/>
  <c r="H1264" i="2"/>
  <c r="E1264" i="2"/>
  <c r="G1264" i="2" s="1"/>
  <c r="J1263" i="2"/>
  <c r="H1263" i="2"/>
  <c r="G1263" i="2"/>
  <c r="E1263" i="2"/>
  <c r="J1262" i="2"/>
  <c r="H1262" i="2"/>
  <c r="E1262" i="2"/>
  <c r="G1262" i="2" s="1"/>
  <c r="J1261" i="2"/>
  <c r="H1261" i="2"/>
  <c r="E1261" i="2"/>
  <c r="G1261" i="2" s="1"/>
  <c r="J1260" i="2"/>
  <c r="H1260" i="2"/>
  <c r="E1260" i="2"/>
  <c r="G1260" i="2" s="1"/>
  <c r="J1259" i="2"/>
  <c r="H1259" i="2"/>
  <c r="G1259" i="2"/>
  <c r="E1259" i="2"/>
  <c r="J1258" i="2"/>
  <c r="H1258" i="2"/>
  <c r="E1258" i="2"/>
  <c r="G1258" i="2" s="1"/>
  <c r="J1257" i="2"/>
  <c r="H1257" i="2"/>
  <c r="E1257" i="2"/>
  <c r="G1257" i="2" s="1"/>
  <c r="J1256" i="2"/>
  <c r="H1256" i="2"/>
  <c r="E1256" i="2"/>
  <c r="G1256" i="2" s="1"/>
  <c r="J1255" i="2"/>
  <c r="H1255" i="2"/>
  <c r="E1255" i="2"/>
  <c r="G1255" i="2" s="1"/>
  <c r="J1254" i="2"/>
  <c r="H1254" i="2"/>
  <c r="E1254" i="2"/>
  <c r="G1254" i="2" s="1"/>
  <c r="J1253" i="2"/>
  <c r="H1253" i="2"/>
  <c r="E1253" i="2"/>
  <c r="G1253" i="2" s="1"/>
  <c r="J1252" i="2"/>
  <c r="H1252" i="2"/>
  <c r="E1252" i="2"/>
  <c r="G1252" i="2" s="1"/>
  <c r="J1251" i="2"/>
  <c r="H1251" i="2"/>
  <c r="G1251" i="2"/>
  <c r="E1251" i="2"/>
  <c r="J1250" i="2"/>
  <c r="H1250" i="2"/>
  <c r="G1250" i="2"/>
  <c r="E1250" i="2"/>
  <c r="J1249" i="2"/>
  <c r="H1249" i="2"/>
  <c r="E1249" i="2"/>
  <c r="G1249" i="2" s="1"/>
  <c r="J1248" i="2"/>
  <c r="H1248" i="2"/>
  <c r="E1248" i="2"/>
  <c r="G1248" i="2" s="1"/>
  <c r="J1247" i="2"/>
  <c r="H1247" i="2"/>
  <c r="E1247" i="2"/>
  <c r="G1247" i="2" s="1"/>
  <c r="J1246" i="2"/>
  <c r="H1246" i="2"/>
  <c r="E1246" i="2"/>
  <c r="G1246" i="2" s="1"/>
  <c r="J1245" i="2"/>
  <c r="H1245" i="2"/>
  <c r="G1245" i="2"/>
  <c r="E1245" i="2"/>
  <c r="J1244" i="2"/>
  <c r="H1244" i="2"/>
  <c r="E1244" i="2"/>
  <c r="G1244" i="2" s="1"/>
  <c r="J1243" i="2"/>
  <c r="H1243" i="2"/>
  <c r="E1243" i="2"/>
  <c r="G1243" i="2" s="1"/>
  <c r="J1242" i="2"/>
  <c r="H1242" i="2"/>
  <c r="G1242" i="2"/>
  <c r="E1242" i="2"/>
  <c r="J1241" i="2"/>
  <c r="H1241" i="2"/>
  <c r="E1241" i="2"/>
  <c r="G1241" i="2" s="1"/>
  <c r="J1240" i="2"/>
  <c r="H1240" i="2"/>
  <c r="E1240" i="2"/>
  <c r="G1240" i="2" s="1"/>
  <c r="J1239" i="2"/>
  <c r="H1239" i="2"/>
  <c r="E1239" i="2"/>
  <c r="G1239" i="2" s="1"/>
  <c r="J1238" i="2"/>
  <c r="H1238" i="2"/>
  <c r="G1238" i="2"/>
  <c r="E1238" i="2"/>
  <c r="J1237" i="2"/>
  <c r="H1237" i="2"/>
  <c r="E1237" i="2"/>
  <c r="G1237" i="2" s="1"/>
  <c r="J1236" i="2"/>
  <c r="H1236" i="2"/>
  <c r="G1236" i="2"/>
  <c r="E1236" i="2"/>
  <c r="J1235" i="2"/>
  <c r="H1235" i="2"/>
  <c r="E1235" i="2"/>
  <c r="G1235" i="2" s="1"/>
  <c r="J1234" i="2"/>
  <c r="H1234" i="2"/>
  <c r="E1234" i="2"/>
  <c r="G1234" i="2" s="1"/>
  <c r="J1233" i="2"/>
  <c r="H1233" i="2"/>
  <c r="G1233" i="2"/>
  <c r="E1233" i="2"/>
  <c r="J1232" i="2"/>
  <c r="H1232" i="2"/>
  <c r="G1232" i="2"/>
  <c r="E1232" i="2"/>
  <c r="J1231" i="2"/>
  <c r="H1231" i="2"/>
  <c r="E1231" i="2"/>
  <c r="G1231" i="2" s="1"/>
  <c r="J1230" i="2"/>
  <c r="H1230" i="2"/>
  <c r="E1230" i="2"/>
  <c r="G1230" i="2" s="1"/>
  <c r="J1229" i="2"/>
  <c r="H1229" i="2"/>
  <c r="E1229" i="2"/>
  <c r="G1229" i="2" s="1"/>
  <c r="J1228" i="2"/>
  <c r="H1228" i="2"/>
  <c r="E1228" i="2"/>
  <c r="G1228" i="2" s="1"/>
  <c r="J1227" i="2"/>
  <c r="H1227" i="2"/>
  <c r="G1227" i="2"/>
  <c r="E1227" i="2"/>
  <c r="J1226" i="2"/>
  <c r="H1226" i="2"/>
  <c r="E1226" i="2"/>
  <c r="G1226" i="2" s="1"/>
  <c r="J1225" i="2"/>
  <c r="H1225" i="2"/>
  <c r="E1225" i="2"/>
  <c r="G1225" i="2" s="1"/>
  <c r="J1224" i="2"/>
  <c r="H1224" i="2"/>
  <c r="E1224" i="2"/>
  <c r="G1224" i="2" s="1"/>
  <c r="J1223" i="2"/>
  <c r="H1223" i="2"/>
  <c r="G1223" i="2"/>
  <c r="E1223" i="2"/>
  <c r="J1222" i="2"/>
  <c r="H1222" i="2"/>
  <c r="E1222" i="2"/>
  <c r="G1222" i="2" s="1"/>
  <c r="J1221" i="2"/>
  <c r="H1221" i="2"/>
  <c r="E1221" i="2"/>
  <c r="G1221" i="2" s="1"/>
  <c r="J1220" i="2"/>
  <c r="H1220" i="2"/>
  <c r="E1220" i="2"/>
  <c r="G1220" i="2" s="1"/>
  <c r="J1219" i="2"/>
  <c r="H1219" i="2"/>
  <c r="E1219" i="2"/>
  <c r="G1219" i="2" s="1"/>
  <c r="J1218" i="2"/>
  <c r="H1218" i="2"/>
  <c r="E1218" i="2"/>
  <c r="G1218" i="2" s="1"/>
  <c r="J1217" i="2"/>
  <c r="H1217" i="2"/>
  <c r="E1217" i="2"/>
  <c r="G1217" i="2" s="1"/>
  <c r="J1216" i="2"/>
  <c r="H1216" i="2"/>
  <c r="E1216" i="2"/>
  <c r="G1216" i="2" s="1"/>
  <c r="J1215" i="2"/>
  <c r="H1215" i="2"/>
  <c r="G1215" i="2"/>
  <c r="E1215" i="2"/>
  <c r="J1214" i="2"/>
  <c r="H1214" i="2"/>
  <c r="G1214" i="2"/>
  <c r="E1214" i="2"/>
  <c r="J1213" i="2"/>
  <c r="H1213" i="2"/>
  <c r="E1213" i="2"/>
  <c r="G1213" i="2" s="1"/>
  <c r="J1212" i="2"/>
  <c r="H1212" i="2"/>
  <c r="E1212" i="2"/>
  <c r="G1212" i="2" s="1"/>
  <c r="J1211" i="2"/>
  <c r="H1211" i="2"/>
  <c r="E1211" i="2"/>
  <c r="G1211" i="2" s="1"/>
  <c r="J1210" i="2"/>
  <c r="H1210" i="2"/>
  <c r="E1210" i="2"/>
  <c r="G1210" i="2" s="1"/>
  <c r="J1209" i="2"/>
  <c r="H1209" i="2"/>
  <c r="G1209" i="2"/>
  <c r="E1209" i="2"/>
  <c r="J1208" i="2"/>
  <c r="H1208" i="2"/>
  <c r="E1208" i="2"/>
  <c r="G1208" i="2" s="1"/>
  <c r="J1207" i="2"/>
  <c r="H1207" i="2"/>
  <c r="E1207" i="2"/>
  <c r="G1207" i="2" s="1"/>
  <c r="J1206" i="2"/>
  <c r="H1206" i="2"/>
  <c r="G1206" i="2"/>
  <c r="E1206" i="2"/>
  <c r="J1205" i="2"/>
  <c r="H1205" i="2"/>
  <c r="G1205" i="2"/>
  <c r="E1205" i="2"/>
  <c r="J1204" i="2"/>
  <c r="H1204" i="2"/>
  <c r="E1204" i="2"/>
  <c r="G1204" i="2" s="1"/>
  <c r="J1203" i="2"/>
  <c r="H1203" i="2"/>
  <c r="E1203" i="2"/>
  <c r="G1203" i="2" s="1"/>
  <c r="J1202" i="2"/>
  <c r="H1202" i="2"/>
  <c r="E1202" i="2"/>
  <c r="G1202" i="2" s="1"/>
  <c r="J1201" i="2"/>
  <c r="H1201" i="2"/>
  <c r="E1201" i="2"/>
  <c r="G1201" i="2" s="1"/>
  <c r="J1200" i="2"/>
  <c r="H1200" i="2"/>
  <c r="G1200" i="2"/>
  <c r="E1200" i="2"/>
  <c r="J1199" i="2"/>
  <c r="H1199" i="2"/>
  <c r="E1199" i="2"/>
  <c r="G1199" i="2" s="1"/>
  <c r="J1198" i="2"/>
  <c r="H1198" i="2"/>
  <c r="E1198" i="2"/>
  <c r="G1198" i="2" s="1"/>
  <c r="J1197" i="2"/>
  <c r="H1197" i="2"/>
  <c r="E1197" i="2"/>
  <c r="G1197" i="2" s="1"/>
  <c r="J1196" i="2"/>
  <c r="H1196" i="2"/>
  <c r="G1196" i="2"/>
  <c r="E1196" i="2"/>
  <c r="J1195" i="2"/>
  <c r="H1195" i="2"/>
  <c r="E1195" i="2"/>
  <c r="G1195" i="2" s="1"/>
  <c r="J1194" i="2"/>
  <c r="H1194" i="2"/>
  <c r="E1194" i="2"/>
  <c r="G1194" i="2" s="1"/>
  <c r="J1193" i="2"/>
  <c r="H1193" i="2"/>
  <c r="E1193" i="2"/>
  <c r="G1193" i="2" s="1"/>
  <c r="J1192" i="2"/>
  <c r="H1192" i="2"/>
  <c r="E1192" i="2"/>
  <c r="G1192" i="2" s="1"/>
  <c r="J1191" i="2"/>
  <c r="H1191" i="2"/>
  <c r="G1191" i="2"/>
  <c r="E1191" i="2"/>
  <c r="J1190" i="2"/>
  <c r="H1190" i="2"/>
  <c r="E1190" i="2"/>
  <c r="G1190" i="2" s="1"/>
  <c r="J1189" i="2"/>
  <c r="H1189" i="2"/>
  <c r="E1189" i="2"/>
  <c r="G1189" i="2" s="1"/>
  <c r="J1188" i="2"/>
  <c r="H1188" i="2"/>
  <c r="E1188" i="2"/>
  <c r="G1188" i="2" s="1"/>
  <c r="J1187" i="2"/>
  <c r="H1187" i="2"/>
  <c r="G1187" i="2"/>
  <c r="E1187" i="2"/>
  <c r="J1186" i="2"/>
  <c r="H1186" i="2"/>
  <c r="E1186" i="2"/>
  <c r="G1186" i="2" s="1"/>
  <c r="J1185" i="2"/>
  <c r="H1185" i="2"/>
  <c r="E1185" i="2"/>
  <c r="G1185" i="2" s="1"/>
  <c r="J1184" i="2"/>
  <c r="H1184" i="2"/>
  <c r="G1184" i="2"/>
  <c r="E1184" i="2"/>
  <c r="J1183" i="2"/>
  <c r="H1183" i="2"/>
  <c r="E1183" i="2"/>
  <c r="G1183" i="2" s="1"/>
  <c r="J1182" i="2"/>
  <c r="H1182" i="2"/>
  <c r="G1182" i="2"/>
  <c r="E1182" i="2"/>
  <c r="J1181" i="2"/>
  <c r="H1181" i="2"/>
  <c r="E1181" i="2"/>
  <c r="G1181" i="2" s="1"/>
  <c r="J1180" i="2"/>
  <c r="H1180" i="2"/>
  <c r="E1180" i="2"/>
  <c r="G1180" i="2" s="1"/>
  <c r="J1179" i="2"/>
  <c r="H1179" i="2"/>
  <c r="E1179" i="2"/>
  <c r="G1179" i="2" s="1"/>
  <c r="J1178" i="2"/>
  <c r="H1178" i="2"/>
  <c r="G1178" i="2"/>
  <c r="E1178" i="2"/>
  <c r="J1177" i="2"/>
  <c r="H1177" i="2"/>
  <c r="E1177" i="2"/>
  <c r="G1177" i="2" s="1"/>
  <c r="J1176" i="2"/>
  <c r="H1176" i="2"/>
  <c r="E1176" i="2"/>
  <c r="G1176" i="2" s="1"/>
  <c r="J1175" i="2"/>
  <c r="H1175" i="2"/>
  <c r="E1175" i="2"/>
  <c r="G1175" i="2" s="1"/>
  <c r="J1174" i="2"/>
  <c r="H1174" i="2"/>
  <c r="E1174" i="2"/>
  <c r="G1174" i="2" s="1"/>
  <c r="J1173" i="2"/>
  <c r="H1173" i="2"/>
  <c r="G1173" i="2"/>
  <c r="E1173" i="2"/>
  <c r="J1172" i="2"/>
  <c r="H1172" i="2"/>
  <c r="E1172" i="2"/>
  <c r="G1172" i="2" s="1"/>
  <c r="J1171" i="2"/>
  <c r="H1171" i="2"/>
  <c r="E1171" i="2"/>
  <c r="G1171" i="2" s="1"/>
  <c r="J1170" i="2"/>
  <c r="H1170" i="2"/>
  <c r="G1170" i="2"/>
  <c r="E1170" i="2"/>
  <c r="J1169" i="2"/>
  <c r="H1169" i="2"/>
  <c r="G1169" i="2"/>
  <c r="E1169" i="2"/>
  <c r="J1168" i="2"/>
  <c r="H1168" i="2"/>
  <c r="E1168" i="2"/>
  <c r="G1168" i="2" s="1"/>
  <c r="J1167" i="2"/>
  <c r="H1167" i="2"/>
  <c r="E1167" i="2"/>
  <c r="G1167" i="2" s="1"/>
  <c r="J1166" i="2"/>
  <c r="H1166" i="2"/>
  <c r="E1166" i="2"/>
  <c r="G1166" i="2" s="1"/>
  <c r="J1165" i="2"/>
  <c r="H1165" i="2"/>
  <c r="E1165" i="2"/>
  <c r="G1165" i="2" s="1"/>
  <c r="J1164" i="2"/>
  <c r="H1164" i="2"/>
  <c r="G1164" i="2"/>
  <c r="E1164" i="2"/>
  <c r="J1163" i="2"/>
  <c r="H1163" i="2"/>
  <c r="E1163" i="2"/>
  <c r="G1163" i="2" s="1"/>
  <c r="J1162" i="2"/>
  <c r="H1162" i="2"/>
  <c r="E1162" i="2"/>
  <c r="G1162" i="2" s="1"/>
  <c r="J1161" i="2"/>
  <c r="H1161" i="2"/>
  <c r="E1161" i="2"/>
  <c r="G1161" i="2" s="1"/>
  <c r="J1160" i="2"/>
  <c r="H1160" i="2"/>
  <c r="G1160" i="2"/>
  <c r="E1160" i="2"/>
  <c r="J1159" i="2"/>
  <c r="H1159" i="2"/>
  <c r="E1159" i="2"/>
  <c r="G1159" i="2" s="1"/>
  <c r="J1158" i="2"/>
  <c r="H1158" i="2"/>
  <c r="E1158" i="2"/>
  <c r="G1158" i="2" s="1"/>
  <c r="J1157" i="2"/>
  <c r="H1157" i="2"/>
  <c r="E1157" i="2"/>
  <c r="G1157" i="2" s="1"/>
  <c r="J1156" i="2"/>
  <c r="H1156" i="2"/>
  <c r="E1156" i="2"/>
  <c r="G1156" i="2" s="1"/>
  <c r="J1155" i="2"/>
  <c r="H1155" i="2"/>
  <c r="G1155" i="2"/>
  <c r="E1155" i="2"/>
  <c r="J1154" i="2"/>
  <c r="H1154" i="2"/>
  <c r="E1154" i="2"/>
  <c r="G1154" i="2" s="1"/>
  <c r="J1153" i="2"/>
  <c r="H1153" i="2"/>
  <c r="E1153" i="2"/>
  <c r="G1153" i="2" s="1"/>
  <c r="J1152" i="2"/>
  <c r="H1152" i="2"/>
  <c r="E1152" i="2"/>
  <c r="G1152" i="2" s="1"/>
  <c r="J1151" i="2"/>
  <c r="H1151" i="2"/>
  <c r="G1151" i="2"/>
  <c r="E1151" i="2"/>
  <c r="J1150" i="2"/>
  <c r="H1150" i="2"/>
  <c r="E1150" i="2"/>
  <c r="G1150" i="2" s="1"/>
  <c r="J1149" i="2"/>
  <c r="H1149" i="2"/>
  <c r="E1149" i="2"/>
  <c r="G1149" i="2" s="1"/>
  <c r="J1148" i="2"/>
  <c r="H1148" i="2"/>
  <c r="G1148" i="2"/>
  <c r="E1148" i="2"/>
  <c r="J1147" i="2"/>
  <c r="H1147" i="2"/>
  <c r="E1147" i="2"/>
  <c r="G1147" i="2" s="1"/>
  <c r="J1146" i="2"/>
  <c r="H1146" i="2"/>
  <c r="G1146" i="2"/>
  <c r="E1146" i="2"/>
  <c r="J1145" i="2"/>
  <c r="H1145" i="2"/>
  <c r="E1145" i="2"/>
  <c r="G1145" i="2" s="1"/>
  <c r="J1144" i="2"/>
  <c r="H1144" i="2"/>
  <c r="E1144" i="2"/>
  <c r="G1144" i="2" s="1"/>
  <c r="J1143" i="2"/>
  <c r="H1143" i="2"/>
  <c r="E1143" i="2"/>
  <c r="G1143" i="2" s="1"/>
  <c r="J1142" i="2"/>
  <c r="H1142" i="2"/>
  <c r="G1142" i="2"/>
  <c r="E1142" i="2"/>
  <c r="J1141" i="2"/>
  <c r="H1141" i="2"/>
  <c r="E1141" i="2"/>
  <c r="G1141" i="2" s="1"/>
  <c r="J1140" i="2"/>
  <c r="H1140" i="2"/>
  <c r="E1140" i="2"/>
  <c r="G1140" i="2" s="1"/>
  <c r="J1139" i="2"/>
  <c r="H1139" i="2"/>
  <c r="E1139" i="2"/>
  <c r="G1139" i="2" s="1"/>
  <c r="J1138" i="2"/>
  <c r="H1138" i="2"/>
  <c r="E1138" i="2"/>
  <c r="G1138" i="2" s="1"/>
  <c r="J1137" i="2"/>
  <c r="H1137" i="2"/>
  <c r="G1137" i="2"/>
  <c r="E1137" i="2"/>
  <c r="J1136" i="2"/>
  <c r="H1136" i="2"/>
  <c r="E1136" i="2"/>
  <c r="G1136" i="2" s="1"/>
  <c r="J1135" i="2"/>
  <c r="H1135" i="2"/>
  <c r="E1135" i="2"/>
  <c r="G1135" i="2" s="1"/>
  <c r="J1134" i="2"/>
  <c r="H1134" i="2"/>
  <c r="G1134" i="2"/>
  <c r="E1134" i="2"/>
  <c r="J1133" i="2"/>
  <c r="H1133" i="2"/>
  <c r="G1133" i="2"/>
  <c r="E1133" i="2"/>
  <c r="J1132" i="2"/>
  <c r="H1132" i="2"/>
  <c r="E1132" i="2"/>
  <c r="G1132" i="2" s="1"/>
  <c r="J1131" i="2"/>
  <c r="H1131" i="2"/>
  <c r="E1131" i="2"/>
  <c r="G1131" i="2" s="1"/>
  <c r="J1130" i="2"/>
  <c r="H1130" i="2"/>
  <c r="G1130" i="2"/>
  <c r="E1130" i="2"/>
  <c r="J1129" i="2"/>
  <c r="H1129" i="2"/>
  <c r="E1129" i="2"/>
  <c r="G1129" i="2" s="1"/>
  <c r="J1128" i="2"/>
  <c r="H1128" i="2"/>
  <c r="G1128" i="2"/>
  <c r="E1128" i="2"/>
  <c r="J1127" i="2"/>
  <c r="H1127" i="2"/>
  <c r="E1127" i="2"/>
  <c r="G1127" i="2" s="1"/>
  <c r="J1126" i="2"/>
  <c r="H1126" i="2"/>
  <c r="E1126" i="2"/>
  <c r="G1126" i="2" s="1"/>
  <c r="J1125" i="2"/>
  <c r="H1125" i="2"/>
  <c r="E1125" i="2"/>
  <c r="G1125" i="2" s="1"/>
  <c r="J1124" i="2"/>
  <c r="H1124" i="2"/>
  <c r="G1124" i="2"/>
  <c r="E1124" i="2"/>
  <c r="J1123" i="2"/>
  <c r="H1123" i="2"/>
  <c r="E1123" i="2"/>
  <c r="G1123" i="2" s="1"/>
  <c r="J1122" i="2"/>
  <c r="H1122" i="2"/>
  <c r="E1122" i="2"/>
  <c r="G1122" i="2" s="1"/>
  <c r="J1121" i="2"/>
  <c r="H1121" i="2"/>
  <c r="E1121" i="2"/>
  <c r="G1121" i="2" s="1"/>
  <c r="J1120" i="2"/>
  <c r="H1120" i="2"/>
  <c r="E1120" i="2"/>
  <c r="G1120" i="2" s="1"/>
  <c r="J1119" i="2"/>
  <c r="H1119" i="2"/>
  <c r="G1119" i="2"/>
  <c r="E1119" i="2"/>
  <c r="J1118" i="2"/>
  <c r="H1118" i="2"/>
  <c r="E1118" i="2"/>
  <c r="G1118" i="2" s="1"/>
  <c r="J1117" i="2"/>
  <c r="H1117" i="2"/>
  <c r="E1117" i="2"/>
  <c r="G1117" i="2" s="1"/>
  <c r="J1116" i="2"/>
  <c r="H1116" i="2"/>
  <c r="G1116" i="2"/>
  <c r="E1116" i="2"/>
  <c r="J1115" i="2"/>
  <c r="H1115" i="2"/>
  <c r="G1115" i="2"/>
  <c r="E1115" i="2"/>
  <c r="J1114" i="2"/>
  <c r="H1114" i="2"/>
  <c r="E1114" i="2"/>
  <c r="G1114" i="2" s="1"/>
  <c r="J1113" i="2"/>
  <c r="H1113" i="2"/>
  <c r="E1113" i="2"/>
  <c r="G1113" i="2" s="1"/>
  <c r="J1112" i="2"/>
  <c r="H1112" i="2"/>
  <c r="G1112" i="2"/>
  <c r="E1112" i="2"/>
  <c r="J1111" i="2"/>
  <c r="H1111" i="2"/>
  <c r="E1111" i="2"/>
  <c r="G1111" i="2" s="1"/>
  <c r="J1110" i="2"/>
  <c r="H1110" i="2"/>
  <c r="G1110" i="2"/>
  <c r="E1110" i="2"/>
  <c r="J1109" i="2"/>
  <c r="H1109" i="2"/>
  <c r="E1109" i="2"/>
  <c r="G1109" i="2" s="1"/>
  <c r="J1108" i="2"/>
  <c r="H1108" i="2"/>
  <c r="E1108" i="2"/>
  <c r="G1108" i="2" s="1"/>
  <c r="J1107" i="2"/>
  <c r="H1107" i="2"/>
  <c r="E1107" i="2"/>
  <c r="G1107" i="2" s="1"/>
  <c r="J1106" i="2"/>
  <c r="H1106" i="2"/>
  <c r="G1106" i="2"/>
  <c r="E1106" i="2"/>
  <c r="J1105" i="2"/>
  <c r="H1105" i="2"/>
  <c r="E1105" i="2"/>
  <c r="G1105" i="2" s="1"/>
  <c r="J1104" i="2"/>
  <c r="H1104" i="2"/>
  <c r="E1104" i="2"/>
  <c r="G1104" i="2" s="1"/>
  <c r="J1103" i="2"/>
  <c r="H1103" i="2"/>
  <c r="E1103" i="2"/>
  <c r="G1103" i="2" s="1"/>
  <c r="J1102" i="2"/>
  <c r="H1102" i="2"/>
  <c r="E1102" i="2"/>
  <c r="G1102" i="2" s="1"/>
  <c r="J1101" i="2"/>
  <c r="H1101" i="2"/>
  <c r="G1101" i="2"/>
  <c r="E1101" i="2"/>
  <c r="J1100" i="2"/>
  <c r="H1100" i="2"/>
  <c r="E1100" i="2"/>
  <c r="G1100" i="2" s="1"/>
  <c r="J1099" i="2"/>
  <c r="H1099" i="2"/>
  <c r="E1099" i="2"/>
  <c r="G1099" i="2" s="1"/>
  <c r="J1098" i="2"/>
  <c r="H1098" i="2"/>
  <c r="G1098" i="2"/>
  <c r="E1098" i="2"/>
  <c r="J1097" i="2"/>
  <c r="H1097" i="2"/>
  <c r="G1097" i="2"/>
  <c r="E1097" i="2"/>
  <c r="J1096" i="2"/>
  <c r="H1096" i="2"/>
  <c r="E1096" i="2"/>
  <c r="G1096" i="2" s="1"/>
  <c r="J1095" i="2"/>
  <c r="H1095" i="2"/>
  <c r="E1095" i="2"/>
  <c r="G1095" i="2" s="1"/>
  <c r="J1094" i="2"/>
  <c r="H1094" i="2"/>
  <c r="E1094" i="2"/>
  <c r="G1094" i="2" s="1"/>
  <c r="J1093" i="2"/>
  <c r="H1093" i="2"/>
  <c r="E1093" i="2"/>
  <c r="G1093" i="2" s="1"/>
  <c r="J1092" i="2"/>
  <c r="H1092" i="2"/>
  <c r="G1092" i="2"/>
  <c r="E1092" i="2"/>
  <c r="J1091" i="2"/>
  <c r="H1091" i="2"/>
  <c r="E1091" i="2"/>
  <c r="G1091" i="2" s="1"/>
  <c r="J1090" i="2"/>
  <c r="H1090" i="2"/>
  <c r="E1090" i="2"/>
  <c r="G1090" i="2" s="1"/>
  <c r="J1089" i="2"/>
  <c r="H1089" i="2"/>
  <c r="E1089" i="2"/>
  <c r="G1089" i="2" s="1"/>
  <c r="J1088" i="2"/>
  <c r="H1088" i="2"/>
  <c r="G1088" i="2"/>
  <c r="E1088" i="2"/>
  <c r="J1087" i="2"/>
  <c r="H1087" i="2"/>
  <c r="E1087" i="2"/>
  <c r="G1087" i="2" s="1"/>
  <c r="J1086" i="2"/>
  <c r="H1086" i="2"/>
  <c r="E1086" i="2"/>
  <c r="G1086" i="2" s="1"/>
  <c r="J1085" i="2"/>
  <c r="H1085" i="2"/>
  <c r="E1085" i="2"/>
  <c r="G1085" i="2" s="1"/>
  <c r="J1084" i="2"/>
  <c r="H1084" i="2"/>
  <c r="E1084" i="2"/>
  <c r="G1084" i="2" s="1"/>
  <c r="J1083" i="2"/>
  <c r="H1083" i="2"/>
  <c r="G1083" i="2"/>
  <c r="E1083" i="2"/>
  <c r="J1082" i="2"/>
  <c r="H1082" i="2"/>
  <c r="E1082" i="2"/>
  <c r="G1082" i="2" s="1"/>
  <c r="J1081" i="2"/>
  <c r="H1081" i="2"/>
  <c r="E1081" i="2"/>
  <c r="G1081" i="2" s="1"/>
  <c r="J1080" i="2"/>
  <c r="H1080" i="2"/>
  <c r="E1080" i="2"/>
  <c r="G1080" i="2" s="1"/>
  <c r="J1079" i="2"/>
  <c r="H1079" i="2"/>
  <c r="G1079" i="2"/>
  <c r="E1079" i="2"/>
  <c r="J1078" i="2"/>
  <c r="H1078" i="2"/>
  <c r="E1078" i="2"/>
  <c r="G1078" i="2" s="1"/>
  <c r="J1077" i="2"/>
  <c r="H1077" i="2"/>
  <c r="E1077" i="2"/>
  <c r="G1077" i="2" s="1"/>
  <c r="J1076" i="2"/>
  <c r="H1076" i="2"/>
  <c r="G1076" i="2"/>
  <c r="E1076" i="2"/>
  <c r="J1075" i="2"/>
  <c r="H1075" i="2"/>
  <c r="E1075" i="2"/>
  <c r="G1075" i="2" s="1"/>
  <c r="J1074" i="2"/>
  <c r="H1074" i="2"/>
  <c r="G1074" i="2"/>
  <c r="E1074" i="2"/>
  <c r="J1073" i="2"/>
  <c r="H1073" i="2"/>
  <c r="E1073" i="2"/>
  <c r="G1073" i="2" s="1"/>
  <c r="J1072" i="2"/>
  <c r="H1072" i="2"/>
  <c r="E1072" i="2"/>
  <c r="G1072" i="2" s="1"/>
  <c r="J1071" i="2"/>
  <c r="H1071" i="2"/>
  <c r="G1071" i="2"/>
  <c r="E1071" i="2"/>
  <c r="J1070" i="2"/>
  <c r="H1070" i="2"/>
  <c r="G1070" i="2"/>
  <c r="E1070" i="2"/>
  <c r="J1069" i="2"/>
  <c r="H1069" i="2"/>
  <c r="E1069" i="2"/>
  <c r="G1069" i="2" s="1"/>
  <c r="J1068" i="2"/>
  <c r="H1068" i="2"/>
  <c r="E1068" i="2"/>
  <c r="G1068" i="2" s="1"/>
  <c r="J1067" i="2"/>
  <c r="H1067" i="2"/>
  <c r="E1067" i="2"/>
  <c r="G1067" i="2" s="1"/>
  <c r="J1066" i="2"/>
  <c r="H1066" i="2"/>
  <c r="E1066" i="2"/>
  <c r="G1066" i="2" s="1"/>
  <c r="J1065" i="2"/>
  <c r="H1065" i="2"/>
  <c r="G1065" i="2"/>
  <c r="E1065" i="2"/>
  <c r="J1064" i="2"/>
  <c r="H1064" i="2"/>
  <c r="E1064" i="2"/>
  <c r="G1064" i="2" s="1"/>
  <c r="J1063" i="2"/>
  <c r="H1063" i="2"/>
  <c r="E1063" i="2"/>
  <c r="G1063" i="2" s="1"/>
  <c r="J1062" i="2"/>
  <c r="H1062" i="2"/>
  <c r="G1062" i="2"/>
  <c r="E1062" i="2"/>
  <c r="J1061" i="2"/>
  <c r="H1061" i="2"/>
  <c r="G1061" i="2"/>
  <c r="E1061" i="2"/>
  <c r="J1060" i="2"/>
  <c r="H1060" i="2"/>
  <c r="E1060" i="2"/>
  <c r="G1060" i="2" s="1"/>
  <c r="J1059" i="2"/>
  <c r="H1059" i="2"/>
  <c r="E1059" i="2"/>
  <c r="G1059" i="2" s="1"/>
  <c r="J1058" i="2"/>
  <c r="H1058" i="2"/>
  <c r="E1058" i="2"/>
  <c r="G1058" i="2" s="1"/>
  <c r="J1057" i="2"/>
  <c r="H1057" i="2"/>
  <c r="E1057" i="2"/>
  <c r="G1057" i="2" s="1"/>
  <c r="J1056" i="2"/>
  <c r="H1056" i="2"/>
  <c r="G1056" i="2"/>
  <c r="E1056" i="2"/>
  <c r="J1055" i="2"/>
  <c r="H1055" i="2"/>
  <c r="E1055" i="2"/>
  <c r="G1055" i="2" s="1"/>
  <c r="J1054" i="2"/>
  <c r="H1054" i="2"/>
  <c r="E1054" i="2"/>
  <c r="G1054" i="2" s="1"/>
  <c r="J1053" i="2"/>
  <c r="H1053" i="2"/>
  <c r="E1053" i="2"/>
  <c r="G1053" i="2" s="1"/>
  <c r="J1052" i="2"/>
  <c r="H1052" i="2"/>
  <c r="G1052" i="2"/>
  <c r="E1052" i="2"/>
  <c r="J1051" i="2"/>
  <c r="H1051" i="2"/>
  <c r="E1051" i="2"/>
  <c r="G1051" i="2" s="1"/>
  <c r="J1050" i="2"/>
  <c r="H1050" i="2"/>
  <c r="E1050" i="2"/>
  <c r="G1050" i="2" s="1"/>
  <c r="J1049" i="2"/>
  <c r="H1049" i="2"/>
  <c r="E1049" i="2"/>
  <c r="G1049" i="2" s="1"/>
  <c r="J1048" i="2"/>
  <c r="H1048" i="2"/>
  <c r="E1048" i="2"/>
  <c r="G1048" i="2" s="1"/>
  <c r="J1047" i="2"/>
  <c r="H1047" i="2"/>
  <c r="G1047" i="2"/>
  <c r="E1047" i="2"/>
  <c r="J1046" i="2"/>
  <c r="H1046" i="2"/>
  <c r="E1046" i="2"/>
  <c r="G1046" i="2" s="1"/>
  <c r="J1045" i="2"/>
  <c r="H1045" i="2"/>
  <c r="E1045" i="2"/>
  <c r="G1045" i="2" s="1"/>
  <c r="J1044" i="2"/>
  <c r="H1044" i="2"/>
  <c r="E1044" i="2"/>
  <c r="G1044" i="2" s="1"/>
  <c r="J1043" i="2"/>
  <c r="H1043" i="2"/>
  <c r="G1043" i="2"/>
  <c r="E1043" i="2"/>
  <c r="J1042" i="2"/>
  <c r="H1042" i="2"/>
  <c r="E1042" i="2"/>
  <c r="G1042" i="2" s="1"/>
  <c r="J1041" i="2"/>
  <c r="H1041" i="2"/>
  <c r="E1041" i="2"/>
  <c r="G1041" i="2" s="1"/>
  <c r="J1040" i="2"/>
  <c r="H1040" i="2"/>
  <c r="G1040" i="2"/>
  <c r="E1040" i="2"/>
  <c r="J1039" i="2"/>
  <c r="H1039" i="2"/>
  <c r="E1039" i="2"/>
  <c r="G1039" i="2" s="1"/>
  <c r="J1038" i="2"/>
  <c r="H1038" i="2"/>
  <c r="G1038" i="2"/>
  <c r="E1038" i="2"/>
  <c r="J1037" i="2"/>
  <c r="H1037" i="2"/>
  <c r="E1037" i="2"/>
  <c r="G1037" i="2" s="1"/>
  <c r="J1036" i="2"/>
  <c r="H1036" i="2"/>
  <c r="E1036" i="2"/>
  <c r="G1036" i="2" s="1"/>
  <c r="J1035" i="2"/>
  <c r="H1035" i="2"/>
  <c r="E1035" i="2"/>
  <c r="G1035" i="2" s="1"/>
  <c r="J1034" i="2"/>
  <c r="H1034" i="2"/>
  <c r="G1034" i="2"/>
  <c r="E1034" i="2"/>
  <c r="J1033" i="2"/>
  <c r="H1033" i="2"/>
  <c r="E1033" i="2"/>
  <c r="G1033" i="2" s="1"/>
  <c r="J1032" i="2"/>
  <c r="H1032" i="2"/>
  <c r="E1032" i="2"/>
  <c r="G1032" i="2" s="1"/>
  <c r="J1031" i="2"/>
  <c r="H1031" i="2"/>
  <c r="G1031" i="2"/>
  <c r="E1031" i="2"/>
  <c r="J1030" i="2"/>
  <c r="H1030" i="2"/>
  <c r="E1030" i="2"/>
  <c r="G1030" i="2" s="1"/>
  <c r="J1029" i="2"/>
  <c r="H1029" i="2"/>
  <c r="G1029" i="2"/>
  <c r="E1029" i="2"/>
  <c r="J1028" i="2"/>
  <c r="H1028" i="2"/>
  <c r="E1028" i="2"/>
  <c r="G1028" i="2" s="1"/>
  <c r="J1027" i="2"/>
  <c r="H1027" i="2"/>
  <c r="E1027" i="2"/>
  <c r="G1027" i="2" s="1"/>
  <c r="J1026" i="2"/>
  <c r="H1026" i="2"/>
  <c r="G1026" i="2"/>
  <c r="E1026" i="2"/>
  <c r="J1025" i="2"/>
  <c r="H1025" i="2"/>
  <c r="G1025" i="2"/>
  <c r="E1025" i="2"/>
  <c r="J1024" i="2"/>
  <c r="H1024" i="2"/>
  <c r="E1024" i="2"/>
  <c r="G1024" i="2" s="1"/>
  <c r="J1023" i="2"/>
  <c r="H1023" i="2"/>
  <c r="E1023" i="2"/>
  <c r="G1023" i="2" s="1"/>
  <c r="J1022" i="2"/>
  <c r="H1022" i="2"/>
  <c r="G1022" i="2"/>
  <c r="E1022" i="2"/>
  <c r="J1021" i="2"/>
  <c r="H1021" i="2"/>
  <c r="E1021" i="2"/>
  <c r="G1021" i="2" s="1"/>
  <c r="J1020" i="2"/>
  <c r="H1020" i="2"/>
  <c r="G1020" i="2"/>
  <c r="E1020" i="2"/>
  <c r="J1019" i="2"/>
  <c r="H1019" i="2"/>
  <c r="E1019" i="2"/>
  <c r="G1019" i="2" s="1"/>
  <c r="J1018" i="2"/>
  <c r="H1018" i="2"/>
  <c r="E1018" i="2"/>
  <c r="G1018" i="2" s="1"/>
  <c r="J1017" i="2"/>
  <c r="H1017" i="2"/>
  <c r="G1017" i="2"/>
  <c r="E1017" i="2"/>
  <c r="J1016" i="2"/>
  <c r="H1016" i="2"/>
  <c r="G1016" i="2"/>
  <c r="E1016" i="2"/>
  <c r="J1015" i="2"/>
  <c r="H1015" i="2"/>
  <c r="E1015" i="2"/>
  <c r="G1015" i="2" s="1"/>
  <c r="J1014" i="2"/>
  <c r="H1014" i="2"/>
  <c r="E1014" i="2"/>
  <c r="G1014" i="2" s="1"/>
  <c r="J1013" i="2"/>
  <c r="H1013" i="2"/>
  <c r="E1013" i="2"/>
  <c r="G1013" i="2" s="1"/>
  <c r="J1012" i="2"/>
  <c r="H1012" i="2"/>
  <c r="E1012" i="2"/>
  <c r="G1012" i="2" s="1"/>
  <c r="J1011" i="2"/>
  <c r="H1011" i="2"/>
  <c r="G1011" i="2"/>
  <c r="E1011" i="2"/>
  <c r="J1010" i="2"/>
  <c r="H1010" i="2"/>
  <c r="E1010" i="2"/>
  <c r="G1010" i="2" s="1"/>
  <c r="J1009" i="2"/>
  <c r="H1009" i="2"/>
  <c r="E1009" i="2"/>
  <c r="G1009" i="2" s="1"/>
  <c r="J1008" i="2"/>
  <c r="H1008" i="2"/>
  <c r="G1008" i="2"/>
  <c r="E1008" i="2"/>
  <c r="J1007" i="2"/>
  <c r="H1007" i="2"/>
  <c r="G1007" i="2"/>
  <c r="E1007" i="2"/>
  <c r="J1006" i="2"/>
  <c r="H1006" i="2"/>
  <c r="E1006" i="2"/>
  <c r="G1006" i="2" s="1"/>
  <c r="J1005" i="2"/>
  <c r="H1005" i="2"/>
  <c r="E1005" i="2"/>
  <c r="G1005" i="2" s="1"/>
  <c r="J1004" i="2"/>
  <c r="H1004" i="2"/>
  <c r="G1004" i="2"/>
  <c r="E1004" i="2"/>
  <c r="J1003" i="2"/>
  <c r="H1003" i="2"/>
  <c r="E1003" i="2"/>
  <c r="G1003" i="2" s="1"/>
  <c r="J1002" i="2"/>
  <c r="H1002" i="2"/>
  <c r="G1002" i="2"/>
  <c r="E1002" i="2"/>
  <c r="J1001" i="2"/>
  <c r="H1001" i="2"/>
  <c r="E1001" i="2"/>
  <c r="G1001" i="2" s="1"/>
  <c r="J1000" i="2"/>
  <c r="H1000" i="2"/>
  <c r="E1000" i="2"/>
  <c r="G1000" i="2" s="1"/>
  <c r="J999" i="2"/>
  <c r="H999" i="2"/>
  <c r="E999" i="2"/>
  <c r="G999" i="2" s="1"/>
  <c r="J998" i="2"/>
  <c r="H998" i="2"/>
  <c r="G998" i="2"/>
  <c r="E998" i="2"/>
  <c r="J997" i="2"/>
  <c r="H997" i="2"/>
  <c r="E997" i="2"/>
  <c r="G997" i="2" s="1"/>
  <c r="J996" i="2"/>
  <c r="H996" i="2"/>
  <c r="E996" i="2"/>
  <c r="G996" i="2" s="1"/>
  <c r="J995" i="2"/>
  <c r="H995" i="2"/>
  <c r="E995" i="2"/>
  <c r="G995" i="2" s="1"/>
  <c r="J994" i="2"/>
  <c r="H994" i="2"/>
  <c r="E994" i="2"/>
  <c r="G994" i="2" s="1"/>
  <c r="J993" i="2"/>
  <c r="H993" i="2"/>
  <c r="G993" i="2"/>
  <c r="E993" i="2"/>
  <c r="J992" i="2"/>
  <c r="H992" i="2"/>
  <c r="E992" i="2"/>
  <c r="G992" i="2" s="1"/>
  <c r="J991" i="2"/>
  <c r="H991" i="2"/>
  <c r="E991" i="2"/>
  <c r="G991" i="2" s="1"/>
  <c r="J990" i="2"/>
  <c r="H990" i="2"/>
  <c r="G990" i="2"/>
  <c r="E990" i="2"/>
  <c r="J989" i="2"/>
  <c r="H989" i="2"/>
  <c r="G989" i="2"/>
  <c r="E989" i="2"/>
  <c r="J988" i="2"/>
  <c r="H988" i="2"/>
  <c r="E988" i="2"/>
  <c r="G988" i="2" s="1"/>
  <c r="J987" i="2"/>
  <c r="H987" i="2"/>
  <c r="E987" i="2"/>
  <c r="G987" i="2" s="1"/>
  <c r="J986" i="2"/>
  <c r="H986" i="2"/>
  <c r="E986" i="2"/>
  <c r="G986" i="2" s="1"/>
  <c r="J985" i="2"/>
  <c r="H985" i="2"/>
  <c r="E985" i="2"/>
  <c r="G985" i="2" s="1"/>
  <c r="J984" i="2"/>
  <c r="H984" i="2"/>
  <c r="G984" i="2"/>
  <c r="E984" i="2"/>
  <c r="J983" i="2"/>
  <c r="H983" i="2"/>
  <c r="E983" i="2"/>
  <c r="G983" i="2" s="1"/>
  <c r="J982" i="2"/>
  <c r="H982" i="2"/>
  <c r="E982" i="2"/>
  <c r="G982" i="2" s="1"/>
  <c r="J981" i="2"/>
  <c r="H981" i="2"/>
  <c r="E981" i="2"/>
  <c r="G981" i="2" s="1"/>
  <c r="J980" i="2"/>
  <c r="H980" i="2"/>
  <c r="G980" i="2"/>
  <c r="E980" i="2"/>
  <c r="J979" i="2"/>
  <c r="H979" i="2"/>
  <c r="E979" i="2"/>
  <c r="G979" i="2" s="1"/>
  <c r="J978" i="2"/>
  <c r="H978" i="2"/>
  <c r="E978" i="2"/>
  <c r="G978" i="2" s="1"/>
  <c r="J977" i="2"/>
  <c r="H977" i="2"/>
  <c r="G977" i="2"/>
  <c r="E977" i="2"/>
  <c r="J976" i="2"/>
  <c r="H976" i="2"/>
  <c r="E976" i="2"/>
  <c r="G976" i="2" s="1"/>
  <c r="J975" i="2"/>
  <c r="H975" i="2"/>
  <c r="G975" i="2"/>
  <c r="E975" i="2"/>
  <c r="J974" i="2"/>
  <c r="H974" i="2"/>
  <c r="E974" i="2"/>
  <c r="G974" i="2" s="1"/>
  <c r="J973" i="2"/>
  <c r="H973" i="2"/>
  <c r="E973" i="2"/>
  <c r="G973" i="2" s="1"/>
  <c r="J972" i="2"/>
  <c r="H972" i="2"/>
  <c r="E972" i="2"/>
  <c r="G972" i="2" s="1"/>
  <c r="J971" i="2"/>
  <c r="H971" i="2"/>
  <c r="G971" i="2"/>
  <c r="E971" i="2"/>
  <c r="J970" i="2"/>
  <c r="H970" i="2"/>
  <c r="E970" i="2"/>
  <c r="G970" i="2" s="1"/>
  <c r="J969" i="2"/>
  <c r="H969" i="2"/>
  <c r="E969" i="2"/>
  <c r="G969" i="2" s="1"/>
  <c r="J968" i="2"/>
  <c r="H968" i="2"/>
  <c r="G968" i="2"/>
  <c r="E968" i="2"/>
  <c r="J967" i="2"/>
  <c r="H967" i="2"/>
  <c r="E967" i="2"/>
  <c r="G967" i="2" s="1"/>
  <c r="J966" i="2"/>
  <c r="H966" i="2"/>
  <c r="G966" i="2"/>
  <c r="E966" i="2"/>
  <c r="J965" i="2"/>
  <c r="H965" i="2"/>
  <c r="E965" i="2"/>
  <c r="G965" i="2" s="1"/>
  <c r="J964" i="2"/>
  <c r="H964" i="2"/>
  <c r="E964" i="2"/>
  <c r="G964" i="2" s="1"/>
  <c r="J963" i="2"/>
  <c r="H963" i="2"/>
  <c r="G963" i="2"/>
  <c r="E963" i="2"/>
  <c r="J962" i="2"/>
  <c r="H962" i="2"/>
  <c r="G962" i="2"/>
  <c r="E962" i="2"/>
  <c r="J961" i="2"/>
  <c r="H961" i="2"/>
  <c r="E961" i="2"/>
  <c r="G961" i="2" s="1"/>
  <c r="J960" i="2"/>
  <c r="H960" i="2"/>
  <c r="E960" i="2"/>
  <c r="G960" i="2" s="1"/>
  <c r="J959" i="2"/>
  <c r="H959" i="2"/>
  <c r="E959" i="2"/>
  <c r="G959" i="2" s="1"/>
  <c r="J958" i="2"/>
  <c r="H958" i="2"/>
  <c r="E958" i="2"/>
  <c r="G958" i="2" s="1"/>
  <c r="J957" i="2"/>
  <c r="H957" i="2"/>
  <c r="G957" i="2"/>
  <c r="E957" i="2"/>
  <c r="J956" i="2"/>
  <c r="H956" i="2"/>
  <c r="E956" i="2"/>
  <c r="G956" i="2" s="1"/>
  <c r="J955" i="2"/>
  <c r="H955" i="2"/>
  <c r="E955" i="2"/>
  <c r="G955" i="2" s="1"/>
  <c r="J954" i="2"/>
  <c r="H954" i="2"/>
  <c r="G954" i="2"/>
  <c r="E954" i="2"/>
  <c r="J953" i="2"/>
  <c r="H953" i="2"/>
  <c r="G953" i="2"/>
  <c r="E953" i="2"/>
  <c r="J952" i="2"/>
  <c r="H952" i="2"/>
  <c r="E952" i="2"/>
  <c r="G952" i="2" s="1"/>
  <c r="J951" i="2"/>
  <c r="H951" i="2"/>
  <c r="E951" i="2"/>
  <c r="G951" i="2" s="1"/>
  <c r="J950" i="2"/>
  <c r="H950" i="2"/>
  <c r="E950" i="2"/>
  <c r="G950" i="2" s="1"/>
  <c r="J949" i="2"/>
  <c r="H949" i="2"/>
  <c r="E949" i="2"/>
  <c r="G949" i="2" s="1"/>
  <c r="J948" i="2"/>
  <c r="H948" i="2"/>
  <c r="G948" i="2"/>
  <c r="E948" i="2"/>
  <c r="J947" i="2"/>
  <c r="H947" i="2"/>
  <c r="E947" i="2"/>
  <c r="G947" i="2" s="1"/>
  <c r="J946" i="2"/>
  <c r="H946" i="2"/>
  <c r="E946" i="2"/>
  <c r="G946" i="2" s="1"/>
  <c r="J945" i="2"/>
  <c r="H945" i="2"/>
  <c r="E945" i="2"/>
  <c r="G945" i="2" s="1"/>
  <c r="J944" i="2"/>
  <c r="H944" i="2"/>
  <c r="G944" i="2"/>
  <c r="E944" i="2"/>
  <c r="J943" i="2"/>
  <c r="H943" i="2"/>
  <c r="E943" i="2"/>
  <c r="G943" i="2" s="1"/>
  <c r="J942" i="2"/>
  <c r="H942" i="2"/>
  <c r="E942" i="2"/>
  <c r="G942" i="2" s="1"/>
  <c r="J941" i="2"/>
  <c r="H941" i="2"/>
  <c r="E941" i="2"/>
  <c r="G941" i="2" s="1"/>
  <c r="J940" i="2"/>
  <c r="H940" i="2"/>
  <c r="E940" i="2"/>
  <c r="G940" i="2" s="1"/>
  <c r="J939" i="2"/>
  <c r="H939" i="2"/>
  <c r="G939" i="2"/>
  <c r="E939" i="2"/>
  <c r="J938" i="2"/>
  <c r="H938" i="2"/>
  <c r="E938" i="2"/>
  <c r="G938" i="2" s="1"/>
  <c r="J937" i="2"/>
  <c r="H937" i="2"/>
  <c r="E937" i="2"/>
  <c r="G937" i="2" s="1"/>
  <c r="J936" i="2"/>
  <c r="H936" i="2"/>
  <c r="E936" i="2"/>
  <c r="G936" i="2" s="1"/>
  <c r="J935" i="2"/>
  <c r="H935" i="2"/>
  <c r="G935" i="2"/>
  <c r="E935" i="2"/>
  <c r="J934" i="2"/>
  <c r="H934" i="2"/>
  <c r="E934" i="2"/>
  <c r="G934" i="2" s="1"/>
  <c r="J933" i="2"/>
  <c r="H933" i="2"/>
  <c r="E933" i="2"/>
  <c r="G933" i="2" s="1"/>
  <c r="J932" i="2"/>
  <c r="H932" i="2"/>
  <c r="G932" i="2"/>
  <c r="E932" i="2"/>
  <c r="J931" i="2"/>
  <c r="H931" i="2"/>
  <c r="E931" i="2"/>
  <c r="G931" i="2" s="1"/>
  <c r="J930" i="2"/>
  <c r="H930" i="2"/>
  <c r="G930" i="2"/>
  <c r="E930" i="2"/>
  <c r="J929" i="2"/>
  <c r="H929" i="2"/>
  <c r="E929" i="2"/>
  <c r="G929" i="2" s="1"/>
  <c r="J928" i="2"/>
  <c r="H928" i="2"/>
  <c r="E928" i="2"/>
  <c r="G928" i="2" s="1"/>
  <c r="J927" i="2"/>
  <c r="H927" i="2"/>
  <c r="E927" i="2"/>
  <c r="G927" i="2" s="1"/>
  <c r="J926" i="2"/>
  <c r="H926" i="2"/>
  <c r="G926" i="2"/>
  <c r="E926" i="2"/>
  <c r="J925" i="2"/>
  <c r="H925" i="2"/>
  <c r="E925" i="2"/>
  <c r="G925" i="2" s="1"/>
  <c r="J924" i="2"/>
  <c r="H924" i="2"/>
  <c r="E924" i="2"/>
  <c r="G924" i="2" s="1"/>
  <c r="J923" i="2"/>
  <c r="H923" i="2"/>
  <c r="G923" i="2"/>
  <c r="E923" i="2"/>
  <c r="J922" i="2"/>
  <c r="H922" i="2"/>
  <c r="E922" i="2"/>
  <c r="G922" i="2" s="1"/>
  <c r="J921" i="2"/>
  <c r="H921" i="2"/>
  <c r="G921" i="2"/>
  <c r="E921" i="2"/>
  <c r="J920" i="2"/>
  <c r="H920" i="2"/>
  <c r="E920" i="2"/>
  <c r="G920" i="2" s="1"/>
  <c r="J919" i="2"/>
  <c r="H919" i="2"/>
  <c r="E919" i="2"/>
  <c r="G919" i="2" s="1"/>
  <c r="J918" i="2"/>
  <c r="H918" i="2"/>
  <c r="G918" i="2"/>
  <c r="E918" i="2"/>
  <c r="J917" i="2"/>
  <c r="H917" i="2"/>
  <c r="G917" i="2"/>
  <c r="E917" i="2"/>
  <c r="J916" i="2"/>
  <c r="H916" i="2"/>
  <c r="E916" i="2"/>
  <c r="G916" i="2" s="1"/>
  <c r="J915" i="2"/>
  <c r="H915" i="2"/>
  <c r="E915" i="2"/>
  <c r="G915" i="2" s="1"/>
  <c r="J914" i="2"/>
  <c r="H914" i="2"/>
  <c r="G914" i="2"/>
  <c r="E914" i="2"/>
  <c r="J913" i="2"/>
  <c r="H913" i="2"/>
  <c r="E913" i="2"/>
  <c r="G913" i="2" s="1"/>
  <c r="J912" i="2"/>
  <c r="H912" i="2"/>
  <c r="G912" i="2"/>
  <c r="E912" i="2"/>
  <c r="J911" i="2"/>
  <c r="H911" i="2"/>
  <c r="E911" i="2"/>
  <c r="G911" i="2" s="1"/>
  <c r="J910" i="2"/>
  <c r="H910" i="2"/>
  <c r="E910" i="2"/>
  <c r="G910" i="2" s="1"/>
  <c r="J909" i="2"/>
  <c r="H909" i="2"/>
  <c r="G909" i="2"/>
  <c r="E909" i="2"/>
  <c r="J908" i="2"/>
  <c r="H908" i="2"/>
  <c r="G908" i="2"/>
  <c r="E908" i="2"/>
  <c r="J907" i="2"/>
  <c r="H907" i="2"/>
  <c r="E907" i="2"/>
  <c r="G907" i="2" s="1"/>
  <c r="J906" i="2"/>
  <c r="H906" i="2"/>
  <c r="E906" i="2"/>
  <c r="G906" i="2" s="1"/>
  <c r="J905" i="2"/>
  <c r="H905" i="2"/>
  <c r="E905" i="2"/>
  <c r="G905" i="2" s="1"/>
  <c r="J904" i="2"/>
  <c r="H904" i="2"/>
  <c r="E904" i="2"/>
  <c r="G904" i="2" s="1"/>
  <c r="J903" i="2"/>
  <c r="H903" i="2"/>
  <c r="G903" i="2"/>
  <c r="E903" i="2"/>
  <c r="J902" i="2"/>
  <c r="H902" i="2"/>
  <c r="E902" i="2"/>
  <c r="G902" i="2" s="1"/>
  <c r="J901" i="2"/>
  <c r="H901" i="2"/>
  <c r="E901" i="2"/>
  <c r="G901" i="2" s="1"/>
  <c r="J900" i="2"/>
  <c r="H900" i="2"/>
  <c r="G900" i="2"/>
  <c r="E900" i="2"/>
  <c r="J899" i="2"/>
  <c r="H899" i="2"/>
  <c r="G899" i="2"/>
  <c r="E899" i="2"/>
  <c r="J898" i="2"/>
  <c r="H898" i="2"/>
  <c r="E898" i="2"/>
  <c r="G898" i="2" s="1"/>
  <c r="J897" i="2"/>
  <c r="H897" i="2"/>
  <c r="E897" i="2"/>
  <c r="G897" i="2" s="1"/>
  <c r="J896" i="2"/>
  <c r="H896" i="2"/>
  <c r="G896" i="2"/>
  <c r="E896" i="2"/>
  <c r="J895" i="2"/>
  <c r="H895" i="2"/>
  <c r="E895" i="2"/>
  <c r="G895" i="2" s="1"/>
  <c r="J894" i="2"/>
  <c r="H894" i="2"/>
  <c r="G894" i="2"/>
  <c r="E894" i="2"/>
  <c r="J893" i="2"/>
  <c r="H893" i="2"/>
  <c r="E893" i="2"/>
  <c r="G893" i="2" s="1"/>
  <c r="J892" i="2"/>
  <c r="H892" i="2"/>
  <c r="E892" i="2"/>
  <c r="G892" i="2" s="1"/>
  <c r="J891" i="2"/>
  <c r="H891" i="2"/>
  <c r="E891" i="2"/>
  <c r="G891" i="2" s="1"/>
  <c r="J890" i="2"/>
  <c r="H890" i="2"/>
  <c r="G890" i="2"/>
  <c r="E890" i="2"/>
  <c r="J889" i="2"/>
  <c r="H889" i="2"/>
  <c r="E889" i="2"/>
  <c r="G889" i="2" s="1"/>
  <c r="J888" i="2"/>
  <c r="H888" i="2"/>
  <c r="E888" i="2"/>
  <c r="G888" i="2" s="1"/>
  <c r="J887" i="2"/>
  <c r="H887" i="2"/>
  <c r="E887" i="2"/>
  <c r="G887" i="2" s="1"/>
  <c r="J886" i="2"/>
  <c r="H886" i="2"/>
  <c r="E886" i="2"/>
  <c r="G886" i="2" s="1"/>
  <c r="J885" i="2"/>
  <c r="H885" i="2"/>
  <c r="G885" i="2"/>
  <c r="E885" i="2"/>
  <c r="J884" i="2"/>
  <c r="H884" i="2"/>
  <c r="E884" i="2"/>
  <c r="G884" i="2" s="1"/>
  <c r="J883" i="2"/>
  <c r="H883" i="2"/>
  <c r="E883" i="2"/>
  <c r="G883" i="2" s="1"/>
  <c r="J882" i="2"/>
  <c r="H882" i="2"/>
  <c r="G882" i="2"/>
  <c r="E882" i="2"/>
  <c r="J881" i="2"/>
  <c r="H881" i="2"/>
  <c r="G881" i="2"/>
  <c r="E881" i="2"/>
  <c r="J880" i="2"/>
  <c r="H880" i="2"/>
  <c r="E880" i="2"/>
  <c r="G880" i="2" s="1"/>
  <c r="J879" i="2"/>
  <c r="H879" i="2"/>
  <c r="E879" i="2"/>
  <c r="G879" i="2" s="1"/>
  <c r="J878" i="2"/>
  <c r="H878" i="2"/>
  <c r="E878" i="2"/>
  <c r="G878" i="2" s="1"/>
  <c r="J877" i="2"/>
  <c r="H877" i="2"/>
  <c r="E877" i="2"/>
  <c r="G877" i="2" s="1"/>
  <c r="J876" i="2"/>
  <c r="H876" i="2"/>
  <c r="G876" i="2"/>
  <c r="E876" i="2"/>
  <c r="J875" i="2"/>
  <c r="H875" i="2"/>
  <c r="E875" i="2"/>
  <c r="G875" i="2" s="1"/>
  <c r="J874" i="2"/>
  <c r="H874" i="2"/>
  <c r="E874" i="2"/>
  <c r="G874" i="2" s="1"/>
  <c r="J873" i="2"/>
  <c r="H873" i="2"/>
  <c r="E873" i="2"/>
  <c r="G873" i="2" s="1"/>
  <c r="J872" i="2"/>
  <c r="H872" i="2"/>
  <c r="G872" i="2"/>
  <c r="E872" i="2"/>
  <c r="J871" i="2"/>
  <c r="H871" i="2"/>
  <c r="E871" i="2"/>
  <c r="G871" i="2" s="1"/>
  <c r="J870" i="2"/>
  <c r="H870" i="2"/>
  <c r="E870" i="2"/>
  <c r="G870" i="2" s="1"/>
  <c r="J869" i="2"/>
  <c r="H869" i="2"/>
  <c r="G869" i="2"/>
  <c r="E869" i="2"/>
  <c r="J868" i="2"/>
  <c r="H868" i="2"/>
  <c r="E868" i="2"/>
  <c r="G868" i="2" s="1"/>
  <c r="J867" i="2"/>
  <c r="H867" i="2"/>
  <c r="G867" i="2"/>
  <c r="E867" i="2"/>
  <c r="J866" i="2"/>
  <c r="H866" i="2"/>
  <c r="E866" i="2"/>
  <c r="G866" i="2" s="1"/>
  <c r="J865" i="2"/>
  <c r="H865" i="2"/>
  <c r="E865" i="2"/>
  <c r="G865" i="2" s="1"/>
  <c r="J864" i="2"/>
  <c r="H864" i="2"/>
  <c r="E864" i="2"/>
  <c r="G864" i="2" s="1"/>
  <c r="J863" i="2"/>
  <c r="H863" i="2"/>
  <c r="G863" i="2"/>
  <c r="E863" i="2"/>
  <c r="J862" i="2"/>
  <c r="H862" i="2"/>
  <c r="E862" i="2"/>
  <c r="G862" i="2" s="1"/>
  <c r="J861" i="2"/>
  <c r="H861" i="2"/>
  <c r="E861" i="2"/>
  <c r="G861" i="2" s="1"/>
  <c r="J860" i="2"/>
  <c r="H860" i="2"/>
  <c r="G860" i="2"/>
  <c r="E860" i="2"/>
  <c r="J859" i="2"/>
  <c r="H859" i="2"/>
  <c r="E859" i="2"/>
  <c r="G859" i="2" s="1"/>
  <c r="J858" i="2"/>
  <c r="H858" i="2"/>
  <c r="G858" i="2"/>
  <c r="E858" i="2"/>
  <c r="J857" i="2"/>
  <c r="H857" i="2"/>
  <c r="E857" i="2"/>
  <c r="G857" i="2" s="1"/>
  <c r="J856" i="2"/>
  <c r="H856" i="2"/>
  <c r="E856" i="2"/>
  <c r="G856" i="2" s="1"/>
  <c r="J855" i="2"/>
  <c r="H855" i="2"/>
  <c r="G855" i="2"/>
  <c r="E855" i="2"/>
  <c r="J854" i="2"/>
  <c r="H854" i="2"/>
  <c r="G854" i="2"/>
  <c r="E854" i="2"/>
  <c r="J853" i="2"/>
  <c r="H853" i="2"/>
  <c r="E853" i="2"/>
  <c r="G853" i="2" s="1"/>
  <c r="J852" i="2"/>
  <c r="H852" i="2"/>
  <c r="E852" i="2"/>
  <c r="G852" i="2" s="1"/>
  <c r="J851" i="2"/>
  <c r="H851" i="2"/>
  <c r="E851" i="2"/>
  <c r="G851" i="2" s="1"/>
  <c r="J850" i="2"/>
  <c r="H850" i="2"/>
  <c r="E850" i="2"/>
  <c r="G850" i="2" s="1"/>
  <c r="J849" i="2"/>
  <c r="H849" i="2"/>
  <c r="G849" i="2"/>
  <c r="E849" i="2"/>
  <c r="J848" i="2"/>
  <c r="H848" i="2"/>
  <c r="E848" i="2"/>
  <c r="G848" i="2" s="1"/>
  <c r="J847" i="2"/>
  <c r="H847" i="2"/>
  <c r="E847" i="2"/>
  <c r="G847" i="2" s="1"/>
  <c r="J846" i="2"/>
  <c r="H846" i="2"/>
  <c r="G846" i="2"/>
  <c r="E846" i="2"/>
  <c r="J845" i="2"/>
  <c r="H845" i="2"/>
  <c r="G845" i="2"/>
  <c r="E845" i="2"/>
  <c r="J844" i="2"/>
  <c r="H844" i="2"/>
  <c r="E844" i="2"/>
  <c r="G844" i="2" s="1"/>
  <c r="J843" i="2"/>
  <c r="H843" i="2"/>
  <c r="E843" i="2"/>
  <c r="G843" i="2" s="1"/>
  <c r="J842" i="2"/>
  <c r="H842" i="2"/>
  <c r="E842" i="2"/>
  <c r="G842" i="2" s="1"/>
  <c r="J841" i="2"/>
  <c r="H841" i="2"/>
  <c r="E841" i="2"/>
  <c r="G841" i="2" s="1"/>
  <c r="J840" i="2"/>
  <c r="H840" i="2"/>
  <c r="G840" i="2"/>
  <c r="E840" i="2"/>
  <c r="J839" i="2"/>
  <c r="H839" i="2"/>
  <c r="E839" i="2"/>
  <c r="G839" i="2" s="1"/>
  <c r="J838" i="2"/>
  <c r="H838" i="2"/>
  <c r="E838" i="2"/>
  <c r="G838" i="2" s="1"/>
  <c r="J837" i="2"/>
  <c r="H837" i="2"/>
  <c r="E837" i="2"/>
  <c r="G837" i="2" s="1"/>
  <c r="J836" i="2"/>
  <c r="H836" i="2"/>
  <c r="G836" i="2"/>
  <c r="E836" i="2"/>
  <c r="J835" i="2"/>
  <c r="H835" i="2"/>
  <c r="E835" i="2"/>
  <c r="G835" i="2" s="1"/>
  <c r="J834" i="2"/>
  <c r="H834" i="2"/>
  <c r="E834" i="2"/>
  <c r="G834" i="2" s="1"/>
  <c r="J833" i="2"/>
  <c r="H833" i="2"/>
  <c r="E833" i="2"/>
  <c r="G833" i="2" s="1"/>
  <c r="J832" i="2"/>
  <c r="H832" i="2"/>
  <c r="E832" i="2"/>
  <c r="G832" i="2" s="1"/>
  <c r="J831" i="2"/>
  <c r="H831" i="2"/>
  <c r="G831" i="2"/>
  <c r="E831" i="2"/>
  <c r="J830" i="2"/>
  <c r="H830" i="2"/>
  <c r="E830" i="2"/>
  <c r="G830" i="2" s="1"/>
  <c r="J829" i="2"/>
  <c r="H829" i="2"/>
  <c r="E829" i="2"/>
  <c r="G829" i="2" s="1"/>
  <c r="J828" i="2"/>
  <c r="H828" i="2"/>
  <c r="E828" i="2"/>
  <c r="G828" i="2" s="1"/>
  <c r="J827" i="2"/>
  <c r="H827" i="2"/>
  <c r="G827" i="2"/>
  <c r="E827" i="2"/>
  <c r="J826" i="2"/>
  <c r="H826" i="2"/>
  <c r="E826" i="2"/>
  <c r="G826" i="2" s="1"/>
  <c r="J825" i="2"/>
  <c r="H825" i="2"/>
  <c r="E825" i="2"/>
  <c r="G825" i="2" s="1"/>
  <c r="J824" i="2"/>
  <c r="H824" i="2"/>
  <c r="G824" i="2"/>
  <c r="E824" i="2"/>
  <c r="J823" i="2"/>
  <c r="H823" i="2"/>
  <c r="E823" i="2"/>
  <c r="G823" i="2" s="1"/>
  <c r="J822" i="2"/>
  <c r="H822" i="2"/>
  <c r="G822" i="2"/>
  <c r="E822" i="2"/>
  <c r="J821" i="2"/>
  <c r="H821" i="2"/>
  <c r="E821" i="2"/>
  <c r="G821" i="2" s="1"/>
  <c r="J820" i="2"/>
  <c r="H820" i="2"/>
  <c r="E820" i="2"/>
  <c r="G820" i="2" s="1"/>
  <c r="J819" i="2"/>
  <c r="H819" i="2"/>
  <c r="E819" i="2"/>
  <c r="G819" i="2" s="1"/>
  <c r="J818" i="2"/>
  <c r="H818" i="2"/>
  <c r="G818" i="2"/>
  <c r="E818" i="2"/>
  <c r="J817" i="2"/>
  <c r="H817" i="2"/>
  <c r="E817" i="2"/>
  <c r="G817" i="2" s="1"/>
  <c r="J816" i="2"/>
  <c r="H816" i="2"/>
  <c r="E816" i="2"/>
  <c r="G816" i="2" s="1"/>
  <c r="J815" i="2"/>
  <c r="H815" i="2"/>
  <c r="G815" i="2"/>
  <c r="E815" i="2"/>
  <c r="J814" i="2"/>
  <c r="H814" i="2"/>
  <c r="E814" i="2"/>
  <c r="G814" i="2" s="1"/>
  <c r="J813" i="2"/>
  <c r="H813" i="2"/>
  <c r="G813" i="2"/>
  <c r="E813" i="2"/>
  <c r="J812" i="2"/>
  <c r="H812" i="2"/>
  <c r="E812" i="2"/>
  <c r="G812" i="2" s="1"/>
  <c r="J811" i="2"/>
  <c r="H811" i="2"/>
  <c r="E811" i="2"/>
  <c r="G811" i="2" s="1"/>
  <c r="J810" i="2"/>
  <c r="H810" i="2"/>
  <c r="G810" i="2"/>
  <c r="E810" i="2"/>
  <c r="J809" i="2"/>
  <c r="H809" i="2"/>
  <c r="G809" i="2"/>
  <c r="E809" i="2"/>
  <c r="J808" i="2"/>
  <c r="H808" i="2"/>
  <c r="E808" i="2"/>
  <c r="G808" i="2" s="1"/>
  <c r="J807" i="2"/>
  <c r="H807" i="2"/>
  <c r="E807" i="2"/>
  <c r="G807" i="2" s="1"/>
  <c r="J806" i="2"/>
  <c r="H806" i="2"/>
  <c r="G806" i="2"/>
  <c r="E806" i="2"/>
  <c r="J805" i="2"/>
  <c r="H805" i="2"/>
  <c r="E805" i="2"/>
  <c r="G805" i="2" s="1"/>
  <c r="J804" i="2"/>
  <c r="H804" i="2"/>
  <c r="G804" i="2"/>
  <c r="E804" i="2"/>
  <c r="J803" i="2"/>
  <c r="H803" i="2"/>
  <c r="E803" i="2"/>
  <c r="G803" i="2" s="1"/>
  <c r="J802" i="2"/>
  <c r="H802" i="2"/>
  <c r="E802" i="2"/>
  <c r="G802" i="2" s="1"/>
  <c r="J801" i="2"/>
  <c r="H801" i="2"/>
  <c r="G801" i="2"/>
  <c r="E801" i="2"/>
  <c r="J800" i="2"/>
  <c r="H800" i="2"/>
  <c r="G800" i="2"/>
  <c r="E800" i="2"/>
  <c r="J799" i="2"/>
  <c r="H799" i="2"/>
  <c r="E799" i="2"/>
  <c r="G799" i="2" s="1"/>
  <c r="J798" i="2"/>
  <c r="H798" i="2"/>
  <c r="E798" i="2"/>
  <c r="G798" i="2" s="1"/>
  <c r="J797" i="2"/>
  <c r="H797" i="2"/>
  <c r="E797" i="2"/>
  <c r="G797" i="2" s="1"/>
  <c r="J796" i="2"/>
  <c r="H796" i="2"/>
  <c r="E796" i="2"/>
  <c r="G796" i="2" s="1"/>
  <c r="J795" i="2"/>
  <c r="H795" i="2"/>
  <c r="G795" i="2"/>
  <c r="E795" i="2"/>
  <c r="J794" i="2"/>
  <c r="H794" i="2"/>
  <c r="E794" i="2"/>
  <c r="G794" i="2" s="1"/>
  <c r="J793" i="2"/>
  <c r="H793" i="2"/>
  <c r="E793" i="2"/>
  <c r="G793" i="2" s="1"/>
  <c r="J792" i="2"/>
  <c r="H792" i="2"/>
  <c r="G792" i="2"/>
  <c r="E792" i="2"/>
  <c r="J791" i="2"/>
  <c r="H791" i="2"/>
  <c r="G791" i="2"/>
  <c r="E791" i="2"/>
  <c r="J790" i="2"/>
  <c r="H790" i="2"/>
  <c r="E790" i="2"/>
  <c r="G790" i="2" s="1"/>
  <c r="J789" i="2"/>
  <c r="H789" i="2"/>
  <c r="E789" i="2"/>
  <c r="G789" i="2" s="1"/>
  <c r="J788" i="2"/>
  <c r="H788" i="2"/>
  <c r="G788" i="2"/>
  <c r="E788" i="2"/>
  <c r="J787" i="2"/>
  <c r="H787" i="2"/>
  <c r="E787" i="2"/>
  <c r="G787" i="2" s="1"/>
  <c r="J786" i="2"/>
  <c r="H786" i="2"/>
  <c r="G786" i="2"/>
  <c r="E786" i="2"/>
  <c r="J785" i="2"/>
  <c r="H785" i="2"/>
  <c r="E785" i="2"/>
  <c r="G785" i="2" s="1"/>
  <c r="J784" i="2"/>
  <c r="H784" i="2"/>
  <c r="E784" i="2"/>
  <c r="G784" i="2" s="1"/>
  <c r="J783" i="2"/>
  <c r="H783" i="2"/>
  <c r="E783" i="2"/>
  <c r="G783" i="2" s="1"/>
  <c r="J782" i="2"/>
  <c r="H782" i="2"/>
  <c r="G782" i="2"/>
  <c r="E782" i="2"/>
  <c r="J781" i="2"/>
  <c r="H781" i="2"/>
  <c r="E781" i="2"/>
  <c r="G781" i="2" s="1"/>
  <c r="J780" i="2"/>
  <c r="H780" i="2"/>
  <c r="E780" i="2"/>
  <c r="G780" i="2" s="1"/>
  <c r="J779" i="2"/>
  <c r="H779" i="2"/>
  <c r="E779" i="2"/>
  <c r="G779" i="2" s="1"/>
  <c r="J778" i="2"/>
  <c r="H778" i="2"/>
  <c r="E778" i="2"/>
  <c r="G778" i="2" s="1"/>
  <c r="J777" i="2"/>
  <c r="H777" i="2"/>
  <c r="G777" i="2"/>
  <c r="E777" i="2"/>
  <c r="J776" i="2"/>
  <c r="H776" i="2"/>
  <c r="E776" i="2"/>
  <c r="G776" i="2" s="1"/>
  <c r="J775" i="2"/>
  <c r="H775" i="2"/>
  <c r="E775" i="2"/>
  <c r="G775" i="2" s="1"/>
  <c r="J774" i="2"/>
  <c r="H774" i="2"/>
  <c r="G774" i="2"/>
  <c r="E774" i="2"/>
  <c r="J773" i="2"/>
  <c r="H773" i="2"/>
  <c r="G773" i="2"/>
  <c r="E773" i="2"/>
  <c r="J772" i="2"/>
  <c r="H772" i="2"/>
  <c r="E772" i="2"/>
  <c r="G772" i="2" s="1"/>
  <c r="J771" i="2"/>
  <c r="H771" i="2"/>
  <c r="E771" i="2"/>
  <c r="G771" i="2" s="1"/>
  <c r="J770" i="2"/>
  <c r="H770" i="2"/>
  <c r="E770" i="2"/>
  <c r="G770" i="2" s="1"/>
  <c r="J769" i="2"/>
  <c r="H769" i="2"/>
  <c r="E769" i="2"/>
  <c r="G769" i="2" s="1"/>
  <c r="J768" i="2"/>
  <c r="H768" i="2"/>
  <c r="G768" i="2"/>
  <c r="E768" i="2"/>
  <c r="J767" i="2"/>
  <c r="H767" i="2"/>
  <c r="E767" i="2"/>
  <c r="G767" i="2" s="1"/>
  <c r="J766" i="2"/>
  <c r="H766" i="2"/>
  <c r="E766" i="2"/>
  <c r="G766" i="2" s="1"/>
  <c r="J765" i="2"/>
  <c r="H765" i="2"/>
  <c r="E765" i="2"/>
  <c r="G765" i="2" s="1"/>
  <c r="J764" i="2"/>
  <c r="H764" i="2"/>
  <c r="G764" i="2"/>
  <c r="E764" i="2"/>
  <c r="J763" i="2"/>
  <c r="H763" i="2"/>
  <c r="E763" i="2"/>
  <c r="G763" i="2" s="1"/>
  <c r="J762" i="2"/>
  <c r="H762" i="2"/>
  <c r="E762" i="2"/>
  <c r="G762" i="2" s="1"/>
  <c r="J761" i="2"/>
  <c r="H761" i="2"/>
  <c r="G761" i="2"/>
  <c r="E761" i="2"/>
  <c r="J760" i="2"/>
  <c r="H760" i="2"/>
  <c r="E760" i="2"/>
  <c r="G760" i="2" s="1"/>
  <c r="J759" i="2"/>
  <c r="H759" i="2"/>
  <c r="G759" i="2"/>
  <c r="E759" i="2"/>
  <c r="J758" i="2"/>
  <c r="H758" i="2"/>
  <c r="E758" i="2"/>
  <c r="G758" i="2" s="1"/>
  <c r="J757" i="2"/>
  <c r="H757" i="2"/>
  <c r="E757" i="2"/>
  <c r="G757" i="2" s="1"/>
  <c r="J756" i="2"/>
  <c r="H756" i="2"/>
  <c r="E756" i="2"/>
  <c r="G756" i="2" s="1"/>
  <c r="J755" i="2"/>
  <c r="H755" i="2"/>
  <c r="G755" i="2"/>
  <c r="E755" i="2"/>
  <c r="J754" i="2"/>
  <c r="H754" i="2"/>
  <c r="E754" i="2"/>
  <c r="G754" i="2" s="1"/>
  <c r="J753" i="2"/>
  <c r="H753" i="2"/>
  <c r="E753" i="2"/>
  <c r="G753" i="2" s="1"/>
  <c r="J752" i="2"/>
  <c r="H752" i="2"/>
  <c r="G752" i="2"/>
  <c r="E752" i="2"/>
  <c r="J751" i="2"/>
  <c r="H751" i="2"/>
  <c r="E751" i="2"/>
  <c r="G751" i="2" s="1"/>
  <c r="J750" i="2"/>
  <c r="H750" i="2"/>
  <c r="G750" i="2"/>
  <c r="E750" i="2"/>
  <c r="J749" i="2"/>
  <c r="H749" i="2"/>
  <c r="E749" i="2"/>
  <c r="G749" i="2" s="1"/>
  <c r="J748" i="2"/>
  <c r="H748" i="2"/>
  <c r="E748" i="2"/>
  <c r="G748" i="2" s="1"/>
  <c r="J747" i="2"/>
  <c r="H747" i="2"/>
  <c r="G747" i="2"/>
  <c r="E747" i="2"/>
  <c r="J746" i="2"/>
  <c r="H746" i="2"/>
  <c r="G746" i="2"/>
  <c r="E746" i="2"/>
  <c r="J745" i="2"/>
  <c r="H745" i="2"/>
  <c r="E745" i="2"/>
  <c r="G745" i="2" s="1"/>
  <c r="J744" i="2"/>
  <c r="H744" i="2"/>
  <c r="E744" i="2"/>
  <c r="G744" i="2" s="1"/>
  <c r="J743" i="2"/>
  <c r="H743" i="2"/>
  <c r="E743" i="2"/>
  <c r="G743" i="2" s="1"/>
  <c r="J742" i="2"/>
  <c r="H742" i="2"/>
  <c r="E742" i="2"/>
  <c r="G742" i="2" s="1"/>
  <c r="J741" i="2"/>
  <c r="H741" i="2"/>
  <c r="G741" i="2"/>
  <c r="E741" i="2"/>
  <c r="J740" i="2"/>
  <c r="H740" i="2"/>
  <c r="E740" i="2"/>
  <c r="G740" i="2" s="1"/>
  <c r="J739" i="2"/>
  <c r="H739" i="2"/>
  <c r="E739" i="2"/>
  <c r="G739" i="2" s="1"/>
  <c r="J738" i="2"/>
  <c r="H738" i="2"/>
  <c r="G738" i="2"/>
  <c r="E738" i="2"/>
  <c r="J737" i="2"/>
  <c r="H737" i="2"/>
  <c r="G737" i="2"/>
  <c r="E737" i="2"/>
  <c r="J736" i="2"/>
  <c r="H736" i="2"/>
  <c r="E736" i="2"/>
  <c r="G736" i="2" s="1"/>
  <c r="J735" i="2"/>
  <c r="H735" i="2"/>
  <c r="E735" i="2"/>
  <c r="G735" i="2" s="1"/>
  <c r="J734" i="2"/>
  <c r="H734" i="2"/>
  <c r="E734" i="2"/>
  <c r="G734" i="2" s="1"/>
  <c r="J733" i="2"/>
  <c r="H733" i="2"/>
  <c r="E733" i="2"/>
  <c r="G733" i="2" s="1"/>
  <c r="J732" i="2"/>
  <c r="H732" i="2"/>
  <c r="G732" i="2"/>
  <c r="E732" i="2"/>
  <c r="J731" i="2"/>
  <c r="H731" i="2"/>
  <c r="E731" i="2"/>
  <c r="G731" i="2" s="1"/>
  <c r="J730" i="2"/>
  <c r="H730" i="2"/>
  <c r="E730" i="2"/>
  <c r="G730" i="2" s="1"/>
  <c r="J729" i="2"/>
  <c r="H729" i="2"/>
  <c r="E729" i="2"/>
  <c r="G729" i="2" s="1"/>
  <c r="J728" i="2"/>
  <c r="H728" i="2"/>
  <c r="G728" i="2"/>
  <c r="E728" i="2"/>
  <c r="J727" i="2"/>
  <c r="H727" i="2"/>
  <c r="E727" i="2"/>
  <c r="G727" i="2" s="1"/>
  <c r="J726" i="2"/>
  <c r="H726" i="2"/>
  <c r="E726" i="2"/>
  <c r="G726" i="2" s="1"/>
  <c r="J725" i="2"/>
  <c r="H725" i="2"/>
  <c r="E725" i="2"/>
  <c r="G725" i="2" s="1"/>
  <c r="J724" i="2"/>
  <c r="H724" i="2"/>
  <c r="E724" i="2"/>
  <c r="G724" i="2" s="1"/>
  <c r="J723" i="2"/>
  <c r="H723" i="2"/>
  <c r="G723" i="2"/>
  <c r="E723" i="2"/>
  <c r="J722" i="2"/>
  <c r="H722" i="2"/>
  <c r="E722" i="2"/>
  <c r="G722" i="2" s="1"/>
  <c r="J721" i="2"/>
  <c r="H721" i="2"/>
  <c r="E721" i="2"/>
  <c r="G721" i="2" s="1"/>
  <c r="J720" i="2"/>
  <c r="H720" i="2"/>
  <c r="E720" i="2"/>
  <c r="G720" i="2" s="1"/>
  <c r="J719" i="2"/>
  <c r="H719" i="2"/>
  <c r="G719" i="2"/>
  <c r="E719" i="2"/>
  <c r="J718" i="2"/>
  <c r="H718" i="2"/>
  <c r="E718" i="2"/>
  <c r="G718" i="2" s="1"/>
  <c r="J717" i="2"/>
  <c r="H717" i="2"/>
  <c r="E717" i="2"/>
  <c r="G717" i="2" s="1"/>
  <c r="J716" i="2"/>
  <c r="H716" i="2"/>
  <c r="G716" i="2"/>
  <c r="E716" i="2"/>
  <c r="J715" i="2"/>
  <c r="H715" i="2"/>
  <c r="E715" i="2"/>
  <c r="G715" i="2" s="1"/>
  <c r="J714" i="2"/>
  <c r="H714" i="2"/>
  <c r="G714" i="2"/>
  <c r="E714" i="2"/>
  <c r="J713" i="2"/>
  <c r="H713" i="2"/>
  <c r="E713" i="2"/>
  <c r="G713" i="2" s="1"/>
  <c r="J712" i="2"/>
  <c r="H712" i="2"/>
  <c r="E712" i="2"/>
  <c r="G712" i="2" s="1"/>
  <c r="J711" i="2"/>
  <c r="H711" i="2"/>
  <c r="E711" i="2"/>
  <c r="G711" i="2" s="1"/>
  <c r="J710" i="2"/>
  <c r="H710" i="2"/>
  <c r="G710" i="2"/>
  <c r="E710" i="2"/>
  <c r="J709" i="2"/>
  <c r="H709" i="2"/>
  <c r="E709" i="2"/>
  <c r="G709" i="2" s="1"/>
  <c r="J708" i="2"/>
  <c r="H708" i="2"/>
  <c r="E708" i="2"/>
  <c r="G708" i="2" s="1"/>
  <c r="J707" i="2"/>
  <c r="H707" i="2"/>
  <c r="G707" i="2"/>
  <c r="E707" i="2"/>
  <c r="J706" i="2"/>
  <c r="H706" i="2"/>
  <c r="E706" i="2"/>
  <c r="G706" i="2" s="1"/>
  <c r="J705" i="2"/>
  <c r="H705" i="2"/>
  <c r="G705" i="2"/>
  <c r="E705" i="2"/>
  <c r="J704" i="2"/>
  <c r="H704" i="2"/>
  <c r="E704" i="2"/>
  <c r="G704" i="2" s="1"/>
  <c r="J703" i="2"/>
  <c r="H703" i="2"/>
  <c r="E703" i="2"/>
  <c r="G703" i="2" s="1"/>
  <c r="J702" i="2"/>
  <c r="H702" i="2"/>
  <c r="G702" i="2"/>
  <c r="E702" i="2"/>
  <c r="J701" i="2"/>
  <c r="H701" i="2"/>
  <c r="G701" i="2"/>
  <c r="E701" i="2"/>
  <c r="J700" i="2"/>
  <c r="H700" i="2"/>
  <c r="E700" i="2"/>
  <c r="G700" i="2" s="1"/>
  <c r="J699" i="2"/>
  <c r="H699" i="2"/>
  <c r="E699" i="2"/>
  <c r="G699" i="2" s="1"/>
  <c r="J698" i="2"/>
  <c r="H698" i="2"/>
  <c r="G698" i="2"/>
  <c r="E698" i="2"/>
  <c r="J697" i="2"/>
  <c r="H697" i="2"/>
  <c r="E697" i="2"/>
  <c r="G697" i="2" s="1"/>
  <c r="J696" i="2"/>
  <c r="H696" i="2"/>
  <c r="G696" i="2"/>
  <c r="E696" i="2"/>
  <c r="J695" i="2"/>
  <c r="H695" i="2"/>
  <c r="E695" i="2"/>
  <c r="G695" i="2" s="1"/>
  <c r="J694" i="2"/>
  <c r="H694" i="2"/>
  <c r="E694" i="2"/>
  <c r="G694" i="2" s="1"/>
  <c r="J693" i="2"/>
  <c r="H693" i="2"/>
  <c r="G693" i="2"/>
  <c r="E693" i="2"/>
  <c r="J692" i="2"/>
  <c r="H692" i="2"/>
  <c r="G692" i="2"/>
  <c r="E692" i="2"/>
  <c r="J691" i="2"/>
  <c r="H691" i="2"/>
  <c r="E691" i="2"/>
  <c r="G691" i="2" s="1"/>
  <c r="J690" i="2"/>
  <c r="H690" i="2"/>
  <c r="E690" i="2"/>
  <c r="G690" i="2" s="1"/>
  <c r="J689" i="2"/>
  <c r="H689" i="2"/>
  <c r="E689" i="2"/>
  <c r="G689" i="2" s="1"/>
  <c r="J688" i="2"/>
  <c r="H688" i="2"/>
  <c r="E688" i="2"/>
  <c r="G688" i="2" s="1"/>
  <c r="J687" i="2"/>
  <c r="H687" i="2"/>
  <c r="G687" i="2"/>
  <c r="E687" i="2"/>
  <c r="J686" i="2"/>
  <c r="H686" i="2"/>
  <c r="E686" i="2"/>
  <c r="G686" i="2" s="1"/>
  <c r="J685" i="2"/>
  <c r="H685" i="2"/>
  <c r="E685" i="2"/>
  <c r="G685" i="2" s="1"/>
  <c r="J684" i="2"/>
  <c r="H684" i="2"/>
  <c r="G684" i="2"/>
  <c r="E684" i="2"/>
  <c r="J683" i="2"/>
  <c r="H683" i="2"/>
  <c r="G683" i="2"/>
  <c r="E683" i="2"/>
  <c r="J682" i="2"/>
  <c r="H682" i="2"/>
  <c r="E682" i="2"/>
  <c r="G682" i="2" s="1"/>
  <c r="J681" i="2"/>
  <c r="H681" i="2"/>
  <c r="E681" i="2"/>
  <c r="G681" i="2" s="1"/>
  <c r="J680" i="2"/>
  <c r="H680" i="2"/>
  <c r="G680" i="2"/>
  <c r="E680" i="2"/>
  <c r="J679" i="2"/>
  <c r="H679" i="2"/>
  <c r="E679" i="2"/>
  <c r="G679" i="2" s="1"/>
  <c r="J678" i="2"/>
  <c r="H678" i="2"/>
  <c r="G678" i="2"/>
  <c r="E678" i="2"/>
  <c r="J677" i="2"/>
  <c r="H677" i="2"/>
  <c r="E677" i="2"/>
  <c r="G677" i="2" s="1"/>
  <c r="J676" i="2"/>
  <c r="H676" i="2"/>
  <c r="E676" i="2"/>
  <c r="G676" i="2" s="1"/>
  <c r="J675" i="2"/>
  <c r="H675" i="2"/>
  <c r="E675" i="2"/>
  <c r="G675" i="2" s="1"/>
  <c r="J674" i="2"/>
  <c r="H674" i="2"/>
  <c r="G674" i="2"/>
  <c r="E674" i="2"/>
  <c r="J673" i="2"/>
  <c r="H673" i="2"/>
  <c r="E673" i="2"/>
  <c r="G673" i="2" s="1"/>
  <c r="J672" i="2"/>
  <c r="H672" i="2"/>
  <c r="E672" i="2"/>
  <c r="G672" i="2" s="1"/>
  <c r="J671" i="2"/>
  <c r="H671" i="2"/>
  <c r="E671" i="2"/>
  <c r="G671" i="2" s="1"/>
  <c r="J670" i="2"/>
  <c r="H670" i="2"/>
  <c r="E670" i="2"/>
  <c r="G670" i="2" s="1"/>
  <c r="J669" i="2"/>
  <c r="H669" i="2"/>
  <c r="G669" i="2"/>
  <c r="E669" i="2"/>
  <c r="J668" i="2"/>
  <c r="H668" i="2"/>
  <c r="E668" i="2"/>
  <c r="G668" i="2" s="1"/>
  <c r="J667" i="2"/>
  <c r="H667" i="2"/>
  <c r="E667" i="2"/>
  <c r="G667" i="2" s="1"/>
  <c r="J666" i="2"/>
  <c r="H666" i="2"/>
  <c r="G666" i="2"/>
  <c r="E666" i="2"/>
  <c r="J665" i="2"/>
  <c r="H665" i="2"/>
  <c r="G665" i="2"/>
  <c r="E665" i="2"/>
  <c r="J664" i="2"/>
  <c r="H664" i="2"/>
  <c r="E664" i="2"/>
  <c r="G664" i="2" s="1"/>
  <c r="J663" i="2"/>
  <c r="H663" i="2"/>
  <c r="E663" i="2"/>
  <c r="G663" i="2" s="1"/>
  <c r="J662" i="2"/>
  <c r="H662" i="2"/>
  <c r="E662" i="2"/>
  <c r="G662" i="2" s="1"/>
  <c r="J661" i="2"/>
  <c r="H661" i="2"/>
  <c r="E661" i="2"/>
  <c r="G661" i="2" s="1"/>
  <c r="J660" i="2"/>
  <c r="H660" i="2"/>
  <c r="G660" i="2"/>
  <c r="E660" i="2"/>
  <c r="J659" i="2"/>
  <c r="H659" i="2"/>
  <c r="E659" i="2"/>
  <c r="G659" i="2" s="1"/>
  <c r="J658" i="2"/>
  <c r="H658" i="2"/>
  <c r="E658" i="2"/>
  <c r="G658" i="2" s="1"/>
  <c r="J657" i="2"/>
  <c r="H657" i="2"/>
  <c r="E657" i="2"/>
  <c r="G657" i="2" s="1"/>
  <c r="J656" i="2"/>
  <c r="H656" i="2"/>
  <c r="G656" i="2"/>
  <c r="E656" i="2"/>
  <c r="J655" i="2"/>
  <c r="H655" i="2"/>
  <c r="E655" i="2"/>
  <c r="G655" i="2" s="1"/>
  <c r="J654" i="2"/>
  <c r="H654" i="2"/>
  <c r="E654" i="2"/>
  <c r="G654" i="2" s="1"/>
  <c r="J653" i="2"/>
  <c r="H653" i="2"/>
  <c r="G653" i="2"/>
  <c r="E653" i="2"/>
  <c r="J652" i="2"/>
  <c r="H652" i="2"/>
  <c r="E652" i="2"/>
  <c r="G652" i="2" s="1"/>
  <c r="J651" i="2"/>
  <c r="H651" i="2"/>
  <c r="G651" i="2"/>
  <c r="E651" i="2"/>
  <c r="J650" i="2"/>
  <c r="H650" i="2"/>
  <c r="E650" i="2"/>
  <c r="G650" i="2" s="1"/>
  <c r="J649" i="2"/>
  <c r="H649" i="2"/>
  <c r="E649" i="2"/>
  <c r="G649" i="2" s="1"/>
  <c r="J648" i="2"/>
  <c r="H648" i="2"/>
  <c r="E648" i="2"/>
  <c r="G648" i="2" s="1"/>
  <c r="J647" i="2"/>
  <c r="H647" i="2"/>
  <c r="G647" i="2"/>
  <c r="E647" i="2"/>
  <c r="J646" i="2"/>
  <c r="H646" i="2"/>
  <c r="E646" i="2"/>
  <c r="G646" i="2" s="1"/>
  <c r="J645" i="2"/>
  <c r="H645" i="2"/>
  <c r="E645" i="2"/>
  <c r="G645" i="2" s="1"/>
  <c r="J644" i="2"/>
  <c r="H644" i="2"/>
  <c r="G644" i="2"/>
  <c r="E644" i="2"/>
  <c r="J643" i="2"/>
  <c r="H643" i="2"/>
  <c r="E643" i="2"/>
  <c r="G643" i="2" s="1"/>
  <c r="J642" i="2"/>
  <c r="H642" i="2"/>
  <c r="G642" i="2"/>
  <c r="E642" i="2"/>
  <c r="J641" i="2"/>
  <c r="H641" i="2"/>
  <c r="E641" i="2"/>
  <c r="G641" i="2" s="1"/>
  <c r="J640" i="2"/>
  <c r="H640" i="2"/>
  <c r="E640" i="2"/>
  <c r="G640" i="2" s="1"/>
  <c r="J639" i="2"/>
  <c r="H639" i="2"/>
  <c r="G639" i="2"/>
  <c r="E639" i="2"/>
  <c r="J638" i="2"/>
  <c r="H638" i="2"/>
  <c r="G638" i="2"/>
  <c r="E638" i="2"/>
  <c r="J637" i="2"/>
  <c r="H637" i="2"/>
  <c r="E637" i="2"/>
  <c r="G637" i="2" s="1"/>
  <c r="J636" i="2"/>
  <c r="H636" i="2"/>
  <c r="E636" i="2"/>
  <c r="G636" i="2" s="1"/>
  <c r="J635" i="2"/>
  <c r="H635" i="2"/>
  <c r="E635" i="2"/>
  <c r="G635" i="2" s="1"/>
  <c r="J634" i="2"/>
  <c r="H634" i="2"/>
  <c r="E634" i="2"/>
  <c r="G634" i="2" s="1"/>
  <c r="J633" i="2"/>
  <c r="H633" i="2"/>
  <c r="G633" i="2"/>
  <c r="E633" i="2"/>
  <c r="J632" i="2"/>
  <c r="H632" i="2"/>
  <c r="E632" i="2"/>
  <c r="G632" i="2" s="1"/>
  <c r="J631" i="2"/>
  <c r="H631" i="2"/>
  <c r="E631" i="2"/>
  <c r="G631" i="2" s="1"/>
  <c r="J630" i="2"/>
  <c r="H630" i="2"/>
  <c r="G630" i="2"/>
  <c r="E630" i="2"/>
  <c r="J629" i="2"/>
  <c r="H629" i="2"/>
  <c r="G629" i="2"/>
  <c r="E629" i="2"/>
  <c r="J628" i="2"/>
  <c r="H628" i="2"/>
  <c r="E628" i="2"/>
  <c r="G628" i="2" s="1"/>
  <c r="J627" i="2"/>
  <c r="H627" i="2"/>
  <c r="E627" i="2"/>
  <c r="G627" i="2" s="1"/>
  <c r="J626" i="2"/>
  <c r="H626" i="2"/>
  <c r="E626" i="2"/>
  <c r="G626" i="2" s="1"/>
  <c r="J625" i="2"/>
  <c r="H625" i="2"/>
  <c r="E625" i="2"/>
  <c r="G625" i="2" s="1"/>
  <c r="J624" i="2"/>
  <c r="H624" i="2"/>
  <c r="G624" i="2"/>
  <c r="E624" i="2"/>
  <c r="J623" i="2"/>
  <c r="H623" i="2"/>
  <c r="E623" i="2"/>
  <c r="G623" i="2" s="1"/>
  <c r="J622" i="2"/>
  <c r="H622" i="2"/>
  <c r="E622" i="2"/>
  <c r="G622" i="2" s="1"/>
  <c r="J621" i="2"/>
  <c r="H621" i="2"/>
  <c r="E621" i="2"/>
  <c r="G621" i="2" s="1"/>
  <c r="J620" i="2"/>
  <c r="H620" i="2"/>
  <c r="G620" i="2"/>
  <c r="E620" i="2"/>
  <c r="J619" i="2"/>
  <c r="H619" i="2"/>
  <c r="E619" i="2"/>
  <c r="G619" i="2" s="1"/>
  <c r="J618" i="2"/>
  <c r="H618" i="2"/>
  <c r="E618" i="2"/>
  <c r="G618" i="2" s="1"/>
  <c r="J617" i="2"/>
  <c r="H617" i="2"/>
  <c r="E617" i="2"/>
  <c r="G617" i="2" s="1"/>
  <c r="J616" i="2"/>
  <c r="H616" i="2"/>
  <c r="E616" i="2"/>
  <c r="G616" i="2" s="1"/>
  <c r="J615" i="2"/>
  <c r="H615" i="2"/>
  <c r="G615" i="2"/>
  <c r="E615" i="2"/>
  <c r="J614" i="2"/>
  <c r="H614" i="2"/>
  <c r="E614" i="2"/>
  <c r="G614" i="2" s="1"/>
  <c r="J613" i="2"/>
  <c r="H613" i="2"/>
  <c r="E613" i="2"/>
  <c r="G613" i="2" s="1"/>
  <c r="J612" i="2"/>
  <c r="H612" i="2"/>
  <c r="E612" i="2"/>
  <c r="G612" i="2" s="1"/>
  <c r="J611" i="2"/>
  <c r="H611" i="2"/>
  <c r="G611" i="2"/>
  <c r="E611" i="2"/>
  <c r="J610" i="2"/>
  <c r="H610" i="2"/>
  <c r="E610" i="2"/>
  <c r="G610" i="2" s="1"/>
  <c r="J609" i="2"/>
  <c r="H609" i="2"/>
  <c r="E609" i="2"/>
  <c r="G609" i="2" s="1"/>
  <c r="J608" i="2"/>
  <c r="H608" i="2"/>
  <c r="G608" i="2"/>
  <c r="E608" i="2"/>
  <c r="J607" i="2"/>
  <c r="H607" i="2"/>
  <c r="E607" i="2"/>
  <c r="G607" i="2" s="1"/>
  <c r="J606" i="2"/>
  <c r="H606" i="2"/>
  <c r="G606" i="2"/>
  <c r="E606" i="2"/>
  <c r="J605" i="2"/>
  <c r="H605" i="2"/>
  <c r="E605" i="2"/>
  <c r="G605" i="2" s="1"/>
  <c r="J604" i="2"/>
  <c r="H604" i="2"/>
  <c r="E604" i="2"/>
  <c r="G604" i="2" s="1"/>
  <c r="J603" i="2"/>
  <c r="H603" i="2"/>
  <c r="E603" i="2"/>
  <c r="G603" i="2" s="1"/>
  <c r="J602" i="2"/>
  <c r="H602" i="2"/>
  <c r="E602" i="2"/>
  <c r="G602" i="2" s="1"/>
  <c r="J601" i="2"/>
  <c r="H601" i="2"/>
  <c r="E601" i="2"/>
  <c r="G601" i="2" s="1"/>
  <c r="J600" i="2"/>
  <c r="H600" i="2"/>
  <c r="E600" i="2"/>
  <c r="G600" i="2" s="1"/>
  <c r="J599" i="2"/>
  <c r="H599" i="2"/>
  <c r="G599" i="2"/>
  <c r="E599" i="2"/>
  <c r="J598" i="2"/>
  <c r="H598" i="2"/>
  <c r="E598" i="2"/>
  <c r="G598" i="2" s="1"/>
  <c r="J597" i="2"/>
  <c r="H597" i="2"/>
  <c r="G597" i="2"/>
  <c r="E597" i="2"/>
  <c r="J596" i="2"/>
  <c r="H596" i="2"/>
  <c r="E596" i="2"/>
  <c r="G596" i="2" s="1"/>
  <c r="J595" i="2"/>
  <c r="H595" i="2"/>
  <c r="E595" i="2"/>
  <c r="G595" i="2" s="1"/>
  <c r="J594" i="2"/>
  <c r="H594" i="2"/>
  <c r="G594" i="2"/>
  <c r="E594" i="2"/>
  <c r="J593" i="2"/>
  <c r="H593" i="2"/>
  <c r="G593" i="2"/>
  <c r="E593" i="2"/>
  <c r="J592" i="2"/>
  <c r="H592" i="2"/>
  <c r="E592" i="2"/>
  <c r="G592" i="2" s="1"/>
  <c r="J591" i="2"/>
  <c r="H591" i="2"/>
  <c r="E591" i="2"/>
  <c r="G591" i="2" s="1"/>
  <c r="J590" i="2"/>
  <c r="H590" i="2"/>
  <c r="E590" i="2"/>
  <c r="G590" i="2" s="1"/>
  <c r="J589" i="2"/>
  <c r="H589" i="2"/>
  <c r="E589" i="2"/>
  <c r="G589" i="2" s="1"/>
  <c r="J588" i="2"/>
  <c r="H588" i="2"/>
  <c r="G588" i="2"/>
  <c r="E588" i="2"/>
  <c r="J587" i="2"/>
  <c r="H587" i="2"/>
  <c r="E587" i="2"/>
  <c r="G587" i="2" s="1"/>
  <c r="J586" i="2"/>
  <c r="H586" i="2"/>
  <c r="E586" i="2"/>
  <c r="G586" i="2" s="1"/>
  <c r="J585" i="2"/>
  <c r="H585" i="2"/>
  <c r="G585" i="2"/>
  <c r="E585" i="2"/>
  <c r="J584" i="2"/>
  <c r="H584" i="2"/>
  <c r="G584" i="2"/>
  <c r="E584" i="2"/>
  <c r="J583" i="2"/>
  <c r="H583" i="2"/>
  <c r="E583" i="2"/>
  <c r="G583" i="2" s="1"/>
  <c r="J582" i="2"/>
  <c r="H582" i="2"/>
  <c r="G582" i="2"/>
  <c r="E582" i="2"/>
  <c r="J581" i="2"/>
  <c r="H581" i="2"/>
  <c r="E581" i="2"/>
  <c r="G581" i="2" s="1"/>
  <c r="J580" i="2"/>
  <c r="H580" i="2"/>
  <c r="E580" i="2"/>
  <c r="G580" i="2" s="1"/>
  <c r="J579" i="2"/>
  <c r="H579" i="2"/>
  <c r="E579" i="2"/>
  <c r="G579" i="2" s="1"/>
  <c r="J578" i="2"/>
  <c r="H578" i="2"/>
  <c r="E578" i="2"/>
  <c r="G578" i="2" s="1"/>
  <c r="J577" i="2"/>
  <c r="H577" i="2"/>
  <c r="E577" i="2"/>
  <c r="G577" i="2" s="1"/>
  <c r="J576" i="2"/>
  <c r="H576" i="2"/>
  <c r="G576" i="2"/>
  <c r="E576" i="2"/>
  <c r="J575" i="2"/>
  <c r="H575" i="2"/>
  <c r="G575" i="2"/>
  <c r="E575" i="2"/>
  <c r="J574" i="2"/>
  <c r="H574" i="2"/>
  <c r="E574" i="2"/>
  <c r="G574" i="2" s="1"/>
  <c r="J573" i="2"/>
  <c r="H573" i="2"/>
  <c r="E573" i="2"/>
  <c r="G573" i="2" s="1"/>
  <c r="J572" i="2"/>
  <c r="H572" i="2"/>
  <c r="E572" i="2"/>
  <c r="G572" i="2" s="1"/>
  <c r="J571" i="2"/>
  <c r="H571" i="2"/>
  <c r="E571" i="2"/>
  <c r="G571" i="2" s="1"/>
  <c r="J570" i="2"/>
  <c r="H570" i="2"/>
  <c r="G570" i="2"/>
  <c r="E570" i="2"/>
  <c r="J569" i="2"/>
  <c r="H569" i="2"/>
  <c r="E569" i="2"/>
  <c r="G569" i="2" s="1"/>
  <c r="J568" i="2"/>
  <c r="H568" i="2"/>
  <c r="E568" i="2"/>
  <c r="G568" i="2" s="1"/>
  <c r="J567" i="2"/>
  <c r="H567" i="2"/>
  <c r="G567" i="2"/>
  <c r="E567" i="2"/>
  <c r="J566" i="2"/>
  <c r="H566" i="2"/>
  <c r="G566" i="2"/>
  <c r="E566" i="2"/>
  <c r="J565" i="2"/>
  <c r="H565" i="2"/>
  <c r="E565" i="2"/>
  <c r="G565" i="2" s="1"/>
  <c r="J564" i="2"/>
  <c r="H564" i="2"/>
  <c r="E564" i="2"/>
  <c r="G564" i="2" s="1"/>
  <c r="J563" i="2"/>
  <c r="H563" i="2"/>
  <c r="G563" i="2"/>
  <c r="E563" i="2"/>
  <c r="J562" i="2"/>
  <c r="H562" i="2"/>
  <c r="E562" i="2"/>
  <c r="G562" i="2" s="1"/>
  <c r="J561" i="2"/>
  <c r="H561" i="2"/>
  <c r="G561" i="2"/>
  <c r="E561" i="2"/>
  <c r="J560" i="2"/>
  <c r="H560" i="2"/>
  <c r="E560" i="2"/>
  <c r="G560" i="2" s="1"/>
  <c r="J559" i="2"/>
  <c r="H559" i="2"/>
  <c r="E559" i="2"/>
  <c r="G559" i="2" s="1"/>
  <c r="J558" i="2"/>
  <c r="H558" i="2"/>
  <c r="G558" i="2"/>
  <c r="E558" i="2"/>
  <c r="J557" i="2"/>
  <c r="H557" i="2"/>
  <c r="G557" i="2"/>
  <c r="E557" i="2"/>
  <c r="J556" i="2"/>
  <c r="H556" i="2"/>
  <c r="E556" i="2"/>
  <c r="G556" i="2" s="1"/>
  <c r="J555" i="2"/>
  <c r="H555" i="2"/>
  <c r="E555" i="2"/>
  <c r="G555" i="2" s="1"/>
  <c r="J554" i="2"/>
  <c r="H554" i="2"/>
  <c r="E554" i="2"/>
  <c r="G554" i="2" s="1"/>
  <c r="J553" i="2"/>
  <c r="H553" i="2"/>
  <c r="E553" i="2"/>
  <c r="G553" i="2" s="1"/>
  <c r="J552" i="2"/>
  <c r="H552" i="2"/>
  <c r="G552" i="2"/>
  <c r="E552" i="2"/>
  <c r="J551" i="2"/>
  <c r="H551" i="2"/>
  <c r="E551" i="2"/>
  <c r="G551" i="2" s="1"/>
  <c r="J550" i="2"/>
  <c r="H550" i="2"/>
  <c r="E550" i="2"/>
  <c r="G550" i="2" s="1"/>
  <c r="J549" i="2"/>
  <c r="H549" i="2"/>
  <c r="G549" i="2"/>
  <c r="E549" i="2"/>
  <c r="J548" i="2"/>
  <c r="H548" i="2"/>
  <c r="G548" i="2"/>
  <c r="E548" i="2"/>
  <c r="J547" i="2"/>
  <c r="H547" i="2"/>
  <c r="E547" i="2"/>
  <c r="G547" i="2" s="1"/>
  <c r="J546" i="2"/>
  <c r="H546" i="2"/>
  <c r="G546" i="2"/>
  <c r="E546" i="2"/>
  <c r="J545" i="2"/>
  <c r="H545" i="2"/>
  <c r="E545" i="2"/>
  <c r="G545" i="2" s="1"/>
  <c r="J544" i="2"/>
  <c r="H544" i="2"/>
  <c r="E544" i="2"/>
  <c r="G544" i="2" s="1"/>
  <c r="J543" i="2"/>
  <c r="H543" i="2"/>
  <c r="G543" i="2"/>
  <c r="E543" i="2"/>
  <c r="J542" i="2"/>
  <c r="H542" i="2"/>
  <c r="E542" i="2"/>
  <c r="G542" i="2" s="1"/>
  <c r="J541" i="2"/>
  <c r="H541" i="2"/>
  <c r="E541" i="2"/>
  <c r="G541" i="2" s="1"/>
  <c r="J540" i="2"/>
  <c r="H540" i="2"/>
  <c r="E540" i="2"/>
  <c r="G540" i="2" s="1"/>
  <c r="J539" i="2"/>
  <c r="H539" i="2"/>
  <c r="G539" i="2"/>
  <c r="E539" i="2"/>
  <c r="J538" i="2"/>
  <c r="H538" i="2"/>
  <c r="E538" i="2"/>
  <c r="G538" i="2" s="1"/>
  <c r="J537" i="2"/>
  <c r="H537" i="2"/>
  <c r="E537" i="2"/>
  <c r="G537" i="2" s="1"/>
  <c r="J536" i="2"/>
  <c r="H536" i="2"/>
  <c r="G536" i="2"/>
  <c r="E536" i="2"/>
  <c r="J535" i="2"/>
  <c r="H535" i="2"/>
  <c r="E535" i="2"/>
  <c r="G535" i="2" s="1"/>
  <c r="J534" i="2"/>
  <c r="H534" i="2"/>
  <c r="G534" i="2"/>
  <c r="E534" i="2"/>
  <c r="J533" i="2"/>
  <c r="H533" i="2"/>
  <c r="E533" i="2"/>
  <c r="G533" i="2" s="1"/>
  <c r="J532" i="2"/>
  <c r="H532" i="2"/>
  <c r="E532" i="2"/>
  <c r="G532" i="2" s="1"/>
  <c r="J531" i="2"/>
  <c r="H531" i="2"/>
  <c r="E531" i="2"/>
  <c r="G531" i="2" s="1"/>
  <c r="J530" i="2"/>
  <c r="H530" i="2"/>
  <c r="E530" i="2"/>
  <c r="G530" i="2" s="1"/>
  <c r="J529" i="2"/>
  <c r="H529" i="2"/>
  <c r="E529" i="2"/>
  <c r="G529" i="2" s="1"/>
  <c r="J528" i="2"/>
  <c r="H528" i="2"/>
  <c r="E528" i="2"/>
  <c r="G528" i="2" s="1"/>
  <c r="J527" i="2"/>
  <c r="H527" i="2"/>
  <c r="G527" i="2"/>
  <c r="E527" i="2"/>
  <c r="J526" i="2"/>
  <c r="H526" i="2"/>
  <c r="E526" i="2"/>
  <c r="G526" i="2" s="1"/>
  <c r="J525" i="2"/>
  <c r="H525" i="2"/>
  <c r="G525" i="2"/>
  <c r="E525" i="2"/>
  <c r="J524" i="2"/>
  <c r="H524" i="2"/>
  <c r="E524" i="2"/>
  <c r="G524" i="2" s="1"/>
  <c r="J523" i="2"/>
  <c r="H523" i="2"/>
  <c r="E523" i="2"/>
  <c r="G523" i="2" s="1"/>
  <c r="J522" i="2"/>
  <c r="H522" i="2"/>
  <c r="G522" i="2"/>
  <c r="E522" i="2"/>
  <c r="J521" i="2"/>
  <c r="H521" i="2"/>
  <c r="G521" i="2"/>
  <c r="E521" i="2"/>
  <c r="J520" i="2"/>
  <c r="H520" i="2"/>
  <c r="E520" i="2"/>
  <c r="G520" i="2" s="1"/>
  <c r="J519" i="2"/>
  <c r="H519" i="2"/>
  <c r="E519" i="2"/>
  <c r="G519" i="2" s="1"/>
  <c r="J518" i="2"/>
  <c r="H518" i="2"/>
  <c r="E518" i="2"/>
  <c r="G518" i="2" s="1"/>
  <c r="J517" i="2"/>
  <c r="H517" i="2"/>
  <c r="E517" i="2"/>
  <c r="G517" i="2" s="1"/>
  <c r="J516" i="2"/>
  <c r="H516" i="2"/>
  <c r="G516" i="2"/>
  <c r="E516" i="2"/>
  <c r="J515" i="2"/>
  <c r="H515" i="2"/>
  <c r="E515" i="2"/>
  <c r="G515" i="2" s="1"/>
  <c r="J514" i="2"/>
  <c r="H514" i="2"/>
  <c r="E514" i="2"/>
  <c r="G514" i="2" s="1"/>
  <c r="J513" i="2"/>
  <c r="H513" i="2"/>
  <c r="G513" i="2"/>
  <c r="E513" i="2"/>
  <c r="J512" i="2"/>
  <c r="H512" i="2"/>
  <c r="G512" i="2"/>
  <c r="E512" i="2"/>
  <c r="J511" i="2"/>
  <c r="H511" i="2"/>
  <c r="E511" i="2"/>
  <c r="G511" i="2" s="1"/>
  <c r="J510" i="2"/>
  <c r="H510" i="2"/>
  <c r="E510" i="2"/>
  <c r="G510" i="2" s="1"/>
  <c r="J509" i="2"/>
  <c r="H509" i="2"/>
  <c r="E509" i="2"/>
  <c r="G509" i="2" s="1"/>
  <c r="J508" i="2"/>
  <c r="H508" i="2"/>
  <c r="E508" i="2"/>
  <c r="G508" i="2" s="1"/>
  <c r="J507" i="2"/>
  <c r="H507" i="2"/>
  <c r="E507" i="2"/>
  <c r="G507" i="2" s="1"/>
  <c r="J506" i="2"/>
  <c r="H506" i="2"/>
  <c r="E506" i="2"/>
  <c r="G506" i="2" s="1"/>
  <c r="J505" i="2"/>
  <c r="H505" i="2"/>
  <c r="E505" i="2"/>
  <c r="G505" i="2" s="1"/>
  <c r="J504" i="2"/>
  <c r="H504" i="2"/>
  <c r="G504" i="2"/>
  <c r="E504" i="2"/>
  <c r="J503" i="2"/>
  <c r="H503" i="2"/>
  <c r="G503" i="2"/>
  <c r="E503" i="2"/>
  <c r="J502" i="2"/>
  <c r="H502" i="2"/>
  <c r="E502" i="2"/>
  <c r="G502" i="2" s="1"/>
  <c r="J501" i="2"/>
  <c r="H501" i="2"/>
  <c r="E501" i="2"/>
  <c r="G501" i="2" s="1"/>
  <c r="J500" i="2"/>
  <c r="H500" i="2"/>
  <c r="E500" i="2"/>
  <c r="G500" i="2" s="1"/>
  <c r="J499" i="2"/>
  <c r="H499" i="2"/>
  <c r="E499" i="2"/>
  <c r="G499" i="2" s="1"/>
  <c r="J498" i="2"/>
  <c r="H498" i="2"/>
  <c r="G498" i="2"/>
  <c r="E498" i="2"/>
  <c r="J497" i="2"/>
  <c r="H497" i="2"/>
  <c r="E497" i="2"/>
  <c r="G497" i="2" s="1"/>
  <c r="J496" i="2"/>
  <c r="H496" i="2"/>
  <c r="E496" i="2"/>
  <c r="G496" i="2" s="1"/>
  <c r="J495" i="2"/>
  <c r="H495" i="2"/>
  <c r="G495" i="2"/>
  <c r="E495" i="2"/>
  <c r="J494" i="2"/>
  <c r="H494" i="2"/>
  <c r="G494" i="2"/>
  <c r="E494" i="2"/>
  <c r="J493" i="2"/>
  <c r="H493" i="2"/>
  <c r="E493" i="2"/>
  <c r="G493" i="2" s="1"/>
  <c r="J492" i="2"/>
  <c r="H492" i="2"/>
  <c r="E492" i="2"/>
  <c r="G492" i="2" s="1"/>
  <c r="J491" i="2"/>
  <c r="H491" i="2"/>
  <c r="G491" i="2"/>
  <c r="E491" i="2"/>
  <c r="J490" i="2"/>
  <c r="H490" i="2"/>
  <c r="E490" i="2"/>
  <c r="G490" i="2" s="1"/>
  <c r="J489" i="2"/>
  <c r="H489" i="2"/>
  <c r="G489" i="2"/>
  <c r="E489" i="2"/>
  <c r="J488" i="2"/>
  <c r="H488" i="2"/>
  <c r="E488" i="2"/>
  <c r="G488" i="2" s="1"/>
  <c r="J487" i="2"/>
  <c r="H487" i="2"/>
  <c r="E487" i="2"/>
  <c r="G487" i="2" s="1"/>
  <c r="J486" i="2"/>
  <c r="H486" i="2"/>
  <c r="E486" i="2"/>
  <c r="G486" i="2" s="1"/>
  <c r="J485" i="2"/>
  <c r="H485" i="2"/>
  <c r="G485" i="2"/>
  <c r="E485" i="2"/>
  <c r="J484" i="2"/>
  <c r="H484" i="2"/>
  <c r="E484" i="2"/>
  <c r="G484" i="2" s="1"/>
  <c r="J483" i="2"/>
  <c r="H483" i="2"/>
  <c r="E483" i="2"/>
  <c r="G483" i="2" s="1"/>
  <c r="J482" i="2"/>
  <c r="H482" i="2"/>
  <c r="E482" i="2"/>
  <c r="G482" i="2" s="1"/>
  <c r="J481" i="2"/>
  <c r="H481" i="2"/>
  <c r="E481" i="2"/>
  <c r="G481" i="2" s="1"/>
  <c r="J480" i="2"/>
  <c r="H480" i="2"/>
  <c r="G480" i="2"/>
  <c r="E480" i="2"/>
  <c r="J479" i="2"/>
  <c r="H479" i="2"/>
  <c r="E479" i="2"/>
  <c r="G479" i="2" s="1"/>
  <c r="J478" i="2"/>
  <c r="H478" i="2"/>
  <c r="E478" i="2"/>
  <c r="G478" i="2" s="1"/>
  <c r="J477" i="2"/>
  <c r="H477" i="2"/>
  <c r="G477" i="2"/>
  <c r="E477" i="2"/>
  <c r="J476" i="2"/>
  <c r="H476" i="2"/>
  <c r="E476" i="2"/>
  <c r="G476" i="2" s="1"/>
  <c r="J475" i="2"/>
  <c r="H475" i="2"/>
  <c r="E475" i="2"/>
  <c r="G475" i="2" s="1"/>
  <c r="J474" i="2"/>
  <c r="H474" i="2"/>
  <c r="G474" i="2"/>
  <c r="E474" i="2"/>
  <c r="J473" i="2"/>
  <c r="H473" i="2"/>
  <c r="E473" i="2"/>
  <c r="G473" i="2" s="1"/>
  <c r="J472" i="2"/>
  <c r="H472" i="2"/>
  <c r="E472" i="2"/>
  <c r="G472" i="2" s="1"/>
  <c r="J471" i="2"/>
  <c r="H471" i="2"/>
  <c r="G471" i="2"/>
  <c r="E471" i="2"/>
  <c r="J470" i="2"/>
  <c r="H470" i="2"/>
  <c r="E470" i="2"/>
  <c r="G470" i="2" s="1"/>
  <c r="J469" i="2"/>
  <c r="H469" i="2"/>
  <c r="G469" i="2"/>
  <c r="E469" i="2"/>
  <c r="J468" i="2"/>
  <c r="H468" i="2"/>
  <c r="G468" i="2"/>
  <c r="E468" i="2"/>
  <c r="J467" i="2"/>
  <c r="H467" i="2"/>
  <c r="E467" i="2"/>
  <c r="G467" i="2" s="1"/>
  <c r="J466" i="2"/>
  <c r="H466" i="2"/>
  <c r="E466" i="2"/>
  <c r="G466" i="2" s="1"/>
  <c r="J465" i="2"/>
  <c r="H465" i="2"/>
  <c r="G465" i="2"/>
  <c r="E465" i="2"/>
  <c r="J464" i="2"/>
  <c r="H464" i="2"/>
  <c r="E464" i="2"/>
  <c r="G464" i="2" s="1"/>
  <c r="J463" i="2"/>
  <c r="H463" i="2"/>
  <c r="E463" i="2"/>
  <c r="G463" i="2" s="1"/>
  <c r="J462" i="2"/>
  <c r="H462" i="2"/>
  <c r="G462" i="2"/>
  <c r="E462" i="2"/>
  <c r="J461" i="2"/>
  <c r="H461" i="2"/>
  <c r="E461" i="2"/>
  <c r="G461" i="2" s="1"/>
  <c r="J460" i="2"/>
  <c r="H460" i="2"/>
  <c r="E460" i="2"/>
  <c r="G460" i="2" s="1"/>
  <c r="J459" i="2"/>
  <c r="H459" i="2"/>
  <c r="G459" i="2"/>
  <c r="E459" i="2"/>
  <c r="J458" i="2"/>
  <c r="H458" i="2"/>
  <c r="E458" i="2"/>
  <c r="G458" i="2" s="1"/>
  <c r="J457" i="2"/>
  <c r="H457" i="2"/>
  <c r="G457" i="2"/>
  <c r="E457" i="2"/>
  <c r="J456" i="2"/>
  <c r="H456" i="2"/>
  <c r="G456" i="2"/>
  <c r="E456" i="2"/>
  <c r="J455" i="2"/>
  <c r="H455" i="2"/>
  <c r="E455" i="2"/>
  <c r="G455" i="2" s="1"/>
  <c r="J454" i="2"/>
  <c r="H454" i="2"/>
  <c r="E454" i="2"/>
  <c r="G454" i="2" s="1"/>
  <c r="J453" i="2"/>
  <c r="H453" i="2"/>
  <c r="G453" i="2"/>
  <c r="E453" i="2"/>
  <c r="J452" i="2"/>
  <c r="H452" i="2"/>
  <c r="E452" i="2"/>
  <c r="G452" i="2" s="1"/>
  <c r="J451" i="2"/>
  <c r="H451" i="2"/>
  <c r="G451" i="2"/>
  <c r="E451" i="2"/>
  <c r="J450" i="2"/>
  <c r="H450" i="2"/>
  <c r="G450" i="2"/>
  <c r="E450" i="2"/>
  <c r="J449" i="2"/>
  <c r="H449" i="2"/>
  <c r="E449" i="2"/>
  <c r="G449" i="2" s="1"/>
  <c r="J448" i="2"/>
  <c r="H448" i="2"/>
  <c r="G448" i="2"/>
  <c r="E448" i="2"/>
  <c r="J447" i="2"/>
  <c r="H447" i="2"/>
  <c r="G447" i="2"/>
  <c r="E447" i="2"/>
  <c r="J446" i="2"/>
  <c r="H446" i="2"/>
  <c r="E446" i="2"/>
  <c r="G446" i="2" s="1"/>
  <c r="J445" i="2"/>
  <c r="H445" i="2"/>
  <c r="G445" i="2"/>
  <c r="E445" i="2"/>
  <c r="J444" i="2"/>
  <c r="H444" i="2"/>
  <c r="G444" i="2"/>
  <c r="E444" i="2"/>
  <c r="J443" i="2"/>
  <c r="H443" i="2"/>
  <c r="E443" i="2"/>
  <c r="G443" i="2" s="1"/>
  <c r="J442" i="2"/>
  <c r="H442" i="2"/>
  <c r="E442" i="2"/>
  <c r="G442" i="2" s="1"/>
  <c r="J441" i="2"/>
  <c r="H441" i="2"/>
  <c r="G441" i="2"/>
  <c r="E441" i="2"/>
  <c r="J440" i="2"/>
  <c r="H440" i="2"/>
  <c r="E440" i="2"/>
  <c r="G440" i="2" s="1"/>
  <c r="J439" i="2"/>
  <c r="H439" i="2"/>
  <c r="E439" i="2"/>
  <c r="G439" i="2" s="1"/>
  <c r="J438" i="2"/>
  <c r="H438" i="2"/>
  <c r="G438" i="2"/>
  <c r="E438" i="2"/>
  <c r="J437" i="2"/>
  <c r="H437" i="2"/>
  <c r="E437" i="2"/>
  <c r="G437" i="2" s="1"/>
  <c r="J436" i="2"/>
  <c r="H436" i="2"/>
  <c r="E436" i="2"/>
  <c r="G436" i="2" s="1"/>
  <c r="J435" i="2"/>
  <c r="H435" i="2"/>
  <c r="G435" i="2"/>
  <c r="E435" i="2"/>
  <c r="J434" i="2"/>
  <c r="H434" i="2"/>
  <c r="E434" i="2"/>
  <c r="G434" i="2" s="1"/>
  <c r="J433" i="2"/>
  <c r="H433" i="2"/>
  <c r="G433" i="2"/>
  <c r="E433" i="2"/>
  <c r="J432" i="2"/>
  <c r="H432" i="2"/>
  <c r="G432" i="2"/>
  <c r="E432" i="2"/>
  <c r="J431" i="2"/>
  <c r="H431" i="2"/>
  <c r="E431" i="2"/>
  <c r="G431" i="2" s="1"/>
  <c r="J430" i="2"/>
  <c r="H430" i="2"/>
  <c r="E430" i="2"/>
  <c r="G430" i="2" s="1"/>
  <c r="J429" i="2"/>
  <c r="H429" i="2"/>
  <c r="G429" i="2"/>
  <c r="E429" i="2"/>
  <c r="J428" i="2"/>
  <c r="H428" i="2"/>
  <c r="E428" i="2"/>
  <c r="G428" i="2" s="1"/>
  <c r="J427" i="2"/>
  <c r="H427" i="2"/>
  <c r="E427" i="2"/>
  <c r="G427" i="2" s="1"/>
  <c r="J426" i="2"/>
  <c r="H426" i="2"/>
  <c r="G426" i="2"/>
  <c r="E426" i="2"/>
  <c r="J425" i="2"/>
  <c r="H425" i="2"/>
  <c r="E425" i="2"/>
  <c r="G425" i="2" s="1"/>
  <c r="J424" i="2"/>
  <c r="H424" i="2"/>
  <c r="E424" i="2"/>
  <c r="G424" i="2" s="1"/>
  <c r="J423" i="2"/>
  <c r="H423" i="2"/>
  <c r="G423" i="2"/>
  <c r="E423" i="2"/>
  <c r="J422" i="2"/>
  <c r="H422" i="2"/>
  <c r="E422" i="2"/>
  <c r="G422" i="2" s="1"/>
  <c r="J421" i="2"/>
  <c r="H421" i="2"/>
  <c r="G421" i="2"/>
  <c r="E421" i="2"/>
  <c r="J420" i="2"/>
  <c r="H420" i="2"/>
  <c r="G420" i="2"/>
  <c r="E420" i="2"/>
  <c r="J419" i="2"/>
  <c r="H419" i="2"/>
  <c r="E419" i="2"/>
  <c r="G419" i="2" s="1"/>
  <c r="J418" i="2"/>
  <c r="H418" i="2"/>
  <c r="E418" i="2"/>
  <c r="G418" i="2" s="1"/>
  <c r="J417" i="2"/>
  <c r="H417" i="2"/>
  <c r="G417" i="2"/>
  <c r="E417" i="2"/>
  <c r="J416" i="2"/>
  <c r="H416" i="2"/>
  <c r="E416" i="2"/>
  <c r="G416" i="2" s="1"/>
  <c r="J415" i="2"/>
  <c r="H415" i="2"/>
  <c r="G415" i="2"/>
  <c r="E415" i="2"/>
  <c r="J414" i="2"/>
  <c r="H414" i="2"/>
  <c r="G414" i="2"/>
  <c r="E414" i="2"/>
  <c r="J413" i="2"/>
  <c r="H413" i="2"/>
  <c r="E413" i="2"/>
  <c r="G413" i="2" s="1"/>
  <c r="J412" i="2"/>
  <c r="H412" i="2"/>
  <c r="G412" i="2"/>
  <c r="E412" i="2"/>
  <c r="J411" i="2"/>
  <c r="H411" i="2"/>
  <c r="G411" i="2"/>
  <c r="E411" i="2"/>
  <c r="J410" i="2"/>
  <c r="H410" i="2"/>
  <c r="E410" i="2"/>
  <c r="G410" i="2" s="1"/>
  <c r="J409" i="2"/>
  <c r="H409" i="2"/>
  <c r="G409" i="2"/>
  <c r="E409" i="2"/>
  <c r="J408" i="2"/>
  <c r="H408" i="2"/>
  <c r="G408" i="2"/>
  <c r="E408" i="2"/>
  <c r="J407" i="2"/>
  <c r="H407" i="2"/>
  <c r="E407" i="2"/>
  <c r="G407" i="2" s="1"/>
  <c r="J406" i="2"/>
  <c r="H406" i="2"/>
  <c r="E406" i="2"/>
  <c r="G406" i="2" s="1"/>
  <c r="J405" i="2"/>
  <c r="H405" i="2"/>
  <c r="G405" i="2"/>
  <c r="E405" i="2"/>
  <c r="J404" i="2"/>
  <c r="H404" i="2"/>
  <c r="E404" i="2"/>
  <c r="G404" i="2" s="1"/>
  <c r="J403" i="2"/>
  <c r="H403" i="2"/>
  <c r="E403" i="2"/>
  <c r="G403" i="2" s="1"/>
  <c r="J402" i="2"/>
  <c r="H402" i="2"/>
  <c r="G402" i="2"/>
  <c r="E402" i="2"/>
  <c r="J401" i="2"/>
  <c r="H401" i="2"/>
  <c r="E401" i="2"/>
  <c r="G401" i="2" s="1"/>
  <c r="J400" i="2"/>
  <c r="H400" i="2"/>
  <c r="E400" i="2"/>
  <c r="G400" i="2" s="1"/>
  <c r="J399" i="2"/>
  <c r="H399" i="2"/>
  <c r="G399" i="2"/>
  <c r="E399" i="2"/>
  <c r="J398" i="2"/>
  <c r="H398" i="2"/>
  <c r="E398" i="2"/>
  <c r="G398" i="2" s="1"/>
  <c r="J397" i="2"/>
  <c r="H397" i="2"/>
  <c r="G397" i="2"/>
  <c r="E397" i="2"/>
  <c r="J396" i="2"/>
  <c r="H396" i="2"/>
  <c r="G396" i="2"/>
  <c r="E396" i="2"/>
  <c r="J395" i="2"/>
  <c r="H395" i="2"/>
  <c r="E395" i="2"/>
  <c r="G395" i="2" s="1"/>
  <c r="J394" i="2"/>
  <c r="H394" i="2"/>
  <c r="E394" i="2"/>
  <c r="G394" i="2" s="1"/>
  <c r="J393" i="2"/>
  <c r="H393" i="2"/>
  <c r="E393" i="2"/>
  <c r="G393" i="2" s="1"/>
  <c r="J392" i="2"/>
  <c r="H392" i="2"/>
  <c r="E392" i="2"/>
  <c r="G392" i="2" s="1"/>
  <c r="J391" i="2"/>
  <c r="H391" i="2"/>
  <c r="E391" i="2"/>
  <c r="G391" i="2" s="1"/>
  <c r="J390" i="2"/>
  <c r="H390" i="2"/>
  <c r="E390" i="2"/>
  <c r="G390" i="2" s="1"/>
  <c r="J389" i="2"/>
  <c r="H389" i="2"/>
  <c r="E389" i="2"/>
  <c r="G389" i="2" s="1"/>
  <c r="J388" i="2"/>
  <c r="H388" i="2"/>
  <c r="E388" i="2"/>
  <c r="G388" i="2" s="1"/>
  <c r="J387" i="2"/>
  <c r="H387" i="2"/>
  <c r="E387" i="2"/>
  <c r="G387" i="2" s="1"/>
  <c r="J386" i="2"/>
  <c r="H386" i="2"/>
  <c r="E386" i="2"/>
  <c r="G386" i="2" s="1"/>
  <c r="J385" i="2"/>
  <c r="H385" i="2"/>
  <c r="G385" i="2"/>
  <c r="E385" i="2"/>
  <c r="J384" i="2"/>
  <c r="H384" i="2"/>
  <c r="G384" i="2"/>
  <c r="E384" i="2"/>
  <c r="J383" i="2"/>
  <c r="H383" i="2"/>
  <c r="E383" i="2"/>
  <c r="G383" i="2" s="1"/>
  <c r="J382" i="2"/>
  <c r="H382" i="2"/>
  <c r="E382" i="2"/>
  <c r="G382" i="2" s="1"/>
  <c r="J381" i="2"/>
  <c r="H381" i="2"/>
  <c r="E381" i="2"/>
  <c r="G381" i="2" s="1"/>
  <c r="J380" i="2"/>
  <c r="H380" i="2"/>
  <c r="E380" i="2"/>
  <c r="G380" i="2" s="1"/>
  <c r="J379" i="2"/>
  <c r="H379" i="2"/>
  <c r="G379" i="2"/>
  <c r="E379" i="2"/>
  <c r="J378" i="2"/>
  <c r="H378" i="2"/>
  <c r="E378" i="2"/>
  <c r="G378" i="2" s="1"/>
  <c r="J377" i="2"/>
  <c r="H377" i="2"/>
  <c r="E377" i="2"/>
  <c r="G377" i="2" s="1"/>
  <c r="J376" i="2"/>
  <c r="H376" i="2"/>
  <c r="G376" i="2"/>
  <c r="E376" i="2"/>
  <c r="J375" i="2"/>
  <c r="H375" i="2"/>
  <c r="E375" i="2"/>
  <c r="G375" i="2" s="1"/>
  <c r="J374" i="2"/>
  <c r="H374" i="2"/>
  <c r="E374" i="2"/>
  <c r="G374" i="2" s="1"/>
  <c r="J373" i="2"/>
  <c r="H373" i="2"/>
  <c r="G373" i="2"/>
  <c r="E373" i="2"/>
  <c r="J372" i="2"/>
  <c r="H372" i="2"/>
  <c r="G372" i="2"/>
  <c r="E372" i="2"/>
  <c r="J371" i="2"/>
  <c r="H371" i="2"/>
  <c r="E371" i="2"/>
  <c r="G371" i="2" s="1"/>
  <c r="J370" i="2"/>
  <c r="H370" i="2"/>
  <c r="E370" i="2"/>
  <c r="G370" i="2" s="1"/>
  <c r="J369" i="2"/>
  <c r="H369" i="2"/>
  <c r="E369" i="2"/>
  <c r="G369" i="2" s="1"/>
  <c r="J368" i="2"/>
  <c r="H368" i="2"/>
  <c r="E368" i="2"/>
  <c r="G368" i="2" s="1"/>
  <c r="J367" i="2"/>
  <c r="H367" i="2"/>
  <c r="E367" i="2"/>
  <c r="G367" i="2" s="1"/>
  <c r="J366" i="2"/>
  <c r="H366" i="2"/>
  <c r="G366" i="2"/>
  <c r="E366" i="2"/>
  <c r="J365" i="2"/>
  <c r="H365" i="2"/>
  <c r="E365" i="2"/>
  <c r="G365" i="2" s="1"/>
  <c r="J364" i="2"/>
  <c r="H364" i="2"/>
  <c r="E364" i="2"/>
  <c r="G364" i="2" s="1"/>
  <c r="J363" i="2"/>
  <c r="H363" i="2"/>
  <c r="G363" i="2"/>
  <c r="E363" i="2"/>
  <c r="J362" i="2"/>
  <c r="H362" i="2"/>
  <c r="E362" i="2"/>
  <c r="G362" i="2" s="1"/>
  <c r="J361" i="2"/>
  <c r="H361" i="2"/>
  <c r="G361" i="2"/>
  <c r="E361" i="2"/>
  <c r="J360" i="2"/>
  <c r="H360" i="2"/>
  <c r="G360" i="2"/>
  <c r="E360" i="2"/>
  <c r="J359" i="2"/>
  <c r="H359" i="2"/>
  <c r="E359" i="2"/>
  <c r="G359" i="2" s="1"/>
  <c r="J358" i="2"/>
  <c r="H358" i="2"/>
  <c r="E358" i="2"/>
  <c r="G358" i="2" s="1"/>
  <c r="J357" i="2"/>
  <c r="H357" i="2"/>
  <c r="E357" i="2"/>
  <c r="G357" i="2" s="1"/>
  <c r="J356" i="2"/>
  <c r="H356" i="2"/>
  <c r="E356" i="2"/>
  <c r="G356" i="2" s="1"/>
  <c r="J355" i="2"/>
  <c r="H355" i="2"/>
  <c r="E355" i="2"/>
  <c r="G355" i="2" s="1"/>
  <c r="J354" i="2"/>
  <c r="H354" i="2"/>
  <c r="E354" i="2"/>
  <c r="G354" i="2" s="1"/>
  <c r="J353" i="2"/>
  <c r="H353" i="2"/>
  <c r="E353" i="2"/>
  <c r="G353" i="2" s="1"/>
  <c r="J352" i="2"/>
  <c r="H352" i="2"/>
  <c r="E352" i="2"/>
  <c r="G352" i="2" s="1"/>
  <c r="J351" i="2"/>
  <c r="H351" i="2"/>
  <c r="E351" i="2"/>
  <c r="G351" i="2" s="1"/>
  <c r="J350" i="2"/>
  <c r="H350" i="2"/>
  <c r="E350" i="2"/>
  <c r="G350" i="2" s="1"/>
  <c r="J349" i="2"/>
  <c r="H349" i="2"/>
  <c r="G349" i="2"/>
  <c r="E349" i="2"/>
  <c r="J348" i="2"/>
  <c r="H348" i="2"/>
  <c r="G348" i="2"/>
  <c r="E348" i="2"/>
  <c r="J347" i="2"/>
  <c r="H347" i="2"/>
  <c r="E347" i="2"/>
  <c r="G347" i="2" s="1"/>
  <c r="J346" i="2"/>
  <c r="H346" i="2"/>
  <c r="E346" i="2"/>
  <c r="G346" i="2" s="1"/>
  <c r="J345" i="2"/>
  <c r="H345" i="2"/>
  <c r="E345" i="2"/>
  <c r="G345" i="2" s="1"/>
  <c r="J344" i="2"/>
  <c r="H344" i="2"/>
  <c r="E344" i="2"/>
  <c r="G344" i="2" s="1"/>
  <c r="J343" i="2"/>
  <c r="H343" i="2"/>
  <c r="G343" i="2"/>
  <c r="E343" i="2"/>
  <c r="J342" i="2"/>
  <c r="H342" i="2"/>
  <c r="E342" i="2"/>
  <c r="G342" i="2" s="1"/>
  <c r="J341" i="2"/>
  <c r="H341" i="2"/>
  <c r="E341" i="2"/>
  <c r="G341" i="2" s="1"/>
  <c r="J340" i="2"/>
  <c r="H340" i="2"/>
  <c r="G340" i="2"/>
  <c r="E340" i="2"/>
  <c r="J339" i="2"/>
  <c r="H339" i="2"/>
  <c r="E339" i="2"/>
  <c r="G339" i="2" s="1"/>
  <c r="J338" i="2"/>
  <c r="H338" i="2"/>
  <c r="E338" i="2"/>
  <c r="G338" i="2" s="1"/>
  <c r="J337" i="2"/>
  <c r="H337" i="2"/>
  <c r="G337" i="2"/>
  <c r="E337" i="2"/>
  <c r="J336" i="2"/>
  <c r="H336" i="2"/>
  <c r="G336" i="2"/>
  <c r="E336" i="2"/>
  <c r="J335" i="2"/>
  <c r="H335" i="2"/>
  <c r="E335" i="2"/>
  <c r="G335" i="2" s="1"/>
  <c r="J334" i="2"/>
  <c r="H334" i="2"/>
  <c r="E334" i="2"/>
  <c r="G334" i="2" s="1"/>
  <c r="J333" i="2"/>
  <c r="H333" i="2"/>
  <c r="E333" i="2"/>
  <c r="G333" i="2" s="1"/>
  <c r="J332" i="2"/>
  <c r="H332" i="2"/>
  <c r="E332" i="2"/>
  <c r="G332" i="2" s="1"/>
  <c r="J331" i="2"/>
  <c r="H331" i="2"/>
  <c r="E331" i="2"/>
  <c r="G331" i="2" s="1"/>
  <c r="J330" i="2"/>
  <c r="H330" i="2"/>
  <c r="G330" i="2"/>
  <c r="E330" i="2"/>
  <c r="J329" i="2"/>
  <c r="H329" i="2"/>
  <c r="E329" i="2"/>
  <c r="G329" i="2" s="1"/>
  <c r="J328" i="2"/>
  <c r="H328" i="2"/>
  <c r="E328" i="2"/>
  <c r="G328" i="2" s="1"/>
  <c r="J327" i="2"/>
  <c r="H327" i="2"/>
  <c r="G327" i="2"/>
  <c r="E327" i="2"/>
  <c r="J326" i="2"/>
  <c r="H326" i="2"/>
  <c r="E326" i="2"/>
  <c r="G326" i="2" s="1"/>
  <c r="J325" i="2"/>
  <c r="H325" i="2"/>
  <c r="G325" i="2"/>
  <c r="E325" i="2"/>
  <c r="J324" i="2"/>
  <c r="H324" i="2"/>
  <c r="G324" i="2"/>
  <c r="E324" i="2"/>
  <c r="J323" i="2"/>
  <c r="H323" i="2"/>
  <c r="E323" i="2"/>
  <c r="G323" i="2" s="1"/>
  <c r="J322" i="2"/>
  <c r="H322" i="2"/>
  <c r="E322" i="2"/>
  <c r="G322" i="2" s="1"/>
  <c r="J321" i="2"/>
  <c r="H321" i="2"/>
  <c r="E321" i="2"/>
  <c r="G321" i="2" s="1"/>
  <c r="J320" i="2"/>
  <c r="H320" i="2"/>
  <c r="E320" i="2"/>
  <c r="G320" i="2" s="1"/>
  <c r="J319" i="2"/>
  <c r="H319" i="2"/>
  <c r="E319" i="2"/>
  <c r="G319" i="2" s="1"/>
  <c r="J318" i="2"/>
  <c r="H318" i="2"/>
  <c r="E318" i="2"/>
  <c r="G318" i="2" s="1"/>
  <c r="J317" i="2"/>
  <c r="H317" i="2"/>
  <c r="E317" i="2"/>
  <c r="G317" i="2" s="1"/>
  <c r="J316" i="2"/>
  <c r="H316" i="2"/>
  <c r="E316" i="2"/>
  <c r="G316" i="2" s="1"/>
  <c r="J315" i="2"/>
  <c r="H315" i="2"/>
  <c r="E315" i="2"/>
  <c r="G315" i="2" s="1"/>
  <c r="J314" i="2"/>
  <c r="H314" i="2"/>
  <c r="E314" i="2"/>
  <c r="G314" i="2" s="1"/>
  <c r="J313" i="2"/>
  <c r="H313" i="2"/>
  <c r="G313" i="2"/>
  <c r="E313" i="2"/>
  <c r="J312" i="2"/>
  <c r="H312" i="2"/>
  <c r="G312" i="2"/>
  <c r="E312" i="2"/>
  <c r="J311" i="2"/>
  <c r="H311" i="2"/>
  <c r="E311" i="2"/>
  <c r="G311" i="2" s="1"/>
  <c r="J310" i="2"/>
  <c r="H310" i="2"/>
  <c r="E310" i="2"/>
  <c r="G310" i="2" s="1"/>
  <c r="J309" i="2"/>
  <c r="H309" i="2"/>
  <c r="E309" i="2"/>
  <c r="G309" i="2" s="1"/>
  <c r="J308" i="2"/>
  <c r="H308" i="2"/>
  <c r="E308" i="2"/>
  <c r="G308" i="2" s="1"/>
  <c r="J307" i="2"/>
  <c r="H307" i="2"/>
  <c r="G307" i="2"/>
  <c r="E307" i="2"/>
  <c r="J306" i="2"/>
  <c r="H306" i="2"/>
  <c r="E306" i="2"/>
  <c r="G306" i="2" s="1"/>
  <c r="J305" i="2"/>
  <c r="H305" i="2"/>
  <c r="E305" i="2"/>
  <c r="G305" i="2" s="1"/>
  <c r="J304" i="2"/>
  <c r="H304" i="2"/>
  <c r="G304" i="2"/>
  <c r="E304" i="2"/>
  <c r="J303" i="2"/>
  <c r="H303" i="2"/>
  <c r="E303" i="2"/>
  <c r="G303" i="2" s="1"/>
  <c r="J302" i="2"/>
  <c r="H302" i="2"/>
  <c r="E302" i="2"/>
  <c r="G302" i="2" s="1"/>
  <c r="J301" i="2"/>
  <c r="H301" i="2"/>
  <c r="G301" i="2"/>
  <c r="E301" i="2"/>
  <c r="J300" i="2"/>
  <c r="H300" i="2"/>
  <c r="G300" i="2"/>
  <c r="E300" i="2"/>
  <c r="J299" i="2"/>
  <c r="H299" i="2"/>
  <c r="E299" i="2"/>
  <c r="G299" i="2" s="1"/>
  <c r="J298" i="2"/>
  <c r="H298" i="2"/>
  <c r="E298" i="2"/>
  <c r="G298" i="2" s="1"/>
  <c r="J297" i="2"/>
  <c r="H297" i="2"/>
  <c r="E297" i="2"/>
  <c r="G297" i="2" s="1"/>
  <c r="J296" i="2"/>
  <c r="H296" i="2"/>
  <c r="E296" i="2"/>
  <c r="G296" i="2" s="1"/>
  <c r="J295" i="2"/>
  <c r="H295" i="2"/>
  <c r="E295" i="2"/>
  <c r="G295" i="2" s="1"/>
  <c r="J294" i="2"/>
  <c r="H294" i="2"/>
  <c r="G294" i="2"/>
  <c r="E294" i="2"/>
  <c r="J293" i="2"/>
  <c r="H293" i="2"/>
  <c r="E293" i="2"/>
  <c r="G293" i="2" s="1"/>
  <c r="J292" i="2"/>
  <c r="H292" i="2"/>
  <c r="E292" i="2"/>
  <c r="G292" i="2" s="1"/>
  <c r="J291" i="2"/>
  <c r="H291" i="2"/>
  <c r="G291" i="2"/>
  <c r="E291" i="2"/>
  <c r="J290" i="2"/>
  <c r="H290" i="2"/>
  <c r="E290" i="2"/>
  <c r="G290" i="2" s="1"/>
  <c r="J289" i="2"/>
  <c r="H289" i="2"/>
  <c r="G289" i="2"/>
  <c r="E289" i="2"/>
  <c r="J288" i="2"/>
  <c r="H288" i="2"/>
  <c r="G288" i="2"/>
  <c r="E288" i="2"/>
  <c r="J287" i="2"/>
  <c r="H287" i="2"/>
  <c r="E287" i="2"/>
  <c r="G287" i="2" s="1"/>
  <c r="J286" i="2"/>
  <c r="H286" i="2"/>
  <c r="E286" i="2"/>
  <c r="G286" i="2" s="1"/>
  <c r="J285" i="2"/>
  <c r="H285" i="2"/>
  <c r="E285" i="2"/>
  <c r="G285" i="2" s="1"/>
  <c r="J284" i="2"/>
  <c r="H284" i="2"/>
  <c r="E284" i="2"/>
  <c r="G284" i="2" s="1"/>
  <c r="J283" i="2"/>
  <c r="H283" i="2"/>
  <c r="E283" i="2"/>
  <c r="G283" i="2" s="1"/>
  <c r="J282" i="2"/>
  <c r="H282" i="2"/>
  <c r="E282" i="2"/>
  <c r="G282" i="2" s="1"/>
  <c r="J281" i="2"/>
  <c r="H281" i="2"/>
  <c r="E281" i="2"/>
  <c r="G281" i="2" s="1"/>
  <c r="J280" i="2"/>
  <c r="H280" i="2"/>
  <c r="E280" i="2"/>
  <c r="G280" i="2" s="1"/>
  <c r="J279" i="2"/>
  <c r="H279" i="2"/>
  <c r="E279" i="2"/>
  <c r="G279" i="2" s="1"/>
  <c r="J278" i="2"/>
  <c r="H278" i="2"/>
  <c r="E278" i="2"/>
  <c r="G278" i="2" s="1"/>
  <c r="J277" i="2"/>
  <c r="H277" i="2"/>
  <c r="G277" i="2"/>
  <c r="E277" i="2"/>
  <c r="J276" i="2"/>
  <c r="H276" i="2"/>
  <c r="G276" i="2"/>
  <c r="E276" i="2"/>
  <c r="J275" i="2"/>
  <c r="H275" i="2"/>
  <c r="E275" i="2"/>
  <c r="G275" i="2" s="1"/>
  <c r="J274" i="2"/>
  <c r="H274" i="2"/>
  <c r="E274" i="2"/>
  <c r="G274" i="2" s="1"/>
  <c r="J273" i="2"/>
  <c r="H273" i="2"/>
  <c r="E273" i="2"/>
  <c r="G273" i="2" s="1"/>
  <c r="J272" i="2"/>
  <c r="H272" i="2"/>
  <c r="E272" i="2"/>
  <c r="G272" i="2" s="1"/>
  <c r="J271" i="2"/>
  <c r="H271" i="2"/>
  <c r="G271" i="2"/>
  <c r="E271" i="2"/>
  <c r="J270" i="2"/>
  <c r="H270" i="2"/>
  <c r="E270" i="2"/>
  <c r="G270" i="2" s="1"/>
  <c r="J269" i="2"/>
  <c r="H269" i="2"/>
  <c r="E269" i="2"/>
  <c r="G269" i="2" s="1"/>
  <c r="J268" i="2"/>
  <c r="H268" i="2"/>
  <c r="G268" i="2"/>
  <c r="E268" i="2"/>
  <c r="J267" i="2"/>
  <c r="H267" i="2"/>
  <c r="E267" i="2"/>
  <c r="G267" i="2" s="1"/>
  <c r="J266" i="2"/>
  <c r="H266" i="2"/>
  <c r="E266" i="2"/>
  <c r="G266" i="2" s="1"/>
  <c r="J265" i="2"/>
  <c r="H265" i="2"/>
  <c r="G265" i="2"/>
  <c r="E265" i="2"/>
  <c r="J264" i="2"/>
  <c r="H264" i="2"/>
  <c r="G264" i="2"/>
  <c r="E264" i="2"/>
  <c r="J263" i="2"/>
  <c r="H263" i="2"/>
  <c r="E263" i="2"/>
  <c r="G263" i="2" s="1"/>
  <c r="J262" i="2"/>
  <c r="H262" i="2"/>
  <c r="E262" i="2"/>
  <c r="G262" i="2" s="1"/>
  <c r="J261" i="2"/>
  <c r="H261" i="2"/>
  <c r="E261" i="2"/>
  <c r="G261" i="2" s="1"/>
  <c r="J260" i="2"/>
  <c r="H260" i="2"/>
  <c r="E260" i="2"/>
  <c r="G260" i="2" s="1"/>
  <c r="J259" i="2"/>
  <c r="H259" i="2"/>
  <c r="E259" i="2"/>
  <c r="G259" i="2" s="1"/>
  <c r="J258" i="2"/>
  <c r="H258" i="2"/>
  <c r="G258" i="2"/>
  <c r="E258" i="2"/>
  <c r="J257" i="2"/>
  <c r="H257" i="2"/>
  <c r="E257" i="2"/>
  <c r="G257" i="2" s="1"/>
  <c r="J256" i="2"/>
  <c r="H256" i="2"/>
  <c r="E256" i="2"/>
  <c r="G256" i="2" s="1"/>
  <c r="J255" i="2"/>
  <c r="H255" i="2"/>
  <c r="G255" i="2"/>
  <c r="E255" i="2"/>
  <c r="J254" i="2"/>
  <c r="H254" i="2"/>
  <c r="E254" i="2"/>
  <c r="G254" i="2" s="1"/>
  <c r="J253" i="2"/>
  <c r="H253" i="2"/>
  <c r="G253" i="2"/>
  <c r="E253" i="2"/>
  <c r="J252" i="2"/>
  <c r="H252" i="2"/>
  <c r="G252" i="2"/>
  <c r="E252" i="2"/>
  <c r="J251" i="2"/>
  <c r="H251" i="2"/>
  <c r="E251" i="2"/>
  <c r="G251" i="2" s="1"/>
  <c r="J250" i="2"/>
  <c r="H250" i="2"/>
  <c r="E250" i="2"/>
  <c r="G250" i="2" s="1"/>
  <c r="J249" i="2"/>
  <c r="H249" i="2"/>
  <c r="E249" i="2"/>
  <c r="G249" i="2" s="1"/>
  <c r="J248" i="2"/>
  <c r="H248" i="2"/>
  <c r="E248" i="2"/>
  <c r="G248" i="2" s="1"/>
  <c r="J247" i="2"/>
  <c r="H247" i="2"/>
  <c r="E247" i="2"/>
  <c r="G247" i="2" s="1"/>
  <c r="J246" i="2"/>
  <c r="H246" i="2"/>
  <c r="E246" i="2"/>
  <c r="G246" i="2" s="1"/>
  <c r="J245" i="2"/>
  <c r="H245" i="2"/>
  <c r="E245" i="2"/>
  <c r="G245" i="2" s="1"/>
  <c r="J244" i="2"/>
  <c r="H244" i="2"/>
  <c r="E244" i="2"/>
  <c r="G244" i="2" s="1"/>
  <c r="J243" i="2"/>
  <c r="H243" i="2"/>
  <c r="E243" i="2"/>
  <c r="G243" i="2" s="1"/>
  <c r="J242" i="2"/>
  <c r="H242" i="2"/>
  <c r="E242" i="2"/>
  <c r="G242" i="2" s="1"/>
  <c r="J241" i="2"/>
  <c r="H241" i="2"/>
  <c r="G241" i="2"/>
  <c r="E241" i="2"/>
  <c r="J240" i="2"/>
  <c r="H240" i="2"/>
  <c r="G240" i="2"/>
  <c r="E240" i="2"/>
  <c r="J239" i="2"/>
  <c r="H239" i="2"/>
  <c r="E239" i="2"/>
  <c r="G239" i="2" s="1"/>
  <c r="J238" i="2"/>
  <c r="H238" i="2"/>
  <c r="E238" i="2"/>
  <c r="G238" i="2" s="1"/>
  <c r="J237" i="2"/>
  <c r="H237" i="2"/>
  <c r="E237" i="2"/>
  <c r="G237" i="2" s="1"/>
  <c r="J236" i="2"/>
  <c r="H236" i="2"/>
  <c r="E236" i="2"/>
  <c r="G236" i="2" s="1"/>
  <c r="J235" i="2"/>
  <c r="H235" i="2"/>
  <c r="G235" i="2"/>
  <c r="E235" i="2"/>
  <c r="J234" i="2"/>
  <c r="H234" i="2"/>
  <c r="E234" i="2"/>
  <c r="G234" i="2" s="1"/>
  <c r="J233" i="2"/>
  <c r="H233" i="2"/>
  <c r="E233" i="2"/>
  <c r="G233" i="2" s="1"/>
  <c r="J232" i="2"/>
  <c r="H232" i="2"/>
  <c r="G232" i="2"/>
  <c r="E232" i="2"/>
  <c r="J231" i="2"/>
  <c r="H231" i="2"/>
  <c r="E231" i="2"/>
  <c r="G231" i="2" s="1"/>
  <c r="J230" i="2"/>
  <c r="H230" i="2"/>
  <c r="E230" i="2"/>
  <c r="G230" i="2" s="1"/>
  <c r="J229" i="2"/>
  <c r="H229" i="2"/>
  <c r="G229" i="2"/>
  <c r="E229" i="2"/>
  <c r="J228" i="2"/>
  <c r="H228" i="2"/>
  <c r="G228" i="2"/>
  <c r="E228" i="2"/>
  <c r="J227" i="2"/>
  <c r="H227" i="2"/>
  <c r="E227" i="2"/>
  <c r="G227" i="2" s="1"/>
  <c r="J226" i="2"/>
  <c r="H226" i="2"/>
  <c r="E226" i="2"/>
  <c r="G226" i="2" s="1"/>
  <c r="J225" i="2"/>
  <c r="H225" i="2"/>
  <c r="E225" i="2"/>
  <c r="G225" i="2" s="1"/>
  <c r="J224" i="2"/>
  <c r="H224" i="2"/>
  <c r="E224" i="2"/>
  <c r="G224" i="2" s="1"/>
  <c r="J223" i="2"/>
  <c r="H223" i="2"/>
  <c r="E223" i="2"/>
  <c r="G223" i="2" s="1"/>
  <c r="J222" i="2"/>
  <c r="H222" i="2"/>
  <c r="G222" i="2"/>
  <c r="E222" i="2"/>
  <c r="J221" i="2"/>
  <c r="H221" i="2"/>
  <c r="E221" i="2"/>
  <c r="G221" i="2" s="1"/>
  <c r="J220" i="2"/>
  <c r="H220" i="2"/>
  <c r="E220" i="2"/>
  <c r="G220" i="2" s="1"/>
  <c r="J219" i="2"/>
  <c r="H219" i="2"/>
  <c r="G219" i="2"/>
  <c r="E219" i="2"/>
  <c r="J218" i="2"/>
  <c r="H218" i="2"/>
  <c r="E218" i="2"/>
  <c r="G218" i="2" s="1"/>
  <c r="J217" i="2"/>
  <c r="H217" i="2"/>
  <c r="G217" i="2"/>
  <c r="E217" i="2"/>
  <c r="J216" i="2"/>
  <c r="H216" i="2"/>
  <c r="G216" i="2"/>
  <c r="E216" i="2"/>
  <c r="J215" i="2"/>
  <c r="H215" i="2"/>
  <c r="E215" i="2"/>
  <c r="G215" i="2" s="1"/>
  <c r="J214" i="2"/>
  <c r="H214" i="2"/>
  <c r="E214" i="2"/>
  <c r="G214" i="2" s="1"/>
  <c r="J213" i="2"/>
  <c r="H213" i="2"/>
  <c r="E213" i="2"/>
  <c r="G213" i="2" s="1"/>
  <c r="J212" i="2"/>
  <c r="H212" i="2"/>
  <c r="E212" i="2"/>
  <c r="G212" i="2" s="1"/>
  <c r="J211" i="2"/>
  <c r="H211" i="2"/>
  <c r="E211" i="2"/>
  <c r="G211" i="2" s="1"/>
  <c r="J210" i="2"/>
  <c r="H210" i="2"/>
  <c r="E210" i="2"/>
  <c r="G210" i="2" s="1"/>
  <c r="J209" i="2"/>
  <c r="H209" i="2"/>
  <c r="E209" i="2"/>
  <c r="G209" i="2" s="1"/>
  <c r="J208" i="2"/>
  <c r="H208" i="2"/>
  <c r="E208" i="2"/>
  <c r="G208" i="2" s="1"/>
  <c r="J207" i="2"/>
  <c r="H207" i="2"/>
  <c r="E207" i="2"/>
  <c r="G207" i="2" s="1"/>
  <c r="J206" i="2"/>
  <c r="H206" i="2"/>
  <c r="E206" i="2"/>
  <c r="G206" i="2" s="1"/>
  <c r="J205" i="2"/>
  <c r="H205" i="2"/>
  <c r="G205" i="2"/>
  <c r="E205" i="2"/>
  <c r="J204" i="2"/>
  <c r="H204" i="2"/>
  <c r="G204" i="2"/>
  <c r="E204" i="2"/>
  <c r="J203" i="2"/>
  <c r="H203" i="2"/>
  <c r="E203" i="2"/>
  <c r="G203" i="2" s="1"/>
  <c r="J202" i="2"/>
  <c r="H202" i="2"/>
  <c r="E202" i="2"/>
  <c r="G202" i="2" s="1"/>
  <c r="J201" i="2"/>
  <c r="H201" i="2"/>
  <c r="E201" i="2"/>
  <c r="G201" i="2" s="1"/>
  <c r="J200" i="2"/>
  <c r="H200" i="2"/>
  <c r="E200" i="2"/>
  <c r="G200" i="2" s="1"/>
  <c r="J199" i="2"/>
  <c r="H199" i="2"/>
  <c r="G199" i="2"/>
  <c r="E199" i="2"/>
  <c r="J198" i="2"/>
  <c r="H198" i="2"/>
  <c r="E198" i="2"/>
  <c r="G198" i="2" s="1"/>
  <c r="J197" i="2"/>
  <c r="H197" i="2"/>
  <c r="E197" i="2"/>
  <c r="G197" i="2" s="1"/>
  <c r="J196" i="2"/>
  <c r="H196" i="2"/>
  <c r="G196" i="2"/>
  <c r="E196" i="2"/>
  <c r="J195" i="2"/>
  <c r="H195" i="2"/>
  <c r="E195" i="2"/>
  <c r="G195" i="2" s="1"/>
  <c r="J194" i="2"/>
  <c r="H194" i="2"/>
  <c r="E194" i="2"/>
  <c r="G194" i="2" s="1"/>
  <c r="J193" i="2"/>
  <c r="H193" i="2"/>
  <c r="G193" i="2"/>
  <c r="E193" i="2"/>
  <c r="J192" i="2"/>
  <c r="H192" i="2"/>
  <c r="G192" i="2"/>
  <c r="E192" i="2"/>
  <c r="J191" i="2"/>
  <c r="H191" i="2"/>
  <c r="E191" i="2"/>
  <c r="G191" i="2" s="1"/>
  <c r="J190" i="2"/>
  <c r="H190" i="2"/>
  <c r="E190" i="2"/>
  <c r="G190" i="2" s="1"/>
  <c r="J189" i="2"/>
  <c r="H189" i="2"/>
  <c r="E189" i="2"/>
  <c r="G189" i="2" s="1"/>
  <c r="J188" i="2"/>
  <c r="H188" i="2"/>
  <c r="E188" i="2"/>
  <c r="G188" i="2" s="1"/>
  <c r="J187" i="2"/>
  <c r="H187" i="2"/>
  <c r="E187" i="2"/>
  <c r="G187" i="2" s="1"/>
  <c r="J186" i="2"/>
  <c r="H186" i="2"/>
  <c r="G186" i="2"/>
  <c r="E186" i="2"/>
  <c r="J185" i="2"/>
  <c r="H185" i="2"/>
  <c r="E185" i="2"/>
  <c r="G185" i="2" s="1"/>
  <c r="J184" i="2"/>
  <c r="H184" i="2"/>
  <c r="E184" i="2"/>
  <c r="G184" i="2" s="1"/>
  <c r="J183" i="2"/>
  <c r="H183" i="2"/>
  <c r="G183" i="2"/>
  <c r="E183" i="2"/>
  <c r="J182" i="2"/>
  <c r="H182" i="2"/>
  <c r="E182" i="2"/>
  <c r="G182" i="2" s="1"/>
  <c r="J181" i="2"/>
  <c r="H181" i="2"/>
  <c r="G181" i="2"/>
  <c r="E181" i="2"/>
  <c r="J180" i="2"/>
  <c r="H180" i="2"/>
  <c r="G180" i="2"/>
  <c r="E180" i="2"/>
  <c r="J179" i="2"/>
  <c r="H179" i="2"/>
  <c r="E179" i="2"/>
  <c r="G179" i="2" s="1"/>
  <c r="J178" i="2"/>
  <c r="H178" i="2"/>
  <c r="E178" i="2"/>
  <c r="G178" i="2" s="1"/>
  <c r="J177" i="2"/>
  <c r="H177" i="2"/>
  <c r="E177" i="2"/>
  <c r="G177" i="2" s="1"/>
  <c r="J176" i="2"/>
  <c r="H176" i="2"/>
  <c r="E176" i="2"/>
  <c r="G176" i="2" s="1"/>
  <c r="J175" i="2"/>
  <c r="H175" i="2"/>
  <c r="E175" i="2"/>
  <c r="G175" i="2" s="1"/>
  <c r="J174" i="2"/>
  <c r="H174" i="2"/>
  <c r="E174" i="2"/>
  <c r="G174" i="2" s="1"/>
  <c r="J173" i="2"/>
  <c r="H173" i="2"/>
  <c r="E173" i="2"/>
  <c r="G173" i="2" s="1"/>
  <c r="J172" i="2"/>
  <c r="H172" i="2"/>
  <c r="E172" i="2"/>
  <c r="G172" i="2" s="1"/>
  <c r="J171" i="2"/>
  <c r="H171" i="2"/>
  <c r="E171" i="2"/>
  <c r="G171" i="2" s="1"/>
  <c r="J170" i="2"/>
  <c r="H170" i="2"/>
  <c r="E170" i="2"/>
  <c r="G170" i="2" s="1"/>
  <c r="J169" i="2"/>
  <c r="H169" i="2"/>
  <c r="G169" i="2"/>
  <c r="E169" i="2"/>
  <c r="J168" i="2"/>
  <c r="H168" i="2"/>
  <c r="G168" i="2"/>
  <c r="E168" i="2"/>
  <c r="J167" i="2"/>
  <c r="H167" i="2"/>
  <c r="E167" i="2"/>
  <c r="G167" i="2" s="1"/>
  <c r="J166" i="2"/>
  <c r="H166" i="2"/>
  <c r="E166" i="2"/>
  <c r="G166" i="2" s="1"/>
  <c r="J165" i="2"/>
  <c r="H165" i="2"/>
  <c r="E165" i="2"/>
  <c r="G165" i="2" s="1"/>
  <c r="J164" i="2"/>
  <c r="H164" i="2"/>
  <c r="E164" i="2"/>
  <c r="G164" i="2" s="1"/>
  <c r="J163" i="2"/>
  <c r="H163" i="2"/>
  <c r="G163" i="2"/>
  <c r="E163" i="2"/>
  <c r="J162" i="2"/>
  <c r="H162" i="2"/>
  <c r="E162" i="2"/>
  <c r="G162" i="2" s="1"/>
  <c r="J161" i="2"/>
  <c r="H161" i="2"/>
  <c r="E161" i="2"/>
  <c r="G161" i="2" s="1"/>
  <c r="J160" i="2"/>
  <c r="H160" i="2"/>
  <c r="I17" i="1" s="1"/>
  <c r="G160" i="2"/>
  <c r="E160" i="2"/>
  <c r="J159" i="2"/>
  <c r="H159" i="2"/>
  <c r="E159" i="2"/>
  <c r="G159" i="2" s="1"/>
  <c r="J158" i="2"/>
  <c r="B43" i="1" s="1"/>
  <c r="H158" i="2"/>
  <c r="E158" i="2"/>
  <c r="G158" i="2" s="1"/>
  <c r="J157" i="2"/>
  <c r="H157" i="2"/>
  <c r="G157" i="2"/>
  <c r="E157" i="2"/>
  <c r="J156" i="2"/>
  <c r="H156" i="2"/>
  <c r="G156" i="2"/>
  <c r="E156" i="2"/>
  <c r="J155" i="2"/>
  <c r="H155" i="2"/>
  <c r="G155" i="2"/>
  <c r="E155" i="2"/>
  <c r="J154" i="2"/>
  <c r="H154" i="2"/>
  <c r="G154" i="2"/>
  <c r="E154" i="2"/>
  <c r="J153" i="2"/>
  <c r="H153" i="2"/>
  <c r="G153" i="2"/>
  <c r="E153" i="2"/>
  <c r="J152" i="2"/>
  <c r="H152" i="2"/>
  <c r="G152" i="2"/>
  <c r="E152" i="2"/>
  <c r="J151" i="2"/>
  <c r="H151" i="2"/>
  <c r="G151" i="2"/>
  <c r="E151" i="2"/>
  <c r="J150" i="2"/>
  <c r="H150" i="2"/>
  <c r="G150" i="2"/>
  <c r="E150" i="2"/>
  <c r="J149" i="2"/>
  <c r="H149" i="2"/>
  <c r="G149" i="2"/>
  <c r="E149" i="2"/>
  <c r="J148" i="2"/>
  <c r="H148" i="2"/>
  <c r="G148" i="2"/>
  <c r="E148" i="2"/>
  <c r="J147" i="2"/>
  <c r="H147" i="2"/>
  <c r="G147" i="2"/>
  <c r="E147" i="2"/>
  <c r="J146" i="2"/>
  <c r="H146" i="2"/>
  <c r="G146" i="2"/>
  <c r="E146" i="2"/>
  <c r="J145" i="2"/>
  <c r="H145" i="2"/>
  <c r="G145" i="2"/>
  <c r="E145" i="2"/>
  <c r="J144" i="2"/>
  <c r="H144" i="2"/>
  <c r="G144" i="2"/>
  <c r="E144" i="2"/>
  <c r="J143" i="2"/>
  <c r="H143" i="2"/>
  <c r="G143" i="2"/>
  <c r="E143" i="2"/>
  <c r="J142" i="2"/>
  <c r="H142" i="2"/>
  <c r="G142" i="2"/>
  <c r="E142" i="2"/>
  <c r="J141" i="2"/>
  <c r="H141" i="2"/>
  <c r="G141" i="2"/>
  <c r="E141" i="2"/>
  <c r="J140" i="2"/>
  <c r="H140" i="2"/>
  <c r="G140" i="2"/>
  <c r="E140" i="2"/>
  <c r="J139" i="2"/>
  <c r="H139" i="2"/>
  <c r="G139" i="2"/>
  <c r="E139" i="2"/>
  <c r="J138" i="2"/>
  <c r="H138" i="2"/>
  <c r="G138" i="2"/>
  <c r="E138" i="2"/>
  <c r="J137" i="2"/>
  <c r="H137" i="2"/>
  <c r="G137" i="2"/>
  <c r="E137" i="2"/>
  <c r="J136" i="2"/>
  <c r="H136" i="2"/>
  <c r="G136" i="2"/>
  <c r="E136" i="2"/>
  <c r="J135" i="2"/>
  <c r="H135" i="2"/>
  <c r="G135" i="2"/>
  <c r="E135" i="2"/>
  <c r="J134" i="2"/>
  <c r="H134" i="2"/>
  <c r="G134" i="2"/>
  <c r="E134" i="2"/>
  <c r="J133" i="2"/>
  <c r="H133" i="2"/>
  <c r="G133" i="2"/>
  <c r="E133" i="2"/>
  <c r="J132" i="2"/>
  <c r="H132" i="2"/>
  <c r="G132" i="2"/>
  <c r="E132" i="2"/>
  <c r="J131" i="2"/>
  <c r="H131" i="2"/>
  <c r="G131" i="2"/>
  <c r="E131" i="2"/>
  <c r="J130" i="2"/>
  <c r="H130" i="2"/>
  <c r="G130" i="2"/>
  <c r="E130" i="2"/>
  <c r="J129" i="2"/>
  <c r="H129" i="2"/>
  <c r="G129" i="2"/>
  <c r="E129" i="2"/>
  <c r="J128" i="2"/>
  <c r="H128" i="2"/>
  <c r="G128" i="2"/>
  <c r="E128" i="2"/>
  <c r="J127" i="2"/>
  <c r="H127" i="2"/>
  <c r="G127" i="2"/>
  <c r="E127" i="2"/>
  <c r="J126" i="2"/>
  <c r="H126" i="2"/>
  <c r="G126" i="2"/>
  <c r="E126" i="2"/>
  <c r="J125" i="2"/>
  <c r="H125" i="2"/>
  <c r="G125" i="2"/>
  <c r="E125" i="2"/>
  <c r="J124" i="2"/>
  <c r="H124" i="2"/>
  <c r="G124" i="2"/>
  <c r="E124" i="2"/>
  <c r="J123" i="2"/>
  <c r="H123" i="2"/>
  <c r="G123" i="2"/>
  <c r="E123" i="2"/>
  <c r="J122" i="2"/>
  <c r="H122" i="2"/>
  <c r="G122" i="2"/>
  <c r="E122" i="2"/>
  <c r="J121" i="2"/>
  <c r="H121" i="2"/>
  <c r="G121" i="2"/>
  <c r="E121" i="2"/>
  <c r="J120" i="2"/>
  <c r="H120" i="2"/>
  <c r="G120" i="2"/>
  <c r="E120" i="2"/>
  <c r="J119" i="2"/>
  <c r="H119" i="2"/>
  <c r="G119" i="2"/>
  <c r="E119" i="2"/>
  <c r="J118" i="2"/>
  <c r="H118" i="2"/>
  <c r="G118" i="2"/>
  <c r="E118" i="2"/>
  <c r="J117" i="2"/>
  <c r="H117" i="2"/>
  <c r="G117" i="2"/>
  <c r="E117" i="2"/>
  <c r="J116" i="2"/>
  <c r="H116" i="2"/>
  <c r="G116" i="2"/>
  <c r="E116" i="2"/>
  <c r="J115" i="2"/>
  <c r="H115" i="2"/>
  <c r="G115" i="2"/>
  <c r="E115" i="2"/>
  <c r="J114" i="2"/>
  <c r="H114" i="2"/>
  <c r="G114" i="2"/>
  <c r="E114" i="2"/>
  <c r="J113" i="2"/>
  <c r="H113" i="2"/>
  <c r="G113" i="2"/>
  <c r="E113" i="2"/>
  <c r="J112" i="2"/>
  <c r="H112" i="2"/>
  <c r="G112" i="2"/>
  <c r="E112" i="2"/>
  <c r="J111" i="2"/>
  <c r="H111" i="2"/>
  <c r="G111" i="2"/>
  <c r="E111" i="2"/>
  <c r="J110" i="2"/>
  <c r="H110" i="2"/>
  <c r="G110" i="2"/>
  <c r="E110" i="2"/>
  <c r="J109" i="2"/>
  <c r="H109" i="2"/>
  <c r="G109" i="2"/>
  <c r="E109" i="2"/>
  <c r="J108" i="2"/>
  <c r="H108" i="2"/>
  <c r="G108" i="2"/>
  <c r="E108" i="2"/>
  <c r="J107" i="2"/>
  <c r="H107" i="2"/>
  <c r="G107" i="2"/>
  <c r="E107" i="2"/>
  <c r="J106" i="2"/>
  <c r="H106" i="2"/>
  <c r="G106" i="2"/>
  <c r="E106" i="2"/>
  <c r="J105" i="2"/>
  <c r="H105" i="2"/>
  <c r="G105" i="2"/>
  <c r="E105" i="2"/>
  <c r="J104" i="2"/>
  <c r="H104" i="2"/>
  <c r="G104" i="2"/>
  <c r="E104" i="2"/>
  <c r="J103" i="2"/>
  <c r="H103" i="2"/>
  <c r="G103" i="2"/>
  <c r="E103" i="2"/>
  <c r="J102" i="2"/>
  <c r="H102" i="2"/>
  <c r="G102" i="2"/>
  <c r="E102" i="2"/>
  <c r="J101" i="2"/>
  <c r="H101" i="2"/>
  <c r="G101" i="2"/>
  <c r="E101" i="2"/>
  <c r="J100" i="2"/>
  <c r="H100" i="2"/>
  <c r="G100" i="2"/>
  <c r="E100" i="2"/>
  <c r="J99" i="2"/>
  <c r="H99" i="2"/>
  <c r="G99" i="2"/>
  <c r="E99" i="2"/>
  <c r="J98" i="2"/>
  <c r="H98" i="2"/>
  <c r="G98" i="2"/>
  <c r="E98" i="2"/>
  <c r="J97" i="2"/>
  <c r="H97" i="2"/>
  <c r="G97" i="2"/>
  <c r="E97" i="2"/>
  <c r="J96" i="2"/>
  <c r="H96" i="2"/>
  <c r="G96" i="2"/>
  <c r="E96" i="2"/>
  <c r="J95" i="2"/>
  <c r="H95" i="2"/>
  <c r="G95" i="2"/>
  <c r="E95" i="2"/>
  <c r="J94" i="2"/>
  <c r="H94" i="2"/>
  <c r="G94" i="2"/>
  <c r="E94" i="2"/>
  <c r="J93" i="2"/>
  <c r="H93" i="2"/>
  <c r="G93" i="2"/>
  <c r="E93" i="2"/>
  <c r="J92" i="2"/>
  <c r="H92" i="2"/>
  <c r="G92" i="2"/>
  <c r="E92" i="2"/>
  <c r="J91" i="2"/>
  <c r="H91" i="2"/>
  <c r="G91" i="2"/>
  <c r="E91" i="2"/>
  <c r="J90" i="2"/>
  <c r="H90" i="2"/>
  <c r="G90" i="2"/>
  <c r="E90" i="2"/>
  <c r="J89" i="2"/>
  <c r="H89" i="2"/>
  <c r="G89" i="2"/>
  <c r="E89" i="2"/>
  <c r="J88" i="2"/>
  <c r="H88" i="2"/>
  <c r="G88" i="2"/>
  <c r="E88" i="2"/>
  <c r="J87" i="2"/>
  <c r="H87" i="2"/>
  <c r="G87" i="2"/>
  <c r="E87" i="2"/>
  <c r="J86" i="2"/>
  <c r="H86" i="2"/>
  <c r="G86" i="2"/>
  <c r="E86" i="2"/>
  <c r="J85" i="2"/>
  <c r="H85" i="2"/>
  <c r="G85" i="2"/>
  <c r="E85" i="2"/>
  <c r="J84" i="2"/>
  <c r="H84" i="2"/>
  <c r="G84" i="2"/>
  <c r="E84" i="2"/>
  <c r="J83" i="2"/>
  <c r="H83" i="2"/>
  <c r="G83" i="2"/>
  <c r="E83" i="2"/>
  <c r="J82" i="2"/>
  <c r="H82" i="2"/>
  <c r="G82" i="2"/>
  <c r="E82" i="2"/>
  <c r="J81" i="2"/>
  <c r="H81" i="2"/>
  <c r="G81" i="2"/>
  <c r="E81" i="2"/>
  <c r="J80" i="2"/>
  <c r="H80" i="2"/>
  <c r="G80" i="2"/>
  <c r="E80" i="2"/>
  <c r="J79" i="2"/>
  <c r="H79" i="2"/>
  <c r="G79" i="2"/>
  <c r="E79" i="2"/>
  <c r="J78" i="2"/>
  <c r="H78" i="2"/>
  <c r="G78" i="2"/>
  <c r="E78" i="2"/>
  <c r="J77" i="2"/>
  <c r="H77" i="2"/>
  <c r="G77" i="2"/>
  <c r="E77" i="2"/>
  <c r="J76" i="2"/>
  <c r="H76" i="2"/>
  <c r="G76" i="2"/>
  <c r="E76" i="2"/>
  <c r="J75" i="2"/>
  <c r="H75" i="2"/>
  <c r="G75" i="2"/>
  <c r="E75" i="2"/>
  <c r="J74" i="2"/>
  <c r="H74" i="2"/>
  <c r="G74" i="2"/>
  <c r="E74" i="2"/>
  <c r="J73" i="2"/>
  <c r="H73" i="2"/>
  <c r="G73" i="2"/>
  <c r="E73" i="2"/>
  <c r="J72" i="2"/>
  <c r="H72" i="2"/>
  <c r="G72" i="2"/>
  <c r="E72" i="2"/>
  <c r="J71" i="2"/>
  <c r="H71" i="2"/>
  <c r="G71" i="2"/>
  <c r="E71" i="2"/>
  <c r="J70" i="2"/>
  <c r="H70" i="2"/>
  <c r="G70" i="2"/>
  <c r="E70" i="2"/>
  <c r="J69" i="2"/>
  <c r="H69" i="2"/>
  <c r="G69" i="2"/>
  <c r="E69" i="2"/>
  <c r="J68" i="2"/>
  <c r="H68" i="2"/>
  <c r="G68" i="2"/>
  <c r="E68" i="2"/>
  <c r="J67" i="2"/>
  <c r="H67" i="2"/>
  <c r="G67" i="2"/>
  <c r="E67" i="2"/>
  <c r="J66" i="2"/>
  <c r="H66" i="2"/>
  <c r="G66" i="2"/>
  <c r="E66" i="2"/>
  <c r="J65" i="2"/>
  <c r="H65" i="2"/>
  <c r="G65" i="2"/>
  <c r="E65" i="2"/>
  <c r="J64" i="2"/>
  <c r="H64" i="2"/>
  <c r="G64" i="2"/>
  <c r="E64" i="2"/>
  <c r="J63" i="2"/>
  <c r="H63" i="2"/>
  <c r="G63" i="2"/>
  <c r="E63" i="2"/>
  <c r="J62" i="2"/>
  <c r="H62" i="2"/>
  <c r="G62" i="2"/>
  <c r="E62" i="2"/>
  <c r="J61" i="2"/>
  <c r="H61" i="2"/>
  <c r="G61" i="2"/>
  <c r="E61" i="2"/>
  <c r="J60" i="2"/>
  <c r="H60" i="2"/>
  <c r="G60" i="2"/>
  <c r="E60" i="2"/>
  <c r="J59" i="2"/>
  <c r="H59" i="2"/>
  <c r="G59" i="2"/>
  <c r="E59" i="2"/>
  <c r="J58" i="2"/>
  <c r="H58" i="2"/>
  <c r="G58" i="2"/>
  <c r="E58" i="2"/>
  <c r="J57" i="2"/>
  <c r="H57" i="2"/>
  <c r="G57" i="2"/>
  <c r="E57" i="2"/>
  <c r="J56" i="2"/>
  <c r="H56" i="2"/>
  <c r="G56" i="2"/>
  <c r="E56" i="2"/>
  <c r="J55" i="2"/>
  <c r="H55" i="2"/>
  <c r="G55" i="2"/>
  <c r="E55" i="2"/>
  <c r="J54" i="2"/>
  <c r="H54" i="2"/>
  <c r="G54" i="2"/>
  <c r="E54" i="2"/>
  <c r="J53" i="2"/>
  <c r="H53" i="2"/>
  <c r="G53" i="2"/>
  <c r="E53" i="2"/>
  <c r="J52" i="2"/>
  <c r="H52" i="2"/>
  <c r="G52" i="2"/>
  <c r="E52" i="2"/>
  <c r="J51" i="2"/>
  <c r="H51" i="2"/>
  <c r="G51" i="2"/>
  <c r="E51" i="2"/>
  <c r="J50" i="2"/>
  <c r="H50" i="2"/>
  <c r="G50" i="2"/>
  <c r="E50" i="2"/>
  <c r="J49" i="2"/>
  <c r="H49" i="2"/>
  <c r="G49" i="2"/>
  <c r="E49" i="2"/>
  <c r="J48" i="2"/>
  <c r="H48" i="2"/>
  <c r="G48" i="2"/>
  <c r="E48" i="2"/>
  <c r="J47" i="2"/>
  <c r="H47" i="2"/>
  <c r="G47" i="2"/>
  <c r="E47" i="2"/>
  <c r="J46" i="2"/>
  <c r="H46" i="2"/>
  <c r="G46" i="2"/>
  <c r="E46" i="2"/>
  <c r="J45" i="2"/>
  <c r="H45" i="2"/>
  <c r="G45" i="2"/>
  <c r="E45" i="2"/>
  <c r="J44" i="2"/>
  <c r="H44" i="2"/>
  <c r="G44" i="2"/>
  <c r="E44" i="2"/>
  <c r="J43" i="2"/>
  <c r="H43" i="2"/>
  <c r="G43" i="2"/>
  <c r="E43" i="2"/>
  <c r="J42" i="2"/>
  <c r="H42" i="2"/>
  <c r="G42" i="2"/>
  <c r="E42" i="2"/>
  <c r="J41" i="2"/>
  <c r="H41" i="2"/>
  <c r="G41" i="2"/>
  <c r="E41" i="2"/>
  <c r="J40" i="2"/>
  <c r="H40" i="2"/>
  <c r="G40" i="2"/>
  <c r="E40" i="2"/>
  <c r="J39" i="2"/>
  <c r="H39" i="2"/>
  <c r="G39" i="2"/>
  <c r="E39" i="2"/>
  <c r="J38" i="2"/>
  <c r="H38" i="2"/>
  <c r="G38" i="2"/>
  <c r="E38" i="2"/>
  <c r="J37" i="2"/>
  <c r="H37" i="2"/>
  <c r="G37" i="2"/>
  <c r="E37" i="2"/>
  <c r="J36" i="2"/>
  <c r="H36" i="2"/>
  <c r="G36" i="2"/>
  <c r="E36" i="2"/>
  <c r="J35" i="2"/>
  <c r="H35" i="2"/>
  <c r="G35" i="2"/>
  <c r="E35" i="2"/>
  <c r="J34" i="2"/>
  <c r="H34" i="2"/>
  <c r="G34" i="2"/>
  <c r="E34" i="2"/>
  <c r="J33" i="2"/>
  <c r="H33" i="2"/>
  <c r="G33" i="2"/>
  <c r="E33" i="2"/>
  <c r="J32" i="2"/>
  <c r="H32" i="2"/>
  <c r="G32" i="2"/>
  <c r="E32" i="2"/>
  <c r="J31" i="2"/>
  <c r="H31" i="2"/>
  <c r="G31" i="2"/>
  <c r="E31" i="2"/>
  <c r="J30" i="2"/>
  <c r="H30" i="2"/>
  <c r="G30" i="2"/>
  <c r="E30" i="2"/>
  <c r="J29" i="2"/>
  <c r="H29" i="2"/>
  <c r="G29" i="2"/>
  <c r="E29" i="2"/>
  <c r="J28" i="2"/>
  <c r="H28" i="2"/>
  <c r="G28" i="2"/>
  <c r="E28" i="2"/>
  <c r="J27" i="2"/>
  <c r="H27" i="2"/>
  <c r="G27" i="2"/>
  <c r="E27" i="2"/>
  <c r="J26" i="2"/>
  <c r="H26" i="2"/>
  <c r="G26" i="2"/>
  <c r="E26" i="2"/>
  <c r="J25" i="2"/>
  <c r="H25" i="2"/>
  <c r="G25" i="2"/>
  <c r="E25" i="2"/>
  <c r="J24" i="2"/>
  <c r="H24" i="2"/>
  <c r="G24" i="2"/>
  <c r="E24" i="2"/>
  <c r="J23" i="2"/>
  <c r="H23" i="2"/>
  <c r="G23" i="2"/>
  <c r="E23" i="2"/>
  <c r="J22" i="2"/>
  <c r="H22" i="2"/>
  <c r="G22" i="2"/>
  <c r="E22" i="2"/>
  <c r="J21" i="2"/>
  <c r="H21" i="2"/>
  <c r="G21" i="2"/>
  <c r="E21" i="2"/>
  <c r="J20" i="2"/>
  <c r="H20" i="2"/>
  <c r="G20" i="2"/>
  <c r="E20" i="2"/>
  <c r="J19" i="2"/>
  <c r="H19" i="2"/>
  <c r="G19" i="2"/>
  <c r="E19" i="2"/>
  <c r="J18" i="2"/>
  <c r="H18" i="2"/>
  <c r="G18" i="2"/>
  <c r="E18" i="2"/>
  <c r="J17" i="2"/>
  <c r="H17" i="2"/>
  <c r="G17" i="2"/>
  <c r="E17" i="2"/>
  <c r="J16" i="2"/>
  <c r="H16" i="2"/>
  <c r="G16" i="2"/>
  <c r="E16" i="2"/>
  <c r="J15" i="2"/>
  <c r="H15" i="2"/>
  <c r="G15" i="2"/>
  <c r="E15" i="2"/>
  <c r="J14" i="2"/>
  <c r="H14" i="2"/>
  <c r="G14" i="2"/>
  <c r="E14" i="2"/>
  <c r="J13" i="2"/>
  <c r="H13" i="2"/>
  <c r="G13" i="2"/>
  <c r="E13" i="2"/>
  <c r="J12" i="2"/>
  <c r="H12" i="2"/>
  <c r="G12" i="2"/>
  <c r="E12" i="2"/>
  <c r="J11" i="2"/>
  <c r="H11" i="2"/>
  <c r="G11" i="2"/>
  <c r="E11" i="2"/>
  <c r="J10" i="2"/>
  <c r="H10" i="2"/>
  <c r="G10" i="2"/>
  <c r="E10" i="2"/>
  <c r="J9" i="2"/>
  <c r="H9" i="2"/>
  <c r="G9" i="2"/>
  <c r="E9" i="2"/>
  <c r="J8" i="2"/>
  <c r="H8" i="2"/>
  <c r="G8" i="2"/>
  <c r="E8" i="2"/>
  <c r="J7" i="2"/>
  <c r="H7" i="2"/>
  <c r="G7" i="2"/>
  <c r="E7" i="2"/>
  <c r="J6" i="2"/>
  <c r="H6" i="2"/>
  <c r="G6" i="2"/>
  <c r="E6" i="2"/>
  <c r="J5" i="2"/>
  <c r="H5" i="2"/>
  <c r="G5" i="2"/>
  <c r="E5" i="2"/>
  <c r="J4" i="2"/>
  <c r="H4" i="2"/>
  <c r="J18" i="1" s="1"/>
  <c r="G4" i="2"/>
  <c r="E4" i="2"/>
  <c r="J3" i="2"/>
  <c r="H3" i="2"/>
  <c r="G3" i="2"/>
  <c r="E3" i="2"/>
  <c r="J2" i="2"/>
  <c r="B44" i="1" s="1"/>
  <c r="H2" i="2"/>
  <c r="I21" i="1" s="1"/>
  <c r="G2" i="2"/>
  <c r="E2" i="2"/>
  <c r="B47" i="1"/>
  <c r="B46" i="1"/>
  <c r="J45" i="1"/>
  <c r="I45" i="1"/>
  <c r="H45" i="1"/>
  <c r="B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A23" i="1"/>
  <c r="E23" i="1" s="1"/>
  <c r="J21" i="1"/>
  <c r="B17" i="1"/>
  <c r="B14" i="1"/>
  <c r="B13" i="1"/>
  <c r="B11" i="1"/>
  <c r="B10" i="1"/>
  <c r="B9" i="1"/>
  <c r="C30" i="1" s="1"/>
  <c r="B7" i="1"/>
  <c r="B12" i="1" s="1"/>
  <c r="B4" i="1"/>
  <c r="B8" i="1" l="1"/>
  <c r="C32" i="1"/>
  <c r="K9" i="4"/>
  <c r="J9" i="4"/>
  <c r="K53" i="4"/>
  <c r="J53" i="4"/>
  <c r="K57" i="4"/>
  <c r="J57" i="4"/>
  <c r="K61" i="4"/>
  <c r="J61" i="4"/>
  <c r="K65" i="4"/>
  <c r="J65" i="4"/>
  <c r="K69" i="4"/>
  <c r="J69" i="4"/>
  <c r="K73" i="4"/>
  <c r="J73" i="4"/>
  <c r="K77" i="4"/>
  <c r="J77" i="4"/>
  <c r="K41" i="4"/>
  <c r="J41" i="4"/>
  <c r="K5" i="4"/>
  <c r="J5" i="4"/>
  <c r="R6" i="3"/>
  <c r="H6" i="3"/>
  <c r="R97" i="3"/>
  <c r="K17" i="4"/>
  <c r="J17" i="4"/>
  <c r="I13" i="1"/>
  <c r="J9" i="1"/>
  <c r="J13" i="1"/>
  <c r="J17" i="1"/>
  <c r="B23" i="1"/>
  <c r="C31" i="1"/>
  <c r="C37" i="1"/>
  <c r="B18" i="1"/>
  <c r="C23" i="1"/>
  <c r="K29" i="4"/>
  <c r="J29" i="4"/>
  <c r="E44" i="1"/>
  <c r="R84" i="3"/>
  <c r="H84" i="3"/>
  <c r="H157" i="3"/>
  <c r="R157" i="3"/>
  <c r="R177" i="3"/>
  <c r="H177" i="3"/>
  <c r="R494" i="3"/>
  <c r="H494" i="3"/>
  <c r="K25" i="4"/>
  <c r="J25" i="4"/>
  <c r="I9" i="1"/>
  <c r="I10" i="1"/>
  <c r="J10" i="1"/>
  <c r="H133" i="3"/>
  <c r="R133" i="3"/>
  <c r="R138" i="3"/>
  <c r="H138" i="3"/>
  <c r="R147" i="3"/>
  <c r="H147" i="3"/>
  <c r="R200" i="3"/>
  <c r="H200" i="3"/>
  <c r="H273" i="3"/>
  <c r="R273" i="3"/>
  <c r="K21" i="4"/>
  <c r="J21" i="4"/>
  <c r="B15" i="1"/>
  <c r="R52" i="3"/>
  <c r="H52" i="3"/>
  <c r="R309" i="3"/>
  <c r="H309" i="3"/>
  <c r="R471" i="3"/>
  <c r="H471" i="3"/>
  <c r="K3" i="4"/>
  <c r="J3" i="4"/>
  <c r="K7" i="4"/>
  <c r="J7" i="4"/>
  <c r="K13" i="4"/>
  <c r="J13" i="4"/>
  <c r="C29" i="1"/>
  <c r="C35" i="1"/>
  <c r="I11" i="1"/>
  <c r="I15" i="1"/>
  <c r="I19" i="1"/>
  <c r="H30" i="3"/>
  <c r="R33" i="3"/>
  <c r="H33" i="3"/>
  <c r="C26" i="1"/>
  <c r="C38" i="1"/>
  <c r="K37" i="4"/>
  <c r="J37" i="4"/>
  <c r="C36" i="1"/>
  <c r="H73" i="3"/>
  <c r="R73" i="3"/>
  <c r="R259" i="3"/>
  <c r="H259" i="3"/>
  <c r="R272" i="3"/>
  <c r="H272" i="3"/>
  <c r="H355" i="3"/>
  <c r="R355" i="3"/>
  <c r="R459" i="3"/>
  <c r="H459" i="3"/>
  <c r="K33" i="4"/>
  <c r="J33" i="4"/>
  <c r="I18" i="1"/>
  <c r="J14" i="1"/>
  <c r="C25" i="1"/>
  <c r="J15" i="1"/>
  <c r="A24" i="1"/>
  <c r="C34" i="1"/>
  <c r="C40" i="1"/>
  <c r="I20" i="1"/>
  <c r="R51" i="3"/>
  <c r="H51" i="3"/>
  <c r="H284" i="3"/>
  <c r="R284" i="3"/>
  <c r="R294" i="3"/>
  <c r="H294" i="3"/>
  <c r="K49" i="4"/>
  <c r="J49" i="4"/>
  <c r="I14" i="1"/>
  <c r="J11" i="1"/>
  <c r="J19" i="1"/>
  <c r="C28" i="1"/>
  <c r="I8" i="1"/>
  <c r="I12" i="1"/>
  <c r="I16" i="1"/>
  <c r="J20" i="1"/>
  <c r="C24" i="1"/>
  <c r="C27" i="1"/>
  <c r="C33" i="1"/>
  <c r="C39" i="1"/>
  <c r="R49" i="3"/>
  <c r="R100" i="3"/>
  <c r="H100" i="3"/>
  <c r="R150" i="3"/>
  <c r="H150" i="3"/>
  <c r="H162" i="3"/>
  <c r="R165" i="3"/>
  <c r="H165" i="3"/>
  <c r="K45" i="4"/>
  <c r="J45" i="4"/>
  <c r="D23" i="1"/>
  <c r="J8" i="1"/>
  <c r="J12" i="1"/>
  <c r="J16" i="1"/>
  <c r="R18" i="3"/>
  <c r="H18" i="3"/>
  <c r="H47" i="3"/>
  <c r="R47" i="3"/>
  <c r="R186" i="3"/>
  <c r="H186" i="3"/>
  <c r="R362" i="3"/>
  <c r="H362" i="3"/>
  <c r="R375" i="3"/>
  <c r="H391" i="3"/>
  <c r="R391" i="3"/>
  <c r="R429" i="3"/>
  <c r="H429" i="3"/>
  <c r="R83" i="3"/>
  <c r="H83" i="3"/>
  <c r="H151" i="3"/>
  <c r="R151" i="3"/>
  <c r="R230" i="3"/>
  <c r="H230" i="3"/>
  <c r="R267" i="3"/>
  <c r="H267" i="3"/>
  <c r="R277" i="3"/>
  <c r="H277" i="3"/>
  <c r="H341" i="3"/>
  <c r="R341" i="3"/>
  <c r="R453" i="3"/>
  <c r="H453" i="3"/>
  <c r="R458" i="3"/>
  <c r="H458" i="3"/>
  <c r="B11" i="9"/>
  <c r="B8" i="9"/>
  <c r="B10" i="9"/>
  <c r="B9" i="9"/>
  <c r="R180" i="3"/>
  <c r="H180" i="3"/>
  <c r="H225" i="3"/>
  <c r="R225" i="3"/>
  <c r="R325" i="3"/>
  <c r="H325" i="3"/>
  <c r="R423" i="3"/>
  <c r="H423" i="3"/>
  <c r="K11" i="4"/>
  <c r="J11" i="4"/>
  <c r="K15" i="4"/>
  <c r="J15" i="4"/>
  <c r="K19" i="4"/>
  <c r="J19" i="4"/>
  <c r="K23" i="4"/>
  <c r="J23" i="4"/>
  <c r="K27" i="4"/>
  <c r="J27" i="4"/>
  <c r="K31" i="4"/>
  <c r="J31" i="4"/>
  <c r="K35" i="4"/>
  <c r="J35" i="4"/>
  <c r="R206" i="3"/>
  <c r="H206" i="3"/>
  <c r="R229" i="3"/>
  <c r="H229" i="3"/>
  <c r="R258" i="3"/>
  <c r="H258" i="3"/>
  <c r="H279" i="3"/>
  <c r="R279" i="3"/>
  <c r="R308" i="3"/>
  <c r="H308" i="3"/>
  <c r="R452" i="3"/>
  <c r="H452" i="3"/>
  <c r="R45" i="3"/>
  <c r="H45" i="3"/>
  <c r="R63" i="3"/>
  <c r="H63" i="3"/>
  <c r="H95" i="3"/>
  <c r="R95" i="3"/>
  <c r="R126" i="3"/>
  <c r="H126" i="3"/>
  <c r="R344" i="3"/>
  <c r="H344" i="3"/>
  <c r="H379" i="3"/>
  <c r="R379" i="3"/>
  <c r="R99" i="3"/>
  <c r="H99" i="3"/>
  <c r="R108" i="3"/>
  <c r="H108" i="3"/>
  <c r="R224" i="3"/>
  <c r="H224" i="3"/>
  <c r="H201" i="3"/>
  <c r="R201" i="3"/>
  <c r="R210" i="3"/>
  <c r="H210" i="3"/>
  <c r="R333" i="3"/>
  <c r="H333" i="3"/>
  <c r="R9" i="3"/>
  <c r="H9" i="3"/>
  <c r="H71" i="3"/>
  <c r="R71" i="3"/>
  <c r="R187" i="3"/>
  <c r="H187" i="3"/>
  <c r="R205" i="3"/>
  <c r="H205" i="3"/>
  <c r="R278" i="3"/>
  <c r="H278" i="3"/>
  <c r="R302" i="3"/>
  <c r="H302" i="3"/>
  <c r="R3" i="3"/>
  <c r="H3" i="3"/>
  <c r="H21" i="3"/>
  <c r="H64" i="3"/>
  <c r="H80" i="3"/>
  <c r="H231" i="3"/>
  <c r="H305" i="3"/>
  <c r="R410" i="3"/>
  <c r="H410" i="3"/>
  <c r="R477" i="3"/>
  <c r="H477" i="3"/>
  <c r="R37" i="3"/>
  <c r="R39" i="3"/>
  <c r="H39" i="3"/>
  <c r="R59" i="3"/>
  <c r="R70" i="3"/>
  <c r="H103" i="3"/>
  <c r="R103" i="3"/>
  <c r="H175" i="3"/>
  <c r="R175" i="3"/>
  <c r="R194" i="3"/>
  <c r="H194" i="3"/>
  <c r="R203" i="3"/>
  <c r="R237" i="3"/>
  <c r="R243" i="3"/>
  <c r="H243" i="3"/>
  <c r="R261" i="3"/>
  <c r="R312" i="3"/>
  <c r="H312" i="3"/>
  <c r="H121" i="3"/>
  <c r="R121" i="3"/>
  <c r="R266" i="3"/>
  <c r="H266" i="3"/>
  <c r="R275" i="3"/>
  <c r="R291" i="3"/>
  <c r="H291" i="3"/>
  <c r="R374" i="3"/>
  <c r="H374" i="3"/>
  <c r="R417" i="3"/>
  <c r="H417" i="3"/>
  <c r="R476" i="3"/>
  <c r="H476" i="3"/>
  <c r="R25" i="3"/>
  <c r="R27" i="3"/>
  <c r="H27" i="3"/>
  <c r="R58" i="3"/>
  <c r="R90" i="3"/>
  <c r="R102" i="3"/>
  <c r="H102" i="3"/>
  <c r="H169" i="3"/>
  <c r="R169" i="3"/>
  <c r="R223" i="3"/>
  <c r="H223" i="3"/>
  <c r="R242" i="3"/>
  <c r="H242" i="3"/>
  <c r="R398" i="3"/>
  <c r="H398" i="3"/>
  <c r="R75" i="3"/>
  <c r="H75" i="3"/>
  <c r="R111" i="3"/>
  <c r="H111" i="3"/>
  <c r="H139" i="3"/>
  <c r="R139" i="3"/>
  <c r="R188" i="3"/>
  <c r="H188" i="3"/>
  <c r="R193" i="3"/>
  <c r="H193" i="3"/>
  <c r="R446" i="3"/>
  <c r="H446" i="3"/>
  <c r="H115" i="3"/>
  <c r="R115" i="3"/>
  <c r="R120" i="3"/>
  <c r="H120" i="3"/>
  <c r="R207" i="3"/>
  <c r="H207" i="3"/>
  <c r="R435" i="3"/>
  <c r="H435" i="3"/>
  <c r="R15" i="3"/>
  <c r="H15" i="3"/>
  <c r="R129" i="3"/>
  <c r="H129" i="3"/>
  <c r="R168" i="3"/>
  <c r="H168" i="3"/>
  <c r="R183" i="3"/>
  <c r="H183" i="3"/>
  <c r="H199" i="3"/>
  <c r="R222" i="3"/>
  <c r="H222" i="3"/>
  <c r="R236" i="3"/>
  <c r="H236" i="3"/>
  <c r="R260" i="3"/>
  <c r="H260" i="3"/>
  <c r="R265" i="3"/>
  <c r="H265" i="3"/>
  <c r="R320" i="3"/>
  <c r="H320" i="3"/>
  <c r="R416" i="3"/>
  <c r="H416" i="3"/>
  <c r="R31" i="3"/>
  <c r="H109" i="3"/>
  <c r="R109" i="3"/>
  <c r="H145" i="3"/>
  <c r="R145" i="3"/>
  <c r="R296" i="3"/>
  <c r="H296" i="3"/>
  <c r="R218" i="3"/>
  <c r="H218" i="3"/>
  <c r="R254" i="3"/>
  <c r="H254" i="3"/>
  <c r="R290" i="3"/>
  <c r="H290" i="3"/>
  <c r="R348" i="3"/>
  <c r="H348" i="3"/>
  <c r="R428" i="3"/>
  <c r="H428" i="3"/>
  <c r="R7" i="3"/>
  <c r="R55" i="3"/>
  <c r="H127" i="3"/>
  <c r="R127" i="3"/>
  <c r="H181" i="3"/>
  <c r="R181" i="3"/>
  <c r="R212" i="3"/>
  <c r="H212" i="3"/>
  <c r="R248" i="3"/>
  <c r="H248" i="3"/>
  <c r="R422" i="3"/>
  <c r="H422" i="3"/>
  <c r="R19" i="3"/>
  <c r="R67" i="3"/>
  <c r="H163" i="3"/>
  <c r="R163" i="3"/>
  <c r="R386" i="3"/>
  <c r="H386" i="3"/>
  <c r="R399" i="3"/>
  <c r="R393" i="3"/>
  <c r="H393" i="3"/>
  <c r="R434" i="3"/>
  <c r="H434" i="3"/>
  <c r="R106" i="3"/>
  <c r="R112" i="3"/>
  <c r="R118" i="3"/>
  <c r="R124" i="3"/>
  <c r="R130" i="3"/>
  <c r="R136" i="3"/>
  <c r="R142" i="3"/>
  <c r="R338" i="3"/>
  <c r="H338" i="3"/>
  <c r="R381" i="3"/>
  <c r="H381" i="3"/>
  <c r="R447" i="3"/>
  <c r="H447" i="3"/>
  <c r="K39" i="4"/>
  <c r="J39" i="4"/>
  <c r="K43" i="4"/>
  <c r="J43" i="4"/>
  <c r="K47" i="4"/>
  <c r="J47" i="4"/>
  <c r="K51" i="4"/>
  <c r="J51" i="4"/>
  <c r="K55" i="4"/>
  <c r="J55" i="4"/>
  <c r="K59" i="4"/>
  <c r="J59" i="4"/>
  <c r="B5" i="9"/>
  <c r="R329" i="3"/>
  <c r="R369" i="3"/>
  <c r="H369" i="3"/>
  <c r="R411" i="3"/>
  <c r="H411" i="3"/>
  <c r="R441" i="3"/>
  <c r="H441" i="3"/>
  <c r="R495" i="3"/>
  <c r="H495" i="3"/>
  <c r="B4" i="9"/>
  <c r="B7" i="9"/>
  <c r="B6" i="9"/>
  <c r="R327" i="3"/>
  <c r="R357" i="3"/>
  <c r="H357" i="3"/>
  <c r="R405" i="3"/>
  <c r="H405" i="3"/>
  <c r="R489" i="3"/>
  <c r="H489" i="3"/>
  <c r="B6" i="10"/>
  <c r="R321" i="3"/>
  <c r="H321" i="3"/>
  <c r="K2" i="4"/>
  <c r="K6" i="4"/>
  <c r="K10" i="4"/>
  <c r="K14" i="4"/>
  <c r="K18" i="4"/>
  <c r="K22" i="4"/>
  <c r="K26" i="4"/>
  <c r="K30" i="4"/>
  <c r="K34" i="4"/>
  <c r="K38" i="4"/>
  <c r="K42" i="4"/>
  <c r="K46" i="4"/>
  <c r="K50" i="4"/>
  <c r="K54" i="4"/>
  <c r="K58" i="4"/>
  <c r="K62" i="4"/>
  <c r="K66" i="4"/>
  <c r="K70" i="4"/>
  <c r="K74" i="4"/>
  <c r="K78" i="4"/>
  <c r="R297" i="3"/>
  <c r="H297" i="3"/>
  <c r="R465" i="3"/>
  <c r="H465" i="3"/>
  <c r="R501" i="3"/>
  <c r="H501" i="3"/>
  <c r="K63" i="4"/>
  <c r="J63" i="4"/>
  <c r="K67" i="4"/>
  <c r="J67" i="4"/>
  <c r="K71" i="4"/>
  <c r="J71" i="4"/>
  <c r="K75" i="4"/>
  <c r="J75" i="4"/>
  <c r="K79" i="4"/>
  <c r="J79" i="4"/>
  <c r="R315" i="3"/>
  <c r="R345" i="3"/>
  <c r="H345" i="3"/>
  <c r="K4" i="4"/>
  <c r="K8" i="4"/>
  <c r="K12" i="4"/>
  <c r="K16" i="4"/>
  <c r="K20" i="4"/>
  <c r="K24" i="4"/>
  <c r="K28" i="4"/>
  <c r="K32" i="4"/>
  <c r="K36" i="4"/>
  <c r="K40" i="4"/>
  <c r="K44" i="4"/>
  <c r="K48" i="4"/>
  <c r="K52" i="4"/>
  <c r="K56" i="4"/>
  <c r="K60" i="4"/>
  <c r="K64" i="4"/>
  <c r="K68" i="4"/>
  <c r="K72" i="4"/>
  <c r="K76" i="4"/>
  <c r="K80" i="4"/>
  <c r="R285" i="3"/>
  <c r="H285" i="3"/>
  <c r="R483" i="3"/>
  <c r="H483" i="3"/>
  <c r="B13" i="10"/>
  <c r="B14" i="10"/>
  <c r="B15" i="10" s="1"/>
  <c r="J81" i="4"/>
  <c r="J83" i="4"/>
  <c r="B5" i="10"/>
  <c r="B7" i="10" s="1"/>
  <c r="I2" i="4"/>
  <c r="I4" i="4"/>
  <c r="I6" i="4"/>
  <c r="I8" i="4"/>
  <c r="I10" i="4"/>
  <c r="I12" i="4"/>
  <c r="I14" i="4"/>
  <c r="I16" i="4"/>
  <c r="I18" i="4"/>
  <c r="I20" i="4"/>
  <c r="I22" i="4"/>
  <c r="I24" i="4"/>
  <c r="I26" i="4"/>
  <c r="I28" i="4"/>
  <c r="I30" i="4"/>
  <c r="I32" i="4"/>
  <c r="I34" i="4"/>
  <c r="I36" i="4"/>
  <c r="I38" i="4"/>
  <c r="I40" i="4"/>
  <c r="I42" i="4"/>
  <c r="I44" i="4"/>
  <c r="I46" i="4"/>
  <c r="I48" i="4"/>
  <c r="J48" i="4" s="1"/>
  <c r="I50" i="4"/>
  <c r="I52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8" i="4"/>
  <c r="I100" i="4"/>
  <c r="I102" i="4"/>
  <c r="I104" i="4"/>
  <c r="I106" i="4"/>
  <c r="I108" i="4"/>
  <c r="I110" i="4"/>
  <c r="I112" i="4"/>
  <c r="I114" i="4"/>
  <c r="I116" i="4"/>
  <c r="I118" i="4"/>
  <c r="I120" i="4"/>
  <c r="J2" i="4"/>
  <c r="J4" i="4"/>
  <c r="J6" i="4"/>
  <c r="J8" i="4"/>
  <c r="J10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J100" i="4"/>
  <c r="J102" i="4"/>
  <c r="J104" i="4"/>
  <c r="J106" i="4"/>
  <c r="J108" i="4"/>
  <c r="J110" i="4"/>
  <c r="J112" i="4"/>
  <c r="J114" i="4"/>
  <c r="J116" i="4"/>
  <c r="J118" i="4"/>
  <c r="J120" i="4"/>
  <c r="B16" i="10" l="1"/>
  <c r="B17" i="10" s="1"/>
  <c r="B18" i="10" s="1"/>
  <c r="G23" i="1"/>
  <c r="F23" i="1"/>
  <c r="D24" i="1"/>
  <c r="B24" i="1"/>
  <c r="E24" i="1"/>
  <c r="A25" i="1"/>
  <c r="A26" i="1" l="1"/>
  <c r="B25" i="1"/>
  <c r="E25" i="1"/>
  <c r="D25" i="1"/>
  <c r="F24" i="1"/>
  <c r="G24" i="1"/>
  <c r="F25" i="1" l="1"/>
  <c r="G25" i="1"/>
  <c r="B26" i="1"/>
  <c r="A27" i="1"/>
  <c r="D26" i="1"/>
  <c r="E26" i="1"/>
  <c r="D27" i="1" l="1"/>
  <c r="B27" i="1"/>
  <c r="A28" i="1"/>
  <c r="E27" i="1"/>
  <c r="G26" i="1"/>
  <c r="F26" i="1"/>
  <c r="E28" i="1" l="1"/>
  <c r="D28" i="1"/>
  <c r="A29" i="1"/>
  <c r="B28" i="1"/>
  <c r="F27" i="1"/>
  <c r="G27" i="1"/>
  <c r="F28" i="1" l="1"/>
  <c r="G28" i="1"/>
  <c r="E29" i="1"/>
  <c r="D29" i="1"/>
  <c r="B29" i="1"/>
  <c r="A30" i="1"/>
  <c r="D30" i="1" l="1"/>
  <c r="E30" i="1"/>
  <c r="B30" i="1"/>
  <c r="A31" i="1"/>
  <c r="G29" i="1"/>
  <c r="F29" i="1"/>
  <c r="A32" i="1" l="1"/>
  <c r="E31" i="1"/>
  <c r="D31" i="1"/>
  <c r="B31" i="1"/>
  <c r="G30" i="1"/>
  <c r="F30" i="1"/>
  <c r="G31" i="1" l="1"/>
  <c r="F31" i="1"/>
  <c r="B32" i="1"/>
  <c r="A33" i="1"/>
  <c r="E32" i="1"/>
  <c r="D32" i="1"/>
  <c r="D33" i="1" l="1"/>
  <c r="B33" i="1"/>
  <c r="A34" i="1"/>
  <c r="E33" i="1"/>
  <c r="G32" i="1"/>
  <c r="F32" i="1"/>
  <c r="E34" i="1" l="1"/>
  <c r="D34" i="1"/>
  <c r="A35" i="1"/>
  <c r="B34" i="1"/>
  <c r="F33" i="1"/>
  <c r="G33" i="1"/>
  <c r="F34" i="1" l="1"/>
  <c r="G34" i="1"/>
  <c r="E35" i="1"/>
  <c r="D35" i="1"/>
  <c r="B35" i="1"/>
  <c r="A36" i="1"/>
  <c r="A37" i="1" l="1"/>
  <c r="D36" i="1"/>
  <c r="E36" i="1"/>
  <c r="B36" i="1"/>
  <c r="G35" i="1"/>
  <c r="F35" i="1"/>
  <c r="G36" i="1" l="1"/>
  <c r="F36" i="1"/>
  <c r="A38" i="1"/>
  <c r="E37" i="1"/>
  <c r="B37" i="1"/>
  <c r="D37" i="1"/>
  <c r="G37" i="1" l="1"/>
  <c r="F37" i="1"/>
  <c r="B38" i="1"/>
  <c r="A39" i="1"/>
  <c r="D38" i="1"/>
  <c r="E38" i="1"/>
  <c r="G38" i="1" l="1"/>
  <c r="F38" i="1"/>
  <c r="D39" i="1"/>
  <c r="B39" i="1"/>
  <c r="A40" i="1"/>
  <c r="E39" i="1"/>
  <c r="E40" i="1" l="1"/>
  <c r="D40" i="1"/>
  <c r="B40" i="1"/>
  <c r="F39" i="1"/>
  <c r="G39" i="1"/>
  <c r="F40" i="1" l="1"/>
  <c r="G40" i="1"/>
</calcChain>
</file>

<file path=xl/sharedStrings.xml><?xml version="1.0" encoding="utf-8"?>
<sst xmlns="http://schemas.openxmlformats.org/spreadsheetml/2006/main" count="444" uniqueCount="227">
  <si>
    <t>PRISM BEAUTY — Dashboard</t>
  </si>
  <si>
    <t>Updates automatically as you log sales, purchases and expenses. Set your start month in B4.</t>
  </si>
  <si>
    <t>P&amp;L start month</t>
  </si>
  <si>
    <t>← type your parlor's start month (e.g. 01-09-2025)</t>
  </si>
  <si>
    <t>KEY NUMBERS</t>
  </si>
  <si>
    <t>SERVICE CATEGORY PERFORMANCE</t>
  </si>
  <si>
    <t>Revenue (this month)</t>
  </si>
  <si>
    <t>Category</t>
  </si>
  <si>
    <t>Revenue</t>
  </si>
  <si>
    <t>Bookings</t>
  </si>
  <si>
    <t>Revenue (all time)</t>
  </si>
  <si>
    <t>Threading</t>
  </si>
  <si>
    <t>Monthly salary cost</t>
  </si>
  <si>
    <t>Waxing</t>
  </si>
  <si>
    <t>Product purchases (this month)</t>
  </si>
  <si>
    <t>Roll on - Wax</t>
  </si>
  <si>
    <t>Other expenses (this month)</t>
  </si>
  <si>
    <t>Lipo - Wax</t>
  </si>
  <si>
    <t>Profit (this month)</t>
  </si>
  <si>
    <t>Spa</t>
  </si>
  <si>
    <t>Stock value on hand</t>
  </si>
  <si>
    <t>Pedicure</t>
  </si>
  <si>
    <t>Items to reorder</t>
  </si>
  <si>
    <t>Manicure</t>
  </si>
  <si>
    <t>Active customers</t>
  </si>
  <si>
    <t>Combo - meni &amp; pedi</t>
  </si>
  <si>
    <t>At-risk (message them!)</t>
  </si>
  <si>
    <t>Nail extension</t>
  </si>
  <si>
    <t>Lapsed customers</t>
  </si>
  <si>
    <t>Nail polish</t>
  </si>
  <si>
    <t>Loyal customers</t>
  </si>
  <si>
    <t>Hair</t>
  </si>
  <si>
    <t>Repeat rate</t>
  </si>
  <si>
    <t>Hair treatment</t>
  </si>
  <si>
    <t>Hair color</t>
  </si>
  <si>
    <t>MONTHLY P&amp;L</t>
  </si>
  <si>
    <t>Facial</t>
  </si>
  <si>
    <t>Month</t>
  </si>
  <si>
    <t>Salaries</t>
  </si>
  <si>
    <t>Products</t>
  </si>
  <si>
    <t>Other Exp.</t>
  </si>
  <si>
    <t>Profit</t>
  </si>
  <si>
    <t>Margin</t>
  </si>
  <si>
    <t>EMPLOYEE PERFORMANCE</t>
  </si>
  <si>
    <t>Employee</t>
  </si>
  <si>
    <t>Services</t>
  </si>
  <si>
    <t>REVENUE MIX &amp; PAYMENTS (this month)</t>
  </si>
  <si>
    <t>CUSTOMER VALUE</t>
  </si>
  <si>
    <t>Service revenue</t>
  </si>
  <si>
    <t>VIP customers</t>
  </si>
  <si>
    <t>Retail revenue</t>
  </si>
  <si>
    <t>High-value customers</t>
  </si>
  <si>
    <t>Cash</t>
  </si>
  <si>
    <t>Birthdays this month</t>
  </si>
  <si>
    <t>UPI</t>
  </si>
  <si>
    <t>Card</t>
  </si>
  <si>
    <t>Date</t>
  </si>
  <si>
    <t>Service</t>
  </si>
  <si>
    <t>Customer</t>
  </si>
  <si>
    <t>Rate</t>
  </si>
  <si>
    <t>Discount</t>
  </si>
  <si>
    <t>Total</t>
  </si>
  <si>
    <t>Payment</t>
  </si>
  <si>
    <t>Type</t>
  </si>
  <si>
    <t>Name</t>
  </si>
  <si>
    <t>Number</t>
  </si>
  <si>
    <t>Visits</t>
  </si>
  <si>
    <t>Total Spent</t>
  </si>
  <si>
    <t>Last Visit</t>
  </si>
  <si>
    <t>Days Since</t>
  </si>
  <si>
    <t>Status</t>
  </si>
  <si>
    <t>Avg Ticket</t>
  </si>
  <si>
    <t>Birthday</t>
  </si>
  <si>
    <t>Anniversary</t>
  </si>
  <si>
    <t>Gender</t>
  </si>
  <si>
    <t>Area</t>
  </si>
  <si>
    <t>Source</t>
  </si>
  <si>
    <t>RFM Score</t>
  </si>
  <si>
    <t>Segment</t>
  </si>
  <si>
    <t>Bday This Month</t>
  </si>
  <si>
    <t>First Visit</t>
  </si>
  <si>
    <t>Avg Gap (days)</t>
  </si>
  <si>
    <t>Price</t>
  </si>
  <si>
    <t>Service Key</t>
  </si>
  <si>
    <t>Unit Cost</t>
  </si>
  <si>
    <t>Total Cost</t>
  </si>
  <si>
    <t>Gross Profit</t>
  </si>
  <si>
    <t>Margin %</t>
  </si>
  <si>
    <t>Eyebrow</t>
  </si>
  <si>
    <t>Forehead</t>
  </si>
  <si>
    <t>Upper lip</t>
  </si>
  <si>
    <t>Chin</t>
  </si>
  <si>
    <t>Full face</t>
  </si>
  <si>
    <t>Sidelocks</t>
  </si>
  <si>
    <t>Neck</t>
  </si>
  <si>
    <t>Jawline</t>
  </si>
  <si>
    <t>Half leg</t>
  </si>
  <si>
    <t>Hand</t>
  </si>
  <si>
    <t>Full leg</t>
  </si>
  <si>
    <t>Full waxing</t>
  </si>
  <si>
    <t>Stomach</t>
  </si>
  <si>
    <t>Full body</t>
  </si>
  <si>
    <t>Back</t>
  </si>
  <si>
    <t>stomach</t>
  </si>
  <si>
    <t>Underarm</t>
  </si>
  <si>
    <t>SKP - Spa</t>
  </si>
  <si>
    <t>Loreal - basic</t>
  </si>
  <si>
    <t>Loreal - repair</t>
  </si>
  <si>
    <t>Dfab</t>
  </si>
  <si>
    <t>Shea</t>
  </si>
  <si>
    <t>Basic</t>
  </si>
  <si>
    <t>Strawberry burst</t>
  </si>
  <si>
    <t>Rose kiss</t>
  </si>
  <si>
    <t>Prism bomb</t>
  </si>
  <si>
    <t>Gel polish</t>
  </si>
  <si>
    <t>Gel polish + chrome</t>
  </si>
  <si>
    <t>Gel polish + cat eye</t>
  </si>
  <si>
    <t>Cat eye</t>
  </si>
  <si>
    <t>Cut + file + polish</t>
  </si>
  <si>
    <t>Nail art</t>
  </si>
  <si>
    <t>Hair cut</t>
  </si>
  <si>
    <t>Hair cut - kid</t>
  </si>
  <si>
    <t>Hair oil massage</t>
  </si>
  <si>
    <t>Wash &amp; blow dry</t>
  </si>
  <si>
    <t>Ironing</t>
  </si>
  <si>
    <t>Curling</t>
  </si>
  <si>
    <t>Dandruff care</t>
  </si>
  <si>
    <t>Hydra Bliss</t>
  </si>
  <si>
    <t>Moisture rebirth</t>
  </si>
  <si>
    <t>Straightening</t>
  </si>
  <si>
    <t>Smoothening</t>
  </si>
  <si>
    <t>Botox</t>
  </si>
  <si>
    <t>Nanoplasty</t>
  </si>
  <si>
    <t>Root touch up - streax</t>
  </si>
  <si>
    <t>Root touch up - Loreal</t>
  </si>
  <si>
    <t>Root touch up - SKP</t>
  </si>
  <si>
    <t>Global</t>
  </si>
  <si>
    <t>Balayage/Ombre</t>
  </si>
  <si>
    <t>Highlights/streak</t>
  </si>
  <si>
    <t>Global highlights</t>
  </si>
  <si>
    <t>Clean up - Lotus</t>
  </si>
  <si>
    <t>Clean up - Raga</t>
  </si>
  <si>
    <t>Detan</t>
  </si>
  <si>
    <t>Raga</t>
  </si>
  <si>
    <t>Lotus - Basic</t>
  </si>
  <si>
    <t>Lotus - Gold</t>
  </si>
  <si>
    <t>Sara - Diamond</t>
  </si>
  <si>
    <t>Sara - Gold</t>
  </si>
  <si>
    <t>O3 detan facial</t>
  </si>
  <si>
    <t>Hydrating</t>
  </si>
  <si>
    <t>Brightening</t>
  </si>
  <si>
    <t>Bridal</t>
  </si>
  <si>
    <t>Salary</t>
  </si>
  <si>
    <t>Services Done</t>
  </si>
  <si>
    <t>Revenue (All Time)</t>
  </si>
  <si>
    <t>Revenue (This Month)</t>
  </si>
  <si>
    <t>Revenue per ₹ Salary</t>
  </si>
  <si>
    <t>Commission %</t>
  </si>
  <si>
    <t>Commission (This Month)</t>
  </si>
  <si>
    <t>Total Payout (This Month)</t>
  </si>
  <si>
    <t>Rachna</t>
  </si>
  <si>
    <t>Feroz</t>
  </si>
  <si>
    <t>Mona</t>
  </si>
  <si>
    <t>Chandni</t>
  </si>
  <si>
    <t>Amount</t>
  </si>
  <si>
    <t>Note</t>
  </si>
  <si>
    <t>Salaries pull from the Employee sheet; product buys go on the Purchases sheet. Don't log either here.</t>
  </si>
  <si>
    <t>Product</t>
  </si>
  <si>
    <t>Qty</t>
  </si>
  <si>
    <t>Supplier</t>
  </si>
  <si>
    <t>Unit</t>
  </si>
  <si>
    <t>Opening Stock</t>
  </si>
  <si>
    <t>Opening Unit Cost</t>
  </si>
  <si>
    <t>Purchased</t>
  </si>
  <si>
    <t>Used / Wastage</t>
  </si>
  <si>
    <t>In Stock</t>
  </si>
  <si>
    <t>Reorder Level</t>
  </si>
  <si>
    <t>Avg Unit Cost</t>
  </si>
  <si>
    <t>Stock Value</t>
  </si>
  <si>
    <t>CUSTOMER RETENTION</t>
  </si>
  <si>
    <t>THE NUMBERS</t>
  </si>
  <si>
    <t>WHERE CUSTOMERS COME FROM</t>
  </si>
  <si>
    <t>Total customers</t>
  </si>
  <si>
    <t>Customers</t>
  </si>
  <si>
    <t>Total Spend</t>
  </si>
  <si>
    <t>Avg Spend</t>
  </si>
  <si>
    <t>New customers (this month)</t>
  </si>
  <si>
    <t>Walk-in</t>
  </si>
  <si>
    <t>Repeat customers (2+ visits)</t>
  </si>
  <si>
    <t>Instagram</t>
  </si>
  <si>
    <t>Google</t>
  </si>
  <si>
    <t>Visited in last 30 days</t>
  </si>
  <si>
    <t>Referral</t>
  </si>
  <si>
    <t>Not visited 30-60 days</t>
  </si>
  <si>
    <t>JustDial</t>
  </si>
  <si>
    <t>Not visited 60-90 days</t>
  </si>
  <si>
    <t>WhatsApp</t>
  </si>
  <si>
    <t>Lost (90+ days)</t>
  </si>
  <si>
    <t>Facebook</t>
  </si>
  <si>
    <t>Existing</t>
  </si>
  <si>
    <t>MONTHLY P&amp;L STATEMENT</t>
  </si>
  <si>
    <t>← change to any month start</t>
  </si>
  <si>
    <t>REVENUE</t>
  </si>
  <si>
    <t xml:space="preserve">  Service revenue</t>
  </si>
  <si>
    <t xml:space="preserve">  Retail revenue</t>
  </si>
  <si>
    <t xml:space="preserve">  Total Revenue</t>
  </si>
  <si>
    <t>LESS COSTS</t>
  </si>
  <si>
    <t xml:space="preserve">  Product cost</t>
  </si>
  <si>
    <t xml:space="preserve">  Salaries</t>
  </si>
  <si>
    <t xml:space="preserve">  Rent</t>
  </si>
  <si>
    <t xml:space="preserve">  Electricity</t>
  </si>
  <si>
    <t xml:space="preserve">  Internet</t>
  </si>
  <si>
    <t xml:space="preserve">  Marketing</t>
  </si>
  <si>
    <t xml:space="preserve">  Other expenses</t>
  </si>
  <si>
    <t xml:space="preserve">  Total Costs</t>
  </si>
  <si>
    <t>NET PROFIT</t>
  </si>
  <si>
    <t>Profit %</t>
  </si>
  <si>
    <t>Time</t>
  </si>
  <si>
    <t>Phone</t>
  </si>
  <si>
    <t>Booked By</t>
  </si>
  <si>
    <t>METRICS</t>
  </si>
  <si>
    <t>Total booked</t>
  </si>
  <si>
    <t>Completed</t>
  </si>
  <si>
    <t>Cancelled</t>
  </si>
  <si>
    <t>No-shows</t>
  </si>
  <si>
    <t>No-show %</t>
  </si>
  <si>
    <t>Completion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</si>
</sst>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 yyyy"/>
    <numFmt numFmtId="165" formatCode="\₹#,##0"/>
    <numFmt numFmtId="166" formatCode="0.0%"/>
    <numFmt numFmtId="167" formatCode="dd\-mmm\-yyyy"/>
    <numFmt numFmtId="168" formatCode="0.0\x"/>
  </numFmts>
  <fonts count="10" x14ac:knownFonts="1">
    <font>
      <sz val="11"/>
      <color theme="1"/>
      <name val="Aptos Narrow"/>
      <family val="2"/>
      <charset val="1"/>
    </font>
    <font>
      <b/>
      <sz val="18"/>
      <color rgb="FF2B3A55"/>
      <name val="Calibri"/>
      <charset val="1"/>
    </font>
    <font>
      <i/>
      <sz val="11"/>
      <color rgb="FF888888"/>
      <name val="Calibri"/>
      <charset val="1"/>
    </font>
    <font>
      <b/>
      <sz val="11"/>
      <color rgb="FF1F2933"/>
      <name val="Calibri"/>
      <charset val="1"/>
    </font>
    <font>
      <sz val="11"/>
      <color rgb="FF0000FF"/>
      <name val="Calibri"/>
      <charset val="1"/>
    </font>
    <font>
      <b/>
      <sz val="11"/>
      <color rgb="FF2B3A55"/>
      <name val="Calibri"/>
      <charset val="1"/>
    </font>
    <font>
      <sz val="11"/>
      <color rgb="FF1F2933"/>
      <name val="Calibri"/>
      <charset val="1"/>
    </font>
    <font>
      <sz val="11"/>
      <color rgb="FF008000"/>
      <name val="Calibri"/>
      <charset val="1"/>
    </font>
    <font>
      <b/>
      <sz val="11"/>
      <color rgb="FFFFFFFF"/>
      <name val="Calibri"/>
      <charset val="1"/>
    </font>
    <font>
      <b/>
      <sz val="16"/>
      <color rgb="FF2B3A55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E7ECF3"/>
        <bgColor rgb="FFD9D9D9"/>
      </patternFill>
    </fill>
    <fill>
      <patternFill patternType="solid">
        <fgColor rgb="FF2B3A55"/>
        <bgColor rgb="FF1F29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165" fontId="5" fillId="0" borderId="0" xfId="0" applyNumberFormat="1" applyFont="1"/>
    <xf numFmtId="0" fontId="3" fillId="2" borderId="1" xfId="0" applyFont="1" applyFill="1" applyBorder="1"/>
    <xf numFmtId="165" fontId="6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6" fillId="0" borderId="0" xfId="0" applyNumberFormat="1" applyFont="1"/>
    <xf numFmtId="165" fontId="3" fillId="0" borderId="0" xfId="0" applyNumberFormat="1" applyFont="1"/>
    <xf numFmtId="166" fontId="6" fillId="0" borderId="0" xfId="0" applyNumberFormat="1" applyFont="1"/>
    <xf numFmtId="0" fontId="7" fillId="0" borderId="0" xfId="0" applyFont="1"/>
    <xf numFmtId="165" fontId="7" fillId="0" borderId="0" xfId="0" applyNumberFormat="1" applyFont="1"/>
    <xf numFmtId="0" fontId="8" fillId="3" borderId="1" xfId="0" applyFont="1" applyFill="1" applyBorder="1" applyAlignment="1">
      <alignment horizontal="center" vertical="center"/>
    </xf>
    <xf numFmtId="167" fontId="6" fillId="0" borderId="0" xfId="0" applyNumberFormat="1" applyFont="1"/>
    <xf numFmtId="0" fontId="4" fillId="0" borderId="0" xfId="0" applyFont="1"/>
    <xf numFmtId="167" fontId="4" fillId="0" borderId="0" xfId="0" applyNumberFormat="1" applyFont="1"/>
    <xf numFmtId="167" fontId="7" fillId="0" borderId="0" xfId="0" applyNumberFormat="1" applyFont="1"/>
    <xf numFmtId="165" fontId="0" fillId="0" borderId="0" xfId="0" applyNumberFormat="1"/>
    <xf numFmtId="165" fontId="4" fillId="0" borderId="0" xfId="0" applyNumberFormat="1" applyFont="1"/>
    <xf numFmtId="168" fontId="6" fillId="0" borderId="0" xfId="0" applyNumberFormat="1" applyFont="1"/>
    <xf numFmtId="9" fontId="4" fillId="0" borderId="0" xfId="0" applyNumberFormat="1" applyFont="1"/>
    <xf numFmtId="0" fontId="9" fillId="0" borderId="0" xfId="0" applyFont="1"/>
    <xf numFmtId="0" fontId="8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7EC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2933"/>
      <rgbColor rgb="FF993300"/>
      <rgbColor rgb="FF993366"/>
      <rgbColor rgb="FF333399"/>
      <rgbColor rgb="FF2B3A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zoomScaleNormal="100" workbookViewId="0">
      <pane ySplit="2" topLeftCell="A5" activePane="bottomLeft" state="frozen"/>
      <selection pane="bottomLeft"/>
    </sheetView>
  </sheetViews>
  <sheetFormatPr defaultColWidth="8.5546875" defaultRowHeight="14.4" x14ac:dyDescent="0.3"/>
  <cols>
    <col min="1" max="1" width="24" customWidth="1"/>
    <col min="2" max="2" width="16" customWidth="1"/>
    <col min="3" max="6" width="13" customWidth="1"/>
    <col min="7" max="7" width="11" customWidth="1"/>
    <col min="8" max="8" width="20" customWidth="1"/>
    <col min="9" max="9" width="13" customWidth="1"/>
    <col min="10" max="10" width="11" customWidth="1"/>
  </cols>
  <sheetData>
    <row r="1" spans="1:10" ht="23.4" x14ac:dyDescent="0.45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4">
        <f ca="1">EOMONTH(TODAY(),-11)+1</f>
        <v>45870</v>
      </c>
      <c r="C4" s="2" t="s">
        <v>3</v>
      </c>
    </row>
    <row r="6" spans="1:10" x14ac:dyDescent="0.3">
      <c r="A6" s="5" t="s">
        <v>4</v>
      </c>
      <c r="H6" s="5" t="s">
        <v>5</v>
      </c>
    </row>
    <row r="7" spans="1:10" x14ac:dyDescent="0.3">
      <c r="A7" s="6" t="s">
        <v>6</v>
      </c>
      <c r="B7" s="7">
        <f ca="1">SUMIFS('Daily tracking'!$G$2:$G$2001,'Daily tracking'!$A$2:$A$2001,"&gt;="&amp;EOMONTH(TODAY(),-1)+1,'Daily tracking'!$A$2:$A$2001,"&lt;="&amp;EOMONTH(TODAY(),0))</f>
        <v>0</v>
      </c>
      <c r="H7" s="8" t="s">
        <v>7</v>
      </c>
      <c r="I7" s="8" t="s">
        <v>8</v>
      </c>
      <c r="J7" s="8" t="s">
        <v>9</v>
      </c>
    </row>
    <row r="8" spans="1:10" x14ac:dyDescent="0.3">
      <c r="A8" s="6" t="s">
        <v>10</v>
      </c>
      <c r="B8" s="7">
        <f>SUM('Daily tracking'!$G$2:$G$2001)</f>
        <v>0</v>
      </c>
      <c r="H8" s="6" t="s">
        <v>11</v>
      </c>
      <c r="I8" s="9">
        <f>SUMIF('Daily tracking'!$H$2:$H$2001,H8,'Daily tracking'!$G$2:$G$2001)</f>
        <v>0</v>
      </c>
      <c r="J8" s="6">
        <f>COUNTIF('Daily tracking'!$H$2:$H$2001,H8)</f>
        <v>0</v>
      </c>
    </row>
    <row r="9" spans="1:10" x14ac:dyDescent="0.3">
      <c r="A9" s="6" t="s">
        <v>12</v>
      </c>
      <c r="B9" s="7">
        <f>SUM(Employee!$B$2:$B$21)</f>
        <v>48000</v>
      </c>
      <c r="H9" s="6" t="s">
        <v>13</v>
      </c>
      <c r="I9" s="9">
        <f>SUMIF('Daily tracking'!$H$2:$H$2001,H9,'Daily tracking'!$G$2:$G$2001)</f>
        <v>0</v>
      </c>
      <c r="J9" s="6">
        <f>COUNTIF('Daily tracking'!$H$2:$H$2001,H9)</f>
        <v>0</v>
      </c>
    </row>
    <row r="10" spans="1:10" x14ac:dyDescent="0.3">
      <c r="A10" s="6" t="s">
        <v>14</v>
      </c>
      <c r="B10" s="7">
        <f ca="1">SUMIFS(Purchases!$E$2:$E$1001,Purchases!$A$2:$A$1001,"&gt;="&amp;EOMONTH(TODAY(),-1)+1,Purchases!$A$2:$A$1001,"&lt;="&amp;EOMONTH(TODAY(),0))</f>
        <v>0</v>
      </c>
      <c r="H10" s="6" t="s">
        <v>15</v>
      </c>
      <c r="I10" s="9">
        <f>SUMIF('Daily tracking'!$H$2:$H$2001,H10,'Daily tracking'!$G$2:$G$2001)</f>
        <v>0</v>
      </c>
      <c r="J10" s="6">
        <f>COUNTIF('Daily tracking'!$H$2:$H$2001,H10)</f>
        <v>0</v>
      </c>
    </row>
    <row r="11" spans="1:10" x14ac:dyDescent="0.3">
      <c r="A11" s="6" t="s">
        <v>16</v>
      </c>
      <c r="B11" s="7">
        <f ca="1">SUMIFS(Expenses!$C$2:$C$501,Expenses!$A$2:$A$501,"&gt;="&amp;EOMONTH(TODAY(),-1)+1,Expenses!$A$2:$A$501,"&lt;="&amp;EOMONTH(TODAY(),0))</f>
        <v>0</v>
      </c>
      <c r="H11" s="6" t="s">
        <v>17</v>
      </c>
      <c r="I11" s="9">
        <f>SUMIF('Daily tracking'!$H$2:$H$2001,H11,'Daily tracking'!$G$2:$G$2001)</f>
        <v>0</v>
      </c>
      <c r="J11" s="6">
        <f>COUNTIF('Daily tracking'!$H$2:$H$2001,H11)</f>
        <v>0</v>
      </c>
    </row>
    <row r="12" spans="1:10" x14ac:dyDescent="0.3">
      <c r="A12" s="6" t="s">
        <v>18</v>
      </c>
      <c r="B12" s="7">
        <f ca="1">B7-B9-B10-B11</f>
        <v>-48000</v>
      </c>
      <c r="H12" s="6" t="s">
        <v>19</v>
      </c>
      <c r="I12" s="9">
        <f>SUMIF('Daily tracking'!$H$2:$H$2001,H12,'Daily tracking'!$G$2:$G$2001)</f>
        <v>0</v>
      </c>
      <c r="J12" s="6">
        <f>COUNTIF('Daily tracking'!$H$2:$H$2001,H12)</f>
        <v>0</v>
      </c>
    </row>
    <row r="13" spans="1:10" x14ac:dyDescent="0.3">
      <c r="A13" s="6" t="s">
        <v>20</v>
      </c>
      <c r="B13" s="7">
        <f>SUM(Inventory!$L$2:$L$201)</f>
        <v>0</v>
      </c>
      <c r="H13" s="6" t="s">
        <v>21</v>
      </c>
      <c r="I13" s="9">
        <f>SUMIF('Daily tracking'!$H$2:$H$2001,H13,'Daily tracking'!$G$2:$G$2001)</f>
        <v>0</v>
      </c>
      <c r="J13" s="6">
        <f>COUNTIF('Daily tracking'!$H$2:$H$2001,H13)</f>
        <v>0</v>
      </c>
    </row>
    <row r="14" spans="1:10" x14ac:dyDescent="0.3">
      <c r="A14" s="6" t="s">
        <v>22</v>
      </c>
      <c r="B14" s="10">
        <f>COUNTIF(Inventory!$J$2:$J$201,"REORDER")</f>
        <v>0</v>
      </c>
      <c r="H14" s="6" t="s">
        <v>23</v>
      </c>
      <c r="I14" s="9">
        <f>SUMIF('Daily tracking'!$H$2:$H$2001,H14,'Daily tracking'!$G$2:$G$2001)</f>
        <v>0</v>
      </c>
      <c r="J14" s="6">
        <f>COUNTIF('Daily tracking'!$H$2:$H$2001,H14)</f>
        <v>0</v>
      </c>
    </row>
    <row r="15" spans="1:10" x14ac:dyDescent="0.3">
      <c r="A15" s="6" t="s">
        <v>24</v>
      </c>
      <c r="B15" s="10">
        <f>COUNTIF('Customer Database'!$G$2:$G$501,"Active")+COUNTIF('Customer Database'!$G$2:$G$501,"Loyal")</f>
        <v>0</v>
      </c>
      <c r="H15" s="6" t="s">
        <v>25</v>
      </c>
      <c r="I15" s="9">
        <f>SUMIF('Daily tracking'!$H$2:$H$2001,H15,'Daily tracking'!$G$2:$G$2001)</f>
        <v>0</v>
      </c>
      <c r="J15" s="6">
        <f>COUNTIF('Daily tracking'!$H$2:$H$2001,H15)</f>
        <v>0</v>
      </c>
    </row>
    <row r="16" spans="1:10" x14ac:dyDescent="0.3">
      <c r="A16" s="6" t="s">
        <v>26</v>
      </c>
      <c r="B16" s="10">
        <f>COUNTIF('Customer Database'!$G$2:$G$501,"At risk")</f>
        <v>0</v>
      </c>
      <c r="H16" s="6" t="s">
        <v>27</v>
      </c>
      <c r="I16" s="9">
        <f>SUMIF('Daily tracking'!$H$2:$H$2001,H16,'Daily tracking'!$G$2:$G$2001)</f>
        <v>0</v>
      </c>
      <c r="J16" s="6">
        <f>COUNTIF('Daily tracking'!$H$2:$H$2001,H16)</f>
        <v>0</v>
      </c>
    </row>
    <row r="17" spans="1:10" x14ac:dyDescent="0.3">
      <c r="A17" s="6" t="s">
        <v>28</v>
      </c>
      <c r="B17" s="10">
        <f>COUNTIF('Customer Database'!$G$2:$G$501,"Lapsed")</f>
        <v>0</v>
      </c>
      <c r="H17" s="6" t="s">
        <v>29</v>
      </c>
      <c r="I17" s="9">
        <f>SUMIF('Daily tracking'!$H$2:$H$2001,H17,'Daily tracking'!$G$2:$G$2001)</f>
        <v>0</v>
      </c>
      <c r="J17" s="6">
        <f>COUNTIF('Daily tracking'!$H$2:$H$2001,H17)</f>
        <v>0</v>
      </c>
    </row>
    <row r="18" spans="1:10" x14ac:dyDescent="0.3">
      <c r="A18" s="6" t="s">
        <v>30</v>
      </c>
      <c r="B18" s="10">
        <f>COUNTIF('Customer Database'!$G$2:$G$501,"Loyal")</f>
        <v>0</v>
      </c>
      <c r="H18" s="6" t="s">
        <v>31</v>
      </c>
      <c r="I18" s="9">
        <f>SUMIF('Daily tracking'!$H$2:$H$2001,H18,'Daily tracking'!$G$2:$G$2001)</f>
        <v>0</v>
      </c>
      <c r="J18" s="6">
        <f>COUNTIF('Daily tracking'!$H$2:$H$2001,H18)</f>
        <v>0</v>
      </c>
    </row>
    <row r="19" spans="1:10" x14ac:dyDescent="0.3">
      <c r="A19" s="6" t="s">
        <v>32</v>
      </c>
      <c r="B19" s="11">
        <f>IFERROR(COUNTIF('Customer Database'!$C$2:$C$501,"&gt;1")/COUNTIF('Customer Database'!$C$2:$C$501,"&gt;0"),0)</f>
        <v>0</v>
      </c>
      <c r="H19" s="6" t="s">
        <v>33</v>
      </c>
      <c r="I19" s="9">
        <f>SUMIF('Daily tracking'!$H$2:$H$2001,H19,'Daily tracking'!$G$2:$G$2001)</f>
        <v>0</v>
      </c>
      <c r="J19" s="6">
        <f>COUNTIF('Daily tracking'!$H$2:$H$2001,H19)</f>
        <v>0</v>
      </c>
    </row>
    <row r="20" spans="1:10" x14ac:dyDescent="0.3">
      <c r="H20" s="6" t="s">
        <v>34</v>
      </c>
      <c r="I20" s="9">
        <f>SUMIF('Daily tracking'!$H$2:$H$2001,H20,'Daily tracking'!$G$2:$G$2001)</f>
        <v>0</v>
      </c>
      <c r="J20" s="6">
        <f>COUNTIF('Daily tracking'!$H$2:$H$2001,H20)</f>
        <v>0</v>
      </c>
    </row>
    <row r="21" spans="1:10" x14ac:dyDescent="0.3">
      <c r="A21" s="5" t="s">
        <v>35</v>
      </c>
      <c r="H21" s="6" t="s">
        <v>36</v>
      </c>
      <c r="I21" s="9">
        <f>SUMIF('Daily tracking'!$H$2:$H$2001,H21,'Daily tracking'!$G$2:$G$2001)</f>
        <v>0</v>
      </c>
      <c r="J21" s="6">
        <f>COUNTIF('Daily tracking'!$H$2:$H$2001,H21)</f>
        <v>0</v>
      </c>
    </row>
    <row r="22" spans="1:10" x14ac:dyDescent="0.3">
      <c r="A22" s="8" t="s">
        <v>37</v>
      </c>
      <c r="B22" s="8" t="s">
        <v>8</v>
      </c>
      <c r="C22" s="8" t="s">
        <v>38</v>
      </c>
      <c r="D22" s="8" t="s">
        <v>39</v>
      </c>
      <c r="E22" s="8" t="s">
        <v>40</v>
      </c>
      <c r="F22" s="8" t="s">
        <v>41</v>
      </c>
      <c r="G22" s="8" t="s">
        <v>42</v>
      </c>
    </row>
    <row r="23" spans="1:10" x14ac:dyDescent="0.3">
      <c r="A23" s="12">
        <f ca="1">$B$4</f>
        <v>45870</v>
      </c>
      <c r="B23" s="9">
        <f ca="1">SUMIFS('Daily tracking'!$G$2:$G$2001,'Daily tracking'!$A$2:$A$2001,"&gt;="&amp;A23,'Daily tracking'!$A$2:$A$2001,"&lt;="&amp;EOMONTH(A23,0))</f>
        <v>0</v>
      </c>
      <c r="C23" s="9">
        <f t="shared" ref="C23:C40" si="0">$B$9</f>
        <v>48000</v>
      </c>
      <c r="D23" s="9">
        <f ca="1">SUMIFS(Purchases!$E$2:$E$1001,Purchases!$A$2:$A$1001,"&gt;="&amp;A23,Purchases!$A$2:$A$1001,"&lt;="&amp;EOMONTH(A23,0))</f>
        <v>0</v>
      </c>
      <c r="E23" s="9">
        <f ca="1">SUMIFS(Expenses!$C$2:$C$501,Expenses!$A$2:$A$501,"&gt;="&amp;A23,Expenses!$A$2:$A$501,"&lt;="&amp;EOMONTH(A23,0))</f>
        <v>0</v>
      </c>
      <c r="F23" s="13">
        <f t="shared" ref="F23:F40" ca="1" si="1">B23-C23-D23-E23</f>
        <v>-48000</v>
      </c>
      <c r="G23" s="14" t="str">
        <f t="shared" ref="G23:G40" ca="1" si="2">IF(B23=0,"",F23/B23)</f>
        <v/>
      </c>
    </row>
    <row r="24" spans="1:10" x14ac:dyDescent="0.3">
      <c r="A24" s="12">
        <f t="shared" ref="A24:A40" ca="1" si="3">EOMONTH(A23,0)+1</f>
        <v>45901</v>
      </c>
      <c r="B24" s="9">
        <f ca="1">SUMIFS('Daily tracking'!$G$2:$G$2001,'Daily tracking'!$A$2:$A$2001,"&gt;="&amp;A24,'Daily tracking'!$A$2:$A$2001,"&lt;="&amp;EOMONTH(A24,0))</f>
        <v>0</v>
      </c>
      <c r="C24" s="9">
        <f t="shared" si="0"/>
        <v>48000</v>
      </c>
      <c r="D24" s="9">
        <f ca="1">SUMIFS(Purchases!$E$2:$E$1001,Purchases!$A$2:$A$1001,"&gt;="&amp;A24,Purchases!$A$2:$A$1001,"&lt;="&amp;EOMONTH(A24,0))</f>
        <v>0</v>
      </c>
      <c r="E24" s="9">
        <f ca="1">SUMIFS(Expenses!$C$2:$C$501,Expenses!$A$2:$A$501,"&gt;="&amp;A24,Expenses!$A$2:$A$501,"&lt;="&amp;EOMONTH(A24,0))</f>
        <v>0</v>
      </c>
      <c r="F24" s="13">
        <f t="shared" ca="1" si="1"/>
        <v>-48000</v>
      </c>
      <c r="G24" s="14" t="str">
        <f t="shared" ca="1" si="2"/>
        <v/>
      </c>
      <c r="H24" s="5" t="s">
        <v>43</v>
      </c>
    </row>
    <row r="25" spans="1:10" x14ac:dyDescent="0.3">
      <c r="A25" s="12">
        <f t="shared" ca="1" si="3"/>
        <v>45931</v>
      </c>
      <c r="B25" s="9">
        <f ca="1">SUMIFS('Daily tracking'!$G$2:$G$2001,'Daily tracking'!$A$2:$A$2001,"&gt;="&amp;A25,'Daily tracking'!$A$2:$A$2001,"&lt;="&amp;EOMONTH(A25,0))</f>
        <v>0</v>
      </c>
      <c r="C25" s="9">
        <f t="shared" si="0"/>
        <v>48000</v>
      </c>
      <c r="D25" s="9">
        <f ca="1">SUMIFS(Purchases!$E$2:$E$1001,Purchases!$A$2:$A$1001,"&gt;="&amp;A25,Purchases!$A$2:$A$1001,"&lt;="&amp;EOMONTH(A25,0))</f>
        <v>0</v>
      </c>
      <c r="E25" s="9">
        <f ca="1">SUMIFS(Expenses!$C$2:$C$501,Expenses!$A$2:$A$501,"&gt;="&amp;A25,Expenses!$A$2:$A$501,"&lt;="&amp;EOMONTH(A25,0))</f>
        <v>0</v>
      </c>
      <c r="F25" s="13">
        <f t="shared" ca="1" si="1"/>
        <v>-48000</v>
      </c>
      <c r="G25" s="14" t="str">
        <f t="shared" ca="1" si="2"/>
        <v/>
      </c>
      <c r="H25" s="8" t="s">
        <v>44</v>
      </c>
      <c r="I25" s="8" t="s">
        <v>8</v>
      </c>
      <c r="J25" s="8" t="s">
        <v>45</v>
      </c>
    </row>
    <row r="26" spans="1:10" x14ac:dyDescent="0.3">
      <c r="A26" s="12">
        <f t="shared" ca="1" si="3"/>
        <v>45962</v>
      </c>
      <c r="B26" s="9">
        <f ca="1">SUMIFS('Daily tracking'!$G$2:$G$2001,'Daily tracking'!$A$2:$A$2001,"&gt;="&amp;A26,'Daily tracking'!$A$2:$A$2001,"&lt;="&amp;EOMONTH(A26,0))</f>
        <v>0</v>
      </c>
      <c r="C26" s="9">
        <f t="shared" si="0"/>
        <v>48000</v>
      </c>
      <c r="D26" s="9">
        <f ca="1">SUMIFS(Purchases!$E$2:$E$1001,Purchases!$A$2:$A$1001,"&gt;="&amp;A26,Purchases!$A$2:$A$1001,"&lt;="&amp;EOMONTH(A26,0))</f>
        <v>0</v>
      </c>
      <c r="E26" s="9">
        <f ca="1">SUMIFS(Expenses!$C$2:$C$501,Expenses!$A$2:$A$501,"&gt;="&amp;A26,Expenses!$A$2:$A$501,"&lt;="&amp;EOMONTH(A26,0))</f>
        <v>0</v>
      </c>
      <c r="F26" s="13">
        <f t="shared" ca="1" si="1"/>
        <v>-48000</v>
      </c>
      <c r="G26" s="14" t="str">
        <f t="shared" ca="1" si="2"/>
        <v/>
      </c>
      <c r="H26" s="15" t="str">
        <f>IF(Employee!A2="","",Employee!A2)</f>
        <v>Rachna</v>
      </c>
      <c r="I26" s="16">
        <f>IF(Employee!A2="","",Employee!D2)</f>
        <v>0</v>
      </c>
      <c r="J26" s="15">
        <f>IF(Employee!A2="","",Employee!C2)</f>
        <v>0</v>
      </c>
    </row>
    <row r="27" spans="1:10" x14ac:dyDescent="0.3">
      <c r="A27" s="12">
        <f t="shared" ca="1" si="3"/>
        <v>45992</v>
      </c>
      <c r="B27" s="9">
        <f ca="1">SUMIFS('Daily tracking'!$G$2:$G$2001,'Daily tracking'!$A$2:$A$2001,"&gt;="&amp;A27,'Daily tracking'!$A$2:$A$2001,"&lt;="&amp;EOMONTH(A27,0))</f>
        <v>0</v>
      </c>
      <c r="C27" s="9">
        <f t="shared" si="0"/>
        <v>48000</v>
      </c>
      <c r="D27" s="9">
        <f ca="1">SUMIFS(Purchases!$E$2:$E$1001,Purchases!$A$2:$A$1001,"&gt;="&amp;A27,Purchases!$A$2:$A$1001,"&lt;="&amp;EOMONTH(A27,0))</f>
        <v>0</v>
      </c>
      <c r="E27" s="9">
        <f ca="1">SUMIFS(Expenses!$C$2:$C$501,Expenses!$A$2:$A$501,"&gt;="&amp;A27,Expenses!$A$2:$A$501,"&lt;="&amp;EOMONTH(A27,0))</f>
        <v>0</v>
      </c>
      <c r="F27" s="13">
        <f t="shared" ca="1" si="1"/>
        <v>-48000</v>
      </c>
      <c r="G27" s="14" t="str">
        <f t="shared" ca="1" si="2"/>
        <v/>
      </c>
      <c r="H27" s="15" t="str">
        <f>IF(Employee!A3="","",Employee!A3)</f>
        <v>Feroz</v>
      </c>
      <c r="I27" s="16">
        <f>IF(Employee!A3="","",Employee!D3)</f>
        <v>0</v>
      </c>
      <c r="J27" s="15">
        <f>IF(Employee!A3="","",Employee!C3)</f>
        <v>0</v>
      </c>
    </row>
    <row r="28" spans="1:10" x14ac:dyDescent="0.3">
      <c r="A28" s="12">
        <f t="shared" ca="1" si="3"/>
        <v>46023</v>
      </c>
      <c r="B28" s="9">
        <f ca="1">SUMIFS('Daily tracking'!$G$2:$G$2001,'Daily tracking'!$A$2:$A$2001,"&gt;="&amp;A28,'Daily tracking'!$A$2:$A$2001,"&lt;="&amp;EOMONTH(A28,0))</f>
        <v>0</v>
      </c>
      <c r="C28" s="9">
        <f t="shared" si="0"/>
        <v>48000</v>
      </c>
      <c r="D28" s="9">
        <f ca="1">SUMIFS(Purchases!$E$2:$E$1001,Purchases!$A$2:$A$1001,"&gt;="&amp;A28,Purchases!$A$2:$A$1001,"&lt;="&amp;EOMONTH(A28,0))</f>
        <v>0</v>
      </c>
      <c r="E28" s="9">
        <f ca="1">SUMIFS(Expenses!$C$2:$C$501,Expenses!$A$2:$A$501,"&gt;="&amp;A28,Expenses!$A$2:$A$501,"&lt;="&amp;EOMONTH(A28,0))</f>
        <v>0</v>
      </c>
      <c r="F28" s="13">
        <f t="shared" ca="1" si="1"/>
        <v>-48000</v>
      </c>
      <c r="G28" s="14" t="str">
        <f t="shared" ca="1" si="2"/>
        <v/>
      </c>
      <c r="H28" s="15" t="str">
        <f>IF(Employee!A4="","",Employee!A4)</f>
        <v>Mona</v>
      </c>
      <c r="I28" s="16">
        <f>IF(Employee!A4="","",Employee!D4)</f>
        <v>0</v>
      </c>
      <c r="J28" s="15">
        <f>IF(Employee!A4="","",Employee!C4)</f>
        <v>0</v>
      </c>
    </row>
    <row r="29" spans="1:10" x14ac:dyDescent="0.3">
      <c r="A29" s="12">
        <f t="shared" ca="1" si="3"/>
        <v>46054</v>
      </c>
      <c r="B29" s="9">
        <f ca="1">SUMIFS('Daily tracking'!$G$2:$G$2001,'Daily tracking'!$A$2:$A$2001,"&gt;="&amp;A29,'Daily tracking'!$A$2:$A$2001,"&lt;="&amp;EOMONTH(A29,0))</f>
        <v>0</v>
      </c>
      <c r="C29" s="9">
        <f t="shared" si="0"/>
        <v>48000</v>
      </c>
      <c r="D29" s="9">
        <f ca="1">SUMIFS(Purchases!$E$2:$E$1001,Purchases!$A$2:$A$1001,"&gt;="&amp;A29,Purchases!$A$2:$A$1001,"&lt;="&amp;EOMONTH(A29,0))</f>
        <v>0</v>
      </c>
      <c r="E29" s="9">
        <f ca="1">SUMIFS(Expenses!$C$2:$C$501,Expenses!$A$2:$A$501,"&gt;="&amp;A29,Expenses!$A$2:$A$501,"&lt;="&amp;EOMONTH(A29,0))</f>
        <v>0</v>
      </c>
      <c r="F29" s="13">
        <f t="shared" ca="1" si="1"/>
        <v>-48000</v>
      </c>
      <c r="G29" s="14" t="str">
        <f t="shared" ca="1" si="2"/>
        <v/>
      </c>
      <c r="H29" s="15" t="str">
        <f>IF(Employee!A5="","",Employee!A5)</f>
        <v>Chandni</v>
      </c>
      <c r="I29" s="16">
        <f>IF(Employee!A5="","",Employee!D5)</f>
        <v>0</v>
      </c>
      <c r="J29" s="15">
        <f>IF(Employee!A5="","",Employee!C5)</f>
        <v>0</v>
      </c>
    </row>
    <row r="30" spans="1:10" x14ac:dyDescent="0.3">
      <c r="A30" s="12">
        <f t="shared" ca="1" si="3"/>
        <v>46082</v>
      </c>
      <c r="B30" s="9">
        <f ca="1">SUMIFS('Daily tracking'!$G$2:$G$2001,'Daily tracking'!$A$2:$A$2001,"&gt;="&amp;A30,'Daily tracking'!$A$2:$A$2001,"&lt;="&amp;EOMONTH(A30,0))</f>
        <v>0</v>
      </c>
      <c r="C30" s="9">
        <f t="shared" si="0"/>
        <v>48000</v>
      </c>
      <c r="D30" s="9">
        <f ca="1">SUMIFS(Purchases!$E$2:$E$1001,Purchases!$A$2:$A$1001,"&gt;="&amp;A30,Purchases!$A$2:$A$1001,"&lt;="&amp;EOMONTH(A30,0))</f>
        <v>0</v>
      </c>
      <c r="E30" s="9">
        <f ca="1">SUMIFS(Expenses!$C$2:$C$501,Expenses!$A$2:$A$501,"&gt;="&amp;A30,Expenses!$A$2:$A$501,"&lt;="&amp;EOMONTH(A30,0))</f>
        <v>0</v>
      </c>
      <c r="F30" s="13">
        <f t="shared" ca="1" si="1"/>
        <v>-48000</v>
      </c>
      <c r="G30" s="14" t="str">
        <f t="shared" ca="1" si="2"/>
        <v/>
      </c>
      <c r="H30" s="15" t="str">
        <f>IF(Employee!A6="","",Employee!A6)</f>
        <v/>
      </c>
      <c r="I30" s="16" t="str">
        <f>IF(Employee!A6="","",Employee!D6)</f>
        <v/>
      </c>
      <c r="J30" s="15" t="str">
        <f>IF(Employee!A6="","",Employee!C6)</f>
        <v/>
      </c>
    </row>
    <row r="31" spans="1:10" x14ac:dyDescent="0.3">
      <c r="A31" s="12">
        <f t="shared" ca="1" si="3"/>
        <v>46113</v>
      </c>
      <c r="B31" s="9">
        <f ca="1">SUMIFS('Daily tracking'!$G$2:$G$2001,'Daily tracking'!$A$2:$A$2001,"&gt;="&amp;A31,'Daily tracking'!$A$2:$A$2001,"&lt;="&amp;EOMONTH(A31,0))</f>
        <v>0</v>
      </c>
      <c r="C31" s="9">
        <f t="shared" si="0"/>
        <v>48000</v>
      </c>
      <c r="D31" s="9">
        <f ca="1">SUMIFS(Purchases!$E$2:$E$1001,Purchases!$A$2:$A$1001,"&gt;="&amp;A31,Purchases!$A$2:$A$1001,"&lt;="&amp;EOMONTH(A31,0))</f>
        <v>0</v>
      </c>
      <c r="E31" s="9">
        <f ca="1">SUMIFS(Expenses!$C$2:$C$501,Expenses!$A$2:$A$501,"&gt;="&amp;A31,Expenses!$A$2:$A$501,"&lt;="&amp;EOMONTH(A31,0))</f>
        <v>0</v>
      </c>
      <c r="F31" s="13">
        <f t="shared" ca="1" si="1"/>
        <v>-48000</v>
      </c>
      <c r="G31" s="14" t="str">
        <f t="shared" ca="1" si="2"/>
        <v/>
      </c>
      <c r="H31" s="15" t="str">
        <f>IF(Employee!A7="","",Employee!A7)</f>
        <v/>
      </c>
      <c r="I31" s="16" t="str">
        <f>IF(Employee!A7="","",Employee!D7)</f>
        <v/>
      </c>
      <c r="J31" s="15" t="str">
        <f>IF(Employee!A7="","",Employee!C7)</f>
        <v/>
      </c>
    </row>
    <row r="32" spans="1:10" x14ac:dyDescent="0.3">
      <c r="A32" s="12">
        <f t="shared" ca="1" si="3"/>
        <v>46143</v>
      </c>
      <c r="B32" s="9">
        <f ca="1">SUMIFS('Daily tracking'!$G$2:$G$2001,'Daily tracking'!$A$2:$A$2001,"&gt;="&amp;A32,'Daily tracking'!$A$2:$A$2001,"&lt;="&amp;EOMONTH(A32,0))</f>
        <v>0</v>
      </c>
      <c r="C32" s="9">
        <f t="shared" si="0"/>
        <v>48000</v>
      </c>
      <c r="D32" s="9">
        <f ca="1">SUMIFS(Purchases!$E$2:$E$1001,Purchases!$A$2:$A$1001,"&gt;="&amp;A32,Purchases!$A$2:$A$1001,"&lt;="&amp;EOMONTH(A32,0))</f>
        <v>0</v>
      </c>
      <c r="E32" s="9">
        <f ca="1">SUMIFS(Expenses!$C$2:$C$501,Expenses!$A$2:$A$501,"&gt;="&amp;A32,Expenses!$A$2:$A$501,"&lt;="&amp;EOMONTH(A32,0))</f>
        <v>0</v>
      </c>
      <c r="F32" s="13">
        <f t="shared" ca="1" si="1"/>
        <v>-48000</v>
      </c>
      <c r="G32" s="14" t="str">
        <f t="shared" ca="1" si="2"/>
        <v/>
      </c>
      <c r="H32" s="15" t="str">
        <f>IF(Employee!A8="","",Employee!A8)</f>
        <v/>
      </c>
      <c r="I32" s="16" t="str">
        <f>IF(Employee!A8="","",Employee!D8)</f>
        <v/>
      </c>
      <c r="J32" s="15" t="str">
        <f>IF(Employee!A8="","",Employee!C8)</f>
        <v/>
      </c>
    </row>
    <row r="33" spans="1:10" x14ac:dyDescent="0.3">
      <c r="A33" s="12">
        <f t="shared" ca="1" si="3"/>
        <v>46174</v>
      </c>
      <c r="B33" s="9">
        <f ca="1">SUMIFS('Daily tracking'!$G$2:$G$2001,'Daily tracking'!$A$2:$A$2001,"&gt;="&amp;A33,'Daily tracking'!$A$2:$A$2001,"&lt;="&amp;EOMONTH(A33,0))</f>
        <v>0</v>
      </c>
      <c r="C33" s="9">
        <f t="shared" si="0"/>
        <v>48000</v>
      </c>
      <c r="D33" s="9">
        <f ca="1">SUMIFS(Purchases!$E$2:$E$1001,Purchases!$A$2:$A$1001,"&gt;="&amp;A33,Purchases!$A$2:$A$1001,"&lt;="&amp;EOMONTH(A33,0))</f>
        <v>0</v>
      </c>
      <c r="E33" s="9">
        <f ca="1">SUMIFS(Expenses!$C$2:$C$501,Expenses!$A$2:$A$501,"&gt;="&amp;A33,Expenses!$A$2:$A$501,"&lt;="&amp;EOMONTH(A33,0))</f>
        <v>0</v>
      </c>
      <c r="F33" s="13">
        <f t="shared" ca="1" si="1"/>
        <v>-48000</v>
      </c>
      <c r="G33" s="14" t="str">
        <f t="shared" ca="1" si="2"/>
        <v/>
      </c>
      <c r="H33" s="15" t="str">
        <f>IF(Employee!A9="","",Employee!A9)</f>
        <v/>
      </c>
      <c r="I33" s="16" t="str">
        <f>IF(Employee!A9="","",Employee!D9)</f>
        <v/>
      </c>
      <c r="J33" s="15" t="str">
        <f>IF(Employee!A9="","",Employee!C9)</f>
        <v/>
      </c>
    </row>
    <row r="34" spans="1:10" x14ac:dyDescent="0.3">
      <c r="A34" s="12">
        <f t="shared" ca="1" si="3"/>
        <v>46204</v>
      </c>
      <c r="B34" s="9">
        <f ca="1">SUMIFS('Daily tracking'!$G$2:$G$2001,'Daily tracking'!$A$2:$A$2001,"&gt;="&amp;A34,'Daily tracking'!$A$2:$A$2001,"&lt;="&amp;EOMONTH(A34,0))</f>
        <v>0</v>
      </c>
      <c r="C34" s="9">
        <f t="shared" si="0"/>
        <v>48000</v>
      </c>
      <c r="D34" s="9">
        <f ca="1">SUMIFS(Purchases!$E$2:$E$1001,Purchases!$A$2:$A$1001,"&gt;="&amp;A34,Purchases!$A$2:$A$1001,"&lt;="&amp;EOMONTH(A34,0))</f>
        <v>0</v>
      </c>
      <c r="E34" s="9">
        <f ca="1">SUMIFS(Expenses!$C$2:$C$501,Expenses!$A$2:$A$501,"&gt;="&amp;A34,Expenses!$A$2:$A$501,"&lt;="&amp;EOMONTH(A34,0))</f>
        <v>0</v>
      </c>
      <c r="F34" s="13">
        <f t="shared" ca="1" si="1"/>
        <v>-48000</v>
      </c>
      <c r="G34" s="14" t="str">
        <f t="shared" ca="1" si="2"/>
        <v/>
      </c>
      <c r="H34" s="15" t="str">
        <f>IF(Employee!A10="","",Employee!A10)</f>
        <v/>
      </c>
      <c r="I34" s="16" t="str">
        <f>IF(Employee!A10="","",Employee!D10)</f>
        <v/>
      </c>
      <c r="J34" s="15" t="str">
        <f>IF(Employee!A10="","",Employee!C10)</f>
        <v/>
      </c>
    </row>
    <row r="35" spans="1:10" x14ac:dyDescent="0.3">
      <c r="A35" s="12">
        <f t="shared" ca="1" si="3"/>
        <v>46235</v>
      </c>
      <c r="B35" s="9">
        <f ca="1">SUMIFS('Daily tracking'!$G$2:$G$2001,'Daily tracking'!$A$2:$A$2001,"&gt;="&amp;A35,'Daily tracking'!$A$2:$A$2001,"&lt;="&amp;EOMONTH(A35,0))</f>
        <v>0</v>
      </c>
      <c r="C35" s="9">
        <f t="shared" si="0"/>
        <v>48000</v>
      </c>
      <c r="D35" s="9">
        <f ca="1">SUMIFS(Purchases!$E$2:$E$1001,Purchases!$A$2:$A$1001,"&gt;="&amp;A35,Purchases!$A$2:$A$1001,"&lt;="&amp;EOMONTH(A35,0))</f>
        <v>0</v>
      </c>
      <c r="E35" s="9">
        <f ca="1">SUMIFS(Expenses!$C$2:$C$501,Expenses!$A$2:$A$501,"&gt;="&amp;A35,Expenses!$A$2:$A$501,"&lt;="&amp;EOMONTH(A35,0))</f>
        <v>0</v>
      </c>
      <c r="F35" s="13">
        <f t="shared" ca="1" si="1"/>
        <v>-48000</v>
      </c>
      <c r="G35" s="14" t="str">
        <f t="shared" ca="1" si="2"/>
        <v/>
      </c>
      <c r="H35" s="15" t="str">
        <f>IF(Employee!A11="","",Employee!A11)</f>
        <v/>
      </c>
      <c r="I35" s="16" t="str">
        <f>IF(Employee!A11="","",Employee!D11)</f>
        <v/>
      </c>
      <c r="J35" s="15" t="str">
        <f>IF(Employee!A11="","",Employee!C11)</f>
        <v/>
      </c>
    </row>
    <row r="36" spans="1:10" x14ac:dyDescent="0.3">
      <c r="A36" s="12">
        <f t="shared" ca="1" si="3"/>
        <v>46266</v>
      </c>
      <c r="B36" s="9">
        <f ca="1">SUMIFS('Daily tracking'!$G$2:$G$2001,'Daily tracking'!$A$2:$A$2001,"&gt;="&amp;A36,'Daily tracking'!$A$2:$A$2001,"&lt;="&amp;EOMONTH(A36,0))</f>
        <v>0</v>
      </c>
      <c r="C36" s="9">
        <f t="shared" si="0"/>
        <v>48000</v>
      </c>
      <c r="D36" s="9">
        <f ca="1">SUMIFS(Purchases!$E$2:$E$1001,Purchases!$A$2:$A$1001,"&gt;="&amp;A36,Purchases!$A$2:$A$1001,"&lt;="&amp;EOMONTH(A36,0))</f>
        <v>0</v>
      </c>
      <c r="E36" s="9">
        <f ca="1">SUMIFS(Expenses!$C$2:$C$501,Expenses!$A$2:$A$501,"&gt;="&amp;A36,Expenses!$A$2:$A$501,"&lt;="&amp;EOMONTH(A36,0))</f>
        <v>0</v>
      </c>
      <c r="F36" s="13">
        <f t="shared" ca="1" si="1"/>
        <v>-48000</v>
      </c>
      <c r="G36" s="14" t="str">
        <f t="shared" ca="1" si="2"/>
        <v/>
      </c>
      <c r="H36" s="15" t="str">
        <f>IF(Employee!A12="","",Employee!A12)</f>
        <v/>
      </c>
      <c r="I36" s="16" t="str">
        <f>IF(Employee!A12="","",Employee!D12)</f>
        <v/>
      </c>
      <c r="J36" s="15" t="str">
        <f>IF(Employee!A12="","",Employee!C12)</f>
        <v/>
      </c>
    </row>
    <row r="37" spans="1:10" x14ac:dyDescent="0.3">
      <c r="A37" s="12">
        <f t="shared" ca="1" si="3"/>
        <v>46296</v>
      </c>
      <c r="B37" s="9">
        <f ca="1">SUMIFS('Daily tracking'!$G$2:$G$2001,'Daily tracking'!$A$2:$A$2001,"&gt;="&amp;A37,'Daily tracking'!$A$2:$A$2001,"&lt;="&amp;EOMONTH(A37,0))</f>
        <v>0</v>
      </c>
      <c r="C37" s="9">
        <f t="shared" si="0"/>
        <v>48000</v>
      </c>
      <c r="D37" s="9">
        <f ca="1">SUMIFS(Purchases!$E$2:$E$1001,Purchases!$A$2:$A$1001,"&gt;="&amp;A37,Purchases!$A$2:$A$1001,"&lt;="&amp;EOMONTH(A37,0))</f>
        <v>0</v>
      </c>
      <c r="E37" s="9">
        <f ca="1">SUMIFS(Expenses!$C$2:$C$501,Expenses!$A$2:$A$501,"&gt;="&amp;A37,Expenses!$A$2:$A$501,"&lt;="&amp;EOMONTH(A37,0))</f>
        <v>0</v>
      </c>
      <c r="F37" s="13">
        <f t="shared" ca="1" si="1"/>
        <v>-48000</v>
      </c>
      <c r="G37" s="14" t="str">
        <f t="shared" ca="1" si="2"/>
        <v/>
      </c>
      <c r="H37" s="15" t="str">
        <f>IF(Employee!A13="","",Employee!A13)</f>
        <v/>
      </c>
      <c r="I37" s="16" t="str">
        <f>IF(Employee!A13="","",Employee!D13)</f>
        <v/>
      </c>
      <c r="J37" s="15" t="str">
        <f>IF(Employee!A13="","",Employee!C13)</f>
        <v/>
      </c>
    </row>
    <row r="38" spans="1:10" x14ac:dyDescent="0.3">
      <c r="A38" s="12">
        <f t="shared" ca="1" si="3"/>
        <v>46327</v>
      </c>
      <c r="B38" s="9">
        <f ca="1">SUMIFS('Daily tracking'!$G$2:$G$2001,'Daily tracking'!$A$2:$A$2001,"&gt;="&amp;A38,'Daily tracking'!$A$2:$A$2001,"&lt;="&amp;EOMONTH(A38,0))</f>
        <v>0</v>
      </c>
      <c r="C38" s="9">
        <f t="shared" si="0"/>
        <v>48000</v>
      </c>
      <c r="D38" s="9">
        <f ca="1">SUMIFS(Purchases!$E$2:$E$1001,Purchases!$A$2:$A$1001,"&gt;="&amp;A38,Purchases!$A$2:$A$1001,"&lt;="&amp;EOMONTH(A38,0))</f>
        <v>0</v>
      </c>
      <c r="E38" s="9">
        <f ca="1">SUMIFS(Expenses!$C$2:$C$501,Expenses!$A$2:$A$501,"&gt;="&amp;A38,Expenses!$A$2:$A$501,"&lt;="&amp;EOMONTH(A38,0))</f>
        <v>0</v>
      </c>
      <c r="F38" s="13">
        <f t="shared" ca="1" si="1"/>
        <v>-48000</v>
      </c>
      <c r="G38" s="14" t="str">
        <f t="shared" ca="1" si="2"/>
        <v/>
      </c>
      <c r="H38" s="15" t="str">
        <f>IF(Employee!A14="","",Employee!A14)</f>
        <v/>
      </c>
      <c r="I38" s="16" t="str">
        <f>IF(Employee!A14="","",Employee!D14)</f>
        <v/>
      </c>
      <c r="J38" s="15" t="str">
        <f>IF(Employee!A14="","",Employee!C14)</f>
        <v/>
      </c>
    </row>
    <row r="39" spans="1:10" x14ac:dyDescent="0.3">
      <c r="A39" s="12">
        <f t="shared" ca="1" si="3"/>
        <v>46357</v>
      </c>
      <c r="B39" s="9">
        <f ca="1">SUMIFS('Daily tracking'!$G$2:$G$2001,'Daily tracking'!$A$2:$A$2001,"&gt;="&amp;A39,'Daily tracking'!$A$2:$A$2001,"&lt;="&amp;EOMONTH(A39,0))</f>
        <v>0</v>
      </c>
      <c r="C39" s="9">
        <f t="shared" si="0"/>
        <v>48000</v>
      </c>
      <c r="D39" s="9">
        <f ca="1">SUMIFS(Purchases!$E$2:$E$1001,Purchases!$A$2:$A$1001,"&gt;="&amp;A39,Purchases!$A$2:$A$1001,"&lt;="&amp;EOMONTH(A39,0))</f>
        <v>0</v>
      </c>
      <c r="E39" s="9">
        <f ca="1">SUMIFS(Expenses!$C$2:$C$501,Expenses!$A$2:$A$501,"&gt;="&amp;A39,Expenses!$A$2:$A$501,"&lt;="&amp;EOMONTH(A39,0))</f>
        <v>0</v>
      </c>
      <c r="F39" s="13">
        <f t="shared" ca="1" si="1"/>
        <v>-48000</v>
      </c>
      <c r="G39" s="14" t="str">
        <f t="shared" ca="1" si="2"/>
        <v/>
      </c>
      <c r="H39" s="15" t="str">
        <f>IF(Employee!A15="","",Employee!A15)</f>
        <v/>
      </c>
      <c r="I39" s="16" t="str">
        <f>IF(Employee!A15="","",Employee!D15)</f>
        <v/>
      </c>
      <c r="J39" s="15" t="str">
        <f>IF(Employee!A15="","",Employee!C15)</f>
        <v/>
      </c>
    </row>
    <row r="40" spans="1:10" x14ac:dyDescent="0.3">
      <c r="A40" s="12">
        <f t="shared" ca="1" si="3"/>
        <v>46388</v>
      </c>
      <c r="B40" s="9">
        <f ca="1">SUMIFS('Daily tracking'!$G$2:$G$2001,'Daily tracking'!$A$2:$A$2001,"&gt;="&amp;A40,'Daily tracking'!$A$2:$A$2001,"&lt;="&amp;EOMONTH(A40,0))</f>
        <v>0</v>
      </c>
      <c r="C40" s="9">
        <f t="shared" si="0"/>
        <v>48000</v>
      </c>
      <c r="D40" s="9">
        <f ca="1">SUMIFS(Purchases!$E$2:$E$1001,Purchases!$A$2:$A$1001,"&gt;="&amp;A40,Purchases!$A$2:$A$1001,"&lt;="&amp;EOMONTH(A40,0))</f>
        <v>0</v>
      </c>
      <c r="E40" s="9">
        <f ca="1">SUMIFS(Expenses!$C$2:$C$501,Expenses!$A$2:$A$501,"&gt;="&amp;A40,Expenses!$A$2:$A$501,"&lt;="&amp;EOMONTH(A40,0))</f>
        <v>0</v>
      </c>
      <c r="F40" s="13">
        <f t="shared" ca="1" si="1"/>
        <v>-48000</v>
      </c>
      <c r="G40" s="14" t="str">
        <f t="shared" ca="1" si="2"/>
        <v/>
      </c>
      <c r="H40" s="15" t="str">
        <f>IF(Employee!A16="","",Employee!A16)</f>
        <v/>
      </c>
      <c r="I40" s="16" t="str">
        <f>IF(Employee!A16="","",Employee!D16)</f>
        <v/>
      </c>
      <c r="J40" s="15" t="str">
        <f>IF(Employee!A16="","",Employee!C16)</f>
        <v/>
      </c>
    </row>
    <row r="41" spans="1:10" x14ac:dyDescent="0.3">
      <c r="H41" s="15" t="str">
        <f>IF(Employee!A17="","",Employee!A17)</f>
        <v/>
      </c>
      <c r="I41" s="16" t="str">
        <f>IF(Employee!A17="","",Employee!D17)</f>
        <v/>
      </c>
      <c r="J41" s="15" t="str">
        <f>IF(Employee!A17="","",Employee!C17)</f>
        <v/>
      </c>
    </row>
    <row r="42" spans="1:10" x14ac:dyDescent="0.3">
      <c r="A42" s="5" t="s">
        <v>46</v>
      </c>
      <c r="D42" s="5" t="s">
        <v>47</v>
      </c>
      <c r="H42" s="15" t="str">
        <f>IF(Employee!A18="","",Employee!A18)</f>
        <v/>
      </c>
      <c r="I42" s="16" t="str">
        <f>IF(Employee!A18="","",Employee!D18)</f>
        <v/>
      </c>
      <c r="J42" s="15" t="str">
        <f>IF(Employee!A18="","",Employee!C18)</f>
        <v/>
      </c>
    </row>
    <row r="43" spans="1:10" x14ac:dyDescent="0.3">
      <c r="A43" s="6" t="s">
        <v>48</v>
      </c>
      <c r="B43" s="7">
        <f ca="1">SUMIFS('Daily tracking'!$G$2:$G$2001,'Daily tracking'!$J$2:$J$2001,"Service",'Daily tracking'!$A$2:$A$2001,"&gt;="&amp;EOMONTH(TODAY(),-1)+1,'Daily tracking'!$A$2:$A$2001,"&lt;="&amp;EOMONTH(TODAY(),0))</f>
        <v>0</v>
      </c>
      <c r="D43" s="6" t="s">
        <v>49</v>
      </c>
      <c r="E43" s="5">
        <f>COUNTIF('Customer Database'!$O$2:$O$501,"VIP")</f>
        <v>0</v>
      </c>
      <c r="H43" s="15" t="str">
        <f>IF(Employee!A19="","",Employee!A19)</f>
        <v/>
      </c>
      <c r="I43" s="16" t="str">
        <f>IF(Employee!A19="","",Employee!D19)</f>
        <v/>
      </c>
      <c r="J43" s="15" t="str">
        <f>IF(Employee!A19="","",Employee!C19)</f>
        <v/>
      </c>
    </row>
    <row r="44" spans="1:10" x14ac:dyDescent="0.3">
      <c r="A44" s="6" t="s">
        <v>50</v>
      </c>
      <c r="B44" s="7">
        <f ca="1">SUMIFS('Daily tracking'!$G$2:$G$2001,'Daily tracking'!$J$2:$J$2001,"Retail",'Daily tracking'!$A$2:$A$2001,"&gt;="&amp;EOMONTH(TODAY(),-1)+1,'Daily tracking'!$A$2:$A$2001,"&lt;="&amp;EOMONTH(TODAY(),0))</f>
        <v>0</v>
      </c>
      <c r="D44" s="6" t="s">
        <v>51</v>
      </c>
      <c r="E44" s="5">
        <f>COUNTIF('Customer Database'!$O$2:$O$501,"High value")</f>
        <v>0</v>
      </c>
      <c r="H44" s="15" t="str">
        <f>IF(Employee!A20="","",Employee!A20)</f>
        <v/>
      </c>
      <c r="I44" s="16" t="str">
        <f>IF(Employee!A20="","",Employee!D20)</f>
        <v/>
      </c>
      <c r="J44" s="15" t="str">
        <f>IF(Employee!A20="","",Employee!C20)</f>
        <v/>
      </c>
    </row>
    <row r="45" spans="1:10" x14ac:dyDescent="0.3">
      <c r="A45" s="6" t="s">
        <v>52</v>
      </c>
      <c r="B45" s="7">
        <f ca="1">SUMIFS('Daily tracking'!$G$2:$G$2001,'Daily tracking'!$I$2:$I$2001,"Cash",'Daily tracking'!$A$2:$A$2001,"&gt;="&amp;EOMONTH(TODAY(),-1)+1,'Daily tracking'!$A$2:$A$2001,"&lt;="&amp;EOMONTH(TODAY(),0))</f>
        <v>0</v>
      </c>
      <c r="D45" s="6" t="s">
        <v>53</v>
      </c>
      <c r="E45" s="5">
        <f ca="1">COUNTIF('Customer Database'!$P$2:$P$501,"Yes")</f>
        <v>0</v>
      </c>
      <c r="H45" s="15" t="str">
        <f>IF(Employee!A21="","",Employee!A21)</f>
        <v/>
      </c>
      <c r="I45" s="16" t="str">
        <f>IF(Employee!A21="","",Employee!D21)</f>
        <v/>
      </c>
      <c r="J45" s="15" t="str">
        <f>IF(Employee!A21="","",Employee!C21)</f>
        <v/>
      </c>
    </row>
    <row r="46" spans="1:10" x14ac:dyDescent="0.3">
      <c r="A46" s="6" t="s">
        <v>54</v>
      </c>
      <c r="B46" s="7">
        <f ca="1">SUMIFS('Daily tracking'!$G$2:$G$2001,'Daily tracking'!$I$2:$I$2001,"UPI",'Daily tracking'!$A$2:$A$2001,"&gt;="&amp;EOMONTH(TODAY(),-1)+1,'Daily tracking'!$A$2:$A$2001,"&lt;="&amp;EOMONTH(TODAY(),0))</f>
        <v>0</v>
      </c>
    </row>
    <row r="47" spans="1:10" x14ac:dyDescent="0.3">
      <c r="A47" s="6" t="s">
        <v>55</v>
      </c>
      <c r="B47" s="7">
        <f ca="1">SUMIFS('Daily tracking'!$G$2:$G$2001,'Daily tracking'!$I$2:$I$2001,"Card",'Daily tracking'!$A$2:$A$2001,"&gt;="&amp;EOMONTH(TODAY(),-1)+1,'Daily tracking'!$A$2:$A$2001,"&lt;="&amp;EOMONTH(TODAY(),0))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1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5546875" defaultRowHeight="14.4" x14ac:dyDescent="0.3"/>
  <cols>
    <col min="1" max="1" width="13" customWidth="1"/>
    <col min="2" max="2" width="32" customWidth="1"/>
    <col min="3" max="3" width="14" customWidth="1"/>
    <col min="4" max="4" width="22" customWidth="1"/>
    <col min="5" max="6" width="10" customWidth="1"/>
    <col min="7" max="7" width="11" customWidth="1"/>
    <col min="8" max="8" width="16" customWidth="1"/>
    <col min="9" max="10" width="11" customWidth="1"/>
  </cols>
  <sheetData>
    <row r="1" spans="1:10" x14ac:dyDescent="0.3">
      <c r="A1" s="17" t="s">
        <v>56</v>
      </c>
      <c r="B1" s="17" t="s">
        <v>57</v>
      </c>
      <c r="C1" s="17" t="s">
        <v>44</v>
      </c>
      <c r="D1" s="17" t="s">
        <v>58</v>
      </c>
      <c r="E1" s="17" t="s">
        <v>59</v>
      </c>
      <c r="F1" s="17" t="s">
        <v>60</v>
      </c>
      <c r="G1" s="17" t="s">
        <v>61</v>
      </c>
      <c r="H1" s="17" t="s">
        <v>7</v>
      </c>
      <c r="I1" s="17" t="s">
        <v>62</v>
      </c>
      <c r="J1" s="17" t="s">
        <v>63</v>
      </c>
    </row>
    <row r="2" spans="1:10" x14ac:dyDescent="0.3">
      <c r="A2" s="18"/>
      <c r="B2" s="6"/>
      <c r="C2" s="6"/>
      <c r="D2" s="6"/>
      <c r="E2" s="16" t="str">
        <f>IF($B2="","",IFERROR(INDEX(Services!$C$2:$C$120,MATCH($B2,Services!$D$2:$D$120,0)),""))</f>
        <v/>
      </c>
      <c r="F2" s="19"/>
      <c r="G2" s="9" t="str">
        <f t="shared" ref="G2:G65" si="0">IF(OR($B2="",NOT(ISNUMBER($E2))),"",$E2-IF($F2="",0,$F2))</f>
        <v/>
      </c>
      <c r="H2" s="15" t="str">
        <f>IF($B2="","",IFERROR(INDEX(Services!$A$2:$A$120,MATCH($B2,Services!$D$2:$D$120,0)),""))</f>
        <v/>
      </c>
      <c r="I2" s="19"/>
      <c r="J2" s="15" t="str">
        <f>IF($B2="","",IFERROR(INDEX(Services!$E$2:$E$120,MATCH($B2,Services!$D$2:$D$120,0)),""))</f>
        <v/>
      </c>
    </row>
    <row r="3" spans="1:10" x14ac:dyDescent="0.3">
      <c r="A3" s="18"/>
      <c r="B3" s="6"/>
      <c r="C3" s="6"/>
      <c r="D3" s="6"/>
      <c r="E3" s="16" t="str">
        <f>IF($B3="","",IFERROR(INDEX(Services!$C$2:$C$120,MATCH($B3,Services!$D$2:$D$120,0)),""))</f>
        <v/>
      </c>
      <c r="F3" s="19"/>
      <c r="G3" s="9" t="str">
        <f t="shared" si="0"/>
        <v/>
      </c>
      <c r="H3" s="15" t="str">
        <f>IF($B3="","",IFERROR(INDEX(Services!$A$2:$A$120,MATCH($B3,Services!$D$2:$D$120,0)),""))</f>
        <v/>
      </c>
      <c r="I3" s="19"/>
      <c r="J3" s="15" t="str">
        <f>IF($B3="","",IFERROR(INDEX(Services!$E$2:$E$120,MATCH($B3,Services!$D$2:$D$120,0)),""))</f>
        <v/>
      </c>
    </row>
    <row r="4" spans="1:10" x14ac:dyDescent="0.3">
      <c r="A4" s="18"/>
      <c r="B4" s="6"/>
      <c r="C4" s="6"/>
      <c r="D4" s="6"/>
      <c r="E4" s="16" t="str">
        <f>IF($B4="","",IFERROR(INDEX(Services!$C$2:$C$120,MATCH($B4,Services!$D$2:$D$120,0)),""))</f>
        <v/>
      </c>
      <c r="F4" s="19"/>
      <c r="G4" s="9" t="str">
        <f t="shared" si="0"/>
        <v/>
      </c>
      <c r="H4" s="15" t="str">
        <f>IF($B4="","",IFERROR(INDEX(Services!$A$2:$A$120,MATCH($B4,Services!$D$2:$D$120,0)),""))</f>
        <v/>
      </c>
      <c r="I4" s="19"/>
      <c r="J4" s="15" t="str">
        <f>IF($B4="","",IFERROR(INDEX(Services!$E$2:$E$120,MATCH($B4,Services!$D$2:$D$120,0)),""))</f>
        <v/>
      </c>
    </row>
    <row r="5" spans="1:10" x14ac:dyDescent="0.3">
      <c r="A5" s="18"/>
      <c r="B5" s="6"/>
      <c r="C5" s="6"/>
      <c r="D5" s="6"/>
      <c r="E5" s="16" t="str">
        <f>IF($B5="","",IFERROR(INDEX(Services!$C$2:$C$120,MATCH($B5,Services!$D$2:$D$120,0)),""))</f>
        <v/>
      </c>
      <c r="F5" s="19"/>
      <c r="G5" s="9" t="str">
        <f t="shared" si="0"/>
        <v/>
      </c>
      <c r="H5" s="15" t="str">
        <f>IF($B5="","",IFERROR(INDEX(Services!$A$2:$A$120,MATCH($B5,Services!$D$2:$D$120,0)),""))</f>
        <v/>
      </c>
      <c r="I5" s="19"/>
      <c r="J5" s="15" t="str">
        <f>IF($B5="","",IFERROR(INDEX(Services!$E$2:$E$120,MATCH($B5,Services!$D$2:$D$120,0)),""))</f>
        <v/>
      </c>
    </row>
    <row r="6" spans="1:10" x14ac:dyDescent="0.3">
      <c r="A6" s="18"/>
      <c r="B6" s="6"/>
      <c r="C6" s="6"/>
      <c r="D6" s="6"/>
      <c r="E6" s="16" t="str">
        <f>IF($B6="","",IFERROR(INDEX(Services!$C$2:$C$120,MATCH($B6,Services!$D$2:$D$120,0)),""))</f>
        <v/>
      </c>
      <c r="F6" s="19"/>
      <c r="G6" s="9" t="str">
        <f t="shared" si="0"/>
        <v/>
      </c>
      <c r="H6" s="15" t="str">
        <f>IF($B6="","",IFERROR(INDEX(Services!$A$2:$A$120,MATCH($B6,Services!$D$2:$D$120,0)),""))</f>
        <v/>
      </c>
      <c r="I6" s="19"/>
      <c r="J6" s="15" t="str">
        <f>IF($B6="","",IFERROR(INDEX(Services!$E$2:$E$120,MATCH($B6,Services!$D$2:$D$120,0)),""))</f>
        <v/>
      </c>
    </row>
    <row r="7" spans="1:10" x14ac:dyDescent="0.3">
      <c r="A7" s="18"/>
      <c r="B7" s="6"/>
      <c r="C7" s="6"/>
      <c r="D7" s="6"/>
      <c r="E7" s="16" t="str">
        <f>IF($B7="","",IFERROR(INDEX(Services!$C$2:$C$120,MATCH($B7,Services!$D$2:$D$120,0)),""))</f>
        <v/>
      </c>
      <c r="F7" s="19"/>
      <c r="G7" s="9" t="str">
        <f t="shared" si="0"/>
        <v/>
      </c>
      <c r="H7" s="15" t="str">
        <f>IF($B7="","",IFERROR(INDEX(Services!$A$2:$A$120,MATCH($B7,Services!$D$2:$D$120,0)),""))</f>
        <v/>
      </c>
      <c r="I7" s="19"/>
      <c r="J7" s="15" t="str">
        <f>IF($B7="","",IFERROR(INDEX(Services!$E$2:$E$120,MATCH($B7,Services!$D$2:$D$120,0)),""))</f>
        <v/>
      </c>
    </row>
    <row r="8" spans="1:10" x14ac:dyDescent="0.3">
      <c r="A8" s="18"/>
      <c r="B8" s="6"/>
      <c r="C8" s="6"/>
      <c r="D8" s="6"/>
      <c r="E8" s="16" t="str">
        <f>IF($B8="","",IFERROR(INDEX(Services!$C$2:$C$120,MATCH($B8,Services!$D$2:$D$120,0)),""))</f>
        <v/>
      </c>
      <c r="F8" s="19"/>
      <c r="G8" s="9" t="str">
        <f t="shared" si="0"/>
        <v/>
      </c>
      <c r="H8" s="15" t="str">
        <f>IF($B8="","",IFERROR(INDEX(Services!$A$2:$A$120,MATCH($B8,Services!$D$2:$D$120,0)),""))</f>
        <v/>
      </c>
      <c r="I8" s="19"/>
      <c r="J8" s="15" t="str">
        <f>IF($B8="","",IFERROR(INDEX(Services!$E$2:$E$120,MATCH($B8,Services!$D$2:$D$120,0)),""))</f>
        <v/>
      </c>
    </row>
    <row r="9" spans="1:10" x14ac:dyDescent="0.3">
      <c r="A9" s="18"/>
      <c r="B9" s="6"/>
      <c r="C9" s="6"/>
      <c r="D9" s="6"/>
      <c r="E9" s="16" t="str">
        <f>IF($B9="","",IFERROR(INDEX(Services!$C$2:$C$120,MATCH($B9,Services!$D$2:$D$120,0)),""))</f>
        <v/>
      </c>
      <c r="F9" s="19"/>
      <c r="G9" s="9" t="str">
        <f t="shared" si="0"/>
        <v/>
      </c>
      <c r="H9" s="15" t="str">
        <f>IF($B9="","",IFERROR(INDEX(Services!$A$2:$A$120,MATCH($B9,Services!$D$2:$D$120,0)),""))</f>
        <v/>
      </c>
      <c r="I9" s="19"/>
      <c r="J9" s="15" t="str">
        <f>IF($B9="","",IFERROR(INDEX(Services!$E$2:$E$120,MATCH($B9,Services!$D$2:$D$120,0)),""))</f>
        <v/>
      </c>
    </row>
    <row r="10" spans="1:10" x14ac:dyDescent="0.3">
      <c r="A10" s="18"/>
      <c r="B10" s="6"/>
      <c r="C10" s="6"/>
      <c r="D10" s="6"/>
      <c r="E10" s="16" t="str">
        <f>IF($B10="","",IFERROR(INDEX(Services!$C$2:$C$120,MATCH($B10,Services!$D$2:$D$120,0)),""))</f>
        <v/>
      </c>
      <c r="F10" s="19"/>
      <c r="G10" s="9" t="str">
        <f t="shared" si="0"/>
        <v/>
      </c>
      <c r="H10" s="15" t="str">
        <f>IF($B10="","",IFERROR(INDEX(Services!$A$2:$A$120,MATCH($B10,Services!$D$2:$D$120,0)),""))</f>
        <v/>
      </c>
      <c r="I10" s="19"/>
      <c r="J10" s="15" t="str">
        <f>IF($B10="","",IFERROR(INDEX(Services!$E$2:$E$120,MATCH($B10,Services!$D$2:$D$120,0)),""))</f>
        <v/>
      </c>
    </row>
    <row r="11" spans="1:10" x14ac:dyDescent="0.3">
      <c r="A11" s="18"/>
      <c r="B11" s="6"/>
      <c r="C11" s="6"/>
      <c r="D11" s="6"/>
      <c r="E11" s="16" t="str">
        <f>IF($B11="","",IFERROR(INDEX(Services!$C$2:$C$120,MATCH($B11,Services!$D$2:$D$120,0)),""))</f>
        <v/>
      </c>
      <c r="F11" s="19"/>
      <c r="G11" s="9" t="str">
        <f t="shared" si="0"/>
        <v/>
      </c>
      <c r="H11" s="15" t="str">
        <f>IF($B11="","",IFERROR(INDEX(Services!$A$2:$A$120,MATCH($B11,Services!$D$2:$D$120,0)),""))</f>
        <v/>
      </c>
      <c r="I11" s="19"/>
      <c r="J11" s="15" t="str">
        <f>IF($B11="","",IFERROR(INDEX(Services!$E$2:$E$120,MATCH($B11,Services!$D$2:$D$120,0)),""))</f>
        <v/>
      </c>
    </row>
    <row r="12" spans="1:10" x14ac:dyDescent="0.3">
      <c r="A12" s="18"/>
      <c r="B12" s="6"/>
      <c r="C12" s="6"/>
      <c r="D12" s="6"/>
      <c r="E12" s="16" t="str">
        <f>IF($B12="","",IFERROR(INDEX(Services!$C$2:$C$120,MATCH($B12,Services!$D$2:$D$120,0)),""))</f>
        <v/>
      </c>
      <c r="F12" s="19"/>
      <c r="G12" s="9" t="str">
        <f t="shared" si="0"/>
        <v/>
      </c>
      <c r="H12" s="15" t="str">
        <f>IF($B12="","",IFERROR(INDEX(Services!$A$2:$A$120,MATCH($B12,Services!$D$2:$D$120,0)),""))</f>
        <v/>
      </c>
      <c r="I12" s="19"/>
      <c r="J12" s="15" t="str">
        <f>IF($B12="","",IFERROR(INDEX(Services!$E$2:$E$120,MATCH($B12,Services!$D$2:$D$120,0)),""))</f>
        <v/>
      </c>
    </row>
    <row r="13" spans="1:10" x14ac:dyDescent="0.3">
      <c r="A13" s="18"/>
      <c r="B13" s="6"/>
      <c r="C13" s="6"/>
      <c r="D13" s="6"/>
      <c r="E13" s="16" t="str">
        <f>IF($B13="","",IFERROR(INDEX(Services!$C$2:$C$120,MATCH($B13,Services!$D$2:$D$120,0)),""))</f>
        <v/>
      </c>
      <c r="F13" s="19"/>
      <c r="G13" s="9" t="str">
        <f t="shared" si="0"/>
        <v/>
      </c>
      <c r="H13" s="15" t="str">
        <f>IF($B13="","",IFERROR(INDEX(Services!$A$2:$A$120,MATCH($B13,Services!$D$2:$D$120,0)),""))</f>
        <v/>
      </c>
      <c r="I13" s="19"/>
      <c r="J13" s="15" t="str">
        <f>IF($B13="","",IFERROR(INDEX(Services!$E$2:$E$120,MATCH($B13,Services!$D$2:$D$120,0)),""))</f>
        <v/>
      </c>
    </row>
    <row r="14" spans="1:10" x14ac:dyDescent="0.3">
      <c r="A14" s="18"/>
      <c r="B14" s="6"/>
      <c r="C14" s="6"/>
      <c r="D14" s="6"/>
      <c r="E14" s="16" t="str">
        <f>IF($B14="","",IFERROR(INDEX(Services!$C$2:$C$120,MATCH($B14,Services!$D$2:$D$120,0)),""))</f>
        <v/>
      </c>
      <c r="F14" s="19"/>
      <c r="G14" s="9" t="str">
        <f t="shared" si="0"/>
        <v/>
      </c>
      <c r="H14" s="15" t="str">
        <f>IF($B14="","",IFERROR(INDEX(Services!$A$2:$A$120,MATCH($B14,Services!$D$2:$D$120,0)),""))</f>
        <v/>
      </c>
      <c r="I14" s="19"/>
      <c r="J14" s="15" t="str">
        <f>IF($B14="","",IFERROR(INDEX(Services!$E$2:$E$120,MATCH($B14,Services!$D$2:$D$120,0)),""))</f>
        <v/>
      </c>
    </row>
    <row r="15" spans="1:10" x14ac:dyDescent="0.3">
      <c r="A15" s="18"/>
      <c r="B15" s="6"/>
      <c r="C15" s="6"/>
      <c r="D15" s="6"/>
      <c r="E15" s="16" t="str">
        <f>IF($B15="","",IFERROR(INDEX(Services!$C$2:$C$120,MATCH($B15,Services!$D$2:$D$120,0)),""))</f>
        <v/>
      </c>
      <c r="F15" s="19"/>
      <c r="G15" s="9" t="str">
        <f t="shared" si="0"/>
        <v/>
      </c>
      <c r="H15" s="15" t="str">
        <f>IF($B15="","",IFERROR(INDEX(Services!$A$2:$A$120,MATCH($B15,Services!$D$2:$D$120,0)),""))</f>
        <v/>
      </c>
      <c r="I15" s="19"/>
      <c r="J15" s="15" t="str">
        <f>IF($B15="","",IFERROR(INDEX(Services!$E$2:$E$120,MATCH($B15,Services!$D$2:$D$120,0)),""))</f>
        <v/>
      </c>
    </row>
    <row r="16" spans="1:10" x14ac:dyDescent="0.3">
      <c r="A16" s="18"/>
      <c r="B16" s="6"/>
      <c r="C16" s="6"/>
      <c r="D16" s="6"/>
      <c r="E16" s="16" t="str">
        <f>IF($B16="","",IFERROR(INDEX(Services!$C$2:$C$120,MATCH($B16,Services!$D$2:$D$120,0)),""))</f>
        <v/>
      </c>
      <c r="F16" s="19"/>
      <c r="G16" s="9" t="str">
        <f t="shared" si="0"/>
        <v/>
      </c>
      <c r="H16" s="15" t="str">
        <f>IF($B16="","",IFERROR(INDEX(Services!$A$2:$A$120,MATCH($B16,Services!$D$2:$D$120,0)),""))</f>
        <v/>
      </c>
      <c r="I16" s="19"/>
      <c r="J16" s="15" t="str">
        <f>IF($B16="","",IFERROR(INDEX(Services!$E$2:$E$120,MATCH($B16,Services!$D$2:$D$120,0)),""))</f>
        <v/>
      </c>
    </row>
    <row r="17" spans="1:10" x14ac:dyDescent="0.3">
      <c r="A17" s="18"/>
      <c r="B17" s="6"/>
      <c r="C17" s="6"/>
      <c r="D17" s="6"/>
      <c r="E17" s="16" t="str">
        <f>IF($B17="","",IFERROR(INDEX(Services!$C$2:$C$120,MATCH($B17,Services!$D$2:$D$120,0)),""))</f>
        <v/>
      </c>
      <c r="F17" s="19"/>
      <c r="G17" s="9" t="str">
        <f t="shared" si="0"/>
        <v/>
      </c>
      <c r="H17" s="15" t="str">
        <f>IF($B17="","",IFERROR(INDEX(Services!$A$2:$A$120,MATCH($B17,Services!$D$2:$D$120,0)),""))</f>
        <v/>
      </c>
      <c r="I17" s="19"/>
      <c r="J17" s="15" t="str">
        <f>IF($B17="","",IFERROR(INDEX(Services!$E$2:$E$120,MATCH($B17,Services!$D$2:$D$120,0)),""))</f>
        <v/>
      </c>
    </row>
    <row r="18" spans="1:10" x14ac:dyDescent="0.3">
      <c r="A18" s="18"/>
      <c r="B18" s="6"/>
      <c r="C18" s="6"/>
      <c r="D18" s="6"/>
      <c r="E18" s="16" t="str">
        <f>IF($B18="","",IFERROR(INDEX(Services!$C$2:$C$120,MATCH($B18,Services!$D$2:$D$120,0)),""))</f>
        <v/>
      </c>
      <c r="F18" s="19"/>
      <c r="G18" s="9" t="str">
        <f t="shared" si="0"/>
        <v/>
      </c>
      <c r="H18" s="15" t="str">
        <f>IF($B18="","",IFERROR(INDEX(Services!$A$2:$A$120,MATCH($B18,Services!$D$2:$D$120,0)),""))</f>
        <v/>
      </c>
      <c r="I18" s="19"/>
      <c r="J18" s="15" t="str">
        <f>IF($B18="","",IFERROR(INDEX(Services!$E$2:$E$120,MATCH($B18,Services!$D$2:$D$120,0)),""))</f>
        <v/>
      </c>
    </row>
    <row r="19" spans="1:10" x14ac:dyDescent="0.3">
      <c r="A19" s="18"/>
      <c r="B19" s="6"/>
      <c r="C19" s="6"/>
      <c r="D19" s="6"/>
      <c r="E19" s="16" t="str">
        <f>IF($B19="","",IFERROR(INDEX(Services!$C$2:$C$120,MATCH($B19,Services!$D$2:$D$120,0)),""))</f>
        <v/>
      </c>
      <c r="F19" s="19"/>
      <c r="G19" s="9" t="str">
        <f t="shared" si="0"/>
        <v/>
      </c>
      <c r="H19" s="15" t="str">
        <f>IF($B19="","",IFERROR(INDEX(Services!$A$2:$A$120,MATCH($B19,Services!$D$2:$D$120,0)),""))</f>
        <v/>
      </c>
      <c r="I19" s="19"/>
      <c r="J19" s="15" t="str">
        <f>IF($B19="","",IFERROR(INDEX(Services!$E$2:$E$120,MATCH($B19,Services!$D$2:$D$120,0)),""))</f>
        <v/>
      </c>
    </row>
    <row r="20" spans="1:10" x14ac:dyDescent="0.3">
      <c r="A20" s="18"/>
      <c r="B20" s="6"/>
      <c r="C20" s="6"/>
      <c r="D20" s="6"/>
      <c r="E20" s="16" t="str">
        <f>IF($B20="","",IFERROR(INDEX(Services!$C$2:$C$120,MATCH($B20,Services!$D$2:$D$120,0)),""))</f>
        <v/>
      </c>
      <c r="F20" s="19"/>
      <c r="G20" s="9" t="str">
        <f t="shared" si="0"/>
        <v/>
      </c>
      <c r="H20" s="15" t="str">
        <f>IF($B20="","",IFERROR(INDEX(Services!$A$2:$A$120,MATCH($B20,Services!$D$2:$D$120,0)),""))</f>
        <v/>
      </c>
      <c r="I20" s="19"/>
      <c r="J20" s="15" t="str">
        <f>IF($B20="","",IFERROR(INDEX(Services!$E$2:$E$120,MATCH($B20,Services!$D$2:$D$120,0)),""))</f>
        <v/>
      </c>
    </row>
    <row r="21" spans="1:10" x14ac:dyDescent="0.3">
      <c r="A21" s="18"/>
      <c r="B21" s="6"/>
      <c r="C21" s="6"/>
      <c r="D21" s="6"/>
      <c r="E21" s="16" t="str">
        <f>IF($B21="","",IFERROR(INDEX(Services!$C$2:$C$120,MATCH($B21,Services!$D$2:$D$120,0)),""))</f>
        <v/>
      </c>
      <c r="F21" s="19"/>
      <c r="G21" s="9" t="str">
        <f t="shared" si="0"/>
        <v/>
      </c>
      <c r="H21" s="15" t="str">
        <f>IF($B21="","",IFERROR(INDEX(Services!$A$2:$A$120,MATCH($B21,Services!$D$2:$D$120,0)),""))</f>
        <v/>
      </c>
      <c r="I21" s="19"/>
      <c r="J21" s="15" t="str">
        <f>IF($B21="","",IFERROR(INDEX(Services!$E$2:$E$120,MATCH($B21,Services!$D$2:$D$120,0)),""))</f>
        <v/>
      </c>
    </row>
    <row r="22" spans="1:10" x14ac:dyDescent="0.3">
      <c r="A22" s="18"/>
      <c r="B22" s="6"/>
      <c r="C22" s="6"/>
      <c r="D22" s="6"/>
      <c r="E22" s="16" t="str">
        <f>IF($B22="","",IFERROR(INDEX(Services!$C$2:$C$120,MATCH($B22,Services!$D$2:$D$120,0)),""))</f>
        <v/>
      </c>
      <c r="F22" s="19"/>
      <c r="G22" s="9" t="str">
        <f t="shared" si="0"/>
        <v/>
      </c>
      <c r="H22" s="15" t="str">
        <f>IF($B22="","",IFERROR(INDEX(Services!$A$2:$A$120,MATCH($B22,Services!$D$2:$D$120,0)),""))</f>
        <v/>
      </c>
      <c r="I22" s="19"/>
      <c r="J22" s="15" t="str">
        <f>IF($B22="","",IFERROR(INDEX(Services!$E$2:$E$120,MATCH($B22,Services!$D$2:$D$120,0)),""))</f>
        <v/>
      </c>
    </row>
    <row r="23" spans="1:10" x14ac:dyDescent="0.3">
      <c r="A23" s="18"/>
      <c r="B23" s="6"/>
      <c r="C23" s="6"/>
      <c r="D23" s="6"/>
      <c r="E23" s="16" t="str">
        <f>IF($B23="","",IFERROR(INDEX(Services!$C$2:$C$120,MATCH($B23,Services!$D$2:$D$120,0)),""))</f>
        <v/>
      </c>
      <c r="F23" s="19"/>
      <c r="G23" s="9" t="str">
        <f t="shared" si="0"/>
        <v/>
      </c>
      <c r="H23" s="15" t="str">
        <f>IF($B23="","",IFERROR(INDEX(Services!$A$2:$A$120,MATCH($B23,Services!$D$2:$D$120,0)),""))</f>
        <v/>
      </c>
      <c r="I23" s="19"/>
      <c r="J23" s="15" t="str">
        <f>IF($B23="","",IFERROR(INDEX(Services!$E$2:$E$120,MATCH($B23,Services!$D$2:$D$120,0)),""))</f>
        <v/>
      </c>
    </row>
    <row r="24" spans="1:10" x14ac:dyDescent="0.3">
      <c r="A24" s="18"/>
      <c r="B24" s="6"/>
      <c r="C24" s="6"/>
      <c r="D24" s="6"/>
      <c r="E24" s="16" t="str">
        <f>IF($B24="","",IFERROR(INDEX(Services!$C$2:$C$120,MATCH($B24,Services!$D$2:$D$120,0)),""))</f>
        <v/>
      </c>
      <c r="F24" s="19"/>
      <c r="G24" s="9" t="str">
        <f t="shared" si="0"/>
        <v/>
      </c>
      <c r="H24" s="15" t="str">
        <f>IF($B24="","",IFERROR(INDEX(Services!$A$2:$A$120,MATCH($B24,Services!$D$2:$D$120,0)),""))</f>
        <v/>
      </c>
      <c r="I24" s="19"/>
      <c r="J24" s="15" t="str">
        <f>IF($B24="","",IFERROR(INDEX(Services!$E$2:$E$120,MATCH($B24,Services!$D$2:$D$120,0)),""))</f>
        <v/>
      </c>
    </row>
    <row r="25" spans="1:10" x14ac:dyDescent="0.3">
      <c r="A25" s="18"/>
      <c r="B25" s="6"/>
      <c r="C25" s="6"/>
      <c r="D25" s="6"/>
      <c r="E25" s="16" t="str">
        <f>IF($B25="","",IFERROR(INDEX(Services!$C$2:$C$120,MATCH($B25,Services!$D$2:$D$120,0)),""))</f>
        <v/>
      </c>
      <c r="F25" s="19"/>
      <c r="G25" s="9" t="str">
        <f t="shared" si="0"/>
        <v/>
      </c>
      <c r="H25" s="15" t="str">
        <f>IF($B25="","",IFERROR(INDEX(Services!$A$2:$A$120,MATCH($B25,Services!$D$2:$D$120,0)),""))</f>
        <v/>
      </c>
      <c r="I25" s="19"/>
      <c r="J25" s="15" t="str">
        <f>IF($B25="","",IFERROR(INDEX(Services!$E$2:$E$120,MATCH($B25,Services!$D$2:$D$120,0)),""))</f>
        <v/>
      </c>
    </row>
    <row r="26" spans="1:10" x14ac:dyDescent="0.3">
      <c r="A26" s="18"/>
      <c r="B26" s="6"/>
      <c r="C26" s="6"/>
      <c r="D26" s="6"/>
      <c r="E26" s="16" t="str">
        <f>IF($B26="","",IFERROR(INDEX(Services!$C$2:$C$120,MATCH($B26,Services!$D$2:$D$120,0)),""))</f>
        <v/>
      </c>
      <c r="F26" s="19"/>
      <c r="G26" s="9" t="str">
        <f t="shared" si="0"/>
        <v/>
      </c>
      <c r="H26" s="15" t="str">
        <f>IF($B26="","",IFERROR(INDEX(Services!$A$2:$A$120,MATCH($B26,Services!$D$2:$D$120,0)),""))</f>
        <v/>
      </c>
      <c r="I26" s="19"/>
      <c r="J26" s="15" t="str">
        <f>IF($B26="","",IFERROR(INDEX(Services!$E$2:$E$120,MATCH($B26,Services!$D$2:$D$120,0)),""))</f>
        <v/>
      </c>
    </row>
    <row r="27" spans="1:10" x14ac:dyDescent="0.3">
      <c r="A27" s="18"/>
      <c r="B27" s="6"/>
      <c r="C27" s="6"/>
      <c r="D27" s="6"/>
      <c r="E27" s="16" t="str">
        <f>IF($B27="","",IFERROR(INDEX(Services!$C$2:$C$120,MATCH($B27,Services!$D$2:$D$120,0)),""))</f>
        <v/>
      </c>
      <c r="F27" s="19"/>
      <c r="G27" s="9" t="str">
        <f t="shared" si="0"/>
        <v/>
      </c>
      <c r="H27" s="15" t="str">
        <f>IF($B27="","",IFERROR(INDEX(Services!$A$2:$A$120,MATCH($B27,Services!$D$2:$D$120,0)),""))</f>
        <v/>
      </c>
      <c r="I27" s="19"/>
      <c r="J27" s="15" t="str">
        <f>IF($B27="","",IFERROR(INDEX(Services!$E$2:$E$120,MATCH($B27,Services!$D$2:$D$120,0)),""))</f>
        <v/>
      </c>
    </row>
    <row r="28" spans="1:10" x14ac:dyDescent="0.3">
      <c r="A28" s="18"/>
      <c r="B28" s="6"/>
      <c r="C28" s="6"/>
      <c r="D28" s="6"/>
      <c r="E28" s="16" t="str">
        <f>IF($B28="","",IFERROR(INDEX(Services!$C$2:$C$120,MATCH($B28,Services!$D$2:$D$120,0)),""))</f>
        <v/>
      </c>
      <c r="F28" s="19"/>
      <c r="G28" s="9" t="str">
        <f t="shared" si="0"/>
        <v/>
      </c>
      <c r="H28" s="15" t="str">
        <f>IF($B28="","",IFERROR(INDEX(Services!$A$2:$A$120,MATCH($B28,Services!$D$2:$D$120,0)),""))</f>
        <v/>
      </c>
      <c r="I28" s="19"/>
      <c r="J28" s="15" t="str">
        <f>IF($B28="","",IFERROR(INDEX(Services!$E$2:$E$120,MATCH($B28,Services!$D$2:$D$120,0)),""))</f>
        <v/>
      </c>
    </row>
    <row r="29" spans="1:10" x14ac:dyDescent="0.3">
      <c r="A29" s="18"/>
      <c r="B29" s="6"/>
      <c r="C29" s="6"/>
      <c r="D29" s="6"/>
      <c r="E29" s="16" t="str">
        <f>IF($B29="","",IFERROR(INDEX(Services!$C$2:$C$120,MATCH($B29,Services!$D$2:$D$120,0)),""))</f>
        <v/>
      </c>
      <c r="F29" s="19"/>
      <c r="G29" s="9" t="str">
        <f t="shared" si="0"/>
        <v/>
      </c>
      <c r="H29" s="15" t="str">
        <f>IF($B29="","",IFERROR(INDEX(Services!$A$2:$A$120,MATCH($B29,Services!$D$2:$D$120,0)),""))</f>
        <v/>
      </c>
      <c r="I29" s="19"/>
      <c r="J29" s="15" t="str">
        <f>IF($B29="","",IFERROR(INDEX(Services!$E$2:$E$120,MATCH($B29,Services!$D$2:$D$120,0)),""))</f>
        <v/>
      </c>
    </row>
    <row r="30" spans="1:10" x14ac:dyDescent="0.3">
      <c r="A30" s="18"/>
      <c r="B30" s="6"/>
      <c r="C30" s="6"/>
      <c r="D30" s="6"/>
      <c r="E30" s="16" t="str">
        <f>IF($B30="","",IFERROR(INDEX(Services!$C$2:$C$120,MATCH($B30,Services!$D$2:$D$120,0)),""))</f>
        <v/>
      </c>
      <c r="F30" s="19"/>
      <c r="G30" s="9" t="str">
        <f t="shared" si="0"/>
        <v/>
      </c>
      <c r="H30" s="15" t="str">
        <f>IF($B30="","",IFERROR(INDEX(Services!$A$2:$A$120,MATCH($B30,Services!$D$2:$D$120,0)),""))</f>
        <v/>
      </c>
      <c r="I30" s="19"/>
      <c r="J30" s="15" t="str">
        <f>IF($B30="","",IFERROR(INDEX(Services!$E$2:$E$120,MATCH($B30,Services!$D$2:$D$120,0)),""))</f>
        <v/>
      </c>
    </row>
    <row r="31" spans="1:10" x14ac:dyDescent="0.3">
      <c r="A31" s="18"/>
      <c r="B31" s="6"/>
      <c r="C31" s="6"/>
      <c r="D31" s="6"/>
      <c r="E31" s="16" t="str">
        <f>IF($B31="","",IFERROR(INDEX(Services!$C$2:$C$120,MATCH($B31,Services!$D$2:$D$120,0)),""))</f>
        <v/>
      </c>
      <c r="F31" s="19"/>
      <c r="G31" s="9" t="str">
        <f t="shared" si="0"/>
        <v/>
      </c>
      <c r="H31" s="15" t="str">
        <f>IF($B31="","",IFERROR(INDEX(Services!$A$2:$A$120,MATCH($B31,Services!$D$2:$D$120,0)),""))</f>
        <v/>
      </c>
      <c r="I31" s="19"/>
      <c r="J31" s="15" t="str">
        <f>IF($B31="","",IFERROR(INDEX(Services!$E$2:$E$120,MATCH($B31,Services!$D$2:$D$120,0)),""))</f>
        <v/>
      </c>
    </row>
    <row r="32" spans="1:10" x14ac:dyDescent="0.3">
      <c r="A32" s="18"/>
      <c r="B32" s="6"/>
      <c r="C32" s="6"/>
      <c r="D32" s="6"/>
      <c r="E32" s="16" t="str">
        <f>IF($B32="","",IFERROR(INDEX(Services!$C$2:$C$120,MATCH($B32,Services!$D$2:$D$120,0)),""))</f>
        <v/>
      </c>
      <c r="F32" s="19"/>
      <c r="G32" s="9" t="str">
        <f t="shared" si="0"/>
        <v/>
      </c>
      <c r="H32" s="15" t="str">
        <f>IF($B32="","",IFERROR(INDEX(Services!$A$2:$A$120,MATCH($B32,Services!$D$2:$D$120,0)),""))</f>
        <v/>
      </c>
      <c r="I32" s="19"/>
      <c r="J32" s="15" t="str">
        <f>IF($B32="","",IFERROR(INDEX(Services!$E$2:$E$120,MATCH($B32,Services!$D$2:$D$120,0)),""))</f>
        <v/>
      </c>
    </row>
    <row r="33" spans="1:10" x14ac:dyDescent="0.3">
      <c r="A33" s="18"/>
      <c r="B33" s="6"/>
      <c r="C33" s="6"/>
      <c r="D33" s="6"/>
      <c r="E33" s="16" t="str">
        <f>IF($B33="","",IFERROR(INDEX(Services!$C$2:$C$120,MATCH($B33,Services!$D$2:$D$120,0)),""))</f>
        <v/>
      </c>
      <c r="F33" s="19"/>
      <c r="G33" s="9" t="str">
        <f t="shared" si="0"/>
        <v/>
      </c>
      <c r="H33" s="15" t="str">
        <f>IF($B33="","",IFERROR(INDEX(Services!$A$2:$A$120,MATCH($B33,Services!$D$2:$D$120,0)),""))</f>
        <v/>
      </c>
      <c r="I33" s="19"/>
      <c r="J33" s="15" t="str">
        <f>IF($B33="","",IFERROR(INDEX(Services!$E$2:$E$120,MATCH($B33,Services!$D$2:$D$120,0)),""))</f>
        <v/>
      </c>
    </row>
    <row r="34" spans="1:10" x14ac:dyDescent="0.3">
      <c r="A34" s="18"/>
      <c r="B34" s="6"/>
      <c r="C34" s="6"/>
      <c r="D34" s="6"/>
      <c r="E34" s="16" t="str">
        <f>IF($B34="","",IFERROR(INDEX(Services!$C$2:$C$120,MATCH($B34,Services!$D$2:$D$120,0)),""))</f>
        <v/>
      </c>
      <c r="F34" s="19"/>
      <c r="G34" s="9" t="str">
        <f t="shared" si="0"/>
        <v/>
      </c>
      <c r="H34" s="15" t="str">
        <f>IF($B34="","",IFERROR(INDEX(Services!$A$2:$A$120,MATCH($B34,Services!$D$2:$D$120,0)),""))</f>
        <v/>
      </c>
      <c r="I34" s="19"/>
      <c r="J34" s="15" t="str">
        <f>IF($B34="","",IFERROR(INDEX(Services!$E$2:$E$120,MATCH($B34,Services!$D$2:$D$120,0)),""))</f>
        <v/>
      </c>
    </row>
    <row r="35" spans="1:10" x14ac:dyDescent="0.3">
      <c r="A35" s="18"/>
      <c r="B35" s="6"/>
      <c r="C35" s="6"/>
      <c r="D35" s="6"/>
      <c r="E35" s="16" t="str">
        <f>IF($B35="","",IFERROR(INDEX(Services!$C$2:$C$120,MATCH($B35,Services!$D$2:$D$120,0)),""))</f>
        <v/>
      </c>
      <c r="F35" s="19"/>
      <c r="G35" s="9" t="str">
        <f t="shared" si="0"/>
        <v/>
      </c>
      <c r="H35" s="15" t="str">
        <f>IF($B35="","",IFERROR(INDEX(Services!$A$2:$A$120,MATCH($B35,Services!$D$2:$D$120,0)),""))</f>
        <v/>
      </c>
      <c r="I35" s="19"/>
      <c r="J35" s="15" t="str">
        <f>IF($B35="","",IFERROR(INDEX(Services!$E$2:$E$120,MATCH($B35,Services!$D$2:$D$120,0)),""))</f>
        <v/>
      </c>
    </row>
    <row r="36" spans="1:10" x14ac:dyDescent="0.3">
      <c r="A36" s="18"/>
      <c r="B36" s="6"/>
      <c r="C36" s="6"/>
      <c r="D36" s="6"/>
      <c r="E36" s="16" t="str">
        <f>IF($B36="","",IFERROR(INDEX(Services!$C$2:$C$120,MATCH($B36,Services!$D$2:$D$120,0)),""))</f>
        <v/>
      </c>
      <c r="F36" s="19"/>
      <c r="G36" s="9" t="str">
        <f t="shared" si="0"/>
        <v/>
      </c>
      <c r="H36" s="15" t="str">
        <f>IF($B36="","",IFERROR(INDEX(Services!$A$2:$A$120,MATCH($B36,Services!$D$2:$D$120,0)),""))</f>
        <v/>
      </c>
      <c r="I36" s="19"/>
      <c r="J36" s="15" t="str">
        <f>IF($B36="","",IFERROR(INDEX(Services!$E$2:$E$120,MATCH($B36,Services!$D$2:$D$120,0)),""))</f>
        <v/>
      </c>
    </row>
    <row r="37" spans="1:10" x14ac:dyDescent="0.3">
      <c r="A37" s="18"/>
      <c r="B37" s="6"/>
      <c r="C37" s="6"/>
      <c r="D37" s="6"/>
      <c r="E37" s="16" t="str">
        <f>IF($B37="","",IFERROR(INDEX(Services!$C$2:$C$120,MATCH($B37,Services!$D$2:$D$120,0)),""))</f>
        <v/>
      </c>
      <c r="F37" s="19"/>
      <c r="G37" s="9" t="str">
        <f t="shared" si="0"/>
        <v/>
      </c>
      <c r="H37" s="15" t="str">
        <f>IF($B37="","",IFERROR(INDEX(Services!$A$2:$A$120,MATCH($B37,Services!$D$2:$D$120,0)),""))</f>
        <v/>
      </c>
      <c r="I37" s="19"/>
      <c r="J37" s="15" t="str">
        <f>IF($B37="","",IFERROR(INDEX(Services!$E$2:$E$120,MATCH($B37,Services!$D$2:$D$120,0)),""))</f>
        <v/>
      </c>
    </row>
    <row r="38" spans="1:10" x14ac:dyDescent="0.3">
      <c r="A38" s="18"/>
      <c r="B38" s="6"/>
      <c r="C38" s="6"/>
      <c r="D38" s="6"/>
      <c r="E38" s="16" t="str">
        <f>IF($B38="","",IFERROR(INDEX(Services!$C$2:$C$120,MATCH($B38,Services!$D$2:$D$120,0)),""))</f>
        <v/>
      </c>
      <c r="F38" s="19"/>
      <c r="G38" s="9" t="str">
        <f t="shared" si="0"/>
        <v/>
      </c>
      <c r="H38" s="15" t="str">
        <f>IF($B38="","",IFERROR(INDEX(Services!$A$2:$A$120,MATCH($B38,Services!$D$2:$D$120,0)),""))</f>
        <v/>
      </c>
      <c r="I38" s="19"/>
      <c r="J38" s="15" t="str">
        <f>IF($B38="","",IFERROR(INDEX(Services!$E$2:$E$120,MATCH($B38,Services!$D$2:$D$120,0)),""))</f>
        <v/>
      </c>
    </row>
    <row r="39" spans="1:10" x14ac:dyDescent="0.3">
      <c r="A39" s="18"/>
      <c r="B39" s="6"/>
      <c r="C39" s="6"/>
      <c r="D39" s="6"/>
      <c r="E39" s="16" t="str">
        <f>IF($B39="","",IFERROR(INDEX(Services!$C$2:$C$120,MATCH($B39,Services!$D$2:$D$120,0)),""))</f>
        <v/>
      </c>
      <c r="F39" s="19"/>
      <c r="G39" s="9" t="str">
        <f t="shared" si="0"/>
        <v/>
      </c>
      <c r="H39" s="15" t="str">
        <f>IF($B39="","",IFERROR(INDEX(Services!$A$2:$A$120,MATCH($B39,Services!$D$2:$D$120,0)),""))</f>
        <v/>
      </c>
      <c r="I39" s="19"/>
      <c r="J39" s="15" t="str">
        <f>IF($B39="","",IFERROR(INDEX(Services!$E$2:$E$120,MATCH($B39,Services!$D$2:$D$120,0)),""))</f>
        <v/>
      </c>
    </row>
    <row r="40" spans="1:10" x14ac:dyDescent="0.3">
      <c r="A40" s="18"/>
      <c r="B40" s="6"/>
      <c r="C40" s="6"/>
      <c r="D40" s="6"/>
      <c r="E40" s="16" t="str">
        <f>IF($B40="","",IFERROR(INDEX(Services!$C$2:$C$120,MATCH($B40,Services!$D$2:$D$120,0)),""))</f>
        <v/>
      </c>
      <c r="F40" s="19"/>
      <c r="G40" s="9" t="str">
        <f t="shared" si="0"/>
        <v/>
      </c>
      <c r="H40" s="15" t="str">
        <f>IF($B40="","",IFERROR(INDEX(Services!$A$2:$A$120,MATCH($B40,Services!$D$2:$D$120,0)),""))</f>
        <v/>
      </c>
      <c r="I40" s="19"/>
      <c r="J40" s="15" t="str">
        <f>IF($B40="","",IFERROR(INDEX(Services!$E$2:$E$120,MATCH($B40,Services!$D$2:$D$120,0)),""))</f>
        <v/>
      </c>
    </row>
    <row r="41" spans="1:10" x14ac:dyDescent="0.3">
      <c r="A41" s="18"/>
      <c r="B41" s="6"/>
      <c r="C41" s="6"/>
      <c r="D41" s="6"/>
      <c r="E41" s="16" t="str">
        <f>IF($B41="","",IFERROR(INDEX(Services!$C$2:$C$120,MATCH($B41,Services!$D$2:$D$120,0)),""))</f>
        <v/>
      </c>
      <c r="F41" s="19"/>
      <c r="G41" s="9" t="str">
        <f t="shared" si="0"/>
        <v/>
      </c>
      <c r="H41" s="15" t="str">
        <f>IF($B41="","",IFERROR(INDEX(Services!$A$2:$A$120,MATCH($B41,Services!$D$2:$D$120,0)),""))</f>
        <v/>
      </c>
      <c r="I41" s="19"/>
      <c r="J41" s="15" t="str">
        <f>IF($B41="","",IFERROR(INDEX(Services!$E$2:$E$120,MATCH($B41,Services!$D$2:$D$120,0)),""))</f>
        <v/>
      </c>
    </row>
    <row r="42" spans="1:10" x14ac:dyDescent="0.3">
      <c r="A42" s="18"/>
      <c r="B42" s="6"/>
      <c r="C42" s="6"/>
      <c r="D42" s="6"/>
      <c r="E42" s="16" t="str">
        <f>IF($B42="","",IFERROR(INDEX(Services!$C$2:$C$120,MATCH($B42,Services!$D$2:$D$120,0)),""))</f>
        <v/>
      </c>
      <c r="F42" s="19"/>
      <c r="G42" s="9" t="str">
        <f t="shared" si="0"/>
        <v/>
      </c>
      <c r="H42" s="15" t="str">
        <f>IF($B42="","",IFERROR(INDEX(Services!$A$2:$A$120,MATCH($B42,Services!$D$2:$D$120,0)),""))</f>
        <v/>
      </c>
      <c r="I42" s="19"/>
      <c r="J42" s="15" t="str">
        <f>IF($B42="","",IFERROR(INDEX(Services!$E$2:$E$120,MATCH($B42,Services!$D$2:$D$120,0)),""))</f>
        <v/>
      </c>
    </row>
    <row r="43" spans="1:10" x14ac:dyDescent="0.3">
      <c r="A43" s="18"/>
      <c r="B43" s="6"/>
      <c r="C43" s="6"/>
      <c r="D43" s="6"/>
      <c r="E43" s="16" t="str">
        <f>IF($B43="","",IFERROR(INDEX(Services!$C$2:$C$120,MATCH($B43,Services!$D$2:$D$120,0)),""))</f>
        <v/>
      </c>
      <c r="F43" s="19"/>
      <c r="G43" s="9" t="str">
        <f t="shared" si="0"/>
        <v/>
      </c>
      <c r="H43" s="15" t="str">
        <f>IF($B43="","",IFERROR(INDEX(Services!$A$2:$A$120,MATCH($B43,Services!$D$2:$D$120,0)),""))</f>
        <v/>
      </c>
      <c r="I43" s="19"/>
      <c r="J43" s="15" t="str">
        <f>IF($B43="","",IFERROR(INDEX(Services!$E$2:$E$120,MATCH($B43,Services!$D$2:$D$120,0)),""))</f>
        <v/>
      </c>
    </row>
    <row r="44" spans="1:10" x14ac:dyDescent="0.3">
      <c r="A44" s="18"/>
      <c r="B44" s="6"/>
      <c r="C44" s="6"/>
      <c r="D44" s="6"/>
      <c r="E44" s="16" t="str">
        <f>IF($B44="","",IFERROR(INDEX(Services!$C$2:$C$120,MATCH($B44,Services!$D$2:$D$120,0)),""))</f>
        <v/>
      </c>
      <c r="F44" s="19"/>
      <c r="G44" s="9" t="str">
        <f t="shared" si="0"/>
        <v/>
      </c>
      <c r="H44" s="15" t="str">
        <f>IF($B44="","",IFERROR(INDEX(Services!$A$2:$A$120,MATCH($B44,Services!$D$2:$D$120,0)),""))</f>
        <v/>
      </c>
      <c r="I44" s="19"/>
      <c r="J44" s="15" t="str">
        <f>IF($B44="","",IFERROR(INDEX(Services!$E$2:$E$120,MATCH($B44,Services!$D$2:$D$120,0)),""))</f>
        <v/>
      </c>
    </row>
    <row r="45" spans="1:10" x14ac:dyDescent="0.3">
      <c r="A45" s="18"/>
      <c r="B45" s="6"/>
      <c r="C45" s="6"/>
      <c r="D45" s="6"/>
      <c r="E45" s="16" t="str">
        <f>IF($B45="","",IFERROR(INDEX(Services!$C$2:$C$120,MATCH($B45,Services!$D$2:$D$120,0)),""))</f>
        <v/>
      </c>
      <c r="F45" s="19"/>
      <c r="G45" s="9" t="str">
        <f t="shared" si="0"/>
        <v/>
      </c>
      <c r="H45" s="15" t="str">
        <f>IF($B45="","",IFERROR(INDEX(Services!$A$2:$A$120,MATCH($B45,Services!$D$2:$D$120,0)),""))</f>
        <v/>
      </c>
      <c r="I45" s="19"/>
      <c r="J45" s="15" t="str">
        <f>IF($B45="","",IFERROR(INDEX(Services!$E$2:$E$120,MATCH($B45,Services!$D$2:$D$120,0)),""))</f>
        <v/>
      </c>
    </row>
    <row r="46" spans="1:10" x14ac:dyDescent="0.3">
      <c r="A46" s="18"/>
      <c r="B46" s="6"/>
      <c r="C46" s="6"/>
      <c r="D46" s="6"/>
      <c r="E46" s="16" t="str">
        <f>IF($B46="","",IFERROR(INDEX(Services!$C$2:$C$120,MATCH($B46,Services!$D$2:$D$120,0)),""))</f>
        <v/>
      </c>
      <c r="F46" s="19"/>
      <c r="G46" s="9" t="str">
        <f t="shared" si="0"/>
        <v/>
      </c>
      <c r="H46" s="15" t="str">
        <f>IF($B46="","",IFERROR(INDEX(Services!$A$2:$A$120,MATCH($B46,Services!$D$2:$D$120,0)),""))</f>
        <v/>
      </c>
      <c r="I46" s="19"/>
      <c r="J46" s="15" t="str">
        <f>IF($B46="","",IFERROR(INDEX(Services!$E$2:$E$120,MATCH($B46,Services!$D$2:$D$120,0)),""))</f>
        <v/>
      </c>
    </row>
    <row r="47" spans="1:10" x14ac:dyDescent="0.3">
      <c r="A47" s="18"/>
      <c r="B47" s="6"/>
      <c r="C47" s="6"/>
      <c r="D47" s="6"/>
      <c r="E47" s="16" t="str">
        <f>IF($B47="","",IFERROR(INDEX(Services!$C$2:$C$120,MATCH($B47,Services!$D$2:$D$120,0)),""))</f>
        <v/>
      </c>
      <c r="F47" s="19"/>
      <c r="G47" s="9" t="str">
        <f t="shared" si="0"/>
        <v/>
      </c>
      <c r="H47" s="15" t="str">
        <f>IF($B47="","",IFERROR(INDEX(Services!$A$2:$A$120,MATCH($B47,Services!$D$2:$D$120,0)),""))</f>
        <v/>
      </c>
      <c r="I47" s="19"/>
      <c r="J47" s="15" t="str">
        <f>IF($B47="","",IFERROR(INDEX(Services!$E$2:$E$120,MATCH($B47,Services!$D$2:$D$120,0)),""))</f>
        <v/>
      </c>
    </row>
    <row r="48" spans="1:10" x14ac:dyDescent="0.3">
      <c r="A48" s="18"/>
      <c r="B48" s="6"/>
      <c r="C48" s="6"/>
      <c r="D48" s="6"/>
      <c r="E48" s="16" t="str">
        <f>IF($B48="","",IFERROR(INDEX(Services!$C$2:$C$120,MATCH($B48,Services!$D$2:$D$120,0)),""))</f>
        <v/>
      </c>
      <c r="F48" s="19"/>
      <c r="G48" s="9" t="str">
        <f t="shared" si="0"/>
        <v/>
      </c>
      <c r="H48" s="15" t="str">
        <f>IF($B48="","",IFERROR(INDEX(Services!$A$2:$A$120,MATCH($B48,Services!$D$2:$D$120,0)),""))</f>
        <v/>
      </c>
      <c r="I48" s="19"/>
      <c r="J48" s="15" t="str">
        <f>IF($B48="","",IFERROR(INDEX(Services!$E$2:$E$120,MATCH($B48,Services!$D$2:$D$120,0)),""))</f>
        <v/>
      </c>
    </row>
    <row r="49" spans="1:10" x14ac:dyDescent="0.3">
      <c r="A49" s="18"/>
      <c r="B49" s="6"/>
      <c r="C49" s="6"/>
      <c r="D49" s="6"/>
      <c r="E49" s="16" t="str">
        <f>IF($B49="","",IFERROR(INDEX(Services!$C$2:$C$120,MATCH($B49,Services!$D$2:$D$120,0)),""))</f>
        <v/>
      </c>
      <c r="F49" s="19"/>
      <c r="G49" s="9" t="str">
        <f t="shared" si="0"/>
        <v/>
      </c>
      <c r="H49" s="15" t="str">
        <f>IF($B49="","",IFERROR(INDEX(Services!$A$2:$A$120,MATCH($B49,Services!$D$2:$D$120,0)),""))</f>
        <v/>
      </c>
      <c r="I49" s="19"/>
      <c r="J49" s="15" t="str">
        <f>IF($B49="","",IFERROR(INDEX(Services!$E$2:$E$120,MATCH($B49,Services!$D$2:$D$120,0)),""))</f>
        <v/>
      </c>
    </row>
    <row r="50" spans="1:10" x14ac:dyDescent="0.3">
      <c r="A50" s="18"/>
      <c r="B50" s="6"/>
      <c r="C50" s="6"/>
      <c r="D50" s="6"/>
      <c r="E50" s="16" t="str">
        <f>IF($B50="","",IFERROR(INDEX(Services!$C$2:$C$120,MATCH($B50,Services!$D$2:$D$120,0)),""))</f>
        <v/>
      </c>
      <c r="F50" s="19"/>
      <c r="G50" s="9" t="str">
        <f t="shared" si="0"/>
        <v/>
      </c>
      <c r="H50" s="15" t="str">
        <f>IF($B50="","",IFERROR(INDEX(Services!$A$2:$A$120,MATCH($B50,Services!$D$2:$D$120,0)),""))</f>
        <v/>
      </c>
      <c r="I50" s="19"/>
      <c r="J50" s="15" t="str">
        <f>IF($B50="","",IFERROR(INDEX(Services!$E$2:$E$120,MATCH($B50,Services!$D$2:$D$120,0)),""))</f>
        <v/>
      </c>
    </row>
    <row r="51" spans="1:10" x14ac:dyDescent="0.3">
      <c r="A51" s="18"/>
      <c r="B51" s="6"/>
      <c r="C51" s="6"/>
      <c r="D51" s="6"/>
      <c r="E51" s="16" t="str">
        <f>IF($B51="","",IFERROR(INDEX(Services!$C$2:$C$120,MATCH($B51,Services!$D$2:$D$120,0)),""))</f>
        <v/>
      </c>
      <c r="F51" s="19"/>
      <c r="G51" s="9" t="str">
        <f t="shared" si="0"/>
        <v/>
      </c>
      <c r="H51" s="15" t="str">
        <f>IF($B51="","",IFERROR(INDEX(Services!$A$2:$A$120,MATCH($B51,Services!$D$2:$D$120,0)),""))</f>
        <v/>
      </c>
      <c r="I51" s="19"/>
      <c r="J51" s="15" t="str">
        <f>IF($B51="","",IFERROR(INDEX(Services!$E$2:$E$120,MATCH($B51,Services!$D$2:$D$120,0)),""))</f>
        <v/>
      </c>
    </row>
    <row r="52" spans="1:10" x14ac:dyDescent="0.3">
      <c r="A52" s="18"/>
      <c r="B52" s="6"/>
      <c r="C52" s="6"/>
      <c r="D52" s="6"/>
      <c r="E52" s="16" t="str">
        <f>IF($B52="","",IFERROR(INDEX(Services!$C$2:$C$120,MATCH($B52,Services!$D$2:$D$120,0)),""))</f>
        <v/>
      </c>
      <c r="F52" s="19"/>
      <c r="G52" s="9" t="str">
        <f t="shared" si="0"/>
        <v/>
      </c>
      <c r="H52" s="15" t="str">
        <f>IF($B52="","",IFERROR(INDEX(Services!$A$2:$A$120,MATCH($B52,Services!$D$2:$D$120,0)),""))</f>
        <v/>
      </c>
      <c r="I52" s="19"/>
      <c r="J52" s="15" t="str">
        <f>IF($B52="","",IFERROR(INDEX(Services!$E$2:$E$120,MATCH($B52,Services!$D$2:$D$120,0)),""))</f>
        <v/>
      </c>
    </row>
    <row r="53" spans="1:10" x14ac:dyDescent="0.3">
      <c r="A53" s="18"/>
      <c r="B53" s="6"/>
      <c r="C53" s="6"/>
      <c r="D53" s="6"/>
      <c r="E53" s="16" t="str">
        <f>IF($B53="","",IFERROR(INDEX(Services!$C$2:$C$120,MATCH($B53,Services!$D$2:$D$120,0)),""))</f>
        <v/>
      </c>
      <c r="F53" s="19"/>
      <c r="G53" s="9" t="str">
        <f t="shared" si="0"/>
        <v/>
      </c>
      <c r="H53" s="15" t="str">
        <f>IF($B53="","",IFERROR(INDEX(Services!$A$2:$A$120,MATCH($B53,Services!$D$2:$D$120,0)),""))</f>
        <v/>
      </c>
      <c r="I53" s="19"/>
      <c r="J53" s="15" t="str">
        <f>IF($B53="","",IFERROR(INDEX(Services!$E$2:$E$120,MATCH($B53,Services!$D$2:$D$120,0)),""))</f>
        <v/>
      </c>
    </row>
    <row r="54" spans="1:10" x14ac:dyDescent="0.3">
      <c r="A54" s="18"/>
      <c r="B54" s="6"/>
      <c r="C54" s="6"/>
      <c r="D54" s="6"/>
      <c r="E54" s="16" t="str">
        <f>IF($B54="","",IFERROR(INDEX(Services!$C$2:$C$120,MATCH($B54,Services!$D$2:$D$120,0)),""))</f>
        <v/>
      </c>
      <c r="F54" s="19"/>
      <c r="G54" s="9" t="str">
        <f t="shared" si="0"/>
        <v/>
      </c>
      <c r="H54" s="15" t="str">
        <f>IF($B54="","",IFERROR(INDEX(Services!$A$2:$A$120,MATCH($B54,Services!$D$2:$D$120,0)),""))</f>
        <v/>
      </c>
      <c r="I54" s="19"/>
      <c r="J54" s="15" t="str">
        <f>IF($B54="","",IFERROR(INDEX(Services!$E$2:$E$120,MATCH($B54,Services!$D$2:$D$120,0)),""))</f>
        <v/>
      </c>
    </row>
    <row r="55" spans="1:10" x14ac:dyDescent="0.3">
      <c r="A55" s="18"/>
      <c r="B55" s="6"/>
      <c r="C55" s="6"/>
      <c r="D55" s="6"/>
      <c r="E55" s="16" t="str">
        <f>IF($B55="","",IFERROR(INDEX(Services!$C$2:$C$120,MATCH($B55,Services!$D$2:$D$120,0)),""))</f>
        <v/>
      </c>
      <c r="F55" s="19"/>
      <c r="G55" s="9" t="str">
        <f t="shared" si="0"/>
        <v/>
      </c>
      <c r="H55" s="15" t="str">
        <f>IF($B55="","",IFERROR(INDEX(Services!$A$2:$A$120,MATCH($B55,Services!$D$2:$D$120,0)),""))</f>
        <v/>
      </c>
      <c r="I55" s="19"/>
      <c r="J55" s="15" t="str">
        <f>IF($B55="","",IFERROR(INDEX(Services!$E$2:$E$120,MATCH($B55,Services!$D$2:$D$120,0)),""))</f>
        <v/>
      </c>
    </row>
    <row r="56" spans="1:10" x14ac:dyDescent="0.3">
      <c r="A56" s="18"/>
      <c r="B56" s="6"/>
      <c r="C56" s="6"/>
      <c r="D56" s="6"/>
      <c r="E56" s="16" t="str">
        <f>IF($B56="","",IFERROR(INDEX(Services!$C$2:$C$120,MATCH($B56,Services!$D$2:$D$120,0)),""))</f>
        <v/>
      </c>
      <c r="F56" s="19"/>
      <c r="G56" s="9" t="str">
        <f t="shared" si="0"/>
        <v/>
      </c>
      <c r="H56" s="15" t="str">
        <f>IF($B56="","",IFERROR(INDEX(Services!$A$2:$A$120,MATCH($B56,Services!$D$2:$D$120,0)),""))</f>
        <v/>
      </c>
      <c r="I56" s="19"/>
      <c r="J56" s="15" t="str">
        <f>IF($B56="","",IFERROR(INDEX(Services!$E$2:$E$120,MATCH($B56,Services!$D$2:$D$120,0)),""))</f>
        <v/>
      </c>
    </row>
    <row r="57" spans="1:10" x14ac:dyDescent="0.3">
      <c r="A57" s="18"/>
      <c r="B57" s="6"/>
      <c r="C57" s="6"/>
      <c r="D57" s="6"/>
      <c r="E57" s="16" t="str">
        <f>IF($B57="","",IFERROR(INDEX(Services!$C$2:$C$120,MATCH($B57,Services!$D$2:$D$120,0)),""))</f>
        <v/>
      </c>
      <c r="F57" s="19"/>
      <c r="G57" s="9" t="str">
        <f t="shared" si="0"/>
        <v/>
      </c>
      <c r="H57" s="15" t="str">
        <f>IF($B57="","",IFERROR(INDEX(Services!$A$2:$A$120,MATCH($B57,Services!$D$2:$D$120,0)),""))</f>
        <v/>
      </c>
      <c r="I57" s="19"/>
      <c r="J57" s="15" t="str">
        <f>IF($B57="","",IFERROR(INDEX(Services!$E$2:$E$120,MATCH($B57,Services!$D$2:$D$120,0)),""))</f>
        <v/>
      </c>
    </row>
    <row r="58" spans="1:10" x14ac:dyDescent="0.3">
      <c r="A58" s="18"/>
      <c r="B58" s="6"/>
      <c r="C58" s="6"/>
      <c r="D58" s="6"/>
      <c r="E58" s="16" t="str">
        <f>IF($B58="","",IFERROR(INDEX(Services!$C$2:$C$120,MATCH($B58,Services!$D$2:$D$120,0)),""))</f>
        <v/>
      </c>
      <c r="F58" s="19"/>
      <c r="G58" s="9" t="str">
        <f t="shared" si="0"/>
        <v/>
      </c>
      <c r="H58" s="15" t="str">
        <f>IF($B58="","",IFERROR(INDEX(Services!$A$2:$A$120,MATCH($B58,Services!$D$2:$D$120,0)),""))</f>
        <v/>
      </c>
      <c r="I58" s="19"/>
      <c r="J58" s="15" t="str">
        <f>IF($B58="","",IFERROR(INDEX(Services!$E$2:$E$120,MATCH($B58,Services!$D$2:$D$120,0)),""))</f>
        <v/>
      </c>
    </row>
    <row r="59" spans="1:10" x14ac:dyDescent="0.3">
      <c r="A59" s="18"/>
      <c r="B59" s="6"/>
      <c r="C59" s="6"/>
      <c r="D59" s="6"/>
      <c r="E59" s="16" t="str">
        <f>IF($B59="","",IFERROR(INDEX(Services!$C$2:$C$120,MATCH($B59,Services!$D$2:$D$120,0)),""))</f>
        <v/>
      </c>
      <c r="F59" s="19"/>
      <c r="G59" s="9" t="str">
        <f t="shared" si="0"/>
        <v/>
      </c>
      <c r="H59" s="15" t="str">
        <f>IF($B59="","",IFERROR(INDEX(Services!$A$2:$A$120,MATCH($B59,Services!$D$2:$D$120,0)),""))</f>
        <v/>
      </c>
      <c r="I59" s="19"/>
      <c r="J59" s="15" t="str">
        <f>IF($B59="","",IFERROR(INDEX(Services!$E$2:$E$120,MATCH($B59,Services!$D$2:$D$120,0)),""))</f>
        <v/>
      </c>
    </row>
    <row r="60" spans="1:10" x14ac:dyDescent="0.3">
      <c r="A60" s="18"/>
      <c r="B60" s="6"/>
      <c r="C60" s="6"/>
      <c r="D60" s="6"/>
      <c r="E60" s="16" t="str">
        <f>IF($B60="","",IFERROR(INDEX(Services!$C$2:$C$120,MATCH($B60,Services!$D$2:$D$120,0)),""))</f>
        <v/>
      </c>
      <c r="F60" s="19"/>
      <c r="G60" s="9" t="str">
        <f t="shared" si="0"/>
        <v/>
      </c>
      <c r="H60" s="15" t="str">
        <f>IF($B60="","",IFERROR(INDEX(Services!$A$2:$A$120,MATCH($B60,Services!$D$2:$D$120,0)),""))</f>
        <v/>
      </c>
      <c r="I60" s="19"/>
      <c r="J60" s="15" t="str">
        <f>IF($B60="","",IFERROR(INDEX(Services!$E$2:$E$120,MATCH($B60,Services!$D$2:$D$120,0)),""))</f>
        <v/>
      </c>
    </row>
    <row r="61" spans="1:10" x14ac:dyDescent="0.3">
      <c r="A61" s="18"/>
      <c r="B61" s="6"/>
      <c r="C61" s="6"/>
      <c r="D61" s="6"/>
      <c r="E61" s="16" t="str">
        <f>IF($B61="","",IFERROR(INDEX(Services!$C$2:$C$120,MATCH($B61,Services!$D$2:$D$120,0)),""))</f>
        <v/>
      </c>
      <c r="F61" s="19"/>
      <c r="G61" s="9" t="str">
        <f t="shared" si="0"/>
        <v/>
      </c>
      <c r="H61" s="15" t="str">
        <f>IF($B61="","",IFERROR(INDEX(Services!$A$2:$A$120,MATCH($B61,Services!$D$2:$D$120,0)),""))</f>
        <v/>
      </c>
      <c r="I61" s="19"/>
      <c r="J61" s="15" t="str">
        <f>IF($B61="","",IFERROR(INDEX(Services!$E$2:$E$120,MATCH($B61,Services!$D$2:$D$120,0)),""))</f>
        <v/>
      </c>
    </row>
    <row r="62" spans="1:10" x14ac:dyDescent="0.3">
      <c r="A62" s="18"/>
      <c r="B62" s="6"/>
      <c r="C62" s="6"/>
      <c r="D62" s="6"/>
      <c r="E62" s="16" t="str">
        <f>IF($B62="","",IFERROR(INDEX(Services!$C$2:$C$120,MATCH($B62,Services!$D$2:$D$120,0)),""))</f>
        <v/>
      </c>
      <c r="F62" s="19"/>
      <c r="G62" s="9" t="str">
        <f t="shared" si="0"/>
        <v/>
      </c>
      <c r="H62" s="15" t="str">
        <f>IF($B62="","",IFERROR(INDEX(Services!$A$2:$A$120,MATCH($B62,Services!$D$2:$D$120,0)),""))</f>
        <v/>
      </c>
      <c r="I62" s="19"/>
      <c r="J62" s="15" t="str">
        <f>IF($B62="","",IFERROR(INDEX(Services!$E$2:$E$120,MATCH($B62,Services!$D$2:$D$120,0)),""))</f>
        <v/>
      </c>
    </row>
    <row r="63" spans="1:10" x14ac:dyDescent="0.3">
      <c r="A63" s="18"/>
      <c r="B63" s="6"/>
      <c r="C63" s="6"/>
      <c r="D63" s="6"/>
      <c r="E63" s="16" t="str">
        <f>IF($B63="","",IFERROR(INDEX(Services!$C$2:$C$120,MATCH($B63,Services!$D$2:$D$120,0)),""))</f>
        <v/>
      </c>
      <c r="F63" s="19"/>
      <c r="G63" s="9" t="str">
        <f t="shared" si="0"/>
        <v/>
      </c>
      <c r="H63" s="15" t="str">
        <f>IF($B63="","",IFERROR(INDEX(Services!$A$2:$A$120,MATCH($B63,Services!$D$2:$D$120,0)),""))</f>
        <v/>
      </c>
      <c r="I63" s="19"/>
      <c r="J63" s="15" t="str">
        <f>IF($B63="","",IFERROR(INDEX(Services!$E$2:$E$120,MATCH($B63,Services!$D$2:$D$120,0)),""))</f>
        <v/>
      </c>
    </row>
    <row r="64" spans="1:10" x14ac:dyDescent="0.3">
      <c r="A64" s="18"/>
      <c r="B64" s="6"/>
      <c r="C64" s="6"/>
      <c r="D64" s="6"/>
      <c r="E64" s="16" t="str">
        <f>IF($B64="","",IFERROR(INDEX(Services!$C$2:$C$120,MATCH($B64,Services!$D$2:$D$120,0)),""))</f>
        <v/>
      </c>
      <c r="F64" s="19"/>
      <c r="G64" s="9" t="str">
        <f t="shared" si="0"/>
        <v/>
      </c>
      <c r="H64" s="15" t="str">
        <f>IF($B64="","",IFERROR(INDEX(Services!$A$2:$A$120,MATCH($B64,Services!$D$2:$D$120,0)),""))</f>
        <v/>
      </c>
      <c r="I64" s="19"/>
      <c r="J64" s="15" t="str">
        <f>IF($B64="","",IFERROR(INDEX(Services!$E$2:$E$120,MATCH($B64,Services!$D$2:$D$120,0)),""))</f>
        <v/>
      </c>
    </row>
    <row r="65" spans="1:10" x14ac:dyDescent="0.3">
      <c r="A65" s="18"/>
      <c r="B65" s="6"/>
      <c r="C65" s="6"/>
      <c r="D65" s="6"/>
      <c r="E65" s="16" t="str">
        <f>IF($B65="","",IFERROR(INDEX(Services!$C$2:$C$120,MATCH($B65,Services!$D$2:$D$120,0)),""))</f>
        <v/>
      </c>
      <c r="F65" s="19"/>
      <c r="G65" s="9" t="str">
        <f t="shared" si="0"/>
        <v/>
      </c>
      <c r="H65" s="15" t="str">
        <f>IF($B65="","",IFERROR(INDEX(Services!$A$2:$A$120,MATCH($B65,Services!$D$2:$D$120,0)),""))</f>
        <v/>
      </c>
      <c r="I65" s="19"/>
      <c r="J65" s="15" t="str">
        <f>IF($B65="","",IFERROR(INDEX(Services!$E$2:$E$120,MATCH($B65,Services!$D$2:$D$120,0)),""))</f>
        <v/>
      </c>
    </row>
    <row r="66" spans="1:10" x14ac:dyDescent="0.3">
      <c r="A66" s="18"/>
      <c r="B66" s="6"/>
      <c r="C66" s="6"/>
      <c r="D66" s="6"/>
      <c r="E66" s="16" t="str">
        <f>IF($B66="","",IFERROR(INDEX(Services!$C$2:$C$120,MATCH($B66,Services!$D$2:$D$120,0)),""))</f>
        <v/>
      </c>
      <c r="F66" s="19"/>
      <c r="G66" s="9" t="str">
        <f t="shared" ref="G66:G129" si="1">IF(OR($B66="",NOT(ISNUMBER($E66))),"",$E66-IF($F66="",0,$F66))</f>
        <v/>
      </c>
      <c r="H66" s="15" t="str">
        <f>IF($B66="","",IFERROR(INDEX(Services!$A$2:$A$120,MATCH($B66,Services!$D$2:$D$120,0)),""))</f>
        <v/>
      </c>
      <c r="I66" s="19"/>
      <c r="J66" s="15" t="str">
        <f>IF($B66="","",IFERROR(INDEX(Services!$E$2:$E$120,MATCH($B66,Services!$D$2:$D$120,0)),""))</f>
        <v/>
      </c>
    </row>
    <row r="67" spans="1:10" x14ac:dyDescent="0.3">
      <c r="A67" s="18"/>
      <c r="B67" s="6"/>
      <c r="C67" s="6"/>
      <c r="D67" s="6"/>
      <c r="E67" s="16" t="str">
        <f>IF($B67="","",IFERROR(INDEX(Services!$C$2:$C$120,MATCH($B67,Services!$D$2:$D$120,0)),""))</f>
        <v/>
      </c>
      <c r="F67" s="19"/>
      <c r="G67" s="9" t="str">
        <f t="shared" si="1"/>
        <v/>
      </c>
      <c r="H67" s="15" t="str">
        <f>IF($B67="","",IFERROR(INDEX(Services!$A$2:$A$120,MATCH($B67,Services!$D$2:$D$120,0)),""))</f>
        <v/>
      </c>
      <c r="I67" s="19"/>
      <c r="J67" s="15" t="str">
        <f>IF($B67="","",IFERROR(INDEX(Services!$E$2:$E$120,MATCH($B67,Services!$D$2:$D$120,0)),""))</f>
        <v/>
      </c>
    </row>
    <row r="68" spans="1:10" x14ac:dyDescent="0.3">
      <c r="A68" s="18"/>
      <c r="B68" s="6"/>
      <c r="C68" s="6"/>
      <c r="D68" s="6"/>
      <c r="E68" s="16" t="str">
        <f>IF($B68="","",IFERROR(INDEX(Services!$C$2:$C$120,MATCH($B68,Services!$D$2:$D$120,0)),""))</f>
        <v/>
      </c>
      <c r="F68" s="19"/>
      <c r="G68" s="9" t="str">
        <f t="shared" si="1"/>
        <v/>
      </c>
      <c r="H68" s="15" t="str">
        <f>IF($B68="","",IFERROR(INDEX(Services!$A$2:$A$120,MATCH($B68,Services!$D$2:$D$120,0)),""))</f>
        <v/>
      </c>
      <c r="I68" s="19"/>
      <c r="J68" s="15" t="str">
        <f>IF($B68="","",IFERROR(INDEX(Services!$E$2:$E$120,MATCH($B68,Services!$D$2:$D$120,0)),""))</f>
        <v/>
      </c>
    </row>
    <row r="69" spans="1:10" x14ac:dyDescent="0.3">
      <c r="A69" s="18"/>
      <c r="B69" s="6"/>
      <c r="C69" s="6"/>
      <c r="D69" s="6"/>
      <c r="E69" s="16" t="str">
        <f>IF($B69="","",IFERROR(INDEX(Services!$C$2:$C$120,MATCH($B69,Services!$D$2:$D$120,0)),""))</f>
        <v/>
      </c>
      <c r="F69" s="19"/>
      <c r="G69" s="9" t="str">
        <f t="shared" si="1"/>
        <v/>
      </c>
      <c r="H69" s="15" t="str">
        <f>IF($B69="","",IFERROR(INDEX(Services!$A$2:$A$120,MATCH($B69,Services!$D$2:$D$120,0)),""))</f>
        <v/>
      </c>
      <c r="I69" s="19"/>
      <c r="J69" s="15" t="str">
        <f>IF($B69="","",IFERROR(INDEX(Services!$E$2:$E$120,MATCH($B69,Services!$D$2:$D$120,0)),""))</f>
        <v/>
      </c>
    </row>
    <row r="70" spans="1:10" x14ac:dyDescent="0.3">
      <c r="A70" s="18"/>
      <c r="B70" s="6"/>
      <c r="C70" s="6"/>
      <c r="D70" s="6"/>
      <c r="E70" s="16" t="str">
        <f>IF($B70="","",IFERROR(INDEX(Services!$C$2:$C$120,MATCH($B70,Services!$D$2:$D$120,0)),""))</f>
        <v/>
      </c>
      <c r="F70" s="19"/>
      <c r="G70" s="9" t="str">
        <f t="shared" si="1"/>
        <v/>
      </c>
      <c r="H70" s="15" t="str">
        <f>IF($B70="","",IFERROR(INDEX(Services!$A$2:$A$120,MATCH($B70,Services!$D$2:$D$120,0)),""))</f>
        <v/>
      </c>
      <c r="I70" s="19"/>
      <c r="J70" s="15" t="str">
        <f>IF($B70="","",IFERROR(INDEX(Services!$E$2:$E$120,MATCH($B70,Services!$D$2:$D$120,0)),""))</f>
        <v/>
      </c>
    </row>
    <row r="71" spans="1:10" x14ac:dyDescent="0.3">
      <c r="A71" s="18"/>
      <c r="B71" s="6"/>
      <c r="C71" s="6"/>
      <c r="D71" s="6"/>
      <c r="E71" s="16" t="str">
        <f>IF($B71="","",IFERROR(INDEX(Services!$C$2:$C$120,MATCH($B71,Services!$D$2:$D$120,0)),""))</f>
        <v/>
      </c>
      <c r="F71" s="19"/>
      <c r="G71" s="9" t="str">
        <f t="shared" si="1"/>
        <v/>
      </c>
      <c r="H71" s="15" t="str">
        <f>IF($B71="","",IFERROR(INDEX(Services!$A$2:$A$120,MATCH($B71,Services!$D$2:$D$120,0)),""))</f>
        <v/>
      </c>
      <c r="I71" s="19"/>
      <c r="J71" s="15" t="str">
        <f>IF($B71="","",IFERROR(INDEX(Services!$E$2:$E$120,MATCH($B71,Services!$D$2:$D$120,0)),""))</f>
        <v/>
      </c>
    </row>
    <row r="72" spans="1:10" x14ac:dyDescent="0.3">
      <c r="A72" s="18"/>
      <c r="B72" s="6"/>
      <c r="C72" s="6"/>
      <c r="D72" s="6"/>
      <c r="E72" s="16" t="str">
        <f>IF($B72="","",IFERROR(INDEX(Services!$C$2:$C$120,MATCH($B72,Services!$D$2:$D$120,0)),""))</f>
        <v/>
      </c>
      <c r="F72" s="19"/>
      <c r="G72" s="9" t="str">
        <f t="shared" si="1"/>
        <v/>
      </c>
      <c r="H72" s="15" t="str">
        <f>IF($B72="","",IFERROR(INDEX(Services!$A$2:$A$120,MATCH($B72,Services!$D$2:$D$120,0)),""))</f>
        <v/>
      </c>
      <c r="I72" s="19"/>
      <c r="J72" s="15" t="str">
        <f>IF($B72="","",IFERROR(INDEX(Services!$E$2:$E$120,MATCH($B72,Services!$D$2:$D$120,0)),""))</f>
        <v/>
      </c>
    </row>
    <row r="73" spans="1:10" x14ac:dyDescent="0.3">
      <c r="A73" s="18"/>
      <c r="B73" s="6"/>
      <c r="C73" s="6"/>
      <c r="D73" s="6"/>
      <c r="E73" s="16" t="str">
        <f>IF($B73="","",IFERROR(INDEX(Services!$C$2:$C$120,MATCH($B73,Services!$D$2:$D$120,0)),""))</f>
        <v/>
      </c>
      <c r="F73" s="19"/>
      <c r="G73" s="9" t="str">
        <f t="shared" si="1"/>
        <v/>
      </c>
      <c r="H73" s="15" t="str">
        <f>IF($B73="","",IFERROR(INDEX(Services!$A$2:$A$120,MATCH($B73,Services!$D$2:$D$120,0)),""))</f>
        <v/>
      </c>
      <c r="I73" s="19"/>
      <c r="J73" s="15" t="str">
        <f>IF($B73="","",IFERROR(INDEX(Services!$E$2:$E$120,MATCH($B73,Services!$D$2:$D$120,0)),""))</f>
        <v/>
      </c>
    </row>
    <row r="74" spans="1:10" x14ac:dyDescent="0.3">
      <c r="A74" s="18"/>
      <c r="B74" s="6"/>
      <c r="C74" s="6"/>
      <c r="D74" s="6"/>
      <c r="E74" s="16" t="str">
        <f>IF($B74="","",IFERROR(INDEX(Services!$C$2:$C$120,MATCH($B74,Services!$D$2:$D$120,0)),""))</f>
        <v/>
      </c>
      <c r="F74" s="19"/>
      <c r="G74" s="9" t="str">
        <f t="shared" si="1"/>
        <v/>
      </c>
      <c r="H74" s="15" t="str">
        <f>IF($B74="","",IFERROR(INDEX(Services!$A$2:$A$120,MATCH($B74,Services!$D$2:$D$120,0)),""))</f>
        <v/>
      </c>
      <c r="I74" s="19"/>
      <c r="J74" s="15" t="str">
        <f>IF($B74="","",IFERROR(INDEX(Services!$E$2:$E$120,MATCH($B74,Services!$D$2:$D$120,0)),""))</f>
        <v/>
      </c>
    </row>
    <row r="75" spans="1:10" x14ac:dyDescent="0.3">
      <c r="A75" s="18"/>
      <c r="B75" s="6"/>
      <c r="C75" s="6"/>
      <c r="D75" s="6"/>
      <c r="E75" s="16" t="str">
        <f>IF($B75="","",IFERROR(INDEX(Services!$C$2:$C$120,MATCH($B75,Services!$D$2:$D$120,0)),""))</f>
        <v/>
      </c>
      <c r="F75" s="19"/>
      <c r="G75" s="9" t="str">
        <f t="shared" si="1"/>
        <v/>
      </c>
      <c r="H75" s="15" t="str">
        <f>IF($B75="","",IFERROR(INDEX(Services!$A$2:$A$120,MATCH($B75,Services!$D$2:$D$120,0)),""))</f>
        <v/>
      </c>
      <c r="I75" s="19"/>
      <c r="J75" s="15" t="str">
        <f>IF($B75="","",IFERROR(INDEX(Services!$E$2:$E$120,MATCH($B75,Services!$D$2:$D$120,0)),""))</f>
        <v/>
      </c>
    </row>
    <row r="76" spans="1:10" x14ac:dyDescent="0.3">
      <c r="A76" s="18"/>
      <c r="B76" s="6"/>
      <c r="C76" s="6"/>
      <c r="D76" s="6"/>
      <c r="E76" s="16" t="str">
        <f>IF($B76="","",IFERROR(INDEX(Services!$C$2:$C$120,MATCH($B76,Services!$D$2:$D$120,0)),""))</f>
        <v/>
      </c>
      <c r="F76" s="19"/>
      <c r="G76" s="9" t="str">
        <f t="shared" si="1"/>
        <v/>
      </c>
      <c r="H76" s="15" t="str">
        <f>IF($B76="","",IFERROR(INDEX(Services!$A$2:$A$120,MATCH($B76,Services!$D$2:$D$120,0)),""))</f>
        <v/>
      </c>
      <c r="I76" s="19"/>
      <c r="J76" s="15" t="str">
        <f>IF($B76="","",IFERROR(INDEX(Services!$E$2:$E$120,MATCH($B76,Services!$D$2:$D$120,0)),""))</f>
        <v/>
      </c>
    </row>
    <row r="77" spans="1:10" x14ac:dyDescent="0.3">
      <c r="A77" s="18"/>
      <c r="B77" s="6"/>
      <c r="C77" s="6"/>
      <c r="D77" s="6"/>
      <c r="E77" s="16" t="str">
        <f>IF($B77="","",IFERROR(INDEX(Services!$C$2:$C$120,MATCH($B77,Services!$D$2:$D$120,0)),""))</f>
        <v/>
      </c>
      <c r="F77" s="19"/>
      <c r="G77" s="9" t="str">
        <f t="shared" si="1"/>
        <v/>
      </c>
      <c r="H77" s="15" t="str">
        <f>IF($B77="","",IFERROR(INDEX(Services!$A$2:$A$120,MATCH($B77,Services!$D$2:$D$120,0)),""))</f>
        <v/>
      </c>
      <c r="I77" s="19"/>
      <c r="J77" s="15" t="str">
        <f>IF($B77="","",IFERROR(INDEX(Services!$E$2:$E$120,MATCH($B77,Services!$D$2:$D$120,0)),""))</f>
        <v/>
      </c>
    </row>
    <row r="78" spans="1:10" x14ac:dyDescent="0.3">
      <c r="A78" s="18"/>
      <c r="B78" s="6"/>
      <c r="C78" s="6"/>
      <c r="D78" s="6"/>
      <c r="E78" s="16" t="str">
        <f>IF($B78="","",IFERROR(INDEX(Services!$C$2:$C$120,MATCH($B78,Services!$D$2:$D$120,0)),""))</f>
        <v/>
      </c>
      <c r="F78" s="19"/>
      <c r="G78" s="9" t="str">
        <f t="shared" si="1"/>
        <v/>
      </c>
      <c r="H78" s="15" t="str">
        <f>IF($B78="","",IFERROR(INDEX(Services!$A$2:$A$120,MATCH($B78,Services!$D$2:$D$120,0)),""))</f>
        <v/>
      </c>
      <c r="I78" s="19"/>
      <c r="J78" s="15" t="str">
        <f>IF($B78="","",IFERROR(INDEX(Services!$E$2:$E$120,MATCH($B78,Services!$D$2:$D$120,0)),""))</f>
        <v/>
      </c>
    </row>
    <row r="79" spans="1:10" x14ac:dyDescent="0.3">
      <c r="A79" s="18"/>
      <c r="B79" s="6"/>
      <c r="C79" s="6"/>
      <c r="D79" s="6"/>
      <c r="E79" s="16" t="str">
        <f>IF($B79="","",IFERROR(INDEX(Services!$C$2:$C$120,MATCH($B79,Services!$D$2:$D$120,0)),""))</f>
        <v/>
      </c>
      <c r="F79" s="19"/>
      <c r="G79" s="9" t="str">
        <f t="shared" si="1"/>
        <v/>
      </c>
      <c r="H79" s="15" t="str">
        <f>IF($B79="","",IFERROR(INDEX(Services!$A$2:$A$120,MATCH($B79,Services!$D$2:$D$120,0)),""))</f>
        <v/>
      </c>
      <c r="I79" s="19"/>
      <c r="J79" s="15" t="str">
        <f>IF($B79="","",IFERROR(INDEX(Services!$E$2:$E$120,MATCH($B79,Services!$D$2:$D$120,0)),""))</f>
        <v/>
      </c>
    </row>
    <row r="80" spans="1:10" x14ac:dyDescent="0.3">
      <c r="A80" s="18"/>
      <c r="B80" s="6"/>
      <c r="C80" s="6"/>
      <c r="D80" s="6"/>
      <c r="E80" s="16" t="str">
        <f>IF($B80="","",IFERROR(INDEX(Services!$C$2:$C$120,MATCH($B80,Services!$D$2:$D$120,0)),""))</f>
        <v/>
      </c>
      <c r="F80" s="19"/>
      <c r="G80" s="9" t="str">
        <f t="shared" si="1"/>
        <v/>
      </c>
      <c r="H80" s="15" t="str">
        <f>IF($B80="","",IFERROR(INDEX(Services!$A$2:$A$120,MATCH($B80,Services!$D$2:$D$120,0)),""))</f>
        <v/>
      </c>
      <c r="I80" s="19"/>
      <c r="J80" s="15" t="str">
        <f>IF($B80="","",IFERROR(INDEX(Services!$E$2:$E$120,MATCH($B80,Services!$D$2:$D$120,0)),""))</f>
        <v/>
      </c>
    </row>
    <row r="81" spans="1:10" x14ac:dyDescent="0.3">
      <c r="A81" s="18"/>
      <c r="B81" s="6"/>
      <c r="C81" s="6"/>
      <c r="D81" s="6"/>
      <c r="E81" s="16" t="str">
        <f>IF($B81="","",IFERROR(INDEX(Services!$C$2:$C$120,MATCH($B81,Services!$D$2:$D$120,0)),""))</f>
        <v/>
      </c>
      <c r="F81" s="19"/>
      <c r="G81" s="9" t="str">
        <f t="shared" si="1"/>
        <v/>
      </c>
      <c r="H81" s="15" t="str">
        <f>IF($B81="","",IFERROR(INDEX(Services!$A$2:$A$120,MATCH($B81,Services!$D$2:$D$120,0)),""))</f>
        <v/>
      </c>
      <c r="I81" s="19"/>
      <c r="J81" s="15" t="str">
        <f>IF($B81="","",IFERROR(INDEX(Services!$E$2:$E$120,MATCH($B81,Services!$D$2:$D$120,0)),""))</f>
        <v/>
      </c>
    </row>
    <row r="82" spans="1:10" x14ac:dyDescent="0.3">
      <c r="A82" s="18"/>
      <c r="B82" s="6"/>
      <c r="C82" s="6"/>
      <c r="D82" s="6"/>
      <c r="E82" s="16" t="str">
        <f>IF($B82="","",IFERROR(INDEX(Services!$C$2:$C$120,MATCH($B82,Services!$D$2:$D$120,0)),""))</f>
        <v/>
      </c>
      <c r="F82" s="19"/>
      <c r="G82" s="9" t="str">
        <f t="shared" si="1"/>
        <v/>
      </c>
      <c r="H82" s="15" t="str">
        <f>IF($B82="","",IFERROR(INDEX(Services!$A$2:$A$120,MATCH($B82,Services!$D$2:$D$120,0)),""))</f>
        <v/>
      </c>
      <c r="I82" s="19"/>
      <c r="J82" s="15" t="str">
        <f>IF($B82="","",IFERROR(INDEX(Services!$E$2:$E$120,MATCH($B82,Services!$D$2:$D$120,0)),""))</f>
        <v/>
      </c>
    </row>
    <row r="83" spans="1:10" x14ac:dyDescent="0.3">
      <c r="A83" s="18"/>
      <c r="B83" s="6"/>
      <c r="C83" s="6"/>
      <c r="D83" s="6"/>
      <c r="E83" s="16" t="str">
        <f>IF($B83="","",IFERROR(INDEX(Services!$C$2:$C$120,MATCH($B83,Services!$D$2:$D$120,0)),""))</f>
        <v/>
      </c>
      <c r="F83" s="19"/>
      <c r="G83" s="9" t="str">
        <f t="shared" si="1"/>
        <v/>
      </c>
      <c r="H83" s="15" t="str">
        <f>IF($B83="","",IFERROR(INDEX(Services!$A$2:$A$120,MATCH($B83,Services!$D$2:$D$120,0)),""))</f>
        <v/>
      </c>
      <c r="I83" s="19"/>
      <c r="J83" s="15" t="str">
        <f>IF($B83="","",IFERROR(INDEX(Services!$E$2:$E$120,MATCH($B83,Services!$D$2:$D$120,0)),""))</f>
        <v/>
      </c>
    </row>
    <row r="84" spans="1:10" x14ac:dyDescent="0.3">
      <c r="A84" s="18"/>
      <c r="B84" s="6"/>
      <c r="C84" s="6"/>
      <c r="D84" s="6"/>
      <c r="E84" s="16" t="str">
        <f>IF($B84="","",IFERROR(INDEX(Services!$C$2:$C$120,MATCH($B84,Services!$D$2:$D$120,0)),""))</f>
        <v/>
      </c>
      <c r="F84" s="19"/>
      <c r="G84" s="9" t="str">
        <f t="shared" si="1"/>
        <v/>
      </c>
      <c r="H84" s="15" t="str">
        <f>IF($B84="","",IFERROR(INDEX(Services!$A$2:$A$120,MATCH($B84,Services!$D$2:$D$120,0)),""))</f>
        <v/>
      </c>
      <c r="I84" s="19"/>
      <c r="J84" s="15" t="str">
        <f>IF($B84="","",IFERROR(INDEX(Services!$E$2:$E$120,MATCH($B84,Services!$D$2:$D$120,0)),""))</f>
        <v/>
      </c>
    </row>
    <row r="85" spans="1:10" x14ac:dyDescent="0.3">
      <c r="A85" s="18"/>
      <c r="B85" s="6"/>
      <c r="C85" s="6"/>
      <c r="D85" s="6"/>
      <c r="E85" s="16" t="str">
        <f>IF($B85="","",IFERROR(INDEX(Services!$C$2:$C$120,MATCH($B85,Services!$D$2:$D$120,0)),""))</f>
        <v/>
      </c>
      <c r="F85" s="19"/>
      <c r="G85" s="9" t="str">
        <f t="shared" si="1"/>
        <v/>
      </c>
      <c r="H85" s="15" t="str">
        <f>IF($B85="","",IFERROR(INDEX(Services!$A$2:$A$120,MATCH($B85,Services!$D$2:$D$120,0)),""))</f>
        <v/>
      </c>
      <c r="I85" s="19"/>
      <c r="J85" s="15" t="str">
        <f>IF($B85="","",IFERROR(INDEX(Services!$E$2:$E$120,MATCH($B85,Services!$D$2:$D$120,0)),""))</f>
        <v/>
      </c>
    </row>
    <row r="86" spans="1:10" x14ac:dyDescent="0.3">
      <c r="A86" s="18"/>
      <c r="B86" s="6"/>
      <c r="C86" s="6"/>
      <c r="D86" s="6"/>
      <c r="E86" s="16" t="str">
        <f>IF($B86="","",IFERROR(INDEX(Services!$C$2:$C$120,MATCH($B86,Services!$D$2:$D$120,0)),""))</f>
        <v/>
      </c>
      <c r="F86" s="19"/>
      <c r="G86" s="9" t="str">
        <f t="shared" si="1"/>
        <v/>
      </c>
      <c r="H86" s="15" t="str">
        <f>IF($B86="","",IFERROR(INDEX(Services!$A$2:$A$120,MATCH($B86,Services!$D$2:$D$120,0)),""))</f>
        <v/>
      </c>
      <c r="I86" s="19"/>
      <c r="J86" s="15" t="str">
        <f>IF($B86="","",IFERROR(INDEX(Services!$E$2:$E$120,MATCH($B86,Services!$D$2:$D$120,0)),""))</f>
        <v/>
      </c>
    </row>
    <row r="87" spans="1:10" x14ac:dyDescent="0.3">
      <c r="A87" s="18"/>
      <c r="B87" s="6"/>
      <c r="C87" s="6"/>
      <c r="D87" s="6"/>
      <c r="E87" s="16" t="str">
        <f>IF($B87="","",IFERROR(INDEX(Services!$C$2:$C$120,MATCH($B87,Services!$D$2:$D$120,0)),""))</f>
        <v/>
      </c>
      <c r="F87" s="19"/>
      <c r="G87" s="9" t="str">
        <f t="shared" si="1"/>
        <v/>
      </c>
      <c r="H87" s="15" t="str">
        <f>IF($B87="","",IFERROR(INDEX(Services!$A$2:$A$120,MATCH($B87,Services!$D$2:$D$120,0)),""))</f>
        <v/>
      </c>
      <c r="I87" s="19"/>
      <c r="J87" s="15" t="str">
        <f>IF($B87="","",IFERROR(INDEX(Services!$E$2:$E$120,MATCH($B87,Services!$D$2:$D$120,0)),""))</f>
        <v/>
      </c>
    </row>
    <row r="88" spans="1:10" x14ac:dyDescent="0.3">
      <c r="A88" s="18"/>
      <c r="B88" s="6"/>
      <c r="C88" s="6"/>
      <c r="D88" s="6"/>
      <c r="E88" s="16" t="str">
        <f>IF($B88="","",IFERROR(INDEX(Services!$C$2:$C$120,MATCH($B88,Services!$D$2:$D$120,0)),""))</f>
        <v/>
      </c>
      <c r="F88" s="19"/>
      <c r="G88" s="9" t="str">
        <f t="shared" si="1"/>
        <v/>
      </c>
      <c r="H88" s="15" t="str">
        <f>IF($B88="","",IFERROR(INDEX(Services!$A$2:$A$120,MATCH($B88,Services!$D$2:$D$120,0)),""))</f>
        <v/>
      </c>
      <c r="I88" s="19"/>
      <c r="J88" s="15" t="str">
        <f>IF($B88="","",IFERROR(INDEX(Services!$E$2:$E$120,MATCH($B88,Services!$D$2:$D$120,0)),""))</f>
        <v/>
      </c>
    </row>
    <row r="89" spans="1:10" x14ac:dyDescent="0.3">
      <c r="A89" s="18"/>
      <c r="B89" s="6"/>
      <c r="C89" s="6"/>
      <c r="D89" s="6"/>
      <c r="E89" s="16" t="str">
        <f>IF($B89="","",IFERROR(INDEX(Services!$C$2:$C$120,MATCH($B89,Services!$D$2:$D$120,0)),""))</f>
        <v/>
      </c>
      <c r="F89" s="19"/>
      <c r="G89" s="9" t="str">
        <f t="shared" si="1"/>
        <v/>
      </c>
      <c r="H89" s="15" t="str">
        <f>IF($B89="","",IFERROR(INDEX(Services!$A$2:$A$120,MATCH($B89,Services!$D$2:$D$120,0)),""))</f>
        <v/>
      </c>
      <c r="I89" s="19"/>
      <c r="J89" s="15" t="str">
        <f>IF($B89="","",IFERROR(INDEX(Services!$E$2:$E$120,MATCH($B89,Services!$D$2:$D$120,0)),""))</f>
        <v/>
      </c>
    </row>
    <row r="90" spans="1:10" x14ac:dyDescent="0.3">
      <c r="A90" s="18"/>
      <c r="B90" s="6"/>
      <c r="C90" s="6"/>
      <c r="D90" s="6"/>
      <c r="E90" s="16" t="str">
        <f>IF($B90="","",IFERROR(INDEX(Services!$C$2:$C$120,MATCH($B90,Services!$D$2:$D$120,0)),""))</f>
        <v/>
      </c>
      <c r="F90" s="19"/>
      <c r="G90" s="9" t="str">
        <f t="shared" si="1"/>
        <v/>
      </c>
      <c r="H90" s="15" t="str">
        <f>IF($B90="","",IFERROR(INDEX(Services!$A$2:$A$120,MATCH($B90,Services!$D$2:$D$120,0)),""))</f>
        <v/>
      </c>
      <c r="I90" s="19"/>
      <c r="J90" s="15" t="str">
        <f>IF($B90="","",IFERROR(INDEX(Services!$E$2:$E$120,MATCH($B90,Services!$D$2:$D$120,0)),""))</f>
        <v/>
      </c>
    </row>
    <row r="91" spans="1:10" x14ac:dyDescent="0.3">
      <c r="A91" s="18"/>
      <c r="B91" s="6"/>
      <c r="C91" s="6"/>
      <c r="D91" s="6"/>
      <c r="E91" s="16" t="str">
        <f>IF($B91="","",IFERROR(INDEX(Services!$C$2:$C$120,MATCH($B91,Services!$D$2:$D$120,0)),""))</f>
        <v/>
      </c>
      <c r="F91" s="19"/>
      <c r="G91" s="9" t="str">
        <f t="shared" si="1"/>
        <v/>
      </c>
      <c r="H91" s="15" t="str">
        <f>IF($B91="","",IFERROR(INDEX(Services!$A$2:$A$120,MATCH($B91,Services!$D$2:$D$120,0)),""))</f>
        <v/>
      </c>
      <c r="I91" s="19"/>
      <c r="J91" s="15" t="str">
        <f>IF($B91="","",IFERROR(INDEX(Services!$E$2:$E$120,MATCH($B91,Services!$D$2:$D$120,0)),""))</f>
        <v/>
      </c>
    </row>
    <row r="92" spans="1:10" x14ac:dyDescent="0.3">
      <c r="A92" s="18"/>
      <c r="B92" s="6"/>
      <c r="C92" s="6"/>
      <c r="D92" s="6"/>
      <c r="E92" s="16" t="str">
        <f>IF($B92="","",IFERROR(INDEX(Services!$C$2:$C$120,MATCH($B92,Services!$D$2:$D$120,0)),""))</f>
        <v/>
      </c>
      <c r="F92" s="19"/>
      <c r="G92" s="9" t="str">
        <f t="shared" si="1"/>
        <v/>
      </c>
      <c r="H92" s="15" t="str">
        <f>IF($B92="","",IFERROR(INDEX(Services!$A$2:$A$120,MATCH($B92,Services!$D$2:$D$120,0)),""))</f>
        <v/>
      </c>
      <c r="I92" s="19"/>
      <c r="J92" s="15" t="str">
        <f>IF($B92="","",IFERROR(INDEX(Services!$E$2:$E$120,MATCH($B92,Services!$D$2:$D$120,0)),""))</f>
        <v/>
      </c>
    </row>
    <row r="93" spans="1:10" x14ac:dyDescent="0.3">
      <c r="A93" s="18"/>
      <c r="B93" s="6"/>
      <c r="C93" s="6"/>
      <c r="D93" s="6"/>
      <c r="E93" s="16" t="str">
        <f>IF($B93="","",IFERROR(INDEX(Services!$C$2:$C$120,MATCH($B93,Services!$D$2:$D$120,0)),""))</f>
        <v/>
      </c>
      <c r="F93" s="19"/>
      <c r="G93" s="9" t="str">
        <f t="shared" si="1"/>
        <v/>
      </c>
      <c r="H93" s="15" t="str">
        <f>IF($B93="","",IFERROR(INDEX(Services!$A$2:$A$120,MATCH($B93,Services!$D$2:$D$120,0)),""))</f>
        <v/>
      </c>
      <c r="I93" s="19"/>
      <c r="J93" s="15" t="str">
        <f>IF($B93="","",IFERROR(INDEX(Services!$E$2:$E$120,MATCH($B93,Services!$D$2:$D$120,0)),""))</f>
        <v/>
      </c>
    </row>
    <row r="94" spans="1:10" x14ac:dyDescent="0.3">
      <c r="A94" s="18"/>
      <c r="B94" s="6"/>
      <c r="C94" s="6"/>
      <c r="D94" s="6"/>
      <c r="E94" s="16" t="str">
        <f>IF($B94="","",IFERROR(INDEX(Services!$C$2:$C$120,MATCH($B94,Services!$D$2:$D$120,0)),""))</f>
        <v/>
      </c>
      <c r="F94" s="19"/>
      <c r="G94" s="9" t="str">
        <f t="shared" si="1"/>
        <v/>
      </c>
      <c r="H94" s="15" t="str">
        <f>IF($B94="","",IFERROR(INDEX(Services!$A$2:$A$120,MATCH($B94,Services!$D$2:$D$120,0)),""))</f>
        <v/>
      </c>
      <c r="I94" s="19"/>
      <c r="J94" s="15" t="str">
        <f>IF($B94="","",IFERROR(INDEX(Services!$E$2:$E$120,MATCH($B94,Services!$D$2:$D$120,0)),""))</f>
        <v/>
      </c>
    </row>
    <row r="95" spans="1:10" x14ac:dyDescent="0.3">
      <c r="A95" s="18"/>
      <c r="B95" s="6"/>
      <c r="C95" s="6"/>
      <c r="D95" s="6"/>
      <c r="E95" s="16" t="str">
        <f>IF($B95="","",IFERROR(INDEX(Services!$C$2:$C$120,MATCH($B95,Services!$D$2:$D$120,0)),""))</f>
        <v/>
      </c>
      <c r="F95" s="19"/>
      <c r="G95" s="9" t="str">
        <f t="shared" si="1"/>
        <v/>
      </c>
      <c r="H95" s="15" t="str">
        <f>IF($B95="","",IFERROR(INDEX(Services!$A$2:$A$120,MATCH($B95,Services!$D$2:$D$120,0)),""))</f>
        <v/>
      </c>
      <c r="I95" s="19"/>
      <c r="J95" s="15" t="str">
        <f>IF($B95="","",IFERROR(INDEX(Services!$E$2:$E$120,MATCH($B95,Services!$D$2:$D$120,0)),""))</f>
        <v/>
      </c>
    </row>
    <row r="96" spans="1:10" x14ac:dyDescent="0.3">
      <c r="A96" s="18"/>
      <c r="B96" s="6"/>
      <c r="C96" s="6"/>
      <c r="D96" s="6"/>
      <c r="E96" s="16" t="str">
        <f>IF($B96="","",IFERROR(INDEX(Services!$C$2:$C$120,MATCH($B96,Services!$D$2:$D$120,0)),""))</f>
        <v/>
      </c>
      <c r="F96" s="19"/>
      <c r="G96" s="9" t="str">
        <f t="shared" si="1"/>
        <v/>
      </c>
      <c r="H96" s="15" t="str">
        <f>IF($B96="","",IFERROR(INDEX(Services!$A$2:$A$120,MATCH($B96,Services!$D$2:$D$120,0)),""))</f>
        <v/>
      </c>
      <c r="I96" s="19"/>
      <c r="J96" s="15" t="str">
        <f>IF($B96="","",IFERROR(INDEX(Services!$E$2:$E$120,MATCH($B96,Services!$D$2:$D$120,0)),""))</f>
        <v/>
      </c>
    </row>
    <row r="97" spans="1:10" x14ac:dyDescent="0.3">
      <c r="A97" s="18"/>
      <c r="B97" s="6"/>
      <c r="C97" s="6"/>
      <c r="D97" s="6"/>
      <c r="E97" s="16" t="str">
        <f>IF($B97="","",IFERROR(INDEX(Services!$C$2:$C$120,MATCH($B97,Services!$D$2:$D$120,0)),""))</f>
        <v/>
      </c>
      <c r="F97" s="19"/>
      <c r="G97" s="9" t="str">
        <f t="shared" si="1"/>
        <v/>
      </c>
      <c r="H97" s="15" t="str">
        <f>IF($B97="","",IFERROR(INDEX(Services!$A$2:$A$120,MATCH($B97,Services!$D$2:$D$120,0)),""))</f>
        <v/>
      </c>
      <c r="I97" s="19"/>
      <c r="J97" s="15" t="str">
        <f>IF($B97="","",IFERROR(INDEX(Services!$E$2:$E$120,MATCH($B97,Services!$D$2:$D$120,0)),""))</f>
        <v/>
      </c>
    </row>
    <row r="98" spans="1:10" x14ac:dyDescent="0.3">
      <c r="A98" s="18"/>
      <c r="B98" s="6"/>
      <c r="C98" s="6"/>
      <c r="D98" s="6"/>
      <c r="E98" s="16" t="str">
        <f>IF($B98="","",IFERROR(INDEX(Services!$C$2:$C$120,MATCH($B98,Services!$D$2:$D$120,0)),""))</f>
        <v/>
      </c>
      <c r="F98" s="19"/>
      <c r="G98" s="9" t="str">
        <f t="shared" si="1"/>
        <v/>
      </c>
      <c r="H98" s="15" t="str">
        <f>IF($B98="","",IFERROR(INDEX(Services!$A$2:$A$120,MATCH($B98,Services!$D$2:$D$120,0)),""))</f>
        <v/>
      </c>
      <c r="I98" s="19"/>
      <c r="J98" s="15" t="str">
        <f>IF($B98="","",IFERROR(INDEX(Services!$E$2:$E$120,MATCH($B98,Services!$D$2:$D$120,0)),""))</f>
        <v/>
      </c>
    </row>
    <row r="99" spans="1:10" x14ac:dyDescent="0.3">
      <c r="A99" s="18"/>
      <c r="B99" s="6"/>
      <c r="C99" s="6"/>
      <c r="D99" s="6"/>
      <c r="E99" s="16" t="str">
        <f>IF($B99="","",IFERROR(INDEX(Services!$C$2:$C$120,MATCH($B99,Services!$D$2:$D$120,0)),""))</f>
        <v/>
      </c>
      <c r="F99" s="19"/>
      <c r="G99" s="9" t="str">
        <f t="shared" si="1"/>
        <v/>
      </c>
      <c r="H99" s="15" t="str">
        <f>IF($B99="","",IFERROR(INDEX(Services!$A$2:$A$120,MATCH($B99,Services!$D$2:$D$120,0)),""))</f>
        <v/>
      </c>
      <c r="I99" s="19"/>
      <c r="J99" s="15" t="str">
        <f>IF($B99="","",IFERROR(INDEX(Services!$E$2:$E$120,MATCH($B99,Services!$D$2:$D$120,0)),""))</f>
        <v/>
      </c>
    </row>
    <row r="100" spans="1:10" x14ac:dyDescent="0.3">
      <c r="A100" s="18"/>
      <c r="B100" s="6"/>
      <c r="C100" s="6"/>
      <c r="D100" s="6"/>
      <c r="E100" s="16" t="str">
        <f>IF($B100="","",IFERROR(INDEX(Services!$C$2:$C$120,MATCH($B100,Services!$D$2:$D$120,0)),""))</f>
        <v/>
      </c>
      <c r="F100" s="19"/>
      <c r="G100" s="9" t="str">
        <f t="shared" si="1"/>
        <v/>
      </c>
      <c r="H100" s="15" t="str">
        <f>IF($B100="","",IFERROR(INDEX(Services!$A$2:$A$120,MATCH($B100,Services!$D$2:$D$120,0)),""))</f>
        <v/>
      </c>
      <c r="I100" s="19"/>
      <c r="J100" s="15" t="str">
        <f>IF($B100="","",IFERROR(INDEX(Services!$E$2:$E$120,MATCH($B100,Services!$D$2:$D$120,0)),""))</f>
        <v/>
      </c>
    </row>
    <row r="101" spans="1:10" x14ac:dyDescent="0.3">
      <c r="A101" s="18"/>
      <c r="B101" s="6"/>
      <c r="C101" s="6"/>
      <c r="D101" s="6"/>
      <c r="E101" s="16" t="str">
        <f>IF($B101="","",IFERROR(INDEX(Services!$C$2:$C$120,MATCH($B101,Services!$D$2:$D$120,0)),""))</f>
        <v/>
      </c>
      <c r="F101" s="19"/>
      <c r="G101" s="9" t="str">
        <f t="shared" si="1"/>
        <v/>
      </c>
      <c r="H101" s="15" t="str">
        <f>IF($B101="","",IFERROR(INDEX(Services!$A$2:$A$120,MATCH($B101,Services!$D$2:$D$120,0)),""))</f>
        <v/>
      </c>
      <c r="I101" s="19"/>
      <c r="J101" s="15" t="str">
        <f>IF($B101="","",IFERROR(INDEX(Services!$E$2:$E$120,MATCH($B101,Services!$D$2:$D$120,0)),""))</f>
        <v/>
      </c>
    </row>
    <row r="102" spans="1:10" x14ac:dyDescent="0.3">
      <c r="A102" s="18"/>
      <c r="B102" s="6"/>
      <c r="C102" s="6"/>
      <c r="D102" s="6"/>
      <c r="E102" s="16" t="str">
        <f>IF($B102="","",IFERROR(INDEX(Services!$C$2:$C$120,MATCH($B102,Services!$D$2:$D$120,0)),""))</f>
        <v/>
      </c>
      <c r="F102" s="19"/>
      <c r="G102" s="9" t="str">
        <f t="shared" si="1"/>
        <v/>
      </c>
      <c r="H102" s="15" t="str">
        <f>IF($B102="","",IFERROR(INDEX(Services!$A$2:$A$120,MATCH($B102,Services!$D$2:$D$120,0)),""))</f>
        <v/>
      </c>
      <c r="I102" s="19"/>
      <c r="J102" s="15" t="str">
        <f>IF($B102="","",IFERROR(INDEX(Services!$E$2:$E$120,MATCH($B102,Services!$D$2:$D$120,0)),""))</f>
        <v/>
      </c>
    </row>
    <row r="103" spans="1:10" x14ac:dyDescent="0.3">
      <c r="A103" s="18"/>
      <c r="B103" s="6"/>
      <c r="C103" s="6"/>
      <c r="D103" s="6"/>
      <c r="E103" s="16" t="str">
        <f>IF($B103="","",IFERROR(INDEX(Services!$C$2:$C$120,MATCH($B103,Services!$D$2:$D$120,0)),""))</f>
        <v/>
      </c>
      <c r="F103" s="19"/>
      <c r="G103" s="9" t="str">
        <f t="shared" si="1"/>
        <v/>
      </c>
      <c r="H103" s="15" t="str">
        <f>IF($B103="","",IFERROR(INDEX(Services!$A$2:$A$120,MATCH($B103,Services!$D$2:$D$120,0)),""))</f>
        <v/>
      </c>
      <c r="I103" s="19"/>
      <c r="J103" s="15" t="str">
        <f>IF($B103="","",IFERROR(INDEX(Services!$E$2:$E$120,MATCH($B103,Services!$D$2:$D$120,0)),""))</f>
        <v/>
      </c>
    </row>
    <row r="104" spans="1:10" x14ac:dyDescent="0.3">
      <c r="A104" s="18"/>
      <c r="B104" s="6"/>
      <c r="C104" s="6"/>
      <c r="D104" s="6"/>
      <c r="E104" s="16" t="str">
        <f>IF($B104="","",IFERROR(INDEX(Services!$C$2:$C$120,MATCH($B104,Services!$D$2:$D$120,0)),""))</f>
        <v/>
      </c>
      <c r="F104" s="19"/>
      <c r="G104" s="9" t="str">
        <f t="shared" si="1"/>
        <v/>
      </c>
      <c r="H104" s="15" t="str">
        <f>IF($B104="","",IFERROR(INDEX(Services!$A$2:$A$120,MATCH($B104,Services!$D$2:$D$120,0)),""))</f>
        <v/>
      </c>
      <c r="I104" s="19"/>
      <c r="J104" s="15" t="str">
        <f>IF($B104="","",IFERROR(INDEX(Services!$E$2:$E$120,MATCH($B104,Services!$D$2:$D$120,0)),""))</f>
        <v/>
      </c>
    </row>
    <row r="105" spans="1:10" x14ac:dyDescent="0.3">
      <c r="A105" s="18"/>
      <c r="B105" s="6"/>
      <c r="C105" s="6"/>
      <c r="D105" s="6"/>
      <c r="E105" s="16" t="str">
        <f>IF($B105="","",IFERROR(INDEX(Services!$C$2:$C$120,MATCH($B105,Services!$D$2:$D$120,0)),""))</f>
        <v/>
      </c>
      <c r="F105" s="19"/>
      <c r="G105" s="9" t="str">
        <f t="shared" si="1"/>
        <v/>
      </c>
      <c r="H105" s="15" t="str">
        <f>IF($B105="","",IFERROR(INDEX(Services!$A$2:$A$120,MATCH($B105,Services!$D$2:$D$120,0)),""))</f>
        <v/>
      </c>
      <c r="I105" s="19"/>
      <c r="J105" s="15" t="str">
        <f>IF($B105="","",IFERROR(INDEX(Services!$E$2:$E$120,MATCH($B105,Services!$D$2:$D$120,0)),""))</f>
        <v/>
      </c>
    </row>
    <row r="106" spans="1:10" x14ac:dyDescent="0.3">
      <c r="A106" s="18"/>
      <c r="B106" s="6"/>
      <c r="C106" s="6"/>
      <c r="D106" s="6"/>
      <c r="E106" s="16" t="str">
        <f>IF($B106="","",IFERROR(INDEX(Services!$C$2:$C$120,MATCH($B106,Services!$D$2:$D$120,0)),""))</f>
        <v/>
      </c>
      <c r="F106" s="19"/>
      <c r="G106" s="9" t="str">
        <f t="shared" si="1"/>
        <v/>
      </c>
      <c r="H106" s="15" t="str">
        <f>IF($B106="","",IFERROR(INDEX(Services!$A$2:$A$120,MATCH($B106,Services!$D$2:$D$120,0)),""))</f>
        <v/>
      </c>
      <c r="I106" s="19"/>
      <c r="J106" s="15" t="str">
        <f>IF($B106="","",IFERROR(INDEX(Services!$E$2:$E$120,MATCH($B106,Services!$D$2:$D$120,0)),""))</f>
        <v/>
      </c>
    </row>
    <row r="107" spans="1:10" x14ac:dyDescent="0.3">
      <c r="A107" s="18"/>
      <c r="B107" s="6"/>
      <c r="C107" s="6"/>
      <c r="D107" s="6"/>
      <c r="E107" s="16" t="str">
        <f>IF($B107="","",IFERROR(INDEX(Services!$C$2:$C$120,MATCH($B107,Services!$D$2:$D$120,0)),""))</f>
        <v/>
      </c>
      <c r="F107" s="19"/>
      <c r="G107" s="9" t="str">
        <f t="shared" si="1"/>
        <v/>
      </c>
      <c r="H107" s="15" t="str">
        <f>IF($B107="","",IFERROR(INDEX(Services!$A$2:$A$120,MATCH($B107,Services!$D$2:$D$120,0)),""))</f>
        <v/>
      </c>
      <c r="I107" s="19"/>
      <c r="J107" s="15" t="str">
        <f>IF($B107="","",IFERROR(INDEX(Services!$E$2:$E$120,MATCH($B107,Services!$D$2:$D$120,0)),""))</f>
        <v/>
      </c>
    </row>
    <row r="108" spans="1:10" x14ac:dyDescent="0.3">
      <c r="A108" s="18"/>
      <c r="B108" s="6"/>
      <c r="C108" s="6"/>
      <c r="D108" s="6"/>
      <c r="E108" s="16" t="str">
        <f>IF($B108="","",IFERROR(INDEX(Services!$C$2:$C$120,MATCH($B108,Services!$D$2:$D$120,0)),""))</f>
        <v/>
      </c>
      <c r="F108" s="19"/>
      <c r="G108" s="9" t="str">
        <f t="shared" si="1"/>
        <v/>
      </c>
      <c r="H108" s="15" t="str">
        <f>IF($B108="","",IFERROR(INDEX(Services!$A$2:$A$120,MATCH($B108,Services!$D$2:$D$120,0)),""))</f>
        <v/>
      </c>
      <c r="I108" s="19"/>
      <c r="J108" s="15" t="str">
        <f>IF($B108="","",IFERROR(INDEX(Services!$E$2:$E$120,MATCH($B108,Services!$D$2:$D$120,0)),""))</f>
        <v/>
      </c>
    </row>
    <row r="109" spans="1:10" x14ac:dyDescent="0.3">
      <c r="A109" s="18"/>
      <c r="B109" s="6"/>
      <c r="C109" s="6"/>
      <c r="D109" s="6"/>
      <c r="E109" s="16" t="str">
        <f>IF($B109="","",IFERROR(INDEX(Services!$C$2:$C$120,MATCH($B109,Services!$D$2:$D$120,0)),""))</f>
        <v/>
      </c>
      <c r="F109" s="19"/>
      <c r="G109" s="9" t="str">
        <f t="shared" si="1"/>
        <v/>
      </c>
      <c r="H109" s="15" t="str">
        <f>IF($B109="","",IFERROR(INDEX(Services!$A$2:$A$120,MATCH($B109,Services!$D$2:$D$120,0)),""))</f>
        <v/>
      </c>
      <c r="I109" s="19"/>
      <c r="J109" s="15" t="str">
        <f>IF($B109="","",IFERROR(INDEX(Services!$E$2:$E$120,MATCH($B109,Services!$D$2:$D$120,0)),""))</f>
        <v/>
      </c>
    </row>
    <row r="110" spans="1:10" x14ac:dyDescent="0.3">
      <c r="A110" s="18"/>
      <c r="B110" s="6"/>
      <c r="C110" s="6"/>
      <c r="D110" s="6"/>
      <c r="E110" s="16" t="str">
        <f>IF($B110="","",IFERROR(INDEX(Services!$C$2:$C$120,MATCH($B110,Services!$D$2:$D$120,0)),""))</f>
        <v/>
      </c>
      <c r="F110" s="19"/>
      <c r="G110" s="9" t="str">
        <f t="shared" si="1"/>
        <v/>
      </c>
      <c r="H110" s="15" t="str">
        <f>IF($B110="","",IFERROR(INDEX(Services!$A$2:$A$120,MATCH($B110,Services!$D$2:$D$120,0)),""))</f>
        <v/>
      </c>
      <c r="I110" s="19"/>
      <c r="J110" s="15" t="str">
        <f>IF($B110="","",IFERROR(INDEX(Services!$E$2:$E$120,MATCH($B110,Services!$D$2:$D$120,0)),""))</f>
        <v/>
      </c>
    </row>
    <row r="111" spans="1:10" x14ac:dyDescent="0.3">
      <c r="A111" s="18"/>
      <c r="B111" s="6"/>
      <c r="C111" s="6"/>
      <c r="D111" s="6"/>
      <c r="E111" s="16" t="str">
        <f>IF($B111="","",IFERROR(INDEX(Services!$C$2:$C$120,MATCH($B111,Services!$D$2:$D$120,0)),""))</f>
        <v/>
      </c>
      <c r="F111" s="19"/>
      <c r="G111" s="9" t="str">
        <f t="shared" si="1"/>
        <v/>
      </c>
      <c r="H111" s="15" t="str">
        <f>IF($B111="","",IFERROR(INDEX(Services!$A$2:$A$120,MATCH($B111,Services!$D$2:$D$120,0)),""))</f>
        <v/>
      </c>
      <c r="I111" s="19"/>
      <c r="J111" s="15" t="str">
        <f>IF($B111="","",IFERROR(INDEX(Services!$E$2:$E$120,MATCH($B111,Services!$D$2:$D$120,0)),""))</f>
        <v/>
      </c>
    </row>
    <row r="112" spans="1:10" x14ac:dyDescent="0.3">
      <c r="A112" s="18"/>
      <c r="B112" s="6"/>
      <c r="C112" s="6"/>
      <c r="D112" s="6"/>
      <c r="E112" s="16" t="str">
        <f>IF($B112="","",IFERROR(INDEX(Services!$C$2:$C$120,MATCH($B112,Services!$D$2:$D$120,0)),""))</f>
        <v/>
      </c>
      <c r="F112" s="19"/>
      <c r="G112" s="9" t="str">
        <f t="shared" si="1"/>
        <v/>
      </c>
      <c r="H112" s="15" t="str">
        <f>IF($B112="","",IFERROR(INDEX(Services!$A$2:$A$120,MATCH($B112,Services!$D$2:$D$120,0)),""))</f>
        <v/>
      </c>
      <c r="I112" s="19"/>
      <c r="J112" s="15" t="str">
        <f>IF($B112="","",IFERROR(INDEX(Services!$E$2:$E$120,MATCH($B112,Services!$D$2:$D$120,0)),""))</f>
        <v/>
      </c>
    </row>
    <row r="113" spans="1:10" x14ac:dyDescent="0.3">
      <c r="A113" s="18"/>
      <c r="B113" s="6"/>
      <c r="C113" s="6"/>
      <c r="D113" s="6"/>
      <c r="E113" s="16" t="str">
        <f>IF($B113="","",IFERROR(INDEX(Services!$C$2:$C$120,MATCH($B113,Services!$D$2:$D$120,0)),""))</f>
        <v/>
      </c>
      <c r="F113" s="19"/>
      <c r="G113" s="9" t="str">
        <f t="shared" si="1"/>
        <v/>
      </c>
      <c r="H113" s="15" t="str">
        <f>IF($B113="","",IFERROR(INDEX(Services!$A$2:$A$120,MATCH($B113,Services!$D$2:$D$120,0)),""))</f>
        <v/>
      </c>
      <c r="I113" s="19"/>
      <c r="J113" s="15" t="str">
        <f>IF($B113="","",IFERROR(INDEX(Services!$E$2:$E$120,MATCH($B113,Services!$D$2:$D$120,0)),""))</f>
        <v/>
      </c>
    </row>
    <row r="114" spans="1:10" x14ac:dyDescent="0.3">
      <c r="A114" s="18"/>
      <c r="B114" s="6"/>
      <c r="C114" s="6"/>
      <c r="D114" s="6"/>
      <c r="E114" s="16" t="str">
        <f>IF($B114="","",IFERROR(INDEX(Services!$C$2:$C$120,MATCH($B114,Services!$D$2:$D$120,0)),""))</f>
        <v/>
      </c>
      <c r="F114" s="19"/>
      <c r="G114" s="9" t="str">
        <f t="shared" si="1"/>
        <v/>
      </c>
      <c r="H114" s="15" t="str">
        <f>IF($B114="","",IFERROR(INDEX(Services!$A$2:$A$120,MATCH($B114,Services!$D$2:$D$120,0)),""))</f>
        <v/>
      </c>
      <c r="I114" s="19"/>
      <c r="J114" s="15" t="str">
        <f>IF($B114="","",IFERROR(INDEX(Services!$E$2:$E$120,MATCH($B114,Services!$D$2:$D$120,0)),""))</f>
        <v/>
      </c>
    </row>
    <row r="115" spans="1:10" x14ac:dyDescent="0.3">
      <c r="A115" s="18"/>
      <c r="B115" s="6"/>
      <c r="C115" s="6"/>
      <c r="D115" s="6"/>
      <c r="E115" s="16" t="str">
        <f>IF($B115="","",IFERROR(INDEX(Services!$C$2:$C$120,MATCH($B115,Services!$D$2:$D$120,0)),""))</f>
        <v/>
      </c>
      <c r="F115" s="19"/>
      <c r="G115" s="9" t="str">
        <f t="shared" si="1"/>
        <v/>
      </c>
      <c r="H115" s="15" t="str">
        <f>IF($B115="","",IFERROR(INDEX(Services!$A$2:$A$120,MATCH($B115,Services!$D$2:$D$120,0)),""))</f>
        <v/>
      </c>
      <c r="I115" s="19"/>
      <c r="J115" s="15" t="str">
        <f>IF($B115="","",IFERROR(INDEX(Services!$E$2:$E$120,MATCH($B115,Services!$D$2:$D$120,0)),""))</f>
        <v/>
      </c>
    </row>
    <row r="116" spans="1:10" x14ac:dyDescent="0.3">
      <c r="A116" s="18"/>
      <c r="B116" s="6"/>
      <c r="C116" s="6"/>
      <c r="D116" s="6"/>
      <c r="E116" s="16" t="str">
        <f>IF($B116="","",IFERROR(INDEX(Services!$C$2:$C$120,MATCH($B116,Services!$D$2:$D$120,0)),""))</f>
        <v/>
      </c>
      <c r="F116" s="19"/>
      <c r="G116" s="9" t="str">
        <f t="shared" si="1"/>
        <v/>
      </c>
      <c r="H116" s="15" t="str">
        <f>IF($B116="","",IFERROR(INDEX(Services!$A$2:$A$120,MATCH($B116,Services!$D$2:$D$120,0)),""))</f>
        <v/>
      </c>
      <c r="I116" s="19"/>
      <c r="J116" s="15" t="str">
        <f>IF($B116="","",IFERROR(INDEX(Services!$E$2:$E$120,MATCH($B116,Services!$D$2:$D$120,0)),""))</f>
        <v/>
      </c>
    </row>
    <row r="117" spans="1:10" x14ac:dyDescent="0.3">
      <c r="A117" s="18"/>
      <c r="B117" s="6"/>
      <c r="C117" s="6"/>
      <c r="D117" s="6"/>
      <c r="E117" s="16" t="str">
        <f>IF($B117="","",IFERROR(INDEX(Services!$C$2:$C$120,MATCH($B117,Services!$D$2:$D$120,0)),""))</f>
        <v/>
      </c>
      <c r="F117" s="19"/>
      <c r="G117" s="9" t="str">
        <f t="shared" si="1"/>
        <v/>
      </c>
      <c r="H117" s="15" t="str">
        <f>IF($B117="","",IFERROR(INDEX(Services!$A$2:$A$120,MATCH($B117,Services!$D$2:$D$120,0)),""))</f>
        <v/>
      </c>
      <c r="I117" s="19"/>
      <c r="J117" s="15" t="str">
        <f>IF($B117="","",IFERROR(INDEX(Services!$E$2:$E$120,MATCH($B117,Services!$D$2:$D$120,0)),""))</f>
        <v/>
      </c>
    </row>
    <row r="118" spans="1:10" x14ac:dyDescent="0.3">
      <c r="A118" s="18"/>
      <c r="B118" s="6"/>
      <c r="C118" s="6"/>
      <c r="D118" s="6"/>
      <c r="E118" s="16" t="str">
        <f>IF($B118="","",IFERROR(INDEX(Services!$C$2:$C$120,MATCH($B118,Services!$D$2:$D$120,0)),""))</f>
        <v/>
      </c>
      <c r="F118" s="19"/>
      <c r="G118" s="9" t="str">
        <f t="shared" si="1"/>
        <v/>
      </c>
      <c r="H118" s="15" t="str">
        <f>IF($B118="","",IFERROR(INDEX(Services!$A$2:$A$120,MATCH($B118,Services!$D$2:$D$120,0)),""))</f>
        <v/>
      </c>
      <c r="I118" s="19"/>
      <c r="J118" s="15" t="str">
        <f>IF($B118="","",IFERROR(INDEX(Services!$E$2:$E$120,MATCH($B118,Services!$D$2:$D$120,0)),""))</f>
        <v/>
      </c>
    </row>
    <row r="119" spans="1:10" x14ac:dyDescent="0.3">
      <c r="A119" s="18"/>
      <c r="B119" s="6"/>
      <c r="C119" s="6"/>
      <c r="D119" s="6"/>
      <c r="E119" s="16" t="str">
        <f>IF($B119="","",IFERROR(INDEX(Services!$C$2:$C$120,MATCH($B119,Services!$D$2:$D$120,0)),""))</f>
        <v/>
      </c>
      <c r="F119" s="19"/>
      <c r="G119" s="9" t="str">
        <f t="shared" si="1"/>
        <v/>
      </c>
      <c r="H119" s="15" t="str">
        <f>IF($B119="","",IFERROR(INDEX(Services!$A$2:$A$120,MATCH($B119,Services!$D$2:$D$120,0)),""))</f>
        <v/>
      </c>
      <c r="I119" s="19"/>
      <c r="J119" s="15" t="str">
        <f>IF($B119="","",IFERROR(INDEX(Services!$E$2:$E$120,MATCH($B119,Services!$D$2:$D$120,0)),""))</f>
        <v/>
      </c>
    </row>
    <row r="120" spans="1:10" x14ac:dyDescent="0.3">
      <c r="A120" s="18"/>
      <c r="B120" s="6"/>
      <c r="C120" s="6"/>
      <c r="D120" s="6"/>
      <c r="E120" s="16" t="str">
        <f>IF($B120="","",IFERROR(INDEX(Services!$C$2:$C$120,MATCH($B120,Services!$D$2:$D$120,0)),""))</f>
        <v/>
      </c>
      <c r="F120" s="19"/>
      <c r="G120" s="9" t="str">
        <f t="shared" si="1"/>
        <v/>
      </c>
      <c r="H120" s="15" t="str">
        <f>IF($B120="","",IFERROR(INDEX(Services!$A$2:$A$120,MATCH($B120,Services!$D$2:$D$120,0)),""))</f>
        <v/>
      </c>
      <c r="I120" s="19"/>
      <c r="J120" s="15" t="str">
        <f>IF($B120="","",IFERROR(INDEX(Services!$E$2:$E$120,MATCH($B120,Services!$D$2:$D$120,0)),""))</f>
        <v/>
      </c>
    </row>
    <row r="121" spans="1:10" x14ac:dyDescent="0.3">
      <c r="A121" s="18"/>
      <c r="B121" s="6"/>
      <c r="C121" s="6"/>
      <c r="D121" s="6"/>
      <c r="E121" s="16" t="str">
        <f>IF($B121="","",IFERROR(INDEX(Services!$C$2:$C$120,MATCH($B121,Services!$D$2:$D$120,0)),""))</f>
        <v/>
      </c>
      <c r="F121" s="19"/>
      <c r="G121" s="9" t="str">
        <f t="shared" si="1"/>
        <v/>
      </c>
      <c r="H121" s="15" t="str">
        <f>IF($B121="","",IFERROR(INDEX(Services!$A$2:$A$120,MATCH($B121,Services!$D$2:$D$120,0)),""))</f>
        <v/>
      </c>
      <c r="I121" s="19"/>
      <c r="J121" s="15" t="str">
        <f>IF($B121="","",IFERROR(INDEX(Services!$E$2:$E$120,MATCH($B121,Services!$D$2:$D$120,0)),""))</f>
        <v/>
      </c>
    </row>
    <row r="122" spans="1:10" x14ac:dyDescent="0.3">
      <c r="A122" s="18"/>
      <c r="B122" s="6"/>
      <c r="C122" s="6"/>
      <c r="D122" s="6"/>
      <c r="E122" s="16" t="str">
        <f>IF($B122="","",IFERROR(INDEX(Services!$C$2:$C$120,MATCH($B122,Services!$D$2:$D$120,0)),""))</f>
        <v/>
      </c>
      <c r="F122" s="19"/>
      <c r="G122" s="9" t="str">
        <f t="shared" si="1"/>
        <v/>
      </c>
      <c r="H122" s="15" t="str">
        <f>IF($B122="","",IFERROR(INDEX(Services!$A$2:$A$120,MATCH($B122,Services!$D$2:$D$120,0)),""))</f>
        <v/>
      </c>
      <c r="I122" s="19"/>
      <c r="J122" s="15" t="str">
        <f>IF($B122="","",IFERROR(INDEX(Services!$E$2:$E$120,MATCH($B122,Services!$D$2:$D$120,0)),""))</f>
        <v/>
      </c>
    </row>
    <row r="123" spans="1:10" x14ac:dyDescent="0.3">
      <c r="A123" s="18"/>
      <c r="B123" s="6"/>
      <c r="C123" s="6"/>
      <c r="D123" s="6"/>
      <c r="E123" s="16" t="str">
        <f>IF($B123="","",IFERROR(INDEX(Services!$C$2:$C$120,MATCH($B123,Services!$D$2:$D$120,0)),""))</f>
        <v/>
      </c>
      <c r="F123" s="19"/>
      <c r="G123" s="9" t="str">
        <f t="shared" si="1"/>
        <v/>
      </c>
      <c r="H123" s="15" t="str">
        <f>IF($B123="","",IFERROR(INDEX(Services!$A$2:$A$120,MATCH($B123,Services!$D$2:$D$120,0)),""))</f>
        <v/>
      </c>
      <c r="I123" s="19"/>
      <c r="J123" s="15" t="str">
        <f>IF($B123="","",IFERROR(INDEX(Services!$E$2:$E$120,MATCH($B123,Services!$D$2:$D$120,0)),""))</f>
        <v/>
      </c>
    </row>
    <row r="124" spans="1:10" x14ac:dyDescent="0.3">
      <c r="A124" s="18"/>
      <c r="B124" s="6"/>
      <c r="C124" s="6"/>
      <c r="D124" s="6"/>
      <c r="E124" s="16" t="str">
        <f>IF($B124="","",IFERROR(INDEX(Services!$C$2:$C$120,MATCH($B124,Services!$D$2:$D$120,0)),""))</f>
        <v/>
      </c>
      <c r="F124" s="19"/>
      <c r="G124" s="9" t="str">
        <f t="shared" si="1"/>
        <v/>
      </c>
      <c r="H124" s="15" t="str">
        <f>IF($B124="","",IFERROR(INDEX(Services!$A$2:$A$120,MATCH($B124,Services!$D$2:$D$120,0)),""))</f>
        <v/>
      </c>
      <c r="I124" s="19"/>
      <c r="J124" s="15" t="str">
        <f>IF($B124="","",IFERROR(INDEX(Services!$E$2:$E$120,MATCH($B124,Services!$D$2:$D$120,0)),""))</f>
        <v/>
      </c>
    </row>
    <row r="125" spans="1:10" x14ac:dyDescent="0.3">
      <c r="A125" s="18"/>
      <c r="B125" s="6"/>
      <c r="C125" s="6"/>
      <c r="D125" s="6"/>
      <c r="E125" s="16" t="str">
        <f>IF($B125="","",IFERROR(INDEX(Services!$C$2:$C$120,MATCH($B125,Services!$D$2:$D$120,0)),""))</f>
        <v/>
      </c>
      <c r="F125" s="19"/>
      <c r="G125" s="9" t="str">
        <f t="shared" si="1"/>
        <v/>
      </c>
      <c r="H125" s="15" t="str">
        <f>IF($B125="","",IFERROR(INDEX(Services!$A$2:$A$120,MATCH($B125,Services!$D$2:$D$120,0)),""))</f>
        <v/>
      </c>
      <c r="I125" s="19"/>
      <c r="J125" s="15" t="str">
        <f>IF($B125="","",IFERROR(INDEX(Services!$E$2:$E$120,MATCH($B125,Services!$D$2:$D$120,0)),""))</f>
        <v/>
      </c>
    </row>
    <row r="126" spans="1:10" x14ac:dyDescent="0.3">
      <c r="A126" s="18"/>
      <c r="B126" s="6"/>
      <c r="C126" s="6"/>
      <c r="D126" s="6"/>
      <c r="E126" s="16" t="str">
        <f>IF($B126="","",IFERROR(INDEX(Services!$C$2:$C$120,MATCH($B126,Services!$D$2:$D$120,0)),""))</f>
        <v/>
      </c>
      <c r="F126" s="19"/>
      <c r="G126" s="9" t="str">
        <f t="shared" si="1"/>
        <v/>
      </c>
      <c r="H126" s="15" t="str">
        <f>IF($B126="","",IFERROR(INDEX(Services!$A$2:$A$120,MATCH($B126,Services!$D$2:$D$120,0)),""))</f>
        <v/>
      </c>
      <c r="I126" s="19"/>
      <c r="J126" s="15" t="str">
        <f>IF($B126="","",IFERROR(INDEX(Services!$E$2:$E$120,MATCH($B126,Services!$D$2:$D$120,0)),""))</f>
        <v/>
      </c>
    </row>
    <row r="127" spans="1:10" x14ac:dyDescent="0.3">
      <c r="A127" s="18"/>
      <c r="B127" s="6"/>
      <c r="C127" s="6"/>
      <c r="D127" s="6"/>
      <c r="E127" s="16" t="str">
        <f>IF($B127="","",IFERROR(INDEX(Services!$C$2:$C$120,MATCH($B127,Services!$D$2:$D$120,0)),""))</f>
        <v/>
      </c>
      <c r="F127" s="19"/>
      <c r="G127" s="9" t="str">
        <f t="shared" si="1"/>
        <v/>
      </c>
      <c r="H127" s="15" t="str">
        <f>IF($B127="","",IFERROR(INDEX(Services!$A$2:$A$120,MATCH($B127,Services!$D$2:$D$120,0)),""))</f>
        <v/>
      </c>
      <c r="I127" s="19"/>
      <c r="J127" s="15" t="str">
        <f>IF($B127="","",IFERROR(INDEX(Services!$E$2:$E$120,MATCH($B127,Services!$D$2:$D$120,0)),""))</f>
        <v/>
      </c>
    </row>
    <row r="128" spans="1:10" x14ac:dyDescent="0.3">
      <c r="A128" s="18"/>
      <c r="B128" s="6"/>
      <c r="C128" s="6"/>
      <c r="D128" s="6"/>
      <c r="E128" s="16" t="str">
        <f>IF($B128="","",IFERROR(INDEX(Services!$C$2:$C$120,MATCH($B128,Services!$D$2:$D$120,0)),""))</f>
        <v/>
      </c>
      <c r="F128" s="19"/>
      <c r="G128" s="9" t="str">
        <f t="shared" si="1"/>
        <v/>
      </c>
      <c r="H128" s="15" t="str">
        <f>IF($B128="","",IFERROR(INDEX(Services!$A$2:$A$120,MATCH($B128,Services!$D$2:$D$120,0)),""))</f>
        <v/>
      </c>
      <c r="I128" s="19"/>
      <c r="J128" s="15" t="str">
        <f>IF($B128="","",IFERROR(INDEX(Services!$E$2:$E$120,MATCH($B128,Services!$D$2:$D$120,0)),""))</f>
        <v/>
      </c>
    </row>
    <row r="129" spans="1:10" x14ac:dyDescent="0.3">
      <c r="A129" s="18"/>
      <c r="B129" s="6"/>
      <c r="C129" s="6"/>
      <c r="D129" s="6"/>
      <c r="E129" s="16" t="str">
        <f>IF($B129="","",IFERROR(INDEX(Services!$C$2:$C$120,MATCH($B129,Services!$D$2:$D$120,0)),""))</f>
        <v/>
      </c>
      <c r="F129" s="19"/>
      <c r="G129" s="9" t="str">
        <f t="shared" si="1"/>
        <v/>
      </c>
      <c r="H129" s="15" t="str">
        <f>IF($B129="","",IFERROR(INDEX(Services!$A$2:$A$120,MATCH($B129,Services!$D$2:$D$120,0)),""))</f>
        <v/>
      </c>
      <c r="I129" s="19"/>
      <c r="J129" s="15" t="str">
        <f>IF($B129="","",IFERROR(INDEX(Services!$E$2:$E$120,MATCH($B129,Services!$D$2:$D$120,0)),""))</f>
        <v/>
      </c>
    </row>
    <row r="130" spans="1:10" x14ac:dyDescent="0.3">
      <c r="A130" s="18"/>
      <c r="B130" s="6"/>
      <c r="C130" s="6"/>
      <c r="D130" s="6"/>
      <c r="E130" s="16" t="str">
        <f>IF($B130="","",IFERROR(INDEX(Services!$C$2:$C$120,MATCH($B130,Services!$D$2:$D$120,0)),""))</f>
        <v/>
      </c>
      <c r="F130" s="19"/>
      <c r="G130" s="9" t="str">
        <f t="shared" ref="G130:G193" si="2">IF(OR($B130="",NOT(ISNUMBER($E130))),"",$E130-IF($F130="",0,$F130))</f>
        <v/>
      </c>
      <c r="H130" s="15" t="str">
        <f>IF($B130="","",IFERROR(INDEX(Services!$A$2:$A$120,MATCH($B130,Services!$D$2:$D$120,0)),""))</f>
        <v/>
      </c>
      <c r="I130" s="19"/>
      <c r="J130" s="15" t="str">
        <f>IF($B130="","",IFERROR(INDEX(Services!$E$2:$E$120,MATCH($B130,Services!$D$2:$D$120,0)),""))</f>
        <v/>
      </c>
    </row>
    <row r="131" spans="1:10" x14ac:dyDescent="0.3">
      <c r="A131" s="18"/>
      <c r="B131" s="6"/>
      <c r="C131" s="6"/>
      <c r="D131" s="6"/>
      <c r="E131" s="16" t="str">
        <f>IF($B131="","",IFERROR(INDEX(Services!$C$2:$C$120,MATCH($B131,Services!$D$2:$D$120,0)),""))</f>
        <v/>
      </c>
      <c r="F131" s="19"/>
      <c r="G131" s="9" t="str">
        <f t="shared" si="2"/>
        <v/>
      </c>
      <c r="H131" s="15" t="str">
        <f>IF($B131="","",IFERROR(INDEX(Services!$A$2:$A$120,MATCH($B131,Services!$D$2:$D$120,0)),""))</f>
        <v/>
      </c>
      <c r="I131" s="19"/>
      <c r="J131" s="15" t="str">
        <f>IF($B131="","",IFERROR(INDEX(Services!$E$2:$E$120,MATCH($B131,Services!$D$2:$D$120,0)),""))</f>
        <v/>
      </c>
    </row>
    <row r="132" spans="1:10" x14ac:dyDescent="0.3">
      <c r="A132" s="18"/>
      <c r="B132" s="6"/>
      <c r="C132" s="6"/>
      <c r="D132" s="6"/>
      <c r="E132" s="16" t="str">
        <f>IF($B132="","",IFERROR(INDEX(Services!$C$2:$C$120,MATCH($B132,Services!$D$2:$D$120,0)),""))</f>
        <v/>
      </c>
      <c r="F132" s="19"/>
      <c r="G132" s="9" t="str">
        <f t="shared" si="2"/>
        <v/>
      </c>
      <c r="H132" s="15" t="str">
        <f>IF($B132="","",IFERROR(INDEX(Services!$A$2:$A$120,MATCH($B132,Services!$D$2:$D$120,0)),""))</f>
        <v/>
      </c>
      <c r="I132" s="19"/>
      <c r="J132" s="15" t="str">
        <f>IF($B132="","",IFERROR(INDEX(Services!$E$2:$E$120,MATCH($B132,Services!$D$2:$D$120,0)),""))</f>
        <v/>
      </c>
    </row>
    <row r="133" spans="1:10" x14ac:dyDescent="0.3">
      <c r="A133" s="18"/>
      <c r="B133" s="6"/>
      <c r="C133" s="6"/>
      <c r="D133" s="6"/>
      <c r="E133" s="16" t="str">
        <f>IF($B133="","",IFERROR(INDEX(Services!$C$2:$C$120,MATCH($B133,Services!$D$2:$D$120,0)),""))</f>
        <v/>
      </c>
      <c r="F133" s="19"/>
      <c r="G133" s="9" t="str">
        <f t="shared" si="2"/>
        <v/>
      </c>
      <c r="H133" s="15" t="str">
        <f>IF($B133="","",IFERROR(INDEX(Services!$A$2:$A$120,MATCH($B133,Services!$D$2:$D$120,0)),""))</f>
        <v/>
      </c>
      <c r="I133" s="19"/>
      <c r="J133" s="15" t="str">
        <f>IF($B133="","",IFERROR(INDEX(Services!$E$2:$E$120,MATCH($B133,Services!$D$2:$D$120,0)),""))</f>
        <v/>
      </c>
    </row>
    <row r="134" spans="1:10" x14ac:dyDescent="0.3">
      <c r="A134" s="18"/>
      <c r="B134" s="6"/>
      <c r="C134" s="6"/>
      <c r="D134" s="6"/>
      <c r="E134" s="16" t="str">
        <f>IF($B134="","",IFERROR(INDEX(Services!$C$2:$C$120,MATCH($B134,Services!$D$2:$D$120,0)),""))</f>
        <v/>
      </c>
      <c r="F134" s="19"/>
      <c r="G134" s="9" t="str">
        <f t="shared" si="2"/>
        <v/>
      </c>
      <c r="H134" s="15" t="str">
        <f>IF($B134="","",IFERROR(INDEX(Services!$A$2:$A$120,MATCH($B134,Services!$D$2:$D$120,0)),""))</f>
        <v/>
      </c>
      <c r="I134" s="19"/>
      <c r="J134" s="15" t="str">
        <f>IF($B134="","",IFERROR(INDEX(Services!$E$2:$E$120,MATCH($B134,Services!$D$2:$D$120,0)),""))</f>
        <v/>
      </c>
    </row>
    <row r="135" spans="1:10" x14ac:dyDescent="0.3">
      <c r="A135" s="18"/>
      <c r="B135" s="6"/>
      <c r="C135" s="6"/>
      <c r="D135" s="6"/>
      <c r="E135" s="16" t="str">
        <f>IF($B135="","",IFERROR(INDEX(Services!$C$2:$C$120,MATCH($B135,Services!$D$2:$D$120,0)),""))</f>
        <v/>
      </c>
      <c r="F135" s="19"/>
      <c r="G135" s="9" t="str">
        <f t="shared" si="2"/>
        <v/>
      </c>
      <c r="H135" s="15" t="str">
        <f>IF($B135="","",IFERROR(INDEX(Services!$A$2:$A$120,MATCH($B135,Services!$D$2:$D$120,0)),""))</f>
        <v/>
      </c>
      <c r="I135" s="19"/>
      <c r="J135" s="15" t="str">
        <f>IF($B135="","",IFERROR(INDEX(Services!$E$2:$E$120,MATCH($B135,Services!$D$2:$D$120,0)),""))</f>
        <v/>
      </c>
    </row>
    <row r="136" spans="1:10" x14ac:dyDescent="0.3">
      <c r="A136" s="18"/>
      <c r="B136" s="6"/>
      <c r="C136" s="6"/>
      <c r="D136" s="6"/>
      <c r="E136" s="16" t="str">
        <f>IF($B136="","",IFERROR(INDEX(Services!$C$2:$C$120,MATCH($B136,Services!$D$2:$D$120,0)),""))</f>
        <v/>
      </c>
      <c r="F136" s="19"/>
      <c r="G136" s="9" t="str">
        <f t="shared" si="2"/>
        <v/>
      </c>
      <c r="H136" s="15" t="str">
        <f>IF($B136="","",IFERROR(INDEX(Services!$A$2:$A$120,MATCH($B136,Services!$D$2:$D$120,0)),""))</f>
        <v/>
      </c>
      <c r="I136" s="19"/>
      <c r="J136" s="15" t="str">
        <f>IF($B136="","",IFERROR(INDEX(Services!$E$2:$E$120,MATCH($B136,Services!$D$2:$D$120,0)),""))</f>
        <v/>
      </c>
    </row>
    <row r="137" spans="1:10" x14ac:dyDescent="0.3">
      <c r="A137" s="18"/>
      <c r="B137" s="6"/>
      <c r="C137" s="6"/>
      <c r="D137" s="6"/>
      <c r="E137" s="16" t="str">
        <f>IF($B137="","",IFERROR(INDEX(Services!$C$2:$C$120,MATCH($B137,Services!$D$2:$D$120,0)),""))</f>
        <v/>
      </c>
      <c r="F137" s="19"/>
      <c r="G137" s="9" t="str">
        <f t="shared" si="2"/>
        <v/>
      </c>
      <c r="H137" s="15" t="str">
        <f>IF($B137="","",IFERROR(INDEX(Services!$A$2:$A$120,MATCH($B137,Services!$D$2:$D$120,0)),""))</f>
        <v/>
      </c>
      <c r="I137" s="19"/>
      <c r="J137" s="15" t="str">
        <f>IF($B137="","",IFERROR(INDEX(Services!$E$2:$E$120,MATCH($B137,Services!$D$2:$D$120,0)),""))</f>
        <v/>
      </c>
    </row>
    <row r="138" spans="1:10" x14ac:dyDescent="0.3">
      <c r="A138" s="18"/>
      <c r="B138" s="6"/>
      <c r="C138" s="6"/>
      <c r="D138" s="6"/>
      <c r="E138" s="16" t="str">
        <f>IF($B138="","",IFERROR(INDEX(Services!$C$2:$C$120,MATCH($B138,Services!$D$2:$D$120,0)),""))</f>
        <v/>
      </c>
      <c r="F138" s="19"/>
      <c r="G138" s="9" t="str">
        <f t="shared" si="2"/>
        <v/>
      </c>
      <c r="H138" s="15" t="str">
        <f>IF($B138="","",IFERROR(INDEX(Services!$A$2:$A$120,MATCH($B138,Services!$D$2:$D$120,0)),""))</f>
        <v/>
      </c>
      <c r="I138" s="19"/>
      <c r="J138" s="15" t="str">
        <f>IF($B138="","",IFERROR(INDEX(Services!$E$2:$E$120,MATCH($B138,Services!$D$2:$D$120,0)),""))</f>
        <v/>
      </c>
    </row>
    <row r="139" spans="1:10" x14ac:dyDescent="0.3">
      <c r="A139" s="18"/>
      <c r="B139" s="6"/>
      <c r="C139" s="6"/>
      <c r="D139" s="6"/>
      <c r="E139" s="16" t="str">
        <f>IF($B139="","",IFERROR(INDEX(Services!$C$2:$C$120,MATCH($B139,Services!$D$2:$D$120,0)),""))</f>
        <v/>
      </c>
      <c r="F139" s="19"/>
      <c r="G139" s="9" t="str">
        <f t="shared" si="2"/>
        <v/>
      </c>
      <c r="H139" s="15" t="str">
        <f>IF($B139="","",IFERROR(INDEX(Services!$A$2:$A$120,MATCH($B139,Services!$D$2:$D$120,0)),""))</f>
        <v/>
      </c>
      <c r="I139" s="19"/>
      <c r="J139" s="15" t="str">
        <f>IF($B139="","",IFERROR(INDEX(Services!$E$2:$E$120,MATCH($B139,Services!$D$2:$D$120,0)),""))</f>
        <v/>
      </c>
    </row>
    <row r="140" spans="1:10" x14ac:dyDescent="0.3">
      <c r="A140" s="18"/>
      <c r="B140" s="6"/>
      <c r="C140" s="6"/>
      <c r="D140" s="6"/>
      <c r="E140" s="16" t="str">
        <f>IF($B140="","",IFERROR(INDEX(Services!$C$2:$C$120,MATCH($B140,Services!$D$2:$D$120,0)),""))</f>
        <v/>
      </c>
      <c r="F140" s="19"/>
      <c r="G140" s="9" t="str">
        <f t="shared" si="2"/>
        <v/>
      </c>
      <c r="H140" s="15" t="str">
        <f>IF($B140="","",IFERROR(INDEX(Services!$A$2:$A$120,MATCH($B140,Services!$D$2:$D$120,0)),""))</f>
        <v/>
      </c>
      <c r="I140" s="19"/>
      <c r="J140" s="15" t="str">
        <f>IF($B140="","",IFERROR(INDEX(Services!$E$2:$E$120,MATCH($B140,Services!$D$2:$D$120,0)),""))</f>
        <v/>
      </c>
    </row>
    <row r="141" spans="1:10" x14ac:dyDescent="0.3">
      <c r="A141" s="18"/>
      <c r="B141" s="6"/>
      <c r="C141" s="6"/>
      <c r="D141" s="6"/>
      <c r="E141" s="16" t="str">
        <f>IF($B141="","",IFERROR(INDEX(Services!$C$2:$C$120,MATCH($B141,Services!$D$2:$D$120,0)),""))</f>
        <v/>
      </c>
      <c r="F141" s="19"/>
      <c r="G141" s="9" t="str">
        <f t="shared" si="2"/>
        <v/>
      </c>
      <c r="H141" s="15" t="str">
        <f>IF($B141="","",IFERROR(INDEX(Services!$A$2:$A$120,MATCH($B141,Services!$D$2:$D$120,0)),""))</f>
        <v/>
      </c>
      <c r="I141" s="19"/>
      <c r="J141" s="15" t="str">
        <f>IF($B141="","",IFERROR(INDEX(Services!$E$2:$E$120,MATCH($B141,Services!$D$2:$D$120,0)),""))</f>
        <v/>
      </c>
    </row>
    <row r="142" spans="1:10" x14ac:dyDescent="0.3">
      <c r="A142" s="18"/>
      <c r="B142" s="6"/>
      <c r="C142" s="6"/>
      <c r="D142" s="6"/>
      <c r="E142" s="16" t="str">
        <f>IF($B142="","",IFERROR(INDEX(Services!$C$2:$C$120,MATCH($B142,Services!$D$2:$D$120,0)),""))</f>
        <v/>
      </c>
      <c r="F142" s="19"/>
      <c r="G142" s="9" t="str">
        <f t="shared" si="2"/>
        <v/>
      </c>
      <c r="H142" s="15" t="str">
        <f>IF($B142="","",IFERROR(INDEX(Services!$A$2:$A$120,MATCH($B142,Services!$D$2:$D$120,0)),""))</f>
        <v/>
      </c>
      <c r="I142" s="19"/>
      <c r="J142" s="15" t="str">
        <f>IF($B142="","",IFERROR(INDEX(Services!$E$2:$E$120,MATCH($B142,Services!$D$2:$D$120,0)),""))</f>
        <v/>
      </c>
    </row>
    <row r="143" spans="1:10" x14ac:dyDescent="0.3">
      <c r="A143" s="18"/>
      <c r="B143" s="6"/>
      <c r="C143" s="6"/>
      <c r="D143" s="6"/>
      <c r="E143" s="16" t="str">
        <f>IF($B143="","",IFERROR(INDEX(Services!$C$2:$C$120,MATCH($B143,Services!$D$2:$D$120,0)),""))</f>
        <v/>
      </c>
      <c r="F143" s="19"/>
      <c r="G143" s="9" t="str">
        <f t="shared" si="2"/>
        <v/>
      </c>
      <c r="H143" s="15" t="str">
        <f>IF($B143="","",IFERROR(INDEX(Services!$A$2:$A$120,MATCH($B143,Services!$D$2:$D$120,0)),""))</f>
        <v/>
      </c>
      <c r="I143" s="19"/>
      <c r="J143" s="15" t="str">
        <f>IF($B143="","",IFERROR(INDEX(Services!$E$2:$E$120,MATCH($B143,Services!$D$2:$D$120,0)),""))</f>
        <v/>
      </c>
    </row>
    <row r="144" spans="1:10" x14ac:dyDescent="0.3">
      <c r="A144" s="18"/>
      <c r="B144" s="6"/>
      <c r="C144" s="6"/>
      <c r="D144" s="6"/>
      <c r="E144" s="16" t="str">
        <f>IF($B144="","",IFERROR(INDEX(Services!$C$2:$C$120,MATCH($B144,Services!$D$2:$D$120,0)),""))</f>
        <v/>
      </c>
      <c r="F144" s="19"/>
      <c r="G144" s="9" t="str">
        <f t="shared" si="2"/>
        <v/>
      </c>
      <c r="H144" s="15" t="str">
        <f>IF($B144="","",IFERROR(INDEX(Services!$A$2:$A$120,MATCH($B144,Services!$D$2:$D$120,0)),""))</f>
        <v/>
      </c>
      <c r="I144" s="19"/>
      <c r="J144" s="15" t="str">
        <f>IF($B144="","",IFERROR(INDEX(Services!$E$2:$E$120,MATCH($B144,Services!$D$2:$D$120,0)),""))</f>
        <v/>
      </c>
    </row>
    <row r="145" spans="1:10" x14ac:dyDescent="0.3">
      <c r="A145" s="18"/>
      <c r="B145" s="6"/>
      <c r="C145" s="6"/>
      <c r="D145" s="6"/>
      <c r="E145" s="16" t="str">
        <f>IF($B145="","",IFERROR(INDEX(Services!$C$2:$C$120,MATCH($B145,Services!$D$2:$D$120,0)),""))</f>
        <v/>
      </c>
      <c r="F145" s="19"/>
      <c r="G145" s="9" t="str">
        <f t="shared" si="2"/>
        <v/>
      </c>
      <c r="H145" s="15" t="str">
        <f>IF($B145="","",IFERROR(INDEX(Services!$A$2:$A$120,MATCH($B145,Services!$D$2:$D$120,0)),""))</f>
        <v/>
      </c>
      <c r="I145" s="19"/>
      <c r="J145" s="15" t="str">
        <f>IF($B145="","",IFERROR(INDEX(Services!$E$2:$E$120,MATCH($B145,Services!$D$2:$D$120,0)),""))</f>
        <v/>
      </c>
    </row>
    <row r="146" spans="1:10" x14ac:dyDescent="0.3">
      <c r="A146" s="18"/>
      <c r="B146" s="6"/>
      <c r="C146" s="6"/>
      <c r="D146" s="6"/>
      <c r="E146" s="16" t="str">
        <f>IF($B146="","",IFERROR(INDEX(Services!$C$2:$C$120,MATCH($B146,Services!$D$2:$D$120,0)),""))</f>
        <v/>
      </c>
      <c r="F146" s="19"/>
      <c r="G146" s="9" t="str">
        <f t="shared" si="2"/>
        <v/>
      </c>
      <c r="H146" s="15" t="str">
        <f>IF($B146="","",IFERROR(INDEX(Services!$A$2:$A$120,MATCH($B146,Services!$D$2:$D$120,0)),""))</f>
        <v/>
      </c>
      <c r="I146" s="19"/>
      <c r="J146" s="15" t="str">
        <f>IF($B146="","",IFERROR(INDEX(Services!$E$2:$E$120,MATCH($B146,Services!$D$2:$D$120,0)),""))</f>
        <v/>
      </c>
    </row>
    <row r="147" spans="1:10" x14ac:dyDescent="0.3">
      <c r="A147" s="18"/>
      <c r="B147" s="6"/>
      <c r="C147" s="6"/>
      <c r="D147" s="6"/>
      <c r="E147" s="16" t="str">
        <f>IF($B147="","",IFERROR(INDEX(Services!$C$2:$C$120,MATCH($B147,Services!$D$2:$D$120,0)),""))</f>
        <v/>
      </c>
      <c r="F147" s="19"/>
      <c r="G147" s="9" t="str">
        <f t="shared" si="2"/>
        <v/>
      </c>
      <c r="H147" s="15" t="str">
        <f>IF($B147="","",IFERROR(INDEX(Services!$A$2:$A$120,MATCH($B147,Services!$D$2:$D$120,0)),""))</f>
        <v/>
      </c>
      <c r="I147" s="19"/>
      <c r="J147" s="15" t="str">
        <f>IF($B147="","",IFERROR(INDEX(Services!$E$2:$E$120,MATCH($B147,Services!$D$2:$D$120,0)),""))</f>
        <v/>
      </c>
    </row>
    <row r="148" spans="1:10" x14ac:dyDescent="0.3">
      <c r="A148" s="18"/>
      <c r="B148" s="6"/>
      <c r="C148" s="6"/>
      <c r="D148" s="6"/>
      <c r="E148" s="16" t="str">
        <f>IF($B148="","",IFERROR(INDEX(Services!$C$2:$C$120,MATCH($B148,Services!$D$2:$D$120,0)),""))</f>
        <v/>
      </c>
      <c r="F148" s="19"/>
      <c r="G148" s="9" t="str">
        <f t="shared" si="2"/>
        <v/>
      </c>
      <c r="H148" s="15" t="str">
        <f>IF($B148="","",IFERROR(INDEX(Services!$A$2:$A$120,MATCH($B148,Services!$D$2:$D$120,0)),""))</f>
        <v/>
      </c>
      <c r="I148" s="19"/>
      <c r="J148" s="15" t="str">
        <f>IF($B148="","",IFERROR(INDEX(Services!$E$2:$E$120,MATCH($B148,Services!$D$2:$D$120,0)),""))</f>
        <v/>
      </c>
    </row>
    <row r="149" spans="1:10" x14ac:dyDescent="0.3">
      <c r="A149" s="18"/>
      <c r="B149" s="6"/>
      <c r="C149" s="6"/>
      <c r="D149" s="6"/>
      <c r="E149" s="16" t="str">
        <f>IF($B149="","",IFERROR(INDEX(Services!$C$2:$C$120,MATCH($B149,Services!$D$2:$D$120,0)),""))</f>
        <v/>
      </c>
      <c r="F149" s="19"/>
      <c r="G149" s="9" t="str">
        <f t="shared" si="2"/>
        <v/>
      </c>
      <c r="H149" s="15" t="str">
        <f>IF($B149="","",IFERROR(INDEX(Services!$A$2:$A$120,MATCH($B149,Services!$D$2:$D$120,0)),""))</f>
        <v/>
      </c>
      <c r="I149" s="19"/>
      <c r="J149" s="15" t="str">
        <f>IF($B149="","",IFERROR(INDEX(Services!$E$2:$E$120,MATCH($B149,Services!$D$2:$D$120,0)),""))</f>
        <v/>
      </c>
    </row>
    <row r="150" spans="1:10" x14ac:dyDescent="0.3">
      <c r="A150" s="18"/>
      <c r="B150" s="6"/>
      <c r="C150" s="6"/>
      <c r="D150" s="6"/>
      <c r="E150" s="16" t="str">
        <f>IF($B150="","",IFERROR(INDEX(Services!$C$2:$C$120,MATCH($B150,Services!$D$2:$D$120,0)),""))</f>
        <v/>
      </c>
      <c r="F150" s="19"/>
      <c r="G150" s="9" t="str">
        <f t="shared" si="2"/>
        <v/>
      </c>
      <c r="H150" s="15" t="str">
        <f>IF($B150="","",IFERROR(INDEX(Services!$A$2:$A$120,MATCH($B150,Services!$D$2:$D$120,0)),""))</f>
        <v/>
      </c>
      <c r="I150" s="19"/>
      <c r="J150" s="15" t="str">
        <f>IF($B150="","",IFERROR(INDEX(Services!$E$2:$E$120,MATCH($B150,Services!$D$2:$D$120,0)),""))</f>
        <v/>
      </c>
    </row>
    <row r="151" spans="1:10" x14ac:dyDescent="0.3">
      <c r="A151" s="18"/>
      <c r="B151" s="6"/>
      <c r="C151" s="6"/>
      <c r="D151" s="6"/>
      <c r="E151" s="16" t="str">
        <f>IF($B151="","",IFERROR(INDEX(Services!$C$2:$C$120,MATCH($B151,Services!$D$2:$D$120,0)),""))</f>
        <v/>
      </c>
      <c r="F151" s="19"/>
      <c r="G151" s="9" t="str">
        <f t="shared" si="2"/>
        <v/>
      </c>
      <c r="H151" s="15" t="str">
        <f>IF($B151="","",IFERROR(INDEX(Services!$A$2:$A$120,MATCH($B151,Services!$D$2:$D$120,0)),""))</f>
        <v/>
      </c>
      <c r="I151" s="19"/>
      <c r="J151" s="15" t="str">
        <f>IF($B151="","",IFERROR(INDEX(Services!$E$2:$E$120,MATCH($B151,Services!$D$2:$D$120,0)),""))</f>
        <v/>
      </c>
    </row>
    <row r="152" spans="1:10" x14ac:dyDescent="0.3">
      <c r="A152" s="18"/>
      <c r="B152" s="6"/>
      <c r="C152" s="6"/>
      <c r="D152" s="6"/>
      <c r="E152" s="16" t="str">
        <f>IF($B152="","",IFERROR(INDEX(Services!$C$2:$C$120,MATCH($B152,Services!$D$2:$D$120,0)),""))</f>
        <v/>
      </c>
      <c r="F152" s="19"/>
      <c r="G152" s="9" t="str">
        <f t="shared" si="2"/>
        <v/>
      </c>
      <c r="H152" s="15" t="str">
        <f>IF($B152="","",IFERROR(INDEX(Services!$A$2:$A$120,MATCH($B152,Services!$D$2:$D$120,0)),""))</f>
        <v/>
      </c>
      <c r="I152" s="19"/>
      <c r="J152" s="15" t="str">
        <f>IF($B152="","",IFERROR(INDEX(Services!$E$2:$E$120,MATCH($B152,Services!$D$2:$D$120,0)),""))</f>
        <v/>
      </c>
    </row>
    <row r="153" spans="1:10" x14ac:dyDescent="0.3">
      <c r="A153" s="18"/>
      <c r="B153" s="6"/>
      <c r="C153" s="6"/>
      <c r="D153" s="6"/>
      <c r="E153" s="16" t="str">
        <f>IF($B153="","",IFERROR(INDEX(Services!$C$2:$C$120,MATCH($B153,Services!$D$2:$D$120,0)),""))</f>
        <v/>
      </c>
      <c r="F153" s="19"/>
      <c r="G153" s="9" t="str">
        <f t="shared" si="2"/>
        <v/>
      </c>
      <c r="H153" s="15" t="str">
        <f>IF($B153="","",IFERROR(INDEX(Services!$A$2:$A$120,MATCH($B153,Services!$D$2:$D$120,0)),""))</f>
        <v/>
      </c>
      <c r="I153" s="19"/>
      <c r="J153" s="15" t="str">
        <f>IF($B153="","",IFERROR(INDEX(Services!$E$2:$E$120,MATCH($B153,Services!$D$2:$D$120,0)),""))</f>
        <v/>
      </c>
    </row>
    <row r="154" spans="1:10" x14ac:dyDescent="0.3">
      <c r="A154" s="18"/>
      <c r="B154" s="6"/>
      <c r="C154" s="6"/>
      <c r="D154" s="6"/>
      <c r="E154" s="16" t="str">
        <f>IF($B154="","",IFERROR(INDEX(Services!$C$2:$C$120,MATCH($B154,Services!$D$2:$D$120,0)),""))</f>
        <v/>
      </c>
      <c r="F154" s="19"/>
      <c r="G154" s="9" t="str">
        <f t="shared" si="2"/>
        <v/>
      </c>
      <c r="H154" s="15" t="str">
        <f>IF($B154="","",IFERROR(INDEX(Services!$A$2:$A$120,MATCH($B154,Services!$D$2:$D$120,0)),""))</f>
        <v/>
      </c>
      <c r="I154" s="19"/>
      <c r="J154" s="15" t="str">
        <f>IF($B154="","",IFERROR(INDEX(Services!$E$2:$E$120,MATCH($B154,Services!$D$2:$D$120,0)),""))</f>
        <v/>
      </c>
    </row>
    <row r="155" spans="1:10" x14ac:dyDescent="0.3">
      <c r="A155" s="18"/>
      <c r="B155" s="6"/>
      <c r="C155" s="6"/>
      <c r="D155" s="6"/>
      <c r="E155" s="16" t="str">
        <f>IF($B155="","",IFERROR(INDEX(Services!$C$2:$C$120,MATCH($B155,Services!$D$2:$D$120,0)),""))</f>
        <v/>
      </c>
      <c r="F155" s="19"/>
      <c r="G155" s="9" t="str">
        <f t="shared" si="2"/>
        <v/>
      </c>
      <c r="H155" s="15" t="str">
        <f>IF($B155="","",IFERROR(INDEX(Services!$A$2:$A$120,MATCH($B155,Services!$D$2:$D$120,0)),""))</f>
        <v/>
      </c>
      <c r="I155" s="19"/>
      <c r="J155" s="15" t="str">
        <f>IF($B155="","",IFERROR(INDEX(Services!$E$2:$E$120,MATCH($B155,Services!$D$2:$D$120,0)),""))</f>
        <v/>
      </c>
    </row>
    <row r="156" spans="1:10" x14ac:dyDescent="0.3">
      <c r="A156" s="18"/>
      <c r="B156" s="6"/>
      <c r="C156" s="6"/>
      <c r="D156" s="6"/>
      <c r="E156" s="16" t="str">
        <f>IF($B156="","",IFERROR(INDEX(Services!$C$2:$C$120,MATCH($B156,Services!$D$2:$D$120,0)),""))</f>
        <v/>
      </c>
      <c r="F156" s="19"/>
      <c r="G156" s="9" t="str">
        <f t="shared" si="2"/>
        <v/>
      </c>
      <c r="H156" s="15" t="str">
        <f>IF($B156="","",IFERROR(INDEX(Services!$A$2:$A$120,MATCH($B156,Services!$D$2:$D$120,0)),""))</f>
        <v/>
      </c>
      <c r="I156" s="19"/>
      <c r="J156" s="15" t="str">
        <f>IF($B156="","",IFERROR(INDEX(Services!$E$2:$E$120,MATCH($B156,Services!$D$2:$D$120,0)),""))</f>
        <v/>
      </c>
    </row>
    <row r="157" spans="1:10" x14ac:dyDescent="0.3">
      <c r="A157" s="18"/>
      <c r="B157" s="6"/>
      <c r="C157" s="6"/>
      <c r="D157" s="6"/>
      <c r="E157" s="16" t="str">
        <f>IF($B157="","",IFERROR(INDEX(Services!$C$2:$C$120,MATCH($B157,Services!$D$2:$D$120,0)),""))</f>
        <v/>
      </c>
      <c r="F157" s="19"/>
      <c r="G157" s="9" t="str">
        <f t="shared" si="2"/>
        <v/>
      </c>
      <c r="H157" s="15" t="str">
        <f>IF($B157="","",IFERROR(INDEX(Services!$A$2:$A$120,MATCH($B157,Services!$D$2:$D$120,0)),""))</f>
        <v/>
      </c>
      <c r="I157" s="19"/>
      <c r="J157" s="15" t="str">
        <f>IF($B157="","",IFERROR(INDEX(Services!$E$2:$E$120,MATCH($B157,Services!$D$2:$D$120,0)),""))</f>
        <v/>
      </c>
    </row>
    <row r="158" spans="1:10" x14ac:dyDescent="0.3">
      <c r="A158" s="18"/>
      <c r="B158" s="6"/>
      <c r="C158" s="6"/>
      <c r="D158" s="6"/>
      <c r="E158" s="16" t="str">
        <f>IF($B158="","",IFERROR(INDEX(Services!$C$2:$C$120,MATCH($B158,Services!$D$2:$D$120,0)),""))</f>
        <v/>
      </c>
      <c r="F158" s="19"/>
      <c r="G158" s="9" t="str">
        <f t="shared" si="2"/>
        <v/>
      </c>
      <c r="H158" s="15" t="str">
        <f>IF($B158="","",IFERROR(INDEX(Services!$A$2:$A$120,MATCH($B158,Services!$D$2:$D$120,0)),""))</f>
        <v/>
      </c>
      <c r="I158" s="19"/>
      <c r="J158" s="15" t="str">
        <f>IF($B158="","",IFERROR(INDEX(Services!$E$2:$E$120,MATCH($B158,Services!$D$2:$D$120,0)),""))</f>
        <v/>
      </c>
    </row>
    <row r="159" spans="1:10" x14ac:dyDescent="0.3">
      <c r="A159" s="18"/>
      <c r="B159" s="6"/>
      <c r="C159" s="6"/>
      <c r="D159" s="6"/>
      <c r="E159" s="16" t="str">
        <f>IF($B159="","",IFERROR(INDEX(Services!$C$2:$C$120,MATCH($B159,Services!$D$2:$D$120,0)),""))</f>
        <v/>
      </c>
      <c r="F159" s="19"/>
      <c r="G159" s="9" t="str">
        <f t="shared" si="2"/>
        <v/>
      </c>
      <c r="H159" s="15" t="str">
        <f>IF($B159="","",IFERROR(INDEX(Services!$A$2:$A$120,MATCH($B159,Services!$D$2:$D$120,0)),""))</f>
        <v/>
      </c>
      <c r="I159" s="19"/>
      <c r="J159" s="15" t="str">
        <f>IF($B159="","",IFERROR(INDEX(Services!$E$2:$E$120,MATCH($B159,Services!$D$2:$D$120,0)),""))</f>
        <v/>
      </c>
    </row>
    <row r="160" spans="1:10" x14ac:dyDescent="0.3">
      <c r="A160" s="18"/>
      <c r="B160" s="6"/>
      <c r="C160" s="6"/>
      <c r="D160" s="6"/>
      <c r="E160" s="16" t="str">
        <f>IF($B160="","",IFERROR(INDEX(Services!$C$2:$C$120,MATCH($B160,Services!$D$2:$D$120,0)),""))</f>
        <v/>
      </c>
      <c r="F160" s="19"/>
      <c r="G160" s="9" t="str">
        <f t="shared" si="2"/>
        <v/>
      </c>
      <c r="H160" s="15" t="str">
        <f>IF($B160="","",IFERROR(INDEX(Services!$A$2:$A$120,MATCH($B160,Services!$D$2:$D$120,0)),""))</f>
        <v/>
      </c>
      <c r="I160" s="19"/>
      <c r="J160" s="15" t="str">
        <f>IF($B160="","",IFERROR(INDEX(Services!$E$2:$E$120,MATCH($B160,Services!$D$2:$D$120,0)),""))</f>
        <v/>
      </c>
    </row>
    <row r="161" spans="1:10" x14ac:dyDescent="0.3">
      <c r="A161" s="18"/>
      <c r="B161" s="6"/>
      <c r="C161" s="6"/>
      <c r="D161" s="6"/>
      <c r="E161" s="16" t="str">
        <f>IF($B161="","",IFERROR(INDEX(Services!$C$2:$C$120,MATCH($B161,Services!$D$2:$D$120,0)),""))</f>
        <v/>
      </c>
      <c r="F161" s="19"/>
      <c r="G161" s="9" t="str">
        <f t="shared" si="2"/>
        <v/>
      </c>
      <c r="H161" s="15" t="str">
        <f>IF($B161="","",IFERROR(INDEX(Services!$A$2:$A$120,MATCH($B161,Services!$D$2:$D$120,0)),""))</f>
        <v/>
      </c>
      <c r="I161" s="19"/>
      <c r="J161" s="15" t="str">
        <f>IF($B161="","",IFERROR(INDEX(Services!$E$2:$E$120,MATCH($B161,Services!$D$2:$D$120,0)),""))</f>
        <v/>
      </c>
    </row>
    <row r="162" spans="1:10" x14ac:dyDescent="0.3">
      <c r="A162" s="18"/>
      <c r="B162" s="6"/>
      <c r="C162" s="6"/>
      <c r="D162" s="6"/>
      <c r="E162" s="16" t="str">
        <f>IF($B162="","",IFERROR(INDEX(Services!$C$2:$C$120,MATCH($B162,Services!$D$2:$D$120,0)),""))</f>
        <v/>
      </c>
      <c r="F162" s="19"/>
      <c r="G162" s="9" t="str">
        <f t="shared" si="2"/>
        <v/>
      </c>
      <c r="H162" s="15" t="str">
        <f>IF($B162="","",IFERROR(INDEX(Services!$A$2:$A$120,MATCH($B162,Services!$D$2:$D$120,0)),""))</f>
        <v/>
      </c>
      <c r="I162" s="19"/>
      <c r="J162" s="15" t="str">
        <f>IF($B162="","",IFERROR(INDEX(Services!$E$2:$E$120,MATCH($B162,Services!$D$2:$D$120,0)),""))</f>
        <v/>
      </c>
    </row>
    <row r="163" spans="1:10" x14ac:dyDescent="0.3">
      <c r="A163" s="18"/>
      <c r="B163" s="6"/>
      <c r="C163" s="6"/>
      <c r="D163" s="6"/>
      <c r="E163" s="16" t="str">
        <f>IF($B163="","",IFERROR(INDEX(Services!$C$2:$C$120,MATCH($B163,Services!$D$2:$D$120,0)),""))</f>
        <v/>
      </c>
      <c r="F163" s="19"/>
      <c r="G163" s="9" t="str">
        <f t="shared" si="2"/>
        <v/>
      </c>
      <c r="H163" s="15" t="str">
        <f>IF($B163="","",IFERROR(INDEX(Services!$A$2:$A$120,MATCH($B163,Services!$D$2:$D$120,0)),""))</f>
        <v/>
      </c>
      <c r="I163" s="19"/>
      <c r="J163" s="15" t="str">
        <f>IF($B163="","",IFERROR(INDEX(Services!$E$2:$E$120,MATCH($B163,Services!$D$2:$D$120,0)),""))</f>
        <v/>
      </c>
    </row>
    <row r="164" spans="1:10" x14ac:dyDescent="0.3">
      <c r="A164" s="18"/>
      <c r="B164" s="6"/>
      <c r="C164" s="6"/>
      <c r="D164" s="6"/>
      <c r="E164" s="16" t="str">
        <f>IF($B164="","",IFERROR(INDEX(Services!$C$2:$C$120,MATCH($B164,Services!$D$2:$D$120,0)),""))</f>
        <v/>
      </c>
      <c r="F164" s="19"/>
      <c r="G164" s="9" t="str">
        <f t="shared" si="2"/>
        <v/>
      </c>
      <c r="H164" s="15" t="str">
        <f>IF($B164="","",IFERROR(INDEX(Services!$A$2:$A$120,MATCH($B164,Services!$D$2:$D$120,0)),""))</f>
        <v/>
      </c>
      <c r="I164" s="19"/>
      <c r="J164" s="15" t="str">
        <f>IF($B164="","",IFERROR(INDEX(Services!$E$2:$E$120,MATCH($B164,Services!$D$2:$D$120,0)),""))</f>
        <v/>
      </c>
    </row>
    <row r="165" spans="1:10" x14ac:dyDescent="0.3">
      <c r="A165" s="18"/>
      <c r="B165" s="6"/>
      <c r="C165" s="6"/>
      <c r="D165" s="6"/>
      <c r="E165" s="16" t="str">
        <f>IF($B165="","",IFERROR(INDEX(Services!$C$2:$C$120,MATCH($B165,Services!$D$2:$D$120,0)),""))</f>
        <v/>
      </c>
      <c r="F165" s="19"/>
      <c r="G165" s="9" t="str">
        <f t="shared" si="2"/>
        <v/>
      </c>
      <c r="H165" s="15" t="str">
        <f>IF($B165="","",IFERROR(INDEX(Services!$A$2:$A$120,MATCH($B165,Services!$D$2:$D$120,0)),""))</f>
        <v/>
      </c>
      <c r="I165" s="19"/>
      <c r="J165" s="15" t="str">
        <f>IF($B165="","",IFERROR(INDEX(Services!$E$2:$E$120,MATCH($B165,Services!$D$2:$D$120,0)),""))</f>
        <v/>
      </c>
    </row>
    <row r="166" spans="1:10" x14ac:dyDescent="0.3">
      <c r="A166" s="18"/>
      <c r="B166" s="6"/>
      <c r="C166" s="6"/>
      <c r="D166" s="6"/>
      <c r="E166" s="16" t="str">
        <f>IF($B166="","",IFERROR(INDEX(Services!$C$2:$C$120,MATCH($B166,Services!$D$2:$D$120,0)),""))</f>
        <v/>
      </c>
      <c r="F166" s="19"/>
      <c r="G166" s="9" t="str">
        <f t="shared" si="2"/>
        <v/>
      </c>
      <c r="H166" s="15" t="str">
        <f>IF($B166="","",IFERROR(INDEX(Services!$A$2:$A$120,MATCH($B166,Services!$D$2:$D$120,0)),""))</f>
        <v/>
      </c>
      <c r="I166" s="19"/>
      <c r="J166" s="15" t="str">
        <f>IF($B166="","",IFERROR(INDEX(Services!$E$2:$E$120,MATCH($B166,Services!$D$2:$D$120,0)),""))</f>
        <v/>
      </c>
    </row>
    <row r="167" spans="1:10" x14ac:dyDescent="0.3">
      <c r="A167" s="18"/>
      <c r="B167" s="6"/>
      <c r="C167" s="6"/>
      <c r="D167" s="6"/>
      <c r="E167" s="16" t="str">
        <f>IF($B167="","",IFERROR(INDEX(Services!$C$2:$C$120,MATCH($B167,Services!$D$2:$D$120,0)),""))</f>
        <v/>
      </c>
      <c r="F167" s="19"/>
      <c r="G167" s="9" t="str">
        <f t="shared" si="2"/>
        <v/>
      </c>
      <c r="H167" s="15" t="str">
        <f>IF($B167="","",IFERROR(INDEX(Services!$A$2:$A$120,MATCH($B167,Services!$D$2:$D$120,0)),""))</f>
        <v/>
      </c>
      <c r="I167" s="19"/>
      <c r="J167" s="15" t="str">
        <f>IF($B167="","",IFERROR(INDEX(Services!$E$2:$E$120,MATCH($B167,Services!$D$2:$D$120,0)),""))</f>
        <v/>
      </c>
    </row>
    <row r="168" spans="1:10" x14ac:dyDescent="0.3">
      <c r="A168" s="18"/>
      <c r="B168" s="6"/>
      <c r="C168" s="6"/>
      <c r="D168" s="6"/>
      <c r="E168" s="16" t="str">
        <f>IF($B168="","",IFERROR(INDEX(Services!$C$2:$C$120,MATCH($B168,Services!$D$2:$D$120,0)),""))</f>
        <v/>
      </c>
      <c r="F168" s="19"/>
      <c r="G168" s="9" t="str">
        <f t="shared" si="2"/>
        <v/>
      </c>
      <c r="H168" s="15" t="str">
        <f>IF($B168="","",IFERROR(INDEX(Services!$A$2:$A$120,MATCH($B168,Services!$D$2:$D$120,0)),""))</f>
        <v/>
      </c>
      <c r="I168" s="19"/>
      <c r="J168" s="15" t="str">
        <f>IF($B168="","",IFERROR(INDEX(Services!$E$2:$E$120,MATCH($B168,Services!$D$2:$D$120,0)),""))</f>
        <v/>
      </c>
    </row>
    <row r="169" spans="1:10" x14ac:dyDescent="0.3">
      <c r="A169" s="18"/>
      <c r="B169" s="6"/>
      <c r="C169" s="6"/>
      <c r="D169" s="6"/>
      <c r="E169" s="16" t="str">
        <f>IF($B169="","",IFERROR(INDEX(Services!$C$2:$C$120,MATCH($B169,Services!$D$2:$D$120,0)),""))</f>
        <v/>
      </c>
      <c r="F169" s="19"/>
      <c r="G169" s="9" t="str">
        <f t="shared" si="2"/>
        <v/>
      </c>
      <c r="H169" s="15" t="str">
        <f>IF($B169="","",IFERROR(INDEX(Services!$A$2:$A$120,MATCH($B169,Services!$D$2:$D$120,0)),""))</f>
        <v/>
      </c>
      <c r="I169" s="19"/>
      <c r="J169" s="15" t="str">
        <f>IF($B169="","",IFERROR(INDEX(Services!$E$2:$E$120,MATCH($B169,Services!$D$2:$D$120,0)),""))</f>
        <v/>
      </c>
    </row>
    <row r="170" spans="1:10" x14ac:dyDescent="0.3">
      <c r="A170" s="18"/>
      <c r="B170" s="6"/>
      <c r="C170" s="6"/>
      <c r="D170" s="6"/>
      <c r="E170" s="16" t="str">
        <f>IF($B170="","",IFERROR(INDEX(Services!$C$2:$C$120,MATCH($B170,Services!$D$2:$D$120,0)),""))</f>
        <v/>
      </c>
      <c r="F170" s="19"/>
      <c r="G170" s="9" t="str">
        <f t="shared" si="2"/>
        <v/>
      </c>
      <c r="H170" s="15" t="str">
        <f>IF($B170="","",IFERROR(INDEX(Services!$A$2:$A$120,MATCH($B170,Services!$D$2:$D$120,0)),""))</f>
        <v/>
      </c>
      <c r="I170" s="19"/>
      <c r="J170" s="15" t="str">
        <f>IF($B170="","",IFERROR(INDEX(Services!$E$2:$E$120,MATCH($B170,Services!$D$2:$D$120,0)),""))</f>
        <v/>
      </c>
    </row>
    <row r="171" spans="1:10" x14ac:dyDescent="0.3">
      <c r="A171" s="18"/>
      <c r="B171" s="6"/>
      <c r="C171" s="6"/>
      <c r="D171" s="6"/>
      <c r="E171" s="16" t="str">
        <f>IF($B171="","",IFERROR(INDEX(Services!$C$2:$C$120,MATCH($B171,Services!$D$2:$D$120,0)),""))</f>
        <v/>
      </c>
      <c r="F171" s="19"/>
      <c r="G171" s="9" t="str">
        <f t="shared" si="2"/>
        <v/>
      </c>
      <c r="H171" s="15" t="str">
        <f>IF($B171="","",IFERROR(INDEX(Services!$A$2:$A$120,MATCH($B171,Services!$D$2:$D$120,0)),""))</f>
        <v/>
      </c>
      <c r="I171" s="19"/>
      <c r="J171" s="15" t="str">
        <f>IF($B171="","",IFERROR(INDEX(Services!$E$2:$E$120,MATCH($B171,Services!$D$2:$D$120,0)),""))</f>
        <v/>
      </c>
    </row>
    <row r="172" spans="1:10" x14ac:dyDescent="0.3">
      <c r="A172" s="18"/>
      <c r="B172" s="6"/>
      <c r="C172" s="6"/>
      <c r="D172" s="6"/>
      <c r="E172" s="16" t="str">
        <f>IF($B172="","",IFERROR(INDEX(Services!$C$2:$C$120,MATCH($B172,Services!$D$2:$D$120,0)),""))</f>
        <v/>
      </c>
      <c r="F172" s="19"/>
      <c r="G172" s="9" t="str">
        <f t="shared" si="2"/>
        <v/>
      </c>
      <c r="H172" s="15" t="str">
        <f>IF($B172="","",IFERROR(INDEX(Services!$A$2:$A$120,MATCH($B172,Services!$D$2:$D$120,0)),""))</f>
        <v/>
      </c>
      <c r="I172" s="19"/>
      <c r="J172" s="15" t="str">
        <f>IF($B172="","",IFERROR(INDEX(Services!$E$2:$E$120,MATCH($B172,Services!$D$2:$D$120,0)),""))</f>
        <v/>
      </c>
    </row>
    <row r="173" spans="1:10" x14ac:dyDescent="0.3">
      <c r="A173" s="18"/>
      <c r="B173" s="6"/>
      <c r="C173" s="6"/>
      <c r="D173" s="6"/>
      <c r="E173" s="16" t="str">
        <f>IF($B173="","",IFERROR(INDEX(Services!$C$2:$C$120,MATCH($B173,Services!$D$2:$D$120,0)),""))</f>
        <v/>
      </c>
      <c r="F173" s="19"/>
      <c r="G173" s="9" t="str">
        <f t="shared" si="2"/>
        <v/>
      </c>
      <c r="H173" s="15" t="str">
        <f>IF($B173="","",IFERROR(INDEX(Services!$A$2:$A$120,MATCH($B173,Services!$D$2:$D$120,0)),""))</f>
        <v/>
      </c>
      <c r="I173" s="19"/>
      <c r="J173" s="15" t="str">
        <f>IF($B173="","",IFERROR(INDEX(Services!$E$2:$E$120,MATCH($B173,Services!$D$2:$D$120,0)),""))</f>
        <v/>
      </c>
    </row>
    <row r="174" spans="1:10" x14ac:dyDescent="0.3">
      <c r="A174" s="18"/>
      <c r="B174" s="6"/>
      <c r="C174" s="6"/>
      <c r="D174" s="6"/>
      <c r="E174" s="16" t="str">
        <f>IF($B174="","",IFERROR(INDEX(Services!$C$2:$C$120,MATCH($B174,Services!$D$2:$D$120,0)),""))</f>
        <v/>
      </c>
      <c r="F174" s="19"/>
      <c r="G174" s="9" t="str">
        <f t="shared" si="2"/>
        <v/>
      </c>
      <c r="H174" s="15" t="str">
        <f>IF($B174="","",IFERROR(INDEX(Services!$A$2:$A$120,MATCH($B174,Services!$D$2:$D$120,0)),""))</f>
        <v/>
      </c>
      <c r="I174" s="19"/>
      <c r="J174" s="15" t="str">
        <f>IF($B174="","",IFERROR(INDEX(Services!$E$2:$E$120,MATCH($B174,Services!$D$2:$D$120,0)),""))</f>
        <v/>
      </c>
    </row>
    <row r="175" spans="1:10" x14ac:dyDescent="0.3">
      <c r="A175" s="18"/>
      <c r="B175" s="6"/>
      <c r="C175" s="6"/>
      <c r="D175" s="6"/>
      <c r="E175" s="16" t="str">
        <f>IF($B175="","",IFERROR(INDEX(Services!$C$2:$C$120,MATCH($B175,Services!$D$2:$D$120,0)),""))</f>
        <v/>
      </c>
      <c r="F175" s="19"/>
      <c r="G175" s="9" t="str">
        <f t="shared" si="2"/>
        <v/>
      </c>
      <c r="H175" s="15" t="str">
        <f>IF($B175="","",IFERROR(INDEX(Services!$A$2:$A$120,MATCH($B175,Services!$D$2:$D$120,0)),""))</f>
        <v/>
      </c>
      <c r="I175" s="19"/>
      <c r="J175" s="15" t="str">
        <f>IF($B175="","",IFERROR(INDEX(Services!$E$2:$E$120,MATCH($B175,Services!$D$2:$D$120,0)),""))</f>
        <v/>
      </c>
    </row>
    <row r="176" spans="1:10" x14ac:dyDescent="0.3">
      <c r="A176" s="18"/>
      <c r="B176" s="6"/>
      <c r="C176" s="6"/>
      <c r="D176" s="6"/>
      <c r="E176" s="16" t="str">
        <f>IF($B176="","",IFERROR(INDEX(Services!$C$2:$C$120,MATCH($B176,Services!$D$2:$D$120,0)),""))</f>
        <v/>
      </c>
      <c r="F176" s="19"/>
      <c r="G176" s="9" t="str">
        <f t="shared" si="2"/>
        <v/>
      </c>
      <c r="H176" s="15" t="str">
        <f>IF($B176="","",IFERROR(INDEX(Services!$A$2:$A$120,MATCH($B176,Services!$D$2:$D$120,0)),""))</f>
        <v/>
      </c>
      <c r="I176" s="19"/>
      <c r="J176" s="15" t="str">
        <f>IF($B176="","",IFERROR(INDEX(Services!$E$2:$E$120,MATCH($B176,Services!$D$2:$D$120,0)),""))</f>
        <v/>
      </c>
    </row>
    <row r="177" spans="1:10" x14ac:dyDescent="0.3">
      <c r="A177" s="18"/>
      <c r="B177" s="6"/>
      <c r="C177" s="6"/>
      <c r="D177" s="6"/>
      <c r="E177" s="16" t="str">
        <f>IF($B177="","",IFERROR(INDEX(Services!$C$2:$C$120,MATCH($B177,Services!$D$2:$D$120,0)),""))</f>
        <v/>
      </c>
      <c r="F177" s="19"/>
      <c r="G177" s="9" t="str">
        <f t="shared" si="2"/>
        <v/>
      </c>
      <c r="H177" s="15" t="str">
        <f>IF($B177="","",IFERROR(INDEX(Services!$A$2:$A$120,MATCH($B177,Services!$D$2:$D$120,0)),""))</f>
        <v/>
      </c>
      <c r="I177" s="19"/>
      <c r="J177" s="15" t="str">
        <f>IF($B177="","",IFERROR(INDEX(Services!$E$2:$E$120,MATCH($B177,Services!$D$2:$D$120,0)),""))</f>
        <v/>
      </c>
    </row>
    <row r="178" spans="1:10" x14ac:dyDescent="0.3">
      <c r="A178" s="18"/>
      <c r="B178" s="6"/>
      <c r="C178" s="6"/>
      <c r="D178" s="6"/>
      <c r="E178" s="16" t="str">
        <f>IF($B178="","",IFERROR(INDEX(Services!$C$2:$C$120,MATCH($B178,Services!$D$2:$D$120,0)),""))</f>
        <v/>
      </c>
      <c r="F178" s="19"/>
      <c r="G178" s="9" t="str">
        <f t="shared" si="2"/>
        <v/>
      </c>
      <c r="H178" s="15" t="str">
        <f>IF($B178="","",IFERROR(INDEX(Services!$A$2:$A$120,MATCH($B178,Services!$D$2:$D$120,0)),""))</f>
        <v/>
      </c>
      <c r="I178" s="19"/>
      <c r="J178" s="15" t="str">
        <f>IF($B178="","",IFERROR(INDEX(Services!$E$2:$E$120,MATCH($B178,Services!$D$2:$D$120,0)),""))</f>
        <v/>
      </c>
    </row>
    <row r="179" spans="1:10" x14ac:dyDescent="0.3">
      <c r="A179" s="18"/>
      <c r="B179" s="6"/>
      <c r="C179" s="6"/>
      <c r="D179" s="6"/>
      <c r="E179" s="16" t="str">
        <f>IF($B179="","",IFERROR(INDEX(Services!$C$2:$C$120,MATCH($B179,Services!$D$2:$D$120,0)),""))</f>
        <v/>
      </c>
      <c r="F179" s="19"/>
      <c r="G179" s="9" t="str">
        <f t="shared" si="2"/>
        <v/>
      </c>
      <c r="H179" s="15" t="str">
        <f>IF($B179="","",IFERROR(INDEX(Services!$A$2:$A$120,MATCH($B179,Services!$D$2:$D$120,0)),""))</f>
        <v/>
      </c>
      <c r="I179" s="19"/>
      <c r="J179" s="15" t="str">
        <f>IF($B179="","",IFERROR(INDEX(Services!$E$2:$E$120,MATCH($B179,Services!$D$2:$D$120,0)),""))</f>
        <v/>
      </c>
    </row>
    <row r="180" spans="1:10" x14ac:dyDescent="0.3">
      <c r="A180" s="18"/>
      <c r="B180" s="6"/>
      <c r="C180" s="6"/>
      <c r="D180" s="6"/>
      <c r="E180" s="16" t="str">
        <f>IF($B180="","",IFERROR(INDEX(Services!$C$2:$C$120,MATCH($B180,Services!$D$2:$D$120,0)),""))</f>
        <v/>
      </c>
      <c r="F180" s="19"/>
      <c r="G180" s="9" t="str">
        <f t="shared" si="2"/>
        <v/>
      </c>
      <c r="H180" s="15" t="str">
        <f>IF($B180="","",IFERROR(INDEX(Services!$A$2:$A$120,MATCH($B180,Services!$D$2:$D$120,0)),""))</f>
        <v/>
      </c>
      <c r="I180" s="19"/>
      <c r="J180" s="15" t="str">
        <f>IF($B180="","",IFERROR(INDEX(Services!$E$2:$E$120,MATCH($B180,Services!$D$2:$D$120,0)),""))</f>
        <v/>
      </c>
    </row>
    <row r="181" spans="1:10" x14ac:dyDescent="0.3">
      <c r="A181" s="18"/>
      <c r="B181" s="6"/>
      <c r="C181" s="6"/>
      <c r="D181" s="6"/>
      <c r="E181" s="16" t="str">
        <f>IF($B181="","",IFERROR(INDEX(Services!$C$2:$C$120,MATCH($B181,Services!$D$2:$D$120,0)),""))</f>
        <v/>
      </c>
      <c r="F181" s="19"/>
      <c r="G181" s="9" t="str">
        <f t="shared" si="2"/>
        <v/>
      </c>
      <c r="H181" s="15" t="str">
        <f>IF($B181="","",IFERROR(INDEX(Services!$A$2:$A$120,MATCH($B181,Services!$D$2:$D$120,0)),""))</f>
        <v/>
      </c>
      <c r="I181" s="19"/>
      <c r="J181" s="15" t="str">
        <f>IF($B181="","",IFERROR(INDEX(Services!$E$2:$E$120,MATCH($B181,Services!$D$2:$D$120,0)),""))</f>
        <v/>
      </c>
    </row>
    <row r="182" spans="1:10" x14ac:dyDescent="0.3">
      <c r="A182" s="18"/>
      <c r="B182" s="6"/>
      <c r="C182" s="6"/>
      <c r="D182" s="6"/>
      <c r="E182" s="16" t="str">
        <f>IF($B182="","",IFERROR(INDEX(Services!$C$2:$C$120,MATCH($B182,Services!$D$2:$D$120,0)),""))</f>
        <v/>
      </c>
      <c r="F182" s="19"/>
      <c r="G182" s="9" t="str">
        <f t="shared" si="2"/>
        <v/>
      </c>
      <c r="H182" s="15" t="str">
        <f>IF($B182="","",IFERROR(INDEX(Services!$A$2:$A$120,MATCH($B182,Services!$D$2:$D$120,0)),""))</f>
        <v/>
      </c>
      <c r="I182" s="19"/>
      <c r="J182" s="15" t="str">
        <f>IF($B182="","",IFERROR(INDEX(Services!$E$2:$E$120,MATCH($B182,Services!$D$2:$D$120,0)),""))</f>
        <v/>
      </c>
    </row>
    <row r="183" spans="1:10" x14ac:dyDescent="0.3">
      <c r="A183" s="18"/>
      <c r="B183" s="6"/>
      <c r="C183" s="6"/>
      <c r="D183" s="6"/>
      <c r="E183" s="16" t="str">
        <f>IF($B183="","",IFERROR(INDEX(Services!$C$2:$C$120,MATCH($B183,Services!$D$2:$D$120,0)),""))</f>
        <v/>
      </c>
      <c r="F183" s="19"/>
      <c r="G183" s="9" t="str">
        <f t="shared" si="2"/>
        <v/>
      </c>
      <c r="H183" s="15" t="str">
        <f>IF($B183="","",IFERROR(INDEX(Services!$A$2:$A$120,MATCH($B183,Services!$D$2:$D$120,0)),""))</f>
        <v/>
      </c>
      <c r="I183" s="19"/>
      <c r="J183" s="15" t="str">
        <f>IF($B183="","",IFERROR(INDEX(Services!$E$2:$E$120,MATCH($B183,Services!$D$2:$D$120,0)),""))</f>
        <v/>
      </c>
    </row>
    <row r="184" spans="1:10" x14ac:dyDescent="0.3">
      <c r="A184" s="18"/>
      <c r="B184" s="6"/>
      <c r="C184" s="6"/>
      <c r="D184" s="6"/>
      <c r="E184" s="16" t="str">
        <f>IF($B184="","",IFERROR(INDEX(Services!$C$2:$C$120,MATCH($B184,Services!$D$2:$D$120,0)),""))</f>
        <v/>
      </c>
      <c r="F184" s="19"/>
      <c r="G184" s="9" t="str">
        <f t="shared" si="2"/>
        <v/>
      </c>
      <c r="H184" s="15" t="str">
        <f>IF($B184="","",IFERROR(INDEX(Services!$A$2:$A$120,MATCH($B184,Services!$D$2:$D$120,0)),""))</f>
        <v/>
      </c>
      <c r="I184" s="19"/>
      <c r="J184" s="15" t="str">
        <f>IF($B184="","",IFERROR(INDEX(Services!$E$2:$E$120,MATCH($B184,Services!$D$2:$D$120,0)),""))</f>
        <v/>
      </c>
    </row>
    <row r="185" spans="1:10" x14ac:dyDescent="0.3">
      <c r="A185" s="18"/>
      <c r="B185" s="6"/>
      <c r="C185" s="6"/>
      <c r="D185" s="6"/>
      <c r="E185" s="16" t="str">
        <f>IF($B185="","",IFERROR(INDEX(Services!$C$2:$C$120,MATCH($B185,Services!$D$2:$D$120,0)),""))</f>
        <v/>
      </c>
      <c r="F185" s="19"/>
      <c r="G185" s="9" t="str">
        <f t="shared" si="2"/>
        <v/>
      </c>
      <c r="H185" s="15" t="str">
        <f>IF($B185="","",IFERROR(INDEX(Services!$A$2:$A$120,MATCH($B185,Services!$D$2:$D$120,0)),""))</f>
        <v/>
      </c>
      <c r="I185" s="19"/>
      <c r="J185" s="15" t="str">
        <f>IF($B185="","",IFERROR(INDEX(Services!$E$2:$E$120,MATCH($B185,Services!$D$2:$D$120,0)),""))</f>
        <v/>
      </c>
    </row>
    <row r="186" spans="1:10" x14ac:dyDescent="0.3">
      <c r="A186" s="18"/>
      <c r="B186" s="6"/>
      <c r="C186" s="6"/>
      <c r="D186" s="6"/>
      <c r="E186" s="16" t="str">
        <f>IF($B186="","",IFERROR(INDEX(Services!$C$2:$C$120,MATCH($B186,Services!$D$2:$D$120,0)),""))</f>
        <v/>
      </c>
      <c r="F186" s="19"/>
      <c r="G186" s="9" t="str">
        <f t="shared" si="2"/>
        <v/>
      </c>
      <c r="H186" s="15" t="str">
        <f>IF($B186="","",IFERROR(INDEX(Services!$A$2:$A$120,MATCH($B186,Services!$D$2:$D$120,0)),""))</f>
        <v/>
      </c>
      <c r="I186" s="19"/>
      <c r="J186" s="15" t="str">
        <f>IF($B186="","",IFERROR(INDEX(Services!$E$2:$E$120,MATCH($B186,Services!$D$2:$D$120,0)),""))</f>
        <v/>
      </c>
    </row>
    <row r="187" spans="1:10" x14ac:dyDescent="0.3">
      <c r="A187" s="18"/>
      <c r="B187" s="6"/>
      <c r="C187" s="6"/>
      <c r="D187" s="6"/>
      <c r="E187" s="16" t="str">
        <f>IF($B187="","",IFERROR(INDEX(Services!$C$2:$C$120,MATCH($B187,Services!$D$2:$D$120,0)),""))</f>
        <v/>
      </c>
      <c r="F187" s="19"/>
      <c r="G187" s="9" t="str">
        <f t="shared" si="2"/>
        <v/>
      </c>
      <c r="H187" s="15" t="str">
        <f>IF($B187="","",IFERROR(INDEX(Services!$A$2:$A$120,MATCH($B187,Services!$D$2:$D$120,0)),""))</f>
        <v/>
      </c>
      <c r="I187" s="19"/>
      <c r="J187" s="15" t="str">
        <f>IF($B187="","",IFERROR(INDEX(Services!$E$2:$E$120,MATCH($B187,Services!$D$2:$D$120,0)),""))</f>
        <v/>
      </c>
    </row>
    <row r="188" spans="1:10" x14ac:dyDescent="0.3">
      <c r="A188" s="18"/>
      <c r="B188" s="6"/>
      <c r="C188" s="6"/>
      <c r="D188" s="6"/>
      <c r="E188" s="16" t="str">
        <f>IF($B188="","",IFERROR(INDEX(Services!$C$2:$C$120,MATCH($B188,Services!$D$2:$D$120,0)),""))</f>
        <v/>
      </c>
      <c r="F188" s="19"/>
      <c r="G188" s="9" t="str">
        <f t="shared" si="2"/>
        <v/>
      </c>
      <c r="H188" s="15" t="str">
        <f>IF($B188="","",IFERROR(INDEX(Services!$A$2:$A$120,MATCH($B188,Services!$D$2:$D$120,0)),""))</f>
        <v/>
      </c>
      <c r="I188" s="19"/>
      <c r="J188" s="15" t="str">
        <f>IF($B188="","",IFERROR(INDEX(Services!$E$2:$E$120,MATCH($B188,Services!$D$2:$D$120,0)),""))</f>
        <v/>
      </c>
    </row>
    <row r="189" spans="1:10" x14ac:dyDescent="0.3">
      <c r="A189" s="18"/>
      <c r="B189" s="6"/>
      <c r="C189" s="6"/>
      <c r="D189" s="6"/>
      <c r="E189" s="16" t="str">
        <f>IF($B189="","",IFERROR(INDEX(Services!$C$2:$C$120,MATCH($B189,Services!$D$2:$D$120,0)),""))</f>
        <v/>
      </c>
      <c r="F189" s="19"/>
      <c r="G189" s="9" t="str">
        <f t="shared" si="2"/>
        <v/>
      </c>
      <c r="H189" s="15" t="str">
        <f>IF($B189="","",IFERROR(INDEX(Services!$A$2:$A$120,MATCH($B189,Services!$D$2:$D$120,0)),""))</f>
        <v/>
      </c>
      <c r="I189" s="19"/>
      <c r="J189" s="15" t="str">
        <f>IF($B189="","",IFERROR(INDEX(Services!$E$2:$E$120,MATCH($B189,Services!$D$2:$D$120,0)),""))</f>
        <v/>
      </c>
    </row>
    <row r="190" spans="1:10" x14ac:dyDescent="0.3">
      <c r="A190" s="18"/>
      <c r="B190" s="6"/>
      <c r="C190" s="6"/>
      <c r="D190" s="6"/>
      <c r="E190" s="16" t="str">
        <f>IF($B190="","",IFERROR(INDEX(Services!$C$2:$C$120,MATCH($B190,Services!$D$2:$D$120,0)),""))</f>
        <v/>
      </c>
      <c r="F190" s="19"/>
      <c r="G190" s="9" t="str">
        <f t="shared" si="2"/>
        <v/>
      </c>
      <c r="H190" s="15" t="str">
        <f>IF($B190="","",IFERROR(INDEX(Services!$A$2:$A$120,MATCH($B190,Services!$D$2:$D$120,0)),""))</f>
        <v/>
      </c>
      <c r="I190" s="19"/>
      <c r="J190" s="15" t="str">
        <f>IF($B190="","",IFERROR(INDEX(Services!$E$2:$E$120,MATCH($B190,Services!$D$2:$D$120,0)),""))</f>
        <v/>
      </c>
    </row>
    <row r="191" spans="1:10" x14ac:dyDescent="0.3">
      <c r="A191" s="18"/>
      <c r="B191" s="6"/>
      <c r="C191" s="6"/>
      <c r="D191" s="6"/>
      <c r="E191" s="16" t="str">
        <f>IF($B191="","",IFERROR(INDEX(Services!$C$2:$C$120,MATCH($B191,Services!$D$2:$D$120,0)),""))</f>
        <v/>
      </c>
      <c r="F191" s="19"/>
      <c r="G191" s="9" t="str">
        <f t="shared" si="2"/>
        <v/>
      </c>
      <c r="H191" s="15" t="str">
        <f>IF($B191="","",IFERROR(INDEX(Services!$A$2:$A$120,MATCH($B191,Services!$D$2:$D$120,0)),""))</f>
        <v/>
      </c>
      <c r="I191" s="19"/>
      <c r="J191" s="15" t="str">
        <f>IF($B191="","",IFERROR(INDEX(Services!$E$2:$E$120,MATCH($B191,Services!$D$2:$D$120,0)),""))</f>
        <v/>
      </c>
    </row>
    <row r="192" spans="1:10" x14ac:dyDescent="0.3">
      <c r="A192" s="18"/>
      <c r="B192" s="6"/>
      <c r="C192" s="6"/>
      <c r="D192" s="6"/>
      <c r="E192" s="16" t="str">
        <f>IF($B192="","",IFERROR(INDEX(Services!$C$2:$C$120,MATCH($B192,Services!$D$2:$D$120,0)),""))</f>
        <v/>
      </c>
      <c r="F192" s="19"/>
      <c r="G192" s="9" t="str">
        <f t="shared" si="2"/>
        <v/>
      </c>
      <c r="H192" s="15" t="str">
        <f>IF($B192="","",IFERROR(INDEX(Services!$A$2:$A$120,MATCH($B192,Services!$D$2:$D$120,0)),""))</f>
        <v/>
      </c>
      <c r="I192" s="19"/>
      <c r="J192" s="15" t="str">
        <f>IF($B192="","",IFERROR(INDEX(Services!$E$2:$E$120,MATCH($B192,Services!$D$2:$D$120,0)),""))</f>
        <v/>
      </c>
    </row>
    <row r="193" spans="1:10" x14ac:dyDescent="0.3">
      <c r="A193" s="18"/>
      <c r="B193" s="6"/>
      <c r="C193" s="6"/>
      <c r="D193" s="6"/>
      <c r="E193" s="16" t="str">
        <f>IF($B193="","",IFERROR(INDEX(Services!$C$2:$C$120,MATCH($B193,Services!$D$2:$D$120,0)),""))</f>
        <v/>
      </c>
      <c r="F193" s="19"/>
      <c r="G193" s="9" t="str">
        <f t="shared" si="2"/>
        <v/>
      </c>
      <c r="H193" s="15" t="str">
        <f>IF($B193="","",IFERROR(INDEX(Services!$A$2:$A$120,MATCH($B193,Services!$D$2:$D$120,0)),""))</f>
        <v/>
      </c>
      <c r="I193" s="19"/>
      <c r="J193" s="15" t="str">
        <f>IF($B193="","",IFERROR(INDEX(Services!$E$2:$E$120,MATCH($B193,Services!$D$2:$D$120,0)),""))</f>
        <v/>
      </c>
    </row>
    <row r="194" spans="1:10" x14ac:dyDescent="0.3">
      <c r="A194" s="18"/>
      <c r="B194" s="6"/>
      <c r="C194" s="6"/>
      <c r="D194" s="6"/>
      <c r="E194" s="16" t="str">
        <f>IF($B194="","",IFERROR(INDEX(Services!$C$2:$C$120,MATCH($B194,Services!$D$2:$D$120,0)),""))</f>
        <v/>
      </c>
      <c r="F194" s="19"/>
      <c r="G194" s="9" t="str">
        <f t="shared" ref="G194:G257" si="3">IF(OR($B194="",NOT(ISNUMBER($E194))),"",$E194-IF($F194="",0,$F194))</f>
        <v/>
      </c>
      <c r="H194" s="15" t="str">
        <f>IF($B194="","",IFERROR(INDEX(Services!$A$2:$A$120,MATCH($B194,Services!$D$2:$D$120,0)),""))</f>
        <v/>
      </c>
      <c r="I194" s="19"/>
      <c r="J194" s="15" t="str">
        <f>IF($B194="","",IFERROR(INDEX(Services!$E$2:$E$120,MATCH($B194,Services!$D$2:$D$120,0)),""))</f>
        <v/>
      </c>
    </row>
    <row r="195" spans="1:10" x14ac:dyDescent="0.3">
      <c r="A195" s="18"/>
      <c r="B195" s="6"/>
      <c r="C195" s="6"/>
      <c r="D195" s="6"/>
      <c r="E195" s="16" t="str">
        <f>IF($B195="","",IFERROR(INDEX(Services!$C$2:$C$120,MATCH($B195,Services!$D$2:$D$120,0)),""))</f>
        <v/>
      </c>
      <c r="F195" s="19"/>
      <c r="G195" s="9" t="str">
        <f t="shared" si="3"/>
        <v/>
      </c>
      <c r="H195" s="15" t="str">
        <f>IF($B195="","",IFERROR(INDEX(Services!$A$2:$A$120,MATCH($B195,Services!$D$2:$D$120,0)),""))</f>
        <v/>
      </c>
      <c r="I195" s="19"/>
      <c r="J195" s="15" t="str">
        <f>IF($B195="","",IFERROR(INDEX(Services!$E$2:$E$120,MATCH($B195,Services!$D$2:$D$120,0)),""))</f>
        <v/>
      </c>
    </row>
    <row r="196" spans="1:10" x14ac:dyDescent="0.3">
      <c r="A196" s="18"/>
      <c r="B196" s="6"/>
      <c r="C196" s="6"/>
      <c r="D196" s="6"/>
      <c r="E196" s="16" t="str">
        <f>IF($B196="","",IFERROR(INDEX(Services!$C$2:$C$120,MATCH($B196,Services!$D$2:$D$120,0)),""))</f>
        <v/>
      </c>
      <c r="F196" s="19"/>
      <c r="G196" s="9" t="str">
        <f t="shared" si="3"/>
        <v/>
      </c>
      <c r="H196" s="15" t="str">
        <f>IF($B196="","",IFERROR(INDEX(Services!$A$2:$A$120,MATCH($B196,Services!$D$2:$D$120,0)),""))</f>
        <v/>
      </c>
      <c r="I196" s="19"/>
      <c r="J196" s="15" t="str">
        <f>IF($B196="","",IFERROR(INDEX(Services!$E$2:$E$120,MATCH($B196,Services!$D$2:$D$120,0)),""))</f>
        <v/>
      </c>
    </row>
    <row r="197" spans="1:10" x14ac:dyDescent="0.3">
      <c r="A197" s="18"/>
      <c r="B197" s="6"/>
      <c r="C197" s="6"/>
      <c r="D197" s="6"/>
      <c r="E197" s="16" t="str">
        <f>IF($B197="","",IFERROR(INDEX(Services!$C$2:$C$120,MATCH($B197,Services!$D$2:$D$120,0)),""))</f>
        <v/>
      </c>
      <c r="F197" s="19"/>
      <c r="G197" s="9" t="str">
        <f t="shared" si="3"/>
        <v/>
      </c>
      <c r="H197" s="15" t="str">
        <f>IF($B197="","",IFERROR(INDEX(Services!$A$2:$A$120,MATCH($B197,Services!$D$2:$D$120,0)),""))</f>
        <v/>
      </c>
      <c r="I197" s="19"/>
      <c r="J197" s="15" t="str">
        <f>IF($B197="","",IFERROR(INDEX(Services!$E$2:$E$120,MATCH($B197,Services!$D$2:$D$120,0)),""))</f>
        <v/>
      </c>
    </row>
    <row r="198" spans="1:10" x14ac:dyDescent="0.3">
      <c r="A198" s="18"/>
      <c r="B198" s="6"/>
      <c r="C198" s="6"/>
      <c r="D198" s="6"/>
      <c r="E198" s="16" t="str">
        <f>IF($B198="","",IFERROR(INDEX(Services!$C$2:$C$120,MATCH($B198,Services!$D$2:$D$120,0)),""))</f>
        <v/>
      </c>
      <c r="F198" s="19"/>
      <c r="G198" s="9" t="str">
        <f t="shared" si="3"/>
        <v/>
      </c>
      <c r="H198" s="15" t="str">
        <f>IF($B198="","",IFERROR(INDEX(Services!$A$2:$A$120,MATCH($B198,Services!$D$2:$D$120,0)),""))</f>
        <v/>
      </c>
      <c r="I198" s="19"/>
      <c r="J198" s="15" t="str">
        <f>IF($B198="","",IFERROR(INDEX(Services!$E$2:$E$120,MATCH($B198,Services!$D$2:$D$120,0)),""))</f>
        <v/>
      </c>
    </row>
    <row r="199" spans="1:10" x14ac:dyDescent="0.3">
      <c r="A199" s="18"/>
      <c r="B199" s="6"/>
      <c r="C199" s="6"/>
      <c r="D199" s="6"/>
      <c r="E199" s="16" t="str">
        <f>IF($B199="","",IFERROR(INDEX(Services!$C$2:$C$120,MATCH($B199,Services!$D$2:$D$120,0)),""))</f>
        <v/>
      </c>
      <c r="F199" s="19"/>
      <c r="G199" s="9" t="str">
        <f t="shared" si="3"/>
        <v/>
      </c>
      <c r="H199" s="15" t="str">
        <f>IF($B199="","",IFERROR(INDEX(Services!$A$2:$A$120,MATCH($B199,Services!$D$2:$D$120,0)),""))</f>
        <v/>
      </c>
      <c r="I199" s="19"/>
      <c r="J199" s="15" t="str">
        <f>IF($B199="","",IFERROR(INDEX(Services!$E$2:$E$120,MATCH($B199,Services!$D$2:$D$120,0)),""))</f>
        <v/>
      </c>
    </row>
    <row r="200" spans="1:10" x14ac:dyDescent="0.3">
      <c r="A200" s="18"/>
      <c r="B200" s="6"/>
      <c r="C200" s="6"/>
      <c r="D200" s="6"/>
      <c r="E200" s="16" t="str">
        <f>IF($B200="","",IFERROR(INDEX(Services!$C$2:$C$120,MATCH($B200,Services!$D$2:$D$120,0)),""))</f>
        <v/>
      </c>
      <c r="F200" s="19"/>
      <c r="G200" s="9" t="str">
        <f t="shared" si="3"/>
        <v/>
      </c>
      <c r="H200" s="15" t="str">
        <f>IF($B200="","",IFERROR(INDEX(Services!$A$2:$A$120,MATCH($B200,Services!$D$2:$D$120,0)),""))</f>
        <v/>
      </c>
      <c r="I200" s="19"/>
      <c r="J200" s="15" t="str">
        <f>IF($B200="","",IFERROR(INDEX(Services!$E$2:$E$120,MATCH($B200,Services!$D$2:$D$120,0)),""))</f>
        <v/>
      </c>
    </row>
    <row r="201" spans="1:10" x14ac:dyDescent="0.3">
      <c r="A201" s="18"/>
      <c r="B201" s="6"/>
      <c r="C201" s="6"/>
      <c r="D201" s="6"/>
      <c r="E201" s="16" t="str">
        <f>IF($B201="","",IFERROR(INDEX(Services!$C$2:$C$120,MATCH($B201,Services!$D$2:$D$120,0)),""))</f>
        <v/>
      </c>
      <c r="F201" s="19"/>
      <c r="G201" s="9" t="str">
        <f t="shared" si="3"/>
        <v/>
      </c>
      <c r="H201" s="15" t="str">
        <f>IF($B201="","",IFERROR(INDEX(Services!$A$2:$A$120,MATCH($B201,Services!$D$2:$D$120,0)),""))</f>
        <v/>
      </c>
      <c r="I201" s="19"/>
      <c r="J201" s="15" t="str">
        <f>IF($B201="","",IFERROR(INDEX(Services!$E$2:$E$120,MATCH($B201,Services!$D$2:$D$120,0)),""))</f>
        <v/>
      </c>
    </row>
    <row r="202" spans="1:10" x14ac:dyDescent="0.3">
      <c r="A202" s="18"/>
      <c r="B202" s="6"/>
      <c r="C202" s="6"/>
      <c r="D202" s="6"/>
      <c r="E202" s="16" t="str">
        <f>IF($B202="","",IFERROR(INDEX(Services!$C$2:$C$120,MATCH($B202,Services!$D$2:$D$120,0)),""))</f>
        <v/>
      </c>
      <c r="F202" s="19"/>
      <c r="G202" s="9" t="str">
        <f t="shared" si="3"/>
        <v/>
      </c>
      <c r="H202" s="15" t="str">
        <f>IF($B202="","",IFERROR(INDEX(Services!$A$2:$A$120,MATCH($B202,Services!$D$2:$D$120,0)),""))</f>
        <v/>
      </c>
      <c r="I202" s="19"/>
      <c r="J202" s="15" t="str">
        <f>IF($B202="","",IFERROR(INDEX(Services!$E$2:$E$120,MATCH($B202,Services!$D$2:$D$120,0)),""))</f>
        <v/>
      </c>
    </row>
    <row r="203" spans="1:10" x14ac:dyDescent="0.3">
      <c r="A203" s="18"/>
      <c r="B203" s="6"/>
      <c r="C203" s="6"/>
      <c r="D203" s="6"/>
      <c r="E203" s="16" t="str">
        <f>IF($B203="","",IFERROR(INDEX(Services!$C$2:$C$120,MATCH($B203,Services!$D$2:$D$120,0)),""))</f>
        <v/>
      </c>
      <c r="F203" s="19"/>
      <c r="G203" s="9" t="str">
        <f t="shared" si="3"/>
        <v/>
      </c>
      <c r="H203" s="15" t="str">
        <f>IF($B203="","",IFERROR(INDEX(Services!$A$2:$A$120,MATCH($B203,Services!$D$2:$D$120,0)),""))</f>
        <v/>
      </c>
      <c r="I203" s="19"/>
      <c r="J203" s="15" t="str">
        <f>IF($B203="","",IFERROR(INDEX(Services!$E$2:$E$120,MATCH($B203,Services!$D$2:$D$120,0)),""))</f>
        <v/>
      </c>
    </row>
    <row r="204" spans="1:10" x14ac:dyDescent="0.3">
      <c r="A204" s="18"/>
      <c r="B204" s="6"/>
      <c r="C204" s="6"/>
      <c r="D204" s="6"/>
      <c r="E204" s="16" t="str">
        <f>IF($B204="","",IFERROR(INDEX(Services!$C$2:$C$120,MATCH($B204,Services!$D$2:$D$120,0)),""))</f>
        <v/>
      </c>
      <c r="F204" s="19"/>
      <c r="G204" s="9" t="str">
        <f t="shared" si="3"/>
        <v/>
      </c>
      <c r="H204" s="15" t="str">
        <f>IF($B204="","",IFERROR(INDEX(Services!$A$2:$A$120,MATCH($B204,Services!$D$2:$D$120,0)),""))</f>
        <v/>
      </c>
      <c r="I204" s="19"/>
      <c r="J204" s="15" t="str">
        <f>IF($B204="","",IFERROR(INDEX(Services!$E$2:$E$120,MATCH($B204,Services!$D$2:$D$120,0)),""))</f>
        <v/>
      </c>
    </row>
    <row r="205" spans="1:10" x14ac:dyDescent="0.3">
      <c r="A205" s="18"/>
      <c r="B205" s="6"/>
      <c r="C205" s="6"/>
      <c r="D205" s="6"/>
      <c r="E205" s="16" t="str">
        <f>IF($B205="","",IFERROR(INDEX(Services!$C$2:$C$120,MATCH($B205,Services!$D$2:$D$120,0)),""))</f>
        <v/>
      </c>
      <c r="F205" s="19"/>
      <c r="G205" s="9" t="str">
        <f t="shared" si="3"/>
        <v/>
      </c>
      <c r="H205" s="15" t="str">
        <f>IF($B205="","",IFERROR(INDEX(Services!$A$2:$A$120,MATCH($B205,Services!$D$2:$D$120,0)),""))</f>
        <v/>
      </c>
      <c r="I205" s="19"/>
      <c r="J205" s="15" t="str">
        <f>IF($B205="","",IFERROR(INDEX(Services!$E$2:$E$120,MATCH($B205,Services!$D$2:$D$120,0)),""))</f>
        <v/>
      </c>
    </row>
    <row r="206" spans="1:10" x14ac:dyDescent="0.3">
      <c r="A206" s="18"/>
      <c r="B206" s="6"/>
      <c r="C206" s="6"/>
      <c r="D206" s="6"/>
      <c r="E206" s="16" t="str">
        <f>IF($B206="","",IFERROR(INDEX(Services!$C$2:$C$120,MATCH($B206,Services!$D$2:$D$120,0)),""))</f>
        <v/>
      </c>
      <c r="F206" s="19"/>
      <c r="G206" s="9" t="str">
        <f t="shared" si="3"/>
        <v/>
      </c>
      <c r="H206" s="15" t="str">
        <f>IF($B206="","",IFERROR(INDEX(Services!$A$2:$A$120,MATCH($B206,Services!$D$2:$D$120,0)),""))</f>
        <v/>
      </c>
      <c r="I206" s="19"/>
      <c r="J206" s="15" t="str">
        <f>IF($B206="","",IFERROR(INDEX(Services!$E$2:$E$120,MATCH($B206,Services!$D$2:$D$120,0)),""))</f>
        <v/>
      </c>
    </row>
    <row r="207" spans="1:10" x14ac:dyDescent="0.3">
      <c r="A207" s="18"/>
      <c r="B207" s="6"/>
      <c r="C207" s="6"/>
      <c r="D207" s="6"/>
      <c r="E207" s="16" t="str">
        <f>IF($B207="","",IFERROR(INDEX(Services!$C$2:$C$120,MATCH($B207,Services!$D$2:$D$120,0)),""))</f>
        <v/>
      </c>
      <c r="F207" s="19"/>
      <c r="G207" s="9" t="str">
        <f t="shared" si="3"/>
        <v/>
      </c>
      <c r="H207" s="15" t="str">
        <f>IF($B207="","",IFERROR(INDEX(Services!$A$2:$A$120,MATCH($B207,Services!$D$2:$D$120,0)),""))</f>
        <v/>
      </c>
      <c r="I207" s="19"/>
      <c r="J207" s="15" t="str">
        <f>IF($B207="","",IFERROR(INDEX(Services!$E$2:$E$120,MATCH($B207,Services!$D$2:$D$120,0)),""))</f>
        <v/>
      </c>
    </row>
    <row r="208" spans="1:10" x14ac:dyDescent="0.3">
      <c r="A208" s="18"/>
      <c r="B208" s="6"/>
      <c r="C208" s="6"/>
      <c r="D208" s="6"/>
      <c r="E208" s="16" t="str">
        <f>IF($B208="","",IFERROR(INDEX(Services!$C$2:$C$120,MATCH($B208,Services!$D$2:$D$120,0)),""))</f>
        <v/>
      </c>
      <c r="F208" s="19"/>
      <c r="G208" s="9" t="str">
        <f t="shared" si="3"/>
        <v/>
      </c>
      <c r="H208" s="15" t="str">
        <f>IF($B208="","",IFERROR(INDEX(Services!$A$2:$A$120,MATCH($B208,Services!$D$2:$D$120,0)),""))</f>
        <v/>
      </c>
      <c r="I208" s="19"/>
      <c r="J208" s="15" t="str">
        <f>IF($B208="","",IFERROR(INDEX(Services!$E$2:$E$120,MATCH($B208,Services!$D$2:$D$120,0)),""))</f>
        <v/>
      </c>
    </row>
    <row r="209" spans="1:10" x14ac:dyDescent="0.3">
      <c r="A209" s="18"/>
      <c r="B209" s="6"/>
      <c r="C209" s="6"/>
      <c r="D209" s="6"/>
      <c r="E209" s="16" t="str">
        <f>IF($B209="","",IFERROR(INDEX(Services!$C$2:$C$120,MATCH($B209,Services!$D$2:$D$120,0)),""))</f>
        <v/>
      </c>
      <c r="F209" s="19"/>
      <c r="G209" s="9" t="str">
        <f t="shared" si="3"/>
        <v/>
      </c>
      <c r="H209" s="15" t="str">
        <f>IF($B209="","",IFERROR(INDEX(Services!$A$2:$A$120,MATCH($B209,Services!$D$2:$D$120,0)),""))</f>
        <v/>
      </c>
      <c r="I209" s="19"/>
      <c r="J209" s="15" t="str">
        <f>IF($B209="","",IFERROR(INDEX(Services!$E$2:$E$120,MATCH($B209,Services!$D$2:$D$120,0)),""))</f>
        <v/>
      </c>
    </row>
    <row r="210" spans="1:10" x14ac:dyDescent="0.3">
      <c r="A210" s="18"/>
      <c r="B210" s="6"/>
      <c r="C210" s="6"/>
      <c r="D210" s="6"/>
      <c r="E210" s="16" t="str">
        <f>IF($B210="","",IFERROR(INDEX(Services!$C$2:$C$120,MATCH($B210,Services!$D$2:$D$120,0)),""))</f>
        <v/>
      </c>
      <c r="F210" s="19"/>
      <c r="G210" s="9" t="str">
        <f t="shared" si="3"/>
        <v/>
      </c>
      <c r="H210" s="15" t="str">
        <f>IF($B210="","",IFERROR(INDEX(Services!$A$2:$A$120,MATCH($B210,Services!$D$2:$D$120,0)),""))</f>
        <v/>
      </c>
      <c r="I210" s="19"/>
      <c r="J210" s="15" t="str">
        <f>IF($B210="","",IFERROR(INDEX(Services!$E$2:$E$120,MATCH($B210,Services!$D$2:$D$120,0)),""))</f>
        <v/>
      </c>
    </row>
    <row r="211" spans="1:10" x14ac:dyDescent="0.3">
      <c r="A211" s="18"/>
      <c r="B211" s="6"/>
      <c r="C211" s="6"/>
      <c r="D211" s="6"/>
      <c r="E211" s="16" t="str">
        <f>IF($B211="","",IFERROR(INDEX(Services!$C$2:$C$120,MATCH($B211,Services!$D$2:$D$120,0)),""))</f>
        <v/>
      </c>
      <c r="F211" s="19"/>
      <c r="G211" s="9" t="str">
        <f t="shared" si="3"/>
        <v/>
      </c>
      <c r="H211" s="15" t="str">
        <f>IF($B211="","",IFERROR(INDEX(Services!$A$2:$A$120,MATCH($B211,Services!$D$2:$D$120,0)),""))</f>
        <v/>
      </c>
      <c r="I211" s="19"/>
      <c r="J211" s="15" t="str">
        <f>IF($B211="","",IFERROR(INDEX(Services!$E$2:$E$120,MATCH($B211,Services!$D$2:$D$120,0)),""))</f>
        <v/>
      </c>
    </row>
    <row r="212" spans="1:10" x14ac:dyDescent="0.3">
      <c r="A212" s="18"/>
      <c r="B212" s="6"/>
      <c r="C212" s="6"/>
      <c r="D212" s="6"/>
      <c r="E212" s="16" t="str">
        <f>IF($B212="","",IFERROR(INDEX(Services!$C$2:$C$120,MATCH($B212,Services!$D$2:$D$120,0)),""))</f>
        <v/>
      </c>
      <c r="F212" s="19"/>
      <c r="G212" s="9" t="str">
        <f t="shared" si="3"/>
        <v/>
      </c>
      <c r="H212" s="15" t="str">
        <f>IF($B212="","",IFERROR(INDEX(Services!$A$2:$A$120,MATCH($B212,Services!$D$2:$D$120,0)),""))</f>
        <v/>
      </c>
      <c r="I212" s="19"/>
      <c r="J212" s="15" t="str">
        <f>IF($B212="","",IFERROR(INDEX(Services!$E$2:$E$120,MATCH($B212,Services!$D$2:$D$120,0)),""))</f>
        <v/>
      </c>
    </row>
    <row r="213" spans="1:10" x14ac:dyDescent="0.3">
      <c r="A213" s="18"/>
      <c r="B213" s="6"/>
      <c r="C213" s="6"/>
      <c r="D213" s="6"/>
      <c r="E213" s="16" t="str">
        <f>IF($B213="","",IFERROR(INDEX(Services!$C$2:$C$120,MATCH($B213,Services!$D$2:$D$120,0)),""))</f>
        <v/>
      </c>
      <c r="F213" s="19"/>
      <c r="G213" s="9" t="str">
        <f t="shared" si="3"/>
        <v/>
      </c>
      <c r="H213" s="15" t="str">
        <f>IF($B213="","",IFERROR(INDEX(Services!$A$2:$A$120,MATCH($B213,Services!$D$2:$D$120,0)),""))</f>
        <v/>
      </c>
      <c r="I213" s="19"/>
      <c r="J213" s="15" t="str">
        <f>IF($B213="","",IFERROR(INDEX(Services!$E$2:$E$120,MATCH($B213,Services!$D$2:$D$120,0)),""))</f>
        <v/>
      </c>
    </row>
    <row r="214" spans="1:10" x14ac:dyDescent="0.3">
      <c r="A214" s="18"/>
      <c r="B214" s="6"/>
      <c r="C214" s="6"/>
      <c r="D214" s="6"/>
      <c r="E214" s="16" t="str">
        <f>IF($B214="","",IFERROR(INDEX(Services!$C$2:$C$120,MATCH($B214,Services!$D$2:$D$120,0)),""))</f>
        <v/>
      </c>
      <c r="F214" s="19"/>
      <c r="G214" s="9" t="str">
        <f t="shared" si="3"/>
        <v/>
      </c>
      <c r="H214" s="15" t="str">
        <f>IF($B214="","",IFERROR(INDEX(Services!$A$2:$A$120,MATCH($B214,Services!$D$2:$D$120,0)),""))</f>
        <v/>
      </c>
      <c r="I214" s="19"/>
      <c r="J214" s="15" t="str">
        <f>IF($B214="","",IFERROR(INDEX(Services!$E$2:$E$120,MATCH($B214,Services!$D$2:$D$120,0)),""))</f>
        <v/>
      </c>
    </row>
    <row r="215" spans="1:10" x14ac:dyDescent="0.3">
      <c r="A215" s="18"/>
      <c r="B215" s="6"/>
      <c r="C215" s="6"/>
      <c r="D215" s="6"/>
      <c r="E215" s="16" t="str">
        <f>IF($B215="","",IFERROR(INDEX(Services!$C$2:$C$120,MATCH($B215,Services!$D$2:$D$120,0)),""))</f>
        <v/>
      </c>
      <c r="F215" s="19"/>
      <c r="G215" s="9" t="str">
        <f t="shared" si="3"/>
        <v/>
      </c>
      <c r="H215" s="15" t="str">
        <f>IF($B215="","",IFERROR(INDEX(Services!$A$2:$A$120,MATCH($B215,Services!$D$2:$D$120,0)),""))</f>
        <v/>
      </c>
      <c r="I215" s="19"/>
      <c r="J215" s="15" t="str">
        <f>IF($B215="","",IFERROR(INDEX(Services!$E$2:$E$120,MATCH($B215,Services!$D$2:$D$120,0)),""))</f>
        <v/>
      </c>
    </row>
    <row r="216" spans="1:10" x14ac:dyDescent="0.3">
      <c r="A216" s="18"/>
      <c r="B216" s="6"/>
      <c r="C216" s="6"/>
      <c r="D216" s="6"/>
      <c r="E216" s="16" t="str">
        <f>IF($B216="","",IFERROR(INDEX(Services!$C$2:$C$120,MATCH($B216,Services!$D$2:$D$120,0)),""))</f>
        <v/>
      </c>
      <c r="F216" s="19"/>
      <c r="G216" s="9" t="str">
        <f t="shared" si="3"/>
        <v/>
      </c>
      <c r="H216" s="15" t="str">
        <f>IF($B216="","",IFERROR(INDEX(Services!$A$2:$A$120,MATCH($B216,Services!$D$2:$D$120,0)),""))</f>
        <v/>
      </c>
      <c r="I216" s="19"/>
      <c r="J216" s="15" t="str">
        <f>IF($B216="","",IFERROR(INDEX(Services!$E$2:$E$120,MATCH($B216,Services!$D$2:$D$120,0)),""))</f>
        <v/>
      </c>
    </row>
    <row r="217" spans="1:10" x14ac:dyDescent="0.3">
      <c r="A217" s="18"/>
      <c r="B217" s="6"/>
      <c r="C217" s="6"/>
      <c r="D217" s="6"/>
      <c r="E217" s="16" t="str">
        <f>IF($B217="","",IFERROR(INDEX(Services!$C$2:$C$120,MATCH($B217,Services!$D$2:$D$120,0)),""))</f>
        <v/>
      </c>
      <c r="F217" s="19"/>
      <c r="G217" s="9" t="str">
        <f t="shared" si="3"/>
        <v/>
      </c>
      <c r="H217" s="15" t="str">
        <f>IF($B217="","",IFERROR(INDEX(Services!$A$2:$A$120,MATCH($B217,Services!$D$2:$D$120,0)),""))</f>
        <v/>
      </c>
      <c r="I217" s="19"/>
      <c r="J217" s="15" t="str">
        <f>IF($B217="","",IFERROR(INDEX(Services!$E$2:$E$120,MATCH($B217,Services!$D$2:$D$120,0)),""))</f>
        <v/>
      </c>
    </row>
    <row r="218" spans="1:10" x14ac:dyDescent="0.3">
      <c r="A218" s="18"/>
      <c r="B218" s="6"/>
      <c r="C218" s="6"/>
      <c r="D218" s="6"/>
      <c r="E218" s="16" t="str">
        <f>IF($B218="","",IFERROR(INDEX(Services!$C$2:$C$120,MATCH($B218,Services!$D$2:$D$120,0)),""))</f>
        <v/>
      </c>
      <c r="F218" s="19"/>
      <c r="G218" s="9" t="str">
        <f t="shared" si="3"/>
        <v/>
      </c>
      <c r="H218" s="15" t="str">
        <f>IF($B218="","",IFERROR(INDEX(Services!$A$2:$A$120,MATCH($B218,Services!$D$2:$D$120,0)),""))</f>
        <v/>
      </c>
      <c r="I218" s="19"/>
      <c r="J218" s="15" t="str">
        <f>IF($B218="","",IFERROR(INDEX(Services!$E$2:$E$120,MATCH($B218,Services!$D$2:$D$120,0)),""))</f>
        <v/>
      </c>
    </row>
    <row r="219" spans="1:10" x14ac:dyDescent="0.3">
      <c r="A219" s="18"/>
      <c r="B219" s="6"/>
      <c r="C219" s="6"/>
      <c r="D219" s="6"/>
      <c r="E219" s="16" t="str">
        <f>IF($B219="","",IFERROR(INDEX(Services!$C$2:$C$120,MATCH($B219,Services!$D$2:$D$120,0)),""))</f>
        <v/>
      </c>
      <c r="F219" s="19"/>
      <c r="G219" s="9" t="str">
        <f t="shared" si="3"/>
        <v/>
      </c>
      <c r="H219" s="15" t="str">
        <f>IF($B219="","",IFERROR(INDEX(Services!$A$2:$A$120,MATCH($B219,Services!$D$2:$D$120,0)),""))</f>
        <v/>
      </c>
      <c r="I219" s="19"/>
      <c r="J219" s="15" t="str">
        <f>IF($B219="","",IFERROR(INDEX(Services!$E$2:$E$120,MATCH($B219,Services!$D$2:$D$120,0)),""))</f>
        <v/>
      </c>
    </row>
    <row r="220" spans="1:10" x14ac:dyDescent="0.3">
      <c r="A220" s="18"/>
      <c r="B220" s="6"/>
      <c r="C220" s="6"/>
      <c r="D220" s="6"/>
      <c r="E220" s="16" t="str">
        <f>IF($B220="","",IFERROR(INDEX(Services!$C$2:$C$120,MATCH($B220,Services!$D$2:$D$120,0)),""))</f>
        <v/>
      </c>
      <c r="F220" s="19"/>
      <c r="G220" s="9" t="str">
        <f t="shared" si="3"/>
        <v/>
      </c>
      <c r="H220" s="15" t="str">
        <f>IF($B220="","",IFERROR(INDEX(Services!$A$2:$A$120,MATCH($B220,Services!$D$2:$D$120,0)),""))</f>
        <v/>
      </c>
      <c r="I220" s="19"/>
      <c r="J220" s="15" t="str">
        <f>IF($B220="","",IFERROR(INDEX(Services!$E$2:$E$120,MATCH($B220,Services!$D$2:$D$120,0)),""))</f>
        <v/>
      </c>
    </row>
    <row r="221" spans="1:10" x14ac:dyDescent="0.3">
      <c r="A221" s="18"/>
      <c r="B221" s="6"/>
      <c r="C221" s="6"/>
      <c r="D221" s="6"/>
      <c r="E221" s="16" t="str">
        <f>IF($B221="","",IFERROR(INDEX(Services!$C$2:$C$120,MATCH($B221,Services!$D$2:$D$120,0)),""))</f>
        <v/>
      </c>
      <c r="F221" s="19"/>
      <c r="G221" s="9" t="str">
        <f t="shared" si="3"/>
        <v/>
      </c>
      <c r="H221" s="15" t="str">
        <f>IF($B221="","",IFERROR(INDEX(Services!$A$2:$A$120,MATCH($B221,Services!$D$2:$D$120,0)),""))</f>
        <v/>
      </c>
      <c r="I221" s="19"/>
      <c r="J221" s="15" t="str">
        <f>IF($B221="","",IFERROR(INDEX(Services!$E$2:$E$120,MATCH($B221,Services!$D$2:$D$120,0)),""))</f>
        <v/>
      </c>
    </row>
    <row r="222" spans="1:10" x14ac:dyDescent="0.3">
      <c r="A222" s="18"/>
      <c r="B222" s="6"/>
      <c r="C222" s="6"/>
      <c r="D222" s="6"/>
      <c r="E222" s="16" t="str">
        <f>IF($B222="","",IFERROR(INDEX(Services!$C$2:$C$120,MATCH($B222,Services!$D$2:$D$120,0)),""))</f>
        <v/>
      </c>
      <c r="F222" s="19"/>
      <c r="G222" s="9" t="str">
        <f t="shared" si="3"/>
        <v/>
      </c>
      <c r="H222" s="15" t="str">
        <f>IF($B222="","",IFERROR(INDEX(Services!$A$2:$A$120,MATCH($B222,Services!$D$2:$D$120,0)),""))</f>
        <v/>
      </c>
      <c r="I222" s="19"/>
      <c r="J222" s="15" t="str">
        <f>IF($B222="","",IFERROR(INDEX(Services!$E$2:$E$120,MATCH($B222,Services!$D$2:$D$120,0)),""))</f>
        <v/>
      </c>
    </row>
    <row r="223" spans="1:10" x14ac:dyDescent="0.3">
      <c r="A223" s="18"/>
      <c r="B223" s="6"/>
      <c r="C223" s="6"/>
      <c r="D223" s="6"/>
      <c r="E223" s="16" t="str">
        <f>IF($B223="","",IFERROR(INDEX(Services!$C$2:$C$120,MATCH($B223,Services!$D$2:$D$120,0)),""))</f>
        <v/>
      </c>
      <c r="F223" s="19"/>
      <c r="G223" s="9" t="str">
        <f t="shared" si="3"/>
        <v/>
      </c>
      <c r="H223" s="15" t="str">
        <f>IF($B223="","",IFERROR(INDEX(Services!$A$2:$A$120,MATCH($B223,Services!$D$2:$D$120,0)),""))</f>
        <v/>
      </c>
      <c r="I223" s="19"/>
      <c r="J223" s="15" t="str">
        <f>IF($B223="","",IFERROR(INDEX(Services!$E$2:$E$120,MATCH($B223,Services!$D$2:$D$120,0)),""))</f>
        <v/>
      </c>
    </row>
    <row r="224" spans="1:10" x14ac:dyDescent="0.3">
      <c r="A224" s="18"/>
      <c r="B224" s="6"/>
      <c r="C224" s="6"/>
      <c r="D224" s="6"/>
      <c r="E224" s="16" t="str">
        <f>IF($B224="","",IFERROR(INDEX(Services!$C$2:$C$120,MATCH($B224,Services!$D$2:$D$120,0)),""))</f>
        <v/>
      </c>
      <c r="F224" s="19"/>
      <c r="G224" s="9" t="str">
        <f t="shared" si="3"/>
        <v/>
      </c>
      <c r="H224" s="15" t="str">
        <f>IF($B224="","",IFERROR(INDEX(Services!$A$2:$A$120,MATCH($B224,Services!$D$2:$D$120,0)),""))</f>
        <v/>
      </c>
      <c r="I224" s="19"/>
      <c r="J224" s="15" t="str">
        <f>IF($B224="","",IFERROR(INDEX(Services!$E$2:$E$120,MATCH($B224,Services!$D$2:$D$120,0)),""))</f>
        <v/>
      </c>
    </row>
    <row r="225" spans="1:10" x14ac:dyDescent="0.3">
      <c r="A225" s="18"/>
      <c r="B225" s="6"/>
      <c r="C225" s="6"/>
      <c r="D225" s="6"/>
      <c r="E225" s="16" t="str">
        <f>IF($B225="","",IFERROR(INDEX(Services!$C$2:$C$120,MATCH($B225,Services!$D$2:$D$120,0)),""))</f>
        <v/>
      </c>
      <c r="F225" s="19"/>
      <c r="G225" s="9" t="str">
        <f t="shared" si="3"/>
        <v/>
      </c>
      <c r="H225" s="15" t="str">
        <f>IF($B225="","",IFERROR(INDEX(Services!$A$2:$A$120,MATCH($B225,Services!$D$2:$D$120,0)),""))</f>
        <v/>
      </c>
      <c r="I225" s="19"/>
      <c r="J225" s="15" t="str">
        <f>IF($B225="","",IFERROR(INDEX(Services!$E$2:$E$120,MATCH($B225,Services!$D$2:$D$120,0)),""))</f>
        <v/>
      </c>
    </row>
    <row r="226" spans="1:10" x14ac:dyDescent="0.3">
      <c r="A226" s="18"/>
      <c r="B226" s="6"/>
      <c r="C226" s="6"/>
      <c r="D226" s="6"/>
      <c r="E226" s="16" t="str">
        <f>IF($B226="","",IFERROR(INDEX(Services!$C$2:$C$120,MATCH($B226,Services!$D$2:$D$120,0)),""))</f>
        <v/>
      </c>
      <c r="F226" s="19"/>
      <c r="G226" s="9" t="str">
        <f t="shared" si="3"/>
        <v/>
      </c>
      <c r="H226" s="15" t="str">
        <f>IF($B226="","",IFERROR(INDEX(Services!$A$2:$A$120,MATCH($B226,Services!$D$2:$D$120,0)),""))</f>
        <v/>
      </c>
      <c r="I226" s="19"/>
      <c r="J226" s="15" t="str">
        <f>IF($B226="","",IFERROR(INDEX(Services!$E$2:$E$120,MATCH($B226,Services!$D$2:$D$120,0)),""))</f>
        <v/>
      </c>
    </row>
    <row r="227" spans="1:10" x14ac:dyDescent="0.3">
      <c r="A227" s="18"/>
      <c r="B227" s="6"/>
      <c r="C227" s="6"/>
      <c r="D227" s="6"/>
      <c r="E227" s="16" t="str">
        <f>IF($B227="","",IFERROR(INDEX(Services!$C$2:$C$120,MATCH($B227,Services!$D$2:$D$120,0)),""))</f>
        <v/>
      </c>
      <c r="F227" s="19"/>
      <c r="G227" s="9" t="str">
        <f t="shared" si="3"/>
        <v/>
      </c>
      <c r="H227" s="15" t="str">
        <f>IF($B227="","",IFERROR(INDEX(Services!$A$2:$A$120,MATCH($B227,Services!$D$2:$D$120,0)),""))</f>
        <v/>
      </c>
      <c r="I227" s="19"/>
      <c r="J227" s="15" t="str">
        <f>IF($B227="","",IFERROR(INDEX(Services!$E$2:$E$120,MATCH($B227,Services!$D$2:$D$120,0)),""))</f>
        <v/>
      </c>
    </row>
    <row r="228" spans="1:10" x14ac:dyDescent="0.3">
      <c r="A228" s="18"/>
      <c r="B228" s="6"/>
      <c r="C228" s="6"/>
      <c r="D228" s="6"/>
      <c r="E228" s="16" t="str">
        <f>IF($B228="","",IFERROR(INDEX(Services!$C$2:$C$120,MATCH($B228,Services!$D$2:$D$120,0)),""))</f>
        <v/>
      </c>
      <c r="F228" s="19"/>
      <c r="G228" s="9" t="str">
        <f t="shared" si="3"/>
        <v/>
      </c>
      <c r="H228" s="15" t="str">
        <f>IF($B228="","",IFERROR(INDEX(Services!$A$2:$A$120,MATCH($B228,Services!$D$2:$D$120,0)),""))</f>
        <v/>
      </c>
      <c r="I228" s="19"/>
      <c r="J228" s="15" t="str">
        <f>IF($B228="","",IFERROR(INDEX(Services!$E$2:$E$120,MATCH($B228,Services!$D$2:$D$120,0)),""))</f>
        <v/>
      </c>
    </row>
    <row r="229" spans="1:10" x14ac:dyDescent="0.3">
      <c r="A229" s="18"/>
      <c r="B229" s="6"/>
      <c r="C229" s="6"/>
      <c r="D229" s="6"/>
      <c r="E229" s="16" t="str">
        <f>IF($B229="","",IFERROR(INDEX(Services!$C$2:$C$120,MATCH($B229,Services!$D$2:$D$120,0)),""))</f>
        <v/>
      </c>
      <c r="F229" s="19"/>
      <c r="G229" s="9" t="str">
        <f t="shared" si="3"/>
        <v/>
      </c>
      <c r="H229" s="15" t="str">
        <f>IF($B229="","",IFERROR(INDEX(Services!$A$2:$A$120,MATCH($B229,Services!$D$2:$D$120,0)),""))</f>
        <v/>
      </c>
      <c r="I229" s="19"/>
      <c r="J229" s="15" t="str">
        <f>IF($B229="","",IFERROR(INDEX(Services!$E$2:$E$120,MATCH($B229,Services!$D$2:$D$120,0)),""))</f>
        <v/>
      </c>
    </row>
    <row r="230" spans="1:10" x14ac:dyDescent="0.3">
      <c r="A230" s="18"/>
      <c r="B230" s="6"/>
      <c r="C230" s="6"/>
      <c r="D230" s="6"/>
      <c r="E230" s="16" t="str">
        <f>IF($B230="","",IFERROR(INDEX(Services!$C$2:$C$120,MATCH($B230,Services!$D$2:$D$120,0)),""))</f>
        <v/>
      </c>
      <c r="F230" s="19"/>
      <c r="G230" s="9" t="str">
        <f t="shared" si="3"/>
        <v/>
      </c>
      <c r="H230" s="15" t="str">
        <f>IF($B230="","",IFERROR(INDEX(Services!$A$2:$A$120,MATCH($B230,Services!$D$2:$D$120,0)),""))</f>
        <v/>
      </c>
      <c r="I230" s="19"/>
      <c r="J230" s="15" t="str">
        <f>IF($B230="","",IFERROR(INDEX(Services!$E$2:$E$120,MATCH($B230,Services!$D$2:$D$120,0)),""))</f>
        <v/>
      </c>
    </row>
    <row r="231" spans="1:10" x14ac:dyDescent="0.3">
      <c r="A231" s="18"/>
      <c r="B231" s="6"/>
      <c r="C231" s="6"/>
      <c r="D231" s="6"/>
      <c r="E231" s="16" t="str">
        <f>IF($B231="","",IFERROR(INDEX(Services!$C$2:$C$120,MATCH($B231,Services!$D$2:$D$120,0)),""))</f>
        <v/>
      </c>
      <c r="F231" s="19"/>
      <c r="G231" s="9" t="str">
        <f t="shared" si="3"/>
        <v/>
      </c>
      <c r="H231" s="15" t="str">
        <f>IF($B231="","",IFERROR(INDEX(Services!$A$2:$A$120,MATCH($B231,Services!$D$2:$D$120,0)),""))</f>
        <v/>
      </c>
      <c r="I231" s="19"/>
      <c r="J231" s="15" t="str">
        <f>IF($B231="","",IFERROR(INDEX(Services!$E$2:$E$120,MATCH($B231,Services!$D$2:$D$120,0)),""))</f>
        <v/>
      </c>
    </row>
    <row r="232" spans="1:10" x14ac:dyDescent="0.3">
      <c r="A232" s="18"/>
      <c r="B232" s="6"/>
      <c r="C232" s="6"/>
      <c r="D232" s="6"/>
      <c r="E232" s="16" t="str">
        <f>IF($B232="","",IFERROR(INDEX(Services!$C$2:$C$120,MATCH($B232,Services!$D$2:$D$120,0)),""))</f>
        <v/>
      </c>
      <c r="F232" s="19"/>
      <c r="G232" s="9" t="str">
        <f t="shared" si="3"/>
        <v/>
      </c>
      <c r="H232" s="15" t="str">
        <f>IF($B232="","",IFERROR(INDEX(Services!$A$2:$A$120,MATCH($B232,Services!$D$2:$D$120,0)),""))</f>
        <v/>
      </c>
      <c r="I232" s="19"/>
      <c r="J232" s="15" t="str">
        <f>IF($B232="","",IFERROR(INDEX(Services!$E$2:$E$120,MATCH($B232,Services!$D$2:$D$120,0)),""))</f>
        <v/>
      </c>
    </row>
    <row r="233" spans="1:10" x14ac:dyDescent="0.3">
      <c r="A233" s="18"/>
      <c r="B233" s="6"/>
      <c r="C233" s="6"/>
      <c r="D233" s="6"/>
      <c r="E233" s="16" t="str">
        <f>IF($B233="","",IFERROR(INDEX(Services!$C$2:$C$120,MATCH($B233,Services!$D$2:$D$120,0)),""))</f>
        <v/>
      </c>
      <c r="F233" s="19"/>
      <c r="G233" s="9" t="str">
        <f t="shared" si="3"/>
        <v/>
      </c>
      <c r="H233" s="15" t="str">
        <f>IF($B233="","",IFERROR(INDEX(Services!$A$2:$A$120,MATCH($B233,Services!$D$2:$D$120,0)),""))</f>
        <v/>
      </c>
      <c r="I233" s="19"/>
      <c r="J233" s="15" t="str">
        <f>IF($B233="","",IFERROR(INDEX(Services!$E$2:$E$120,MATCH($B233,Services!$D$2:$D$120,0)),""))</f>
        <v/>
      </c>
    </row>
    <row r="234" spans="1:10" x14ac:dyDescent="0.3">
      <c r="A234" s="18"/>
      <c r="B234" s="6"/>
      <c r="C234" s="6"/>
      <c r="D234" s="6"/>
      <c r="E234" s="16" t="str">
        <f>IF($B234="","",IFERROR(INDEX(Services!$C$2:$C$120,MATCH($B234,Services!$D$2:$D$120,0)),""))</f>
        <v/>
      </c>
      <c r="F234" s="19"/>
      <c r="G234" s="9" t="str">
        <f t="shared" si="3"/>
        <v/>
      </c>
      <c r="H234" s="15" t="str">
        <f>IF($B234="","",IFERROR(INDEX(Services!$A$2:$A$120,MATCH($B234,Services!$D$2:$D$120,0)),""))</f>
        <v/>
      </c>
      <c r="I234" s="19"/>
      <c r="J234" s="15" t="str">
        <f>IF($B234="","",IFERROR(INDEX(Services!$E$2:$E$120,MATCH($B234,Services!$D$2:$D$120,0)),""))</f>
        <v/>
      </c>
    </row>
    <row r="235" spans="1:10" x14ac:dyDescent="0.3">
      <c r="A235" s="18"/>
      <c r="B235" s="6"/>
      <c r="C235" s="6"/>
      <c r="D235" s="6"/>
      <c r="E235" s="16" t="str">
        <f>IF($B235="","",IFERROR(INDEX(Services!$C$2:$C$120,MATCH($B235,Services!$D$2:$D$120,0)),""))</f>
        <v/>
      </c>
      <c r="F235" s="19"/>
      <c r="G235" s="9" t="str">
        <f t="shared" si="3"/>
        <v/>
      </c>
      <c r="H235" s="15" t="str">
        <f>IF($B235="","",IFERROR(INDEX(Services!$A$2:$A$120,MATCH($B235,Services!$D$2:$D$120,0)),""))</f>
        <v/>
      </c>
      <c r="I235" s="19"/>
      <c r="J235" s="15" t="str">
        <f>IF($B235="","",IFERROR(INDEX(Services!$E$2:$E$120,MATCH($B235,Services!$D$2:$D$120,0)),""))</f>
        <v/>
      </c>
    </row>
    <row r="236" spans="1:10" x14ac:dyDescent="0.3">
      <c r="A236" s="18"/>
      <c r="B236" s="6"/>
      <c r="C236" s="6"/>
      <c r="D236" s="6"/>
      <c r="E236" s="16" t="str">
        <f>IF($B236="","",IFERROR(INDEX(Services!$C$2:$C$120,MATCH($B236,Services!$D$2:$D$120,0)),""))</f>
        <v/>
      </c>
      <c r="F236" s="19"/>
      <c r="G236" s="9" t="str">
        <f t="shared" si="3"/>
        <v/>
      </c>
      <c r="H236" s="15" t="str">
        <f>IF($B236="","",IFERROR(INDEX(Services!$A$2:$A$120,MATCH($B236,Services!$D$2:$D$120,0)),""))</f>
        <v/>
      </c>
      <c r="I236" s="19"/>
      <c r="J236" s="15" t="str">
        <f>IF($B236="","",IFERROR(INDEX(Services!$E$2:$E$120,MATCH($B236,Services!$D$2:$D$120,0)),""))</f>
        <v/>
      </c>
    </row>
    <row r="237" spans="1:10" x14ac:dyDescent="0.3">
      <c r="A237" s="18"/>
      <c r="B237" s="6"/>
      <c r="C237" s="6"/>
      <c r="D237" s="6"/>
      <c r="E237" s="16" t="str">
        <f>IF($B237="","",IFERROR(INDEX(Services!$C$2:$C$120,MATCH($B237,Services!$D$2:$D$120,0)),""))</f>
        <v/>
      </c>
      <c r="F237" s="19"/>
      <c r="G237" s="9" t="str">
        <f t="shared" si="3"/>
        <v/>
      </c>
      <c r="H237" s="15" t="str">
        <f>IF($B237="","",IFERROR(INDEX(Services!$A$2:$A$120,MATCH($B237,Services!$D$2:$D$120,0)),""))</f>
        <v/>
      </c>
      <c r="I237" s="19"/>
      <c r="J237" s="15" t="str">
        <f>IF($B237="","",IFERROR(INDEX(Services!$E$2:$E$120,MATCH($B237,Services!$D$2:$D$120,0)),""))</f>
        <v/>
      </c>
    </row>
    <row r="238" spans="1:10" x14ac:dyDescent="0.3">
      <c r="A238" s="18"/>
      <c r="B238" s="6"/>
      <c r="C238" s="6"/>
      <c r="D238" s="6"/>
      <c r="E238" s="16" t="str">
        <f>IF($B238="","",IFERROR(INDEX(Services!$C$2:$C$120,MATCH($B238,Services!$D$2:$D$120,0)),""))</f>
        <v/>
      </c>
      <c r="F238" s="19"/>
      <c r="G238" s="9" t="str">
        <f t="shared" si="3"/>
        <v/>
      </c>
      <c r="H238" s="15" t="str">
        <f>IF($B238="","",IFERROR(INDEX(Services!$A$2:$A$120,MATCH($B238,Services!$D$2:$D$120,0)),""))</f>
        <v/>
      </c>
      <c r="I238" s="19"/>
      <c r="J238" s="15" t="str">
        <f>IF($B238="","",IFERROR(INDEX(Services!$E$2:$E$120,MATCH($B238,Services!$D$2:$D$120,0)),""))</f>
        <v/>
      </c>
    </row>
    <row r="239" spans="1:10" x14ac:dyDescent="0.3">
      <c r="A239" s="18"/>
      <c r="B239" s="6"/>
      <c r="C239" s="6"/>
      <c r="D239" s="6"/>
      <c r="E239" s="16" t="str">
        <f>IF($B239="","",IFERROR(INDEX(Services!$C$2:$C$120,MATCH($B239,Services!$D$2:$D$120,0)),""))</f>
        <v/>
      </c>
      <c r="F239" s="19"/>
      <c r="G239" s="9" t="str">
        <f t="shared" si="3"/>
        <v/>
      </c>
      <c r="H239" s="15" t="str">
        <f>IF($B239="","",IFERROR(INDEX(Services!$A$2:$A$120,MATCH($B239,Services!$D$2:$D$120,0)),""))</f>
        <v/>
      </c>
      <c r="I239" s="19"/>
      <c r="J239" s="15" t="str">
        <f>IF($B239="","",IFERROR(INDEX(Services!$E$2:$E$120,MATCH($B239,Services!$D$2:$D$120,0)),""))</f>
        <v/>
      </c>
    </row>
    <row r="240" spans="1:10" x14ac:dyDescent="0.3">
      <c r="A240" s="18"/>
      <c r="B240" s="6"/>
      <c r="C240" s="6"/>
      <c r="D240" s="6"/>
      <c r="E240" s="16" t="str">
        <f>IF($B240="","",IFERROR(INDEX(Services!$C$2:$C$120,MATCH($B240,Services!$D$2:$D$120,0)),""))</f>
        <v/>
      </c>
      <c r="F240" s="19"/>
      <c r="G240" s="9" t="str">
        <f t="shared" si="3"/>
        <v/>
      </c>
      <c r="H240" s="15" t="str">
        <f>IF($B240="","",IFERROR(INDEX(Services!$A$2:$A$120,MATCH($B240,Services!$D$2:$D$120,0)),""))</f>
        <v/>
      </c>
      <c r="I240" s="19"/>
      <c r="J240" s="15" t="str">
        <f>IF($B240="","",IFERROR(INDEX(Services!$E$2:$E$120,MATCH($B240,Services!$D$2:$D$120,0)),""))</f>
        <v/>
      </c>
    </row>
    <row r="241" spans="1:10" x14ac:dyDescent="0.3">
      <c r="A241" s="18"/>
      <c r="B241" s="6"/>
      <c r="C241" s="6"/>
      <c r="D241" s="6"/>
      <c r="E241" s="16" t="str">
        <f>IF($B241="","",IFERROR(INDEX(Services!$C$2:$C$120,MATCH($B241,Services!$D$2:$D$120,0)),""))</f>
        <v/>
      </c>
      <c r="F241" s="19"/>
      <c r="G241" s="9" t="str">
        <f t="shared" si="3"/>
        <v/>
      </c>
      <c r="H241" s="15" t="str">
        <f>IF($B241="","",IFERROR(INDEX(Services!$A$2:$A$120,MATCH($B241,Services!$D$2:$D$120,0)),""))</f>
        <v/>
      </c>
      <c r="I241" s="19"/>
      <c r="J241" s="15" t="str">
        <f>IF($B241="","",IFERROR(INDEX(Services!$E$2:$E$120,MATCH($B241,Services!$D$2:$D$120,0)),""))</f>
        <v/>
      </c>
    </row>
    <row r="242" spans="1:10" x14ac:dyDescent="0.3">
      <c r="A242" s="18"/>
      <c r="B242" s="6"/>
      <c r="C242" s="6"/>
      <c r="D242" s="6"/>
      <c r="E242" s="16" t="str">
        <f>IF($B242="","",IFERROR(INDEX(Services!$C$2:$C$120,MATCH($B242,Services!$D$2:$D$120,0)),""))</f>
        <v/>
      </c>
      <c r="F242" s="19"/>
      <c r="G242" s="9" t="str">
        <f t="shared" si="3"/>
        <v/>
      </c>
      <c r="H242" s="15" t="str">
        <f>IF($B242="","",IFERROR(INDEX(Services!$A$2:$A$120,MATCH($B242,Services!$D$2:$D$120,0)),""))</f>
        <v/>
      </c>
      <c r="I242" s="19"/>
      <c r="J242" s="15" t="str">
        <f>IF($B242="","",IFERROR(INDEX(Services!$E$2:$E$120,MATCH($B242,Services!$D$2:$D$120,0)),""))</f>
        <v/>
      </c>
    </row>
    <row r="243" spans="1:10" x14ac:dyDescent="0.3">
      <c r="A243" s="18"/>
      <c r="B243" s="6"/>
      <c r="C243" s="6"/>
      <c r="D243" s="6"/>
      <c r="E243" s="16" t="str">
        <f>IF($B243="","",IFERROR(INDEX(Services!$C$2:$C$120,MATCH($B243,Services!$D$2:$D$120,0)),""))</f>
        <v/>
      </c>
      <c r="F243" s="19"/>
      <c r="G243" s="9" t="str">
        <f t="shared" si="3"/>
        <v/>
      </c>
      <c r="H243" s="15" t="str">
        <f>IF($B243="","",IFERROR(INDEX(Services!$A$2:$A$120,MATCH($B243,Services!$D$2:$D$120,0)),""))</f>
        <v/>
      </c>
      <c r="I243" s="19"/>
      <c r="J243" s="15" t="str">
        <f>IF($B243="","",IFERROR(INDEX(Services!$E$2:$E$120,MATCH($B243,Services!$D$2:$D$120,0)),""))</f>
        <v/>
      </c>
    </row>
    <row r="244" spans="1:10" x14ac:dyDescent="0.3">
      <c r="A244" s="18"/>
      <c r="B244" s="6"/>
      <c r="C244" s="6"/>
      <c r="D244" s="6"/>
      <c r="E244" s="16" t="str">
        <f>IF($B244="","",IFERROR(INDEX(Services!$C$2:$C$120,MATCH($B244,Services!$D$2:$D$120,0)),""))</f>
        <v/>
      </c>
      <c r="F244" s="19"/>
      <c r="G244" s="9" t="str">
        <f t="shared" si="3"/>
        <v/>
      </c>
      <c r="H244" s="15" t="str">
        <f>IF($B244="","",IFERROR(INDEX(Services!$A$2:$A$120,MATCH($B244,Services!$D$2:$D$120,0)),""))</f>
        <v/>
      </c>
      <c r="I244" s="19"/>
      <c r="J244" s="15" t="str">
        <f>IF($B244="","",IFERROR(INDEX(Services!$E$2:$E$120,MATCH($B244,Services!$D$2:$D$120,0)),""))</f>
        <v/>
      </c>
    </row>
    <row r="245" spans="1:10" x14ac:dyDescent="0.3">
      <c r="A245" s="18"/>
      <c r="B245" s="6"/>
      <c r="C245" s="6"/>
      <c r="D245" s="6"/>
      <c r="E245" s="16" t="str">
        <f>IF($B245="","",IFERROR(INDEX(Services!$C$2:$C$120,MATCH($B245,Services!$D$2:$D$120,0)),""))</f>
        <v/>
      </c>
      <c r="F245" s="19"/>
      <c r="G245" s="9" t="str">
        <f t="shared" si="3"/>
        <v/>
      </c>
      <c r="H245" s="15" t="str">
        <f>IF($B245="","",IFERROR(INDEX(Services!$A$2:$A$120,MATCH($B245,Services!$D$2:$D$120,0)),""))</f>
        <v/>
      </c>
      <c r="I245" s="19"/>
      <c r="J245" s="15" t="str">
        <f>IF($B245="","",IFERROR(INDEX(Services!$E$2:$E$120,MATCH($B245,Services!$D$2:$D$120,0)),""))</f>
        <v/>
      </c>
    </row>
    <row r="246" spans="1:10" x14ac:dyDescent="0.3">
      <c r="A246" s="18"/>
      <c r="B246" s="6"/>
      <c r="C246" s="6"/>
      <c r="D246" s="6"/>
      <c r="E246" s="16" t="str">
        <f>IF($B246="","",IFERROR(INDEX(Services!$C$2:$C$120,MATCH($B246,Services!$D$2:$D$120,0)),""))</f>
        <v/>
      </c>
      <c r="F246" s="19"/>
      <c r="G246" s="9" t="str">
        <f t="shared" si="3"/>
        <v/>
      </c>
      <c r="H246" s="15" t="str">
        <f>IF($B246="","",IFERROR(INDEX(Services!$A$2:$A$120,MATCH($B246,Services!$D$2:$D$120,0)),""))</f>
        <v/>
      </c>
      <c r="I246" s="19"/>
      <c r="J246" s="15" t="str">
        <f>IF($B246="","",IFERROR(INDEX(Services!$E$2:$E$120,MATCH($B246,Services!$D$2:$D$120,0)),""))</f>
        <v/>
      </c>
    </row>
    <row r="247" spans="1:10" x14ac:dyDescent="0.3">
      <c r="A247" s="18"/>
      <c r="B247" s="6"/>
      <c r="C247" s="6"/>
      <c r="D247" s="6"/>
      <c r="E247" s="16" t="str">
        <f>IF($B247="","",IFERROR(INDEX(Services!$C$2:$C$120,MATCH($B247,Services!$D$2:$D$120,0)),""))</f>
        <v/>
      </c>
      <c r="F247" s="19"/>
      <c r="G247" s="9" t="str">
        <f t="shared" si="3"/>
        <v/>
      </c>
      <c r="H247" s="15" t="str">
        <f>IF($B247="","",IFERROR(INDEX(Services!$A$2:$A$120,MATCH($B247,Services!$D$2:$D$120,0)),""))</f>
        <v/>
      </c>
      <c r="I247" s="19"/>
      <c r="J247" s="15" t="str">
        <f>IF($B247="","",IFERROR(INDEX(Services!$E$2:$E$120,MATCH($B247,Services!$D$2:$D$120,0)),""))</f>
        <v/>
      </c>
    </row>
    <row r="248" spans="1:10" x14ac:dyDescent="0.3">
      <c r="A248" s="18"/>
      <c r="B248" s="6"/>
      <c r="C248" s="6"/>
      <c r="D248" s="6"/>
      <c r="E248" s="16" t="str">
        <f>IF($B248="","",IFERROR(INDEX(Services!$C$2:$C$120,MATCH($B248,Services!$D$2:$D$120,0)),""))</f>
        <v/>
      </c>
      <c r="F248" s="19"/>
      <c r="G248" s="9" t="str">
        <f t="shared" si="3"/>
        <v/>
      </c>
      <c r="H248" s="15" t="str">
        <f>IF($B248="","",IFERROR(INDEX(Services!$A$2:$A$120,MATCH($B248,Services!$D$2:$D$120,0)),""))</f>
        <v/>
      </c>
      <c r="I248" s="19"/>
      <c r="J248" s="15" t="str">
        <f>IF($B248="","",IFERROR(INDEX(Services!$E$2:$E$120,MATCH($B248,Services!$D$2:$D$120,0)),""))</f>
        <v/>
      </c>
    </row>
    <row r="249" spans="1:10" x14ac:dyDescent="0.3">
      <c r="A249" s="18"/>
      <c r="B249" s="6"/>
      <c r="C249" s="6"/>
      <c r="D249" s="6"/>
      <c r="E249" s="16" t="str">
        <f>IF($B249="","",IFERROR(INDEX(Services!$C$2:$C$120,MATCH($B249,Services!$D$2:$D$120,0)),""))</f>
        <v/>
      </c>
      <c r="F249" s="19"/>
      <c r="G249" s="9" t="str">
        <f t="shared" si="3"/>
        <v/>
      </c>
      <c r="H249" s="15" t="str">
        <f>IF($B249="","",IFERROR(INDEX(Services!$A$2:$A$120,MATCH($B249,Services!$D$2:$D$120,0)),""))</f>
        <v/>
      </c>
      <c r="I249" s="19"/>
      <c r="J249" s="15" t="str">
        <f>IF($B249="","",IFERROR(INDEX(Services!$E$2:$E$120,MATCH($B249,Services!$D$2:$D$120,0)),""))</f>
        <v/>
      </c>
    </row>
    <row r="250" spans="1:10" x14ac:dyDescent="0.3">
      <c r="A250" s="18"/>
      <c r="B250" s="6"/>
      <c r="C250" s="6"/>
      <c r="D250" s="6"/>
      <c r="E250" s="16" t="str">
        <f>IF($B250="","",IFERROR(INDEX(Services!$C$2:$C$120,MATCH($B250,Services!$D$2:$D$120,0)),""))</f>
        <v/>
      </c>
      <c r="F250" s="19"/>
      <c r="G250" s="9" t="str">
        <f t="shared" si="3"/>
        <v/>
      </c>
      <c r="H250" s="15" t="str">
        <f>IF($B250="","",IFERROR(INDEX(Services!$A$2:$A$120,MATCH($B250,Services!$D$2:$D$120,0)),""))</f>
        <v/>
      </c>
      <c r="I250" s="19"/>
      <c r="J250" s="15" t="str">
        <f>IF($B250="","",IFERROR(INDEX(Services!$E$2:$E$120,MATCH($B250,Services!$D$2:$D$120,0)),""))</f>
        <v/>
      </c>
    </row>
    <row r="251" spans="1:10" x14ac:dyDescent="0.3">
      <c r="A251" s="18"/>
      <c r="B251" s="6"/>
      <c r="C251" s="6"/>
      <c r="D251" s="6"/>
      <c r="E251" s="16" t="str">
        <f>IF($B251="","",IFERROR(INDEX(Services!$C$2:$C$120,MATCH($B251,Services!$D$2:$D$120,0)),""))</f>
        <v/>
      </c>
      <c r="F251" s="19"/>
      <c r="G251" s="9" t="str">
        <f t="shared" si="3"/>
        <v/>
      </c>
      <c r="H251" s="15" t="str">
        <f>IF($B251="","",IFERROR(INDEX(Services!$A$2:$A$120,MATCH($B251,Services!$D$2:$D$120,0)),""))</f>
        <v/>
      </c>
      <c r="I251" s="19"/>
      <c r="J251" s="15" t="str">
        <f>IF($B251="","",IFERROR(INDEX(Services!$E$2:$E$120,MATCH($B251,Services!$D$2:$D$120,0)),""))</f>
        <v/>
      </c>
    </row>
    <row r="252" spans="1:10" x14ac:dyDescent="0.3">
      <c r="A252" s="18"/>
      <c r="B252" s="6"/>
      <c r="C252" s="6"/>
      <c r="D252" s="6"/>
      <c r="E252" s="16" t="str">
        <f>IF($B252="","",IFERROR(INDEX(Services!$C$2:$C$120,MATCH($B252,Services!$D$2:$D$120,0)),""))</f>
        <v/>
      </c>
      <c r="F252" s="19"/>
      <c r="G252" s="9" t="str">
        <f t="shared" si="3"/>
        <v/>
      </c>
      <c r="H252" s="15" t="str">
        <f>IF($B252="","",IFERROR(INDEX(Services!$A$2:$A$120,MATCH($B252,Services!$D$2:$D$120,0)),""))</f>
        <v/>
      </c>
      <c r="I252" s="19"/>
      <c r="J252" s="15" t="str">
        <f>IF($B252="","",IFERROR(INDEX(Services!$E$2:$E$120,MATCH($B252,Services!$D$2:$D$120,0)),""))</f>
        <v/>
      </c>
    </row>
    <row r="253" spans="1:10" x14ac:dyDescent="0.3">
      <c r="A253" s="18"/>
      <c r="B253" s="6"/>
      <c r="C253" s="6"/>
      <c r="D253" s="6"/>
      <c r="E253" s="16" t="str">
        <f>IF($B253="","",IFERROR(INDEX(Services!$C$2:$C$120,MATCH($B253,Services!$D$2:$D$120,0)),""))</f>
        <v/>
      </c>
      <c r="F253" s="19"/>
      <c r="G253" s="9" t="str">
        <f t="shared" si="3"/>
        <v/>
      </c>
      <c r="H253" s="15" t="str">
        <f>IF($B253="","",IFERROR(INDEX(Services!$A$2:$A$120,MATCH($B253,Services!$D$2:$D$120,0)),""))</f>
        <v/>
      </c>
      <c r="I253" s="19"/>
      <c r="J253" s="15" t="str">
        <f>IF($B253="","",IFERROR(INDEX(Services!$E$2:$E$120,MATCH($B253,Services!$D$2:$D$120,0)),""))</f>
        <v/>
      </c>
    </row>
    <row r="254" spans="1:10" x14ac:dyDescent="0.3">
      <c r="A254" s="18"/>
      <c r="B254" s="6"/>
      <c r="C254" s="6"/>
      <c r="D254" s="6"/>
      <c r="E254" s="16" t="str">
        <f>IF($B254="","",IFERROR(INDEX(Services!$C$2:$C$120,MATCH($B254,Services!$D$2:$D$120,0)),""))</f>
        <v/>
      </c>
      <c r="F254" s="19"/>
      <c r="G254" s="9" t="str">
        <f t="shared" si="3"/>
        <v/>
      </c>
      <c r="H254" s="15" t="str">
        <f>IF($B254="","",IFERROR(INDEX(Services!$A$2:$A$120,MATCH($B254,Services!$D$2:$D$120,0)),""))</f>
        <v/>
      </c>
      <c r="I254" s="19"/>
      <c r="J254" s="15" t="str">
        <f>IF($B254="","",IFERROR(INDEX(Services!$E$2:$E$120,MATCH($B254,Services!$D$2:$D$120,0)),""))</f>
        <v/>
      </c>
    </row>
    <row r="255" spans="1:10" x14ac:dyDescent="0.3">
      <c r="A255" s="18"/>
      <c r="B255" s="6"/>
      <c r="C255" s="6"/>
      <c r="D255" s="6"/>
      <c r="E255" s="16" t="str">
        <f>IF($B255="","",IFERROR(INDEX(Services!$C$2:$C$120,MATCH($B255,Services!$D$2:$D$120,0)),""))</f>
        <v/>
      </c>
      <c r="F255" s="19"/>
      <c r="G255" s="9" t="str">
        <f t="shared" si="3"/>
        <v/>
      </c>
      <c r="H255" s="15" t="str">
        <f>IF($B255="","",IFERROR(INDEX(Services!$A$2:$A$120,MATCH($B255,Services!$D$2:$D$120,0)),""))</f>
        <v/>
      </c>
      <c r="I255" s="19"/>
      <c r="J255" s="15" t="str">
        <f>IF($B255="","",IFERROR(INDEX(Services!$E$2:$E$120,MATCH($B255,Services!$D$2:$D$120,0)),""))</f>
        <v/>
      </c>
    </row>
    <row r="256" spans="1:10" x14ac:dyDescent="0.3">
      <c r="A256" s="18"/>
      <c r="B256" s="6"/>
      <c r="C256" s="6"/>
      <c r="D256" s="6"/>
      <c r="E256" s="16" t="str">
        <f>IF($B256="","",IFERROR(INDEX(Services!$C$2:$C$120,MATCH($B256,Services!$D$2:$D$120,0)),""))</f>
        <v/>
      </c>
      <c r="F256" s="19"/>
      <c r="G256" s="9" t="str">
        <f t="shared" si="3"/>
        <v/>
      </c>
      <c r="H256" s="15" t="str">
        <f>IF($B256="","",IFERROR(INDEX(Services!$A$2:$A$120,MATCH($B256,Services!$D$2:$D$120,0)),""))</f>
        <v/>
      </c>
      <c r="I256" s="19"/>
      <c r="J256" s="15" t="str">
        <f>IF($B256="","",IFERROR(INDEX(Services!$E$2:$E$120,MATCH($B256,Services!$D$2:$D$120,0)),""))</f>
        <v/>
      </c>
    </row>
    <row r="257" spans="1:10" x14ac:dyDescent="0.3">
      <c r="A257" s="18"/>
      <c r="B257" s="6"/>
      <c r="C257" s="6"/>
      <c r="D257" s="6"/>
      <c r="E257" s="16" t="str">
        <f>IF($B257="","",IFERROR(INDEX(Services!$C$2:$C$120,MATCH($B257,Services!$D$2:$D$120,0)),""))</f>
        <v/>
      </c>
      <c r="F257" s="19"/>
      <c r="G257" s="9" t="str">
        <f t="shared" si="3"/>
        <v/>
      </c>
      <c r="H257" s="15" t="str">
        <f>IF($B257="","",IFERROR(INDEX(Services!$A$2:$A$120,MATCH($B257,Services!$D$2:$D$120,0)),""))</f>
        <v/>
      </c>
      <c r="I257" s="19"/>
      <c r="J257" s="15" t="str">
        <f>IF($B257="","",IFERROR(INDEX(Services!$E$2:$E$120,MATCH($B257,Services!$D$2:$D$120,0)),""))</f>
        <v/>
      </c>
    </row>
    <row r="258" spans="1:10" x14ac:dyDescent="0.3">
      <c r="A258" s="18"/>
      <c r="B258" s="6"/>
      <c r="C258" s="6"/>
      <c r="D258" s="6"/>
      <c r="E258" s="16" t="str">
        <f>IF($B258="","",IFERROR(INDEX(Services!$C$2:$C$120,MATCH($B258,Services!$D$2:$D$120,0)),""))</f>
        <v/>
      </c>
      <c r="F258" s="19"/>
      <c r="G258" s="9" t="str">
        <f t="shared" ref="G258:G321" si="4">IF(OR($B258="",NOT(ISNUMBER($E258))),"",$E258-IF($F258="",0,$F258))</f>
        <v/>
      </c>
      <c r="H258" s="15" t="str">
        <f>IF($B258="","",IFERROR(INDEX(Services!$A$2:$A$120,MATCH($B258,Services!$D$2:$D$120,0)),""))</f>
        <v/>
      </c>
      <c r="I258" s="19"/>
      <c r="J258" s="15" t="str">
        <f>IF($B258="","",IFERROR(INDEX(Services!$E$2:$E$120,MATCH($B258,Services!$D$2:$D$120,0)),""))</f>
        <v/>
      </c>
    </row>
    <row r="259" spans="1:10" x14ac:dyDescent="0.3">
      <c r="A259" s="18"/>
      <c r="B259" s="6"/>
      <c r="C259" s="6"/>
      <c r="D259" s="6"/>
      <c r="E259" s="16" t="str">
        <f>IF($B259="","",IFERROR(INDEX(Services!$C$2:$C$120,MATCH($B259,Services!$D$2:$D$120,0)),""))</f>
        <v/>
      </c>
      <c r="F259" s="19"/>
      <c r="G259" s="9" t="str">
        <f t="shared" si="4"/>
        <v/>
      </c>
      <c r="H259" s="15" t="str">
        <f>IF($B259="","",IFERROR(INDEX(Services!$A$2:$A$120,MATCH($B259,Services!$D$2:$D$120,0)),""))</f>
        <v/>
      </c>
      <c r="I259" s="19"/>
      <c r="J259" s="15" t="str">
        <f>IF($B259="","",IFERROR(INDEX(Services!$E$2:$E$120,MATCH($B259,Services!$D$2:$D$120,0)),""))</f>
        <v/>
      </c>
    </row>
    <row r="260" spans="1:10" x14ac:dyDescent="0.3">
      <c r="A260" s="18"/>
      <c r="B260" s="6"/>
      <c r="C260" s="6"/>
      <c r="D260" s="6"/>
      <c r="E260" s="16" t="str">
        <f>IF($B260="","",IFERROR(INDEX(Services!$C$2:$C$120,MATCH($B260,Services!$D$2:$D$120,0)),""))</f>
        <v/>
      </c>
      <c r="F260" s="19"/>
      <c r="G260" s="9" t="str">
        <f t="shared" si="4"/>
        <v/>
      </c>
      <c r="H260" s="15" t="str">
        <f>IF($B260="","",IFERROR(INDEX(Services!$A$2:$A$120,MATCH($B260,Services!$D$2:$D$120,0)),""))</f>
        <v/>
      </c>
      <c r="I260" s="19"/>
      <c r="J260" s="15" t="str">
        <f>IF($B260="","",IFERROR(INDEX(Services!$E$2:$E$120,MATCH($B260,Services!$D$2:$D$120,0)),""))</f>
        <v/>
      </c>
    </row>
    <row r="261" spans="1:10" x14ac:dyDescent="0.3">
      <c r="A261" s="18"/>
      <c r="B261" s="6"/>
      <c r="C261" s="6"/>
      <c r="D261" s="6"/>
      <c r="E261" s="16" t="str">
        <f>IF($B261="","",IFERROR(INDEX(Services!$C$2:$C$120,MATCH($B261,Services!$D$2:$D$120,0)),""))</f>
        <v/>
      </c>
      <c r="F261" s="19"/>
      <c r="G261" s="9" t="str">
        <f t="shared" si="4"/>
        <v/>
      </c>
      <c r="H261" s="15" t="str">
        <f>IF($B261="","",IFERROR(INDEX(Services!$A$2:$A$120,MATCH($B261,Services!$D$2:$D$120,0)),""))</f>
        <v/>
      </c>
      <c r="I261" s="19"/>
      <c r="J261" s="15" t="str">
        <f>IF($B261="","",IFERROR(INDEX(Services!$E$2:$E$120,MATCH($B261,Services!$D$2:$D$120,0)),""))</f>
        <v/>
      </c>
    </row>
    <row r="262" spans="1:10" x14ac:dyDescent="0.3">
      <c r="A262" s="18"/>
      <c r="B262" s="6"/>
      <c r="C262" s="6"/>
      <c r="D262" s="6"/>
      <c r="E262" s="16" t="str">
        <f>IF($B262="","",IFERROR(INDEX(Services!$C$2:$C$120,MATCH($B262,Services!$D$2:$D$120,0)),""))</f>
        <v/>
      </c>
      <c r="F262" s="19"/>
      <c r="G262" s="9" t="str">
        <f t="shared" si="4"/>
        <v/>
      </c>
      <c r="H262" s="15" t="str">
        <f>IF($B262="","",IFERROR(INDEX(Services!$A$2:$A$120,MATCH($B262,Services!$D$2:$D$120,0)),""))</f>
        <v/>
      </c>
      <c r="I262" s="19"/>
      <c r="J262" s="15" t="str">
        <f>IF($B262="","",IFERROR(INDEX(Services!$E$2:$E$120,MATCH($B262,Services!$D$2:$D$120,0)),""))</f>
        <v/>
      </c>
    </row>
    <row r="263" spans="1:10" x14ac:dyDescent="0.3">
      <c r="A263" s="18"/>
      <c r="B263" s="6"/>
      <c r="C263" s="6"/>
      <c r="D263" s="6"/>
      <c r="E263" s="16" t="str">
        <f>IF($B263="","",IFERROR(INDEX(Services!$C$2:$C$120,MATCH($B263,Services!$D$2:$D$120,0)),""))</f>
        <v/>
      </c>
      <c r="F263" s="19"/>
      <c r="G263" s="9" t="str">
        <f t="shared" si="4"/>
        <v/>
      </c>
      <c r="H263" s="15" t="str">
        <f>IF($B263="","",IFERROR(INDEX(Services!$A$2:$A$120,MATCH($B263,Services!$D$2:$D$120,0)),""))</f>
        <v/>
      </c>
      <c r="I263" s="19"/>
      <c r="J263" s="15" t="str">
        <f>IF($B263="","",IFERROR(INDEX(Services!$E$2:$E$120,MATCH($B263,Services!$D$2:$D$120,0)),""))</f>
        <v/>
      </c>
    </row>
    <row r="264" spans="1:10" x14ac:dyDescent="0.3">
      <c r="A264" s="18"/>
      <c r="B264" s="6"/>
      <c r="C264" s="6"/>
      <c r="D264" s="6"/>
      <c r="E264" s="16" t="str">
        <f>IF($B264="","",IFERROR(INDEX(Services!$C$2:$C$120,MATCH($B264,Services!$D$2:$D$120,0)),""))</f>
        <v/>
      </c>
      <c r="F264" s="19"/>
      <c r="G264" s="9" t="str">
        <f t="shared" si="4"/>
        <v/>
      </c>
      <c r="H264" s="15" t="str">
        <f>IF($B264="","",IFERROR(INDEX(Services!$A$2:$A$120,MATCH($B264,Services!$D$2:$D$120,0)),""))</f>
        <v/>
      </c>
      <c r="I264" s="19"/>
      <c r="J264" s="15" t="str">
        <f>IF($B264="","",IFERROR(INDEX(Services!$E$2:$E$120,MATCH($B264,Services!$D$2:$D$120,0)),""))</f>
        <v/>
      </c>
    </row>
    <row r="265" spans="1:10" x14ac:dyDescent="0.3">
      <c r="A265" s="18"/>
      <c r="B265" s="6"/>
      <c r="C265" s="6"/>
      <c r="D265" s="6"/>
      <c r="E265" s="16" t="str">
        <f>IF($B265="","",IFERROR(INDEX(Services!$C$2:$C$120,MATCH($B265,Services!$D$2:$D$120,0)),""))</f>
        <v/>
      </c>
      <c r="F265" s="19"/>
      <c r="G265" s="9" t="str">
        <f t="shared" si="4"/>
        <v/>
      </c>
      <c r="H265" s="15" t="str">
        <f>IF($B265="","",IFERROR(INDEX(Services!$A$2:$A$120,MATCH($B265,Services!$D$2:$D$120,0)),""))</f>
        <v/>
      </c>
      <c r="I265" s="19"/>
      <c r="J265" s="15" t="str">
        <f>IF($B265="","",IFERROR(INDEX(Services!$E$2:$E$120,MATCH($B265,Services!$D$2:$D$120,0)),""))</f>
        <v/>
      </c>
    </row>
    <row r="266" spans="1:10" x14ac:dyDescent="0.3">
      <c r="A266" s="18"/>
      <c r="B266" s="6"/>
      <c r="C266" s="6"/>
      <c r="D266" s="6"/>
      <c r="E266" s="16" t="str">
        <f>IF($B266="","",IFERROR(INDEX(Services!$C$2:$C$120,MATCH($B266,Services!$D$2:$D$120,0)),""))</f>
        <v/>
      </c>
      <c r="F266" s="19"/>
      <c r="G266" s="9" t="str">
        <f t="shared" si="4"/>
        <v/>
      </c>
      <c r="H266" s="15" t="str">
        <f>IF($B266="","",IFERROR(INDEX(Services!$A$2:$A$120,MATCH($B266,Services!$D$2:$D$120,0)),""))</f>
        <v/>
      </c>
      <c r="I266" s="19"/>
      <c r="J266" s="15" t="str">
        <f>IF($B266="","",IFERROR(INDEX(Services!$E$2:$E$120,MATCH($B266,Services!$D$2:$D$120,0)),""))</f>
        <v/>
      </c>
    </row>
    <row r="267" spans="1:10" x14ac:dyDescent="0.3">
      <c r="A267" s="18"/>
      <c r="B267" s="6"/>
      <c r="C267" s="6"/>
      <c r="D267" s="6"/>
      <c r="E267" s="16" t="str">
        <f>IF($B267="","",IFERROR(INDEX(Services!$C$2:$C$120,MATCH($B267,Services!$D$2:$D$120,0)),""))</f>
        <v/>
      </c>
      <c r="F267" s="19"/>
      <c r="G267" s="9" t="str">
        <f t="shared" si="4"/>
        <v/>
      </c>
      <c r="H267" s="15" t="str">
        <f>IF($B267="","",IFERROR(INDEX(Services!$A$2:$A$120,MATCH($B267,Services!$D$2:$D$120,0)),""))</f>
        <v/>
      </c>
      <c r="I267" s="19"/>
      <c r="J267" s="15" t="str">
        <f>IF($B267="","",IFERROR(INDEX(Services!$E$2:$E$120,MATCH($B267,Services!$D$2:$D$120,0)),""))</f>
        <v/>
      </c>
    </row>
    <row r="268" spans="1:10" x14ac:dyDescent="0.3">
      <c r="A268" s="18"/>
      <c r="B268" s="6"/>
      <c r="C268" s="6"/>
      <c r="D268" s="6"/>
      <c r="E268" s="16" t="str">
        <f>IF($B268="","",IFERROR(INDEX(Services!$C$2:$C$120,MATCH($B268,Services!$D$2:$D$120,0)),""))</f>
        <v/>
      </c>
      <c r="F268" s="19"/>
      <c r="G268" s="9" t="str">
        <f t="shared" si="4"/>
        <v/>
      </c>
      <c r="H268" s="15" t="str">
        <f>IF($B268="","",IFERROR(INDEX(Services!$A$2:$A$120,MATCH($B268,Services!$D$2:$D$120,0)),""))</f>
        <v/>
      </c>
      <c r="I268" s="19"/>
      <c r="J268" s="15" t="str">
        <f>IF($B268="","",IFERROR(INDEX(Services!$E$2:$E$120,MATCH($B268,Services!$D$2:$D$120,0)),""))</f>
        <v/>
      </c>
    </row>
    <row r="269" spans="1:10" x14ac:dyDescent="0.3">
      <c r="A269" s="18"/>
      <c r="B269" s="6"/>
      <c r="C269" s="6"/>
      <c r="D269" s="6"/>
      <c r="E269" s="16" t="str">
        <f>IF($B269="","",IFERROR(INDEX(Services!$C$2:$C$120,MATCH($B269,Services!$D$2:$D$120,0)),""))</f>
        <v/>
      </c>
      <c r="F269" s="19"/>
      <c r="G269" s="9" t="str">
        <f t="shared" si="4"/>
        <v/>
      </c>
      <c r="H269" s="15" t="str">
        <f>IF($B269="","",IFERROR(INDEX(Services!$A$2:$A$120,MATCH($B269,Services!$D$2:$D$120,0)),""))</f>
        <v/>
      </c>
      <c r="I269" s="19"/>
      <c r="J269" s="15" t="str">
        <f>IF($B269="","",IFERROR(INDEX(Services!$E$2:$E$120,MATCH($B269,Services!$D$2:$D$120,0)),""))</f>
        <v/>
      </c>
    </row>
    <row r="270" spans="1:10" x14ac:dyDescent="0.3">
      <c r="A270" s="18"/>
      <c r="B270" s="6"/>
      <c r="C270" s="6"/>
      <c r="D270" s="6"/>
      <c r="E270" s="16" t="str">
        <f>IF($B270="","",IFERROR(INDEX(Services!$C$2:$C$120,MATCH($B270,Services!$D$2:$D$120,0)),""))</f>
        <v/>
      </c>
      <c r="F270" s="19"/>
      <c r="G270" s="9" t="str">
        <f t="shared" si="4"/>
        <v/>
      </c>
      <c r="H270" s="15" t="str">
        <f>IF($B270="","",IFERROR(INDEX(Services!$A$2:$A$120,MATCH($B270,Services!$D$2:$D$120,0)),""))</f>
        <v/>
      </c>
      <c r="I270" s="19"/>
      <c r="J270" s="15" t="str">
        <f>IF($B270="","",IFERROR(INDEX(Services!$E$2:$E$120,MATCH($B270,Services!$D$2:$D$120,0)),""))</f>
        <v/>
      </c>
    </row>
    <row r="271" spans="1:10" x14ac:dyDescent="0.3">
      <c r="A271" s="18"/>
      <c r="B271" s="6"/>
      <c r="C271" s="6"/>
      <c r="D271" s="6"/>
      <c r="E271" s="16" t="str">
        <f>IF($B271="","",IFERROR(INDEX(Services!$C$2:$C$120,MATCH($B271,Services!$D$2:$D$120,0)),""))</f>
        <v/>
      </c>
      <c r="F271" s="19"/>
      <c r="G271" s="9" t="str">
        <f t="shared" si="4"/>
        <v/>
      </c>
      <c r="H271" s="15" t="str">
        <f>IF($B271="","",IFERROR(INDEX(Services!$A$2:$A$120,MATCH($B271,Services!$D$2:$D$120,0)),""))</f>
        <v/>
      </c>
      <c r="I271" s="19"/>
      <c r="J271" s="15" t="str">
        <f>IF($B271="","",IFERROR(INDEX(Services!$E$2:$E$120,MATCH($B271,Services!$D$2:$D$120,0)),""))</f>
        <v/>
      </c>
    </row>
    <row r="272" spans="1:10" x14ac:dyDescent="0.3">
      <c r="A272" s="18"/>
      <c r="B272" s="6"/>
      <c r="C272" s="6"/>
      <c r="D272" s="6"/>
      <c r="E272" s="16" t="str">
        <f>IF($B272="","",IFERROR(INDEX(Services!$C$2:$C$120,MATCH($B272,Services!$D$2:$D$120,0)),""))</f>
        <v/>
      </c>
      <c r="F272" s="19"/>
      <c r="G272" s="9" t="str">
        <f t="shared" si="4"/>
        <v/>
      </c>
      <c r="H272" s="15" t="str">
        <f>IF($B272="","",IFERROR(INDEX(Services!$A$2:$A$120,MATCH($B272,Services!$D$2:$D$120,0)),""))</f>
        <v/>
      </c>
      <c r="I272" s="19"/>
      <c r="J272" s="15" t="str">
        <f>IF($B272="","",IFERROR(INDEX(Services!$E$2:$E$120,MATCH($B272,Services!$D$2:$D$120,0)),""))</f>
        <v/>
      </c>
    </row>
    <row r="273" spans="1:10" x14ac:dyDescent="0.3">
      <c r="A273" s="18"/>
      <c r="B273" s="6"/>
      <c r="C273" s="6"/>
      <c r="D273" s="6"/>
      <c r="E273" s="16" t="str">
        <f>IF($B273="","",IFERROR(INDEX(Services!$C$2:$C$120,MATCH($B273,Services!$D$2:$D$120,0)),""))</f>
        <v/>
      </c>
      <c r="F273" s="19"/>
      <c r="G273" s="9" t="str">
        <f t="shared" si="4"/>
        <v/>
      </c>
      <c r="H273" s="15" t="str">
        <f>IF($B273="","",IFERROR(INDEX(Services!$A$2:$A$120,MATCH($B273,Services!$D$2:$D$120,0)),""))</f>
        <v/>
      </c>
      <c r="I273" s="19"/>
      <c r="J273" s="15" t="str">
        <f>IF($B273="","",IFERROR(INDEX(Services!$E$2:$E$120,MATCH($B273,Services!$D$2:$D$120,0)),""))</f>
        <v/>
      </c>
    </row>
    <row r="274" spans="1:10" x14ac:dyDescent="0.3">
      <c r="A274" s="18"/>
      <c r="B274" s="6"/>
      <c r="C274" s="6"/>
      <c r="D274" s="6"/>
      <c r="E274" s="16" t="str">
        <f>IF($B274="","",IFERROR(INDEX(Services!$C$2:$C$120,MATCH($B274,Services!$D$2:$D$120,0)),""))</f>
        <v/>
      </c>
      <c r="F274" s="19"/>
      <c r="G274" s="9" t="str">
        <f t="shared" si="4"/>
        <v/>
      </c>
      <c r="H274" s="15" t="str">
        <f>IF($B274="","",IFERROR(INDEX(Services!$A$2:$A$120,MATCH($B274,Services!$D$2:$D$120,0)),""))</f>
        <v/>
      </c>
      <c r="I274" s="19"/>
      <c r="J274" s="15" t="str">
        <f>IF($B274="","",IFERROR(INDEX(Services!$E$2:$E$120,MATCH($B274,Services!$D$2:$D$120,0)),""))</f>
        <v/>
      </c>
    </row>
    <row r="275" spans="1:10" x14ac:dyDescent="0.3">
      <c r="A275" s="18"/>
      <c r="B275" s="6"/>
      <c r="C275" s="6"/>
      <c r="D275" s="6"/>
      <c r="E275" s="16" t="str">
        <f>IF($B275="","",IFERROR(INDEX(Services!$C$2:$C$120,MATCH($B275,Services!$D$2:$D$120,0)),""))</f>
        <v/>
      </c>
      <c r="F275" s="19"/>
      <c r="G275" s="9" t="str">
        <f t="shared" si="4"/>
        <v/>
      </c>
      <c r="H275" s="15" t="str">
        <f>IF($B275="","",IFERROR(INDEX(Services!$A$2:$A$120,MATCH($B275,Services!$D$2:$D$120,0)),""))</f>
        <v/>
      </c>
      <c r="I275" s="19"/>
      <c r="J275" s="15" t="str">
        <f>IF($B275="","",IFERROR(INDEX(Services!$E$2:$E$120,MATCH($B275,Services!$D$2:$D$120,0)),""))</f>
        <v/>
      </c>
    </row>
    <row r="276" spans="1:10" x14ac:dyDescent="0.3">
      <c r="A276" s="18"/>
      <c r="B276" s="6"/>
      <c r="C276" s="6"/>
      <c r="D276" s="6"/>
      <c r="E276" s="16" t="str">
        <f>IF($B276="","",IFERROR(INDEX(Services!$C$2:$C$120,MATCH($B276,Services!$D$2:$D$120,0)),""))</f>
        <v/>
      </c>
      <c r="F276" s="19"/>
      <c r="G276" s="9" t="str">
        <f t="shared" si="4"/>
        <v/>
      </c>
      <c r="H276" s="15" t="str">
        <f>IF($B276="","",IFERROR(INDEX(Services!$A$2:$A$120,MATCH($B276,Services!$D$2:$D$120,0)),""))</f>
        <v/>
      </c>
      <c r="I276" s="19"/>
      <c r="J276" s="15" t="str">
        <f>IF($B276="","",IFERROR(INDEX(Services!$E$2:$E$120,MATCH($B276,Services!$D$2:$D$120,0)),""))</f>
        <v/>
      </c>
    </row>
    <row r="277" spans="1:10" x14ac:dyDescent="0.3">
      <c r="A277" s="18"/>
      <c r="B277" s="6"/>
      <c r="C277" s="6"/>
      <c r="D277" s="6"/>
      <c r="E277" s="16" t="str">
        <f>IF($B277="","",IFERROR(INDEX(Services!$C$2:$C$120,MATCH($B277,Services!$D$2:$D$120,0)),""))</f>
        <v/>
      </c>
      <c r="F277" s="19"/>
      <c r="G277" s="9" t="str">
        <f t="shared" si="4"/>
        <v/>
      </c>
      <c r="H277" s="15" t="str">
        <f>IF($B277="","",IFERROR(INDEX(Services!$A$2:$A$120,MATCH($B277,Services!$D$2:$D$120,0)),""))</f>
        <v/>
      </c>
      <c r="I277" s="19"/>
      <c r="J277" s="15" t="str">
        <f>IF($B277="","",IFERROR(INDEX(Services!$E$2:$E$120,MATCH($B277,Services!$D$2:$D$120,0)),""))</f>
        <v/>
      </c>
    </row>
    <row r="278" spans="1:10" x14ac:dyDescent="0.3">
      <c r="A278" s="18"/>
      <c r="B278" s="6"/>
      <c r="C278" s="6"/>
      <c r="D278" s="6"/>
      <c r="E278" s="16" t="str">
        <f>IF($B278="","",IFERROR(INDEX(Services!$C$2:$C$120,MATCH($B278,Services!$D$2:$D$120,0)),""))</f>
        <v/>
      </c>
      <c r="F278" s="19"/>
      <c r="G278" s="9" t="str">
        <f t="shared" si="4"/>
        <v/>
      </c>
      <c r="H278" s="15" t="str">
        <f>IF($B278="","",IFERROR(INDEX(Services!$A$2:$A$120,MATCH($B278,Services!$D$2:$D$120,0)),""))</f>
        <v/>
      </c>
      <c r="I278" s="19"/>
      <c r="J278" s="15" t="str">
        <f>IF($B278="","",IFERROR(INDEX(Services!$E$2:$E$120,MATCH($B278,Services!$D$2:$D$120,0)),""))</f>
        <v/>
      </c>
    </row>
    <row r="279" spans="1:10" x14ac:dyDescent="0.3">
      <c r="A279" s="18"/>
      <c r="B279" s="6"/>
      <c r="C279" s="6"/>
      <c r="D279" s="6"/>
      <c r="E279" s="16" t="str">
        <f>IF($B279="","",IFERROR(INDEX(Services!$C$2:$C$120,MATCH($B279,Services!$D$2:$D$120,0)),""))</f>
        <v/>
      </c>
      <c r="F279" s="19"/>
      <c r="G279" s="9" t="str">
        <f t="shared" si="4"/>
        <v/>
      </c>
      <c r="H279" s="15" t="str">
        <f>IF($B279="","",IFERROR(INDEX(Services!$A$2:$A$120,MATCH($B279,Services!$D$2:$D$120,0)),""))</f>
        <v/>
      </c>
      <c r="I279" s="19"/>
      <c r="J279" s="15" t="str">
        <f>IF($B279="","",IFERROR(INDEX(Services!$E$2:$E$120,MATCH($B279,Services!$D$2:$D$120,0)),""))</f>
        <v/>
      </c>
    </row>
    <row r="280" spans="1:10" x14ac:dyDescent="0.3">
      <c r="A280" s="18"/>
      <c r="B280" s="6"/>
      <c r="C280" s="6"/>
      <c r="D280" s="6"/>
      <c r="E280" s="16" t="str">
        <f>IF($B280="","",IFERROR(INDEX(Services!$C$2:$C$120,MATCH($B280,Services!$D$2:$D$120,0)),""))</f>
        <v/>
      </c>
      <c r="F280" s="19"/>
      <c r="G280" s="9" t="str">
        <f t="shared" si="4"/>
        <v/>
      </c>
      <c r="H280" s="15" t="str">
        <f>IF($B280="","",IFERROR(INDEX(Services!$A$2:$A$120,MATCH($B280,Services!$D$2:$D$120,0)),""))</f>
        <v/>
      </c>
      <c r="I280" s="19"/>
      <c r="J280" s="15" t="str">
        <f>IF($B280="","",IFERROR(INDEX(Services!$E$2:$E$120,MATCH($B280,Services!$D$2:$D$120,0)),""))</f>
        <v/>
      </c>
    </row>
    <row r="281" spans="1:10" x14ac:dyDescent="0.3">
      <c r="A281" s="18"/>
      <c r="B281" s="6"/>
      <c r="C281" s="6"/>
      <c r="D281" s="6"/>
      <c r="E281" s="16" t="str">
        <f>IF($B281="","",IFERROR(INDEX(Services!$C$2:$C$120,MATCH($B281,Services!$D$2:$D$120,0)),""))</f>
        <v/>
      </c>
      <c r="F281" s="19"/>
      <c r="G281" s="9" t="str">
        <f t="shared" si="4"/>
        <v/>
      </c>
      <c r="H281" s="15" t="str">
        <f>IF($B281="","",IFERROR(INDEX(Services!$A$2:$A$120,MATCH($B281,Services!$D$2:$D$120,0)),""))</f>
        <v/>
      </c>
      <c r="I281" s="19"/>
      <c r="J281" s="15" t="str">
        <f>IF($B281="","",IFERROR(INDEX(Services!$E$2:$E$120,MATCH($B281,Services!$D$2:$D$120,0)),""))</f>
        <v/>
      </c>
    </row>
    <row r="282" spans="1:10" x14ac:dyDescent="0.3">
      <c r="A282" s="18"/>
      <c r="B282" s="6"/>
      <c r="C282" s="6"/>
      <c r="D282" s="6"/>
      <c r="E282" s="16" t="str">
        <f>IF($B282="","",IFERROR(INDEX(Services!$C$2:$C$120,MATCH($B282,Services!$D$2:$D$120,0)),""))</f>
        <v/>
      </c>
      <c r="F282" s="19"/>
      <c r="G282" s="9" t="str">
        <f t="shared" si="4"/>
        <v/>
      </c>
      <c r="H282" s="15" t="str">
        <f>IF($B282="","",IFERROR(INDEX(Services!$A$2:$A$120,MATCH($B282,Services!$D$2:$D$120,0)),""))</f>
        <v/>
      </c>
      <c r="I282" s="19"/>
      <c r="J282" s="15" t="str">
        <f>IF($B282="","",IFERROR(INDEX(Services!$E$2:$E$120,MATCH($B282,Services!$D$2:$D$120,0)),""))</f>
        <v/>
      </c>
    </row>
    <row r="283" spans="1:10" x14ac:dyDescent="0.3">
      <c r="A283" s="18"/>
      <c r="B283" s="6"/>
      <c r="C283" s="6"/>
      <c r="D283" s="6"/>
      <c r="E283" s="16" t="str">
        <f>IF($B283="","",IFERROR(INDEX(Services!$C$2:$C$120,MATCH($B283,Services!$D$2:$D$120,0)),""))</f>
        <v/>
      </c>
      <c r="F283" s="19"/>
      <c r="G283" s="9" t="str">
        <f t="shared" si="4"/>
        <v/>
      </c>
      <c r="H283" s="15" t="str">
        <f>IF($B283="","",IFERROR(INDEX(Services!$A$2:$A$120,MATCH($B283,Services!$D$2:$D$120,0)),""))</f>
        <v/>
      </c>
      <c r="I283" s="19"/>
      <c r="J283" s="15" t="str">
        <f>IF($B283="","",IFERROR(INDEX(Services!$E$2:$E$120,MATCH($B283,Services!$D$2:$D$120,0)),""))</f>
        <v/>
      </c>
    </row>
    <row r="284" spans="1:10" x14ac:dyDescent="0.3">
      <c r="A284" s="18"/>
      <c r="B284" s="6"/>
      <c r="C284" s="6"/>
      <c r="D284" s="6"/>
      <c r="E284" s="16" t="str">
        <f>IF($B284="","",IFERROR(INDEX(Services!$C$2:$C$120,MATCH($B284,Services!$D$2:$D$120,0)),""))</f>
        <v/>
      </c>
      <c r="F284" s="19"/>
      <c r="G284" s="9" t="str">
        <f t="shared" si="4"/>
        <v/>
      </c>
      <c r="H284" s="15" t="str">
        <f>IF($B284="","",IFERROR(INDEX(Services!$A$2:$A$120,MATCH($B284,Services!$D$2:$D$120,0)),""))</f>
        <v/>
      </c>
      <c r="I284" s="19"/>
      <c r="J284" s="15" t="str">
        <f>IF($B284="","",IFERROR(INDEX(Services!$E$2:$E$120,MATCH($B284,Services!$D$2:$D$120,0)),""))</f>
        <v/>
      </c>
    </row>
    <row r="285" spans="1:10" x14ac:dyDescent="0.3">
      <c r="A285" s="18"/>
      <c r="B285" s="6"/>
      <c r="C285" s="6"/>
      <c r="D285" s="6"/>
      <c r="E285" s="16" t="str">
        <f>IF($B285="","",IFERROR(INDEX(Services!$C$2:$C$120,MATCH($B285,Services!$D$2:$D$120,0)),""))</f>
        <v/>
      </c>
      <c r="F285" s="19"/>
      <c r="G285" s="9" t="str">
        <f t="shared" si="4"/>
        <v/>
      </c>
      <c r="H285" s="15" t="str">
        <f>IF($B285="","",IFERROR(INDEX(Services!$A$2:$A$120,MATCH($B285,Services!$D$2:$D$120,0)),""))</f>
        <v/>
      </c>
      <c r="I285" s="19"/>
      <c r="J285" s="15" t="str">
        <f>IF($B285="","",IFERROR(INDEX(Services!$E$2:$E$120,MATCH($B285,Services!$D$2:$D$120,0)),""))</f>
        <v/>
      </c>
    </row>
    <row r="286" spans="1:10" x14ac:dyDescent="0.3">
      <c r="A286" s="18"/>
      <c r="B286" s="6"/>
      <c r="C286" s="6"/>
      <c r="D286" s="6"/>
      <c r="E286" s="16" t="str">
        <f>IF($B286="","",IFERROR(INDEX(Services!$C$2:$C$120,MATCH($B286,Services!$D$2:$D$120,0)),""))</f>
        <v/>
      </c>
      <c r="F286" s="19"/>
      <c r="G286" s="9" t="str">
        <f t="shared" si="4"/>
        <v/>
      </c>
      <c r="H286" s="15" t="str">
        <f>IF($B286="","",IFERROR(INDEX(Services!$A$2:$A$120,MATCH($B286,Services!$D$2:$D$120,0)),""))</f>
        <v/>
      </c>
      <c r="I286" s="19"/>
      <c r="J286" s="15" t="str">
        <f>IF($B286="","",IFERROR(INDEX(Services!$E$2:$E$120,MATCH($B286,Services!$D$2:$D$120,0)),""))</f>
        <v/>
      </c>
    </row>
    <row r="287" spans="1:10" x14ac:dyDescent="0.3">
      <c r="A287" s="18"/>
      <c r="B287" s="6"/>
      <c r="C287" s="6"/>
      <c r="D287" s="6"/>
      <c r="E287" s="16" t="str">
        <f>IF($B287="","",IFERROR(INDEX(Services!$C$2:$C$120,MATCH($B287,Services!$D$2:$D$120,0)),""))</f>
        <v/>
      </c>
      <c r="F287" s="19"/>
      <c r="G287" s="9" t="str">
        <f t="shared" si="4"/>
        <v/>
      </c>
      <c r="H287" s="15" t="str">
        <f>IF($B287="","",IFERROR(INDEX(Services!$A$2:$A$120,MATCH($B287,Services!$D$2:$D$120,0)),""))</f>
        <v/>
      </c>
      <c r="I287" s="19"/>
      <c r="J287" s="15" t="str">
        <f>IF($B287="","",IFERROR(INDEX(Services!$E$2:$E$120,MATCH($B287,Services!$D$2:$D$120,0)),""))</f>
        <v/>
      </c>
    </row>
    <row r="288" spans="1:10" x14ac:dyDescent="0.3">
      <c r="A288" s="18"/>
      <c r="B288" s="6"/>
      <c r="C288" s="6"/>
      <c r="D288" s="6"/>
      <c r="E288" s="16" t="str">
        <f>IF($B288="","",IFERROR(INDEX(Services!$C$2:$C$120,MATCH($B288,Services!$D$2:$D$120,0)),""))</f>
        <v/>
      </c>
      <c r="F288" s="19"/>
      <c r="G288" s="9" t="str">
        <f t="shared" si="4"/>
        <v/>
      </c>
      <c r="H288" s="15" t="str">
        <f>IF($B288="","",IFERROR(INDEX(Services!$A$2:$A$120,MATCH($B288,Services!$D$2:$D$120,0)),""))</f>
        <v/>
      </c>
      <c r="I288" s="19"/>
      <c r="J288" s="15" t="str">
        <f>IF($B288="","",IFERROR(INDEX(Services!$E$2:$E$120,MATCH($B288,Services!$D$2:$D$120,0)),""))</f>
        <v/>
      </c>
    </row>
    <row r="289" spans="1:10" x14ac:dyDescent="0.3">
      <c r="A289" s="18"/>
      <c r="B289" s="6"/>
      <c r="C289" s="6"/>
      <c r="D289" s="6"/>
      <c r="E289" s="16" t="str">
        <f>IF($B289="","",IFERROR(INDEX(Services!$C$2:$C$120,MATCH($B289,Services!$D$2:$D$120,0)),""))</f>
        <v/>
      </c>
      <c r="F289" s="19"/>
      <c r="G289" s="9" t="str">
        <f t="shared" si="4"/>
        <v/>
      </c>
      <c r="H289" s="15" t="str">
        <f>IF($B289="","",IFERROR(INDEX(Services!$A$2:$A$120,MATCH($B289,Services!$D$2:$D$120,0)),""))</f>
        <v/>
      </c>
      <c r="I289" s="19"/>
      <c r="J289" s="15" t="str">
        <f>IF($B289="","",IFERROR(INDEX(Services!$E$2:$E$120,MATCH($B289,Services!$D$2:$D$120,0)),""))</f>
        <v/>
      </c>
    </row>
    <row r="290" spans="1:10" x14ac:dyDescent="0.3">
      <c r="A290" s="18"/>
      <c r="B290" s="6"/>
      <c r="C290" s="6"/>
      <c r="D290" s="6"/>
      <c r="E290" s="16" t="str">
        <f>IF($B290="","",IFERROR(INDEX(Services!$C$2:$C$120,MATCH($B290,Services!$D$2:$D$120,0)),""))</f>
        <v/>
      </c>
      <c r="F290" s="19"/>
      <c r="G290" s="9" t="str">
        <f t="shared" si="4"/>
        <v/>
      </c>
      <c r="H290" s="15" t="str">
        <f>IF($B290="","",IFERROR(INDEX(Services!$A$2:$A$120,MATCH($B290,Services!$D$2:$D$120,0)),""))</f>
        <v/>
      </c>
      <c r="I290" s="19"/>
      <c r="J290" s="15" t="str">
        <f>IF($B290="","",IFERROR(INDEX(Services!$E$2:$E$120,MATCH($B290,Services!$D$2:$D$120,0)),""))</f>
        <v/>
      </c>
    </row>
    <row r="291" spans="1:10" x14ac:dyDescent="0.3">
      <c r="A291" s="18"/>
      <c r="B291" s="6"/>
      <c r="C291" s="6"/>
      <c r="D291" s="6"/>
      <c r="E291" s="16" t="str">
        <f>IF($B291="","",IFERROR(INDEX(Services!$C$2:$C$120,MATCH($B291,Services!$D$2:$D$120,0)),""))</f>
        <v/>
      </c>
      <c r="F291" s="19"/>
      <c r="G291" s="9" t="str">
        <f t="shared" si="4"/>
        <v/>
      </c>
      <c r="H291" s="15" t="str">
        <f>IF($B291="","",IFERROR(INDEX(Services!$A$2:$A$120,MATCH($B291,Services!$D$2:$D$120,0)),""))</f>
        <v/>
      </c>
      <c r="I291" s="19"/>
      <c r="J291" s="15" t="str">
        <f>IF($B291="","",IFERROR(INDEX(Services!$E$2:$E$120,MATCH($B291,Services!$D$2:$D$120,0)),""))</f>
        <v/>
      </c>
    </row>
    <row r="292" spans="1:10" x14ac:dyDescent="0.3">
      <c r="A292" s="18"/>
      <c r="B292" s="6"/>
      <c r="C292" s="6"/>
      <c r="D292" s="6"/>
      <c r="E292" s="16" t="str">
        <f>IF($B292="","",IFERROR(INDEX(Services!$C$2:$C$120,MATCH($B292,Services!$D$2:$D$120,0)),""))</f>
        <v/>
      </c>
      <c r="F292" s="19"/>
      <c r="G292" s="9" t="str">
        <f t="shared" si="4"/>
        <v/>
      </c>
      <c r="H292" s="15" t="str">
        <f>IF($B292="","",IFERROR(INDEX(Services!$A$2:$A$120,MATCH($B292,Services!$D$2:$D$120,0)),""))</f>
        <v/>
      </c>
      <c r="I292" s="19"/>
      <c r="J292" s="15" t="str">
        <f>IF($B292="","",IFERROR(INDEX(Services!$E$2:$E$120,MATCH($B292,Services!$D$2:$D$120,0)),""))</f>
        <v/>
      </c>
    </row>
    <row r="293" spans="1:10" x14ac:dyDescent="0.3">
      <c r="A293" s="18"/>
      <c r="B293" s="6"/>
      <c r="C293" s="6"/>
      <c r="D293" s="6"/>
      <c r="E293" s="16" t="str">
        <f>IF($B293="","",IFERROR(INDEX(Services!$C$2:$C$120,MATCH($B293,Services!$D$2:$D$120,0)),""))</f>
        <v/>
      </c>
      <c r="F293" s="19"/>
      <c r="G293" s="9" t="str">
        <f t="shared" si="4"/>
        <v/>
      </c>
      <c r="H293" s="15" t="str">
        <f>IF($B293="","",IFERROR(INDEX(Services!$A$2:$A$120,MATCH($B293,Services!$D$2:$D$120,0)),""))</f>
        <v/>
      </c>
      <c r="I293" s="19"/>
      <c r="J293" s="15" t="str">
        <f>IF($B293="","",IFERROR(INDEX(Services!$E$2:$E$120,MATCH($B293,Services!$D$2:$D$120,0)),""))</f>
        <v/>
      </c>
    </row>
    <row r="294" spans="1:10" x14ac:dyDescent="0.3">
      <c r="A294" s="18"/>
      <c r="B294" s="6"/>
      <c r="C294" s="6"/>
      <c r="D294" s="6"/>
      <c r="E294" s="16" t="str">
        <f>IF($B294="","",IFERROR(INDEX(Services!$C$2:$C$120,MATCH($B294,Services!$D$2:$D$120,0)),""))</f>
        <v/>
      </c>
      <c r="F294" s="19"/>
      <c r="G294" s="9" t="str">
        <f t="shared" si="4"/>
        <v/>
      </c>
      <c r="H294" s="15" t="str">
        <f>IF($B294="","",IFERROR(INDEX(Services!$A$2:$A$120,MATCH($B294,Services!$D$2:$D$120,0)),""))</f>
        <v/>
      </c>
      <c r="I294" s="19"/>
      <c r="J294" s="15" t="str">
        <f>IF($B294="","",IFERROR(INDEX(Services!$E$2:$E$120,MATCH($B294,Services!$D$2:$D$120,0)),""))</f>
        <v/>
      </c>
    </row>
    <row r="295" spans="1:10" x14ac:dyDescent="0.3">
      <c r="A295" s="18"/>
      <c r="B295" s="6"/>
      <c r="C295" s="6"/>
      <c r="D295" s="6"/>
      <c r="E295" s="16" t="str">
        <f>IF($B295="","",IFERROR(INDEX(Services!$C$2:$C$120,MATCH($B295,Services!$D$2:$D$120,0)),""))</f>
        <v/>
      </c>
      <c r="F295" s="19"/>
      <c r="G295" s="9" t="str">
        <f t="shared" si="4"/>
        <v/>
      </c>
      <c r="H295" s="15" t="str">
        <f>IF($B295="","",IFERROR(INDEX(Services!$A$2:$A$120,MATCH($B295,Services!$D$2:$D$120,0)),""))</f>
        <v/>
      </c>
      <c r="I295" s="19"/>
      <c r="J295" s="15" t="str">
        <f>IF($B295="","",IFERROR(INDEX(Services!$E$2:$E$120,MATCH($B295,Services!$D$2:$D$120,0)),""))</f>
        <v/>
      </c>
    </row>
    <row r="296" spans="1:10" x14ac:dyDescent="0.3">
      <c r="A296" s="18"/>
      <c r="B296" s="6"/>
      <c r="C296" s="6"/>
      <c r="D296" s="6"/>
      <c r="E296" s="16" t="str">
        <f>IF($B296="","",IFERROR(INDEX(Services!$C$2:$C$120,MATCH($B296,Services!$D$2:$D$120,0)),""))</f>
        <v/>
      </c>
      <c r="F296" s="19"/>
      <c r="G296" s="9" t="str">
        <f t="shared" si="4"/>
        <v/>
      </c>
      <c r="H296" s="15" t="str">
        <f>IF($B296="","",IFERROR(INDEX(Services!$A$2:$A$120,MATCH($B296,Services!$D$2:$D$120,0)),""))</f>
        <v/>
      </c>
      <c r="I296" s="19"/>
      <c r="J296" s="15" t="str">
        <f>IF($B296="","",IFERROR(INDEX(Services!$E$2:$E$120,MATCH($B296,Services!$D$2:$D$120,0)),""))</f>
        <v/>
      </c>
    </row>
    <row r="297" spans="1:10" x14ac:dyDescent="0.3">
      <c r="A297" s="18"/>
      <c r="B297" s="6"/>
      <c r="C297" s="6"/>
      <c r="D297" s="6"/>
      <c r="E297" s="16" t="str">
        <f>IF($B297="","",IFERROR(INDEX(Services!$C$2:$C$120,MATCH($B297,Services!$D$2:$D$120,0)),""))</f>
        <v/>
      </c>
      <c r="F297" s="19"/>
      <c r="G297" s="9" t="str">
        <f t="shared" si="4"/>
        <v/>
      </c>
      <c r="H297" s="15" t="str">
        <f>IF($B297="","",IFERROR(INDEX(Services!$A$2:$A$120,MATCH($B297,Services!$D$2:$D$120,0)),""))</f>
        <v/>
      </c>
      <c r="I297" s="19"/>
      <c r="J297" s="15" t="str">
        <f>IF($B297="","",IFERROR(INDEX(Services!$E$2:$E$120,MATCH($B297,Services!$D$2:$D$120,0)),""))</f>
        <v/>
      </c>
    </row>
    <row r="298" spans="1:10" x14ac:dyDescent="0.3">
      <c r="A298" s="18"/>
      <c r="B298" s="6"/>
      <c r="C298" s="6"/>
      <c r="D298" s="6"/>
      <c r="E298" s="16" t="str">
        <f>IF($B298="","",IFERROR(INDEX(Services!$C$2:$C$120,MATCH($B298,Services!$D$2:$D$120,0)),""))</f>
        <v/>
      </c>
      <c r="F298" s="19"/>
      <c r="G298" s="9" t="str">
        <f t="shared" si="4"/>
        <v/>
      </c>
      <c r="H298" s="15" t="str">
        <f>IF($B298="","",IFERROR(INDEX(Services!$A$2:$A$120,MATCH($B298,Services!$D$2:$D$120,0)),""))</f>
        <v/>
      </c>
      <c r="I298" s="19"/>
      <c r="J298" s="15" t="str">
        <f>IF($B298="","",IFERROR(INDEX(Services!$E$2:$E$120,MATCH($B298,Services!$D$2:$D$120,0)),""))</f>
        <v/>
      </c>
    </row>
    <row r="299" spans="1:10" x14ac:dyDescent="0.3">
      <c r="A299" s="18"/>
      <c r="B299" s="6"/>
      <c r="C299" s="6"/>
      <c r="D299" s="6"/>
      <c r="E299" s="16" t="str">
        <f>IF($B299="","",IFERROR(INDEX(Services!$C$2:$C$120,MATCH($B299,Services!$D$2:$D$120,0)),""))</f>
        <v/>
      </c>
      <c r="F299" s="19"/>
      <c r="G299" s="9" t="str">
        <f t="shared" si="4"/>
        <v/>
      </c>
      <c r="H299" s="15" t="str">
        <f>IF($B299="","",IFERROR(INDEX(Services!$A$2:$A$120,MATCH($B299,Services!$D$2:$D$120,0)),""))</f>
        <v/>
      </c>
      <c r="I299" s="19"/>
      <c r="J299" s="15" t="str">
        <f>IF($B299="","",IFERROR(INDEX(Services!$E$2:$E$120,MATCH($B299,Services!$D$2:$D$120,0)),""))</f>
        <v/>
      </c>
    </row>
    <row r="300" spans="1:10" x14ac:dyDescent="0.3">
      <c r="A300" s="18"/>
      <c r="B300" s="6"/>
      <c r="C300" s="6"/>
      <c r="D300" s="6"/>
      <c r="E300" s="16" t="str">
        <f>IF($B300="","",IFERROR(INDEX(Services!$C$2:$C$120,MATCH($B300,Services!$D$2:$D$120,0)),""))</f>
        <v/>
      </c>
      <c r="F300" s="19"/>
      <c r="G300" s="9" t="str">
        <f t="shared" si="4"/>
        <v/>
      </c>
      <c r="H300" s="15" t="str">
        <f>IF($B300="","",IFERROR(INDEX(Services!$A$2:$A$120,MATCH($B300,Services!$D$2:$D$120,0)),""))</f>
        <v/>
      </c>
      <c r="I300" s="19"/>
      <c r="J300" s="15" t="str">
        <f>IF($B300="","",IFERROR(INDEX(Services!$E$2:$E$120,MATCH($B300,Services!$D$2:$D$120,0)),""))</f>
        <v/>
      </c>
    </row>
    <row r="301" spans="1:10" x14ac:dyDescent="0.3">
      <c r="A301" s="18"/>
      <c r="B301" s="6"/>
      <c r="C301" s="6"/>
      <c r="D301" s="6"/>
      <c r="E301" s="16" t="str">
        <f>IF($B301="","",IFERROR(INDEX(Services!$C$2:$C$120,MATCH($B301,Services!$D$2:$D$120,0)),""))</f>
        <v/>
      </c>
      <c r="F301" s="19"/>
      <c r="G301" s="9" t="str">
        <f t="shared" si="4"/>
        <v/>
      </c>
      <c r="H301" s="15" t="str">
        <f>IF($B301="","",IFERROR(INDEX(Services!$A$2:$A$120,MATCH($B301,Services!$D$2:$D$120,0)),""))</f>
        <v/>
      </c>
      <c r="I301" s="19"/>
      <c r="J301" s="15" t="str">
        <f>IF($B301="","",IFERROR(INDEX(Services!$E$2:$E$120,MATCH($B301,Services!$D$2:$D$120,0)),""))</f>
        <v/>
      </c>
    </row>
    <row r="302" spans="1:10" x14ac:dyDescent="0.3">
      <c r="A302" s="18"/>
      <c r="B302" s="6"/>
      <c r="C302" s="6"/>
      <c r="D302" s="6"/>
      <c r="E302" s="16" t="str">
        <f>IF($B302="","",IFERROR(INDEX(Services!$C$2:$C$120,MATCH($B302,Services!$D$2:$D$120,0)),""))</f>
        <v/>
      </c>
      <c r="F302" s="19"/>
      <c r="G302" s="9" t="str">
        <f t="shared" si="4"/>
        <v/>
      </c>
      <c r="H302" s="15" t="str">
        <f>IF($B302="","",IFERROR(INDEX(Services!$A$2:$A$120,MATCH($B302,Services!$D$2:$D$120,0)),""))</f>
        <v/>
      </c>
      <c r="I302" s="19"/>
      <c r="J302" s="15" t="str">
        <f>IF($B302="","",IFERROR(INDEX(Services!$E$2:$E$120,MATCH($B302,Services!$D$2:$D$120,0)),""))</f>
        <v/>
      </c>
    </row>
    <row r="303" spans="1:10" x14ac:dyDescent="0.3">
      <c r="A303" s="18"/>
      <c r="B303" s="6"/>
      <c r="C303" s="6"/>
      <c r="D303" s="6"/>
      <c r="E303" s="16" t="str">
        <f>IF($B303="","",IFERROR(INDEX(Services!$C$2:$C$120,MATCH($B303,Services!$D$2:$D$120,0)),""))</f>
        <v/>
      </c>
      <c r="F303" s="19"/>
      <c r="G303" s="9" t="str">
        <f t="shared" si="4"/>
        <v/>
      </c>
      <c r="H303" s="15" t="str">
        <f>IF($B303="","",IFERROR(INDEX(Services!$A$2:$A$120,MATCH($B303,Services!$D$2:$D$120,0)),""))</f>
        <v/>
      </c>
      <c r="I303" s="19"/>
      <c r="J303" s="15" t="str">
        <f>IF($B303="","",IFERROR(INDEX(Services!$E$2:$E$120,MATCH($B303,Services!$D$2:$D$120,0)),""))</f>
        <v/>
      </c>
    </row>
    <row r="304" spans="1:10" x14ac:dyDescent="0.3">
      <c r="A304" s="18"/>
      <c r="B304" s="6"/>
      <c r="C304" s="6"/>
      <c r="D304" s="6"/>
      <c r="E304" s="16" t="str">
        <f>IF($B304="","",IFERROR(INDEX(Services!$C$2:$C$120,MATCH($B304,Services!$D$2:$D$120,0)),""))</f>
        <v/>
      </c>
      <c r="F304" s="19"/>
      <c r="G304" s="9" t="str">
        <f t="shared" si="4"/>
        <v/>
      </c>
      <c r="H304" s="15" t="str">
        <f>IF($B304="","",IFERROR(INDEX(Services!$A$2:$A$120,MATCH($B304,Services!$D$2:$D$120,0)),""))</f>
        <v/>
      </c>
      <c r="I304" s="19"/>
      <c r="J304" s="15" t="str">
        <f>IF($B304="","",IFERROR(INDEX(Services!$E$2:$E$120,MATCH($B304,Services!$D$2:$D$120,0)),""))</f>
        <v/>
      </c>
    </row>
    <row r="305" spans="1:10" x14ac:dyDescent="0.3">
      <c r="A305" s="18"/>
      <c r="B305" s="6"/>
      <c r="C305" s="6"/>
      <c r="D305" s="6"/>
      <c r="E305" s="16" t="str">
        <f>IF($B305="","",IFERROR(INDEX(Services!$C$2:$C$120,MATCH($B305,Services!$D$2:$D$120,0)),""))</f>
        <v/>
      </c>
      <c r="F305" s="19"/>
      <c r="G305" s="9" t="str">
        <f t="shared" si="4"/>
        <v/>
      </c>
      <c r="H305" s="15" t="str">
        <f>IF($B305="","",IFERROR(INDEX(Services!$A$2:$A$120,MATCH($B305,Services!$D$2:$D$120,0)),""))</f>
        <v/>
      </c>
      <c r="I305" s="19"/>
      <c r="J305" s="15" t="str">
        <f>IF($B305="","",IFERROR(INDEX(Services!$E$2:$E$120,MATCH($B305,Services!$D$2:$D$120,0)),""))</f>
        <v/>
      </c>
    </row>
    <row r="306" spans="1:10" x14ac:dyDescent="0.3">
      <c r="A306" s="18"/>
      <c r="B306" s="6"/>
      <c r="C306" s="6"/>
      <c r="D306" s="6"/>
      <c r="E306" s="16" t="str">
        <f>IF($B306="","",IFERROR(INDEX(Services!$C$2:$C$120,MATCH($B306,Services!$D$2:$D$120,0)),""))</f>
        <v/>
      </c>
      <c r="F306" s="19"/>
      <c r="G306" s="9" t="str">
        <f t="shared" si="4"/>
        <v/>
      </c>
      <c r="H306" s="15" t="str">
        <f>IF($B306="","",IFERROR(INDEX(Services!$A$2:$A$120,MATCH($B306,Services!$D$2:$D$120,0)),""))</f>
        <v/>
      </c>
      <c r="I306" s="19"/>
      <c r="J306" s="15" t="str">
        <f>IF($B306="","",IFERROR(INDEX(Services!$E$2:$E$120,MATCH($B306,Services!$D$2:$D$120,0)),""))</f>
        <v/>
      </c>
    </row>
    <row r="307" spans="1:10" x14ac:dyDescent="0.3">
      <c r="A307" s="18"/>
      <c r="B307" s="6"/>
      <c r="C307" s="6"/>
      <c r="D307" s="6"/>
      <c r="E307" s="16" t="str">
        <f>IF($B307="","",IFERROR(INDEX(Services!$C$2:$C$120,MATCH($B307,Services!$D$2:$D$120,0)),""))</f>
        <v/>
      </c>
      <c r="F307" s="19"/>
      <c r="G307" s="9" t="str">
        <f t="shared" si="4"/>
        <v/>
      </c>
      <c r="H307" s="15" t="str">
        <f>IF($B307="","",IFERROR(INDEX(Services!$A$2:$A$120,MATCH($B307,Services!$D$2:$D$120,0)),""))</f>
        <v/>
      </c>
      <c r="I307" s="19"/>
      <c r="J307" s="15" t="str">
        <f>IF($B307="","",IFERROR(INDEX(Services!$E$2:$E$120,MATCH($B307,Services!$D$2:$D$120,0)),""))</f>
        <v/>
      </c>
    </row>
    <row r="308" spans="1:10" x14ac:dyDescent="0.3">
      <c r="A308" s="18"/>
      <c r="B308" s="6"/>
      <c r="C308" s="6"/>
      <c r="D308" s="6"/>
      <c r="E308" s="16" t="str">
        <f>IF($B308="","",IFERROR(INDEX(Services!$C$2:$C$120,MATCH($B308,Services!$D$2:$D$120,0)),""))</f>
        <v/>
      </c>
      <c r="F308" s="19"/>
      <c r="G308" s="9" t="str">
        <f t="shared" si="4"/>
        <v/>
      </c>
      <c r="H308" s="15" t="str">
        <f>IF($B308="","",IFERROR(INDEX(Services!$A$2:$A$120,MATCH($B308,Services!$D$2:$D$120,0)),""))</f>
        <v/>
      </c>
      <c r="I308" s="19"/>
      <c r="J308" s="15" t="str">
        <f>IF($B308="","",IFERROR(INDEX(Services!$E$2:$E$120,MATCH($B308,Services!$D$2:$D$120,0)),""))</f>
        <v/>
      </c>
    </row>
    <row r="309" spans="1:10" x14ac:dyDescent="0.3">
      <c r="A309" s="18"/>
      <c r="B309" s="6"/>
      <c r="C309" s="6"/>
      <c r="D309" s="6"/>
      <c r="E309" s="16" t="str">
        <f>IF($B309="","",IFERROR(INDEX(Services!$C$2:$C$120,MATCH($B309,Services!$D$2:$D$120,0)),""))</f>
        <v/>
      </c>
      <c r="F309" s="19"/>
      <c r="G309" s="9" t="str">
        <f t="shared" si="4"/>
        <v/>
      </c>
      <c r="H309" s="15" t="str">
        <f>IF($B309="","",IFERROR(INDEX(Services!$A$2:$A$120,MATCH($B309,Services!$D$2:$D$120,0)),""))</f>
        <v/>
      </c>
      <c r="I309" s="19"/>
      <c r="J309" s="15" t="str">
        <f>IF($B309="","",IFERROR(INDEX(Services!$E$2:$E$120,MATCH($B309,Services!$D$2:$D$120,0)),""))</f>
        <v/>
      </c>
    </row>
    <row r="310" spans="1:10" x14ac:dyDescent="0.3">
      <c r="A310" s="18"/>
      <c r="B310" s="6"/>
      <c r="C310" s="6"/>
      <c r="D310" s="6"/>
      <c r="E310" s="16" t="str">
        <f>IF($B310="","",IFERROR(INDEX(Services!$C$2:$C$120,MATCH($B310,Services!$D$2:$D$120,0)),""))</f>
        <v/>
      </c>
      <c r="F310" s="19"/>
      <c r="G310" s="9" t="str">
        <f t="shared" si="4"/>
        <v/>
      </c>
      <c r="H310" s="15" t="str">
        <f>IF($B310="","",IFERROR(INDEX(Services!$A$2:$A$120,MATCH($B310,Services!$D$2:$D$120,0)),""))</f>
        <v/>
      </c>
      <c r="I310" s="19"/>
      <c r="J310" s="15" t="str">
        <f>IF($B310="","",IFERROR(INDEX(Services!$E$2:$E$120,MATCH($B310,Services!$D$2:$D$120,0)),""))</f>
        <v/>
      </c>
    </row>
    <row r="311" spans="1:10" x14ac:dyDescent="0.3">
      <c r="A311" s="18"/>
      <c r="B311" s="6"/>
      <c r="C311" s="6"/>
      <c r="D311" s="6"/>
      <c r="E311" s="16" t="str">
        <f>IF($B311="","",IFERROR(INDEX(Services!$C$2:$C$120,MATCH($B311,Services!$D$2:$D$120,0)),""))</f>
        <v/>
      </c>
      <c r="F311" s="19"/>
      <c r="G311" s="9" t="str">
        <f t="shared" si="4"/>
        <v/>
      </c>
      <c r="H311" s="15" t="str">
        <f>IF($B311="","",IFERROR(INDEX(Services!$A$2:$A$120,MATCH($B311,Services!$D$2:$D$120,0)),""))</f>
        <v/>
      </c>
      <c r="I311" s="19"/>
      <c r="J311" s="15" t="str">
        <f>IF($B311="","",IFERROR(INDEX(Services!$E$2:$E$120,MATCH($B311,Services!$D$2:$D$120,0)),""))</f>
        <v/>
      </c>
    </row>
    <row r="312" spans="1:10" x14ac:dyDescent="0.3">
      <c r="A312" s="18"/>
      <c r="B312" s="6"/>
      <c r="C312" s="6"/>
      <c r="D312" s="6"/>
      <c r="E312" s="16" t="str">
        <f>IF($B312="","",IFERROR(INDEX(Services!$C$2:$C$120,MATCH($B312,Services!$D$2:$D$120,0)),""))</f>
        <v/>
      </c>
      <c r="F312" s="19"/>
      <c r="G312" s="9" t="str">
        <f t="shared" si="4"/>
        <v/>
      </c>
      <c r="H312" s="15" t="str">
        <f>IF($B312="","",IFERROR(INDEX(Services!$A$2:$A$120,MATCH($B312,Services!$D$2:$D$120,0)),""))</f>
        <v/>
      </c>
      <c r="I312" s="19"/>
      <c r="J312" s="15" t="str">
        <f>IF($B312="","",IFERROR(INDEX(Services!$E$2:$E$120,MATCH($B312,Services!$D$2:$D$120,0)),""))</f>
        <v/>
      </c>
    </row>
    <row r="313" spans="1:10" x14ac:dyDescent="0.3">
      <c r="A313" s="18"/>
      <c r="B313" s="6"/>
      <c r="C313" s="6"/>
      <c r="D313" s="6"/>
      <c r="E313" s="16" t="str">
        <f>IF($B313="","",IFERROR(INDEX(Services!$C$2:$C$120,MATCH($B313,Services!$D$2:$D$120,0)),""))</f>
        <v/>
      </c>
      <c r="F313" s="19"/>
      <c r="G313" s="9" t="str">
        <f t="shared" si="4"/>
        <v/>
      </c>
      <c r="H313" s="15" t="str">
        <f>IF($B313="","",IFERROR(INDEX(Services!$A$2:$A$120,MATCH($B313,Services!$D$2:$D$120,0)),""))</f>
        <v/>
      </c>
      <c r="I313" s="19"/>
      <c r="J313" s="15" t="str">
        <f>IF($B313="","",IFERROR(INDEX(Services!$E$2:$E$120,MATCH($B313,Services!$D$2:$D$120,0)),""))</f>
        <v/>
      </c>
    </row>
    <row r="314" spans="1:10" x14ac:dyDescent="0.3">
      <c r="A314" s="18"/>
      <c r="B314" s="6"/>
      <c r="C314" s="6"/>
      <c r="D314" s="6"/>
      <c r="E314" s="16" t="str">
        <f>IF($B314="","",IFERROR(INDEX(Services!$C$2:$C$120,MATCH($B314,Services!$D$2:$D$120,0)),""))</f>
        <v/>
      </c>
      <c r="F314" s="19"/>
      <c r="G314" s="9" t="str">
        <f t="shared" si="4"/>
        <v/>
      </c>
      <c r="H314" s="15" t="str">
        <f>IF($B314="","",IFERROR(INDEX(Services!$A$2:$A$120,MATCH($B314,Services!$D$2:$D$120,0)),""))</f>
        <v/>
      </c>
      <c r="I314" s="19"/>
      <c r="J314" s="15" t="str">
        <f>IF($B314="","",IFERROR(INDEX(Services!$E$2:$E$120,MATCH($B314,Services!$D$2:$D$120,0)),""))</f>
        <v/>
      </c>
    </row>
    <row r="315" spans="1:10" x14ac:dyDescent="0.3">
      <c r="A315" s="18"/>
      <c r="B315" s="6"/>
      <c r="C315" s="6"/>
      <c r="D315" s="6"/>
      <c r="E315" s="16" t="str">
        <f>IF($B315="","",IFERROR(INDEX(Services!$C$2:$C$120,MATCH($B315,Services!$D$2:$D$120,0)),""))</f>
        <v/>
      </c>
      <c r="F315" s="19"/>
      <c r="G315" s="9" t="str">
        <f t="shared" si="4"/>
        <v/>
      </c>
      <c r="H315" s="15" t="str">
        <f>IF($B315="","",IFERROR(INDEX(Services!$A$2:$A$120,MATCH($B315,Services!$D$2:$D$120,0)),""))</f>
        <v/>
      </c>
      <c r="I315" s="19"/>
      <c r="J315" s="15" t="str">
        <f>IF($B315="","",IFERROR(INDEX(Services!$E$2:$E$120,MATCH($B315,Services!$D$2:$D$120,0)),""))</f>
        <v/>
      </c>
    </row>
    <row r="316" spans="1:10" x14ac:dyDescent="0.3">
      <c r="A316" s="18"/>
      <c r="B316" s="6"/>
      <c r="C316" s="6"/>
      <c r="D316" s="6"/>
      <c r="E316" s="16" t="str">
        <f>IF($B316="","",IFERROR(INDEX(Services!$C$2:$C$120,MATCH($B316,Services!$D$2:$D$120,0)),""))</f>
        <v/>
      </c>
      <c r="F316" s="19"/>
      <c r="G316" s="9" t="str">
        <f t="shared" si="4"/>
        <v/>
      </c>
      <c r="H316" s="15" t="str">
        <f>IF($B316="","",IFERROR(INDEX(Services!$A$2:$A$120,MATCH($B316,Services!$D$2:$D$120,0)),""))</f>
        <v/>
      </c>
      <c r="I316" s="19"/>
      <c r="J316" s="15" t="str">
        <f>IF($B316="","",IFERROR(INDEX(Services!$E$2:$E$120,MATCH($B316,Services!$D$2:$D$120,0)),""))</f>
        <v/>
      </c>
    </row>
    <row r="317" spans="1:10" x14ac:dyDescent="0.3">
      <c r="A317" s="18"/>
      <c r="B317" s="6"/>
      <c r="C317" s="6"/>
      <c r="D317" s="6"/>
      <c r="E317" s="16" t="str">
        <f>IF($B317="","",IFERROR(INDEX(Services!$C$2:$C$120,MATCH($B317,Services!$D$2:$D$120,0)),""))</f>
        <v/>
      </c>
      <c r="F317" s="19"/>
      <c r="G317" s="9" t="str">
        <f t="shared" si="4"/>
        <v/>
      </c>
      <c r="H317" s="15" t="str">
        <f>IF($B317="","",IFERROR(INDEX(Services!$A$2:$A$120,MATCH($B317,Services!$D$2:$D$120,0)),""))</f>
        <v/>
      </c>
      <c r="I317" s="19"/>
      <c r="J317" s="15" t="str">
        <f>IF($B317="","",IFERROR(INDEX(Services!$E$2:$E$120,MATCH($B317,Services!$D$2:$D$120,0)),""))</f>
        <v/>
      </c>
    </row>
    <row r="318" spans="1:10" x14ac:dyDescent="0.3">
      <c r="A318" s="18"/>
      <c r="B318" s="6"/>
      <c r="C318" s="6"/>
      <c r="D318" s="6"/>
      <c r="E318" s="16" t="str">
        <f>IF($B318="","",IFERROR(INDEX(Services!$C$2:$C$120,MATCH($B318,Services!$D$2:$D$120,0)),""))</f>
        <v/>
      </c>
      <c r="F318" s="19"/>
      <c r="G318" s="9" t="str">
        <f t="shared" si="4"/>
        <v/>
      </c>
      <c r="H318" s="15" t="str">
        <f>IF($B318="","",IFERROR(INDEX(Services!$A$2:$A$120,MATCH($B318,Services!$D$2:$D$120,0)),""))</f>
        <v/>
      </c>
      <c r="I318" s="19"/>
      <c r="J318" s="15" t="str">
        <f>IF($B318="","",IFERROR(INDEX(Services!$E$2:$E$120,MATCH($B318,Services!$D$2:$D$120,0)),""))</f>
        <v/>
      </c>
    </row>
    <row r="319" spans="1:10" x14ac:dyDescent="0.3">
      <c r="A319" s="18"/>
      <c r="B319" s="6"/>
      <c r="C319" s="6"/>
      <c r="D319" s="6"/>
      <c r="E319" s="16" t="str">
        <f>IF($B319="","",IFERROR(INDEX(Services!$C$2:$C$120,MATCH($B319,Services!$D$2:$D$120,0)),""))</f>
        <v/>
      </c>
      <c r="F319" s="19"/>
      <c r="G319" s="9" t="str">
        <f t="shared" si="4"/>
        <v/>
      </c>
      <c r="H319" s="15" t="str">
        <f>IF($B319="","",IFERROR(INDEX(Services!$A$2:$A$120,MATCH($B319,Services!$D$2:$D$120,0)),""))</f>
        <v/>
      </c>
      <c r="I319" s="19"/>
      <c r="J319" s="15" t="str">
        <f>IF($B319="","",IFERROR(INDEX(Services!$E$2:$E$120,MATCH($B319,Services!$D$2:$D$120,0)),""))</f>
        <v/>
      </c>
    </row>
    <row r="320" spans="1:10" x14ac:dyDescent="0.3">
      <c r="A320" s="18"/>
      <c r="B320" s="6"/>
      <c r="C320" s="6"/>
      <c r="D320" s="6"/>
      <c r="E320" s="16" t="str">
        <f>IF($B320="","",IFERROR(INDEX(Services!$C$2:$C$120,MATCH($B320,Services!$D$2:$D$120,0)),""))</f>
        <v/>
      </c>
      <c r="F320" s="19"/>
      <c r="G320" s="9" t="str">
        <f t="shared" si="4"/>
        <v/>
      </c>
      <c r="H320" s="15" t="str">
        <f>IF($B320="","",IFERROR(INDEX(Services!$A$2:$A$120,MATCH($B320,Services!$D$2:$D$120,0)),""))</f>
        <v/>
      </c>
      <c r="I320" s="19"/>
      <c r="J320" s="15" t="str">
        <f>IF($B320="","",IFERROR(INDEX(Services!$E$2:$E$120,MATCH($B320,Services!$D$2:$D$120,0)),""))</f>
        <v/>
      </c>
    </row>
    <row r="321" spans="1:10" x14ac:dyDescent="0.3">
      <c r="A321" s="18"/>
      <c r="B321" s="6"/>
      <c r="C321" s="6"/>
      <c r="D321" s="6"/>
      <c r="E321" s="16" t="str">
        <f>IF($B321="","",IFERROR(INDEX(Services!$C$2:$C$120,MATCH($B321,Services!$D$2:$D$120,0)),""))</f>
        <v/>
      </c>
      <c r="F321" s="19"/>
      <c r="G321" s="9" t="str">
        <f t="shared" si="4"/>
        <v/>
      </c>
      <c r="H321" s="15" t="str">
        <f>IF($B321="","",IFERROR(INDEX(Services!$A$2:$A$120,MATCH($B321,Services!$D$2:$D$120,0)),""))</f>
        <v/>
      </c>
      <c r="I321" s="19"/>
      <c r="J321" s="15" t="str">
        <f>IF($B321="","",IFERROR(INDEX(Services!$E$2:$E$120,MATCH($B321,Services!$D$2:$D$120,0)),""))</f>
        <v/>
      </c>
    </row>
    <row r="322" spans="1:10" x14ac:dyDescent="0.3">
      <c r="A322" s="18"/>
      <c r="B322" s="6"/>
      <c r="C322" s="6"/>
      <c r="D322" s="6"/>
      <c r="E322" s="16" t="str">
        <f>IF($B322="","",IFERROR(INDEX(Services!$C$2:$C$120,MATCH($B322,Services!$D$2:$D$120,0)),""))</f>
        <v/>
      </c>
      <c r="F322" s="19"/>
      <c r="G322" s="9" t="str">
        <f t="shared" ref="G322:G385" si="5">IF(OR($B322="",NOT(ISNUMBER($E322))),"",$E322-IF($F322="",0,$F322))</f>
        <v/>
      </c>
      <c r="H322" s="15" t="str">
        <f>IF($B322="","",IFERROR(INDEX(Services!$A$2:$A$120,MATCH($B322,Services!$D$2:$D$120,0)),""))</f>
        <v/>
      </c>
      <c r="I322" s="19"/>
      <c r="J322" s="15" t="str">
        <f>IF($B322="","",IFERROR(INDEX(Services!$E$2:$E$120,MATCH($B322,Services!$D$2:$D$120,0)),""))</f>
        <v/>
      </c>
    </row>
    <row r="323" spans="1:10" x14ac:dyDescent="0.3">
      <c r="A323" s="18"/>
      <c r="B323" s="6"/>
      <c r="C323" s="6"/>
      <c r="D323" s="6"/>
      <c r="E323" s="16" t="str">
        <f>IF($B323="","",IFERROR(INDEX(Services!$C$2:$C$120,MATCH($B323,Services!$D$2:$D$120,0)),""))</f>
        <v/>
      </c>
      <c r="F323" s="19"/>
      <c r="G323" s="9" t="str">
        <f t="shared" si="5"/>
        <v/>
      </c>
      <c r="H323" s="15" t="str">
        <f>IF($B323="","",IFERROR(INDEX(Services!$A$2:$A$120,MATCH($B323,Services!$D$2:$D$120,0)),""))</f>
        <v/>
      </c>
      <c r="I323" s="19"/>
      <c r="J323" s="15" t="str">
        <f>IF($B323="","",IFERROR(INDEX(Services!$E$2:$E$120,MATCH($B323,Services!$D$2:$D$120,0)),""))</f>
        <v/>
      </c>
    </row>
    <row r="324" spans="1:10" x14ac:dyDescent="0.3">
      <c r="A324" s="18"/>
      <c r="B324" s="6"/>
      <c r="C324" s="6"/>
      <c r="D324" s="6"/>
      <c r="E324" s="16" t="str">
        <f>IF($B324="","",IFERROR(INDEX(Services!$C$2:$C$120,MATCH($B324,Services!$D$2:$D$120,0)),""))</f>
        <v/>
      </c>
      <c r="F324" s="19"/>
      <c r="G324" s="9" t="str">
        <f t="shared" si="5"/>
        <v/>
      </c>
      <c r="H324" s="15" t="str">
        <f>IF($B324="","",IFERROR(INDEX(Services!$A$2:$A$120,MATCH($B324,Services!$D$2:$D$120,0)),""))</f>
        <v/>
      </c>
      <c r="I324" s="19"/>
      <c r="J324" s="15" t="str">
        <f>IF($B324="","",IFERROR(INDEX(Services!$E$2:$E$120,MATCH($B324,Services!$D$2:$D$120,0)),""))</f>
        <v/>
      </c>
    </row>
    <row r="325" spans="1:10" x14ac:dyDescent="0.3">
      <c r="A325" s="18"/>
      <c r="B325" s="6"/>
      <c r="C325" s="6"/>
      <c r="D325" s="6"/>
      <c r="E325" s="16" t="str">
        <f>IF($B325="","",IFERROR(INDEX(Services!$C$2:$C$120,MATCH($B325,Services!$D$2:$D$120,0)),""))</f>
        <v/>
      </c>
      <c r="F325" s="19"/>
      <c r="G325" s="9" t="str">
        <f t="shared" si="5"/>
        <v/>
      </c>
      <c r="H325" s="15" t="str">
        <f>IF($B325="","",IFERROR(INDEX(Services!$A$2:$A$120,MATCH($B325,Services!$D$2:$D$120,0)),""))</f>
        <v/>
      </c>
      <c r="I325" s="19"/>
      <c r="J325" s="15" t="str">
        <f>IF($B325="","",IFERROR(INDEX(Services!$E$2:$E$120,MATCH($B325,Services!$D$2:$D$120,0)),""))</f>
        <v/>
      </c>
    </row>
    <row r="326" spans="1:10" x14ac:dyDescent="0.3">
      <c r="A326" s="18"/>
      <c r="B326" s="6"/>
      <c r="C326" s="6"/>
      <c r="D326" s="6"/>
      <c r="E326" s="16" t="str">
        <f>IF($B326="","",IFERROR(INDEX(Services!$C$2:$C$120,MATCH($B326,Services!$D$2:$D$120,0)),""))</f>
        <v/>
      </c>
      <c r="F326" s="19"/>
      <c r="G326" s="9" t="str">
        <f t="shared" si="5"/>
        <v/>
      </c>
      <c r="H326" s="15" t="str">
        <f>IF($B326="","",IFERROR(INDEX(Services!$A$2:$A$120,MATCH($B326,Services!$D$2:$D$120,0)),""))</f>
        <v/>
      </c>
      <c r="I326" s="19"/>
      <c r="J326" s="15" t="str">
        <f>IF($B326="","",IFERROR(INDEX(Services!$E$2:$E$120,MATCH($B326,Services!$D$2:$D$120,0)),""))</f>
        <v/>
      </c>
    </row>
    <row r="327" spans="1:10" x14ac:dyDescent="0.3">
      <c r="A327" s="18"/>
      <c r="B327" s="6"/>
      <c r="C327" s="6"/>
      <c r="D327" s="6"/>
      <c r="E327" s="16" t="str">
        <f>IF($B327="","",IFERROR(INDEX(Services!$C$2:$C$120,MATCH($B327,Services!$D$2:$D$120,0)),""))</f>
        <v/>
      </c>
      <c r="F327" s="19"/>
      <c r="G327" s="9" t="str">
        <f t="shared" si="5"/>
        <v/>
      </c>
      <c r="H327" s="15" t="str">
        <f>IF($B327="","",IFERROR(INDEX(Services!$A$2:$A$120,MATCH($B327,Services!$D$2:$D$120,0)),""))</f>
        <v/>
      </c>
      <c r="I327" s="19"/>
      <c r="J327" s="15" t="str">
        <f>IF($B327="","",IFERROR(INDEX(Services!$E$2:$E$120,MATCH($B327,Services!$D$2:$D$120,0)),""))</f>
        <v/>
      </c>
    </row>
    <row r="328" spans="1:10" x14ac:dyDescent="0.3">
      <c r="A328" s="18"/>
      <c r="B328" s="6"/>
      <c r="C328" s="6"/>
      <c r="D328" s="6"/>
      <c r="E328" s="16" t="str">
        <f>IF($B328="","",IFERROR(INDEX(Services!$C$2:$C$120,MATCH($B328,Services!$D$2:$D$120,0)),""))</f>
        <v/>
      </c>
      <c r="F328" s="19"/>
      <c r="G328" s="9" t="str">
        <f t="shared" si="5"/>
        <v/>
      </c>
      <c r="H328" s="15" t="str">
        <f>IF($B328="","",IFERROR(INDEX(Services!$A$2:$A$120,MATCH($B328,Services!$D$2:$D$120,0)),""))</f>
        <v/>
      </c>
      <c r="I328" s="19"/>
      <c r="J328" s="15" t="str">
        <f>IF($B328="","",IFERROR(INDEX(Services!$E$2:$E$120,MATCH($B328,Services!$D$2:$D$120,0)),""))</f>
        <v/>
      </c>
    </row>
    <row r="329" spans="1:10" x14ac:dyDescent="0.3">
      <c r="A329" s="18"/>
      <c r="B329" s="6"/>
      <c r="C329" s="6"/>
      <c r="D329" s="6"/>
      <c r="E329" s="16" t="str">
        <f>IF($B329="","",IFERROR(INDEX(Services!$C$2:$C$120,MATCH($B329,Services!$D$2:$D$120,0)),""))</f>
        <v/>
      </c>
      <c r="F329" s="19"/>
      <c r="G329" s="9" t="str">
        <f t="shared" si="5"/>
        <v/>
      </c>
      <c r="H329" s="15" t="str">
        <f>IF($B329="","",IFERROR(INDEX(Services!$A$2:$A$120,MATCH($B329,Services!$D$2:$D$120,0)),""))</f>
        <v/>
      </c>
      <c r="I329" s="19"/>
      <c r="J329" s="15" t="str">
        <f>IF($B329="","",IFERROR(INDEX(Services!$E$2:$E$120,MATCH($B329,Services!$D$2:$D$120,0)),""))</f>
        <v/>
      </c>
    </row>
    <row r="330" spans="1:10" x14ac:dyDescent="0.3">
      <c r="A330" s="18"/>
      <c r="B330" s="6"/>
      <c r="C330" s="6"/>
      <c r="D330" s="6"/>
      <c r="E330" s="16" t="str">
        <f>IF($B330="","",IFERROR(INDEX(Services!$C$2:$C$120,MATCH($B330,Services!$D$2:$D$120,0)),""))</f>
        <v/>
      </c>
      <c r="F330" s="19"/>
      <c r="G330" s="9" t="str">
        <f t="shared" si="5"/>
        <v/>
      </c>
      <c r="H330" s="15" t="str">
        <f>IF($B330="","",IFERROR(INDEX(Services!$A$2:$A$120,MATCH($B330,Services!$D$2:$D$120,0)),""))</f>
        <v/>
      </c>
      <c r="I330" s="19"/>
      <c r="J330" s="15" t="str">
        <f>IF($B330="","",IFERROR(INDEX(Services!$E$2:$E$120,MATCH($B330,Services!$D$2:$D$120,0)),""))</f>
        <v/>
      </c>
    </row>
    <row r="331" spans="1:10" x14ac:dyDescent="0.3">
      <c r="A331" s="18"/>
      <c r="B331" s="6"/>
      <c r="C331" s="6"/>
      <c r="D331" s="6"/>
      <c r="E331" s="16" t="str">
        <f>IF($B331="","",IFERROR(INDEX(Services!$C$2:$C$120,MATCH($B331,Services!$D$2:$D$120,0)),""))</f>
        <v/>
      </c>
      <c r="F331" s="19"/>
      <c r="G331" s="9" t="str">
        <f t="shared" si="5"/>
        <v/>
      </c>
      <c r="H331" s="15" t="str">
        <f>IF($B331="","",IFERROR(INDEX(Services!$A$2:$A$120,MATCH($B331,Services!$D$2:$D$120,0)),""))</f>
        <v/>
      </c>
      <c r="I331" s="19"/>
      <c r="J331" s="15" t="str">
        <f>IF($B331="","",IFERROR(INDEX(Services!$E$2:$E$120,MATCH($B331,Services!$D$2:$D$120,0)),""))</f>
        <v/>
      </c>
    </row>
    <row r="332" spans="1:10" x14ac:dyDescent="0.3">
      <c r="A332" s="18"/>
      <c r="B332" s="6"/>
      <c r="C332" s="6"/>
      <c r="D332" s="6"/>
      <c r="E332" s="16" t="str">
        <f>IF($B332="","",IFERROR(INDEX(Services!$C$2:$C$120,MATCH($B332,Services!$D$2:$D$120,0)),""))</f>
        <v/>
      </c>
      <c r="F332" s="19"/>
      <c r="G332" s="9" t="str">
        <f t="shared" si="5"/>
        <v/>
      </c>
      <c r="H332" s="15" t="str">
        <f>IF($B332="","",IFERROR(INDEX(Services!$A$2:$A$120,MATCH($B332,Services!$D$2:$D$120,0)),""))</f>
        <v/>
      </c>
      <c r="I332" s="19"/>
      <c r="J332" s="15" t="str">
        <f>IF($B332="","",IFERROR(INDEX(Services!$E$2:$E$120,MATCH($B332,Services!$D$2:$D$120,0)),""))</f>
        <v/>
      </c>
    </row>
    <row r="333" spans="1:10" x14ac:dyDescent="0.3">
      <c r="A333" s="18"/>
      <c r="B333" s="6"/>
      <c r="C333" s="6"/>
      <c r="D333" s="6"/>
      <c r="E333" s="16" t="str">
        <f>IF($B333="","",IFERROR(INDEX(Services!$C$2:$C$120,MATCH($B333,Services!$D$2:$D$120,0)),""))</f>
        <v/>
      </c>
      <c r="F333" s="19"/>
      <c r="G333" s="9" t="str">
        <f t="shared" si="5"/>
        <v/>
      </c>
      <c r="H333" s="15" t="str">
        <f>IF($B333="","",IFERROR(INDEX(Services!$A$2:$A$120,MATCH($B333,Services!$D$2:$D$120,0)),""))</f>
        <v/>
      </c>
      <c r="I333" s="19"/>
      <c r="J333" s="15" t="str">
        <f>IF($B333="","",IFERROR(INDEX(Services!$E$2:$E$120,MATCH($B333,Services!$D$2:$D$120,0)),""))</f>
        <v/>
      </c>
    </row>
    <row r="334" spans="1:10" x14ac:dyDescent="0.3">
      <c r="A334" s="18"/>
      <c r="B334" s="6"/>
      <c r="C334" s="6"/>
      <c r="D334" s="6"/>
      <c r="E334" s="16" t="str">
        <f>IF($B334="","",IFERROR(INDEX(Services!$C$2:$C$120,MATCH($B334,Services!$D$2:$D$120,0)),""))</f>
        <v/>
      </c>
      <c r="F334" s="19"/>
      <c r="G334" s="9" t="str">
        <f t="shared" si="5"/>
        <v/>
      </c>
      <c r="H334" s="15" t="str">
        <f>IF($B334="","",IFERROR(INDEX(Services!$A$2:$A$120,MATCH($B334,Services!$D$2:$D$120,0)),""))</f>
        <v/>
      </c>
      <c r="I334" s="19"/>
      <c r="J334" s="15" t="str">
        <f>IF($B334="","",IFERROR(INDEX(Services!$E$2:$E$120,MATCH($B334,Services!$D$2:$D$120,0)),""))</f>
        <v/>
      </c>
    </row>
    <row r="335" spans="1:10" x14ac:dyDescent="0.3">
      <c r="A335" s="18"/>
      <c r="B335" s="6"/>
      <c r="C335" s="6"/>
      <c r="D335" s="6"/>
      <c r="E335" s="16" t="str">
        <f>IF($B335="","",IFERROR(INDEX(Services!$C$2:$C$120,MATCH($B335,Services!$D$2:$D$120,0)),""))</f>
        <v/>
      </c>
      <c r="F335" s="19"/>
      <c r="G335" s="9" t="str">
        <f t="shared" si="5"/>
        <v/>
      </c>
      <c r="H335" s="15" t="str">
        <f>IF($B335="","",IFERROR(INDEX(Services!$A$2:$A$120,MATCH($B335,Services!$D$2:$D$120,0)),""))</f>
        <v/>
      </c>
      <c r="I335" s="19"/>
      <c r="J335" s="15" t="str">
        <f>IF($B335="","",IFERROR(INDEX(Services!$E$2:$E$120,MATCH($B335,Services!$D$2:$D$120,0)),""))</f>
        <v/>
      </c>
    </row>
    <row r="336" spans="1:10" x14ac:dyDescent="0.3">
      <c r="A336" s="18"/>
      <c r="B336" s="6"/>
      <c r="C336" s="6"/>
      <c r="D336" s="6"/>
      <c r="E336" s="16" t="str">
        <f>IF($B336="","",IFERROR(INDEX(Services!$C$2:$C$120,MATCH($B336,Services!$D$2:$D$120,0)),""))</f>
        <v/>
      </c>
      <c r="F336" s="19"/>
      <c r="G336" s="9" t="str">
        <f t="shared" si="5"/>
        <v/>
      </c>
      <c r="H336" s="15" t="str">
        <f>IF($B336="","",IFERROR(INDEX(Services!$A$2:$A$120,MATCH($B336,Services!$D$2:$D$120,0)),""))</f>
        <v/>
      </c>
      <c r="I336" s="19"/>
      <c r="J336" s="15" t="str">
        <f>IF($B336="","",IFERROR(INDEX(Services!$E$2:$E$120,MATCH($B336,Services!$D$2:$D$120,0)),""))</f>
        <v/>
      </c>
    </row>
    <row r="337" spans="1:10" x14ac:dyDescent="0.3">
      <c r="A337" s="18"/>
      <c r="B337" s="6"/>
      <c r="C337" s="6"/>
      <c r="D337" s="6"/>
      <c r="E337" s="16" t="str">
        <f>IF($B337="","",IFERROR(INDEX(Services!$C$2:$C$120,MATCH($B337,Services!$D$2:$D$120,0)),""))</f>
        <v/>
      </c>
      <c r="F337" s="19"/>
      <c r="G337" s="9" t="str">
        <f t="shared" si="5"/>
        <v/>
      </c>
      <c r="H337" s="15" t="str">
        <f>IF($B337="","",IFERROR(INDEX(Services!$A$2:$A$120,MATCH($B337,Services!$D$2:$D$120,0)),""))</f>
        <v/>
      </c>
      <c r="I337" s="19"/>
      <c r="J337" s="15" t="str">
        <f>IF($B337="","",IFERROR(INDEX(Services!$E$2:$E$120,MATCH($B337,Services!$D$2:$D$120,0)),""))</f>
        <v/>
      </c>
    </row>
    <row r="338" spans="1:10" x14ac:dyDescent="0.3">
      <c r="A338" s="18"/>
      <c r="B338" s="6"/>
      <c r="C338" s="6"/>
      <c r="D338" s="6"/>
      <c r="E338" s="16" t="str">
        <f>IF($B338="","",IFERROR(INDEX(Services!$C$2:$C$120,MATCH($B338,Services!$D$2:$D$120,0)),""))</f>
        <v/>
      </c>
      <c r="F338" s="19"/>
      <c r="G338" s="9" t="str">
        <f t="shared" si="5"/>
        <v/>
      </c>
      <c r="H338" s="15" t="str">
        <f>IF($B338="","",IFERROR(INDEX(Services!$A$2:$A$120,MATCH($B338,Services!$D$2:$D$120,0)),""))</f>
        <v/>
      </c>
      <c r="I338" s="19"/>
      <c r="J338" s="15" t="str">
        <f>IF($B338="","",IFERROR(INDEX(Services!$E$2:$E$120,MATCH($B338,Services!$D$2:$D$120,0)),""))</f>
        <v/>
      </c>
    </row>
    <row r="339" spans="1:10" x14ac:dyDescent="0.3">
      <c r="A339" s="18"/>
      <c r="B339" s="6"/>
      <c r="C339" s="6"/>
      <c r="D339" s="6"/>
      <c r="E339" s="16" t="str">
        <f>IF($B339="","",IFERROR(INDEX(Services!$C$2:$C$120,MATCH($B339,Services!$D$2:$D$120,0)),""))</f>
        <v/>
      </c>
      <c r="F339" s="19"/>
      <c r="G339" s="9" t="str">
        <f t="shared" si="5"/>
        <v/>
      </c>
      <c r="H339" s="15" t="str">
        <f>IF($B339="","",IFERROR(INDEX(Services!$A$2:$A$120,MATCH($B339,Services!$D$2:$D$120,0)),""))</f>
        <v/>
      </c>
      <c r="I339" s="19"/>
      <c r="J339" s="15" t="str">
        <f>IF($B339="","",IFERROR(INDEX(Services!$E$2:$E$120,MATCH($B339,Services!$D$2:$D$120,0)),""))</f>
        <v/>
      </c>
    </row>
    <row r="340" spans="1:10" x14ac:dyDescent="0.3">
      <c r="A340" s="18"/>
      <c r="B340" s="6"/>
      <c r="C340" s="6"/>
      <c r="D340" s="6"/>
      <c r="E340" s="16" t="str">
        <f>IF($B340="","",IFERROR(INDEX(Services!$C$2:$C$120,MATCH($B340,Services!$D$2:$D$120,0)),""))</f>
        <v/>
      </c>
      <c r="F340" s="19"/>
      <c r="G340" s="9" t="str">
        <f t="shared" si="5"/>
        <v/>
      </c>
      <c r="H340" s="15" t="str">
        <f>IF($B340="","",IFERROR(INDEX(Services!$A$2:$A$120,MATCH($B340,Services!$D$2:$D$120,0)),""))</f>
        <v/>
      </c>
      <c r="I340" s="19"/>
      <c r="J340" s="15" t="str">
        <f>IF($B340="","",IFERROR(INDEX(Services!$E$2:$E$120,MATCH($B340,Services!$D$2:$D$120,0)),""))</f>
        <v/>
      </c>
    </row>
    <row r="341" spans="1:10" x14ac:dyDescent="0.3">
      <c r="A341" s="18"/>
      <c r="B341" s="6"/>
      <c r="C341" s="6"/>
      <c r="D341" s="6"/>
      <c r="E341" s="16" t="str">
        <f>IF($B341="","",IFERROR(INDEX(Services!$C$2:$C$120,MATCH($B341,Services!$D$2:$D$120,0)),""))</f>
        <v/>
      </c>
      <c r="F341" s="19"/>
      <c r="G341" s="9" t="str">
        <f t="shared" si="5"/>
        <v/>
      </c>
      <c r="H341" s="15" t="str">
        <f>IF($B341="","",IFERROR(INDEX(Services!$A$2:$A$120,MATCH($B341,Services!$D$2:$D$120,0)),""))</f>
        <v/>
      </c>
      <c r="I341" s="19"/>
      <c r="J341" s="15" t="str">
        <f>IF($B341="","",IFERROR(INDEX(Services!$E$2:$E$120,MATCH($B341,Services!$D$2:$D$120,0)),""))</f>
        <v/>
      </c>
    </row>
    <row r="342" spans="1:10" x14ac:dyDescent="0.3">
      <c r="A342" s="18"/>
      <c r="B342" s="6"/>
      <c r="C342" s="6"/>
      <c r="D342" s="6"/>
      <c r="E342" s="16" t="str">
        <f>IF($B342="","",IFERROR(INDEX(Services!$C$2:$C$120,MATCH($B342,Services!$D$2:$D$120,0)),""))</f>
        <v/>
      </c>
      <c r="F342" s="19"/>
      <c r="G342" s="9" t="str">
        <f t="shared" si="5"/>
        <v/>
      </c>
      <c r="H342" s="15" t="str">
        <f>IF($B342="","",IFERROR(INDEX(Services!$A$2:$A$120,MATCH($B342,Services!$D$2:$D$120,0)),""))</f>
        <v/>
      </c>
      <c r="I342" s="19"/>
      <c r="J342" s="15" t="str">
        <f>IF($B342="","",IFERROR(INDEX(Services!$E$2:$E$120,MATCH($B342,Services!$D$2:$D$120,0)),""))</f>
        <v/>
      </c>
    </row>
    <row r="343" spans="1:10" x14ac:dyDescent="0.3">
      <c r="A343" s="18"/>
      <c r="B343" s="6"/>
      <c r="C343" s="6"/>
      <c r="D343" s="6"/>
      <c r="E343" s="16" t="str">
        <f>IF($B343="","",IFERROR(INDEX(Services!$C$2:$C$120,MATCH($B343,Services!$D$2:$D$120,0)),""))</f>
        <v/>
      </c>
      <c r="F343" s="19"/>
      <c r="G343" s="9" t="str">
        <f t="shared" si="5"/>
        <v/>
      </c>
      <c r="H343" s="15" t="str">
        <f>IF($B343="","",IFERROR(INDEX(Services!$A$2:$A$120,MATCH($B343,Services!$D$2:$D$120,0)),""))</f>
        <v/>
      </c>
      <c r="I343" s="19"/>
      <c r="J343" s="15" t="str">
        <f>IF($B343="","",IFERROR(INDEX(Services!$E$2:$E$120,MATCH($B343,Services!$D$2:$D$120,0)),""))</f>
        <v/>
      </c>
    </row>
    <row r="344" spans="1:10" x14ac:dyDescent="0.3">
      <c r="A344" s="18"/>
      <c r="B344" s="6"/>
      <c r="C344" s="6"/>
      <c r="D344" s="6"/>
      <c r="E344" s="16" t="str">
        <f>IF($B344="","",IFERROR(INDEX(Services!$C$2:$C$120,MATCH($B344,Services!$D$2:$D$120,0)),""))</f>
        <v/>
      </c>
      <c r="F344" s="19"/>
      <c r="G344" s="9" t="str">
        <f t="shared" si="5"/>
        <v/>
      </c>
      <c r="H344" s="15" t="str">
        <f>IF($B344="","",IFERROR(INDEX(Services!$A$2:$A$120,MATCH($B344,Services!$D$2:$D$120,0)),""))</f>
        <v/>
      </c>
      <c r="I344" s="19"/>
      <c r="J344" s="15" t="str">
        <f>IF($B344="","",IFERROR(INDEX(Services!$E$2:$E$120,MATCH($B344,Services!$D$2:$D$120,0)),""))</f>
        <v/>
      </c>
    </row>
    <row r="345" spans="1:10" x14ac:dyDescent="0.3">
      <c r="A345" s="18"/>
      <c r="B345" s="6"/>
      <c r="C345" s="6"/>
      <c r="D345" s="6"/>
      <c r="E345" s="16" t="str">
        <f>IF($B345="","",IFERROR(INDEX(Services!$C$2:$C$120,MATCH($B345,Services!$D$2:$D$120,0)),""))</f>
        <v/>
      </c>
      <c r="F345" s="19"/>
      <c r="G345" s="9" t="str">
        <f t="shared" si="5"/>
        <v/>
      </c>
      <c r="H345" s="15" t="str">
        <f>IF($B345="","",IFERROR(INDEX(Services!$A$2:$A$120,MATCH($B345,Services!$D$2:$D$120,0)),""))</f>
        <v/>
      </c>
      <c r="I345" s="19"/>
      <c r="J345" s="15" t="str">
        <f>IF($B345="","",IFERROR(INDEX(Services!$E$2:$E$120,MATCH($B345,Services!$D$2:$D$120,0)),""))</f>
        <v/>
      </c>
    </row>
    <row r="346" spans="1:10" x14ac:dyDescent="0.3">
      <c r="A346" s="18"/>
      <c r="B346" s="6"/>
      <c r="C346" s="6"/>
      <c r="D346" s="6"/>
      <c r="E346" s="16" t="str">
        <f>IF($B346="","",IFERROR(INDEX(Services!$C$2:$C$120,MATCH($B346,Services!$D$2:$D$120,0)),""))</f>
        <v/>
      </c>
      <c r="F346" s="19"/>
      <c r="G346" s="9" t="str">
        <f t="shared" si="5"/>
        <v/>
      </c>
      <c r="H346" s="15" t="str">
        <f>IF($B346="","",IFERROR(INDEX(Services!$A$2:$A$120,MATCH($B346,Services!$D$2:$D$120,0)),""))</f>
        <v/>
      </c>
      <c r="I346" s="19"/>
      <c r="J346" s="15" t="str">
        <f>IF($B346="","",IFERROR(INDEX(Services!$E$2:$E$120,MATCH($B346,Services!$D$2:$D$120,0)),""))</f>
        <v/>
      </c>
    </row>
    <row r="347" spans="1:10" x14ac:dyDescent="0.3">
      <c r="A347" s="18"/>
      <c r="B347" s="6"/>
      <c r="C347" s="6"/>
      <c r="D347" s="6"/>
      <c r="E347" s="16" t="str">
        <f>IF($B347="","",IFERROR(INDEX(Services!$C$2:$C$120,MATCH($B347,Services!$D$2:$D$120,0)),""))</f>
        <v/>
      </c>
      <c r="F347" s="19"/>
      <c r="G347" s="9" t="str">
        <f t="shared" si="5"/>
        <v/>
      </c>
      <c r="H347" s="15" t="str">
        <f>IF($B347="","",IFERROR(INDEX(Services!$A$2:$A$120,MATCH($B347,Services!$D$2:$D$120,0)),""))</f>
        <v/>
      </c>
      <c r="I347" s="19"/>
      <c r="J347" s="15" t="str">
        <f>IF($B347="","",IFERROR(INDEX(Services!$E$2:$E$120,MATCH($B347,Services!$D$2:$D$120,0)),""))</f>
        <v/>
      </c>
    </row>
    <row r="348" spans="1:10" x14ac:dyDescent="0.3">
      <c r="A348" s="18"/>
      <c r="B348" s="6"/>
      <c r="C348" s="6"/>
      <c r="D348" s="6"/>
      <c r="E348" s="16" t="str">
        <f>IF($B348="","",IFERROR(INDEX(Services!$C$2:$C$120,MATCH($B348,Services!$D$2:$D$120,0)),""))</f>
        <v/>
      </c>
      <c r="F348" s="19"/>
      <c r="G348" s="9" t="str">
        <f t="shared" si="5"/>
        <v/>
      </c>
      <c r="H348" s="15" t="str">
        <f>IF($B348="","",IFERROR(INDEX(Services!$A$2:$A$120,MATCH($B348,Services!$D$2:$D$120,0)),""))</f>
        <v/>
      </c>
      <c r="I348" s="19"/>
      <c r="J348" s="15" t="str">
        <f>IF($B348="","",IFERROR(INDEX(Services!$E$2:$E$120,MATCH($B348,Services!$D$2:$D$120,0)),""))</f>
        <v/>
      </c>
    </row>
    <row r="349" spans="1:10" x14ac:dyDescent="0.3">
      <c r="A349" s="18"/>
      <c r="B349" s="6"/>
      <c r="C349" s="6"/>
      <c r="D349" s="6"/>
      <c r="E349" s="16" t="str">
        <f>IF($B349="","",IFERROR(INDEX(Services!$C$2:$C$120,MATCH($B349,Services!$D$2:$D$120,0)),""))</f>
        <v/>
      </c>
      <c r="F349" s="19"/>
      <c r="G349" s="9" t="str">
        <f t="shared" si="5"/>
        <v/>
      </c>
      <c r="H349" s="15" t="str">
        <f>IF($B349="","",IFERROR(INDEX(Services!$A$2:$A$120,MATCH($B349,Services!$D$2:$D$120,0)),""))</f>
        <v/>
      </c>
      <c r="I349" s="19"/>
      <c r="J349" s="15" t="str">
        <f>IF($B349="","",IFERROR(INDEX(Services!$E$2:$E$120,MATCH($B349,Services!$D$2:$D$120,0)),""))</f>
        <v/>
      </c>
    </row>
    <row r="350" spans="1:10" x14ac:dyDescent="0.3">
      <c r="A350" s="18"/>
      <c r="B350" s="6"/>
      <c r="C350" s="6"/>
      <c r="D350" s="6"/>
      <c r="E350" s="16" t="str">
        <f>IF($B350="","",IFERROR(INDEX(Services!$C$2:$C$120,MATCH($B350,Services!$D$2:$D$120,0)),""))</f>
        <v/>
      </c>
      <c r="F350" s="19"/>
      <c r="G350" s="9" t="str">
        <f t="shared" si="5"/>
        <v/>
      </c>
      <c r="H350" s="15" t="str">
        <f>IF($B350="","",IFERROR(INDEX(Services!$A$2:$A$120,MATCH($B350,Services!$D$2:$D$120,0)),""))</f>
        <v/>
      </c>
      <c r="I350" s="19"/>
      <c r="J350" s="15" t="str">
        <f>IF($B350="","",IFERROR(INDEX(Services!$E$2:$E$120,MATCH($B350,Services!$D$2:$D$120,0)),""))</f>
        <v/>
      </c>
    </row>
    <row r="351" spans="1:10" x14ac:dyDescent="0.3">
      <c r="A351" s="18"/>
      <c r="B351" s="6"/>
      <c r="C351" s="6"/>
      <c r="D351" s="6"/>
      <c r="E351" s="16" t="str">
        <f>IF($B351="","",IFERROR(INDEX(Services!$C$2:$C$120,MATCH($B351,Services!$D$2:$D$120,0)),""))</f>
        <v/>
      </c>
      <c r="F351" s="19"/>
      <c r="G351" s="9" t="str">
        <f t="shared" si="5"/>
        <v/>
      </c>
      <c r="H351" s="15" t="str">
        <f>IF($B351="","",IFERROR(INDEX(Services!$A$2:$A$120,MATCH($B351,Services!$D$2:$D$120,0)),""))</f>
        <v/>
      </c>
      <c r="I351" s="19"/>
      <c r="J351" s="15" t="str">
        <f>IF($B351="","",IFERROR(INDEX(Services!$E$2:$E$120,MATCH($B351,Services!$D$2:$D$120,0)),""))</f>
        <v/>
      </c>
    </row>
    <row r="352" spans="1:10" x14ac:dyDescent="0.3">
      <c r="A352" s="18"/>
      <c r="B352" s="6"/>
      <c r="C352" s="6"/>
      <c r="D352" s="6"/>
      <c r="E352" s="16" t="str">
        <f>IF($B352="","",IFERROR(INDEX(Services!$C$2:$C$120,MATCH($B352,Services!$D$2:$D$120,0)),""))</f>
        <v/>
      </c>
      <c r="F352" s="19"/>
      <c r="G352" s="9" t="str">
        <f t="shared" si="5"/>
        <v/>
      </c>
      <c r="H352" s="15" t="str">
        <f>IF($B352="","",IFERROR(INDEX(Services!$A$2:$A$120,MATCH($B352,Services!$D$2:$D$120,0)),""))</f>
        <v/>
      </c>
      <c r="I352" s="19"/>
      <c r="J352" s="15" t="str">
        <f>IF($B352="","",IFERROR(INDEX(Services!$E$2:$E$120,MATCH($B352,Services!$D$2:$D$120,0)),""))</f>
        <v/>
      </c>
    </row>
    <row r="353" spans="1:10" x14ac:dyDescent="0.3">
      <c r="A353" s="18"/>
      <c r="B353" s="6"/>
      <c r="C353" s="6"/>
      <c r="D353" s="6"/>
      <c r="E353" s="16" t="str">
        <f>IF($B353="","",IFERROR(INDEX(Services!$C$2:$C$120,MATCH($B353,Services!$D$2:$D$120,0)),""))</f>
        <v/>
      </c>
      <c r="F353" s="19"/>
      <c r="G353" s="9" t="str">
        <f t="shared" si="5"/>
        <v/>
      </c>
      <c r="H353" s="15" t="str">
        <f>IF($B353="","",IFERROR(INDEX(Services!$A$2:$A$120,MATCH($B353,Services!$D$2:$D$120,0)),""))</f>
        <v/>
      </c>
      <c r="I353" s="19"/>
      <c r="J353" s="15" t="str">
        <f>IF($B353="","",IFERROR(INDEX(Services!$E$2:$E$120,MATCH($B353,Services!$D$2:$D$120,0)),""))</f>
        <v/>
      </c>
    </row>
    <row r="354" spans="1:10" x14ac:dyDescent="0.3">
      <c r="A354" s="18"/>
      <c r="B354" s="6"/>
      <c r="C354" s="6"/>
      <c r="D354" s="6"/>
      <c r="E354" s="16" t="str">
        <f>IF($B354="","",IFERROR(INDEX(Services!$C$2:$C$120,MATCH($B354,Services!$D$2:$D$120,0)),""))</f>
        <v/>
      </c>
      <c r="F354" s="19"/>
      <c r="G354" s="9" t="str">
        <f t="shared" si="5"/>
        <v/>
      </c>
      <c r="H354" s="15" t="str">
        <f>IF($B354="","",IFERROR(INDEX(Services!$A$2:$A$120,MATCH($B354,Services!$D$2:$D$120,0)),""))</f>
        <v/>
      </c>
      <c r="I354" s="19"/>
      <c r="J354" s="15" t="str">
        <f>IF($B354="","",IFERROR(INDEX(Services!$E$2:$E$120,MATCH($B354,Services!$D$2:$D$120,0)),""))</f>
        <v/>
      </c>
    </row>
    <row r="355" spans="1:10" x14ac:dyDescent="0.3">
      <c r="A355" s="18"/>
      <c r="B355" s="6"/>
      <c r="C355" s="6"/>
      <c r="D355" s="6"/>
      <c r="E355" s="16" t="str">
        <f>IF($B355="","",IFERROR(INDEX(Services!$C$2:$C$120,MATCH($B355,Services!$D$2:$D$120,0)),""))</f>
        <v/>
      </c>
      <c r="F355" s="19"/>
      <c r="G355" s="9" t="str">
        <f t="shared" si="5"/>
        <v/>
      </c>
      <c r="H355" s="15" t="str">
        <f>IF($B355="","",IFERROR(INDEX(Services!$A$2:$A$120,MATCH($B355,Services!$D$2:$D$120,0)),""))</f>
        <v/>
      </c>
      <c r="I355" s="19"/>
      <c r="J355" s="15" t="str">
        <f>IF($B355="","",IFERROR(INDEX(Services!$E$2:$E$120,MATCH($B355,Services!$D$2:$D$120,0)),""))</f>
        <v/>
      </c>
    </row>
    <row r="356" spans="1:10" x14ac:dyDescent="0.3">
      <c r="A356" s="18"/>
      <c r="B356" s="6"/>
      <c r="C356" s="6"/>
      <c r="D356" s="6"/>
      <c r="E356" s="16" t="str">
        <f>IF($B356="","",IFERROR(INDEX(Services!$C$2:$C$120,MATCH($B356,Services!$D$2:$D$120,0)),""))</f>
        <v/>
      </c>
      <c r="F356" s="19"/>
      <c r="G356" s="9" t="str">
        <f t="shared" si="5"/>
        <v/>
      </c>
      <c r="H356" s="15" t="str">
        <f>IF($B356="","",IFERROR(INDEX(Services!$A$2:$A$120,MATCH($B356,Services!$D$2:$D$120,0)),""))</f>
        <v/>
      </c>
      <c r="I356" s="19"/>
      <c r="J356" s="15" t="str">
        <f>IF($B356="","",IFERROR(INDEX(Services!$E$2:$E$120,MATCH($B356,Services!$D$2:$D$120,0)),""))</f>
        <v/>
      </c>
    </row>
    <row r="357" spans="1:10" x14ac:dyDescent="0.3">
      <c r="A357" s="18"/>
      <c r="B357" s="6"/>
      <c r="C357" s="6"/>
      <c r="D357" s="6"/>
      <c r="E357" s="16" t="str">
        <f>IF($B357="","",IFERROR(INDEX(Services!$C$2:$C$120,MATCH($B357,Services!$D$2:$D$120,0)),""))</f>
        <v/>
      </c>
      <c r="F357" s="19"/>
      <c r="G357" s="9" t="str">
        <f t="shared" si="5"/>
        <v/>
      </c>
      <c r="H357" s="15" t="str">
        <f>IF($B357="","",IFERROR(INDEX(Services!$A$2:$A$120,MATCH($B357,Services!$D$2:$D$120,0)),""))</f>
        <v/>
      </c>
      <c r="I357" s="19"/>
      <c r="J357" s="15" t="str">
        <f>IF($B357="","",IFERROR(INDEX(Services!$E$2:$E$120,MATCH($B357,Services!$D$2:$D$120,0)),""))</f>
        <v/>
      </c>
    </row>
    <row r="358" spans="1:10" x14ac:dyDescent="0.3">
      <c r="A358" s="18"/>
      <c r="B358" s="6"/>
      <c r="C358" s="6"/>
      <c r="D358" s="6"/>
      <c r="E358" s="16" t="str">
        <f>IF($B358="","",IFERROR(INDEX(Services!$C$2:$C$120,MATCH($B358,Services!$D$2:$D$120,0)),""))</f>
        <v/>
      </c>
      <c r="F358" s="19"/>
      <c r="G358" s="9" t="str">
        <f t="shared" si="5"/>
        <v/>
      </c>
      <c r="H358" s="15" t="str">
        <f>IF($B358="","",IFERROR(INDEX(Services!$A$2:$A$120,MATCH($B358,Services!$D$2:$D$120,0)),""))</f>
        <v/>
      </c>
      <c r="I358" s="19"/>
      <c r="J358" s="15" t="str">
        <f>IF($B358="","",IFERROR(INDEX(Services!$E$2:$E$120,MATCH($B358,Services!$D$2:$D$120,0)),""))</f>
        <v/>
      </c>
    </row>
    <row r="359" spans="1:10" x14ac:dyDescent="0.3">
      <c r="A359" s="18"/>
      <c r="B359" s="6"/>
      <c r="C359" s="6"/>
      <c r="D359" s="6"/>
      <c r="E359" s="16" t="str">
        <f>IF($B359="","",IFERROR(INDEX(Services!$C$2:$C$120,MATCH($B359,Services!$D$2:$D$120,0)),""))</f>
        <v/>
      </c>
      <c r="F359" s="19"/>
      <c r="G359" s="9" t="str">
        <f t="shared" si="5"/>
        <v/>
      </c>
      <c r="H359" s="15" t="str">
        <f>IF($B359="","",IFERROR(INDEX(Services!$A$2:$A$120,MATCH($B359,Services!$D$2:$D$120,0)),""))</f>
        <v/>
      </c>
      <c r="I359" s="19"/>
      <c r="J359" s="15" t="str">
        <f>IF($B359="","",IFERROR(INDEX(Services!$E$2:$E$120,MATCH($B359,Services!$D$2:$D$120,0)),""))</f>
        <v/>
      </c>
    </row>
    <row r="360" spans="1:10" x14ac:dyDescent="0.3">
      <c r="A360" s="18"/>
      <c r="B360" s="6"/>
      <c r="C360" s="6"/>
      <c r="D360" s="6"/>
      <c r="E360" s="16" t="str">
        <f>IF($B360="","",IFERROR(INDEX(Services!$C$2:$C$120,MATCH($B360,Services!$D$2:$D$120,0)),""))</f>
        <v/>
      </c>
      <c r="F360" s="19"/>
      <c r="G360" s="9" t="str">
        <f t="shared" si="5"/>
        <v/>
      </c>
      <c r="H360" s="15" t="str">
        <f>IF($B360="","",IFERROR(INDEX(Services!$A$2:$A$120,MATCH($B360,Services!$D$2:$D$120,0)),""))</f>
        <v/>
      </c>
      <c r="I360" s="19"/>
      <c r="J360" s="15" t="str">
        <f>IF($B360="","",IFERROR(INDEX(Services!$E$2:$E$120,MATCH($B360,Services!$D$2:$D$120,0)),""))</f>
        <v/>
      </c>
    </row>
    <row r="361" spans="1:10" x14ac:dyDescent="0.3">
      <c r="A361" s="18"/>
      <c r="B361" s="6"/>
      <c r="C361" s="6"/>
      <c r="D361" s="6"/>
      <c r="E361" s="16" t="str">
        <f>IF($B361="","",IFERROR(INDEX(Services!$C$2:$C$120,MATCH($B361,Services!$D$2:$D$120,0)),""))</f>
        <v/>
      </c>
      <c r="F361" s="19"/>
      <c r="G361" s="9" t="str">
        <f t="shared" si="5"/>
        <v/>
      </c>
      <c r="H361" s="15" t="str">
        <f>IF($B361="","",IFERROR(INDEX(Services!$A$2:$A$120,MATCH($B361,Services!$D$2:$D$120,0)),""))</f>
        <v/>
      </c>
      <c r="I361" s="19"/>
      <c r="J361" s="15" t="str">
        <f>IF($B361="","",IFERROR(INDEX(Services!$E$2:$E$120,MATCH($B361,Services!$D$2:$D$120,0)),""))</f>
        <v/>
      </c>
    </row>
    <row r="362" spans="1:10" x14ac:dyDescent="0.3">
      <c r="A362" s="18"/>
      <c r="B362" s="6"/>
      <c r="C362" s="6"/>
      <c r="D362" s="6"/>
      <c r="E362" s="16" t="str">
        <f>IF($B362="","",IFERROR(INDEX(Services!$C$2:$C$120,MATCH($B362,Services!$D$2:$D$120,0)),""))</f>
        <v/>
      </c>
      <c r="F362" s="19"/>
      <c r="G362" s="9" t="str">
        <f t="shared" si="5"/>
        <v/>
      </c>
      <c r="H362" s="15" t="str">
        <f>IF($B362="","",IFERROR(INDEX(Services!$A$2:$A$120,MATCH($B362,Services!$D$2:$D$120,0)),""))</f>
        <v/>
      </c>
      <c r="I362" s="19"/>
      <c r="J362" s="15" t="str">
        <f>IF($B362="","",IFERROR(INDEX(Services!$E$2:$E$120,MATCH($B362,Services!$D$2:$D$120,0)),""))</f>
        <v/>
      </c>
    </row>
    <row r="363" spans="1:10" x14ac:dyDescent="0.3">
      <c r="A363" s="18"/>
      <c r="B363" s="6"/>
      <c r="C363" s="6"/>
      <c r="D363" s="6"/>
      <c r="E363" s="16" t="str">
        <f>IF($B363="","",IFERROR(INDEX(Services!$C$2:$C$120,MATCH($B363,Services!$D$2:$D$120,0)),""))</f>
        <v/>
      </c>
      <c r="F363" s="19"/>
      <c r="G363" s="9" t="str">
        <f t="shared" si="5"/>
        <v/>
      </c>
      <c r="H363" s="15" t="str">
        <f>IF($B363="","",IFERROR(INDEX(Services!$A$2:$A$120,MATCH($B363,Services!$D$2:$D$120,0)),""))</f>
        <v/>
      </c>
      <c r="I363" s="19"/>
      <c r="J363" s="15" t="str">
        <f>IF($B363="","",IFERROR(INDEX(Services!$E$2:$E$120,MATCH($B363,Services!$D$2:$D$120,0)),""))</f>
        <v/>
      </c>
    </row>
    <row r="364" spans="1:10" x14ac:dyDescent="0.3">
      <c r="A364" s="18"/>
      <c r="B364" s="6"/>
      <c r="C364" s="6"/>
      <c r="D364" s="6"/>
      <c r="E364" s="16" t="str">
        <f>IF($B364="","",IFERROR(INDEX(Services!$C$2:$C$120,MATCH($B364,Services!$D$2:$D$120,0)),""))</f>
        <v/>
      </c>
      <c r="F364" s="19"/>
      <c r="G364" s="9" t="str">
        <f t="shared" si="5"/>
        <v/>
      </c>
      <c r="H364" s="15" t="str">
        <f>IF($B364="","",IFERROR(INDEX(Services!$A$2:$A$120,MATCH($B364,Services!$D$2:$D$120,0)),""))</f>
        <v/>
      </c>
      <c r="I364" s="19"/>
      <c r="J364" s="15" t="str">
        <f>IF($B364="","",IFERROR(INDEX(Services!$E$2:$E$120,MATCH($B364,Services!$D$2:$D$120,0)),""))</f>
        <v/>
      </c>
    </row>
    <row r="365" spans="1:10" x14ac:dyDescent="0.3">
      <c r="A365" s="18"/>
      <c r="B365" s="6"/>
      <c r="C365" s="6"/>
      <c r="D365" s="6"/>
      <c r="E365" s="16" t="str">
        <f>IF($B365="","",IFERROR(INDEX(Services!$C$2:$C$120,MATCH($B365,Services!$D$2:$D$120,0)),""))</f>
        <v/>
      </c>
      <c r="F365" s="19"/>
      <c r="G365" s="9" t="str">
        <f t="shared" si="5"/>
        <v/>
      </c>
      <c r="H365" s="15" t="str">
        <f>IF($B365="","",IFERROR(INDEX(Services!$A$2:$A$120,MATCH($B365,Services!$D$2:$D$120,0)),""))</f>
        <v/>
      </c>
      <c r="I365" s="19"/>
      <c r="J365" s="15" t="str">
        <f>IF($B365="","",IFERROR(INDEX(Services!$E$2:$E$120,MATCH($B365,Services!$D$2:$D$120,0)),""))</f>
        <v/>
      </c>
    </row>
    <row r="366" spans="1:10" x14ac:dyDescent="0.3">
      <c r="A366" s="18"/>
      <c r="B366" s="6"/>
      <c r="C366" s="6"/>
      <c r="D366" s="6"/>
      <c r="E366" s="16" t="str">
        <f>IF($B366="","",IFERROR(INDEX(Services!$C$2:$C$120,MATCH($B366,Services!$D$2:$D$120,0)),""))</f>
        <v/>
      </c>
      <c r="F366" s="19"/>
      <c r="G366" s="9" t="str">
        <f t="shared" si="5"/>
        <v/>
      </c>
      <c r="H366" s="15" t="str">
        <f>IF($B366="","",IFERROR(INDEX(Services!$A$2:$A$120,MATCH($B366,Services!$D$2:$D$120,0)),""))</f>
        <v/>
      </c>
      <c r="I366" s="19"/>
      <c r="J366" s="15" t="str">
        <f>IF($B366="","",IFERROR(INDEX(Services!$E$2:$E$120,MATCH($B366,Services!$D$2:$D$120,0)),""))</f>
        <v/>
      </c>
    </row>
    <row r="367" spans="1:10" x14ac:dyDescent="0.3">
      <c r="A367" s="18"/>
      <c r="B367" s="6"/>
      <c r="C367" s="6"/>
      <c r="D367" s="6"/>
      <c r="E367" s="16" t="str">
        <f>IF($B367="","",IFERROR(INDEX(Services!$C$2:$C$120,MATCH($B367,Services!$D$2:$D$120,0)),""))</f>
        <v/>
      </c>
      <c r="F367" s="19"/>
      <c r="G367" s="9" t="str">
        <f t="shared" si="5"/>
        <v/>
      </c>
      <c r="H367" s="15" t="str">
        <f>IF($B367="","",IFERROR(INDEX(Services!$A$2:$A$120,MATCH($B367,Services!$D$2:$D$120,0)),""))</f>
        <v/>
      </c>
      <c r="I367" s="19"/>
      <c r="J367" s="15" t="str">
        <f>IF($B367="","",IFERROR(INDEX(Services!$E$2:$E$120,MATCH($B367,Services!$D$2:$D$120,0)),""))</f>
        <v/>
      </c>
    </row>
    <row r="368" spans="1:10" x14ac:dyDescent="0.3">
      <c r="A368" s="18"/>
      <c r="B368" s="6"/>
      <c r="C368" s="6"/>
      <c r="D368" s="6"/>
      <c r="E368" s="16" t="str">
        <f>IF($B368="","",IFERROR(INDEX(Services!$C$2:$C$120,MATCH($B368,Services!$D$2:$D$120,0)),""))</f>
        <v/>
      </c>
      <c r="F368" s="19"/>
      <c r="G368" s="9" t="str">
        <f t="shared" si="5"/>
        <v/>
      </c>
      <c r="H368" s="15" t="str">
        <f>IF($B368="","",IFERROR(INDEX(Services!$A$2:$A$120,MATCH($B368,Services!$D$2:$D$120,0)),""))</f>
        <v/>
      </c>
      <c r="I368" s="19"/>
      <c r="J368" s="15" t="str">
        <f>IF($B368="","",IFERROR(INDEX(Services!$E$2:$E$120,MATCH($B368,Services!$D$2:$D$120,0)),""))</f>
        <v/>
      </c>
    </row>
    <row r="369" spans="1:10" x14ac:dyDescent="0.3">
      <c r="A369" s="18"/>
      <c r="B369" s="6"/>
      <c r="C369" s="6"/>
      <c r="D369" s="6"/>
      <c r="E369" s="16" t="str">
        <f>IF($B369="","",IFERROR(INDEX(Services!$C$2:$C$120,MATCH($B369,Services!$D$2:$D$120,0)),""))</f>
        <v/>
      </c>
      <c r="F369" s="19"/>
      <c r="G369" s="9" t="str">
        <f t="shared" si="5"/>
        <v/>
      </c>
      <c r="H369" s="15" t="str">
        <f>IF($B369="","",IFERROR(INDEX(Services!$A$2:$A$120,MATCH($B369,Services!$D$2:$D$120,0)),""))</f>
        <v/>
      </c>
      <c r="I369" s="19"/>
      <c r="J369" s="15" t="str">
        <f>IF($B369="","",IFERROR(INDEX(Services!$E$2:$E$120,MATCH($B369,Services!$D$2:$D$120,0)),""))</f>
        <v/>
      </c>
    </row>
    <row r="370" spans="1:10" x14ac:dyDescent="0.3">
      <c r="A370" s="18"/>
      <c r="B370" s="6"/>
      <c r="C370" s="6"/>
      <c r="D370" s="6"/>
      <c r="E370" s="16" t="str">
        <f>IF($B370="","",IFERROR(INDEX(Services!$C$2:$C$120,MATCH($B370,Services!$D$2:$D$120,0)),""))</f>
        <v/>
      </c>
      <c r="F370" s="19"/>
      <c r="G370" s="9" t="str">
        <f t="shared" si="5"/>
        <v/>
      </c>
      <c r="H370" s="15" t="str">
        <f>IF($B370="","",IFERROR(INDEX(Services!$A$2:$A$120,MATCH($B370,Services!$D$2:$D$120,0)),""))</f>
        <v/>
      </c>
      <c r="I370" s="19"/>
      <c r="J370" s="15" t="str">
        <f>IF($B370="","",IFERROR(INDEX(Services!$E$2:$E$120,MATCH($B370,Services!$D$2:$D$120,0)),""))</f>
        <v/>
      </c>
    </row>
    <row r="371" spans="1:10" x14ac:dyDescent="0.3">
      <c r="A371" s="18"/>
      <c r="B371" s="6"/>
      <c r="C371" s="6"/>
      <c r="D371" s="6"/>
      <c r="E371" s="16" t="str">
        <f>IF($B371="","",IFERROR(INDEX(Services!$C$2:$C$120,MATCH($B371,Services!$D$2:$D$120,0)),""))</f>
        <v/>
      </c>
      <c r="F371" s="19"/>
      <c r="G371" s="9" t="str">
        <f t="shared" si="5"/>
        <v/>
      </c>
      <c r="H371" s="15" t="str">
        <f>IF($B371="","",IFERROR(INDEX(Services!$A$2:$A$120,MATCH($B371,Services!$D$2:$D$120,0)),""))</f>
        <v/>
      </c>
      <c r="I371" s="19"/>
      <c r="J371" s="15" t="str">
        <f>IF($B371="","",IFERROR(INDEX(Services!$E$2:$E$120,MATCH($B371,Services!$D$2:$D$120,0)),""))</f>
        <v/>
      </c>
    </row>
    <row r="372" spans="1:10" x14ac:dyDescent="0.3">
      <c r="A372" s="18"/>
      <c r="B372" s="6"/>
      <c r="C372" s="6"/>
      <c r="D372" s="6"/>
      <c r="E372" s="16" t="str">
        <f>IF($B372="","",IFERROR(INDEX(Services!$C$2:$C$120,MATCH($B372,Services!$D$2:$D$120,0)),""))</f>
        <v/>
      </c>
      <c r="F372" s="19"/>
      <c r="G372" s="9" t="str">
        <f t="shared" si="5"/>
        <v/>
      </c>
      <c r="H372" s="15" t="str">
        <f>IF($B372="","",IFERROR(INDEX(Services!$A$2:$A$120,MATCH($B372,Services!$D$2:$D$120,0)),""))</f>
        <v/>
      </c>
      <c r="I372" s="19"/>
      <c r="J372" s="15" t="str">
        <f>IF($B372="","",IFERROR(INDEX(Services!$E$2:$E$120,MATCH($B372,Services!$D$2:$D$120,0)),""))</f>
        <v/>
      </c>
    </row>
    <row r="373" spans="1:10" x14ac:dyDescent="0.3">
      <c r="A373" s="18"/>
      <c r="B373" s="6"/>
      <c r="C373" s="6"/>
      <c r="D373" s="6"/>
      <c r="E373" s="16" t="str">
        <f>IF($B373="","",IFERROR(INDEX(Services!$C$2:$C$120,MATCH($B373,Services!$D$2:$D$120,0)),""))</f>
        <v/>
      </c>
      <c r="F373" s="19"/>
      <c r="G373" s="9" t="str">
        <f t="shared" si="5"/>
        <v/>
      </c>
      <c r="H373" s="15" t="str">
        <f>IF($B373="","",IFERROR(INDEX(Services!$A$2:$A$120,MATCH($B373,Services!$D$2:$D$120,0)),""))</f>
        <v/>
      </c>
      <c r="I373" s="19"/>
      <c r="J373" s="15" t="str">
        <f>IF($B373="","",IFERROR(INDEX(Services!$E$2:$E$120,MATCH($B373,Services!$D$2:$D$120,0)),""))</f>
        <v/>
      </c>
    </row>
    <row r="374" spans="1:10" x14ac:dyDescent="0.3">
      <c r="A374" s="18"/>
      <c r="B374" s="6"/>
      <c r="C374" s="6"/>
      <c r="D374" s="6"/>
      <c r="E374" s="16" t="str">
        <f>IF($B374="","",IFERROR(INDEX(Services!$C$2:$C$120,MATCH($B374,Services!$D$2:$D$120,0)),""))</f>
        <v/>
      </c>
      <c r="F374" s="19"/>
      <c r="G374" s="9" t="str">
        <f t="shared" si="5"/>
        <v/>
      </c>
      <c r="H374" s="15" t="str">
        <f>IF($B374="","",IFERROR(INDEX(Services!$A$2:$A$120,MATCH($B374,Services!$D$2:$D$120,0)),""))</f>
        <v/>
      </c>
      <c r="I374" s="19"/>
      <c r="J374" s="15" t="str">
        <f>IF($B374="","",IFERROR(INDEX(Services!$E$2:$E$120,MATCH($B374,Services!$D$2:$D$120,0)),""))</f>
        <v/>
      </c>
    </row>
    <row r="375" spans="1:10" x14ac:dyDescent="0.3">
      <c r="A375" s="18"/>
      <c r="B375" s="6"/>
      <c r="C375" s="6"/>
      <c r="D375" s="6"/>
      <c r="E375" s="16" t="str">
        <f>IF($B375="","",IFERROR(INDEX(Services!$C$2:$C$120,MATCH($B375,Services!$D$2:$D$120,0)),""))</f>
        <v/>
      </c>
      <c r="F375" s="19"/>
      <c r="G375" s="9" t="str">
        <f t="shared" si="5"/>
        <v/>
      </c>
      <c r="H375" s="15" t="str">
        <f>IF($B375="","",IFERROR(INDEX(Services!$A$2:$A$120,MATCH($B375,Services!$D$2:$D$120,0)),""))</f>
        <v/>
      </c>
      <c r="I375" s="19"/>
      <c r="J375" s="15" t="str">
        <f>IF($B375="","",IFERROR(INDEX(Services!$E$2:$E$120,MATCH($B375,Services!$D$2:$D$120,0)),""))</f>
        <v/>
      </c>
    </row>
    <row r="376" spans="1:10" x14ac:dyDescent="0.3">
      <c r="A376" s="18"/>
      <c r="B376" s="6"/>
      <c r="C376" s="6"/>
      <c r="D376" s="6"/>
      <c r="E376" s="16" t="str">
        <f>IF($B376="","",IFERROR(INDEX(Services!$C$2:$C$120,MATCH($B376,Services!$D$2:$D$120,0)),""))</f>
        <v/>
      </c>
      <c r="F376" s="19"/>
      <c r="G376" s="9" t="str">
        <f t="shared" si="5"/>
        <v/>
      </c>
      <c r="H376" s="15" t="str">
        <f>IF($B376="","",IFERROR(INDEX(Services!$A$2:$A$120,MATCH($B376,Services!$D$2:$D$120,0)),""))</f>
        <v/>
      </c>
      <c r="I376" s="19"/>
      <c r="J376" s="15" t="str">
        <f>IF($B376="","",IFERROR(INDEX(Services!$E$2:$E$120,MATCH($B376,Services!$D$2:$D$120,0)),""))</f>
        <v/>
      </c>
    </row>
    <row r="377" spans="1:10" x14ac:dyDescent="0.3">
      <c r="A377" s="18"/>
      <c r="B377" s="6"/>
      <c r="C377" s="6"/>
      <c r="D377" s="6"/>
      <c r="E377" s="16" t="str">
        <f>IF($B377="","",IFERROR(INDEX(Services!$C$2:$C$120,MATCH($B377,Services!$D$2:$D$120,0)),""))</f>
        <v/>
      </c>
      <c r="F377" s="19"/>
      <c r="G377" s="9" t="str">
        <f t="shared" si="5"/>
        <v/>
      </c>
      <c r="H377" s="15" t="str">
        <f>IF($B377="","",IFERROR(INDEX(Services!$A$2:$A$120,MATCH($B377,Services!$D$2:$D$120,0)),""))</f>
        <v/>
      </c>
      <c r="I377" s="19"/>
      <c r="J377" s="15" t="str">
        <f>IF($B377="","",IFERROR(INDEX(Services!$E$2:$E$120,MATCH($B377,Services!$D$2:$D$120,0)),""))</f>
        <v/>
      </c>
    </row>
    <row r="378" spans="1:10" x14ac:dyDescent="0.3">
      <c r="A378" s="18"/>
      <c r="B378" s="6"/>
      <c r="C378" s="6"/>
      <c r="D378" s="6"/>
      <c r="E378" s="16" t="str">
        <f>IF($B378="","",IFERROR(INDEX(Services!$C$2:$C$120,MATCH($B378,Services!$D$2:$D$120,0)),""))</f>
        <v/>
      </c>
      <c r="F378" s="19"/>
      <c r="G378" s="9" t="str">
        <f t="shared" si="5"/>
        <v/>
      </c>
      <c r="H378" s="15" t="str">
        <f>IF($B378="","",IFERROR(INDEX(Services!$A$2:$A$120,MATCH($B378,Services!$D$2:$D$120,0)),""))</f>
        <v/>
      </c>
      <c r="I378" s="19"/>
      <c r="J378" s="15" t="str">
        <f>IF($B378="","",IFERROR(INDEX(Services!$E$2:$E$120,MATCH($B378,Services!$D$2:$D$120,0)),""))</f>
        <v/>
      </c>
    </row>
    <row r="379" spans="1:10" x14ac:dyDescent="0.3">
      <c r="A379" s="18"/>
      <c r="B379" s="6"/>
      <c r="C379" s="6"/>
      <c r="D379" s="6"/>
      <c r="E379" s="16" t="str">
        <f>IF($B379="","",IFERROR(INDEX(Services!$C$2:$C$120,MATCH($B379,Services!$D$2:$D$120,0)),""))</f>
        <v/>
      </c>
      <c r="F379" s="19"/>
      <c r="G379" s="9" t="str">
        <f t="shared" si="5"/>
        <v/>
      </c>
      <c r="H379" s="15" t="str">
        <f>IF($B379="","",IFERROR(INDEX(Services!$A$2:$A$120,MATCH($B379,Services!$D$2:$D$120,0)),""))</f>
        <v/>
      </c>
      <c r="I379" s="19"/>
      <c r="J379" s="15" t="str">
        <f>IF($B379="","",IFERROR(INDEX(Services!$E$2:$E$120,MATCH($B379,Services!$D$2:$D$120,0)),""))</f>
        <v/>
      </c>
    </row>
    <row r="380" spans="1:10" x14ac:dyDescent="0.3">
      <c r="A380" s="18"/>
      <c r="B380" s="6"/>
      <c r="C380" s="6"/>
      <c r="D380" s="6"/>
      <c r="E380" s="16" t="str">
        <f>IF($B380="","",IFERROR(INDEX(Services!$C$2:$C$120,MATCH($B380,Services!$D$2:$D$120,0)),""))</f>
        <v/>
      </c>
      <c r="F380" s="19"/>
      <c r="G380" s="9" t="str">
        <f t="shared" si="5"/>
        <v/>
      </c>
      <c r="H380" s="15" t="str">
        <f>IF($B380="","",IFERROR(INDEX(Services!$A$2:$A$120,MATCH($B380,Services!$D$2:$D$120,0)),""))</f>
        <v/>
      </c>
      <c r="I380" s="19"/>
      <c r="J380" s="15" t="str">
        <f>IF($B380="","",IFERROR(INDEX(Services!$E$2:$E$120,MATCH($B380,Services!$D$2:$D$120,0)),""))</f>
        <v/>
      </c>
    </row>
    <row r="381" spans="1:10" x14ac:dyDescent="0.3">
      <c r="A381" s="18"/>
      <c r="B381" s="6"/>
      <c r="C381" s="6"/>
      <c r="D381" s="6"/>
      <c r="E381" s="16" t="str">
        <f>IF($B381="","",IFERROR(INDEX(Services!$C$2:$C$120,MATCH($B381,Services!$D$2:$D$120,0)),""))</f>
        <v/>
      </c>
      <c r="F381" s="19"/>
      <c r="G381" s="9" t="str">
        <f t="shared" si="5"/>
        <v/>
      </c>
      <c r="H381" s="15" t="str">
        <f>IF($B381="","",IFERROR(INDEX(Services!$A$2:$A$120,MATCH($B381,Services!$D$2:$D$120,0)),""))</f>
        <v/>
      </c>
      <c r="I381" s="19"/>
      <c r="J381" s="15" t="str">
        <f>IF($B381="","",IFERROR(INDEX(Services!$E$2:$E$120,MATCH($B381,Services!$D$2:$D$120,0)),""))</f>
        <v/>
      </c>
    </row>
    <row r="382" spans="1:10" x14ac:dyDescent="0.3">
      <c r="A382" s="18"/>
      <c r="B382" s="6"/>
      <c r="C382" s="6"/>
      <c r="D382" s="6"/>
      <c r="E382" s="16" t="str">
        <f>IF($B382="","",IFERROR(INDEX(Services!$C$2:$C$120,MATCH($B382,Services!$D$2:$D$120,0)),""))</f>
        <v/>
      </c>
      <c r="F382" s="19"/>
      <c r="G382" s="9" t="str">
        <f t="shared" si="5"/>
        <v/>
      </c>
      <c r="H382" s="15" t="str">
        <f>IF($B382="","",IFERROR(INDEX(Services!$A$2:$A$120,MATCH($B382,Services!$D$2:$D$120,0)),""))</f>
        <v/>
      </c>
      <c r="I382" s="19"/>
      <c r="J382" s="15" t="str">
        <f>IF($B382="","",IFERROR(INDEX(Services!$E$2:$E$120,MATCH($B382,Services!$D$2:$D$120,0)),""))</f>
        <v/>
      </c>
    </row>
    <row r="383" spans="1:10" x14ac:dyDescent="0.3">
      <c r="A383" s="18"/>
      <c r="B383" s="6"/>
      <c r="C383" s="6"/>
      <c r="D383" s="6"/>
      <c r="E383" s="16" t="str">
        <f>IF($B383="","",IFERROR(INDEX(Services!$C$2:$C$120,MATCH($B383,Services!$D$2:$D$120,0)),""))</f>
        <v/>
      </c>
      <c r="F383" s="19"/>
      <c r="G383" s="9" t="str">
        <f t="shared" si="5"/>
        <v/>
      </c>
      <c r="H383" s="15" t="str">
        <f>IF($B383="","",IFERROR(INDEX(Services!$A$2:$A$120,MATCH($B383,Services!$D$2:$D$120,0)),""))</f>
        <v/>
      </c>
      <c r="I383" s="19"/>
      <c r="J383" s="15" t="str">
        <f>IF($B383="","",IFERROR(INDEX(Services!$E$2:$E$120,MATCH($B383,Services!$D$2:$D$120,0)),""))</f>
        <v/>
      </c>
    </row>
    <row r="384" spans="1:10" x14ac:dyDescent="0.3">
      <c r="A384" s="18"/>
      <c r="B384" s="6"/>
      <c r="C384" s="6"/>
      <c r="D384" s="6"/>
      <c r="E384" s="16" t="str">
        <f>IF($B384="","",IFERROR(INDEX(Services!$C$2:$C$120,MATCH($B384,Services!$D$2:$D$120,0)),""))</f>
        <v/>
      </c>
      <c r="F384" s="19"/>
      <c r="G384" s="9" t="str">
        <f t="shared" si="5"/>
        <v/>
      </c>
      <c r="H384" s="15" t="str">
        <f>IF($B384="","",IFERROR(INDEX(Services!$A$2:$A$120,MATCH($B384,Services!$D$2:$D$120,0)),""))</f>
        <v/>
      </c>
      <c r="I384" s="19"/>
      <c r="J384" s="15" t="str">
        <f>IF($B384="","",IFERROR(INDEX(Services!$E$2:$E$120,MATCH($B384,Services!$D$2:$D$120,0)),""))</f>
        <v/>
      </c>
    </row>
    <row r="385" spans="1:10" x14ac:dyDescent="0.3">
      <c r="A385" s="18"/>
      <c r="B385" s="6"/>
      <c r="C385" s="6"/>
      <c r="D385" s="6"/>
      <c r="E385" s="16" t="str">
        <f>IF($B385="","",IFERROR(INDEX(Services!$C$2:$C$120,MATCH($B385,Services!$D$2:$D$120,0)),""))</f>
        <v/>
      </c>
      <c r="F385" s="19"/>
      <c r="G385" s="9" t="str">
        <f t="shared" si="5"/>
        <v/>
      </c>
      <c r="H385" s="15" t="str">
        <f>IF($B385="","",IFERROR(INDEX(Services!$A$2:$A$120,MATCH($B385,Services!$D$2:$D$120,0)),""))</f>
        <v/>
      </c>
      <c r="I385" s="19"/>
      <c r="J385" s="15" t="str">
        <f>IF($B385="","",IFERROR(INDEX(Services!$E$2:$E$120,MATCH($B385,Services!$D$2:$D$120,0)),""))</f>
        <v/>
      </c>
    </row>
    <row r="386" spans="1:10" x14ac:dyDescent="0.3">
      <c r="A386" s="18"/>
      <c r="B386" s="6"/>
      <c r="C386" s="6"/>
      <c r="D386" s="6"/>
      <c r="E386" s="16" t="str">
        <f>IF($B386="","",IFERROR(INDEX(Services!$C$2:$C$120,MATCH($B386,Services!$D$2:$D$120,0)),""))</f>
        <v/>
      </c>
      <c r="F386" s="19"/>
      <c r="G386" s="9" t="str">
        <f t="shared" ref="G386:G449" si="6">IF(OR($B386="",NOT(ISNUMBER($E386))),"",$E386-IF($F386="",0,$F386))</f>
        <v/>
      </c>
      <c r="H386" s="15" t="str">
        <f>IF($B386="","",IFERROR(INDEX(Services!$A$2:$A$120,MATCH($B386,Services!$D$2:$D$120,0)),""))</f>
        <v/>
      </c>
      <c r="I386" s="19"/>
      <c r="J386" s="15" t="str">
        <f>IF($B386="","",IFERROR(INDEX(Services!$E$2:$E$120,MATCH($B386,Services!$D$2:$D$120,0)),""))</f>
        <v/>
      </c>
    </row>
    <row r="387" spans="1:10" x14ac:dyDescent="0.3">
      <c r="A387" s="18"/>
      <c r="B387" s="6"/>
      <c r="C387" s="6"/>
      <c r="D387" s="6"/>
      <c r="E387" s="16" t="str">
        <f>IF($B387="","",IFERROR(INDEX(Services!$C$2:$C$120,MATCH($B387,Services!$D$2:$D$120,0)),""))</f>
        <v/>
      </c>
      <c r="F387" s="19"/>
      <c r="G387" s="9" t="str">
        <f t="shared" si="6"/>
        <v/>
      </c>
      <c r="H387" s="15" t="str">
        <f>IF($B387="","",IFERROR(INDEX(Services!$A$2:$A$120,MATCH($B387,Services!$D$2:$D$120,0)),""))</f>
        <v/>
      </c>
      <c r="I387" s="19"/>
      <c r="J387" s="15" t="str">
        <f>IF($B387="","",IFERROR(INDEX(Services!$E$2:$E$120,MATCH($B387,Services!$D$2:$D$120,0)),""))</f>
        <v/>
      </c>
    </row>
    <row r="388" spans="1:10" x14ac:dyDescent="0.3">
      <c r="A388" s="18"/>
      <c r="B388" s="6"/>
      <c r="C388" s="6"/>
      <c r="D388" s="6"/>
      <c r="E388" s="16" t="str">
        <f>IF($B388="","",IFERROR(INDEX(Services!$C$2:$C$120,MATCH($B388,Services!$D$2:$D$120,0)),""))</f>
        <v/>
      </c>
      <c r="F388" s="19"/>
      <c r="G388" s="9" t="str">
        <f t="shared" si="6"/>
        <v/>
      </c>
      <c r="H388" s="15" t="str">
        <f>IF($B388="","",IFERROR(INDEX(Services!$A$2:$A$120,MATCH($B388,Services!$D$2:$D$120,0)),""))</f>
        <v/>
      </c>
      <c r="I388" s="19"/>
      <c r="J388" s="15" t="str">
        <f>IF($B388="","",IFERROR(INDEX(Services!$E$2:$E$120,MATCH($B388,Services!$D$2:$D$120,0)),""))</f>
        <v/>
      </c>
    </row>
    <row r="389" spans="1:10" x14ac:dyDescent="0.3">
      <c r="A389" s="18"/>
      <c r="B389" s="6"/>
      <c r="C389" s="6"/>
      <c r="D389" s="6"/>
      <c r="E389" s="16" t="str">
        <f>IF($B389="","",IFERROR(INDEX(Services!$C$2:$C$120,MATCH($B389,Services!$D$2:$D$120,0)),""))</f>
        <v/>
      </c>
      <c r="F389" s="19"/>
      <c r="G389" s="9" t="str">
        <f t="shared" si="6"/>
        <v/>
      </c>
      <c r="H389" s="15" t="str">
        <f>IF($B389="","",IFERROR(INDEX(Services!$A$2:$A$120,MATCH($B389,Services!$D$2:$D$120,0)),""))</f>
        <v/>
      </c>
      <c r="I389" s="19"/>
      <c r="J389" s="15" t="str">
        <f>IF($B389="","",IFERROR(INDEX(Services!$E$2:$E$120,MATCH($B389,Services!$D$2:$D$120,0)),""))</f>
        <v/>
      </c>
    </row>
    <row r="390" spans="1:10" x14ac:dyDescent="0.3">
      <c r="A390" s="18"/>
      <c r="B390" s="6"/>
      <c r="C390" s="6"/>
      <c r="D390" s="6"/>
      <c r="E390" s="16" t="str">
        <f>IF($B390="","",IFERROR(INDEX(Services!$C$2:$C$120,MATCH($B390,Services!$D$2:$D$120,0)),""))</f>
        <v/>
      </c>
      <c r="F390" s="19"/>
      <c r="G390" s="9" t="str">
        <f t="shared" si="6"/>
        <v/>
      </c>
      <c r="H390" s="15" t="str">
        <f>IF($B390="","",IFERROR(INDEX(Services!$A$2:$A$120,MATCH($B390,Services!$D$2:$D$120,0)),""))</f>
        <v/>
      </c>
      <c r="I390" s="19"/>
      <c r="J390" s="15" t="str">
        <f>IF($B390="","",IFERROR(INDEX(Services!$E$2:$E$120,MATCH($B390,Services!$D$2:$D$120,0)),""))</f>
        <v/>
      </c>
    </row>
    <row r="391" spans="1:10" x14ac:dyDescent="0.3">
      <c r="A391" s="18"/>
      <c r="B391" s="6"/>
      <c r="C391" s="6"/>
      <c r="D391" s="6"/>
      <c r="E391" s="16" t="str">
        <f>IF($B391="","",IFERROR(INDEX(Services!$C$2:$C$120,MATCH($B391,Services!$D$2:$D$120,0)),""))</f>
        <v/>
      </c>
      <c r="F391" s="19"/>
      <c r="G391" s="9" t="str">
        <f t="shared" si="6"/>
        <v/>
      </c>
      <c r="H391" s="15" t="str">
        <f>IF($B391="","",IFERROR(INDEX(Services!$A$2:$A$120,MATCH($B391,Services!$D$2:$D$120,0)),""))</f>
        <v/>
      </c>
      <c r="I391" s="19"/>
      <c r="J391" s="15" t="str">
        <f>IF($B391="","",IFERROR(INDEX(Services!$E$2:$E$120,MATCH($B391,Services!$D$2:$D$120,0)),""))</f>
        <v/>
      </c>
    </row>
    <row r="392" spans="1:10" x14ac:dyDescent="0.3">
      <c r="A392" s="18"/>
      <c r="B392" s="6"/>
      <c r="C392" s="6"/>
      <c r="D392" s="6"/>
      <c r="E392" s="16" t="str">
        <f>IF($B392="","",IFERROR(INDEX(Services!$C$2:$C$120,MATCH($B392,Services!$D$2:$D$120,0)),""))</f>
        <v/>
      </c>
      <c r="F392" s="19"/>
      <c r="G392" s="9" t="str">
        <f t="shared" si="6"/>
        <v/>
      </c>
      <c r="H392" s="15" t="str">
        <f>IF($B392="","",IFERROR(INDEX(Services!$A$2:$A$120,MATCH($B392,Services!$D$2:$D$120,0)),""))</f>
        <v/>
      </c>
      <c r="I392" s="19"/>
      <c r="J392" s="15" t="str">
        <f>IF($B392="","",IFERROR(INDEX(Services!$E$2:$E$120,MATCH($B392,Services!$D$2:$D$120,0)),""))</f>
        <v/>
      </c>
    </row>
    <row r="393" spans="1:10" x14ac:dyDescent="0.3">
      <c r="A393" s="18"/>
      <c r="B393" s="6"/>
      <c r="C393" s="6"/>
      <c r="D393" s="6"/>
      <c r="E393" s="16" t="str">
        <f>IF($B393="","",IFERROR(INDEX(Services!$C$2:$C$120,MATCH($B393,Services!$D$2:$D$120,0)),""))</f>
        <v/>
      </c>
      <c r="F393" s="19"/>
      <c r="G393" s="9" t="str">
        <f t="shared" si="6"/>
        <v/>
      </c>
      <c r="H393" s="15" t="str">
        <f>IF($B393="","",IFERROR(INDEX(Services!$A$2:$A$120,MATCH($B393,Services!$D$2:$D$120,0)),""))</f>
        <v/>
      </c>
      <c r="I393" s="19"/>
      <c r="J393" s="15" t="str">
        <f>IF($B393="","",IFERROR(INDEX(Services!$E$2:$E$120,MATCH($B393,Services!$D$2:$D$120,0)),""))</f>
        <v/>
      </c>
    </row>
    <row r="394" spans="1:10" x14ac:dyDescent="0.3">
      <c r="A394" s="18"/>
      <c r="B394" s="6"/>
      <c r="C394" s="6"/>
      <c r="D394" s="6"/>
      <c r="E394" s="16" t="str">
        <f>IF($B394="","",IFERROR(INDEX(Services!$C$2:$C$120,MATCH($B394,Services!$D$2:$D$120,0)),""))</f>
        <v/>
      </c>
      <c r="F394" s="19"/>
      <c r="G394" s="9" t="str">
        <f t="shared" si="6"/>
        <v/>
      </c>
      <c r="H394" s="15" t="str">
        <f>IF($B394="","",IFERROR(INDEX(Services!$A$2:$A$120,MATCH($B394,Services!$D$2:$D$120,0)),""))</f>
        <v/>
      </c>
      <c r="I394" s="19"/>
      <c r="J394" s="15" t="str">
        <f>IF($B394="","",IFERROR(INDEX(Services!$E$2:$E$120,MATCH($B394,Services!$D$2:$D$120,0)),""))</f>
        <v/>
      </c>
    </row>
    <row r="395" spans="1:10" x14ac:dyDescent="0.3">
      <c r="A395" s="18"/>
      <c r="B395" s="6"/>
      <c r="C395" s="6"/>
      <c r="D395" s="6"/>
      <c r="E395" s="16" t="str">
        <f>IF($B395="","",IFERROR(INDEX(Services!$C$2:$C$120,MATCH($B395,Services!$D$2:$D$120,0)),""))</f>
        <v/>
      </c>
      <c r="F395" s="19"/>
      <c r="G395" s="9" t="str">
        <f t="shared" si="6"/>
        <v/>
      </c>
      <c r="H395" s="15" t="str">
        <f>IF($B395="","",IFERROR(INDEX(Services!$A$2:$A$120,MATCH($B395,Services!$D$2:$D$120,0)),""))</f>
        <v/>
      </c>
      <c r="I395" s="19"/>
      <c r="J395" s="15" t="str">
        <f>IF($B395="","",IFERROR(INDEX(Services!$E$2:$E$120,MATCH($B395,Services!$D$2:$D$120,0)),""))</f>
        <v/>
      </c>
    </row>
    <row r="396" spans="1:10" x14ac:dyDescent="0.3">
      <c r="A396" s="18"/>
      <c r="B396" s="6"/>
      <c r="C396" s="6"/>
      <c r="D396" s="6"/>
      <c r="E396" s="16" t="str">
        <f>IF($B396="","",IFERROR(INDEX(Services!$C$2:$C$120,MATCH($B396,Services!$D$2:$D$120,0)),""))</f>
        <v/>
      </c>
      <c r="F396" s="19"/>
      <c r="G396" s="9" t="str">
        <f t="shared" si="6"/>
        <v/>
      </c>
      <c r="H396" s="15" t="str">
        <f>IF($B396="","",IFERROR(INDEX(Services!$A$2:$A$120,MATCH($B396,Services!$D$2:$D$120,0)),""))</f>
        <v/>
      </c>
      <c r="I396" s="19"/>
      <c r="J396" s="15" t="str">
        <f>IF($B396="","",IFERROR(INDEX(Services!$E$2:$E$120,MATCH($B396,Services!$D$2:$D$120,0)),""))</f>
        <v/>
      </c>
    </row>
    <row r="397" spans="1:10" x14ac:dyDescent="0.3">
      <c r="A397" s="18"/>
      <c r="B397" s="6"/>
      <c r="C397" s="6"/>
      <c r="D397" s="6"/>
      <c r="E397" s="16" t="str">
        <f>IF($B397="","",IFERROR(INDEX(Services!$C$2:$C$120,MATCH($B397,Services!$D$2:$D$120,0)),""))</f>
        <v/>
      </c>
      <c r="F397" s="19"/>
      <c r="G397" s="9" t="str">
        <f t="shared" si="6"/>
        <v/>
      </c>
      <c r="H397" s="15" t="str">
        <f>IF($B397="","",IFERROR(INDEX(Services!$A$2:$A$120,MATCH($B397,Services!$D$2:$D$120,0)),""))</f>
        <v/>
      </c>
      <c r="I397" s="19"/>
      <c r="J397" s="15" t="str">
        <f>IF($B397="","",IFERROR(INDEX(Services!$E$2:$E$120,MATCH($B397,Services!$D$2:$D$120,0)),""))</f>
        <v/>
      </c>
    </row>
    <row r="398" spans="1:10" x14ac:dyDescent="0.3">
      <c r="A398" s="18"/>
      <c r="B398" s="6"/>
      <c r="C398" s="6"/>
      <c r="D398" s="6"/>
      <c r="E398" s="16" t="str">
        <f>IF($B398="","",IFERROR(INDEX(Services!$C$2:$C$120,MATCH($B398,Services!$D$2:$D$120,0)),""))</f>
        <v/>
      </c>
      <c r="F398" s="19"/>
      <c r="G398" s="9" t="str">
        <f t="shared" si="6"/>
        <v/>
      </c>
      <c r="H398" s="15" t="str">
        <f>IF($B398="","",IFERROR(INDEX(Services!$A$2:$A$120,MATCH($B398,Services!$D$2:$D$120,0)),""))</f>
        <v/>
      </c>
      <c r="I398" s="19"/>
      <c r="J398" s="15" t="str">
        <f>IF($B398="","",IFERROR(INDEX(Services!$E$2:$E$120,MATCH($B398,Services!$D$2:$D$120,0)),""))</f>
        <v/>
      </c>
    </row>
    <row r="399" spans="1:10" x14ac:dyDescent="0.3">
      <c r="A399" s="18"/>
      <c r="B399" s="6"/>
      <c r="C399" s="6"/>
      <c r="D399" s="6"/>
      <c r="E399" s="16" t="str">
        <f>IF($B399="","",IFERROR(INDEX(Services!$C$2:$C$120,MATCH($B399,Services!$D$2:$D$120,0)),""))</f>
        <v/>
      </c>
      <c r="F399" s="19"/>
      <c r="G399" s="9" t="str">
        <f t="shared" si="6"/>
        <v/>
      </c>
      <c r="H399" s="15" t="str">
        <f>IF($B399="","",IFERROR(INDEX(Services!$A$2:$A$120,MATCH($B399,Services!$D$2:$D$120,0)),""))</f>
        <v/>
      </c>
      <c r="I399" s="19"/>
      <c r="J399" s="15" t="str">
        <f>IF($B399="","",IFERROR(INDEX(Services!$E$2:$E$120,MATCH($B399,Services!$D$2:$D$120,0)),""))</f>
        <v/>
      </c>
    </row>
    <row r="400" spans="1:10" x14ac:dyDescent="0.3">
      <c r="A400" s="18"/>
      <c r="B400" s="6"/>
      <c r="C400" s="6"/>
      <c r="D400" s="6"/>
      <c r="E400" s="16" t="str">
        <f>IF($B400="","",IFERROR(INDEX(Services!$C$2:$C$120,MATCH($B400,Services!$D$2:$D$120,0)),""))</f>
        <v/>
      </c>
      <c r="F400" s="19"/>
      <c r="G400" s="9" t="str">
        <f t="shared" si="6"/>
        <v/>
      </c>
      <c r="H400" s="15" t="str">
        <f>IF($B400="","",IFERROR(INDEX(Services!$A$2:$A$120,MATCH($B400,Services!$D$2:$D$120,0)),""))</f>
        <v/>
      </c>
      <c r="I400" s="19"/>
      <c r="J400" s="15" t="str">
        <f>IF($B400="","",IFERROR(INDEX(Services!$E$2:$E$120,MATCH($B400,Services!$D$2:$D$120,0)),""))</f>
        <v/>
      </c>
    </row>
    <row r="401" spans="1:10" x14ac:dyDescent="0.3">
      <c r="A401" s="18"/>
      <c r="B401" s="6"/>
      <c r="C401" s="6"/>
      <c r="D401" s="6"/>
      <c r="E401" s="16" t="str">
        <f>IF($B401="","",IFERROR(INDEX(Services!$C$2:$C$120,MATCH($B401,Services!$D$2:$D$120,0)),""))</f>
        <v/>
      </c>
      <c r="F401" s="19"/>
      <c r="G401" s="9" t="str">
        <f t="shared" si="6"/>
        <v/>
      </c>
      <c r="H401" s="15" t="str">
        <f>IF($B401="","",IFERROR(INDEX(Services!$A$2:$A$120,MATCH($B401,Services!$D$2:$D$120,0)),""))</f>
        <v/>
      </c>
      <c r="I401" s="19"/>
      <c r="J401" s="15" t="str">
        <f>IF($B401="","",IFERROR(INDEX(Services!$E$2:$E$120,MATCH($B401,Services!$D$2:$D$120,0)),""))</f>
        <v/>
      </c>
    </row>
    <row r="402" spans="1:10" x14ac:dyDescent="0.3">
      <c r="A402" s="18"/>
      <c r="B402" s="6"/>
      <c r="C402" s="6"/>
      <c r="D402" s="6"/>
      <c r="E402" s="16" t="str">
        <f>IF($B402="","",IFERROR(INDEX(Services!$C$2:$C$120,MATCH($B402,Services!$D$2:$D$120,0)),""))</f>
        <v/>
      </c>
      <c r="F402" s="19"/>
      <c r="G402" s="9" t="str">
        <f t="shared" si="6"/>
        <v/>
      </c>
      <c r="H402" s="15" t="str">
        <f>IF($B402="","",IFERROR(INDEX(Services!$A$2:$A$120,MATCH($B402,Services!$D$2:$D$120,0)),""))</f>
        <v/>
      </c>
      <c r="I402" s="19"/>
      <c r="J402" s="15" t="str">
        <f>IF($B402="","",IFERROR(INDEX(Services!$E$2:$E$120,MATCH($B402,Services!$D$2:$D$120,0)),""))</f>
        <v/>
      </c>
    </row>
    <row r="403" spans="1:10" x14ac:dyDescent="0.3">
      <c r="A403" s="18"/>
      <c r="B403" s="6"/>
      <c r="C403" s="6"/>
      <c r="D403" s="6"/>
      <c r="E403" s="16" t="str">
        <f>IF($B403="","",IFERROR(INDEX(Services!$C$2:$C$120,MATCH($B403,Services!$D$2:$D$120,0)),""))</f>
        <v/>
      </c>
      <c r="F403" s="19"/>
      <c r="G403" s="9" t="str">
        <f t="shared" si="6"/>
        <v/>
      </c>
      <c r="H403" s="15" t="str">
        <f>IF($B403="","",IFERROR(INDEX(Services!$A$2:$A$120,MATCH($B403,Services!$D$2:$D$120,0)),""))</f>
        <v/>
      </c>
      <c r="I403" s="19"/>
      <c r="J403" s="15" t="str">
        <f>IF($B403="","",IFERROR(INDEX(Services!$E$2:$E$120,MATCH($B403,Services!$D$2:$D$120,0)),""))</f>
        <v/>
      </c>
    </row>
    <row r="404" spans="1:10" x14ac:dyDescent="0.3">
      <c r="A404" s="18"/>
      <c r="B404" s="6"/>
      <c r="C404" s="6"/>
      <c r="D404" s="6"/>
      <c r="E404" s="16" t="str">
        <f>IF($B404="","",IFERROR(INDEX(Services!$C$2:$C$120,MATCH($B404,Services!$D$2:$D$120,0)),""))</f>
        <v/>
      </c>
      <c r="F404" s="19"/>
      <c r="G404" s="9" t="str">
        <f t="shared" si="6"/>
        <v/>
      </c>
      <c r="H404" s="15" t="str">
        <f>IF($B404="","",IFERROR(INDEX(Services!$A$2:$A$120,MATCH($B404,Services!$D$2:$D$120,0)),""))</f>
        <v/>
      </c>
      <c r="I404" s="19"/>
      <c r="J404" s="15" t="str">
        <f>IF($B404="","",IFERROR(INDEX(Services!$E$2:$E$120,MATCH($B404,Services!$D$2:$D$120,0)),""))</f>
        <v/>
      </c>
    </row>
    <row r="405" spans="1:10" x14ac:dyDescent="0.3">
      <c r="A405" s="18"/>
      <c r="B405" s="6"/>
      <c r="C405" s="6"/>
      <c r="D405" s="6"/>
      <c r="E405" s="16" t="str">
        <f>IF($B405="","",IFERROR(INDEX(Services!$C$2:$C$120,MATCH($B405,Services!$D$2:$D$120,0)),""))</f>
        <v/>
      </c>
      <c r="F405" s="19"/>
      <c r="G405" s="9" t="str">
        <f t="shared" si="6"/>
        <v/>
      </c>
      <c r="H405" s="15" t="str">
        <f>IF($B405="","",IFERROR(INDEX(Services!$A$2:$A$120,MATCH($B405,Services!$D$2:$D$120,0)),""))</f>
        <v/>
      </c>
      <c r="I405" s="19"/>
      <c r="J405" s="15" t="str">
        <f>IF($B405="","",IFERROR(INDEX(Services!$E$2:$E$120,MATCH($B405,Services!$D$2:$D$120,0)),""))</f>
        <v/>
      </c>
    </row>
    <row r="406" spans="1:10" x14ac:dyDescent="0.3">
      <c r="A406" s="18"/>
      <c r="B406" s="6"/>
      <c r="C406" s="6"/>
      <c r="D406" s="6"/>
      <c r="E406" s="16" t="str">
        <f>IF($B406="","",IFERROR(INDEX(Services!$C$2:$C$120,MATCH($B406,Services!$D$2:$D$120,0)),""))</f>
        <v/>
      </c>
      <c r="F406" s="19"/>
      <c r="G406" s="9" t="str">
        <f t="shared" si="6"/>
        <v/>
      </c>
      <c r="H406" s="15" t="str">
        <f>IF($B406="","",IFERROR(INDEX(Services!$A$2:$A$120,MATCH($B406,Services!$D$2:$D$120,0)),""))</f>
        <v/>
      </c>
      <c r="I406" s="19"/>
      <c r="J406" s="15" t="str">
        <f>IF($B406="","",IFERROR(INDEX(Services!$E$2:$E$120,MATCH($B406,Services!$D$2:$D$120,0)),""))</f>
        <v/>
      </c>
    </row>
    <row r="407" spans="1:10" x14ac:dyDescent="0.3">
      <c r="A407" s="18"/>
      <c r="B407" s="6"/>
      <c r="C407" s="6"/>
      <c r="D407" s="6"/>
      <c r="E407" s="16" t="str">
        <f>IF($B407="","",IFERROR(INDEX(Services!$C$2:$C$120,MATCH($B407,Services!$D$2:$D$120,0)),""))</f>
        <v/>
      </c>
      <c r="F407" s="19"/>
      <c r="G407" s="9" t="str">
        <f t="shared" si="6"/>
        <v/>
      </c>
      <c r="H407" s="15" t="str">
        <f>IF($B407="","",IFERROR(INDEX(Services!$A$2:$A$120,MATCH($B407,Services!$D$2:$D$120,0)),""))</f>
        <v/>
      </c>
      <c r="I407" s="19"/>
      <c r="J407" s="15" t="str">
        <f>IF($B407="","",IFERROR(INDEX(Services!$E$2:$E$120,MATCH($B407,Services!$D$2:$D$120,0)),""))</f>
        <v/>
      </c>
    </row>
    <row r="408" spans="1:10" x14ac:dyDescent="0.3">
      <c r="A408" s="18"/>
      <c r="B408" s="6"/>
      <c r="C408" s="6"/>
      <c r="D408" s="6"/>
      <c r="E408" s="16" t="str">
        <f>IF($B408="","",IFERROR(INDEX(Services!$C$2:$C$120,MATCH($B408,Services!$D$2:$D$120,0)),""))</f>
        <v/>
      </c>
      <c r="F408" s="19"/>
      <c r="G408" s="9" t="str">
        <f t="shared" si="6"/>
        <v/>
      </c>
      <c r="H408" s="15" t="str">
        <f>IF($B408="","",IFERROR(INDEX(Services!$A$2:$A$120,MATCH($B408,Services!$D$2:$D$120,0)),""))</f>
        <v/>
      </c>
      <c r="I408" s="19"/>
      <c r="J408" s="15" t="str">
        <f>IF($B408="","",IFERROR(INDEX(Services!$E$2:$E$120,MATCH($B408,Services!$D$2:$D$120,0)),""))</f>
        <v/>
      </c>
    </row>
    <row r="409" spans="1:10" x14ac:dyDescent="0.3">
      <c r="A409" s="18"/>
      <c r="B409" s="6"/>
      <c r="C409" s="6"/>
      <c r="D409" s="6"/>
      <c r="E409" s="16" t="str">
        <f>IF($B409="","",IFERROR(INDEX(Services!$C$2:$C$120,MATCH($B409,Services!$D$2:$D$120,0)),""))</f>
        <v/>
      </c>
      <c r="F409" s="19"/>
      <c r="G409" s="9" t="str">
        <f t="shared" si="6"/>
        <v/>
      </c>
      <c r="H409" s="15" t="str">
        <f>IF($B409="","",IFERROR(INDEX(Services!$A$2:$A$120,MATCH($B409,Services!$D$2:$D$120,0)),""))</f>
        <v/>
      </c>
      <c r="I409" s="19"/>
      <c r="J409" s="15" t="str">
        <f>IF($B409="","",IFERROR(INDEX(Services!$E$2:$E$120,MATCH($B409,Services!$D$2:$D$120,0)),""))</f>
        <v/>
      </c>
    </row>
    <row r="410" spans="1:10" x14ac:dyDescent="0.3">
      <c r="A410" s="18"/>
      <c r="B410" s="6"/>
      <c r="C410" s="6"/>
      <c r="D410" s="6"/>
      <c r="E410" s="16" t="str">
        <f>IF($B410="","",IFERROR(INDEX(Services!$C$2:$C$120,MATCH($B410,Services!$D$2:$D$120,0)),""))</f>
        <v/>
      </c>
      <c r="F410" s="19"/>
      <c r="G410" s="9" t="str">
        <f t="shared" si="6"/>
        <v/>
      </c>
      <c r="H410" s="15" t="str">
        <f>IF($B410="","",IFERROR(INDEX(Services!$A$2:$A$120,MATCH($B410,Services!$D$2:$D$120,0)),""))</f>
        <v/>
      </c>
      <c r="I410" s="19"/>
      <c r="J410" s="15" t="str">
        <f>IF($B410="","",IFERROR(INDEX(Services!$E$2:$E$120,MATCH($B410,Services!$D$2:$D$120,0)),""))</f>
        <v/>
      </c>
    </row>
    <row r="411" spans="1:10" x14ac:dyDescent="0.3">
      <c r="A411" s="18"/>
      <c r="B411" s="6"/>
      <c r="C411" s="6"/>
      <c r="D411" s="6"/>
      <c r="E411" s="16" t="str">
        <f>IF($B411="","",IFERROR(INDEX(Services!$C$2:$C$120,MATCH($B411,Services!$D$2:$D$120,0)),""))</f>
        <v/>
      </c>
      <c r="F411" s="19"/>
      <c r="G411" s="9" t="str">
        <f t="shared" si="6"/>
        <v/>
      </c>
      <c r="H411" s="15" t="str">
        <f>IF($B411="","",IFERROR(INDEX(Services!$A$2:$A$120,MATCH($B411,Services!$D$2:$D$120,0)),""))</f>
        <v/>
      </c>
      <c r="I411" s="19"/>
      <c r="J411" s="15" t="str">
        <f>IF($B411="","",IFERROR(INDEX(Services!$E$2:$E$120,MATCH($B411,Services!$D$2:$D$120,0)),""))</f>
        <v/>
      </c>
    </row>
    <row r="412" spans="1:10" x14ac:dyDescent="0.3">
      <c r="A412" s="18"/>
      <c r="B412" s="6"/>
      <c r="C412" s="6"/>
      <c r="D412" s="6"/>
      <c r="E412" s="16" t="str">
        <f>IF($B412="","",IFERROR(INDEX(Services!$C$2:$C$120,MATCH($B412,Services!$D$2:$D$120,0)),""))</f>
        <v/>
      </c>
      <c r="F412" s="19"/>
      <c r="G412" s="9" t="str">
        <f t="shared" si="6"/>
        <v/>
      </c>
      <c r="H412" s="15" t="str">
        <f>IF($B412="","",IFERROR(INDEX(Services!$A$2:$A$120,MATCH($B412,Services!$D$2:$D$120,0)),""))</f>
        <v/>
      </c>
      <c r="I412" s="19"/>
      <c r="J412" s="15" t="str">
        <f>IF($B412="","",IFERROR(INDEX(Services!$E$2:$E$120,MATCH($B412,Services!$D$2:$D$120,0)),""))</f>
        <v/>
      </c>
    </row>
    <row r="413" spans="1:10" x14ac:dyDescent="0.3">
      <c r="A413" s="18"/>
      <c r="B413" s="6"/>
      <c r="C413" s="6"/>
      <c r="D413" s="6"/>
      <c r="E413" s="16" t="str">
        <f>IF($B413="","",IFERROR(INDEX(Services!$C$2:$C$120,MATCH($B413,Services!$D$2:$D$120,0)),""))</f>
        <v/>
      </c>
      <c r="F413" s="19"/>
      <c r="G413" s="9" t="str">
        <f t="shared" si="6"/>
        <v/>
      </c>
      <c r="H413" s="15" t="str">
        <f>IF($B413="","",IFERROR(INDEX(Services!$A$2:$A$120,MATCH($B413,Services!$D$2:$D$120,0)),""))</f>
        <v/>
      </c>
      <c r="I413" s="19"/>
      <c r="J413" s="15" t="str">
        <f>IF($B413="","",IFERROR(INDEX(Services!$E$2:$E$120,MATCH($B413,Services!$D$2:$D$120,0)),""))</f>
        <v/>
      </c>
    </row>
    <row r="414" spans="1:10" x14ac:dyDescent="0.3">
      <c r="A414" s="18"/>
      <c r="B414" s="6"/>
      <c r="C414" s="6"/>
      <c r="D414" s="6"/>
      <c r="E414" s="16" t="str">
        <f>IF($B414="","",IFERROR(INDEX(Services!$C$2:$C$120,MATCH($B414,Services!$D$2:$D$120,0)),""))</f>
        <v/>
      </c>
      <c r="F414" s="19"/>
      <c r="G414" s="9" t="str">
        <f t="shared" si="6"/>
        <v/>
      </c>
      <c r="H414" s="15" t="str">
        <f>IF($B414="","",IFERROR(INDEX(Services!$A$2:$A$120,MATCH($B414,Services!$D$2:$D$120,0)),""))</f>
        <v/>
      </c>
      <c r="I414" s="19"/>
      <c r="J414" s="15" t="str">
        <f>IF($B414="","",IFERROR(INDEX(Services!$E$2:$E$120,MATCH($B414,Services!$D$2:$D$120,0)),""))</f>
        <v/>
      </c>
    </row>
    <row r="415" spans="1:10" x14ac:dyDescent="0.3">
      <c r="A415" s="18"/>
      <c r="B415" s="6"/>
      <c r="C415" s="6"/>
      <c r="D415" s="6"/>
      <c r="E415" s="16" t="str">
        <f>IF($B415="","",IFERROR(INDEX(Services!$C$2:$C$120,MATCH($B415,Services!$D$2:$D$120,0)),""))</f>
        <v/>
      </c>
      <c r="F415" s="19"/>
      <c r="G415" s="9" t="str">
        <f t="shared" si="6"/>
        <v/>
      </c>
      <c r="H415" s="15" t="str">
        <f>IF($B415="","",IFERROR(INDEX(Services!$A$2:$A$120,MATCH($B415,Services!$D$2:$D$120,0)),""))</f>
        <v/>
      </c>
      <c r="I415" s="19"/>
      <c r="J415" s="15" t="str">
        <f>IF($B415="","",IFERROR(INDEX(Services!$E$2:$E$120,MATCH($B415,Services!$D$2:$D$120,0)),""))</f>
        <v/>
      </c>
    </row>
    <row r="416" spans="1:10" x14ac:dyDescent="0.3">
      <c r="A416" s="18"/>
      <c r="B416" s="6"/>
      <c r="C416" s="6"/>
      <c r="D416" s="6"/>
      <c r="E416" s="16" t="str">
        <f>IF($B416="","",IFERROR(INDEX(Services!$C$2:$C$120,MATCH($B416,Services!$D$2:$D$120,0)),""))</f>
        <v/>
      </c>
      <c r="F416" s="19"/>
      <c r="G416" s="9" t="str">
        <f t="shared" si="6"/>
        <v/>
      </c>
      <c r="H416" s="15" t="str">
        <f>IF($B416="","",IFERROR(INDEX(Services!$A$2:$A$120,MATCH($B416,Services!$D$2:$D$120,0)),""))</f>
        <v/>
      </c>
      <c r="I416" s="19"/>
      <c r="J416" s="15" t="str">
        <f>IF($B416="","",IFERROR(INDEX(Services!$E$2:$E$120,MATCH($B416,Services!$D$2:$D$120,0)),""))</f>
        <v/>
      </c>
    </row>
    <row r="417" spans="1:10" x14ac:dyDescent="0.3">
      <c r="A417" s="18"/>
      <c r="B417" s="6"/>
      <c r="C417" s="6"/>
      <c r="D417" s="6"/>
      <c r="E417" s="16" t="str">
        <f>IF($B417="","",IFERROR(INDEX(Services!$C$2:$C$120,MATCH($B417,Services!$D$2:$D$120,0)),""))</f>
        <v/>
      </c>
      <c r="F417" s="19"/>
      <c r="G417" s="9" t="str">
        <f t="shared" si="6"/>
        <v/>
      </c>
      <c r="H417" s="15" t="str">
        <f>IF($B417="","",IFERROR(INDEX(Services!$A$2:$A$120,MATCH($B417,Services!$D$2:$D$120,0)),""))</f>
        <v/>
      </c>
      <c r="I417" s="19"/>
      <c r="J417" s="15" t="str">
        <f>IF($B417="","",IFERROR(INDEX(Services!$E$2:$E$120,MATCH($B417,Services!$D$2:$D$120,0)),""))</f>
        <v/>
      </c>
    </row>
    <row r="418" spans="1:10" x14ac:dyDescent="0.3">
      <c r="A418" s="18"/>
      <c r="B418" s="6"/>
      <c r="C418" s="6"/>
      <c r="D418" s="6"/>
      <c r="E418" s="16" t="str">
        <f>IF($B418="","",IFERROR(INDEX(Services!$C$2:$C$120,MATCH($B418,Services!$D$2:$D$120,0)),""))</f>
        <v/>
      </c>
      <c r="F418" s="19"/>
      <c r="G418" s="9" t="str">
        <f t="shared" si="6"/>
        <v/>
      </c>
      <c r="H418" s="15" t="str">
        <f>IF($B418="","",IFERROR(INDEX(Services!$A$2:$A$120,MATCH($B418,Services!$D$2:$D$120,0)),""))</f>
        <v/>
      </c>
      <c r="I418" s="19"/>
      <c r="J418" s="15" t="str">
        <f>IF($B418="","",IFERROR(INDEX(Services!$E$2:$E$120,MATCH($B418,Services!$D$2:$D$120,0)),""))</f>
        <v/>
      </c>
    </row>
    <row r="419" spans="1:10" x14ac:dyDescent="0.3">
      <c r="A419" s="18"/>
      <c r="B419" s="6"/>
      <c r="C419" s="6"/>
      <c r="D419" s="6"/>
      <c r="E419" s="16" t="str">
        <f>IF($B419="","",IFERROR(INDEX(Services!$C$2:$C$120,MATCH($B419,Services!$D$2:$D$120,0)),""))</f>
        <v/>
      </c>
      <c r="F419" s="19"/>
      <c r="G419" s="9" t="str">
        <f t="shared" si="6"/>
        <v/>
      </c>
      <c r="H419" s="15" t="str">
        <f>IF($B419="","",IFERROR(INDEX(Services!$A$2:$A$120,MATCH($B419,Services!$D$2:$D$120,0)),""))</f>
        <v/>
      </c>
      <c r="I419" s="19"/>
      <c r="J419" s="15" t="str">
        <f>IF($B419="","",IFERROR(INDEX(Services!$E$2:$E$120,MATCH($B419,Services!$D$2:$D$120,0)),""))</f>
        <v/>
      </c>
    </row>
    <row r="420" spans="1:10" x14ac:dyDescent="0.3">
      <c r="A420" s="18"/>
      <c r="B420" s="6"/>
      <c r="C420" s="6"/>
      <c r="D420" s="6"/>
      <c r="E420" s="16" t="str">
        <f>IF($B420="","",IFERROR(INDEX(Services!$C$2:$C$120,MATCH($B420,Services!$D$2:$D$120,0)),""))</f>
        <v/>
      </c>
      <c r="F420" s="19"/>
      <c r="G420" s="9" t="str">
        <f t="shared" si="6"/>
        <v/>
      </c>
      <c r="H420" s="15" t="str">
        <f>IF($B420="","",IFERROR(INDEX(Services!$A$2:$A$120,MATCH($B420,Services!$D$2:$D$120,0)),""))</f>
        <v/>
      </c>
      <c r="I420" s="19"/>
      <c r="J420" s="15" t="str">
        <f>IF($B420="","",IFERROR(INDEX(Services!$E$2:$E$120,MATCH($B420,Services!$D$2:$D$120,0)),""))</f>
        <v/>
      </c>
    </row>
    <row r="421" spans="1:10" x14ac:dyDescent="0.3">
      <c r="A421" s="18"/>
      <c r="B421" s="6"/>
      <c r="C421" s="6"/>
      <c r="D421" s="6"/>
      <c r="E421" s="16" t="str">
        <f>IF($B421="","",IFERROR(INDEX(Services!$C$2:$C$120,MATCH($B421,Services!$D$2:$D$120,0)),""))</f>
        <v/>
      </c>
      <c r="F421" s="19"/>
      <c r="G421" s="9" t="str">
        <f t="shared" si="6"/>
        <v/>
      </c>
      <c r="H421" s="15" t="str">
        <f>IF($B421="","",IFERROR(INDEX(Services!$A$2:$A$120,MATCH($B421,Services!$D$2:$D$120,0)),""))</f>
        <v/>
      </c>
      <c r="I421" s="19"/>
      <c r="J421" s="15" t="str">
        <f>IF($B421="","",IFERROR(INDEX(Services!$E$2:$E$120,MATCH($B421,Services!$D$2:$D$120,0)),""))</f>
        <v/>
      </c>
    </row>
    <row r="422" spans="1:10" x14ac:dyDescent="0.3">
      <c r="A422" s="18"/>
      <c r="B422" s="6"/>
      <c r="C422" s="6"/>
      <c r="D422" s="6"/>
      <c r="E422" s="16" t="str">
        <f>IF($B422="","",IFERROR(INDEX(Services!$C$2:$C$120,MATCH($B422,Services!$D$2:$D$120,0)),""))</f>
        <v/>
      </c>
      <c r="F422" s="19"/>
      <c r="G422" s="9" t="str">
        <f t="shared" si="6"/>
        <v/>
      </c>
      <c r="H422" s="15" t="str">
        <f>IF($B422="","",IFERROR(INDEX(Services!$A$2:$A$120,MATCH($B422,Services!$D$2:$D$120,0)),""))</f>
        <v/>
      </c>
      <c r="I422" s="19"/>
      <c r="J422" s="15" t="str">
        <f>IF($B422="","",IFERROR(INDEX(Services!$E$2:$E$120,MATCH($B422,Services!$D$2:$D$120,0)),""))</f>
        <v/>
      </c>
    </row>
    <row r="423" spans="1:10" x14ac:dyDescent="0.3">
      <c r="A423" s="18"/>
      <c r="B423" s="6"/>
      <c r="C423" s="6"/>
      <c r="D423" s="6"/>
      <c r="E423" s="16" t="str">
        <f>IF($B423="","",IFERROR(INDEX(Services!$C$2:$C$120,MATCH($B423,Services!$D$2:$D$120,0)),""))</f>
        <v/>
      </c>
      <c r="F423" s="19"/>
      <c r="G423" s="9" t="str">
        <f t="shared" si="6"/>
        <v/>
      </c>
      <c r="H423" s="15" t="str">
        <f>IF($B423="","",IFERROR(INDEX(Services!$A$2:$A$120,MATCH($B423,Services!$D$2:$D$120,0)),""))</f>
        <v/>
      </c>
      <c r="I423" s="19"/>
      <c r="J423" s="15" t="str">
        <f>IF($B423="","",IFERROR(INDEX(Services!$E$2:$E$120,MATCH($B423,Services!$D$2:$D$120,0)),""))</f>
        <v/>
      </c>
    </row>
    <row r="424" spans="1:10" x14ac:dyDescent="0.3">
      <c r="A424" s="18"/>
      <c r="B424" s="6"/>
      <c r="C424" s="6"/>
      <c r="D424" s="6"/>
      <c r="E424" s="16" t="str">
        <f>IF($B424="","",IFERROR(INDEX(Services!$C$2:$C$120,MATCH($B424,Services!$D$2:$D$120,0)),""))</f>
        <v/>
      </c>
      <c r="F424" s="19"/>
      <c r="G424" s="9" t="str">
        <f t="shared" si="6"/>
        <v/>
      </c>
      <c r="H424" s="15" t="str">
        <f>IF($B424="","",IFERROR(INDEX(Services!$A$2:$A$120,MATCH($B424,Services!$D$2:$D$120,0)),""))</f>
        <v/>
      </c>
      <c r="I424" s="19"/>
      <c r="J424" s="15" t="str">
        <f>IF($B424="","",IFERROR(INDEX(Services!$E$2:$E$120,MATCH($B424,Services!$D$2:$D$120,0)),""))</f>
        <v/>
      </c>
    </row>
    <row r="425" spans="1:10" x14ac:dyDescent="0.3">
      <c r="A425" s="18"/>
      <c r="B425" s="6"/>
      <c r="C425" s="6"/>
      <c r="D425" s="6"/>
      <c r="E425" s="16" t="str">
        <f>IF($B425="","",IFERROR(INDEX(Services!$C$2:$C$120,MATCH($B425,Services!$D$2:$D$120,0)),""))</f>
        <v/>
      </c>
      <c r="F425" s="19"/>
      <c r="G425" s="9" t="str">
        <f t="shared" si="6"/>
        <v/>
      </c>
      <c r="H425" s="15" t="str">
        <f>IF($B425="","",IFERROR(INDEX(Services!$A$2:$A$120,MATCH($B425,Services!$D$2:$D$120,0)),""))</f>
        <v/>
      </c>
      <c r="I425" s="19"/>
      <c r="J425" s="15" t="str">
        <f>IF($B425="","",IFERROR(INDEX(Services!$E$2:$E$120,MATCH($B425,Services!$D$2:$D$120,0)),""))</f>
        <v/>
      </c>
    </row>
    <row r="426" spans="1:10" x14ac:dyDescent="0.3">
      <c r="A426" s="18"/>
      <c r="B426" s="6"/>
      <c r="C426" s="6"/>
      <c r="D426" s="6"/>
      <c r="E426" s="16" t="str">
        <f>IF($B426="","",IFERROR(INDEX(Services!$C$2:$C$120,MATCH($B426,Services!$D$2:$D$120,0)),""))</f>
        <v/>
      </c>
      <c r="F426" s="19"/>
      <c r="G426" s="9" t="str">
        <f t="shared" si="6"/>
        <v/>
      </c>
      <c r="H426" s="15" t="str">
        <f>IF($B426="","",IFERROR(INDEX(Services!$A$2:$A$120,MATCH($B426,Services!$D$2:$D$120,0)),""))</f>
        <v/>
      </c>
      <c r="I426" s="19"/>
      <c r="J426" s="15" t="str">
        <f>IF($B426="","",IFERROR(INDEX(Services!$E$2:$E$120,MATCH($B426,Services!$D$2:$D$120,0)),""))</f>
        <v/>
      </c>
    </row>
    <row r="427" spans="1:10" x14ac:dyDescent="0.3">
      <c r="A427" s="18"/>
      <c r="B427" s="6"/>
      <c r="C427" s="6"/>
      <c r="D427" s="6"/>
      <c r="E427" s="16" t="str">
        <f>IF($B427="","",IFERROR(INDEX(Services!$C$2:$C$120,MATCH($B427,Services!$D$2:$D$120,0)),""))</f>
        <v/>
      </c>
      <c r="F427" s="19"/>
      <c r="G427" s="9" t="str">
        <f t="shared" si="6"/>
        <v/>
      </c>
      <c r="H427" s="15" t="str">
        <f>IF($B427="","",IFERROR(INDEX(Services!$A$2:$A$120,MATCH($B427,Services!$D$2:$D$120,0)),""))</f>
        <v/>
      </c>
      <c r="I427" s="19"/>
      <c r="J427" s="15" t="str">
        <f>IF($B427="","",IFERROR(INDEX(Services!$E$2:$E$120,MATCH($B427,Services!$D$2:$D$120,0)),""))</f>
        <v/>
      </c>
    </row>
    <row r="428" spans="1:10" x14ac:dyDescent="0.3">
      <c r="A428" s="18"/>
      <c r="B428" s="6"/>
      <c r="C428" s="6"/>
      <c r="D428" s="6"/>
      <c r="E428" s="16" t="str">
        <f>IF($B428="","",IFERROR(INDEX(Services!$C$2:$C$120,MATCH($B428,Services!$D$2:$D$120,0)),""))</f>
        <v/>
      </c>
      <c r="F428" s="19"/>
      <c r="G428" s="9" t="str">
        <f t="shared" si="6"/>
        <v/>
      </c>
      <c r="H428" s="15" t="str">
        <f>IF($B428="","",IFERROR(INDEX(Services!$A$2:$A$120,MATCH($B428,Services!$D$2:$D$120,0)),""))</f>
        <v/>
      </c>
      <c r="I428" s="19"/>
      <c r="J428" s="15" t="str">
        <f>IF($B428="","",IFERROR(INDEX(Services!$E$2:$E$120,MATCH($B428,Services!$D$2:$D$120,0)),""))</f>
        <v/>
      </c>
    </row>
    <row r="429" spans="1:10" x14ac:dyDescent="0.3">
      <c r="A429" s="18"/>
      <c r="B429" s="6"/>
      <c r="C429" s="6"/>
      <c r="D429" s="6"/>
      <c r="E429" s="16" t="str">
        <f>IF($B429="","",IFERROR(INDEX(Services!$C$2:$C$120,MATCH($B429,Services!$D$2:$D$120,0)),""))</f>
        <v/>
      </c>
      <c r="F429" s="19"/>
      <c r="G429" s="9" t="str">
        <f t="shared" si="6"/>
        <v/>
      </c>
      <c r="H429" s="15" t="str">
        <f>IF($B429="","",IFERROR(INDEX(Services!$A$2:$A$120,MATCH($B429,Services!$D$2:$D$120,0)),""))</f>
        <v/>
      </c>
      <c r="I429" s="19"/>
      <c r="J429" s="15" t="str">
        <f>IF($B429="","",IFERROR(INDEX(Services!$E$2:$E$120,MATCH($B429,Services!$D$2:$D$120,0)),""))</f>
        <v/>
      </c>
    </row>
    <row r="430" spans="1:10" x14ac:dyDescent="0.3">
      <c r="A430" s="18"/>
      <c r="B430" s="6"/>
      <c r="C430" s="6"/>
      <c r="D430" s="6"/>
      <c r="E430" s="16" t="str">
        <f>IF($B430="","",IFERROR(INDEX(Services!$C$2:$C$120,MATCH($B430,Services!$D$2:$D$120,0)),""))</f>
        <v/>
      </c>
      <c r="F430" s="19"/>
      <c r="G430" s="9" t="str">
        <f t="shared" si="6"/>
        <v/>
      </c>
      <c r="H430" s="15" t="str">
        <f>IF($B430="","",IFERROR(INDEX(Services!$A$2:$A$120,MATCH($B430,Services!$D$2:$D$120,0)),""))</f>
        <v/>
      </c>
      <c r="I430" s="19"/>
      <c r="J430" s="15" t="str">
        <f>IF($B430="","",IFERROR(INDEX(Services!$E$2:$E$120,MATCH($B430,Services!$D$2:$D$120,0)),""))</f>
        <v/>
      </c>
    </row>
    <row r="431" spans="1:10" x14ac:dyDescent="0.3">
      <c r="A431" s="18"/>
      <c r="B431" s="6"/>
      <c r="C431" s="6"/>
      <c r="D431" s="6"/>
      <c r="E431" s="16" t="str">
        <f>IF($B431="","",IFERROR(INDEX(Services!$C$2:$C$120,MATCH($B431,Services!$D$2:$D$120,0)),""))</f>
        <v/>
      </c>
      <c r="F431" s="19"/>
      <c r="G431" s="9" t="str">
        <f t="shared" si="6"/>
        <v/>
      </c>
      <c r="H431" s="15" t="str">
        <f>IF($B431="","",IFERROR(INDEX(Services!$A$2:$A$120,MATCH($B431,Services!$D$2:$D$120,0)),""))</f>
        <v/>
      </c>
      <c r="I431" s="19"/>
      <c r="J431" s="15" t="str">
        <f>IF($B431="","",IFERROR(INDEX(Services!$E$2:$E$120,MATCH($B431,Services!$D$2:$D$120,0)),""))</f>
        <v/>
      </c>
    </row>
    <row r="432" spans="1:10" x14ac:dyDescent="0.3">
      <c r="A432" s="18"/>
      <c r="B432" s="6"/>
      <c r="C432" s="6"/>
      <c r="D432" s="6"/>
      <c r="E432" s="16" t="str">
        <f>IF($B432="","",IFERROR(INDEX(Services!$C$2:$C$120,MATCH($B432,Services!$D$2:$D$120,0)),""))</f>
        <v/>
      </c>
      <c r="F432" s="19"/>
      <c r="G432" s="9" t="str">
        <f t="shared" si="6"/>
        <v/>
      </c>
      <c r="H432" s="15" t="str">
        <f>IF($B432="","",IFERROR(INDEX(Services!$A$2:$A$120,MATCH($B432,Services!$D$2:$D$120,0)),""))</f>
        <v/>
      </c>
      <c r="I432" s="19"/>
      <c r="J432" s="15" t="str">
        <f>IF($B432="","",IFERROR(INDEX(Services!$E$2:$E$120,MATCH($B432,Services!$D$2:$D$120,0)),""))</f>
        <v/>
      </c>
    </row>
    <row r="433" spans="1:10" x14ac:dyDescent="0.3">
      <c r="A433" s="18"/>
      <c r="B433" s="6"/>
      <c r="C433" s="6"/>
      <c r="D433" s="6"/>
      <c r="E433" s="16" t="str">
        <f>IF($B433="","",IFERROR(INDEX(Services!$C$2:$C$120,MATCH($B433,Services!$D$2:$D$120,0)),""))</f>
        <v/>
      </c>
      <c r="F433" s="19"/>
      <c r="G433" s="9" t="str">
        <f t="shared" si="6"/>
        <v/>
      </c>
      <c r="H433" s="15" t="str">
        <f>IF($B433="","",IFERROR(INDEX(Services!$A$2:$A$120,MATCH($B433,Services!$D$2:$D$120,0)),""))</f>
        <v/>
      </c>
      <c r="I433" s="19"/>
      <c r="J433" s="15" t="str">
        <f>IF($B433="","",IFERROR(INDEX(Services!$E$2:$E$120,MATCH($B433,Services!$D$2:$D$120,0)),""))</f>
        <v/>
      </c>
    </row>
    <row r="434" spans="1:10" x14ac:dyDescent="0.3">
      <c r="A434" s="18"/>
      <c r="B434" s="6"/>
      <c r="C434" s="6"/>
      <c r="D434" s="6"/>
      <c r="E434" s="16" t="str">
        <f>IF($B434="","",IFERROR(INDEX(Services!$C$2:$C$120,MATCH($B434,Services!$D$2:$D$120,0)),""))</f>
        <v/>
      </c>
      <c r="F434" s="19"/>
      <c r="G434" s="9" t="str">
        <f t="shared" si="6"/>
        <v/>
      </c>
      <c r="H434" s="15" t="str">
        <f>IF($B434="","",IFERROR(INDEX(Services!$A$2:$A$120,MATCH($B434,Services!$D$2:$D$120,0)),""))</f>
        <v/>
      </c>
      <c r="I434" s="19"/>
      <c r="J434" s="15" t="str">
        <f>IF($B434="","",IFERROR(INDEX(Services!$E$2:$E$120,MATCH($B434,Services!$D$2:$D$120,0)),""))</f>
        <v/>
      </c>
    </row>
    <row r="435" spans="1:10" x14ac:dyDescent="0.3">
      <c r="A435" s="18"/>
      <c r="B435" s="6"/>
      <c r="C435" s="6"/>
      <c r="D435" s="6"/>
      <c r="E435" s="16" t="str">
        <f>IF($B435="","",IFERROR(INDEX(Services!$C$2:$C$120,MATCH($B435,Services!$D$2:$D$120,0)),""))</f>
        <v/>
      </c>
      <c r="F435" s="19"/>
      <c r="G435" s="9" t="str">
        <f t="shared" si="6"/>
        <v/>
      </c>
      <c r="H435" s="15" t="str">
        <f>IF($B435="","",IFERROR(INDEX(Services!$A$2:$A$120,MATCH($B435,Services!$D$2:$D$120,0)),""))</f>
        <v/>
      </c>
      <c r="I435" s="19"/>
      <c r="J435" s="15" t="str">
        <f>IF($B435="","",IFERROR(INDEX(Services!$E$2:$E$120,MATCH($B435,Services!$D$2:$D$120,0)),""))</f>
        <v/>
      </c>
    </row>
    <row r="436" spans="1:10" x14ac:dyDescent="0.3">
      <c r="A436" s="18"/>
      <c r="B436" s="6"/>
      <c r="C436" s="6"/>
      <c r="D436" s="6"/>
      <c r="E436" s="16" t="str">
        <f>IF($B436="","",IFERROR(INDEX(Services!$C$2:$C$120,MATCH($B436,Services!$D$2:$D$120,0)),""))</f>
        <v/>
      </c>
      <c r="F436" s="19"/>
      <c r="G436" s="9" t="str">
        <f t="shared" si="6"/>
        <v/>
      </c>
      <c r="H436" s="15" t="str">
        <f>IF($B436="","",IFERROR(INDEX(Services!$A$2:$A$120,MATCH($B436,Services!$D$2:$D$120,0)),""))</f>
        <v/>
      </c>
      <c r="I436" s="19"/>
      <c r="J436" s="15" t="str">
        <f>IF($B436="","",IFERROR(INDEX(Services!$E$2:$E$120,MATCH($B436,Services!$D$2:$D$120,0)),""))</f>
        <v/>
      </c>
    </row>
    <row r="437" spans="1:10" x14ac:dyDescent="0.3">
      <c r="A437" s="18"/>
      <c r="B437" s="6"/>
      <c r="C437" s="6"/>
      <c r="D437" s="6"/>
      <c r="E437" s="16" t="str">
        <f>IF($B437="","",IFERROR(INDEX(Services!$C$2:$C$120,MATCH($B437,Services!$D$2:$D$120,0)),""))</f>
        <v/>
      </c>
      <c r="F437" s="19"/>
      <c r="G437" s="9" t="str">
        <f t="shared" si="6"/>
        <v/>
      </c>
      <c r="H437" s="15" t="str">
        <f>IF($B437="","",IFERROR(INDEX(Services!$A$2:$A$120,MATCH($B437,Services!$D$2:$D$120,0)),""))</f>
        <v/>
      </c>
      <c r="I437" s="19"/>
      <c r="J437" s="15" t="str">
        <f>IF($B437="","",IFERROR(INDEX(Services!$E$2:$E$120,MATCH($B437,Services!$D$2:$D$120,0)),""))</f>
        <v/>
      </c>
    </row>
    <row r="438" spans="1:10" x14ac:dyDescent="0.3">
      <c r="A438" s="18"/>
      <c r="B438" s="6"/>
      <c r="C438" s="6"/>
      <c r="D438" s="6"/>
      <c r="E438" s="16" t="str">
        <f>IF($B438="","",IFERROR(INDEX(Services!$C$2:$C$120,MATCH($B438,Services!$D$2:$D$120,0)),""))</f>
        <v/>
      </c>
      <c r="F438" s="19"/>
      <c r="G438" s="9" t="str">
        <f t="shared" si="6"/>
        <v/>
      </c>
      <c r="H438" s="15" t="str">
        <f>IF($B438="","",IFERROR(INDEX(Services!$A$2:$A$120,MATCH($B438,Services!$D$2:$D$120,0)),""))</f>
        <v/>
      </c>
      <c r="I438" s="19"/>
      <c r="J438" s="15" t="str">
        <f>IF($B438="","",IFERROR(INDEX(Services!$E$2:$E$120,MATCH($B438,Services!$D$2:$D$120,0)),""))</f>
        <v/>
      </c>
    </row>
    <row r="439" spans="1:10" x14ac:dyDescent="0.3">
      <c r="A439" s="18"/>
      <c r="B439" s="6"/>
      <c r="C439" s="6"/>
      <c r="D439" s="6"/>
      <c r="E439" s="16" t="str">
        <f>IF($B439="","",IFERROR(INDEX(Services!$C$2:$C$120,MATCH($B439,Services!$D$2:$D$120,0)),""))</f>
        <v/>
      </c>
      <c r="F439" s="19"/>
      <c r="G439" s="9" t="str">
        <f t="shared" si="6"/>
        <v/>
      </c>
      <c r="H439" s="15" t="str">
        <f>IF($B439="","",IFERROR(INDEX(Services!$A$2:$A$120,MATCH($B439,Services!$D$2:$D$120,0)),""))</f>
        <v/>
      </c>
      <c r="I439" s="19"/>
      <c r="J439" s="15" t="str">
        <f>IF($B439="","",IFERROR(INDEX(Services!$E$2:$E$120,MATCH($B439,Services!$D$2:$D$120,0)),""))</f>
        <v/>
      </c>
    </row>
    <row r="440" spans="1:10" x14ac:dyDescent="0.3">
      <c r="A440" s="18"/>
      <c r="B440" s="6"/>
      <c r="C440" s="6"/>
      <c r="D440" s="6"/>
      <c r="E440" s="16" t="str">
        <f>IF($B440="","",IFERROR(INDEX(Services!$C$2:$C$120,MATCH($B440,Services!$D$2:$D$120,0)),""))</f>
        <v/>
      </c>
      <c r="F440" s="19"/>
      <c r="G440" s="9" t="str">
        <f t="shared" si="6"/>
        <v/>
      </c>
      <c r="H440" s="15" t="str">
        <f>IF($B440="","",IFERROR(INDEX(Services!$A$2:$A$120,MATCH($B440,Services!$D$2:$D$120,0)),""))</f>
        <v/>
      </c>
      <c r="I440" s="19"/>
      <c r="J440" s="15" t="str">
        <f>IF($B440="","",IFERROR(INDEX(Services!$E$2:$E$120,MATCH($B440,Services!$D$2:$D$120,0)),""))</f>
        <v/>
      </c>
    </row>
    <row r="441" spans="1:10" x14ac:dyDescent="0.3">
      <c r="A441" s="18"/>
      <c r="B441" s="6"/>
      <c r="C441" s="6"/>
      <c r="D441" s="6"/>
      <c r="E441" s="16" t="str">
        <f>IF($B441="","",IFERROR(INDEX(Services!$C$2:$C$120,MATCH($B441,Services!$D$2:$D$120,0)),""))</f>
        <v/>
      </c>
      <c r="F441" s="19"/>
      <c r="G441" s="9" t="str">
        <f t="shared" si="6"/>
        <v/>
      </c>
      <c r="H441" s="15" t="str">
        <f>IF($B441="","",IFERROR(INDEX(Services!$A$2:$A$120,MATCH($B441,Services!$D$2:$D$120,0)),""))</f>
        <v/>
      </c>
      <c r="I441" s="19"/>
      <c r="J441" s="15" t="str">
        <f>IF($B441="","",IFERROR(INDEX(Services!$E$2:$E$120,MATCH($B441,Services!$D$2:$D$120,0)),""))</f>
        <v/>
      </c>
    </row>
    <row r="442" spans="1:10" x14ac:dyDescent="0.3">
      <c r="A442" s="18"/>
      <c r="B442" s="6"/>
      <c r="C442" s="6"/>
      <c r="D442" s="6"/>
      <c r="E442" s="16" t="str">
        <f>IF($B442="","",IFERROR(INDEX(Services!$C$2:$C$120,MATCH($B442,Services!$D$2:$D$120,0)),""))</f>
        <v/>
      </c>
      <c r="F442" s="19"/>
      <c r="G442" s="9" t="str">
        <f t="shared" si="6"/>
        <v/>
      </c>
      <c r="H442" s="15" t="str">
        <f>IF($B442="","",IFERROR(INDEX(Services!$A$2:$A$120,MATCH($B442,Services!$D$2:$D$120,0)),""))</f>
        <v/>
      </c>
      <c r="I442" s="19"/>
      <c r="J442" s="15" t="str">
        <f>IF($B442="","",IFERROR(INDEX(Services!$E$2:$E$120,MATCH($B442,Services!$D$2:$D$120,0)),""))</f>
        <v/>
      </c>
    </row>
    <row r="443" spans="1:10" x14ac:dyDescent="0.3">
      <c r="A443" s="18"/>
      <c r="B443" s="6"/>
      <c r="C443" s="6"/>
      <c r="D443" s="6"/>
      <c r="E443" s="16" t="str">
        <f>IF($B443="","",IFERROR(INDEX(Services!$C$2:$C$120,MATCH($B443,Services!$D$2:$D$120,0)),""))</f>
        <v/>
      </c>
      <c r="F443" s="19"/>
      <c r="G443" s="9" t="str">
        <f t="shared" si="6"/>
        <v/>
      </c>
      <c r="H443" s="15" t="str">
        <f>IF($B443="","",IFERROR(INDEX(Services!$A$2:$A$120,MATCH($B443,Services!$D$2:$D$120,0)),""))</f>
        <v/>
      </c>
      <c r="I443" s="19"/>
      <c r="J443" s="15" t="str">
        <f>IF($B443="","",IFERROR(INDEX(Services!$E$2:$E$120,MATCH($B443,Services!$D$2:$D$120,0)),""))</f>
        <v/>
      </c>
    </row>
    <row r="444" spans="1:10" x14ac:dyDescent="0.3">
      <c r="A444" s="18"/>
      <c r="B444" s="6"/>
      <c r="C444" s="6"/>
      <c r="D444" s="6"/>
      <c r="E444" s="16" t="str">
        <f>IF($B444="","",IFERROR(INDEX(Services!$C$2:$C$120,MATCH($B444,Services!$D$2:$D$120,0)),""))</f>
        <v/>
      </c>
      <c r="F444" s="19"/>
      <c r="G444" s="9" t="str">
        <f t="shared" si="6"/>
        <v/>
      </c>
      <c r="H444" s="15" t="str">
        <f>IF($B444="","",IFERROR(INDEX(Services!$A$2:$A$120,MATCH($B444,Services!$D$2:$D$120,0)),""))</f>
        <v/>
      </c>
      <c r="I444" s="19"/>
      <c r="J444" s="15" t="str">
        <f>IF($B444="","",IFERROR(INDEX(Services!$E$2:$E$120,MATCH($B444,Services!$D$2:$D$120,0)),""))</f>
        <v/>
      </c>
    </row>
    <row r="445" spans="1:10" x14ac:dyDescent="0.3">
      <c r="A445" s="18"/>
      <c r="B445" s="6"/>
      <c r="C445" s="6"/>
      <c r="D445" s="6"/>
      <c r="E445" s="16" t="str">
        <f>IF($B445="","",IFERROR(INDEX(Services!$C$2:$C$120,MATCH($B445,Services!$D$2:$D$120,0)),""))</f>
        <v/>
      </c>
      <c r="F445" s="19"/>
      <c r="G445" s="9" t="str">
        <f t="shared" si="6"/>
        <v/>
      </c>
      <c r="H445" s="15" t="str">
        <f>IF($B445="","",IFERROR(INDEX(Services!$A$2:$A$120,MATCH($B445,Services!$D$2:$D$120,0)),""))</f>
        <v/>
      </c>
      <c r="I445" s="19"/>
      <c r="J445" s="15" t="str">
        <f>IF($B445="","",IFERROR(INDEX(Services!$E$2:$E$120,MATCH($B445,Services!$D$2:$D$120,0)),""))</f>
        <v/>
      </c>
    </row>
    <row r="446" spans="1:10" x14ac:dyDescent="0.3">
      <c r="A446" s="18"/>
      <c r="B446" s="6"/>
      <c r="C446" s="6"/>
      <c r="D446" s="6"/>
      <c r="E446" s="16" t="str">
        <f>IF($B446="","",IFERROR(INDEX(Services!$C$2:$C$120,MATCH($B446,Services!$D$2:$D$120,0)),""))</f>
        <v/>
      </c>
      <c r="F446" s="19"/>
      <c r="G446" s="9" t="str">
        <f t="shared" si="6"/>
        <v/>
      </c>
      <c r="H446" s="15" t="str">
        <f>IF($B446="","",IFERROR(INDEX(Services!$A$2:$A$120,MATCH($B446,Services!$D$2:$D$120,0)),""))</f>
        <v/>
      </c>
      <c r="I446" s="19"/>
      <c r="J446" s="15" t="str">
        <f>IF($B446="","",IFERROR(INDEX(Services!$E$2:$E$120,MATCH($B446,Services!$D$2:$D$120,0)),""))</f>
        <v/>
      </c>
    </row>
    <row r="447" spans="1:10" x14ac:dyDescent="0.3">
      <c r="A447" s="18"/>
      <c r="B447" s="6"/>
      <c r="C447" s="6"/>
      <c r="D447" s="6"/>
      <c r="E447" s="16" t="str">
        <f>IF($B447="","",IFERROR(INDEX(Services!$C$2:$C$120,MATCH($B447,Services!$D$2:$D$120,0)),""))</f>
        <v/>
      </c>
      <c r="F447" s="19"/>
      <c r="G447" s="9" t="str">
        <f t="shared" si="6"/>
        <v/>
      </c>
      <c r="H447" s="15" t="str">
        <f>IF($B447="","",IFERROR(INDEX(Services!$A$2:$A$120,MATCH($B447,Services!$D$2:$D$120,0)),""))</f>
        <v/>
      </c>
      <c r="I447" s="19"/>
      <c r="J447" s="15" t="str">
        <f>IF($B447="","",IFERROR(INDEX(Services!$E$2:$E$120,MATCH($B447,Services!$D$2:$D$120,0)),""))</f>
        <v/>
      </c>
    </row>
    <row r="448" spans="1:10" x14ac:dyDescent="0.3">
      <c r="A448" s="18"/>
      <c r="B448" s="6"/>
      <c r="C448" s="6"/>
      <c r="D448" s="6"/>
      <c r="E448" s="16" t="str">
        <f>IF($B448="","",IFERROR(INDEX(Services!$C$2:$C$120,MATCH($B448,Services!$D$2:$D$120,0)),""))</f>
        <v/>
      </c>
      <c r="F448" s="19"/>
      <c r="G448" s="9" t="str">
        <f t="shared" si="6"/>
        <v/>
      </c>
      <c r="H448" s="15" t="str">
        <f>IF($B448="","",IFERROR(INDEX(Services!$A$2:$A$120,MATCH($B448,Services!$D$2:$D$120,0)),""))</f>
        <v/>
      </c>
      <c r="I448" s="19"/>
      <c r="J448" s="15" t="str">
        <f>IF($B448="","",IFERROR(INDEX(Services!$E$2:$E$120,MATCH($B448,Services!$D$2:$D$120,0)),""))</f>
        <v/>
      </c>
    </row>
    <row r="449" spans="1:10" x14ac:dyDescent="0.3">
      <c r="A449" s="18"/>
      <c r="B449" s="6"/>
      <c r="C449" s="6"/>
      <c r="D449" s="6"/>
      <c r="E449" s="16" t="str">
        <f>IF($B449="","",IFERROR(INDEX(Services!$C$2:$C$120,MATCH($B449,Services!$D$2:$D$120,0)),""))</f>
        <v/>
      </c>
      <c r="F449" s="19"/>
      <c r="G449" s="9" t="str">
        <f t="shared" si="6"/>
        <v/>
      </c>
      <c r="H449" s="15" t="str">
        <f>IF($B449="","",IFERROR(INDEX(Services!$A$2:$A$120,MATCH($B449,Services!$D$2:$D$120,0)),""))</f>
        <v/>
      </c>
      <c r="I449" s="19"/>
      <c r="J449" s="15" t="str">
        <f>IF($B449="","",IFERROR(INDEX(Services!$E$2:$E$120,MATCH($B449,Services!$D$2:$D$120,0)),""))</f>
        <v/>
      </c>
    </row>
    <row r="450" spans="1:10" x14ac:dyDescent="0.3">
      <c r="A450" s="18"/>
      <c r="B450" s="6"/>
      <c r="C450" s="6"/>
      <c r="D450" s="6"/>
      <c r="E450" s="16" t="str">
        <f>IF($B450="","",IFERROR(INDEX(Services!$C$2:$C$120,MATCH($B450,Services!$D$2:$D$120,0)),""))</f>
        <v/>
      </c>
      <c r="F450" s="19"/>
      <c r="G450" s="9" t="str">
        <f t="shared" ref="G450:G513" si="7">IF(OR($B450="",NOT(ISNUMBER($E450))),"",$E450-IF($F450="",0,$F450))</f>
        <v/>
      </c>
      <c r="H450" s="15" t="str">
        <f>IF($B450="","",IFERROR(INDEX(Services!$A$2:$A$120,MATCH($B450,Services!$D$2:$D$120,0)),""))</f>
        <v/>
      </c>
      <c r="I450" s="19"/>
      <c r="J450" s="15" t="str">
        <f>IF($B450="","",IFERROR(INDEX(Services!$E$2:$E$120,MATCH($B450,Services!$D$2:$D$120,0)),""))</f>
        <v/>
      </c>
    </row>
    <row r="451" spans="1:10" x14ac:dyDescent="0.3">
      <c r="A451" s="18"/>
      <c r="B451" s="6"/>
      <c r="C451" s="6"/>
      <c r="D451" s="6"/>
      <c r="E451" s="16" t="str">
        <f>IF($B451="","",IFERROR(INDEX(Services!$C$2:$C$120,MATCH($B451,Services!$D$2:$D$120,0)),""))</f>
        <v/>
      </c>
      <c r="F451" s="19"/>
      <c r="G451" s="9" t="str">
        <f t="shared" si="7"/>
        <v/>
      </c>
      <c r="H451" s="15" t="str">
        <f>IF($B451="","",IFERROR(INDEX(Services!$A$2:$A$120,MATCH($B451,Services!$D$2:$D$120,0)),""))</f>
        <v/>
      </c>
      <c r="I451" s="19"/>
      <c r="J451" s="15" t="str">
        <f>IF($B451="","",IFERROR(INDEX(Services!$E$2:$E$120,MATCH($B451,Services!$D$2:$D$120,0)),""))</f>
        <v/>
      </c>
    </row>
    <row r="452" spans="1:10" x14ac:dyDescent="0.3">
      <c r="A452" s="18"/>
      <c r="B452" s="6"/>
      <c r="C452" s="6"/>
      <c r="D452" s="6"/>
      <c r="E452" s="16" t="str">
        <f>IF($B452="","",IFERROR(INDEX(Services!$C$2:$C$120,MATCH($B452,Services!$D$2:$D$120,0)),""))</f>
        <v/>
      </c>
      <c r="F452" s="19"/>
      <c r="G452" s="9" t="str">
        <f t="shared" si="7"/>
        <v/>
      </c>
      <c r="H452" s="15" t="str">
        <f>IF($B452="","",IFERROR(INDEX(Services!$A$2:$A$120,MATCH($B452,Services!$D$2:$D$120,0)),""))</f>
        <v/>
      </c>
      <c r="I452" s="19"/>
      <c r="J452" s="15" t="str">
        <f>IF($B452="","",IFERROR(INDEX(Services!$E$2:$E$120,MATCH($B452,Services!$D$2:$D$120,0)),""))</f>
        <v/>
      </c>
    </row>
    <row r="453" spans="1:10" x14ac:dyDescent="0.3">
      <c r="A453" s="18"/>
      <c r="B453" s="6"/>
      <c r="C453" s="6"/>
      <c r="D453" s="6"/>
      <c r="E453" s="16" t="str">
        <f>IF($B453="","",IFERROR(INDEX(Services!$C$2:$C$120,MATCH($B453,Services!$D$2:$D$120,0)),""))</f>
        <v/>
      </c>
      <c r="F453" s="19"/>
      <c r="G453" s="9" t="str">
        <f t="shared" si="7"/>
        <v/>
      </c>
      <c r="H453" s="15" t="str">
        <f>IF($B453="","",IFERROR(INDEX(Services!$A$2:$A$120,MATCH($B453,Services!$D$2:$D$120,0)),""))</f>
        <v/>
      </c>
      <c r="I453" s="19"/>
      <c r="J453" s="15" t="str">
        <f>IF($B453="","",IFERROR(INDEX(Services!$E$2:$E$120,MATCH($B453,Services!$D$2:$D$120,0)),""))</f>
        <v/>
      </c>
    </row>
    <row r="454" spans="1:10" x14ac:dyDescent="0.3">
      <c r="A454" s="18"/>
      <c r="B454" s="6"/>
      <c r="C454" s="6"/>
      <c r="D454" s="6"/>
      <c r="E454" s="16" t="str">
        <f>IF($B454="","",IFERROR(INDEX(Services!$C$2:$C$120,MATCH($B454,Services!$D$2:$D$120,0)),""))</f>
        <v/>
      </c>
      <c r="F454" s="19"/>
      <c r="G454" s="9" t="str">
        <f t="shared" si="7"/>
        <v/>
      </c>
      <c r="H454" s="15" t="str">
        <f>IF($B454="","",IFERROR(INDEX(Services!$A$2:$A$120,MATCH($B454,Services!$D$2:$D$120,0)),""))</f>
        <v/>
      </c>
      <c r="I454" s="19"/>
      <c r="J454" s="15" t="str">
        <f>IF($B454="","",IFERROR(INDEX(Services!$E$2:$E$120,MATCH($B454,Services!$D$2:$D$120,0)),""))</f>
        <v/>
      </c>
    </row>
    <row r="455" spans="1:10" x14ac:dyDescent="0.3">
      <c r="A455" s="18"/>
      <c r="B455" s="6"/>
      <c r="C455" s="6"/>
      <c r="D455" s="6"/>
      <c r="E455" s="16" t="str">
        <f>IF($B455="","",IFERROR(INDEX(Services!$C$2:$C$120,MATCH($B455,Services!$D$2:$D$120,0)),""))</f>
        <v/>
      </c>
      <c r="F455" s="19"/>
      <c r="G455" s="9" t="str">
        <f t="shared" si="7"/>
        <v/>
      </c>
      <c r="H455" s="15" t="str">
        <f>IF($B455="","",IFERROR(INDEX(Services!$A$2:$A$120,MATCH($B455,Services!$D$2:$D$120,0)),""))</f>
        <v/>
      </c>
      <c r="I455" s="19"/>
      <c r="J455" s="15" t="str">
        <f>IF($B455="","",IFERROR(INDEX(Services!$E$2:$E$120,MATCH($B455,Services!$D$2:$D$120,0)),""))</f>
        <v/>
      </c>
    </row>
    <row r="456" spans="1:10" x14ac:dyDescent="0.3">
      <c r="A456" s="18"/>
      <c r="B456" s="6"/>
      <c r="C456" s="6"/>
      <c r="D456" s="6"/>
      <c r="E456" s="16" t="str">
        <f>IF($B456="","",IFERROR(INDEX(Services!$C$2:$C$120,MATCH($B456,Services!$D$2:$D$120,0)),""))</f>
        <v/>
      </c>
      <c r="F456" s="19"/>
      <c r="G456" s="9" t="str">
        <f t="shared" si="7"/>
        <v/>
      </c>
      <c r="H456" s="15" t="str">
        <f>IF($B456="","",IFERROR(INDEX(Services!$A$2:$A$120,MATCH($B456,Services!$D$2:$D$120,0)),""))</f>
        <v/>
      </c>
      <c r="I456" s="19"/>
      <c r="J456" s="15" t="str">
        <f>IF($B456="","",IFERROR(INDEX(Services!$E$2:$E$120,MATCH($B456,Services!$D$2:$D$120,0)),""))</f>
        <v/>
      </c>
    </row>
    <row r="457" spans="1:10" x14ac:dyDescent="0.3">
      <c r="A457" s="18"/>
      <c r="B457" s="6"/>
      <c r="C457" s="6"/>
      <c r="D457" s="6"/>
      <c r="E457" s="16" t="str">
        <f>IF($B457="","",IFERROR(INDEX(Services!$C$2:$C$120,MATCH($B457,Services!$D$2:$D$120,0)),""))</f>
        <v/>
      </c>
      <c r="F457" s="19"/>
      <c r="G457" s="9" t="str">
        <f t="shared" si="7"/>
        <v/>
      </c>
      <c r="H457" s="15" t="str">
        <f>IF($B457="","",IFERROR(INDEX(Services!$A$2:$A$120,MATCH($B457,Services!$D$2:$D$120,0)),""))</f>
        <v/>
      </c>
      <c r="I457" s="19"/>
      <c r="J457" s="15" t="str">
        <f>IF($B457="","",IFERROR(INDEX(Services!$E$2:$E$120,MATCH($B457,Services!$D$2:$D$120,0)),""))</f>
        <v/>
      </c>
    </row>
    <row r="458" spans="1:10" x14ac:dyDescent="0.3">
      <c r="A458" s="18"/>
      <c r="B458" s="6"/>
      <c r="C458" s="6"/>
      <c r="D458" s="6"/>
      <c r="E458" s="16" t="str">
        <f>IF($B458="","",IFERROR(INDEX(Services!$C$2:$C$120,MATCH($B458,Services!$D$2:$D$120,0)),""))</f>
        <v/>
      </c>
      <c r="F458" s="19"/>
      <c r="G458" s="9" t="str">
        <f t="shared" si="7"/>
        <v/>
      </c>
      <c r="H458" s="15" t="str">
        <f>IF($B458="","",IFERROR(INDEX(Services!$A$2:$A$120,MATCH($B458,Services!$D$2:$D$120,0)),""))</f>
        <v/>
      </c>
      <c r="I458" s="19"/>
      <c r="J458" s="15" t="str">
        <f>IF($B458="","",IFERROR(INDEX(Services!$E$2:$E$120,MATCH($B458,Services!$D$2:$D$120,0)),""))</f>
        <v/>
      </c>
    </row>
    <row r="459" spans="1:10" x14ac:dyDescent="0.3">
      <c r="A459" s="18"/>
      <c r="B459" s="6"/>
      <c r="C459" s="6"/>
      <c r="D459" s="6"/>
      <c r="E459" s="16" t="str">
        <f>IF($B459="","",IFERROR(INDEX(Services!$C$2:$C$120,MATCH($B459,Services!$D$2:$D$120,0)),""))</f>
        <v/>
      </c>
      <c r="F459" s="19"/>
      <c r="G459" s="9" t="str">
        <f t="shared" si="7"/>
        <v/>
      </c>
      <c r="H459" s="15" t="str">
        <f>IF($B459="","",IFERROR(INDEX(Services!$A$2:$A$120,MATCH($B459,Services!$D$2:$D$120,0)),""))</f>
        <v/>
      </c>
      <c r="I459" s="19"/>
      <c r="J459" s="15" t="str">
        <f>IF($B459="","",IFERROR(INDEX(Services!$E$2:$E$120,MATCH($B459,Services!$D$2:$D$120,0)),""))</f>
        <v/>
      </c>
    </row>
    <row r="460" spans="1:10" x14ac:dyDescent="0.3">
      <c r="A460" s="18"/>
      <c r="B460" s="6"/>
      <c r="C460" s="6"/>
      <c r="D460" s="6"/>
      <c r="E460" s="16" t="str">
        <f>IF($B460="","",IFERROR(INDEX(Services!$C$2:$C$120,MATCH($B460,Services!$D$2:$D$120,0)),""))</f>
        <v/>
      </c>
      <c r="F460" s="19"/>
      <c r="G460" s="9" t="str">
        <f t="shared" si="7"/>
        <v/>
      </c>
      <c r="H460" s="15" t="str">
        <f>IF($B460="","",IFERROR(INDEX(Services!$A$2:$A$120,MATCH($B460,Services!$D$2:$D$120,0)),""))</f>
        <v/>
      </c>
      <c r="I460" s="19"/>
      <c r="J460" s="15" t="str">
        <f>IF($B460="","",IFERROR(INDEX(Services!$E$2:$E$120,MATCH($B460,Services!$D$2:$D$120,0)),""))</f>
        <v/>
      </c>
    </row>
    <row r="461" spans="1:10" x14ac:dyDescent="0.3">
      <c r="A461" s="18"/>
      <c r="B461" s="6"/>
      <c r="C461" s="6"/>
      <c r="D461" s="6"/>
      <c r="E461" s="16" t="str">
        <f>IF($B461="","",IFERROR(INDEX(Services!$C$2:$C$120,MATCH($B461,Services!$D$2:$D$120,0)),""))</f>
        <v/>
      </c>
      <c r="F461" s="19"/>
      <c r="G461" s="9" t="str">
        <f t="shared" si="7"/>
        <v/>
      </c>
      <c r="H461" s="15" t="str">
        <f>IF($B461="","",IFERROR(INDEX(Services!$A$2:$A$120,MATCH($B461,Services!$D$2:$D$120,0)),""))</f>
        <v/>
      </c>
      <c r="I461" s="19"/>
      <c r="J461" s="15" t="str">
        <f>IF($B461="","",IFERROR(INDEX(Services!$E$2:$E$120,MATCH($B461,Services!$D$2:$D$120,0)),""))</f>
        <v/>
      </c>
    </row>
    <row r="462" spans="1:10" x14ac:dyDescent="0.3">
      <c r="A462" s="18"/>
      <c r="B462" s="6"/>
      <c r="C462" s="6"/>
      <c r="D462" s="6"/>
      <c r="E462" s="16" t="str">
        <f>IF($B462="","",IFERROR(INDEX(Services!$C$2:$C$120,MATCH($B462,Services!$D$2:$D$120,0)),""))</f>
        <v/>
      </c>
      <c r="F462" s="19"/>
      <c r="G462" s="9" t="str">
        <f t="shared" si="7"/>
        <v/>
      </c>
      <c r="H462" s="15" t="str">
        <f>IF($B462="","",IFERROR(INDEX(Services!$A$2:$A$120,MATCH($B462,Services!$D$2:$D$120,0)),""))</f>
        <v/>
      </c>
      <c r="I462" s="19"/>
      <c r="J462" s="15" t="str">
        <f>IF($B462="","",IFERROR(INDEX(Services!$E$2:$E$120,MATCH($B462,Services!$D$2:$D$120,0)),""))</f>
        <v/>
      </c>
    </row>
    <row r="463" spans="1:10" x14ac:dyDescent="0.3">
      <c r="A463" s="18"/>
      <c r="B463" s="6"/>
      <c r="C463" s="6"/>
      <c r="D463" s="6"/>
      <c r="E463" s="16" t="str">
        <f>IF($B463="","",IFERROR(INDEX(Services!$C$2:$C$120,MATCH($B463,Services!$D$2:$D$120,0)),""))</f>
        <v/>
      </c>
      <c r="F463" s="19"/>
      <c r="G463" s="9" t="str">
        <f t="shared" si="7"/>
        <v/>
      </c>
      <c r="H463" s="15" t="str">
        <f>IF($B463="","",IFERROR(INDEX(Services!$A$2:$A$120,MATCH($B463,Services!$D$2:$D$120,0)),""))</f>
        <v/>
      </c>
      <c r="I463" s="19"/>
      <c r="J463" s="15" t="str">
        <f>IF($B463="","",IFERROR(INDEX(Services!$E$2:$E$120,MATCH($B463,Services!$D$2:$D$120,0)),""))</f>
        <v/>
      </c>
    </row>
    <row r="464" spans="1:10" x14ac:dyDescent="0.3">
      <c r="A464" s="18"/>
      <c r="B464" s="6"/>
      <c r="C464" s="6"/>
      <c r="D464" s="6"/>
      <c r="E464" s="16" t="str">
        <f>IF($B464="","",IFERROR(INDEX(Services!$C$2:$C$120,MATCH($B464,Services!$D$2:$D$120,0)),""))</f>
        <v/>
      </c>
      <c r="F464" s="19"/>
      <c r="G464" s="9" t="str">
        <f t="shared" si="7"/>
        <v/>
      </c>
      <c r="H464" s="15" t="str">
        <f>IF($B464="","",IFERROR(INDEX(Services!$A$2:$A$120,MATCH($B464,Services!$D$2:$D$120,0)),""))</f>
        <v/>
      </c>
      <c r="I464" s="19"/>
      <c r="J464" s="15" t="str">
        <f>IF($B464="","",IFERROR(INDEX(Services!$E$2:$E$120,MATCH($B464,Services!$D$2:$D$120,0)),""))</f>
        <v/>
      </c>
    </row>
    <row r="465" spans="1:10" x14ac:dyDescent="0.3">
      <c r="A465" s="18"/>
      <c r="B465" s="6"/>
      <c r="C465" s="6"/>
      <c r="D465" s="6"/>
      <c r="E465" s="16" t="str">
        <f>IF($B465="","",IFERROR(INDEX(Services!$C$2:$C$120,MATCH($B465,Services!$D$2:$D$120,0)),""))</f>
        <v/>
      </c>
      <c r="F465" s="19"/>
      <c r="G465" s="9" t="str">
        <f t="shared" si="7"/>
        <v/>
      </c>
      <c r="H465" s="15" t="str">
        <f>IF($B465="","",IFERROR(INDEX(Services!$A$2:$A$120,MATCH($B465,Services!$D$2:$D$120,0)),""))</f>
        <v/>
      </c>
      <c r="I465" s="19"/>
      <c r="J465" s="15" t="str">
        <f>IF($B465="","",IFERROR(INDEX(Services!$E$2:$E$120,MATCH($B465,Services!$D$2:$D$120,0)),""))</f>
        <v/>
      </c>
    </row>
    <row r="466" spans="1:10" x14ac:dyDescent="0.3">
      <c r="A466" s="18"/>
      <c r="B466" s="6"/>
      <c r="C466" s="6"/>
      <c r="D466" s="6"/>
      <c r="E466" s="16" t="str">
        <f>IF($B466="","",IFERROR(INDEX(Services!$C$2:$C$120,MATCH($B466,Services!$D$2:$D$120,0)),""))</f>
        <v/>
      </c>
      <c r="F466" s="19"/>
      <c r="G466" s="9" t="str">
        <f t="shared" si="7"/>
        <v/>
      </c>
      <c r="H466" s="15" t="str">
        <f>IF($B466="","",IFERROR(INDEX(Services!$A$2:$A$120,MATCH($B466,Services!$D$2:$D$120,0)),""))</f>
        <v/>
      </c>
      <c r="I466" s="19"/>
      <c r="J466" s="15" t="str">
        <f>IF($B466="","",IFERROR(INDEX(Services!$E$2:$E$120,MATCH($B466,Services!$D$2:$D$120,0)),""))</f>
        <v/>
      </c>
    </row>
    <row r="467" spans="1:10" x14ac:dyDescent="0.3">
      <c r="A467" s="18"/>
      <c r="B467" s="6"/>
      <c r="C467" s="6"/>
      <c r="D467" s="6"/>
      <c r="E467" s="16" t="str">
        <f>IF($B467="","",IFERROR(INDEX(Services!$C$2:$C$120,MATCH($B467,Services!$D$2:$D$120,0)),""))</f>
        <v/>
      </c>
      <c r="F467" s="19"/>
      <c r="G467" s="9" t="str">
        <f t="shared" si="7"/>
        <v/>
      </c>
      <c r="H467" s="15" t="str">
        <f>IF($B467="","",IFERROR(INDEX(Services!$A$2:$A$120,MATCH($B467,Services!$D$2:$D$120,0)),""))</f>
        <v/>
      </c>
      <c r="I467" s="19"/>
      <c r="J467" s="15" t="str">
        <f>IF($B467="","",IFERROR(INDEX(Services!$E$2:$E$120,MATCH($B467,Services!$D$2:$D$120,0)),""))</f>
        <v/>
      </c>
    </row>
    <row r="468" spans="1:10" x14ac:dyDescent="0.3">
      <c r="A468" s="18"/>
      <c r="B468" s="6"/>
      <c r="C468" s="6"/>
      <c r="D468" s="6"/>
      <c r="E468" s="16" t="str">
        <f>IF($B468="","",IFERROR(INDEX(Services!$C$2:$C$120,MATCH($B468,Services!$D$2:$D$120,0)),""))</f>
        <v/>
      </c>
      <c r="F468" s="19"/>
      <c r="G468" s="9" t="str">
        <f t="shared" si="7"/>
        <v/>
      </c>
      <c r="H468" s="15" t="str">
        <f>IF($B468="","",IFERROR(INDEX(Services!$A$2:$A$120,MATCH($B468,Services!$D$2:$D$120,0)),""))</f>
        <v/>
      </c>
      <c r="I468" s="19"/>
      <c r="J468" s="15" t="str">
        <f>IF($B468="","",IFERROR(INDEX(Services!$E$2:$E$120,MATCH($B468,Services!$D$2:$D$120,0)),""))</f>
        <v/>
      </c>
    </row>
    <row r="469" spans="1:10" x14ac:dyDescent="0.3">
      <c r="A469" s="18"/>
      <c r="B469" s="6"/>
      <c r="C469" s="6"/>
      <c r="D469" s="6"/>
      <c r="E469" s="16" t="str">
        <f>IF($B469="","",IFERROR(INDEX(Services!$C$2:$C$120,MATCH($B469,Services!$D$2:$D$120,0)),""))</f>
        <v/>
      </c>
      <c r="F469" s="19"/>
      <c r="G469" s="9" t="str">
        <f t="shared" si="7"/>
        <v/>
      </c>
      <c r="H469" s="15" t="str">
        <f>IF($B469="","",IFERROR(INDEX(Services!$A$2:$A$120,MATCH($B469,Services!$D$2:$D$120,0)),""))</f>
        <v/>
      </c>
      <c r="I469" s="19"/>
      <c r="J469" s="15" t="str">
        <f>IF($B469="","",IFERROR(INDEX(Services!$E$2:$E$120,MATCH($B469,Services!$D$2:$D$120,0)),""))</f>
        <v/>
      </c>
    </row>
    <row r="470" spans="1:10" x14ac:dyDescent="0.3">
      <c r="A470" s="18"/>
      <c r="B470" s="6"/>
      <c r="C470" s="6"/>
      <c r="D470" s="6"/>
      <c r="E470" s="16" t="str">
        <f>IF($B470="","",IFERROR(INDEX(Services!$C$2:$C$120,MATCH($B470,Services!$D$2:$D$120,0)),""))</f>
        <v/>
      </c>
      <c r="F470" s="19"/>
      <c r="G470" s="9" t="str">
        <f t="shared" si="7"/>
        <v/>
      </c>
      <c r="H470" s="15" t="str">
        <f>IF($B470="","",IFERROR(INDEX(Services!$A$2:$A$120,MATCH($B470,Services!$D$2:$D$120,0)),""))</f>
        <v/>
      </c>
      <c r="I470" s="19"/>
      <c r="J470" s="15" t="str">
        <f>IF($B470="","",IFERROR(INDEX(Services!$E$2:$E$120,MATCH($B470,Services!$D$2:$D$120,0)),""))</f>
        <v/>
      </c>
    </row>
    <row r="471" spans="1:10" x14ac:dyDescent="0.3">
      <c r="A471" s="18"/>
      <c r="B471" s="6"/>
      <c r="C471" s="6"/>
      <c r="D471" s="6"/>
      <c r="E471" s="16" t="str">
        <f>IF($B471="","",IFERROR(INDEX(Services!$C$2:$C$120,MATCH($B471,Services!$D$2:$D$120,0)),""))</f>
        <v/>
      </c>
      <c r="F471" s="19"/>
      <c r="G471" s="9" t="str">
        <f t="shared" si="7"/>
        <v/>
      </c>
      <c r="H471" s="15" t="str">
        <f>IF($B471="","",IFERROR(INDEX(Services!$A$2:$A$120,MATCH($B471,Services!$D$2:$D$120,0)),""))</f>
        <v/>
      </c>
      <c r="I471" s="19"/>
      <c r="J471" s="15" t="str">
        <f>IF($B471="","",IFERROR(INDEX(Services!$E$2:$E$120,MATCH($B471,Services!$D$2:$D$120,0)),""))</f>
        <v/>
      </c>
    </row>
    <row r="472" spans="1:10" x14ac:dyDescent="0.3">
      <c r="A472" s="18"/>
      <c r="B472" s="6"/>
      <c r="C472" s="6"/>
      <c r="D472" s="6"/>
      <c r="E472" s="16" t="str">
        <f>IF($B472="","",IFERROR(INDEX(Services!$C$2:$C$120,MATCH($B472,Services!$D$2:$D$120,0)),""))</f>
        <v/>
      </c>
      <c r="F472" s="19"/>
      <c r="G472" s="9" t="str">
        <f t="shared" si="7"/>
        <v/>
      </c>
      <c r="H472" s="15" t="str">
        <f>IF($B472="","",IFERROR(INDEX(Services!$A$2:$A$120,MATCH($B472,Services!$D$2:$D$120,0)),""))</f>
        <v/>
      </c>
      <c r="I472" s="19"/>
      <c r="J472" s="15" t="str">
        <f>IF($B472="","",IFERROR(INDEX(Services!$E$2:$E$120,MATCH($B472,Services!$D$2:$D$120,0)),""))</f>
        <v/>
      </c>
    </row>
    <row r="473" spans="1:10" x14ac:dyDescent="0.3">
      <c r="A473" s="18"/>
      <c r="B473" s="6"/>
      <c r="C473" s="6"/>
      <c r="D473" s="6"/>
      <c r="E473" s="16" t="str">
        <f>IF($B473="","",IFERROR(INDEX(Services!$C$2:$C$120,MATCH($B473,Services!$D$2:$D$120,0)),""))</f>
        <v/>
      </c>
      <c r="F473" s="19"/>
      <c r="G473" s="9" t="str">
        <f t="shared" si="7"/>
        <v/>
      </c>
      <c r="H473" s="15" t="str">
        <f>IF($B473="","",IFERROR(INDEX(Services!$A$2:$A$120,MATCH($B473,Services!$D$2:$D$120,0)),""))</f>
        <v/>
      </c>
      <c r="I473" s="19"/>
      <c r="J473" s="15" t="str">
        <f>IF($B473="","",IFERROR(INDEX(Services!$E$2:$E$120,MATCH($B473,Services!$D$2:$D$120,0)),""))</f>
        <v/>
      </c>
    </row>
    <row r="474" spans="1:10" x14ac:dyDescent="0.3">
      <c r="A474" s="18"/>
      <c r="B474" s="6"/>
      <c r="C474" s="6"/>
      <c r="D474" s="6"/>
      <c r="E474" s="16" t="str">
        <f>IF($B474="","",IFERROR(INDEX(Services!$C$2:$C$120,MATCH($B474,Services!$D$2:$D$120,0)),""))</f>
        <v/>
      </c>
      <c r="F474" s="19"/>
      <c r="G474" s="9" t="str">
        <f t="shared" si="7"/>
        <v/>
      </c>
      <c r="H474" s="15" t="str">
        <f>IF($B474="","",IFERROR(INDEX(Services!$A$2:$A$120,MATCH($B474,Services!$D$2:$D$120,0)),""))</f>
        <v/>
      </c>
      <c r="I474" s="19"/>
      <c r="J474" s="15" t="str">
        <f>IF($B474="","",IFERROR(INDEX(Services!$E$2:$E$120,MATCH($B474,Services!$D$2:$D$120,0)),""))</f>
        <v/>
      </c>
    </row>
    <row r="475" spans="1:10" x14ac:dyDescent="0.3">
      <c r="A475" s="18"/>
      <c r="B475" s="6"/>
      <c r="C475" s="6"/>
      <c r="D475" s="6"/>
      <c r="E475" s="16" t="str">
        <f>IF($B475="","",IFERROR(INDEX(Services!$C$2:$C$120,MATCH($B475,Services!$D$2:$D$120,0)),""))</f>
        <v/>
      </c>
      <c r="F475" s="19"/>
      <c r="G475" s="9" t="str">
        <f t="shared" si="7"/>
        <v/>
      </c>
      <c r="H475" s="15" t="str">
        <f>IF($B475="","",IFERROR(INDEX(Services!$A$2:$A$120,MATCH($B475,Services!$D$2:$D$120,0)),""))</f>
        <v/>
      </c>
      <c r="I475" s="19"/>
      <c r="J475" s="15" t="str">
        <f>IF($B475="","",IFERROR(INDEX(Services!$E$2:$E$120,MATCH($B475,Services!$D$2:$D$120,0)),""))</f>
        <v/>
      </c>
    </row>
    <row r="476" spans="1:10" x14ac:dyDescent="0.3">
      <c r="A476" s="18"/>
      <c r="B476" s="6"/>
      <c r="C476" s="6"/>
      <c r="D476" s="6"/>
      <c r="E476" s="16" t="str">
        <f>IF($B476="","",IFERROR(INDEX(Services!$C$2:$C$120,MATCH($B476,Services!$D$2:$D$120,0)),""))</f>
        <v/>
      </c>
      <c r="F476" s="19"/>
      <c r="G476" s="9" t="str">
        <f t="shared" si="7"/>
        <v/>
      </c>
      <c r="H476" s="15" t="str">
        <f>IF($B476="","",IFERROR(INDEX(Services!$A$2:$A$120,MATCH($B476,Services!$D$2:$D$120,0)),""))</f>
        <v/>
      </c>
      <c r="I476" s="19"/>
      <c r="J476" s="15" t="str">
        <f>IF($B476="","",IFERROR(INDEX(Services!$E$2:$E$120,MATCH($B476,Services!$D$2:$D$120,0)),""))</f>
        <v/>
      </c>
    </row>
    <row r="477" spans="1:10" x14ac:dyDescent="0.3">
      <c r="A477" s="18"/>
      <c r="B477" s="6"/>
      <c r="C477" s="6"/>
      <c r="D477" s="6"/>
      <c r="E477" s="16" t="str">
        <f>IF($B477="","",IFERROR(INDEX(Services!$C$2:$C$120,MATCH($B477,Services!$D$2:$D$120,0)),""))</f>
        <v/>
      </c>
      <c r="F477" s="19"/>
      <c r="G477" s="9" t="str">
        <f t="shared" si="7"/>
        <v/>
      </c>
      <c r="H477" s="15" t="str">
        <f>IF($B477="","",IFERROR(INDEX(Services!$A$2:$A$120,MATCH($B477,Services!$D$2:$D$120,0)),""))</f>
        <v/>
      </c>
      <c r="I477" s="19"/>
      <c r="J477" s="15" t="str">
        <f>IF($B477="","",IFERROR(INDEX(Services!$E$2:$E$120,MATCH($B477,Services!$D$2:$D$120,0)),""))</f>
        <v/>
      </c>
    </row>
    <row r="478" spans="1:10" x14ac:dyDescent="0.3">
      <c r="A478" s="18"/>
      <c r="B478" s="6"/>
      <c r="C478" s="6"/>
      <c r="D478" s="6"/>
      <c r="E478" s="16" t="str">
        <f>IF($B478="","",IFERROR(INDEX(Services!$C$2:$C$120,MATCH($B478,Services!$D$2:$D$120,0)),""))</f>
        <v/>
      </c>
      <c r="F478" s="19"/>
      <c r="G478" s="9" t="str">
        <f t="shared" si="7"/>
        <v/>
      </c>
      <c r="H478" s="15" t="str">
        <f>IF($B478="","",IFERROR(INDEX(Services!$A$2:$A$120,MATCH($B478,Services!$D$2:$D$120,0)),""))</f>
        <v/>
      </c>
      <c r="I478" s="19"/>
      <c r="J478" s="15" t="str">
        <f>IF($B478="","",IFERROR(INDEX(Services!$E$2:$E$120,MATCH($B478,Services!$D$2:$D$120,0)),""))</f>
        <v/>
      </c>
    </row>
    <row r="479" spans="1:10" x14ac:dyDescent="0.3">
      <c r="A479" s="18"/>
      <c r="B479" s="6"/>
      <c r="C479" s="6"/>
      <c r="D479" s="6"/>
      <c r="E479" s="16" t="str">
        <f>IF($B479="","",IFERROR(INDEX(Services!$C$2:$C$120,MATCH($B479,Services!$D$2:$D$120,0)),""))</f>
        <v/>
      </c>
      <c r="F479" s="19"/>
      <c r="G479" s="9" t="str">
        <f t="shared" si="7"/>
        <v/>
      </c>
      <c r="H479" s="15" t="str">
        <f>IF($B479="","",IFERROR(INDEX(Services!$A$2:$A$120,MATCH($B479,Services!$D$2:$D$120,0)),""))</f>
        <v/>
      </c>
      <c r="I479" s="19"/>
      <c r="J479" s="15" t="str">
        <f>IF($B479="","",IFERROR(INDEX(Services!$E$2:$E$120,MATCH($B479,Services!$D$2:$D$120,0)),""))</f>
        <v/>
      </c>
    </row>
    <row r="480" spans="1:10" x14ac:dyDescent="0.3">
      <c r="A480" s="18"/>
      <c r="B480" s="6"/>
      <c r="C480" s="6"/>
      <c r="D480" s="6"/>
      <c r="E480" s="16" t="str">
        <f>IF($B480="","",IFERROR(INDEX(Services!$C$2:$C$120,MATCH($B480,Services!$D$2:$D$120,0)),""))</f>
        <v/>
      </c>
      <c r="F480" s="19"/>
      <c r="G480" s="9" t="str">
        <f t="shared" si="7"/>
        <v/>
      </c>
      <c r="H480" s="15" t="str">
        <f>IF($B480="","",IFERROR(INDEX(Services!$A$2:$A$120,MATCH($B480,Services!$D$2:$D$120,0)),""))</f>
        <v/>
      </c>
      <c r="I480" s="19"/>
      <c r="J480" s="15" t="str">
        <f>IF($B480="","",IFERROR(INDEX(Services!$E$2:$E$120,MATCH($B480,Services!$D$2:$D$120,0)),""))</f>
        <v/>
      </c>
    </row>
    <row r="481" spans="1:10" x14ac:dyDescent="0.3">
      <c r="A481" s="18"/>
      <c r="B481" s="6"/>
      <c r="C481" s="6"/>
      <c r="D481" s="6"/>
      <c r="E481" s="16" t="str">
        <f>IF($B481="","",IFERROR(INDEX(Services!$C$2:$C$120,MATCH($B481,Services!$D$2:$D$120,0)),""))</f>
        <v/>
      </c>
      <c r="F481" s="19"/>
      <c r="G481" s="9" t="str">
        <f t="shared" si="7"/>
        <v/>
      </c>
      <c r="H481" s="15" t="str">
        <f>IF($B481="","",IFERROR(INDEX(Services!$A$2:$A$120,MATCH($B481,Services!$D$2:$D$120,0)),""))</f>
        <v/>
      </c>
      <c r="I481" s="19"/>
      <c r="J481" s="15" t="str">
        <f>IF($B481="","",IFERROR(INDEX(Services!$E$2:$E$120,MATCH($B481,Services!$D$2:$D$120,0)),""))</f>
        <v/>
      </c>
    </row>
    <row r="482" spans="1:10" x14ac:dyDescent="0.3">
      <c r="A482" s="18"/>
      <c r="B482" s="6"/>
      <c r="C482" s="6"/>
      <c r="D482" s="6"/>
      <c r="E482" s="16" t="str">
        <f>IF($B482="","",IFERROR(INDEX(Services!$C$2:$C$120,MATCH($B482,Services!$D$2:$D$120,0)),""))</f>
        <v/>
      </c>
      <c r="F482" s="19"/>
      <c r="G482" s="9" t="str">
        <f t="shared" si="7"/>
        <v/>
      </c>
      <c r="H482" s="15" t="str">
        <f>IF($B482="","",IFERROR(INDEX(Services!$A$2:$A$120,MATCH($B482,Services!$D$2:$D$120,0)),""))</f>
        <v/>
      </c>
      <c r="I482" s="19"/>
      <c r="J482" s="15" t="str">
        <f>IF($B482="","",IFERROR(INDEX(Services!$E$2:$E$120,MATCH($B482,Services!$D$2:$D$120,0)),""))</f>
        <v/>
      </c>
    </row>
    <row r="483" spans="1:10" x14ac:dyDescent="0.3">
      <c r="A483" s="18"/>
      <c r="B483" s="6"/>
      <c r="C483" s="6"/>
      <c r="D483" s="6"/>
      <c r="E483" s="16" t="str">
        <f>IF($B483="","",IFERROR(INDEX(Services!$C$2:$C$120,MATCH($B483,Services!$D$2:$D$120,0)),""))</f>
        <v/>
      </c>
      <c r="F483" s="19"/>
      <c r="G483" s="9" t="str">
        <f t="shared" si="7"/>
        <v/>
      </c>
      <c r="H483" s="15" t="str">
        <f>IF($B483="","",IFERROR(INDEX(Services!$A$2:$A$120,MATCH($B483,Services!$D$2:$D$120,0)),""))</f>
        <v/>
      </c>
      <c r="I483" s="19"/>
      <c r="J483" s="15" t="str">
        <f>IF($B483="","",IFERROR(INDEX(Services!$E$2:$E$120,MATCH($B483,Services!$D$2:$D$120,0)),""))</f>
        <v/>
      </c>
    </row>
    <row r="484" spans="1:10" x14ac:dyDescent="0.3">
      <c r="A484" s="18"/>
      <c r="B484" s="6"/>
      <c r="C484" s="6"/>
      <c r="D484" s="6"/>
      <c r="E484" s="16" t="str">
        <f>IF($B484="","",IFERROR(INDEX(Services!$C$2:$C$120,MATCH($B484,Services!$D$2:$D$120,0)),""))</f>
        <v/>
      </c>
      <c r="F484" s="19"/>
      <c r="G484" s="9" t="str">
        <f t="shared" si="7"/>
        <v/>
      </c>
      <c r="H484" s="15" t="str">
        <f>IF($B484="","",IFERROR(INDEX(Services!$A$2:$A$120,MATCH($B484,Services!$D$2:$D$120,0)),""))</f>
        <v/>
      </c>
      <c r="I484" s="19"/>
      <c r="J484" s="15" t="str">
        <f>IF($B484="","",IFERROR(INDEX(Services!$E$2:$E$120,MATCH($B484,Services!$D$2:$D$120,0)),""))</f>
        <v/>
      </c>
    </row>
    <row r="485" spans="1:10" x14ac:dyDescent="0.3">
      <c r="A485" s="18"/>
      <c r="B485" s="6"/>
      <c r="C485" s="6"/>
      <c r="D485" s="6"/>
      <c r="E485" s="16" t="str">
        <f>IF($B485="","",IFERROR(INDEX(Services!$C$2:$C$120,MATCH($B485,Services!$D$2:$D$120,0)),""))</f>
        <v/>
      </c>
      <c r="F485" s="19"/>
      <c r="G485" s="9" t="str">
        <f t="shared" si="7"/>
        <v/>
      </c>
      <c r="H485" s="15" t="str">
        <f>IF($B485="","",IFERROR(INDEX(Services!$A$2:$A$120,MATCH($B485,Services!$D$2:$D$120,0)),""))</f>
        <v/>
      </c>
      <c r="I485" s="19"/>
      <c r="J485" s="15" t="str">
        <f>IF($B485="","",IFERROR(INDEX(Services!$E$2:$E$120,MATCH($B485,Services!$D$2:$D$120,0)),""))</f>
        <v/>
      </c>
    </row>
    <row r="486" spans="1:10" x14ac:dyDescent="0.3">
      <c r="A486" s="18"/>
      <c r="B486" s="6"/>
      <c r="C486" s="6"/>
      <c r="D486" s="6"/>
      <c r="E486" s="16" t="str">
        <f>IF($B486="","",IFERROR(INDEX(Services!$C$2:$C$120,MATCH($B486,Services!$D$2:$D$120,0)),""))</f>
        <v/>
      </c>
      <c r="F486" s="19"/>
      <c r="G486" s="9" t="str">
        <f t="shared" si="7"/>
        <v/>
      </c>
      <c r="H486" s="15" t="str">
        <f>IF($B486="","",IFERROR(INDEX(Services!$A$2:$A$120,MATCH($B486,Services!$D$2:$D$120,0)),""))</f>
        <v/>
      </c>
      <c r="I486" s="19"/>
      <c r="J486" s="15" t="str">
        <f>IF($B486="","",IFERROR(INDEX(Services!$E$2:$E$120,MATCH($B486,Services!$D$2:$D$120,0)),""))</f>
        <v/>
      </c>
    </row>
    <row r="487" spans="1:10" x14ac:dyDescent="0.3">
      <c r="A487" s="18"/>
      <c r="B487" s="6"/>
      <c r="C487" s="6"/>
      <c r="D487" s="6"/>
      <c r="E487" s="16" t="str">
        <f>IF($B487="","",IFERROR(INDEX(Services!$C$2:$C$120,MATCH($B487,Services!$D$2:$D$120,0)),""))</f>
        <v/>
      </c>
      <c r="F487" s="19"/>
      <c r="G487" s="9" t="str">
        <f t="shared" si="7"/>
        <v/>
      </c>
      <c r="H487" s="15" t="str">
        <f>IF($B487="","",IFERROR(INDEX(Services!$A$2:$A$120,MATCH($B487,Services!$D$2:$D$120,0)),""))</f>
        <v/>
      </c>
      <c r="I487" s="19"/>
      <c r="J487" s="15" t="str">
        <f>IF($B487="","",IFERROR(INDEX(Services!$E$2:$E$120,MATCH($B487,Services!$D$2:$D$120,0)),""))</f>
        <v/>
      </c>
    </row>
    <row r="488" spans="1:10" x14ac:dyDescent="0.3">
      <c r="A488" s="18"/>
      <c r="B488" s="6"/>
      <c r="C488" s="6"/>
      <c r="D488" s="6"/>
      <c r="E488" s="16" t="str">
        <f>IF($B488="","",IFERROR(INDEX(Services!$C$2:$C$120,MATCH($B488,Services!$D$2:$D$120,0)),""))</f>
        <v/>
      </c>
      <c r="F488" s="19"/>
      <c r="G488" s="9" t="str">
        <f t="shared" si="7"/>
        <v/>
      </c>
      <c r="H488" s="15" t="str">
        <f>IF($B488="","",IFERROR(INDEX(Services!$A$2:$A$120,MATCH($B488,Services!$D$2:$D$120,0)),""))</f>
        <v/>
      </c>
      <c r="I488" s="19"/>
      <c r="J488" s="15" t="str">
        <f>IF($B488="","",IFERROR(INDEX(Services!$E$2:$E$120,MATCH($B488,Services!$D$2:$D$120,0)),""))</f>
        <v/>
      </c>
    </row>
    <row r="489" spans="1:10" x14ac:dyDescent="0.3">
      <c r="A489" s="18"/>
      <c r="B489" s="6"/>
      <c r="C489" s="6"/>
      <c r="D489" s="6"/>
      <c r="E489" s="16" t="str">
        <f>IF($B489="","",IFERROR(INDEX(Services!$C$2:$C$120,MATCH($B489,Services!$D$2:$D$120,0)),""))</f>
        <v/>
      </c>
      <c r="F489" s="19"/>
      <c r="G489" s="9" t="str">
        <f t="shared" si="7"/>
        <v/>
      </c>
      <c r="H489" s="15" t="str">
        <f>IF($B489="","",IFERROR(INDEX(Services!$A$2:$A$120,MATCH($B489,Services!$D$2:$D$120,0)),""))</f>
        <v/>
      </c>
      <c r="I489" s="19"/>
      <c r="J489" s="15" t="str">
        <f>IF($B489="","",IFERROR(INDEX(Services!$E$2:$E$120,MATCH($B489,Services!$D$2:$D$120,0)),""))</f>
        <v/>
      </c>
    </row>
    <row r="490" spans="1:10" x14ac:dyDescent="0.3">
      <c r="A490" s="18"/>
      <c r="B490" s="6"/>
      <c r="C490" s="6"/>
      <c r="D490" s="6"/>
      <c r="E490" s="16" t="str">
        <f>IF($B490="","",IFERROR(INDEX(Services!$C$2:$C$120,MATCH($B490,Services!$D$2:$D$120,0)),""))</f>
        <v/>
      </c>
      <c r="F490" s="19"/>
      <c r="G490" s="9" t="str">
        <f t="shared" si="7"/>
        <v/>
      </c>
      <c r="H490" s="15" t="str">
        <f>IF($B490="","",IFERROR(INDEX(Services!$A$2:$A$120,MATCH($B490,Services!$D$2:$D$120,0)),""))</f>
        <v/>
      </c>
      <c r="I490" s="19"/>
      <c r="J490" s="15" t="str">
        <f>IF($B490="","",IFERROR(INDEX(Services!$E$2:$E$120,MATCH($B490,Services!$D$2:$D$120,0)),""))</f>
        <v/>
      </c>
    </row>
    <row r="491" spans="1:10" x14ac:dyDescent="0.3">
      <c r="A491" s="18"/>
      <c r="B491" s="6"/>
      <c r="C491" s="6"/>
      <c r="D491" s="6"/>
      <c r="E491" s="16" t="str">
        <f>IF($B491="","",IFERROR(INDEX(Services!$C$2:$C$120,MATCH($B491,Services!$D$2:$D$120,0)),""))</f>
        <v/>
      </c>
      <c r="F491" s="19"/>
      <c r="G491" s="9" t="str">
        <f t="shared" si="7"/>
        <v/>
      </c>
      <c r="H491" s="15" t="str">
        <f>IF($B491="","",IFERROR(INDEX(Services!$A$2:$A$120,MATCH($B491,Services!$D$2:$D$120,0)),""))</f>
        <v/>
      </c>
      <c r="I491" s="19"/>
      <c r="J491" s="15" t="str">
        <f>IF($B491="","",IFERROR(INDEX(Services!$E$2:$E$120,MATCH($B491,Services!$D$2:$D$120,0)),""))</f>
        <v/>
      </c>
    </row>
    <row r="492" spans="1:10" x14ac:dyDescent="0.3">
      <c r="A492" s="18"/>
      <c r="B492" s="6"/>
      <c r="C492" s="6"/>
      <c r="D492" s="6"/>
      <c r="E492" s="16" t="str">
        <f>IF($B492="","",IFERROR(INDEX(Services!$C$2:$C$120,MATCH($B492,Services!$D$2:$D$120,0)),""))</f>
        <v/>
      </c>
      <c r="F492" s="19"/>
      <c r="G492" s="9" t="str">
        <f t="shared" si="7"/>
        <v/>
      </c>
      <c r="H492" s="15" t="str">
        <f>IF($B492="","",IFERROR(INDEX(Services!$A$2:$A$120,MATCH($B492,Services!$D$2:$D$120,0)),""))</f>
        <v/>
      </c>
      <c r="I492" s="19"/>
      <c r="J492" s="15" t="str">
        <f>IF($B492="","",IFERROR(INDEX(Services!$E$2:$E$120,MATCH($B492,Services!$D$2:$D$120,0)),""))</f>
        <v/>
      </c>
    </row>
    <row r="493" spans="1:10" x14ac:dyDescent="0.3">
      <c r="A493" s="18"/>
      <c r="B493" s="6"/>
      <c r="C493" s="6"/>
      <c r="D493" s="6"/>
      <c r="E493" s="16" t="str">
        <f>IF($B493="","",IFERROR(INDEX(Services!$C$2:$C$120,MATCH($B493,Services!$D$2:$D$120,0)),""))</f>
        <v/>
      </c>
      <c r="F493" s="19"/>
      <c r="G493" s="9" t="str">
        <f t="shared" si="7"/>
        <v/>
      </c>
      <c r="H493" s="15" t="str">
        <f>IF($B493="","",IFERROR(INDEX(Services!$A$2:$A$120,MATCH($B493,Services!$D$2:$D$120,0)),""))</f>
        <v/>
      </c>
      <c r="I493" s="19"/>
      <c r="J493" s="15" t="str">
        <f>IF($B493="","",IFERROR(INDEX(Services!$E$2:$E$120,MATCH($B493,Services!$D$2:$D$120,0)),""))</f>
        <v/>
      </c>
    </row>
    <row r="494" spans="1:10" x14ac:dyDescent="0.3">
      <c r="A494" s="18"/>
      <c r="B494" s="6"/>
      <c r="C494" s="6"/>
      <c r="D494" s="6"/>
      <c r="E494" s="16" t="str">
        <f>IF($B494="","",IFERROR(INDEX(Services!$C$2:$C$120,MATCH($B494,Services!$D$2:$D$120,0)),""))</f>
        <v/>
      </c>
      <c r="F494" s="19"/>
      <c r="G494" s="9" t="str">
        <f t="shared" si="7"/>
        <v/>
      </c>
      <c r="H494" s="15" t="str">
        <f>IF($B494="","",IFERROR(INDEX(Services!$A$2:$A$120,MATCH($B494,Services!$D$2:$D$120,0)),""))</f>
        <v/>
      </c>
      <c r="I494" s="19"/>
      <c r="J494" s="15" t="str">
        <f>IF($B494="","",IFERROR(INDEX(Services!$E$2:$E$120,MATCH($B494,Services!$D$2:$D$120,0)),""))</f>
        <v/>
      </c>
    </row>
    <row r="495" spans="1:10" x14ac:dyDescent="0.3">
      <c r="A495" s="18"/>
      <c r="B495" s="6"/>
      <c r="C495" s="6"/>
      <c r="D495" s="6"/>
      <c r="E495" s="16" t="str">
        <f>IF($B495="","",IFERROR(INDEX(Services!$C$2:$C$120,MATCH($B495,Services!$D$2:$D$120,0)),""))</f>
        <v/>
      </c>
      <c r="F495" s="19"/>
      <c r="G495" s="9" t="str">
        <f t="shared" si="7"/>
        <v/>
      </c>
      <c r="H495" s="15" t="str">
        <f>IF($B495="","",IFERROR(INDEX(Services!$A$2:$A$120,MATCH($B495,Services!$D$2:$D$120,0)),""))</f>
        <v/>
      </c>
      <c r="I495" s="19"/>
      <c r="J495" s="15" t="str">
        <f>IF($B495="","",IFERROR(INDEX(Services!$E$2:$E$120,MATCH($B495,Services!$D$2:$D$120,0)),""))</f>
        <v/>
      </c>
    </row>
    <row r="496" spans="1:10" x14ac:dyDescent="0.3">
      <c r="A496" s="18"/>
      <c r="B496" s="6"/>
      <c r="C496" s="6"/>
      <c r="D496" s="6"/>
      <c r="E496" s="16" t="str">
        <f>IF($B496="","",IFERROR(INDEX(Services!$C$2:$C$120,MATCH($B496,Services!$D$2:$D$120,0)),""))</f>
        <v/>
      </c>
      <c r="F496" s="19"/>
      <c r="G496" s="9" t="str">
        <f t="shared" si="7"/>
        <v/>
      </c>
      <c r="H496" s="15" t="str">
        <f>IF($B496="","",IFERROR(INDEX(Services!$A$2:$A$120,MATCH($B496,Services!$D$2:$D$120,0)),""))</f>
        <v/>
      </c>
      <c r="I496" s="19"/>
      <c r="J496" s="15" t="str">
        <f>IF($B496="","",IFERROR(INDEX(Services!$E$2:$E$120,MATCH($B496,Services!$D$2:$D$120,0)),""))</f>
        <v/>
      </c>
    </row>
    <row r="497" spans="1:10" x14ac:dyDescent="0.3">
      <c r="A497" s="18"/>
      <c r="B497" s="6"/>
      <c r="C497" s="6"/>
      <c r="D497" s="6"/>
      <c r="E497" s="16" t="str">
        <f>IF($B497="","",IFERROR(INDEX(Services!$C$2:$C$120,MATCH($B497,Services!$D$2:$D$120,0)),""))</f>
        <v/>
      </c>
      <c r="F497" s="19"/>
      <c r="G497" s="9" t="str">
        <f t="shared" si="7"/>
        <v/>
      </c>
      <c r="H497" s="15" t="str">
        <f>IF($B497="","",IFERROR(INDEX(Services!$A$2:$A$120,MATCH($B497,Services!$D$2:$D$120,0)),""))</f>
        <v/>
      </c>
      <c r="I497" s="19"/>
      <c r="J497" s="15" t="str">
        <f>IF($B497="","",IFERROR(INDEX(Services!$E$2:$E$120,MATCH($B497,Services!$D$2:$D$120,0)),""))</f>
        <v/>
      </c>
    </row>
    <row r="498" spans="1:10" x14ac:dyDescent="0.3">
      <c r="A498" s="18"/>
      <c r="B498" s="6"/>
      <c r="C498" s="6"/>
      <c r="D498" s="6"/>
      <c r="E498" s="16" t="str">
        <f>IF($B498="","",IFERROR(INDEX(Services!$C$2:$C$120,MATCH($B498,Services!$D$2:$D$120,0)),""))</f>
        <v/>
      </c>
      <c r="F498" s="19"/>
      <c r="G498" s="9" t="str">
        <f t="shared" si="7"/>
        <v/>
      </c>
      <c r="H498" s="15" t="str">
        <f>IF($B498="","",IFERROR(INDEX(Services!$A$2:$A$120,MATCH($B498,Services!$D$2:$D$120,0)),""))</f>
        <v/>
      </c>
      <c r="I498" s="19"/>
      <c r="J498" s="15" t="str">
        <f>IF($B498="","",IFERROR(INDEX(Services!$E$2:$E$120,MATCH($B498,Services!$D$2:$D$120,0)),""))</f>
        <v/>
      </c>
    </row>
    <row r="499" spans="1:10" x14ac:dyDescent="0.3">
      <c r="A499" s="18"/>
      <c r="B499" s="6"/>
      <c r="C499" s="6"/>
      <c r="D499" s="6"/>
      <c r="E499" s="16" t="str">
        <f>IF($B499="","",IFERROR(INDEX(Services!$C$2:$C$120,MATCH($B499,Services!$D$2:$D$120,0)),""))</f>
        <v/>
      </c>
      <c r="F499" s="19"/>
      <c r="G499" s="9" t="str">
        <f t="shared" si="7"/>
        <v/>
      </c>
      <c r="H499" s="15" t="str">
        <f>IF($B499="","",IFERROR(INDEX(Services!$A$2:$A$120,MATCH($B499,Services!$D$2:$D$120,0)),""))</f>
        <v/>
      </c>
      <c r="I499" s="19"/>
      <c r="J499" s="15" t="str">
        <f>IF($B499="","",IFERROR(INDEX(Services!$E$2:$E$120,MATCH($B499,Services!$D$2:$D$120,0)),""))</f>
        <v/>
      </c>
    </row>
    <row r="500" spans="1:10" x14ac:dyDescent="0.3">
      <c r="A500" s="18"/>
      <c r="B500" s="6"/>
      <c r="C500" s="6"/>
      <c r="D500" s="6"/>
      <c r="E500" s="16" t="str">
        <f>IF($B500="","",IFERROR(INDEX(Services!$C$2:$C$120,MATCH($B500,Services!$D$2:$D$120,0)),""))</f>
        <v/>
      </c>
      <c r="F500" s="19"/>
      <c r="G500" s="9" t="str">
        <f t="shared" si="7"/>
        <v/>
      </c>
      <c r="H500" s="15" t="str">
        <f>IF($B500="","",IFERROR(INDEX(Services!$A$2:$A$120,MATCH($B500,Services!$D$2:$D$120,0)),""))</f>
        <v/>
      </c>
      <c r="I500" s="19"/>
      <c r="J500" s="15" t="str">
        <f>IF($B500="","",IFERROR(INDEX(Services!$E$2:$E$120,MATCH($B500,Services!$D$2:$D$120,0)),""))</f>
        <v/>
      </c>
    </row>
    <row r="501" spans="1:10" x14ac:dyDescent="0.3">
      <c r="A501" s="18"/>
      <c r="B501" s="6"/>
      <c r="C501" s="6"/>
      <c r="D501" s="6"/>
      <c r="E501" s="16" t="str">
        <f>IF($B501="","",IFERROR(INDEX(Services!$C$2:$C$120,MATCH($B501,Services!$D$2:$D$120,0)),""))</f>
        <v/>
      </c>
      <c r="F501" s="19"/>
      <c r="G501" s="9" t="str">
        <f t="shared" si="7"/>
        <v/>
      </c>
      <c r="H501" s="15" t="str">
        <f>IF($B501="","",IFERROR(INDEX(Services!$A$2:$A$120,MATCH($B501,Services!$D$2:$D$120,0)),""))</f>
        <v/>
      </c>
      <c r="I501" s="19"/>
      <c r="J501" s="15" t="str">
        <f>IF($B501="","",IFERROR(INDEX(Services!$E$2:$E$120,MATCH($B501,Services!$D$2:$D$120,0)),""))</f>
        <v/>
      </c>
    </row>
    <row r="502" spans="1:10" x14ac:dyDescent="0.3">
      <c r="A502" s="18"/>
      <c r="B502" s="6"/>
      <c r="C502" s="6"/>
      <c r="D502" s="6"/>
      <c r="E502" s="16" t="str">
        <f>IF($B502="","",IFERROR(INDEX(Services!$C$2:$C$120,MATCH($B502,Services!$D$2:$D$120,0)),""))</f>
        <v/>
      </c>
      <c r="F502" s="19"/>
      <c r="G502" s="9" t="str">
        <f t="shared" si="7"/>
        <v/>
      </c>
      <c r="H502" s="15" t="str">
        <f>IF($B502="","",IFERROR(INDEX(Services!$A$2:$A$120,MATCH($B502,Services!$D$2:$D$120,0)),""))</f>
        <v/>
      </c>
      <c r="I502" s="19"/>
      <c r="J502" s="15" t="str">
        <f>IF($B502="","",IFERROR(INDEX(Services!$E$2:$E$120,MATCH($B502,Services!$D$2:$D$120,0)),""))</f>
        <v/>
      </c>
    </row>
    <row r="503" spans="1:10" x14ac:dyDescent="0.3">
      <c r="A503" s="18"/>
      <c r="B503" s="6"/>
      <c r="C503" s="6"/>
      <c r="D503" s="6"/>
      <c r="E503" s="16" t="str">
        <f>IF($B503="","",IFERROR(INDEX(Services!$C$2:$C$120,MATCH($B503,Services!$D$2:$D$120,0)),""))</f>
        <v/>
      </c>
      <c r="F503" s="19"/>
      <c r="G503" s="9" t="str">
        <f t="shared" si="7"/>
        <v/>
      </c>
      <c r="H503" s="15" t="str">
        <f>IF($B503="","",IFERROR(INDEX(Services!$A$2:$A$120,MATCH($B503,Services!$D$2:$D$120,0)),""))</f>
        <v/>
      </c>
      <c r="I503" s="19"/>
      <c r="J503" s="15" t="str">
        <f>IF($B503="","",IFERROR(INDEX(Services!$E$2:$E$120,MATCH($B503,Services!$D$2:$D$120,0)),""))</f>
        <v/>
      </c>
    </row>
    <row r="504" spans="1:10" x14ac:dyDescent="0.3">
      <c r="A504" s="18"/>
      <c r="B504" s="6"/>
      <c r="C504" s="6"/>
      <c r="D504" s="6"/>
      <c r="E504" s="16" t="str">
        <f>IF($B504="","",IFERROR(INDEX(Services!$C$2:$C$120,MATCH($B504,Services!$D$2:$D$120,0)),""))</f>
        <v/>
      </c>
      <c r="F504" s="19"/>
      <c r="G504" s="9" t="str">
        <f t="shared" si="7"/>
        <v/>
      </c>
      <c r="H504" s="15" t="str">
        <f>IF($B504="","",IFERROR(INDEX(Services!$A$2:$A$120,MATCH($B504,Services!$D$2:$D$120,0)),""))</f>
        <v/>
      </c>
      <c r="I504" s="19"/>
      <c r="J504" s="15" t="str">
        <f>IF($B504="","",IFERROR(INDEX(Services!$E$2:$E$120,MATCH($B504,Services!$D$2:$D$120,0)),""))</f>
        <v/>
      </c>
    </row>
    <row r="505" spans="1:10" x14ac:dyDescent="0.3">
      <c r="A505" s="18"/>
      <c r="B505" s="6"/>
      <c r="C505" s="6"/>
      <c r="D505" s="6"/>
      <c r="E505" s="16" t="str">
        <f>IF($B505="","",IFERROR(INDEX(Services!$C$2:$C$120,MATCH($B505,Services!$D$2:$D$120,0)),""))</f>
        <v/>
      </c>
      <c r="F505" s="19"/>
      <c r="G505" s="9" t="str">
        <f t="shared" si="7"/>
        <v/>
      </c>
      <c r="H505" s="15" t="str">
        <f>IF($B505="","",IFERROR(INDEX(Services!$A$2:$A$120,MATCH($B505,Services!$D$2:$D$120,0)),""))</f>
        <v/>
      </c>
      <c r="I505" s="19"/>
      <c r="J505" s="15" t="str">
        <f>IF($B505="","",IFERROR(INDEX(Services!$E$2:$E$120,MATCH($B505,Services!$D$2:$D$120,0)),""))</f>
        <v/>
      </c>
    </row>
    <row r="506" spans="1:10" x14ac:dyDescent="0.3">
      <c r="A506" s="18"/>
      <c r="B506" s="6"/>
      <c r="C506" s="6"/>
      <c r="D506" s="6"/>
      <c r="E506" s="16" t="str">
        <f>IF($B506="","",IFERROR(INDEX(Services!$C$2:$C$120,MATCH($B506,Services!$D$2:$D$120,0)),""))</f>
        <v/>
      </c>
      <c r="F506" s="19"/>
      <c r="G506" s="9" t="str">
        <f t="shared" si="7"/>
        <v/>
      </c>
      <c r="H506" s="15" t="str">
        <f>IF($B506="","",IFERROR(INDEX(Services!$A$2:$A$120,MATCH($B506,Services!$D$2:$D$120,0)),""))</f>
        <v/>
      </c>
      <c r="I506" s="19"/>
      <c r="J506" s="15" t="str">
        <f>IF($B506="","",IFERROR(INDEX(Services!$E$2:$E$120,MATCH($B506,Services!$D$2:$D$120,0)),""))</f>
        <v/>
      </c>
    </row>
    <row r="507" spans="1:10" x14ac:dyDescent="0.3">
      <c r="A507" s="18"/>
      <c r="B507" s="6"/>
      <c r="C507" s="6"/>
      <c r="D507" s="6"/>
      <c r="E507" s="16" t="str">
        <f>IF($B507="","",IFERROR(INDEX(Services!$C$2:$C$120,MATCH($B507,Services!$D$2:$D$120,0)),""))</f>
        <v/>
      </c>
      <c r="F507" s="19"/>
      <c r="G507" s="9" t="str">
        <f t="shared" si="7"/>
        <v/>
      </c>
      <c r="H507" s="15" t="str">
        <f>IF($B507="","",IFERROR(INDEX(Services!$A$2:$A$120,MATCH($B507,Services!$D$2:$D$120,0)),""))</f>
        <v/>
      </c>
      <c r="I507" s="19"/>
      <c r="J507" s="15" t="str">
        <f>IF($B507="","",IFERROR(INDEX(Services!$E$2:$E$120,MATCH($B507,Services!$D$2:$D$120,0)),""))</f>
        <v/>
      </c>
    </row>
    <row r="508" spans="1:10" x14ac:dyDescent="0.3">
      <c r="A508" s="18"/>
      <c r="B508" s="6"/>
      <c r="C508" s="6"/>
      <c r="D508" s="6"/>
      <c r="E508" s="16" t="str">
        <f>IF($B508="","",IFERROR(INDEX(Services!$C$2:$C$120,MATCH($B508,Services!$D$2:$D$120,0)),""))</f>
        <v/>
      </c>
      <c r="F508" s="19"/>
      <c r="G508" s="9" t="str">
        <f t="shared" si="7"/>
        <v/>
      </c>
      <c r="H508" s="15" t="str">
        <f>IF($B508="","",IFERROR(INDEX(Services!$A$2:$A$120,MATCH($B508,Services!$D$2:$D$120,0)),""))</f>
        <v/>
      </c>
      <c r="I508" s="19"/>
      <c r="J508" s="15" t="str">
        <f>IF($B508="","",IFERROR(INDEX(Services!$E$2:$E$120,MATCH($B508,Services!$D$2:$D$120,0)),""))</f>
        <v/>
      </c>
    </row>
    <row r="509" spans="1:10" x14ac:dyDescent="0.3">
      <c r="A509" s="18"/>
      <c r="B509" s="6"/>
      <c r="C509" s="6"/>
      <c r="D509" s="6"/>
      <c r="E509" s="16" t="str">
        <f>IF($B509="","",IFERROR(INDEX(Services!$C$2:$C$120,MATCH($B509,Services!$D$2:$D$120,0)),""))</f>
        <v/>
      </c>
      <c r="F509" s="19"/>
      <c r="G509" s="9" t="str">
        <f t="shared" si="7"/>
        <v/>
      </c>
      <c r="H509" s="15" t="str">
        <f>IF($B509="","",IFERROR(INDEX(Services!$A$2:$A$120,MATCH($B509,Services!$D$2:$D$120,0)),""))</f>
        <v/>
      </c>
      <c r="I509" s="19"/>
      <c r="J509" s="15" t="str">
        <f>IF($B509="","",IFERROR(INDEX(Services!$E$2:$E$120,MATCH($B509,Services!$D$2:$D$120,0)),""))</f>
        <v/>
      </c>
    </row>
    <row r="510" spans="1:10" x14ac:dyDescent="0.3">
      <c r="A510" s="18"/>
      <c r="B510" s="6"/>
      <c r="C510" s="6"/>
      <c r="D510" s="6"/>
      <c r="E510" s="16" t="str">
        <f>IF($B510="","",IFERROR(INDEX(Services!$C$2:$C$120,MATCH($B510,Services!$D$2:$D$120,0)),""))</f>
        <v/>
      </c>
      <c r="F510" s="19"/>
      <c r="G510" s="9" t="str">
        <f t="shared" si="7"/>
        <v/>
      </c>
      <c r="H510" s="15" t="str">
        <f>IF($B510="","",IFERROR(INDEX(Services!$A$2:$A$120,MATCH($B510,Services!$D$2:$D$120,0)),""))</f>
        <v/>
      </c>
      <c r="I510" s="19"/>
      <c r="J510" s="15" t="str">
        <f>IF($B510="","",IFERROR(INDEX(Services!$E$2:$E$120,MATCH($B510,Services!$D$2:$D$120,0)),""))</f>
        <v/>
      </c>
    </row>
    <row r="511" spans="1:10" x14ac:dyDescent="0.3">
      <c r="A511" s="18"/>
      <c r="B511" s="6"/>
      <c r="C511" s="6"/>
      <c r="D511" s="6"/>
      <c r="E511" s="16" t="str">
        <f>IF($B511="","",IFERROR(INDEX(Services!$C$2:$C$120,MATCH($B511,Services!$D$2:$D$120,0)),""))</f>
        <v/>
      </c>
      <c r="F511" s="19"/>
      <c r="G511" s="9" t="str">
        <f t="shared" si="7"/>
        <v/>
      </c>
      <c r="H511" s="15" t="str">
        <f>IF($B511="","",IFERROR(INDEX(Services!$A$2:$A$120,MATCH($B511,Services!$D$2:$D$120,0)),""))</f>
        <v/>
      </c>
      <c r="I511" s="19"/>
      <c r="J511" s="15" t="str">
        <f>IF($B511="","",IFERROR(INDEX(Services!$E$2:$E$120,MATCH($B511,Services!$D$2:$D$120,0)),""))</f>
        <v/>
      </c>
    </row>
    <row r="512" spans="1:10" x14ac:dyDescent="0.3">
      <c r="A512" s="18"/>
      <c r="B512" s="6"/>
      <c r="C512" s="6"/>
      <c r="D512" s="6"/>
      <c r="E512" s="16" t="str">
        <f>IF($B512="","",IFERROR(INDEX(Services!$C$2:$C$120,MATCH($B512,Services!$D$2:$D$120,0)),""))</f>
        <v/>
      </c>
      <c r="F512" s="19"/>
      <c r="G512" s="9" t="str">
        <f t="shared" si="7"/>
        <v/>
      </c>
      <c r="H512" s="15" t="str">
        <f>IF($B512="","",IFERROR(INDEX(Services!$A$2:$A$120,MATCH($B512,Services!$D$2:$D$120,0)),""))</f>
        <v/>
      </c>
      <c r="I512" s="19"/>
      <c r="J512" s="15" t="str">
        <f>IF($B512="","",IFERROR(INDEX(Services!$E$2:$E$120,MATCH($B512,Services!$D$2:$D$120,0)),""))</f>
        <v/>
      </c>
    </row>
    <row r="513" spans="1:10" x14ac:dyDescent="0.3">
      <c r="A513" s="18"/>
      <c r="B513" s="6"/>
      <c r="C513" s="6"/>
      <c r="D513" s="6"/>
      <c r="E513" s="16" t="str">
        <f>IF($B513="","",IFERROR(INDEX(Services!$C$2:$C$120,MATCH($B513,Services!$D$2:$D$120,0)),""))</f>
        <v/>
      </c>
      <c r="F513" s="19"/>
      <c r="G513" s="9" t="str">
        <f t="shared" si="7"/>
        <v/>
      </c>
      <c r="H513" s="15" t="str">
        <f>IF($B513="","",IFERROR(INDEX(Services!$A$2:$A$120,MATCH($B513,Services!$D$2:$D$120,0)),""))</f>
        <v/>
      </c>
      <c r="I513" s="19"/>
      <c r="J513" s="15" t="str">
        <f>IF($B513="","",IFERROR(INDEX(Services!$E$2:$E$120,MATCH($B513,Services!$D$2:$D$120,0)),""))</f>
        <v/>
      </c>
    </row>
    <row r="514" spans="1:10" x14ac:dyDescent="0.3">
      <c r="A514" s="18"/>
      <c r="B514" s="6"/>
      <c r="C514" s="6"/>
      <c r="D514" s="6"/>
      <c r="E514" s="16" t="str">
        <f>IF($B514="","",IFERROR(INDEX(Services!$C$2:$C$120,MATCH($B514,Services!$D$2:$D$120,0)),""))</f>
        <v/>
      </c>
      <c r="F514" s="19"/>
      <c r="G514" s="9" t="str">
        <f t="shared" ref="G514:G577" si="8">IF(OR($B514="",NOT(ISNUMBER($E514))),"",$E514-IF($F514="",0,$F514))</f>
        <v/>
      </c>
      <c r="H514" s="15" t="str">
        <f>IF($B514="","",IFERROR(INDEX(Services!$A$2:$A$120,MATCH($B514,Services!$D$2:$D$120,0)),""))</f>
        <v/>
      </c>
      <c r="I514" s="19"/>
      <c r="J514" s="15" t="str">
        <f>IF($B514="","",IFERROR(INDEX(Services!$E$2:$E$120,MATCH($B514,Services!$D$2:$D$120,0)),""))</f>
        <v/>
      </c>
    </row>
    <row r="515" spans="1:10" x14ac:dyDescent="0.3">
      <c r="A515" s="18"/>
      <c r="B515" s="6"/>
      <c r="C515" s="6"/>
      <c r="D515" s="6"/>
      <c r="E515" s="16" t="str">
        <f>IF($B515="","",IFERROR(INDEX(Services!$C$2:$C$120,MATCH($B515,Services!$D$2:$D$120,0)),""))</f>
        <v/>
      </c>
      <c r="F515" s="19"/>
      <c r="G515" s="9" t="str">
        <f t="shared" si="8"/>
        <v/>
      </c>
      <c r="H515" s="15" t="str">
        <f>IF($B515="","",IFERROR(INDEX(Services!$A$2:$A$120,MATCH($B515,Services!$D$2:$D$120,0)),""))</f>
        <v/>
      </c>
      <c r="I515" s="19"/>
      <c r="J515" s="15" t="str">
        <f>IF($B515="","",IFERROR(INDEX(Services!$E$2:$E$120,MATCH($B515,Services!$D$2:$D$120,0)),""))</f>
        <v/>
      </c>
    </row>
    <row r="516" spans="1:10" x14ac:dyDescent="0.3">
      <c r="A516" s="18"/>
      <c r="B516" s="6"/>
      <c r="C516" s="6"/>
      <c r="D516" s="6"/>
      <c r="E516" s="16" t="str">
        <f>IF($B516="","",IFERROR(INDEX(Services!$C$2:$C$120,MATCH($B516,Services!$D$2:$D$120,0)),""))</f>
        <v/>
      </c>
      <c r="F516" s="19"/>
      <c r="G516" s="9" t="str">
        <f t="shared" si="8"/>
        <v/>
      </c>
      <c r="H516" s="15" t="str">
        <f>IF($B516="","",IFERROR(INDEX(Services!$A$2:$A$120,MATCH($B516,Services!$D$2:$D$120,0)),""))</f>
        <v/>
      </c>
      <c r="I516" s="19"/>
      <c r="J516" s="15" t="str">
        <f>IF($B516="","",IFERROR(INDEX(Services!$E$2:$E$120,MATCH($B516,Services!$D$2:$D$120,0)),""))</f>
        <v/>
      </c>
    </row>
    <row r="517" spans="1:10" x14ac:dyDescent="0.3">
      <c r="A517" s="18"/>
      <c r="B517" s="6"/>
      <c r="C517" s="6"/>
      <c r="D517" s="6"/>
      <c r="E517" s="16" t="str">
        <f>IF($B517="","",IFERROR(INDEX(Services!$C$2:$C$120,MATCH($B517,Services!$D$2:$D$120,0)),""))</f>
        <v/>
      </c>
      <c r="F517" s="19"/>
      <c r="G517" s="9" t="str">
        <f t="shared" si="8"/>
        <v/>
      </c>
      <c r="H517" s="15" t="str">
        <f>IF($B517="","",IFERROR(INDEX(Services!$A$2:$A$120,MATCH($B517,Services!$D$2:$D$120,0)),""))</f>
        <v/>
      </c>
      <c r="I517" s="19"/>
      <c r="J517" s="15" t="str">
        <f>IF($B517="","",IFERROR(INDEX(Services!$E$2:$E$120,MATCH($B517,Services!$D$2:$D$120,0)),""))</f>
        <v/>
      </c>
    </row>
    <row r="518" spans="1:10" x14ac:dyDescent="0.3">
      <c r="A518" s="18"/>
      <c r="B518" s="6"/>
      <c r="C518" s="6"/>
      <c r="D518" s="6"/>
      <c r="E518" s="16" t="str">
        <f>IF($B518="","",IFERROR(INDEX(Services!$C$2:$C$120,MATCH($B518,Services!$D$2:$D$120,0)),""))</f>
        <v/>
      </c>
      <c r="F518" s="19"/>
      <c r="G518" s="9" t="str">
        <f t="shared" si="8"/>
        <v/>
      </c>
      <c r="H518" s="15" t="str">
        <f>IF($B518="","",IFERROR(INDEX(Services!$A$2:$A$120,MATCH($B518,Services!$D$2:$D$120,0)),""))</f>
        <v/>
      </c>
      <c r="I518" s="19"/>
      <c r="J518" s="15" t="str">
        <f>IF($B518="","",IFERROR(INDEX(Services!$E$2:$E$120,MATCH($B518,Services!$D$2:$D$120,0)),""))</f>
        <v/>
      </c>
    </row>
    <row r="519" spans="1:10" x14ac:dyDescent="0.3">
      <c r="A519" s="18"/>
      <c r="B519" s="6"/>
      <c r="C519" s="6"/>
      <c r="D519" s="6"/>
      <c r="E519" s="16" t="str">
        <f>IF($B519="","",IFERROR(INDEX(Services!$C$2:$C$120,MATCH($B519,Services!$D$2:$D$120,0)),""))</f>
        <v/>
      </c>
      <c r="F519" s="19"/>
      <c r="G519" s="9" t="str">
        <f t="shared" si="8"/>
        <v/>
      </c>
      <c r="H519" s="15" t="str">
        <f>IF($B519="","",IFERROR(INDEX(Services!$A$2:$A$120,MATCH($B519,Services!$D$2:$D$120,0)),""))</f>
        <v/>
      </c>
      <c r="I519" s="19"/>
      <c r="J519" s="15" t="str">
        <f>IF($B519="","",IFERROR(INDEX(Services!$E$2:$E$120,MATCH($B519,Services!$D$2:$D$120,0)),""))</f>
        <v/>
      </c>
    </row>
    <row r="520" spans="1:10" x14ac:dyDescent="0.3">
      <c r="A520" s="18"/>
      <c r="B520" s="6"/>
      <c r="C520" s="6"/>
      <c r="D520" s="6"/>
      <c r="E520" s="16" t="str">
        <f>IF($B520="","",IFERROR(INDEX(Services!$C$2:$C$120,MATCH($B520,Services!$D$2:$D$120,0)),""))</f>
        <v/>
      </c>
      <c r="F520" s="19"/>
      <c r="G520" s="9" t="str">
        <f t="shared" si="8"/>
        <v/>
      </c>
      <c r="H520" s="15" t="str">
        <f>IF($B520="","",IFERROR(INDEX(Services!$A$2:$A$120,MATCH($B520,Services!$D$2:$D$120,0)),""))</f>
        <v/>
      </c>
      <c r="I520" s="19"/>
      <c r="J520" s="15" t="str">
        <f>IF($B520="","",IFERROR(INDEX(Services!$E$2:$E$120,MATCH($B520,Services!$D$2:$D$120,0)),""))</f>
        <v/>
      </c>
    </row>
    <row r="521" spans="1:10" x14ac:dyDescent="0.3">
      <c r="A521" s="18"/>
      <c r="B521" s="6"/>
      <c r="C521" s="6"/>
      <c r="D521" s="6"/>
      <c r="E521" s="16" t="str">
        <f>IF($B521="","",IFERROR(INDEX(Services!$C$2:$C$120,MATCH($B521,Services!$D$2:$D$120,0)),""))</f>
        <v/>
      </c>
      <c r="F521" s="19"/>
      <c r="G521" s="9" t="str">
        <f t="shared" si="8"/>
        <v/>
      </c>
      <c r="H521" s="15" t="str">
        <f>IF($B521="","",IFERROR(INDEX(Services!$A$2:$A$120,MATCH($B521,Services!$D$2:$D$120,0)),""))</f>
        <v/>
      </c>
      <c r="I521" s="19"/>
      <c r="J521" s="15" t="str">
        <f>IF($B521="","",IFERROR(INDEX(Services!$E$2:$E$120,MATCH($B521,Services!$D$2:$D$120,0)),""))</f>
        <v/>
      </c>
    </row>
    <row r="522" spans="1:10" x14ac:dyDescent="0.3">
      <c r="A522" s="18"/>
      <c r="B522" s="6"/>
      <c r="C522" s="6"/>
      <c r="D522" s="6"/>
      <c r="E522" s="16" t="str">
        <f>IF($B522="","",IFERROR(INDEX(Services!$C$2:$C$120,MATCH($B522,Services!$D$2:$D$120,0)),""))</f>
        <v/>
      </c>
      <c r="F522" s="19"/>
      <c r="G522" s="9" t="str">
        <f t="shared" si="8"/>
        <v/>
      </c>
      <c r="H522" s="15" t="str">
        <f>IF($B522="","",IFERROR(INDEX(Services!$A$2:$A$120,MATCH($B522,Services!$D$2:$D$120,0)),""))</f>
        <v/>
      </c>
      <c r="I522" s="19"/>
      <c r="J522" s="15" t="str">
        <f>IF($B522="","",IFERROR(INDEX(Services!$E$2:$E$120,MATCH($B522,Services!$D$2:$D$120,0)),""))</f>
        <v/>
      </c>
    </row>
    <row r="523" spans="1:10" x14ac:dyDescent="0.3">
      <c r="A523" s="18"/>
      <c r="B523" s="6"/>
      <c r="C523" s="6"/>
      <c r="D523" s="6"/>
      <c r="E523" s="16" t="str">
        <f>IF($B523="","",IFERROR(INDEX(Services!$C$2:$C$120,MATCH($B523,Services!$D$2:$D$120,0)),""))</f>
        <v/>
      </c>
      <c r="F523" s="19"/>
      <c r="G523" s="9" t="str">
        <f t="shared" si="8"/>
        <v/>
      </c>
      <c r="H523" s="15" t="str">
        <f>IF($B523="","",IFERROR(INDEX(Services!$A$2:$A$120,MATCH($B523,Services!$D$2:$D$120,0)),""))</f>
        <v/>
      </c>
      <c r="I523" s="19"/>
      <c r="J523" s="15" t="str">
        <f>IF($B523="","",IFERROR(INDEX(Services!$E$2:$E$120,MATCH($B523,Services!$D$2:$D$120,0)),""))</f>
        <v/>
      </c>
    </row>
    <row r="524" spans="1:10" x14ac:dyDescent="0.3">
      <c r="A524" s="18"/>
      <c r="B524" s="6"/>
      <c r="C524" s="6"/>
      <c r="D524" s="6"/>
      <c r="E524" s="16" t="str">
        <f>IF($B524="","",IFERROR(INDEX(Services!$C$2:$C$120,MATCH($B524,Services!$D$2:$D$120,0)),""))</f>
        <v/>
      </c>
      <c r="F524" s="19"/>
      <c r="G524" s="9" t="str">
        <f t="shared" si="8"/>
        <v/>
      </c>
      <c r="H524" s="15" t="str">
        <f>IF($B524="","",IFERROR(INDEX(Services!$A$2:$A$120,MATCH($B524,Services!$D$2:$D$120,0)),""))</f>
        <v/>
      </c>
      <c r="I524" s="19"/>
      <c r="J524" s="15" t="str">
        <f>IF($B524="","",IFERROR(INDEX(Services!$E$2:$E$120,MATCH($B524,Services!$D$2:$D$120,0)),""))</f>
        <v/>
      </c>
    </row>
    <row r="525" spans="1:10" x14ac:dyDescent="0.3">
      <c r="A525" s="18"/>
      <c r="B525" s="6"/>
      <c r="C525" s="6"/>
      <c r="D525" s="6"/>
      <c r="E525" s="16" t="str">
        <f>IF($B525="","",IFERROR(INDEX(Services!$C$2:$C$120,MATCH($B525,Services!$D$2:$D$120,0)),""))</f>
        <v/>
      </c>
      <c r="F525" s="19"/>
      <c r="G525" s="9" t="str">
        <f t="shared" si="8"/>
        <v/>
      </c>
      <c r="H525" s="15" t="str">
        <f>IF($B525="","",IFERROR(INDEX(Services!$A$2:$A$120,MATCH($B525,Services!$D$2:$D$120,0)),""))</f>
        <v/>
      </c>
      <c r="I525" s="19"/>
      <c r="J525" s="15" t="str">
        <f>IF($B525="","",IFERROR(INDEX(Services!$E$2:$E$120,MATCH($B525,Services!$D$2:$D$120,0)),""))</f>
        <v/>
      </c>
    </row>
    <row r="526" spans="1:10" x14ac:dyDescent="0.3">
      <c r="A526" s="18"/>
      <c r="B526" s="6"/>
      <c r="C526" s="6"/>
      <c r="D526" s="6"/>
      <c r="E526" s="16" t="str">
        <f>IF($B526="","",IFERROR(INDEX(Services!$C$2:$C$120,MATCH($B526,Services!$D$2:$D$120,0)),""))</f>
        <v/>
      </c>
      <c r="F526" s="19"/>
      <c r="G526" s="9" t="str">
        <f t="shared" si="8"/>
        <v/>
      </c>
      <c r="H526" s="15" t="str">
        <f>IF($B526="","",IFERROR(INDEX(Services!$A$2:$A$120,MATCH($B526,Services!$D$2:$D$120,0)),""))</f>
        <v/>
      </c>
      <c r="I526" s="19"/>
      <c r="J526" s="15" t="str">
        <f>IF($B526="","",IFERROR(INDEX(Services!$E$2:$E$120,MATCH($B526,Services!$D$2:$D$120,0)),""))</f>
        <v/>
      </c>
    </row>
    <row r="527" spans="1:10" x14ac:dyDescent="0.3">
      <c r="A527" s="18"/>
      <c r="B527" s="6"/>
      <c r="C527" s="6"/>
      <c r="D527" s="6"/>
      <c r="E527" s="16" t="str">
        <f>IF($B527="","",IFERROR(INDEX(Services!$C$2:$C$120,MATCH($B527,Services!$D$2:$D$120,0)),""))</f>
        <v/>
      </c>
      <c r="F527" s="19"/>
      <c r="G527" s="9" t="str">
        <f t="shared" si="8"/>
        <v/>
      </c>
      <c r="H527" s="15" t="str">
        <f>IF($B527="","",IFERROR(INDEX(Services!$A$2:$A$120,MATCH($B527,Services!$D$2:$D$120,0)),""))</f>
        <v/>
      </c>
      <c r="I527" s="19"/>
      <c r="J527" s="15" t="str">
        <f>IF($B527="","",IFERROR(INDEX(Services!$E$2:$E$120,MATCH($B527,Services!$D$2:$D$120,0)),""))</f>
        <v/>
      </c>
    </row>
    <row r="528" spans="1:10" x14ac:dyDescent="0.3">
      <c r="A528" s="18"/>
      <c r="B528" s="6"/>
      <c r="C528" s="6"/>
      <c r="D528" s="6"/>
      <c r="E528" s="16" t="str">
        <f>IF($B528="","",IFERROR(INDEX(Services!$C$2:$C$120,MATCH($B528,Services!$D$2:$D$120,0)),""))</f>
        <v/>
      </c>
      <c r="F528" s="19"/>
      <c r="G528" s="9" t="str">
        <f t="shared" si="8"/>
        <v/>
      </c>
      <c r="H528" s="15" t="str">
        <f>IF($B528="","",IFERROR(INDEX(Services!$A$2:$A$120,MATCH($B528,Services!$D$2:$D$120,0)),""))</f>
        <v/>
      </c>
      <c r="I528" s="19"/>
      <c r="J528" s="15" t="str">
        <f>IF($B528="","",IFERROR(INDEX(Services!$E$2:$E$120,MATCH($B528,Services!$D$2:$D$120,0)),""))</f>
        <v/>
      </c>
    </row>
    <row r="529" spans="1:10" x14ac:dyDescent="0.3">
      <c r="A529" s="18"/>
      <c r="B529" s="6"/>
      <c r="C529" s="6"/>
      <c r="D529" s="6"/>
      <c r="E529" s="16" t="str">
        <f>IF($B529="","",IFERROR(INDEX(Services!$C$2:$C$120,MATCH($B529,Services!$D$2:$D$120,0)),""))</f>
        <v/>
      </c>
      <c r="F529" s="19"/>
      <c r="G529" s="9" t="str">
        <f t="shared" si="8"/>
        <v/>
      </c>
      <c r="H529" s="15" t="str">
        <f>IF($B529="","",IFERROR(INDEX(Services!$A$2:$A$120,MATCH($B529,Services!$D$2:$D$120,0)),""))</f>
        <v/>
      </c>
      <c r="I529" s="19"/>
      <c r="J529" s="15" t="str">
        <f>IF($B529="","",IFERROR(INDEX(Services!$E$2:$E$120,MATCH($B529,Services!$D$2:$D$120,0)),""))</f>
        <v/>
      </c>
    </row>
    <row r="530" spans="1:10" x14ac:dyDescent="0.3">
      <c r="A530" s="18"/>
      <c r="B530" s="6"/>
      <c r="C530" s="6"/>
      <c r="D530" s="6"/>
      <c r="E530" s="16" t="str">
        <f>IF($B530="","",IFERROR(INDEX(Services!$C$2:$C$120,MATCH($B530,Services!$D$2:$D$120,0)),""))</f>
        <v/>
      </c>
      <c r="F530" s="19"/>
      <c r="G530" s="9" t="str">
        <f t="shared" si="8"/>
        <v/>
      </c>
      <c r="H530" s="15" t="str">
        <f>IF($B530="","",IFERROR(INDEX(Services!$A$2:$A$120,MATCH($B530,Services!$D$2:$D$120,0)),""))</f>
        <v/>
      </c>
      <c r="I530" s="19"/>
      <c r="J530" s="15" t="str">
        <f>IF($B530="","",IFERROR(INDEX(Services!$E$2:$E$120,MATCH($B530,Services!$D$2:$D$120,0)),""))</f>
        <v/>
      </c>
    </row>
    <row r="531" spans="1:10" x14ac:dyDescent="0.3">
      <c r="A531" s="18"/>
      <c r="B531" s="6"/>
      <c r="C531" s="6"/>
      <c r="D531" s="6"/>
      <c r="E531" s="16" t="str">
        <f>IF($B531="","",IFERROR(INDEX(Services!$C$2:$C$120,MATCH($B531,Services!$D$2:$D$120,0)),""))</f>
        <v/>
      </c>
      <c r="F531" s="19"/>
      <c r="G531" s="9" t="str">
        <f t="shared" si="8"/>
        <v/>
      </c>
      <c r="H531" s="15" t="str">
        <f>IF($B531="","",IFERROR(INDEX(Services!$A$2:$A$120,MATCH($B531,Services!$D$2:$D$120,0)),""))</f>
        <v/>
      </c>
      <c r="I531" s="19"/>
      <c r="J531" s="15" t="str">
        <f>IF($B531="","",IFERROR(INDEX(Services!$E$2:$E$120,MATCH($B531,Services!$D$2:$D$120,0)),""))</f>
        <v/>
      </c>
    </row>
    <row r="532" spans="1:10" x14ac:dyDescent="0.3">
      <c r="A532" s="18"/>
      <c r="B532" s="6"/>
      <c r="C532" s="6"/>
      <c r="D532" s="6"/>
      <c r="E532" s="16" t="str">
        <f>IF($B532="","",IFERROR(INDEX(Services!$C$2:$C$120,MATCH($B532,Services!$D$2:$D$120,0)),""))</f>
        <v/>
      </c>
      <c r="F532" s="19"/>
      <c r="G532" s="9" t="str">
        <f t="shared" si="8"/>
        <v/>
      </c>
      <c r="H532" s="15" t="str">
        <f>IF($B532="","",IFERROR(INDEX(Services!$A$2:$A$120,MATCH($B532,Services!$D$2:$D$120,0)),""))</f>
        <v/>
      </c>
      <c r="I532" s="19"/>
      <c r="J532" s="15" t="str">
        <f>IF($B532="","",IFERROR(INDEX(Services!$E$2:$E$120,MATCH($B532,Services!$D$2:$D$120,0)),""))</f>
        <v/>
      </c>
    </row>
    <row r="533" spans="1:10" x14ac:dyDescent="0.3">
      <c r="A533" s="18"/>
      <c r="B533" s="6"/>
      <c r="C533" s="6"/>
      <c r="D533" s="6"/>
      <c r="E533" s="16" t="str">
        <f>IF($B533="","",IFERROR(INDEX(Services!$C$2:$C$120,MATCH($B533,Services!$D$2:$D$120,0)),""))</f>
        <v/>
      </c>
      <c r="F533" s="19"/>
      <c r="G533" s="9" t="str">
        <f t="shared" si="8"/>
        <v/>
      </c>
      <c r="H533" s="15" t="str">
        <f>IF($B533="","",IFERROR(INDEX(Services!$A$2:$A$120,MATCH($B533,Services!$D$2:$D$120,0)),""))</f>
        <v/>
      </c>
      <c r="I533" s="19"/>
      <c r="J533" s="15" t="str">
        <f>IF($B533="","",IFERROR(INDEX(Services!$E$2:$E$120,MATCH($B533,Services!$D$2:$D$120,0)),""))</f>
        <v/>
      </c>
    </row>
    <row r="534" spans="1:10" x14ac:dyDescent="0.3">
      <c r="A534" s="18"/>
      <c r="B534" s="6"/>
      <c r="C534" s="6"/>
      <c r="D534" s="6"/>
      <c r="E534" s="16" t="str">
        <f>IF($B534="","",IFERROR(INDEX(Services!$C$2:$C$120,MATCH($B534,Services!$D$2:$D$120,0)),""))</f>
        <v/>
      </c>
      <c r="F534" s="19"/>
      <c r="G534" s="9" t="str">
        <f t="shared" si="8"/>
        <v/>
      </c>
      <c r="H534" s="15" t="str">
        <f>IF($B534="","",IFERROR(INDEX(Services!$A$2:$A$120,MATCH($B534,Services!$D$2:$D$120,0)),""))</f>
        <v/>
      </c>
      <c r="I534" s="19"/>
      <c r="J534" s="15" t="str">
        <f>IF($B534="","",IFERROR(INDEX(Services!$E$2:$E$120,MATCH($B534,Services!$D$2:$D$120,0)),""))</f>
        <v/>
      </c>
    </row>
    <row r="535" spans="1:10" x14ac:dyDescent="0.3">
      <c r="A535" s="18"/>
      <c r="B535" s="6"/>
      <c r="C535" s="6"/>
      <c r="D535" s="6"/>
      <c r="E535" s="16" t="str">
        <f>IF($B535="","",IFERROR(INDEX(Services!$C$2:$C$120,MATCH($B535,Services!$D$2:$D$120,0)),""))</f>
        <v/>
      </c>
      <c r="F535" s="19"/>
      <c r="G535" s="9" t="str">
        <f t="shared" si="8"/>
        <v/>
      </c>
      <c r="H535" s="15" t="str">
        <f>IF($B535="","",IFERROR(INDEX(Services!$A$2:$A$120,MATCH($B535,Services!$D$2:$D$120,0)),""))</f>
        <v/>
      </c>
      <c r="I535" s="19"/>
      <c r="J535" s="15" t="str">
        <f>IF($B535="","",IFERROR(INDEX(Services!$E$2:$E$120,MATCH($B535,Services!$D$2:$D$120,0)),""))</f>
        <v/>
      </c>
    </row>
    <row r="536" spans="1:10" x14ac:dyDescent="0.3">
      <c r="A536" s="18"/>
      <c r="B536" s="6"/>
      <c r="C536" s="6"/>
      <c r="D536" s="6"/>
      <c r="E536" s="16" t="str">
        <f>IF($B536="","",IFERROR(INDEX(Services!$C$2:$C$120,MATCH($B536,Services!$D$2:$D$120,0)),""))</f>
        <v/>
      </c>
      <c r="F536" s="19"/>
      <c r="G536" s="9" t="str">
        <f t="shared" si="8"/>
        <v/>
      </c>
      <c r="H536" s="15" t="str">
        <f>IF($B536="","",IFERROR(INDEX(Services!$A$2:$A$120,MATCH($B536,Services!$D$2:$D$120,0)),""))</f>
        <v/>
      </c>
      <c r="I536" s="19"/>
      <c r="J536" s="15" t="str">
        <f>IF($B536="","",IFERROR(INDEX(Services!$E$2:$E$120,MATCH($B536,Services!$D$2:$D$120,0)),""))</f>
        <v/>
      </c>
    </row>
    <row r="537" spans="1:10" x14ac:dyDescent="0.3">
      <c r="A537" s="18"/>
      <c r="B537" s="6"/>
      <c r="C537" s="6"/>
      <c r="D537" s="6"/>
      <c r="E537" s="16" t="str">
        <f>IF($B537="","",IFERROR(INDEX(Services!$C$2:$C$120,MATCH($B537,Services!$D$2:$D$120,0)),""))</f>
        <v/>
      </c>
      <c r="F537" s="19"/>
      <c r="G537" s="9" t="str">
        <f t="shared" si="8"/>
        <v/>
      </c>
      <c r="H537" s="15" t="str">
        <f>IF($B537="","",IFERROR(INDEX(Services!$A$2:$A$120,MATCH($B537,Services!$D$2:$D$120,0)),""))</f>
        <v/>
      </c>
      <c r="I537" s="19"/>
      <c r="J537" s="15" t="str">
        <f>IF($B537="","",IFERROR(INDEX(Services!$E$2:$E$120,MATCH($B537,Services!$D$2:$D$120,0)),""))</f>
        <v/>
      </c>
    </row>
    <row r="538" spans="1:10" x14ac:dyDescent="0.3">
      <c r="A538" s="18"/>
      <c r="B538" s="6"/>
      <c r="C538" s="6"/>
      <c r="D538" s="6"/>
      <c r="E538" s="16" t="str">
        <f>IF($B538="","",IFERROR(INDEX(Services!$C$2:$C$120,MATCH($B538,Services!$D$2:$D$120,0)),""))</f>
        <v/>
      </c>
      <c r="F538" s="19"/>
      <c r="G538" s="9" t="str">
        <f t="shared" si="8"/>
        <v/>
      </c>
      <c r="H538" s="15" t="str">
        <f>IF($B538="","",IFERROR(INDEX(Services!$A$2:$A$120,MATCH($B538,Services!$D$2:$D$120,0)),""))</f>
        <v/>
      </c>
      <c r="I538" s="19"/>
      <c r="J538" s="15" t="str">
        <f>IF($B538="","",IFERROR(INDEX(Services!$E$2:$E$120,MATCH($B538,Services!$D$2:$D$120,0)),""))</f>
        <v/>
      </c>
    </row>
    <row r="539" spans="1:10" x14ac:dyDescent="0.3">
      <c r="A539" s="18"/>
      <c r="B539" s="6"/>
      <c r="C539" s="6"/>
      <c r="D539" s="6"/>
      <c r="E539" s="16" t="str">
        <f>IF($B539="","",IFERROR(INDEX(Services!$C$2:$C$120,MATCH($B539,Services!$D$2:$D$120,0)),""))</f>
        <v/>
      </c>
      <c r="F539" s="19"/>
      <c r="G539" s="9" t="str">
        <f t="shared" si="8"/>
        <v/>
      </c>
      <c r="H539" s="15" t="str">
        <f>IF($B539="","",IFERROR(INDEX(Services!$A$2:$A$120,MATCH($B539,Services!$D$2:$D$120,0)),""))</f>
        <v/>
      </c>
      <c r="I539" s="19"/>
      <c r="J539" s="15" t="str">
        <f>IF($B539="","",IFERROR(INDEX(Services!$E$2:$E$120,MATCH($B539,Services!$D$2:$D$120,0)),""))</f>
        <v/>
      </c>
    </row>
    <row r="540" spans="1:10" x14ac:dyDescent="0.3">
      <c r="A540" s="18"/>
      <c r="B540" s="6"/>
      <c r="C540" s="6"/>
      <c r="D540" s="6"/>
      <c r="E540" s="16" t="str">
        <f>IF($B540="","",IFERROR(INDEX(Services!$C$2:$C$120,MATCH($B540,Services!$D$2:$D$120,0)),""))</f>
        <v/>
      </c>
      <c r="F540" s="19"/>
      <c r="G540" s="9" t="str">
        <f t="shared" si="8"/>
        <v/>
      </c>
      <c r="H540" s="15" t="str">
        <f>IF($B540="","",IFERROR(INDEX(Services!$A$2:$A$120,MATCH($B540,Services!$D$2:$D$120,0)),""))</f>
        <v/>
      </c>
      <c r="I540" s="19"/>
      <c r="J540" s="15" t="str">
        <f>IF($B540="","",IFERROR(INDEX(Services!$E$2:$E$120,MATCH($B540,Services!$D$2:$D$120,0)),""))</f>
        <v/>
      </c>
    </row>
    <row r="541" spans="1:10" x14ac:dyDescent="0.3">
      <c r="A541" s="18"/>
      <c r="B541" s="6"/>
      <c r="C541" s="6"/>
      <c r="D541" s="6"/>
      <c r="E541" s="16" t="str">
        <f>IF($B541="","",IFERROR(INDEX(Services!$C$2:$C$120,MATCH($B541,Services!$D$2:$D$120,0)),""))</f>
        <v/>
      </c>
      <c r="F541" s="19"/>
      <c r="G541" s="9" t="str">
        <f t="shared" si="8"/>
        <v/>
      </c>
      <c r="H541" s="15" t="str">
        <f>IF($B541="","",IFERROR(INDEX(Services!$A$2:$A$120,MATCH($B541,Services!$D$2:$D$120,0)),""))</f>
        <v/>
      </c>
      <c r="I541" s="19"/>
      <c r="J541" s="15" t="str">
        <f>IF($B541="","",IFERROR(INDEX(Services!$E$2:$E$120,MATCH($B541,Services!$D$2:$D$120,0)),""))</f>
        <v/>
      </c>
    </row>
    <row r="542" spans="1:10" x14ac:dyDescent="0.3">
      <c r="A542" s="18"/>
      <c r="B542" s="6"/>
      <c r="C542" s="6"/>
      <c r="D542" s="6"/>
      <c r="E542" s="16" t="str">
        <f>IF($B542="","",IFERROR(INDEX(Services!$C$2:$C$120,MATCH($B542,Services!$D$2:$D$120,0)),""))</f>
        <v/>
      </c>
      <c r="F542" s="19"/>
      <c r="G542" s="9" t="str">
        <f t="shared" si="8"/>
        <v/>
      </c>
      <c r="H542" s="15" t="str">
        <f>IF($B542="","",IFERROR(INDEX(Services!$A$2:$A$120,MATCH($B542,Services!$D$2:$D$120,0)),""))</f>
        <v/>
      </c>
      <c r="I542" s="19"/>
      <c r="J542" s="15" t="str">
        <f>IF($B542="","",IFERROR(INDEX(Services!$E$2:$E$120,MATCH($B542,Services!$D$2:$D$120,0)),""))</f>
        <v/>
      </c>
    </row>
    <row r="543" spans="1:10" x14ac:dyDescent="0.3">
      <c r="A543" s="18"/>
      <c r="B543" s="6"/>
      <c r="C543" s="6"/>
      <c r="D543" s="6"/>
      <c r="E543" s="16" t="str">
        <f>IF($B543="","",IFERROR(INDEX(Services!$C$2:$C$120,MATCH($B543,Services!$D$2:$D$120,0)),""))</f>
        <v/>
      </c>
      <c r="F543" s="19"/>
      <c r="G543" s="9" t="str">
        <f t="shared" si="8"/>
        <v/>
      </c>
      <c r="H543" s="15" t="str">
        <f>IF($B543="","",IFERROR(INDEX(Services!$A$2:$A$120,MATCH($B543,Services!$D$2:$D$120,0)),""))</f>
        <v/>
      </c>
      <c r="I543" s="19"/>
      <c r="J543" s="15" t="str">
        <f>IF($B543="","",IFERROR(INDEX(Services!$E$2:$E$120,MATCH($B543,Services!$D$2:$D$120,0)),""))</f>
        <v/>
      </c>
    </row>
    <row r="544" spans="1:10" x14ac:dyDescent="0.3">
      <c r="A544" s="18"/>
      <c r="B544" s="6"/>
      <c r="C544" s="6"/>
      <c r="D544" s="6"/>
      <c r="E544" s="16" t="str">
        <f>IF($B544="","",IFERROR(INDEX(Services!$C$2:$C$120,MATCH($B544,Services!$D$2:$D$120,0)),""))</f>
        <v/>
      </c>
      <c r="F544" s="19"/>
      <c r="G544" s="9" t="str">
        <f t="shared" si="8"/>
        <v/>
      </c>
      <c r="H544" s="15" t="str">
        <f>IF($B544="","",IFERROR(INDEX(Services!$A$2:$A$120,MATCH($B544,Services!$D$2:$D$120,0)),""))</f>
        <v/>
      </c>
      <c r="I544" s="19"/>
      <c r="J544" s="15" t="str">
        <f>IF($B544="","",IFERROR(INDEX(Services!$E$2:$E$120,MATCH($B544,Services!$D$2:$D$120,0)),""))</f>
        <v/>
      </c>
    </row>
    <row r="545" spans="1:10" x14ac:dyDescent="0.3">
      <c r="A545" s="18"/>
      <c r="B545" s="6"/>
      <c r="C545" s="6"/>
      <c r="D545" s="6"/>
      <c r="E545" s="16" t="str">
        <f>IF($B545="","",IFERROR(INDEX(Services!$C$2:$C$120,MATCH($B545,Services!$D$2:$D$120,0)),""))</f>
        <v/>
      </c>
      <c r="F545" s="19"/>
      <c r="G545" s="9" t="str">
        <f t="shared" si="8"/>
        <v/>
      </c>
      <c r="H545" s="15" t="str">
        <f>IF($B545="","",IFERROR(INDEX(Services!$A$2:$A$120,MATCH($B545,Services!$D$2:$D$120,0)),""))</f>
        <v/>
      </c>
      <c r="I545" s="19"/>
      <c r="J545" s="15" t="str">
        <f>IF($B545="","",IFERROR(INDEX(Services!$E$2:$E$120,MATCH($B545,Services!$D$2:$D$120,0)),""))</f>
        <v/>
      </c>
    </row>
    <row r="546" spans="1:10" x14ac:dyDescent="0.3">
      <c r="A546" s="18"/>
      <c r="B546" s="6"/>
      <c r="C546" s="6"/>
      <c r="D546" s="6"/>
      <c r="E546" s="16" t="str">
        <f>IF($B546="","",IFERROR(INDEX(Services!$C$2:$C$120,MATCH($B546,Services!$D$2:$D$120,0)),""))</f>
        <v/>
      </c>
      <c r="F546" s="19"/>
      <c r="G546" s="9" t="str">
        <f t="shared" si="8"/>
        <v/>
      </c>
      <c r="H546" s="15" t="str">
        <f>IF($B546="","",IFERROR(INDEX(Services!$A$2:$A$120,MATCH($B546,Services!$D$2:$D$120,0)),""))</f>
        <v/>
      </c>
      <c r="I546" s="19"/>
      <c r="J546" s="15" t="str">
        <f>IF($B546="","",IFERROR(INDEX(Services!$E$2:$E$120,MATCH($B546,Services!$D$2:$D$120,0)),""))</f>
        <v/>
      </c>
    </row>
    <row r="547" spans="1:10" x14ac:dyDescent="0.3">
      <c r="A547" s="18"/>
      <c r="B547" s="6"/>
      <c r="C547" s="6"/>
      <c r="D547" s="6"/>
      <c r="E547" s="16" t="str">
        <f>IF($B547="","",IFERROR(INDEX(Services!$C$2:$C$120,MATCH($B547,Services!$D$2:$D$120,0)),""))</f>
        <v/>
      </c>
      <c r="F547" s="19"/>
      <c r="G547" s="9" t="str">
        <f t="shared" si="8"/>
        <v/>
      </c>
      <c r="H547" s="15" t="str">
        <f>IF($B547="","",IFERROR(INDEX(Services!$A$2:$A$120,MATCH($B547,Services!$D$2:$D$120,0)),""))</f>
        <v/>
      </c>
      <c r="I547" s="19"/>
      <c r="J547" s="15" t="str">
        <f>IF($B547="","",IFERROR(INDEX(Services!$E$2:$E$120,MATCH($B547,Services!$D$2:$D$120,0)),""))</f>
        <v/>
      </c>
    </row>
    <row r="548" spans="1:10" x14ac:dyDescent="0.3">
      <c r="A548" s="18"/>
      <c r="B548" s="6"/>
      <c r="C548" s="6"/>
      <c r="D548" s="6"/>
      <c r="E548" s="16" t="str">
        <f>IF($B548="","",IFERROR(INDEX(Services!$C$2:$C$120,MATCH($B548,Services!$D$2:$D$120,0)),""))</f>
        <v/>
      </c>
      <c r="F548" s="19"/>
      <c r="G548" s="9" t="str">
        <f t="shared" si="8"/>
        <v/>
      </c>
      <c r="H548" s="15" t="str">
        <f>IF($B548="","",IFERROR(INDEX(Services!$A$2:$A$120,MATCH($B548,Services!$D$2:$D$120,0)),""))</f>
        <v/>
      </c>
      <c r="I548" s="19"/>
      <c r="J548" s="15" t="str">
        <f>IF($B548="","",IFERROR(INDEX(Services!$E$2:$E$120,MATCH($B548,Services!$D$2:$D$120,0)),""))</f>
        <v/>
      </c>
    </row>
    <row r="549" spans="1:10" x14ac:dyDescent="0.3">
      <c r="A549" s="18"/>
      <c r="B549" s="6"/>
      <c r="C549" s="6"/>
      <c r="D549" s="6"/>
      <c r="E549" s="16" t="str">
        <f>IF($B549="","",IFERROR(INDEX(Services!$C$2:$C$120,MATCH($B549,Services!$D$2:$D$120,0)),""))</f>
        <v/>
      </c>
      <c r="F549" s="19"/>
      <c r="G549" s="9" t="str">
        <f t="shared" si="8"/>
        <v/>
      </c>
      <c r="H549" s="15" t="str">
        <f>IF($B549="","",IFERROR(INDEX(Services!$A$2:$A$120,MATCH($B549,Services!$D$2:$D$120,0)),""))</f>
        <v/>
      </c>
      <c r="I549" s="19"/>
      <c r="J549" s="15" t="str">
        <f>IF($B549="","",IFERROR(INDEX(Services!$E$2:$E$120,MATCH($B549,Services!$D$2:$D$120,0)),""))</f>
        <v/>
      </c>
    </row>
    <row r="550" spans="1:10" x14ac:dyDescent="0.3">
      <c r="A550" s="18"/>
      <c r="B550" s="6"/>
      <c r="C550" s="6"/>
      <c r="D550" s="6"/>
      <c r="E550" s="16" t="str">
        <f>IF($B550="","",IFERROR(INDEX(Services!$C$2:$C$120,MATCH($B550,Services!$D$2:$D$120,0)),""))</f>
        <v/>
      </c>
      <c r="F550" s="19"/>
      <c r="G550" s="9" t="str">
        <f t="shared" si="8"/>
        <v/>
      </c>
      <c r="H550" s="15" t="str">
        <f>IF($B550="","",IFERROR(INDEX(Services!$A$2:$A$120,MATCH($B550,Services!$D$2:$D$120,0)),""))</f>
        <v/>
      </c>
      <c r="I550" s="19"/>
      <c r="J550" s="15" t="str">
        <f>IF($B550="","",IFERROR(INDEX(Services!$E$2:$E$120,MATCH($B550,Services!$D$2:$D$120,0)),""))</f>
        <v/>
      </c>
    </row>
    <row r="551" spans="1:10" x14ac:dyDescent="0.3">
      <c r="A551" s="18"/>
      <c r="B551" s="6"/>
      <c r="C551" s="6"/>
      <c r="D551" s="6"/>
      <c r="E551" s="16" t="str">
        <f>IF($B551="","",IFERROR(INDEX(Services!$C$2:$C$120,MATCH($B551,Services!$D$2:$D$120,0)),""))</f>
        <v/>
      </c>
      <c r="F551" s="19"/>
      <c r="G551" s="9" t="str">
        <f t="shared" si="8"/>
        <v/>
      </c>
      <c r="H551" s="15" t="str">
        <f>IF($B551="","",IFERROR(INDEX(Services!$A$2:$A$120,MATCH($B551,Services!$D$2:$D$120,0)),""))</f>
        <v/>
      </c>
      <c r="I551" s="19"/>
      <c r="J551" s="15" t="str">
        <f>IF($B551="","",IFERROR(INDEX(Services!$E$2:$E$120,MATCH($B551,Services!$D$2:$D$120,0)),""))</f>
        <v/>
      </c>
    </row>
    <row r="552" spans="1:10" x14ac:dyDescent="0.3">
      <c r="A552" s="18"/>
      <c r="B552" s="6"/>
      <c r="C552" s="6"/>
      <c r="D552" s="6"/>
      <c r="E552" s="16" t="str">
        <f>IF($B552="","",IFERROR(INDEX(Services!$C$2:$C$120,MATCH($B552,Services!$D$2:$D$120,0)),""))</f>
        <v/>
      </c>
      <c r="F552" s="19"/>
      <c r="G552" s="9" t="str">
        <f t="shared" si="8"/>
        <v/>
      </c>
      <c r="H552" s="15" t="str">
        <f>IF($B552="","",IFERROR(INDEX(Services!$A$2:$A$120,MATCH($B552,Services!$D$2:$D$120,0)),""))</f>
        <v/>
      </c>
      <c r="I552" s="19"/>
      <c r="J552" s="15" t="str">
        <f>IF($B552="","",IFERROR(INDEX(Services!$E$2:$E$120,MATCH($B552,Services!$D$2:$D$120,0)),""))</f>
        <v/>
      </c>
    </row>
    <row r="553" spans="1:10" x14ac:dyDescent="0.3">
      <c r="A553" s="18"/>
      <c r="B553" s="6"/>
      <c r="C553" s="6"/>
      <c r="D553" s="6"/>
      <c r="E553" s="16" t="str">
        <f>IF($B553="","",IFERROR(INDEX(Services!$C$2:$C$120,MATCH($B553,Services!$D$2:$D$120,0)),""))</f>
        <v/>
      </c>
      <c r="F553" s="19"/>
      <c r="G553" s="9" t="str">
        <f t="shared" si="8"/>
        <v/>
      </c>
      <c r="H553" s="15" t="str">
        <f>IF($B553="","",IFERROR(INDEX(Services!$A$2:$A$120,MATCH($B553,Services!$D$2:$D$120,0)),""))</f>
        <v/>
      </c>
      <c r="I553" s="19"/>
      <c r="J553" s="15" t="str">
        <f>IF($B553="","",IFERROR(INDEX(Services!$E$2:$E$120,MATCH($B553,Services!$D$2:$D$120,0)),""))</f>
        <v/>
      </c>
    </row>
    <row r="554" spans="1:10" x14ac:dyDescent="0.3">
      <c r="A554" s="18"/>
      <c r="B554" s="6"/>
      <c r="C554" s="6"/>
      <c r="D554" s="6"/>
      <c r="E554" s="16" t="str">
        <f>IF($B554="","",IFERROR(INDEX(Services!$C$2:$C$120,MATCH($B554,Services!$D$2:$D$120,0)),""))</f>
        <v/>
      </c>
      <c r="F554" s="19"/>
      <c r="G554" s="9" t="str">
        <f t="shared" si="8"/>
        <v/>
      </c>
      <c r="H554" s="15" t="str">
        <f>IF($B554="","",IFERROR(INDEX(Services!$A$2:$A$120,MATCH($B554,Services!$D$2:$D$120,0)),""))</f>
        <v/>
      </c>
      <c r="I554" s="19"/>
      <c r="J554" s="15" t="str">
        <f>IF($B554="","",IFERROR(INDEX(Services!$E$2:$E$120,MATCH($B554,Services!$D$2:$D$120,0)),""))</f>
        <v/>
      </c>
    </row>
    <row r="555" spans="1:10" x14ac:dyDescent="0.3">
      <c r="A555" s="18"/>
      <c r="B555" s="6"/>
      <c r="C555" s="6"/>
      <c r="D555" s="6"/>
      <c r="E555" s="16" t="str">
        <f>IF($B555="","",IFERROR(INDEX(Services!$C$2:$C$120,MATCH($B555,Services!$D$2:$D$120,0)),""))</f>
        <v/>
      </c>
      <c r="F555" s="19"/>
      <c r="G555" s="9" t="str">
        <f t="shared" si="8"/>
        <v/>
      </c>
      <c r="H555" s="15" t="str">
        <f>IF($B555="","",IFERROR(INDEX(Services!$A$2:$A$120,MATCH($B555,Services!$D$2:$D$120,0)),""))</f>
        <v/>
      </c>
      <c r="I555" s="19"/>
      <c r="J555" s="15" t="str">
        <f>IF($B555="","",IFERROR(INDEX(Services!$E$2:$E$120,MATCH($B555,Services!$D$2:$D$120,0)),""))</f>
        <v/>
      </c>
    </row>
    <row r="556" spans="1:10" x14ac:dyDescent="0.3">
      <c r="A556" s="18"/>
      <c r="B556" s="6"/>
      <c r="C556" s="6"/>
      <c r="D556" s="6"/>
      <c r="E556" s="16" t="str">
        <f>IF($B556="","",IFERROR(INDEX(Services!$C$2:$C$120,MATCH($B556,Services!$D$2:$D$120,0)),""))</f>
        <v/>
      </c>
      <c r="F556" s="19"/>
      <c r="G556" s="9" t="str">
        <f t="shared" si="8"/>
        <v/>
      </c>
      <c r="H556" s="15" t="str">
        <f>IF($B556="","",IFERROR(INDEX(Services!$A$2:$A$120,MATCH($B556,Services!$D$2:$D$120,0)),""))</f>
        <v/>
      </c>
      <c r="I556" s="19"/>
      <c r="J556" s="15" t="str">
        <f>IF($B556="","",IFERROR(INDEX(Services!$E$2:$E$120,MATCH($B556,Services!$D$2:$D$120,0)),""))</f>
        <v/>
      </c>
    </row>
    <row r="557" spans="1:10" x14ac:dyDescent="0.3">
      <c r="A557" s="18"/>
      <c r="B557" s="6"/>
      <c r="C557" s="6"/>
      <c r="D557" s="6"/>
      <c r="E557" s="16" t="str">
        <f>IF($B557="","",IFERROR(INDEX(Services!$C$2:$C$120,MATCH($B557,Services!$D$2:$D$120,0)),""))</f>
        <v/>
      </c>
      <c r="F557" s="19"/>
      <c r="G557" s="9" t="str">
        <f t="shared" si="8"/>
        <v/>
      </c>
      <c r="H557" s="15" t="str">
        <f>IF($B557="","",IFERROR(INDEX(Services!$A$2:$A$120,MATCH($B557,Services!$D$2:$D$120,0)),""))</f>
        <v/>
      </c>
      <c r="I557" s="19"/>
      <c r="J557" s="15" t="str">
        <f>IF($B557="","",IFERROR(INDEX(Services!$E$2:$E$120,MATCH($B557,Services!$D$2:$D$120,0)),""))</f>
        <v/>
      </c>
    </row>
    <row r="558" spans="1:10" x14ac:dyDescent="0.3">
      <c r="A558" s="18"/>
      <c r="B558" s="6"/>
      <c r="C558" s="6"/>
      <c r="D558" s="6"/>
      <c r="E558" s="16" t="str">
        <f>IF($B558="","",IFERROR(INDEX(Services!$C$2:$C$120,MATCH($B558,Services!$D$2:$D$120,0)),""))</f>
        <v/>
      </c>
      <c r="F558" s="19"/>
      <c r="G558" s="9" t="str">
        <f t="shared" si="8"/>
        <v/>
      </c>
      <c r="H558" s="15" t="str">
        <f>IF($B558="","",IFERROR(INDEX(Services!$A$2:$A$120,MATCH($B558,Services!$D$2:$D$120,0)),""))</f>
        <v/>
      </c>
      <c r="I558" s="19"/>
      <c r="J558" s="15" t="str">
        <f>IF($B558="","",IFERROR(INDEX(Services!$E$2:$E$120,MATCH($B558,Services!$D$2:$D$120,0)),""))</f>
        <v/>
      </c>
    </row>
    <row r="559" spans="1:10" x14ac:dyDescent="0.3">
      <c r="A559" s="18"/>
      <c r="B559" s="6"/>
      <c r="C559" s="6"/>
      <c r="D559" s="6"/>
      <c r="E559" s="16" t="str">
        <f>IF($B559="","",IFERROR(INDEX(Services!$C$2:$C$120,MATCH($B559,Services!$D$2:$D$120,0)),""))</f>
        <v/>
      </c>
      <c r="F559" s="19"/>
      <c r="G559" s="9" t="str">
        <f t="shared" si="8"/>
        <v/>
      </c>
      <c r="H559" s="15" t="str">
        <f>IF($B559="","",IFERROR(INDEX(Services!$A$2:$A$120,MATCH($B559,Services!$D$2:$D$120,0)),""))</f>
        <v/>
      </c>
      <c r="I559" s="19"/>
      <c r="J559" s="15" t="str">
        <f>IF($B559="","",IFERROR(INDEX(Services!$E$2:$E$120,MATCH($B559,Services!$D$2:$D$120,0)),""))</f>
        <v/>
      </c>
    </row>
    <row r="560" spans="1:10" x14ac:dyDescent="0.3">
      <c r="A560" s="18"/>
      <c r="B560" s="6"/>
      <c r="C560" s="6"/>
      <c r="D560" s="6"/>
      <c r="E560" s="16" t="str">
        <f>IF($B560="","",IFERROR(INDEX(Services!$C$2:$C$120,MATCH($B560,Services!$D$2:$D$120,0)),""))</f>
        <v/>
      </c>
      <c r="F560" s="19"/>
      <c r="G560" s="9" t="str">
        <f t="shared" si="8"/>
        <v/>
      </c>
      <c r="H560" s="15" t="str">
        <f>IF($B560="","",IFERROR(INDEX(Services!$A$2:$A$120,MATCH($B560,Services!$D$2:$D$120,0)),""))</f>
        <v/>
      </c>
      <c r="I560" s="19"/>
      <c r="J560" s="15" t="str">
        <f>IF($B560="","",IFERROR(INDEX(Services!$E$2:$E$120,MATCH($B560,Services!$D$2:$D$120,0)),""))</f>
        <v/>
      </c>
    </row>
    <row r="561" spans="1:10" x14ac:dyDescent="0.3">
      <c r="A561" s="18"/>
      <c r="B561" s="6"/>
      <c r="C561" s="6"/>
      <c r="D561" s="6"/>
      <c r="E561" s="16" t="str">
        <f>IF($B561="","",IFERROR(INDEX(Services!$C$2:$C$120,MATCH($B561,Services!$D$2:$D$120,0)),""))</f>
        <v/>
      </c>
      <c r="F561" s="19"/>
      <c r="G561" s="9" t="str">
        <f t="shared" si="8"/>
        <v/>
      </c>
      <c r="H561" s="15" t="str">
        <f>IF($B561="","",IFERROR(INDEX(Services!$A$2:$A$120,MATCH($B561,Services!$D$2:$D$120,0)),""))</f>
        <v/>
      </c>
      <c r="I561" s="19"/>
      <c r="J561" s="15" t="str">
        <f>IF($B561="","",IFERROR(INDEX(Services!$E$2:$E$120,MATCH($B561,Services!$D$2:$D$120,0)),""))</f>
        <v/>
      </c>
    </row>
    <row r="562" spans="1:10" x14ac:dyDescent="0.3">
      <c r="A562" s="18"/>
      <c r="B562" s="6"/>
      <c r="C562" s="6"/>
      <c r="D562" s="6"/>
      <c r="E562" s="16" t="str">
        <f>IF($B562="","",IFERROR(INDEX(Services!$C$2:$C$120,MATCH($B562,Services!$D$2:$D$120,0)),""))</f>
        <v/>
      </c>
      <c r="F562" s="19"/>
      <c r="G562" s="9" t="str">
        <f t="shared" si="8"/>
        <v/>
      </c>
      <c r="H562" s="15" t="str">
        <f>IF($B562="","",IFERROR(INDEX(Services!$A$2:$A$120,MATCH($B562,Services!$D$2:$D$120,0)),""))</f>
        <v/>
      </c>
      <c r="I562" s="19"/>
      <c r="J562" s="15" t="str">
        <f>IF($B562="","",IFERROR(INDEX(Services!$E$2:$E$120,MATCH($B562,Services!$D$2:$D$120,0)),""))</f>
        <v/>
      </c>
    </row>
    <row r="563" spans="1:10" x14ac:dyDescent="0.3">
      <c r="A563" s="18"/>
      <c r="B563" s="6"/>
      <c r="C563" s="6"/>
      <c r="D563" s="6"/>
      <c r="E563" s="16" t="str">
        <f>IF($B563="","",IFERROR(INDEX(Services!$C$2:$C$120,MATCH($B563,Services!$D$2:$D$120,0)),""))</f>
        <v/>
      </c>
      <c r="F563" s="19"/>
      <c r="G563" s="9" t="str">
        <f t="shared" si="8"/>
        <v/>
      </c>
      <c r="H563" s="15" t="str">
        <f>IF($B563="","",IFERROR(INDEX(Services!$A$2:$A$120,MATCH($B563,Services!$D$2:$D$120,0)),""))</f>
        <v/>
      </c>
      <c r="I563" s="19"/>
      <c r="J563" s="15" t="str">
        <f>IF($B563="","",IFERROR(INDEX(Services!$E$2:$E$120,MATCH($B563,Services!$D$2:$D$120,0)),""))</f>
        <v/>
      </c>
    </row>
    <row r="564" spans="1:10" x14ac:dyDescent="0.3">
      <c r="A564" s="18"/>
      <c r="B564" s="6"/>
      <c r="C564" s="6"/>
      <c r="D564" s="6"/>
      <c r="E564" s="16" t="str">
        <f>IF($B564="","",IFERROR(INDEX(Services!$C$2:$C$120,MATCH($B564,Services!$D$2:$D$120,0)),""))</f>
        <v/>
      </c>
      <c r="F564" s="19"/>
      <c r="G564" s="9" t="str">
        <f t="shared" si="8"/>
        <v/>
      </c>
      <c r="H564" s="15" t="str">
        <f>IF($B564="","",IFERROR(INDEX(Services!$A$2:$A$120,MATCH($B564,Services!$D$2:$D$120,0)),""))</f>
        <v/>
      </c>
      <c r="I564" s="19"/>
      <c r="J564" s="15" t="str">
        <f>IF($B564="","",IFERROR(INDEX(Services!$E$2:$E$120,MATCH($B564,Services!$D$2:$D$120,0)),""))</f>
        <v/>
      </c>
    </row>
    <row r="565" spans="1:10" x14ac:dyDescent="0.3">
      <c r="A565" s="18"/>
      <c r="B565" s="6"/>
      <c r="C565" s="6"/>
      <c r="D565" s="6"/>
      <c r="E565" s="16" t="str">
        <f>IF($B565="","",IFERROR(INDEX(Services!$C$2:$C$120,MATCH($B565,Services!$D$2:$D$120,0)),""))</f>
        <v/>
      </c>
      <c r="F565" s="19"/>
      <c r="G565" s="9" t="str">
        <f t="shared" si="8"/>
        <v/>
      </c>
      <c r="H565" s="15" t="str">
        <f>IF($B565="","",IFERROR(INDEX(Services!$A$2:$A$120,MATCH($B565,Services!$D$2:$D$120,0)),""))</f>
        <v/>
      </c>
      <c r="I565" s="19"/>
      <c r="J565" s="15" t="str">
        <f>IF($B565="","",IFERROR(INDEX(Services!$E$2:$E$120,MATCH($B565,Services!$D$2:$D$120,0)),""))</f>
        <v/>
      </c>
    </row>
    <row r="566" spans="1:10" x14ac:dyDescent="0.3">
      <c r="A566" s="18"/>
      <c r="B566" s="6"/>
      <c r="C566" s="6"/>
      <c r="D566" s="6"/>
      <c r="E566" s="16" t="str">
        <f>IF($B566="","",IFERROR(INDEX(Services!$C$2:$C$120,MATCH($B566,Services!$D$2:$D$120,0)),""))</f>
        <v/>
      </c>
      <c r="F566" s="19"/>
      <c r="G566" s="9" t="str">
        <f t="shared" si="8"/>
        <v/>
      </c>
      <c r="H566" s="15" t="str">
        <f>IF($B566="","",IFERROR(INDEX(Services!$A$2:$A$120,MATCH($B566,Services!$D$2:$D$120,0)),""))</f>
        <v/>
      </c>
      <c r="I566" s="19"/>
      <c r="J566" s="15" t="str">
        <f>IF($B566="","",IFERROR(INDEX(Services!$E$2:$E$120,MATCH($B566,Services!$D$2:$D$120,0)),""))</f>
        <v/>
      </c>
    </row>
    <row r="567" spans="1:10" x14ac:dyDescent="0.3">
      <c r="A567" s="18"/>
      <c r="B567" s="6"/>
      <c r="C567" s="6"/>
      <c r="D567" s="6"/>
      <c r="E567" s="16" t="str">
        <f>IF($B567="","",IFERROR(INDEX(Services!$C$2:$C$120,MATCH($B567,Services!$D$2:$D$120,0)),""))</f>
        <v/>
      </c>
      <c r="F567" s="19"/>
      <c r="G567" s="9" t="str">
        <f t="shared" si="8"/>
        <v/>
      </c>
      <c r="H567" s="15" t="str">
        <f>IF($B567="","",IFERROR(INDEX(Services!$A$2:$A$120,MATCH($B567,Services!$D$2:$D$120,0)),""))</f>
        <v/>
      </c>
      <c r="I567" s="19"/>
      <c r="J567" s="15" t="str">
        <f>IF($B567="","",IFERROR(INDEX(Services!$E$2:$E$120,MATCH($B567,Services!$D$2:$D$120,0)),""))</f>
        <v/>
      </c>
    </row>
    <row r="568" spans="1:10" x14ac:dyDescent="0.3">
      <c r="A568" s="18"/>
      <c r="B568" s="6"/>
      <c r="C568" s="6"/>
      <c r="D568" s="6"/>
      <c r="E568" s="16" t="str">
        <f>IF($B568="","",IFERROR(INDEX(Services!$C$2:$C$120,MATCH($B568,Services!$D$2:$D$120,0)),""))</f>
        <v/>
      </c>
      <c r="F568" s="19"/>
      <c r="G568" s="9" t="str">
        <f t="shared" si="8"/>
        <v/>
      </c>
      <c r="H568" s="15" t="str">
        <f>IF($B568="","",IFERROR(INDEX(Services!$A$2:$A$120,MATCH($B568,Services!$D$2:$D$120,0)),""))</f>
        <v/>
      </c>
      <c r="I568" s="19"/>
      <c r="J568" s="15" t="str">
        <f>IF($B568="","",IFERROR(INDEX(Services!$E$2:$E$120,MATCH($B568,Services!$D$2:$D$120,0)),""))</f>
        <v/>
      </c>
    </row>
    <row r="569" spans="1:10" x14ac:dyDescent="0.3">
      <c r="A569" s="18"/>
      <c r="B569" s="6"/>
      <c r="C569" s="6"/>
      <c r="D569" s="6"/>
      <c r="E569" s="16" t="str">
        <f>IF($B569="","",IFERROR(INDEX(Services!$C$2:$C$120,MATCH($B569,Services!$D$2:$D$120,0)),""))</f>
        <v/>
      </c>
      <c r="F569" s="19"/>
      <c r="G569" s="9" t="str">
        <f t="shared" si="8"/>
        <v/>
      </c>
      <c r="H569" s="15" t="str">
        <f>IF($B569="","",IFERROR(INDEX(Services!$A$2:$A$120,MATCH($B569,Services!$D$2:$D$120,0)),""))</f>
        <v/>
      </c>
      <c r="I569" s="19"/>
      <c r="J569" s="15" t="str">
        <f>IF($B569="","",IFERROR(INDEX(Services!$E$2:$E$120,MATCH($B569,Services!$D$2:$D$120,0)),""))</f>
        <v/>
      </c>
    </row>
    <row r="570" spans="1:10" x14ac:dyDescent="0.3">
      <c r="A570" s="18"/>
      <c r="B570" s="6"/>
      <c r="C570" s="6"/>
      <c r="D570" s="6"/>
      <c r="E570" s="16" t="str">
        <f>IF($B570="","",IFERROR(INDEX(Services!$C$2:$C$120,MATCH($B570,Services!$D$2:$D$120,0)),""))</f>
        <v/>
      </c>
      <c r="F570" s="19"/>
      <c r="G570" s="9" t="str">
        <f t="shared" si="8"/>
        <v/>
      </c>
      <c r="H570" s="15" t="str">
        <f>IF($B570="","",IFERROR(INDEX(Services!$A$2:$A$120,MATCH($B570,Services!$D$2:$D$120,0)),""))</f>
        <v/>
      </c>
      <c r="I570" s="19"/>
      <c r="J570" s="15" t="str">
        <f>IF($B570="","",IFERROR(INDEX(Services!$E$2:$E$120,MATCH($B570,Services!$D$2:$D$120,0)),""))</f>
        <v/>
      </c>
    </row>
    <row r="571" spans="1:10" x14ac:dyDescent="0.3">
      <c r="A571" s="18"/>
      <c r="B571" s="6"/>
      <c r="C571" s="6"/>
      <c r="D571" s="6"/>
      <c r="E571" s="16" t="str">
        <f>IF($B571="","",IFERROR(INDEX(Services!$C$2:$C$120,MATCH($B571,Services!$D$2:$D$120,0)),""))</f>
        <v/>
      </c>
      <c r="F571" s="19"/>
      <c r="G571" s="9" t="str">
        <f t="shared" si="8"/>
        <v/>
      </c>
      <c r="H571" s="15" t="str">
        <f>IF($B571="","",IFERROR(INDEX(Services!$A$2:$A$120,MATCH($B571,Services!$D$2:$D$120,0)),""))</f>
        <v/>
      </c>
      <c r="I571" s="19"/>
      <c r="J571" s="15" t="str">
        <f>IF($B571="","",IFERROR(INDEX(Services!$E$2:$E$120,MATCH($B571,Services!$D$2:$D$120,0)),""))</f>
        <v/>
      </c>
    </row>
    <row r="572" spans="1:10" x14ac:dyDescent="0.3">
      <c r="A572" s="18"/>
      <c r="B572" s="6"/>
      <c r="C572" s="6"/>
      <c r="D572" s="6"/>
      <c r="E572" s="16" t="str">
        <f>IF($B572="","",IFERROR(INDEX(Services!$C$2:$C$120,MATCH($B572,Services!$D$2:$D$120,0)),""))</f>
        <v/>
      </c>
      <c r="F572" s="19"/>
      <c r="G572" s="9" t="str">
        <f t="shared" si="8"/>
        <v/>
      </c>
      <c r="H572" s="15" t="str">
        <f>IF($B572="","",IFERROR(INDEX(Services!$A$2:$A$120,MATCH($B572,Services!$D$2:$D$120,0)),""))</f>
        <v/>
      </c>
      <c r="I572" s="19"/>
      <c r="J572" s="15" t="str">
        <f>IF($B572="","",IFERROR(INDEX(Services!$E$2:$E$120,MATCH($B572,Services!$D$2:$D$120,0)),""))</f>
        <v/>
      </c>
    </row>
    <row r="573" spans="1:10" x14ac:dyDescent="0.3">
      <c r="A573" s="18"/>
      <c r="B573" s="6"/>
      <c r="C573" s="6"/>
      <c r="D573" s="6"/>
      <c r="E573" s="16" t="str">
        <f>IF($B573="","",IFERROR(INDEX(Services!$C$2:$C$120,MATCH($B573,Services!$D$2:$D$120,0)),""))</f>
        <v/>
      </c>
      <c r="F573" s="19"/>
      <c r="G573" s="9" t="str">
        <f t="shared" si="8"/>
        <v/>
      </c>
      <c r="H573" s="15" t="str">
        <f>IF($B573="","",IFERROR(INDEX(Services!$A$2:$A$120,MATCH($B573,Services!$D$2:$D$120,0)),""))</f>
        <v/>
      </c>
      <c r="I573" s="19"/>
      <c r="J573" s="15" t="str">
        <f>IF($B573="","",IFERROR(INDEX(Services!$E$2:$E$120,MATCH($B573,Services!$D$2:$D$120,0)),""))</f>
        <v/>
      </c>
    </row>
    <row r="574" spans="1:10" x14ac:dyDescent="0.3">
      <c r="A574" s="18"/>
      <c r="B574" s="6"/>
      <c r="C574" s="6"/>
      <c r="D574" s="6"/>
      <c r="E574" s="16" t="str">
        <f>IF($B574="","",IFERROR(INDEX(Services!$C$2:$C$120,MATCH($B574,Services!$D$2:$D$120,0)),""))</f>
        <v/>
      </c>
      <c r="F574" s="19"/>
      <c r="G574" s="9" t="str">
        <f t="shared" si="8"/>
        <v/>
      </c>
      <c r="H574" s="15" t="str">
        <f>IF($B574="","",IFERROR(INDEX(Services!$A$2:$A$120,MATCH($B574,Services!$D$2:$D$120,0)),""))</f>
        <v/>
      </c>
      <c r="I574" s="19"/>
      <c r="J574" s="15" t="str">
        <f>IF($B574="","",IFERROR(INDEX(Services!$E$2:$E$120,MATCH($B574,Services!$D$2:$D$120,0)),""))</f>
        <v/>
      </c>
    </row>
    <row r="575" spans="1:10" x14ac:dyDescent="0.3">
      <c r="A575" s="18"/>
      <c r="B575" s="6"/>
      <c r="C575" s="6"/>
      <c r="D575" s="6"/>
      <c r="E575" s="16" t="str">
        <f>IF($B575="","",IFERROR(INDEX(Services!$C$2:$C$120,MATCH($B575,Services!$D$2:$D$120,0)),""))</f>
        <v/>
      </c>
      <c r="F575" s="19"/>
      <c r="G575" s="9" t="str">
        <f t="shared" si="8"/>
        <v/>
      </c>
      <c r="H575" s="15" t="str">
        <f>IF($B575="","",IFERROR(INDEX(Services!$A$2:$A$120,MATCH($B575,Services!$D$2:$D$120,0)),""))</f>
        <v/>
      </c>
      <c r="I575" s="19"/>
      <c r="J575" s="15" t="str">
        <f>IF($B575="","",IFERROR(INDEX(Services!$E$2:$E$120,MATCH($B575,Services!$D$2:$D$120,0)),""))</f>
        <v/>
      </c>
    </row>
    <row r="576" spans="1:10" x14ac:dyDescent="0.3">
      <c r="A576" s="18"/>
      <c r="B576" s="6"/>
      <c r="C576" s="6"/>
      <c r="D576" s="6"/>
      <c r="E576" s="16" t="str">
        <f>IF($B576="","",IFERROR(INDEX(Services!$C$2:$C$120,MATCH($B576,Services!$D$2:$D$120,0)),""))</f>
        <v/>
      </c>
      <c r="F576" s="19"/>
      <c r="G576" s="9" t="str">
        <f t="shared" si="8"/>
        <v/>
      </c>
      <c r="H576" s="15" t="str">
        <f>IF($B576="","",IFERROR(INDEX(Services!$A$2:$A$120,MATCH($B576,Services!$D$2:$D$120,0)),""))</f>
        <v/>
      </c>
      <c r="I576" s="19"/>
      <c r="J576" s="15" t="str">
        <f>IF($B576="","",IFERROR(INDEX(Services!$E$2:$E$120,MATCH($B576,Services!$D$2:$D$120,0)),""))</f>
        <v/>
      </c>
    </row>
    <row r="577" spans="1:10" x14ac:dyDescent="0.3">
      <c r="A577" s="18"/>
      <c r="B577" s="6"/>
      <c r="C577" s="6"/>
      <c r="D577" s="6"/>
      <c r="E577" s="16" t="str">
        <f>IF($B577="","",IFERROR(INDEX(Services!$C$2:$C$120,MATCH($B577,Services!$D$2:$D$120,0)),""))</f>
        <v/>
      </c>
      <c r="F577" s="19"/>
      <c r="G577" s="9" t="str">
        <f t="shared" si="8"/>
        <v/>
      </c>
      <c r="H577" s="15" t="str">
        <f>IF($B577="","",IFERROR(INDEX(Services!$A$2:$A$120,MATCH($B577,Services!$D$2:$D$120,0)),""))</f>
        <v/>
      </c>
      <c r="I577" s="19"/>
      <c r="J577" s="15" t="str">
        <f>IF($B577="","",IFERROR(INDEX(Services!$E$2:$E$120,MATCH($B577,Services!$D$2:$D$120,0)),""))</f>
        <v/>
      </c>
    </row>
    <row r="578" spans="1:10" x14ac:dyDescent="0.3">
      <c r="A578" s="18"/>
      <c r="B578" s="6"/>
      <c r="C578" s="6"/>
      <c r="D578" s="6"/>
      <c r="E578" s="16" t="str">
        <f>IF($B578="","",IFERROR(INDEX(Services!$C$2:$C$120,MATCH($B578,Services!$D$2:$D$120,0)),""))</f>
        <v/>
      </c>
      <c r="F578" s="19"/>
      <c r="G578" s="9" t="str">
        <f t="shared" ref="G578:G641" si="9">IF(OR($B578="",NOT(ISNUMBER($E578))),"",$E578-IF($F578="",0,$F578))</f>
        <v/>
      </c>
      <c r="H578" s="15" t="str">
        <f>IF($B578="","",IFERROR(INDEX(Services!$A$2:$A$120,MATCH($B578,Services!$D$2:$D$120,0)),""))</f>
        <v/>
      </c>
      <c r="I578" s="19"/>
      <c r="J578" s="15" t="str">
        <f>IF($B578="","",IFERROR(INDEX(Services!$E$2:$E$120,MATCH($B578,Services!$D$2:$D$120,0)),""))</f>
        <v/>
      </c>
    </row>
    <row r="579" spans="1:10" x14ac:dyDescent="0.3">
      <c r="A579" s="18"/>
      <c r="B579" s="6"/>
      <c r="C579" s="6"/>
      <c r="D579" s="6"/>
      <c r="E579" s="16" t="str">
        <f>IF($B579="","",IFERROR(INDEX(Services!$C$2:$C$120,MATCH($B579,Services!$D$2:$D$120,0)),""))</f>
        <v/>
      </c>
      <c r="F579" s="19"/>
      <c r="G579" s="9" t="str">
        <f t="shared" si="9"/>
        <v/>
      </c>
      <c r="H579" s="15" t="str">
        <f>IF($B579="","",IFERROR(INDEX(Services!$A$2:$A$120,MATCH($B579,Services!$D$2:$D$120,0)),""))</f>
        <v/>
      </c>
      <c r="I579" s="19"/>
      <c r="J579" s="15" t="str">
        <f>IF($B579="","",IFERROR(INDEX(Services!$E$2:$E$120,MATCH($B579,Services!$D$2:$D$120,0)),""))</f>
        <v/>
      </c>
    </row>
    <row r="580" spans="1:10" x14ac:dyDescent="0.3">
      <c r="A580" s="18"/>
      <c r="B580" s="6"/>
      <c r="C580" s="6"/>
      <c r="D580" s="6"/>
      <c r="E580" s="16" t="str">
        <f>IF($B580="","",IFERROR(INDEX(Services!$C$2:$C$120,MATCH($B580,Services!$D$2:$D$120,0)),""))</f>
        <v/>
      </c>
      <c r="F580" s="19"/>
      <c r="G580" s="9" t="str">
        <f t="shared" si="9"/>
        <v/>
      </c>
      <c r="H580" s="15" t="str">
        <f>IF($B580="","",IFERROR(INDEX(Services!$A$2:$A$120,MATCH($B580,Services!$D$2:$D$120,0)),""))</f>
        <v/>
      </c>
      <c r="I580" s="19"/>
      <c r="J580" s="15" t="str">
        <f>IF($B580="","",IFERROR(INDEX(Services!$E$2:$E$120,MATCH($B580,Services!$D$2:$D$120,0)),""))</f>
        <v/>
      </c>
    </row>
    <row r="581" spans="1:10" x14ac:dyDescent="0.3">
      <c r="A581" s="18"/>
      <c r="B581" s="6"/>
      <c r="C581" s="6"/>
      <c r="D581" s="6"/>
      <c r="E581" s="16" t="str">
        <f>IF($B581="","",IFERROR(INDEX(Services!$C$2:$C$120,MATCH($B581,Services!$D$2:$D$120,0)),""))</f>
        <v/>
      </c>
      <c r="F581" s="19"/>
      <c r="G581" s="9" t="str">
        <f t="shared" si="9"/>
        <v/>
      </c>
      <c r="H581" s="15" t="str">
        <f>IF($B581="","",IFERROR(INDEX(Services!$A$2:$A$120,MATCH($B581,Services!$D$2:$D$120,0)),""))</f>
        <v/>
      </c>
      <c r="I581" s="19"/>
      <c r="J581" s="15" t="str">
        <f>IF($B581="","",IFERROR(INDEX(Services!$E$2:$E$120,MATCH($B581,Services!$D$2:$D$120,0)),""))</f>
        <v/>
      </c>
    </row>
    <row r="582" spans="1:10" x14ac:dyDescent="0.3">
      <c r="A582" s="18"/>
      <c r="B582" s="6"/>
      <c r="C582" s="6"/>
      <c r="D582" s="6"/>
      <c r="E582" s="16" t="str">
        <f>IF($B582="","",IFERROR(INDEX(Services!$C$2:$C$120,MATCH($B582,Services!$D$2:$D$120,0)),""))</f>
        <v/>
      </c>
      <c r="F582" s="19"/>
      <c r="G582" s="9" t="str">
        <f t="shared" si="9"/>
        <v/>
      </c>
      <c r="H582" s="15" t="str">
        <f>IF($B582="","",IFERROR(INDEX(Services!$A$2:$A$120,MATCH($B582,Services!$D$2:$D$120,0)),""))</f>
        <v/>
      </c>
      <c r="I582" s="19"/>
      <c r="J582" s="15" t="str">
        <f>IF($B582="","",IFERROR(INDEX(Services!$E$2:$E$120,MATCH($B582,Services!$D$2:$D$120,0)),""))</f>
        <v/>
      </c>
    </row>
    <row r="583" spans="1:10" x14ac:dyDescent="0.3">
      <c r="A583" s="18"/>
      <c r="B583" s="6"/>
      <c r="C583" s="6"/>
      <c r="D583" s="6"/>
      <c r="E583" s="16" t="str">
        <f>IF($B583="","",IFERROR(INDEX(Services!$C$2:$C$120,MATCH($B583,Services!$D$2:$D$120,0)),""))</f>
        <v/>
      </c>
      <c r="F583" s="19"/>
      <c r="G583" s="9" t="str">
        <f t="shared" si="9"/>
        <v/>
      </c>
      <c r="H583" s="15" t="str">
        <f>IF($B583="","",IFERROR(INDEX(Services!$A$2:$A$120,MATCH($B583,Services!$D$2:$D$120,0)),""))</f>
        <v/>
      </c>
      <c r="I583" s="19"/>
      <c r="J583" s="15" t="str">
        <f>IF($B583="","",IFERROR(INDEX(Services!$E$2:$E$120,MATCH($B583,Services!$D$2:$D$120,0)),""))</f>
        <v/>
      </c>
    </row>
    <row r="584" spans="1:10" x14ac:dyDescent="0.3">
      <c r="A584" s="18"/>
      <c r="B584" s="6"/>
      <c r="C584" s="6"/>
      <c r="D584" s="6"/>
      <c r="E584" s="16" t="str">
        <f>IF($B584="","",IFERROR(INDEX(Services!$C$2:$C$120,MATCH($B584,Services!$D$2:$D$120,0)),""))</f>
        <v/>
      </c>
      <c r="F584" s="19"/>
      <c r="G584" s="9" t="str">
        <f t="shared" si="9"/>
        <v/>
      </c>
      <c r="H584" s="15" t="str">
        <f>IF($B584="","",IFERROR(INDEX(Services!$A$2:$A$120,MATCH($B584,Services!$D$2:$D$120,0)),""))</f>
        <v/>
      </c>
      <c r="I584" s="19"/>
      <c r="J584" s="15" t="str">
        <f>IF($B584="","",IFERROR(INDEX(Services!$E$2:$E$120,MATCH($B584,Services!$D$2:$D$120,0)),""))</f>
        <v/>
      </c>
    </row>
    <row r="585" spans="1:10" x14ac:dyDescent="0.3">
      <c r="A585" s="18"/>
      <c r="B585" s="6"/>
      <c r="C585" s="6"/>
      <c r="D585" s="6"/>
      <c r="E585" s="16" t="str">
        <f>IF($B585="","",IFERROR(INDEX(Services!$C$2:$C$120,MATCH($B585,Services!$D$2:$D$120,0)),""))</f>
        <v/>
      </c>
      <c r="F585" s="19"/>
      <c r="G585" s="9" t="str">
        <f t="shared" si="9"/>
        <v/>
      </c>
      <c r="H585" s="15" t="str">
        <f>IF($B585="","",IFERROR(INDEX(Services!$A$2:$A$120,MATCH($B585,Services!$D$2:$D$120,0)),""))</f>
        <v/>
      </c>
      <c r="I585" s="19"/>
      <c r="J585" s="15" t="str">
        <f>IF($B585="","",IFERROR(INDEX(Services!$E$2:$E$120,MATCH($B585,Services!$D$2:$D$120,0)),""))</f>
        <v/>
      </c>
    </row>
    <row r="586" spans="1:10" x14ac:dyDescent="0.3">
      <c r="A586" s="18"/>
      <c r="B586" s="6"/>
      <c r="C586" s="6"/>
      <c r="D586" s="6"/>
      <c r="E586" s="16" t="str">
        <f>IF($B586="","",IFERROR(INDEX(Services!$C$2:$C$120,MATCH($B586,Services!$D$2:$D$120,0)),""))</f>
        <v/>
      </c>
      <c r="F586" s="19"/>
      <c r="G586" s="9" t="str">
        <f t="shared" si="9"/>
        <v/>
      </c>
      <c r="H586" s="15" t="str">
        <f>IF($B586="","",IFERROR(INDEX(Services!$A$2:$A$120,MATCH($B586,Services!$D$2:$D$120,0)),""))</f>
        <v/>
      </c>
      <c r="I586" s="19"/>
      <c r="J586" s="15" t="str">
        <f>IF($B586="","",IFERROR(INDEX(Services!$E$2:$E$120,MATCH($B586,Services!$D$2:$D$120,0)),""))</f>
        <v/>
      </c>
    </row>
    <row r="587" spans="1:10" x14ac:dyDescent="0.3">
      <c r="A587" s="18"/>
      <c r="B587" s="6"/>
      <c r="C587" s="6"/>
      <c r="D587" s="6"/>
      <c r="E587" s="16" t="str">
        <f>IF($B587="","",IFERROR(INDEX(Services!$C$2:$C$120,MATCH($B587,Services!$D$2:$D$120,0)),""))</f>
        <v/>
      </c>
      <c r="F587" s="19"/>
      <c r="G587" s="9" t="str">
        <f t="shared" si="9"/>
        <v/>
      </c>
      <c r="H587" s="15" t="str">
        <f>IF($B587="","",IFERROR(INDEX(Services!$A$2:$A$120,MATCH($B587,Services!$D$2:$D$120,0)),""))</f>
        <v/>
      </c>
      <c r="I587" s="19"/>
      <c r="J587" s="15" t="str">
        <f>IF($B587="","",IFERROR(INDEX(Services!$E$2:$E$120,MATCH($B587,Services!$D$2:$D$120,0)),""))</f>
        <v/>
      </c>
    </row>
    <row r="588" spans="1:10" x14ac:dyDescent="0.3">
      <c r="A588" s="18"/>
      <c r="B588" s="6"/>
      <c r="C588" s="6"/>
      <c r="D588" s="6"/>
      <c r="E588" s="16" t="str">
        <f>IF($B588="","",IFERROR(INDEX(Services!$C$2:$C$120,MATCH($B588,Services!$D$2:$D$120,0)),""))</f>
        <v/>
      </c>
      <c r="F588" s="19"/>
      <c r="G588" s="9" t="str">
        <f t="shared" si="9"/>
        <v/>
      </c>
      <c r="H588" s="15" t="str">
        <f>IF($B588="","",IFERROR(INDEX(Services!$A$2:$A$120,MATCH($B588,Services!$D$2:$D$120,0)),""))</f>
        <v/>
      </c>
      <c r="I588" s="19"/>
      <c r="J588" s="15" t="str">
        <f>IF($B588="","",IFERROR(INDEX(Services!$E$2:$E$120,MATCH($B588,Services!$D$2:$D$120,0)),""))</f>
        <v/>
      </c>
    </row>
    <row r="589" spans="1:10" x14ac:dyDescent="0.3">
      <c r="A589" s="18"/>
      <c r="B589" s="6"/>
      <c r="C589" s="6"/>
      <c r="D589" s="6"/>
      <c r="E589" s="16" t="str">
        <f>IF($B589="","",IFERROR(INDEX(Services!$C$2:$C$120,MATCH($B589,Services!$D$2:$D$120,0)),""))</f>
        <v/>
      </c>
      <c r="F589" s="19"/>
      <c r="G589" s="9" t="str">
        <f t="shared" si="9"/>
        <v/>
      </c>
      <c r="H589" s="15" t="str">
        <f>IF($B589="","",IFERROR(INDEX(Services!$A$2:$A$120,MATCH($B589,Services!$D$2:$D$120,0)),""))</f>
        <v/>
      </c>
      <c r="I589" s="19"/>
      <c r="J589" s="15" t="str">
        <f>IF($B589="","",IFERROR(INDEX(Services!$E$2:$E$120,MATCH($B589,Services!$D$2:$D$120,0)),""))</f>
        <v/>
      </c>
    </row>
    <row r="590" spans="1:10" x14ac:dyDescent="0.3">
      <c r="A590" s="18"/>
      <c r="B590" s="6"/>
      <c r="C590" s="6"/>
      <c r="D590" s="6"/>
      <c r="E590" s="16" t="str">
        <f>IF($B590="","",IFERROR(INDEX(Services!$C$2:$C$120,MATCH($B590,Services!$D$2:$D$120,0)),""))</f>
        <v/>
      </c>
      <c r="F590" s="19"/>
      <c r="G590" s="9" t="str">
        <f t="shared" si="9"/>
        <v/>
      </c>
      <c r="H590" s="15" t="str">
        <f>IF($B590="","",IFERROR(INDEX(Services!$A$2:$A$120,MATCH($B590,Services!$D$2:$D$120,0)),""))</f>
        <v/>
      </c>
      <c r="I590" s="19"/>
      <c r="J590" s="15" t="str">
        <f>IF($B590="","",IFERROR(INDEX(Services!$E$2:$E$120,MATCH($B590,Services!$D$2:$D$120,0)),""))</f>
        <v/>
      </c>
    </row>
    <row r="591" spans="1:10" x14ac:dyDescent="0.3">
      <c r="A591" s="18"/>
      <c r="B591" s="6"/>
      <c r="C591" s="6"/>
      <c r="D591" s="6"/>
      <c r="E591" s="16" t="str">
        <f>IF($B591="","",IFERROR(INDEX(Services!$C$2:$C$120,MATCH($B591,Services!$D$2:$D$120,0)),""))</f>
        <v/>
      </c>
      <c r="F591" s="19"/>
      <c r="G591" s="9" t="str">
        <f t="shared" si="9"/>
        <v/>
      </c>
      <c r="H591" s="15" t="str">
        <f>IF($B591="","",IFERROR(INDEX(Services!$A$2:$A$120,MATCH($B591,Services!$D$2:$D$120,0)),""))</f>
        <v/>
      </c>
      <c r="I591" s="19"/>
      <c r="J591" s="15" t="str">
        <f>IF($B591="","",IFERROR(INDEX(Services!$E$2:$E$120,MATCH($B591,Services!$D$2:$D$120,0)),""))</f>
        <v/>
      </c>
    </row>
    <row r="592" spans="1:10" x14ac:dyDescent="0.3">
      <c r="A592" s="18"/>
      <c r="B592" s="6"/>
      <c r="C592" s="6"/>
      <c r="D592" s="6"/>
      <c r="E592" s="16" t="str">
        <f>IF($B592="","",IFERROR(INDEX(Services!$C$2:$C$120,MATCH($B592,Services!$D$2:$D$120,0)),""))</f>
        <v/>
      </c>
      <c r="F592" s="19"/>
      <c r="G592" s="9" t="str">
        <f t="shared" si="9"/>
        <v/>
      </c>
      <c r="H592" s="15" t="str">
        <f>IF($B592="","",IFERROR(INDEX(Services!$A$2:$A$120,MATCH($B592,Services!$D$2:$D$120,0)),""))</f>
        <v/>
      </c>
      <c r="I592" s="19"/>
      <c r="J592" s="15" t="str">
        <f>IF($B592="","",IFERROR(INDEX(Services!$E$2:$E$120,MATCH($B592,Services!$D$2:$D$120,0)),""))</f>
        <v/>
      </c>
    </row>
    <row r="593" spans="1:10" x14ac:dyDescent="0.3">
      <c r="A593" s="18"/>
      <c r="B593" s="6"/>
      <c r="C593" s="6"/>
      <c r="D593" s="6"/>
      <c r="E593" s="16" t="str">
        <f>IF($B593="","",IFERROR(INDEX(Services!$C$2:$C$120,MATCH($B593,Services!$D$2:$D$120,0)),""))</f>
        <v/>
      </c>
      <c r="F593" s="19"/>
      <c r="G593" s="9" t="str">
        <f t="shared" si="9"/>
        <v/>
      </c>
      <c r="H593" s="15" t="str">
        <f>IF($B593="","",IFERROR(INDEX(Services!$A$2:$A$120,MATCH($B593,Services!$D$2:$D$120,0)),""))</f>
        <v/>
      </c>
      <c r="I593" s="19"/>
      <c r="J593" s="15" t="str">
        <f>IF($B593="","",IFERROR(INDEX(Services!$E$2:$E$120,MATCH($B593,Services!$D$2:$D$120,0)),""))</f>
        <v/>
      </c>
    </row>
    <row r="594" spans="1:10" x14ac:dyDescent="0.3">
      <c r="A594" s="18"/>
      <c r="B594" s="6"/>
      <c r="C594" s="6"/>
      <c r="D594" s="6"/>
      <c r="E594" s="16" t="str">
        <f>IF($B594="","",IFERROR(INDEX(Services!$C$2:$C$120,MATCH($B594,Services!$D$2:$D$120,0)),""))</f>
        <v/>
      </c>
      <c r="F594" s="19"/>
      <c r="G594" s="9" t="str">
        <f t="shared" si="9"/>
        <v/>
      </c>
      <c r="H594" s="15" t="str">
        <f>IF($B594="","",IFERROR(INDEX(Services!$A$2:$A$120,MATCH($B594,Services!$D$2:$D$120,0)),""))</f>
        <v/>
      </c>
      <c r="I594" s="19"/>
      <c r="J594" s="15" t="str">
        <f>IF($B594="","",IFERROR(INDEX(Services!$E$2:$E$120,MATCH($B594,Services!$D$2:$D$120,0)),""))</f>
        <v/>
      </c>
    </row>
    <row r="595" spans="1:10" x14ac:dyDescent="0.3">
      <c r="A595" s="18"/>
      <c r="B595" s="6"/>
      <c r="C595" s="6"/>
      <c r="D595" s="6"/>
      <c r="E595" s="16" t="str">
        <f>IF($B595="","",IFERROR(INDEX(Services!$C$2:$C$120,MATCH($B595,Services!$D$2:$D$120,0)),""))</f>
        <v/>
      </c>
      <c r="F595" s="19"/>
      <c r="G595" s="9" t="str">
        <f t="shared" si="9"/>
        <v/>
      </c>
      <c r="H595" s="15" t="str">
        <f>IF($B595="","",IFERROR(INDEX(Services!$A$2:$A$120,MATCH($B595,Services!$D$2:$D$120,0)),""))</f>
        <v/>
      </c>
      <c r="I595" s="19"/>
      <c r="J595" s="15" t="str">
        <f>IF($B595="","",IFERROR(INDEX(Services!$E$2:$E$120,MATCH($B595,Services!$D$2:$D$120,0)),""))</f>
        <v/>
      </c>
    </row>
    <row r="596" spans="1:10" x14ac:dyDescent="0.3">
      <c r="A596" s="18"/>
      <c r="B596" s="6"/>
      <c r="C596" s="6"/>
      <c r="D596" s="6"/>
      <c r="E596" s="16" t="str">
        <f>IF($B596="","",IFERROR(INDEX(Services!$C$2:$C$120,MATCH($B596,Services!$D$2:$D$120,0)),""))</f>
        <v/>
      </c>
      <c r="F596" s="19"/>
      <c r="G596" s="9" t="str">
        <f t="shared" si="9"/>
        <v/>
      </c>
      <c r="H596" s="15" t="str">
        <f>IF($B596="","",IFERROR(INDEX(Services!$A$2:$A$120,MATCH($B596,Services!$D$2:$D$120,0)),""))</f>
        <v/>
      </c>
      <c r="I596" s="19"/>
      <c r="J596" s="15" t="str">
        <f>IF($B596="","",IFERROR(INDEX(Services!$E$2:$E$120,MATCH($B596,Services!$D$2:$D$120,0)),""))</f>
        <v/>
      </c>
    </row>
    <row r="597" spans="1:10" x14ac:dyDescent="0.3">
      <c r="A597" s="18"/>
      <c r="B597" s="6"/>
      <c r="C597" s="6"/>
      <c r="D597" s="6"/>
      <c r="E597" s="16" t="str">
        <f>IF($B597="","",IFERROR(INDEX(Services!$C$2:$C$120,MATCH($B597,Services!$D$2:$D$120,0)),""))</f>
        <v/>
      </c>
      <c r="F597" s="19"/>
      <c r="G597" s="9" t="str">
        <f t="shared" si="9"/>
        <v/>
      </c>
      <c r="H597" s="15" t="str">
        <f>IF($B597="","",IFERROR(INDEX(Services!$A$2:$A$120,MATCH($B597,Services!$D$2:$D$120,0)),""))</f>
        <v/>
      </c>
      <c r="I597" s="19"/>
      <c r="J597" s="15" t="str">
        <f>IF($B597="","",IFERROR(INDEX(Services!$E$2:$E$120,MATCH($B597,Services!$D$2:$D$120,0)),""))</f>
        <v/>
      </c>
    </row>
    <row r="598" spans="1:10" x14ac:dyDescent="0.3">
      <c r="A598" s="18"/>
      <c r="B598" s="6"/>
      <c r="C598" s="6"/>
      <c r="D598" s="6"/>
      <c r="E598" s="16" t="str">
        <f>IF($B598="","",IFERROR(INDEX(Services!$C$2:$C$120,MATCH($B598,Services!$D$2:$D$120,0)),""))</f>
        <v/>
      </c>
      <c r="F598" s="19"/>
      <c r="G598" s="9" t="str">
        <f t="shared" si="9"/>
        <v/>
      </c>
      <c r="H598" s="15" t="str">
        <f>IF($B598="","",IFERROR(INDEX(Services!$A$2:$A$120,MATCH($B598,Services!$D$2:$D$120,0)),""))</f>
        <v/>
      </c>
      <c r="I598" s="19"/>
      <c r="J598" s="15" t="str">
        <f>IF($B598="","",IFERROR(INDEX(Services!$E$2:$E$120,MATCH($B598,Services!$D$2:$D$120,0)),""))</f>
        <v/>
      </c>
    </row>
    <row r="599" spans="1:10" x14ac:dyDescent="0.3">
      <c r="A599" s="18"/>
      <c r="B599" s="6"/>
      <c r="C599" s="6"/>
      <c r="D599" s="6"/>
      <c r="E599" s="16" t="str">
        <f>IF($B599="","",IFERROR(INDEX(Services!$C$2:$C$120,MATCH($B599,Services!$D$2:$D$120,0)),""))</f>
        <v/>
      </c>
      <c r="F599" s="19"/>
      <c r="G599" s="9" t="str">
        <f t="shared" si="9"/>
        <v/>
      </c>
      <c r="H599" s="15" t="str">
        <f>IF($B599="","",IFERROR(INDEX(Services!$A$2:$A$120,MATCH($B599,Services!$D$2:$D$120,0)),""))</f>
        <v/>
      </c>
      <c r="I599" s="19"/>
      <c r="J599" s="15" t="str">
        <f>IF($B599="","",IFERROR(INDEX(Services!$E$2:$E$120,MATCH($B599,Services!$D$2:$D$120,0)),""))</f>
        <v/>
      </c>
    </row>
    <row r="600" spans="1:10" x14ac:dyDescent="0.3">
      <c r="A600" s="18"/>
      <c r="B600" s="6"/>
      <c r="C600" s="6"/>
      <c r="D600" s="6"/>
      <c r="E600" s="16" t="str">
        <f>IF($B600="","",IFERROR(INDEX(Services!$C$2:$C$120,MATCH($B600,Services!$D$2:$D$120,0)),""))</f>
        <v/>
      </c>
      <c r="F600" s="19"/>
      <c r="G600" s="9" t="str">
        <f t="shared" si="9"/>
        <v/>
      </c>
      <c r="H600" s="15" t="str">
        <f>IF($B600="","",IFERROR(INDEX(Services!$A$2:$A$120,MATCH($B600,Services!$D$2:$D$120,0)),""))</f>
        <v/>
      </c>
      <c r="I600" s="19"/>
      <c r="J600" s="15" t="str">
        <f>IF($B600="","",IFERROR(INDEX(Services!$E$2:$E$120,MATCH($B600,Services!$D$2:$D$120,0)),""))</f>
        <v/>
      </c>
    </row>
    <row r="601" spans="1:10" x14ac:dyDescent="0.3">
      <c r="A601" s="18"/>
      <c r="B601" s="6"/>
      <c r="C601" s="6"/>
      <c r="D601" s="6"/>
      <c r="E601" s="16" t="str">
        <f>IF($B601="","",IFERROR(INDEX(Services!$C$2:$C$120,MATCH($B601,Services!$D$2:$D$120,0)),""))</f>
        <v/>
      </c>
      <c r="F601" s="19"/>
      <c r="G601" s="9" t="str">
        <f t="shared" si="9"/>
        <v/>
      </c>
      <c r="H601" s="15" t="str">
        <f>IF($B601="","",IFERROR(INDEX(Services!$A$2:$A$120,MATCH($B601,Services!$D$2:$D$120,0)),""))</f>
        <v/>
      </c>
      <c r="I601" s="19"/>
      <c r="J601" s="15" t="str">
        <f>IF($B601="","",IFERROR(INDEX(Services!$E$2:$E$120,MATCH($B601,Services!$D$2:$D$120,0)),""))</f>
        <v/>
      </c>
    </row>
    <row r="602" spans="1:10" x14ac:dyDescent="0.3">
      <c r="A602" s="18"/>
      <c r="B602" s="6"/>
      <c r="C602" s="6"/>
      <c r="D602" s="6"/>
      <c r="E602" s="16" t="str">
        <f>IF($B602="","",IFERROR(INDEX(Services!$C$2:$C$120,MATCH($B602,Services!$D$2:$D$120,0)),""))</f>
        <v/>
      </c>
      <c r="F602" s="19"/>
      <c r="G602" s="9" t="str">
        <f t="shared" si="9"/>
        <v/>
      </c>
      <c r="H602" s="15" t="str">
        <f>IF($B602="","",IFERROR(INDEX(Services!$A$2:$A$120,MATCH($B602,Services!$D$2:$D$120,0)),""))</f>
        <v/>
      </c>
      <c r="I602" s="19"/>
      <c r="J602" s="15" t="str">
        <f>IF($B602="","",IFERROR(INDEX(Services!$E$2:$E$120,MATCH($B602,Services!$D$2:$D$120,0)),""))</f>
        <v/>
      </c>
    </row>
    <row r="603" spans="1:10" x14ac:dyDescent="0.3">
      <c r="A603" s="18"/>
      <c r="B603" s="6"/>
      <c r="C603" s="6"/>
      <c r="D603" s="6"/>
      <c r="E603" s="16" t="str">
        <f>IF($B603="","",IFERROR(INDEX(Services!$C$2:$C$120,MATCH($B603,Services!$D$2:$D$120,0)),""))</f>
        <v/>
      </c>
      <c r="F603" s="19"/>
      <c r="G603" s="9" t="str">
        <f t="shared" si="9"/>
        <v/>
      </c>
      <c r="H603" s="15" t="str">
        <f>IF($B603="","",IFERROR(INDEX(Services!$A$2:$A$120,MATCH($B603,Services!$D$2:$D$120,0)),""))</f>
        <v/>
      </c>
      <c r="I603" s="19"/>
      <c r="J603" s="15" t="str">
        <f>IF($B603="","",IFERROR(INDEX(Services!$E$2:$E$120,MATCH($B603,Services!$D$2:$D$120,0)),""))</f>
        <v/>
      </c>
    </row>
    <row r="604" spans="1:10" x14ac:dyDescent="0.3">
      <c r="A604" s="18"/>
      <c r="B604" s="6"/>
      <c r="C604" s="6"/>
      <c r="D604" s="6"/>
      <c r="E604" s="16" t="str">
        <f>IF($B604="","",IFERROR(INDEX(Services!$C$2:$C$120,MATCH($B604,Services!$D$2:$D$120,0)),""))</f>
        <v/>
      </c>
      <c r="F604" s="19"/>
      <c r="G604" s="9" t="str">
        <f t="shared" si="9"/>
        <v/>
      </c>
      <c r="H604" s="15" t="str">
        <f>IF($B604="","",IFERROR(INDEX(Services!$A$2:$A$120,MATCH($B604,Services!$D$2:$D$120,0)),""))</f>
        <v/>
      </c>
      <c r="I604" s="19"/>
      <c r="J604" s="15" t="str">
        <f>IF($B604="","",IFERROR(INDEX(Services!$E$2:$E$120,MATCH($B604,Services!$D$2:$D$120,0)),""))</f>
        <v/>
      </c>
    </row>
    <row r="605" spans="1:10" x14ac:dyDescent="0.3">
      <c r="A605" s="18"/>
      <c r="B605" s="6"/>
      <c r="C605" s="6"/>
      <c r="D605" s="6"/>
      <c r="E605" s="16" t="str">
        <f>IF($B605="","",IFERROR(INDEX(Services!$C$2:$C$120,MATCH($B605,Services!$D$2:$D$120,0)),""))</f>
        <v/>
      </c>
      <c r="F605" s="19"/>
      <c r="G605" s="9" t="str">
        <f t="shared" si="9"/>
        <v/>
      </c>
      <c r="H605" s="15" t="str">
        <f>IF($B605="","",IFERROR(INDEX(Services!$A$2:$A$120,MATCH($B605,Services!$D$2:$D$120,0)),""))</f>
        <v/>
      </c>
      <c r="I605" s="19"/>
      <c r="J605" s="15" t="str">
        <f>IF($B605="","",IFERROR(INDEX(Services!$E$2:$E$120,MATCH($B605,Services!$D$2:$D$120,0)),""))</f>
        <v/>
      </c>
    </row>
    <row r="606" spans="1:10" x14ac:dyDescent="0.3">
      <c r="A606" s="18"/>
      <c r="B606" s="6"/>
      <c r="C606" s="6"/>
      <c r="D606" s="6"/>
      <c r="E606" s="16" t="str">
        <f>IF($B606="","",IFERROR(INDEX(Services!$C$2:$C$120,MATCH($B606,Services!$D$2:$D$120,0)),""))</f>
        <v/>
      </c>
      <c r="F606" s="19"/>
      <c r="G606" s="9" t="str">
        <f t="shared" si="9"/>
        <v/>
      </c>
      <c r="H606" s="15" t="str">
        <f>IF($B606="","",IFERROR(INDEX(Services!$A$2:$A$120,MATCH($B606,Services!$D$2:$D$120,0)),""))</f>
        <v/>
      </c>
      <c r="I606" s="19"/>
      <c r="J606" s="15" t="str">
        <f>IF($B606="","",IFERROR(INDEX(Services!$E$2:$E$120,MATCH($B606,Services!$D$2:$D$120,0)),""))</f>
        <v/>
      </c>
    </row>
    <row r="607" spans="1:10" x14ac:dyDescent="0.3">
      <c r="A607" s="18"/>
      <c r="B607" s="6"/>
      <c r="C607" s="6"/>
      <c r="D607" s="6"/>
      <c r="E607" s="16" t="str">
        <f>IF($B607="","",IFERROR(INDEX(Services!$C$2:$C$120,MATCH($B607,Services!$D$2:$D$120,0)),""))</f>
        <v/>
      </c>
      <c r="F607" s="19"/>
      <c r="G607" s="9" t="str">
        <f t="shared" si="9"/>
        <v/>
      </c>
      <c r="H607" s="15" t="str">
        <f>IF($B607="","",IFERROR(INDEX(Services!$A$2:$A$120,MATCH($B607,Services!$D$2:$D$120,0)),""))</f>
        <v/>
      </c>
      <c r="I607" s="19"/>
      <c r="J607" s="15" t="str">
        <f>IF($B607="","",IFERROR(INDEX(Services!$E$2:$E$120,MATCH($B607,Services!$D$2:$D$120,0)),""))</f>
        <v/>
      </c>
    </row>
    <row r="608" spans="1:10" x14ac:dyDescent="0.3">
      <c r="A608" s="18"/>
      <c r="B608" s="6"/>
      <c r="C608" s="6"/>
      <c r="D608" s="6"/>
      <c r="E608" s="16" t="str">
        <f>IF($B608="","",IFERROR(INDEX(Services!$C$2:$C$120,MATCH($B608,Services!$D$2:$D$120,0)),""))</f>
        <v/>
      </c>
      <c r="F608" s="19"/>
      <c r="G608" s="9" t="str">
        <f t="shared" si="9"/>
        <v/>
      </c>
      <c r="H608" s="15" t="str">
        <f>IF($B608="","",IFERROR(INDEX(Services!$A$2:$A$120,MATCH($B608,Services!$D$2:$D$120,0)),""))</f>
        <v/>
      </c>
      <c r="I608" s="19"/>
      <c r="J608" s="15" t="str">
        <f>IF($B608="","",IFERROR(INDEX(Services!$E$2:$E$120,MATCH($B608,Services!$D$2:$D$120,0)),""))</f>
        <v/>
      </c>
    </row>
    <row r="609" spans="1:10" x14ac:dyDescent="0.3">
      <c r="A609" s="18"/>
      <c r="B609" s="6"/>
      <c r="C609" s="6"/>
      <c r="D609" s="6"/>
      <c r="E609" s="16" t="str">
        <f>IF($B609="","",IFERROR(INDEX(Services!$C$2:$C$120,MATCH($B609,Services!$D$2:$D$120,0)),""))</f>
        <v/>
      </c>
      <c r="F609" s="19"/>
      <c r="G609" s="9" t="str">
        <f t="shared" si="9"/>
        <v/>
      </c>
      <c r="H609" s="15" t="str">
        <f>IF($B609="","",IFERROR(INDEX(Services!$A$2:$A$120,MATCH($B609,Services!$D$2:$D$120,0)),""))</f>
        <v/>
      </c>
      <c r="I609" s="19"/>
      <c r="J609" s="15" t="str">
        <f>IF($B609="","",IFERROR(INDEX(Services!$E$2:$E$120,MATCH($B609,Services!$D$2:$D$120,0)),""))</f>
        <v/>
      </c>
    </row>
    <row r="610" spans="1:10" x14ac:dyDescent="0.3">
      <c r="A610" s="18"/>
      <c r="B610" s="6"/>
      <c r="C610" s="6"/>
      <c r="D610" s="6"/>
      <c r="E610" s="16" t="str">
        <f>IF($B610="","",IFERROR(INDEX(Services!$C$2:$C$120,MATCH($B610,Services!$D$2:$D$120,0)),""))</f>
        <v/>
      </c>
      <c r="F610" s="19"/>
      <c r="G610" s="9" t="str">
        <f t="shared" si="9"/>
        <v/>
      </c>
      <c r="H610" s="15" t="str">
        <f>IF($B610="","",IFERROR(INDEX(Services!$A$2:$A$120,MATCH($B610,Services!$D$2:$D$120,0)),""))</f>
        <v/>
      </c>
      <c r="I610" s="19"/>
      <c r="J610" s="15" t="str">
        <f>IF($B610="","",IFERROR(INDEX(Services!$E$2:$E$120,MATCH($B610,Services!$D$2:$D$120,0)),""))</f>
        <v/>
      </c>
    </row>
    <row r="611" spans="1:10" x14ac:dyDescent="0.3">
      <c r="A611" s="18"/>
      <c r="B611" s="6"/>
      <c r="C611" s="6"/>
      <c r="D611" s="6"/>
      <c r="E611" s="16" t="str">
        <f>IF($B611="","",IFERROR(INDEX(Services!$C$2:$C$120,MATCH($B611,Services!$D$2:$D$120,0)),""))</f>
        <v/>
      </c>
      <c r="F611" s="19"/>
      <c r="G611" s="9" t="str">
        <f t="shared" si="9"/>
        <v/>
      </c>
      <c r="H611" s="15" t="str">
        <f>IF($B611="","",IFERROR(INDEX(Services!$A$2:$A$120,MATCH($B611,Services!$D$2:$D$120,0)),""))</f>
        <v/>
      </c>
      <c r="I611" s="19"/>
      <c r="J611" s="15" t="str">
        <f>IF($B611="","",IFERROR(INDEX(Services!$E$2:$E$120,MATCH($B611,Services!$D$2:$D$120,0)),""))</f>
        <v/>
      </c>
    </row>
    <row r="612" spans="1:10" x14ac:dyDescent="0.3">
      <c r="A612" s="18"/>
      <c r="B612" s="6"/>
      <c r="C612" s="6"/>
      <c r="D612" s="6"/>
      <c r="E612" s="16" t="str">
        <f>IF($B612="","",IFERROR(INDEX(Services!$C$2:$C$120,MATCH($B612,Services!$D$2:$D$120,0)),""))</f>
        <v/>
      </c>
      <c r="F612" s="19"/>
      <c r="G612" s="9" t="str">
        <f t="shared" si="9"/>
        <v/>
      </c>
      <c r="H612" s="15" t="str">
        <f>IF($B612="","",IFERROR(INDEX(Services!$A$2:$A$120,MATCH($B612,Services!$D$2:$D$120,0)),""))</f>
        <v/>
      </c>
      <c r="I612" s="19"/>
      <c r="J612" s="15" t="str">
        <f>IF($B612="","",IFERROR(INDEX(Services!$E$2:$E$120,MATCH($B612,Services!$D$2:$D$120,0)),""))</f>
        <v/>
      </c>
    </row>
    <row r="613" spans="1:10" x14ac:dyDescent="0.3">
      <c r="A613" s="18"/>
      <c r="B613" s="6"/>
      <c r="C613" s="6"/>
      <c r="D613" s="6"/>
      <c r="E613" s="16" t="str">
        <f>IF($B613="","",IFERROR(INDEX(Services!$C$2:$C$120,MATCH($B613,Services!$D$2:$D$120,0)),""))</f>
        <v/>
      </c>
      <c r="F613" s="19"/>
      <c r="G613" s="9" t="str">
        <f t="shared" si="9"/>
        <v/>
      </c>
      <c r="H613" s="15" t="str">
        <f>IF($B613="","",IFERROR(INDEX(Services!$A$2:$A$120,MATCH($B613,Services!$D$2:$D$120,0)),""))</f>
        <v/>
      </c>
      <c r="I613" s="19"/>
      <c r="J613" s="15" t="str">
        <f>IF($B613="","",IFERROR(INDEX(Services!$E$2:$E$120,MATCH($B613,Services!$D$2:$D$120,0)),""))</f>
        <v/>
      </c>
    </row>
    <row r="614" spans="1:10" x14ac:dyDescent="0.3">
      <c r="A614" s="18"/>
      <c r="B614" s="6"/>
      <c r="C614" s="6"/>
      <c r="D614" s="6"/>
      <c r="E614" s="16" t="str">
        <f>IF($B614="","",IFERROR(INDEX(Services!$C$2:$C$120,MATCH($B614,Services!$D$2:$D$120,0)),""))</f>
        <v/>
      </c>
      <c r="F614" s="19"/>
      <c r="G614" s="9" t="str">
        <f t="shared" si="9"/>
        <v/>
      </c>
      <c r="H614" s="15" t="str">
        <f>IF($B614="","",IFERROR(INDEX(Services!$A$2:$A$120,MATCH($B614,Services!$D$2:$D$120,0)),""))</f>
        <v/>
      </c>
      <c r="I614" s="19"/>
      <c r="J614" s="15" t="str">
        <f>IF($B614="","",IFERROR(INDEX(Services!$E$2:$E$120,MATCH($B614,Services!$D$2:$D$120,0)),""))</f>
        <v/>
      </c>
    </row>
    <row r="615" spans="1:10" x14ac:dyDescent="0.3">
      <c r="A615" s="18"/>
      <c r="B615" s="6"/>
      <c r="C615" s="6"/>
      <c r="D615" s="6"/>
      <c r="E615" s="16" t="str">
        <f>IF($B615="","",IFERROR(INDEX(Services!$C$2:$C$120,MATCH($B615,Services!$D$2:$D$120,0)),""))</f>
        <v/>
      </c>
      <c r="F615" s="19"/>
      <c r="G615" s="9" t="str">
        <f t="shared" si="9"/>
        <v/>
      </c>
      <c r="H615" s="15" t="str">
        <f>IF($B615="","",IFERROR(INDEX(Services!$A$2:$A$120,MATCH($B615,Services!$D$2:$D$120,0)),""))</f>
        <v/>
      </c>
      <c r="I615" s="19"/>
      <c r="J615" s="15" t="str">
        <f>IF($B615="","",IFERROR(INDEX(Services!$E$2:$E$120,MATCH($B615,Services!$D$2:$D$120,0)),""))</f>
        <v/>
      </c>
    </row>
    <row r="616" spans="1:10" x14ac:dyDescent="0.3">
      <c r="A616" s="18"/>
      <c r="B616" s="6"/>
      <c r="C616" s="6"/>
      <c r="D616" s="6"/>
      <c r="E616" s="16" t="str">
        <f>IF($B616="","",IFERROR(INDEX(Services!$C$2:$C$120,MATCH($B616,Services!$D$2:$D$120,0)),""))</f>
        <v/>
      </c>
      <c r="F616" s="19"/>
      <c r="G616" s="9" t="str">
        <f t="shared" si="9"/>
        <v/>
      </c>
      <c r="H616" s="15" t="str">
        <f>IF($B616="","",IFERROR(INDEX(Services!$A$2:$A$120,MATCH($B616,Services!$D$2:$D$120,0)),""))</f>
        <v/>
      </c>
      <c r="I616" s="19"/>
      <c r="J616" s="15" t="str">
        <f>IF($B616="","",IFERROR(INDEX(Services!$E$2:$E$120,MATCH($B616,Services!$D$2:$D$120,0)),""))</f>
        <v/>
      </c>
    </row>
    <row r="617" spans="1:10" x14ac:dyDescent="0.3">
      <c r="A617" s="18"/>
      <c r="B617" s="6"/>
      <c r="C617" s="6"/>
      <c r="D617" s="6"/>
      <c r="E617" s="16" t="str">
        <f>IF($B617="","",IFERROR(INDEX(Services!$C$2:$C$120,MATCH($B617,Services!$D$2:$D$120,0)),""))</f>
        <v/>
      </c>
      <c r="F617" s="19"/>
      <c r="G617" s="9" t="str">
        <f t="shared" si="9"/>
        <v/>
      </c>
      <c r="H617" s="15" t="str">
        <f>IF($B617="","",IFERROR(INDEX(Services!$A$2:$A$120,MATCH($B617,Services!$D$2:$D$120,0)),""))</f>
        <v/>
      </c>
      <c r="I617" s="19"/>
      <c r="J617" s="15" t="str">
        <f>IF($B617="","",IFERROR(INDEX(Services!$E$2:$E$120,MATCH($B617,Services!$D$2:$D$120,0)),""))</f>
        <v/>
      </c>
    </row>
    <row r="618" spans="1:10" x14ac:dyDescent="0.3">
      <c r="A618" s="18"/>
      <c r="B618" s="6"/>
      <c r="C618" s="6"/>
      <c r="D618" s="6"/>
      <c r="E618" s="16" t="str">
        <f>IF($B618="","",IFERROR(INDEX(Services!$C$2:$C$120,MATCH($B618,Services!$D$2:$D$120,0)),""))</f>
        <v/>
      </c>
      <c r="F618" s="19"/>
      <c r="G618" s="9" t="str">
        <f t="shared" si="9"/>
        <v/>
      </c>
      <c r="H618" s="15" t="str">
        <f>IF($B618="","",IFERROR(INDEX(Services!$A$2:$A$120,MATCH($B618,Services!$D$2:$D$120,0)),""))</f>
        <v/>
      </c>
      <c r="I618" s="19"/>
      <c r="J618" s="15" t="str">
        <f>IF($B618="","",IFERROR(INDEX(Services!$E$2:$E$120,MATCH($B618,Services!$D$2:$D$120,0)),""))</f>
        <v/>
      </c>
    </row>
    <row r="619" spans="1:10" x14ac:dyDescent="0.3">
      <c r="A619" s="18"/>
      <c r="B619" s="6"/>
      <c r="C619" s="6"/>
      <c r="D619" s="6"/>
      <c r="E619" s="16" t="str">
        <f>IF($B619="","",IFERROR(INDEX(Services!$C$2:$C$120,MATCH($B619,Services!$D$2:$D$120,0)),""))</f>
        <v/>
      </c>
      <c r="F619" s="19"/>
      <c r="G619" s="9" t="str">
        <f t="shared" si="9"/>
        <v/>
      </c>
      <c r="H619" s="15" t="str">
        <f>IF($B619="","",IFERROR(INDEX(Services!$A$2:$A$120,MATCH($B619,Services!$D$2:$D$120,0)),""))</f>
        <v/>
      </c>
      <c r="I619" s="19"/>
      <c r="J619" s="15" t="str">
        <f>IF($B619="","",IFERROR(INDEX(Services!$E$2:$E$120,MATCH($B619,Services!$D$2:$D$120,0)),""))</f>
        <v/>
      </c>
    </row>
    <row r="620" spans="1:10" x14ac:dyDescent="0.3">
      <c r="A620" s="18"/>
      <c r="B620" s="6"/>
      <c r="C620" s="6"/>
      <c r="D620" s="6"/>
      <c r="E620" s="16" t="str">
        <f>IF($B620="","",IFERROR(INDEX(Services!$C$2:$C$120,MATCH($B620,Services!$D$2:$D$120,0)),""))</f>
        <v/>
      </c>
      <c r="F620" s="19"/>
      <c r="G620" s="9" t="str">
        <f t="shared" si="9"/>
        <v/>
      </c>
      <c r="H620" s="15" t="str">
        <f>IF($B620="","",IFERROR(INDEX(Services!$A$2:$A$120,MATCH($B620,Services!$D$2:$D$120,0)),""))</f>
        <v/>
      </c>
      <c r="I620" s="19"/>
      <c r="J620" s="15" t="str">
        <f>IF($B620="","",IFERROR(INDEX(Services!$E$2:$E$120,MATCH($B620,Services!$D$2:$D$120,0)),""))</f>
        <v/>
      </c>
    </row>
    <row r="621" spans="1:10" x14ac:dyDescent="0.3">
      <c r="A621" s="18"/>
      <c r="B621" s="6"/>
      <c r="C621" s="6"/>
      <c r="D621" s="6"/>
      <c r="E621" s="16" t="str">
        <f>IF($B621="","",IFERROR(INDEX(Services!$C$2:$C$120,MATCH($B621,Services!$D$2:$D$120,0)),""))</f>
        <v/>
      </c>
      <c r="F621" s="19"/>
      <c r="G621" s="9" t="str">
        <f t="shared" si="9"/>
        <v/>
      </c>
      <c r="H621" s="15" t="str">
        <f>IF($B621="","",IFERROR(INDEX(Services!$A$2:$A$120,MATCH($B621,Services!$D$2:$D$120,0)),""))</f>
        <v/>
      </c>
      <c r="I621" s="19"/>
      <c r="J621" s="15" t="str">
        <f>IF($B621="","",IFERROR(INDEX(Services!$E$2:$E$120,MATCH($B621,Services!$D$2:$D$120,0)),""))</f>
        <v/>
      </c>
    </row>
    <row r="622" spans="1:10" x14ac:dyDescent="0.3">
      <c r="A622" s="18"/>
      <c r="B622" s="6"/>
      <c r="C622" s="6"/>
      <c r="D622" s="6"/>
      <c r="E622" s="16" t="str">
        <f>IF($B622="","",IFERROR(INDEX(Services!$C$2:$C$120,MATCH($B622,Services!$D$2:$D$120,0)),""))</f>
        <v/>
      </c>
      <c r="F622" s="19"/>
      <c r="G622" s="9" t="str">
        <f t="shared" si="9"/>
        <v/>
      </c>
      <c r="H622" s="15" t="str">
        <f>IF($B622="","",IFERROR(INDEX(Services!$A$2:$A$120,MATCH($B622,Services!$D$2:$D$120,0)),""))</f>
        <v/>
      </c>
      <c r="I622" s="19"/>
      <c r="J622" s="15" t="str">
        <f>IF($B622="","",IFERROR(INDEX(Services!$E$2:$E$120,MATCH($B622,Services!$D$2:$D$120,0)),""))</f>
        <v/>
      </c>
    </row>
    <row r="623" spans="1:10" x14ac:dyDescent="0.3">
      <c r="A623" s="18"/>
      <c r="B623" s="6"/>
      <c r="C623" s="6"/>
      <c r="D623" s="6"/>
      <c r="E623" s="16" t="str">
        <f>IF($B623="","",IFERROR(INDEX(Services!$C$2:$C$120,MATCH($B623,Services!$D$2:$D$120,0)),""))</f>
        <v/>
      </c>
      <c r="F623" s="19"/>
      <c r="G623" s="9" t="str">
        <f t="shared" si="9"/>
        <v/>
      </c>
      <c r="H623" s="15" t="str">
        <f>IF($B623="","",IFERROR(INDEX(Services!$A$2:$A$120,MATCH($B623,Services!$D$2:$D$120,0)),""))</f>
        <v/>
      </c>
      <c r="I623" s="19"/>
      <c r="J623" s="15" t="str">
        <f>IF($B623="","",IFERROR(INDEX(Services!$E$2:$E$120,MATCH($B623,Services!$D$2:$D$120,0)),""))</f>
        <v/>
      </c>
    </row>
    <row r="624" spans="1:10" x14ac:dyDescent="0.3">
      <c r="A624" s="18"/>
      <c r="B624" s="6"/>
      <c r="C624" s="6"/>
      <c r="D624" s="6"/>
      <c r="E624" s="16" t="str">
        <f>IF($B624="","",IFERROR(INDEX(Services!$C$2:$C$120,MATCH($B624,Services!$D$2:$D$120,0)),""))</f>
        <v/>
      </c>
      <c r="F624" s="19"/>
      <c r="G624" s="9" t="str">
        <f t="shared" si="9"/>
        <v/>
      </c>
      <c r="H624" s="15" t="str">
        <f>IF($B624="","",IFERROR(INDEX(Services!$A$2:$A$120,MATCH($B624,Services!$D$2:$D$120,0)),""))</f>
        <v/>
      </c>
      <c r="I624" s="19"/>
      <c r="J624" s="15" t="str">
        <f>IF($B624="","",IFERROR(INDEX(Services!$E$2:$E$120,MATCH($B624,Services!$D$2:$D$120,0)),""))</f>
        <v/>
      </c>
    </row>
    <row r="625" spans="1:10" x14ac:dyDescent="0.3">
      <c r="A625" s="18"/>
      <c r="B625" s="6"/>
      <c r="C625" s="6"/>
      <c r="D625" s="6"/>
      <c r="E625" s="16" t="str">
        <f>IF($B625="","",IFERROR(INDEX(Services!$C$2:$C$120,MATCH($B625,Services!$D$2:$D$120,0)),""))</f>
        <v/>
      </c>
      <c r="F625" s="19"/>
      <c r="G625" s="9" t="str">
        <f t="shared" si="9"/>
        <v/>
      </c>
      <c r="H625" s="15" t="str">
        <f>IF($B625="","",IFERROR(INDEX(Services!$A$2:$A$120,MATCH($B625,Services!$D$2:$D$120,0)),""))</f>
        <v/>
      </c>
      <c r="I625" s="19"/>
      <c r="J625" s="15" t="str">
        <f>IF($B625="","",IFERROR(INDEX(Services!$E$2:$E$120,MATCH($B625,Services!$D$2:$D$120,0)),""))</f>
        <v/>
      </c>
    </row>
    <row r="626" spans="1:10" x14ac:dyDescent="0.3">
      <c r="A626" s="18"/>
      <c r="B626" s="6"/>
      <c r="C626" s="6"/>
      <c r="D626" s="6"/>
      <c r="E626" s="16" t="str">
        <f>IF($B626="","",IFERROR(INDEX(Services!$C$2:$C$120,MATCH($B626,Services!$D$2:$D$120,0)),""))</f>
        <v/>
      </c>
      <c r="F626" s="19"/>
      <c r="G626" s="9" t="str">
        <f t="shared" si="9"/>
        <v/>
      </c>
      <c r="H626" s="15" t="str">
        <f>IF($B626="","",IFERROR(INDEX(Services!$A$2:$A$120,MATCH($B626,Services!$D$2:$D$120,0)),""))</f>
        <v/>
      </c>
      <c r="I626" s="19"/>
      <c r="J626" s="15" t="str">
        <f>IF($B626="","",IFERROR(INDEX(Services!$E$2:$E$120,MATCH($B626,Services!$D$2:$D$120,0)),""))</f>
        <v/>
      </c>
    </row>
    <row r="627" spans="1:10" x14ac:dyDescent="0.3">
      <c r="A627" s="18"/>
      <c r="B627" s="6"/>
      <c r="C627" s="6"/>
      <c r="D627" s="6"/>
      <c r="E627" s="16" t="str">
        <f>IF($B627="","",IFERROR(INDEX(Services!$C$2:$C$120,MATCH($B627,Services!$D$2:$D$120,0)),""))</f>
        <v/>
      </c>
      <c r="F627" s="19"/>
      <c r="G627" s="9" t="str">
        <f t="shared" si="9"/>
        <v/>
      </c>
      <c r="H627" s="15" t="str">
        <f>IF($B627="","",IFERROR(INDEX(Services!$A$2:$A$120,MATCH($B627,Services!$D$2:$D$120,0)),""))</f>
        <v/>
      </c>
      <c r="I627" s="19"/>
      <c r="J627" s="15" t="str">
        <f>IF($B627="","",IFERROR(INDEX(Services!$E$2:$E$120,MATCH($B627,Services!$D$2:$D$120,0)),""))</f>
        <v/>
      </c>
    </row>
    <row r="628" spans="1:10" x14ac:dyDescent="0.3">
      <c r="A628" s="18"/>
      <c r="B628" s="6"/>
      <c r="C628" s="6"/>
      <c r="D628" s="6"/>
      <c r="E628" s="16" t="str">
        <f>IF($B628="","",IFERROR(INDEX(Services!$C$2:$C$120,MATCH($B628,Services!$D$2:$D$120,0)),""))</f>
        <v/>
      </c>
      <c r="F628" s="19"/>
      <c r="G628" s="9" t="str">
        <f t="shared" si="9"/>
        <v/>
      </c>
      <c r="H628" s="15" t="str">
        <f>IF($B628="","",IFERROR(INDEX(Services!$A$2:$A$120,MATCH($B628,Services!$D$2:$D$120,0)),""))</f>
        <v/>
      </c>
      <c r="I628" s="19"/>
      <c r="J628" s="15" t="str">
        <f>IF($B628="","",IFERROR(INDEX(Services!$E$2:$E$120,MATCH($B628,Services!$D$2:$D$120,0)),""))</f>
        <v/>
      </c>
    </row>
    <row r="629" spans="1:10" x14ac:dyDescent="0.3">
      <c r="A629" s="18"/>
      <c r="B629" s="6"/>
      <c r="C629" s="6"/>
      <c r="D629" s="6"/>
      <c r="E629" s="16" t="str">
        <f>IF($B629="","",IFERROR(INDEX(Services!$C$2:$C$120,MATCH($B629,Services!$D$2:$D$120,0)),""))</f>
        <v/>
      </c>
      <c r="F629" s="19"/>
      <c r="G629" s="9" t="str">
        <f t="shared" si="9"/>
        <v/>
      </c>
      <c r="H629" s="15" t="str">
        <f>IF($B629="","",IFERROR(INDEX(Services!$A$2:$A$120,MATCH($B629,Services!$D$2:$D$120,0)),""))</f>
        <v/>
      </c>
      <c r="I629" s="19"/>
      <c r="J629" s="15" t="str">
        <f>IF($B629="","",IFERROR(INDEX(Services!$E$2:$E$120,MATCH($B629,Services!$D$2:$D$120,0)),""))</f>
        <v/>
      </c>
    </row>
    <row r="630" spans="1:10" x14ac:dyDescent="0.3">
      <c r="A630" s="18"/>
      <c r="B630" s="6"/>
      <c r="C630" s="6"/>
      <c r="D630" s="6"/>
      <c r="E630" s="16" t="str">
        <f>IF($B630="","",IFERROR(INDEX(Services!$C$2:$C$120,MATCH($B630,Services!$D$2:$D$120,0)),""))</f>
        <v/>
      </c>
      <c r="F630" s="19"/>
      <c r="G630" s="9" t="str">
        <f t="shared" si="9"/>
        <v/>
      </c>
      <c r="H630" s="15" t="str">
        <f>IF($B630="","",IFERROR(INDEX(Services!$A$2:$A$120,MATCH($B630,Services!$D$2:$D$120,0)),""))</f>
        <v/>
      </c>
      <c r="I630" s="19"/>
      <c r="J630" s="15" t="str">
        <f>IF($B630="","",IFERROR(INDEX(Services!$E$2:$E$120,MATCH($B630,Services!$D$2:$D$120,0)),""))</f>
        <v/>
      </c>
    </row>
    <row r="631" spans="1:10" x14ac:dyDescent="0.3">
      <c r="A631" s="18"/>
      <c r="B631" s="6"/>
      <c r="C631" s="6"/>
      <c r="D631" s="6"/>
      <c r="E631" s="16" t="str">
        <f>IF($B631="","",IFERROR(INDEX(Services!$C$2:$C$120,MATCH($B631,Services!$D$2:$D$120,0)),""))</f>
        <v/>
      </c>
      <c r="F631" s="19"/>
      <c r="G631" s="9" t="str">
        <f t="shared" si="9"/>
        <v/>
      </c>
      <c r="H631" s="15" t="str">
        <f>IF($B631="","",IFERROR(INDEX(Services!$A$2:$A$120,MATCH($B631,Services!$D$2:$D$120,0)),""))</f>
        <v/>
      </c>
      <c r="I631" s="19"/>
      <c r="J631" s="15" t="str">
        <f>IF($B631="","",IFERROR(INDEX(Services!$E$2:$E$120,MATCH($B631,Services!$D$2:$D$120,0)),""))</f>
        <v/>
      </c>
    </row>
    <row r="632" spans="1:10" x14ac:dyDescent="0.3">
      <c r="A632" s="18"/>
      <c r="B632" s="6"/>
      <c r="C632" s="6"/>
      <c r="D632" s="6"/>
      <c r="E632" s="16" t="str">
        <f>IF($B632="","",IFERROR(INDEX(Services!$C$2:$C$120,MATCH($B632,Services!$D$2:$D$120,0)),""))</f>
        <v/>
      </c>
      <c r="F632" s="19"/>
      <c r="G632" s="9" t="str">
        <f t="shared" si="9"/>
        <v/>
      </c>
      <c r="H632" s="15" t="str">
        <f>IF($B632="","",IFERROR(INDEX(Services!$A$2:$A$120,MATCH($B632,Services!$D$2:$D$120,0)),""))</f>
        <v/>
      </c>
      <c r="I632" s="19"/>
      <c r="J632" s="15" t="str">
        <f>IF($B632="","",IFERROR(INDEX(Services!$E$2:$E$120,MATCH($B632,Services!$D$2:$D$120,0)),""))</f>
        <v/>
      </c>
    </row>
    <row r="633" spans="1:10" x14ac:dyDescent="0.3">
      <c r="A633" s="18"/>
      <c r="B633" s="6"/>
      <c r="C633" s="6"/>
      <c r="D633" s="6"/>
      <c r="E633" s="16" t="str">
        <f>IF($B633="","",IFERROR(INDEX(Services!$C$2:$C$120,MATCH($B633,Services!$D$2:$D$120,0)),""))</f>
        <v/>
      </c>
      <c r="F633" s="19"/>
      <c r="G633" s="9" t="str">
        <f t="shared" si="9"/>
        <v/>
      </c>
      <c r="H633" s="15" t="str">
        <f>IF($B633="","",IFERROR(INDEX(Services!$A$2:$A$120,MATCH($B633,Services!$D$2:$D$120,0)),""))</f>
        <v/>
      </c>
      <c r="I633" s="19"/>
      <c r="J633" s="15" t="str">
        <f>IF($B633="","",IFERROR(INDEX(Services!$E$2:$E$120,MATCH($B633,Services!$D$2:$D$120,0)),""))</f>
        <v/>
      </c>
    </row>
    <row r="634" spans="1:10" x14ac:dyDescent="0.3">
      <c r="A634" s="18"/>
      <c r="B634" s="6"/>
      <c r="C634" s="6"/>
      <c r="D634" s="6"/>
      <c r="E634" s="16" t="str">
        <f>IF($B634="","",IFERROR(INDEX(Services!$C$2:$C$120,MATCH($B634,Services!$D$2:$D$120,0)),""))</f>
        <v/>
      </c>
      <c r="F634" s="19"/>
      <c r="G634" s="9" t="str">
        <f t="shared" si="9"/>
        <v/>
      </c>
      <c r="H634" s="15" t="str">
        <f>IF($B634="","",IFERROR(INDEX(Services!$A$2:$A$120,MATCH($B634,Services!$D$2:$D$120,0)),""))</f>
        <v/>
      </c>
      <c r="I634" s="19"/>
      <c r="J634" s="15" t="str">
        <f>IF($B634="","",IFERROR(INDEX(Services!$E$2:$E$120,MATCH($B634,Services!$D$2:$D$120,0)),""))</f>
        <v/>
      </c>
    </row>
    <row r="635" spans="1:10" x14ac:dyDescent="0.3">
      <c r="A635" s="18"/>
      <c r="B635" s="6"/>
      <c r="C635" s="6"/>
      <c r="D635" s="6"/>
      <c r="E635" s="16" t="str">
        <f>IF($B635="","",IFERROR(INDEX(Services!$C$2:$C$120,MATCH($B635,Services!$D$2:$D$120,0)),""))</f>
        <v/>
      </c>
      <c r="F635" s="19"/>
      <c r="G635" s="9" t="str">
        <f t="shared" si="9"/>
        <v/>
      </c>
      <c r="H635" s="15" t="str">
        <f>IF($B635="","",IFERROR(INDEX(Services!$A$2:$A$120,MATCH($B635,Services!$D$2:$D$120,0)),""))</f>
        <v/>
      </c>
      <c r="I635" s="19"/>
      <c r="J635" s="15" t="str">
        <f>IF($B635="","",IFERROR(INDEX(Services!$E$2:$E$120,MATCH($B635,Services!$D$2:$D$120,0)),""))</f>
        <v/>
      </c>
    </row>
    <row r="636" spans="1:10" x14ac:dyDescent="0.3">
      <c r="A636" s="18"/>
      <c r="B636" s="6"/>
      <c r="C636" s="6"/>
      <c r="D636" s="6"/>
      <c r="E636" s="16" t="str">
        <f>IF($B636="","",IFERROR(INDEX(Services!$C$2:$C$120,MATCH($B636,Services!$D$2:$D$120,0)),""))</f>
        <v/>
      </c>
      <c r="F636" s="19"/>
      <c r="G636" s="9" t="str">
        <f t="shared" si="9"/>
        <v/>
      </c>
      <c r="H636" s="15" t="str">
        <f>IF($B636="","",IFERROR(INDEX(Services!$A$2:$A$120,MATCH($B636,Services!$D$2:$D$120,0)),""))</f>
        <v/>
      </c>
      <c r="I636" s="19"/>
      <c r="J636" s="15" t="str">
        <f>IF($B636="","",IFERROR(INDEX(Services!$E$2:$E$120,MATCH($B636,Services!$D$2:$D$120,0)),""))</f>
        <v/>
      </c>
    </row>
    <row r="637" spans="1:10" x14ac:dyDescent="0.3">
      <c r="A637" s="18"/>
      <c r="B637" s="6"/>
      <c r="C637" s="6"/>
      <c r="D637" s="6"/>
      <c r="E637" s="16" t="str">
        <f>IF($B637="","",IFERROR(INDEX(Services!$C$2:$C$120,MATCH($B637,Services!$D$2:$D$120,0)),""))</f>
        <v/>
      </c>
      <c r="F637" s="19"/>
      <c r="G637" s="9" t="str">
        <f t="shared" si="9"/>
        <v/>
      </c>
      <c r="H637" s="15" t="str">
        <f>IF($B637="","",IFERROR(INDEX(Services!$A$2:$A$120,MATCH($B637,Services!$D$2:$D$120,0)),""))</f>
        <v/>
      </c>
      <c r="I637" s="19"/>
      <c r="J637" s="15" t="str">
        <f>IF($B637="","",IFERROR(INDEX(Services!$E$2:$E$120,MATCH($B637,Services!$D$2:$D$120,0)),""))</f>
        <v/>
      </c>
    </row>
    <row r="638" spans="1:10" x14ac:dyDescent="0.3">
      <c r="A638" s="18"/>
      <c r="B638" s="6"/>
      <c r="C638" s="6"/>
      <c r="D638" s="6"/>
      <c r="E638" s="16" t="str">
        <f>IF($B638="","",IFERROR(INDEX(Services!$C$2:$C$120,MATCH($B638,Services!$D$2:$D$120,0)),""))</f>
        <v/>
      </c>
      <c r="F638" s="19"/>
      <c r="G638" s="9" t="str">
        <f t="shared" si="9"/>
        <v/>
      </c>
      <c r="H638" s="15" t="str">
        <f>IF($B638="","",IFERROR(INDEX(Services!$A$2:$A$120,MATCH($B638,Services!$D$2:$D$120,0)),""))</f>
        <v/>
      </c>
      <c r="I638" s="19"/>
      <c r="J638" s="15" t="str">
        <f>IF($B638="","",IFERROR(INDEX(Services!$E$2:$E$120,MATCH($B638,Services!$D$2:$D$120,0)),""))</f>
        <v/>
      </c>
    </row>
    <row r="639" spans="1:10" x14ac:dyDescent="0.3">
      <c r="A639" s="18"/>
      <c r="B639" s="6"/>
      <c r="C639" s="6"/>
      <c r="D639" s="6"/>
      <c r="E639" s="16" t="str">
        <f>IF($B639="","",IFERROR(INDEX(Services!$C$2:$C$120,MATCH($B639,Services!$D$2:$D$120,0)),""))</f>
        <v/>
      </c>
      <c r="F639" s="19"/>
      <c r="G639" s="9" t="str">
        <f t="shared" si="9"/>
        <v/>
      </c>
      <c r="H639" s="15" t="str">
        <f>IF($B639="","",IFERROR(INDEX(Services!$A$2:$A$120,MATCH($B639,Services!$D$2:$D$120,0)),""))</f>
        <v/>
      </c>
      <c r="I639" s="19"/>
      <c r="J639" s="15" t="str">
        <f>IF($B639="","",IFERROR(INDEX(Services!$E$2:$E$120,MATCH($B639,Services!$D$2:$D$120,0)),""))</f>
        <v/>
      </c>
    </row>
    <row r="640" spans="1:10" x14ac:dyDescent="0.3">
      <c r="A640" s="18"/>
      <c r="B640" s="6"/>
      <c r="C640" s="6"/>
      <c r="D640" s="6"/>
      <c r="E640" s="16" t="str">
        <f>IF($B640="","",IFERROR(INDEX(Services!$C$2:$C$120,MATCH($B640,Services!$D$2:$D$120,0)),""))</f>
        <v/>
      </c>
      <c r="F640" s="19"/>
      <c r="G640" s="9" t="str">
        <f t="shared" si="9"/>
        <v/>
      </c>
      <c r="H640" s="15" t="str">
        <f>IF($B640="","",IFERROR(INDEX(Services!$A$2:$A$120,MATCH($B640,Services!$D$2:$D$120,0)),""))</f>
        <v/>
      </c>
      <c r="I640" s="19"/>
      <c r="J640" s="15" t="str">
        <f>IF($B640="","",IFERROR(INDEX(Services!$E$2:$E$120,MATCH($B640,Services!$D$2:$D$120,0)),""))</f>
        <v/>
      </c>
    </row>
    <row r="641" spans="1:10" x14ac:dyDescent="0.3">
      <c r="A641" s="18"/>
      <c r="B641" s="6"/>
      <c r="C641" s="6"/>
      <c r="D641" s="6"/>
      <c r="E641" s="16" t="str">
        <f>IF($B641="","",IFERROR(INDEX(Services!$C$2:$C$120,MATCH($B641,Services!$D$2:$D$120,0)),""))</f>
        <v/>
      </c>
      <c r="F641" s="19"/>
      <c r="G641" s="9" t="str">
        <f t="shared" si="9"/>
        <v/>
      </c>
      <c r="H641" s="15" t="str">
        <f>IF($B641="","",IFERROR(INDEX(Services!$A$2:$A$120,MATCH($B641,Services!$D$2:$D$120,0)),""))</f>
        <v/>
      </c>
      <c r="I641" s="19"/>
      <c r="J641" s="15" t="str">
        <f>IF($B641="","",IFERROR(INDEX(Services!$E$2:$E$120,MATCH($B641,Services!$D$2:$D$120,0)),""))</f>
        <v/>
      </c>
    </row>
    <row r="642" spans="1:10" x14ac:dyDescent="0.3">
      <c r="A642" s="18"/>
      <c r="B642" s="6"/>
      <c r="C642" s="6"/>
      <c r="D642" s="6"/>
      <c r="E642" s="16" t="str">
        <f>IF($B642="","",IFERROR(INDEX(Services!$C$2:$C$120,MATCH($B642,Services!$D$2:$D$120,0)),""))</f>
        <v/>
      </c>
      <c r="F642" s="19"/>
      <c r="G642" s="9" t="str">
        <f t="shared" ref="G642:G705" si="10">IF(OR($B642="",NOT(ISNUMBER($E642))),"",$E642-IF($F642="",0,$F642))</f>
        <v/>
      </c>
      <c r="H642" s="15" t="str">
        <f>IF($B642="","",IFERROR(INDEX(Services!$A$2:$A$120,MATCH($B642,Services!$D$2:$D$120,0)),""))</f>
        <v/>
      </c>
      <c r="I642" s="19"/>
      <c r="J642" s="15" t="str">
        <f>IF($B642="","",IFERROR(INDEX(Services!$E$2:$E$120,MATCH($B642,Services!$D$2:$D$120,0)),""))</f>
        <v/>
      </c>
    </row>
    <row r="643" spans="1:10" x14ac:dyDescent="0.3">
      <c r="A643" s="18"/>
      <c r="B643" s="6"/>
      <c r="C643" s="6"/>
      <c r="D643" s="6"/>
      <c r="E643" s="16" t="str">
        <f>IF($B643="","",IFERROR(INDEX(Services!$C$2:$C$120,MATCH($B643,Services!$D$2:$D$120,0)),""))</f>
        <v/>
      </c>
      <c r="F643" s="19"/>
      <c r="G643" s="9" t="str">
        <f t="shared" si="10"/>
        <v/>
      </c>
      <c r="H643" s="15" t="str">
        <f>IF($B643="","",IFERROR(INDEX(Services!$A$2:$A$120,MATCH($B643,Services!$D$2:$D$120,0)),""))</f>
        <v/>
      </c>
      <c r="I643" s="19"/>
      <c r="J643" s="15" t="str">
        <f>IF($B643="","",IFERROR(INDEX(Services!$E$2:$E$120,MATCH($B643,Services!$D$2:$D$120,0)),""))</f>
        <v/>
      </c>
    </row>
    <row r="644" spans="1:10" x14ac:dyDescent="0.3">
      <c r="A644" s="18"/>
      <c r="B644" s="6"/>
      <c r="C644" s="6"/>
      <c r="D644" s="6"/>
      <c r="E644" s="16" t="str">
        <f>IF($B644="","",IFERROR(INDEX(Services!$C$2:$C$120,MATCH($B644,Services!$D$2:$D$120,0)),""))</f>
        <v/>
      </c>
      <c r="F644" s="19"/>
      <c r="G644" s="9" t="str">
        <f t="shared" si="10"/>
        <v/>
      </c>
      <c r="H644" s="15" t="str">
        <f>IF($B644="","",IFERROR(INDEX(Services!$A$2:$A$120,MATCH($B644,Services!$D$2:$D$120,0)),""))</f>
        <v/>
      </c>
      <c r="I644" s="19"/>
      <c r="J644" s="15" t="str">
        <f>IF($B644="","",IFERROR(INDEX(Services!$E$2:$E$120,MATCH($B644,Services!$D$2:$D$120,0)),""))</f>
        <v/>
      </c>
    </row>
    <row r="645" spans="1:10" x14ac:dyDescent="0.3">
      <c r="A645" s="18"/>
      <c r="B645" s="6"/>
      <c r="C645" s="6"/>
      <c r="D645" s="6"/>
      <c r="E645" s="16" t="str">
        <f>IF($B645="","",IFERROR(INDEX(Services!$C$2:$C$120,MATCH($B645,Services!$D$2:$D$120,0)),""))</f>
        <v/>
      </c>
      <c r="F645" s="19"/>
      <c r="G645" s="9" t="str">
        <f t="shared" si="10"/>
        <v/>
      </c>
      <c r="H645" s="15" t="str">
        <f>IF($B645="","",IFERROR(INDEX(Services!$A$2:$A$120,MATCH($B645,Services!$D$2:$D$120,0)),""))</f>
        <v/>
      </c>
      <c r="I645" s="19"/>
      <c r="J645" s="15" t="str">
        <f>IF($B645="","",IFERROR(INDEX(Services!$E$2:$E$120,MATCH($B645,Services!$D$2:$D$120,0)),""))</f>
        <v/>
      </c>
    </row>
    <row r="646" spans="1:10" x14ac:dyDescent="0.3">
      <c r="A646" s="18"/>
      <c r="B646" s="6"/>
      <c r="C646" s="6"/>
      <c r="D646" s="6"/>
      <c r="E646" s="16" t="str">
        <f>IF($B646="","",IFERROR(INDEX(Services!$C$2:$C$120,MATCH($B646,Services!$D$2:$D$120,0)),""))</f>
        <v/>
      </c>
      <c r="F646" s="19"/>
      <c r="G646" s="9" t="str">
        <f t="shared" si="10"/>
        <v/>
      </c>
      <c r="H646" s="15" t="str">
        <f>IF($B646="","",IFERROR(INDEX(Services!$A$2:$A$120,MATCH($B646,Services!$D$2:$D$120,0)),""))</f>
        <v/>
      </c>
      <c r="I646" s="19"/>
      <c r="J646" s="15" t="str">
        <f>IF($B646="","",IFERROR(INDEX(Services!$E$2:$E$120,MATCH($B646,Services!$D$2:$D$120,0)),""))</f>
        <v/>
      </c>
    </row>
    <row r="647" spans="1:10" x14ac:dyDescent="0.3">
      <c r="A647" s="18"/>
      <c r="B647" s="6"/>
      <c r="C647" s="6"/>
      <c r="D647" s="6"/>
      <c r="E647" s="16" t="str">
        <f>IF($B647="","",IFERROR(INDEX(Services!$C$2:$C$120,MATCH($B647,Services!$D$2:$D$120,0)),""))</f>
        <v/>
      </c>
      <c r="F647" s="19"/>
      <c r="G647" s="9" t="str">
        <f t="shared" si="10"/>
        <v/>
      </c>
      <c r="H647" s="15" t="str">
        <f>IF($B647="","",IFERROR(INDEX(Services!$A$2:$A$120,MATCH($B647,Services!$D$2:$D$120,0)),""))</f>
        <v/>
      </c>
      <c r="I647" s="19"/>
      <c r="J647" s="15" t="str">
        <f>IF($B647="","",IFERROR(INDEX(Services!$E$2:$E$120,MATCH($B647,Services!$D$2:$D$120,0)),""))</f>
        <v/>
      </c>
    </row>
    <row r="648" spans="1:10" x14ac:dyDescent="0.3">
      <c r="A648" s="18"/>
      <c r="B648" s="6"/>
      <c r="C648" s="6"/>
      <c r="D648" s="6"/>
      <c r="E648" s="16" t="str">
        <f>IF($B648="","",IFERROR(INDEX(Services!$C$2:$C$120,MATCH($B648,Services!$D$2:$D$120,0)),""))</f>
        <v/>
      </c>
      <c r="F648" s="19"/>
      <c r="G648" s="9" t="str">
        <f t="shared" si="10"/>
        <v/>
      </c>
      <c r="H648" s="15" t="str">
        <f>IF($B648="","",IFERROR(INDEX(Services!$A$2:$A$120,MATCH($B648,Services!$D$2:$D$120,0)),""))</f>
        <v/>
      </c>
      <c r="I648" s="19"/>
      <c r="J648" s="15" t="str">
        <f>IF($B648="","",IFERROR(INDEX(Services!$E$2:$E$120,MATCH($B648,Services!$D$2:$D$120,0)),""))</f>
        <v/>
      </c>
    </row>
    <row r="649" spans="1:10" x14ac:dyDescent="0.3">
      <c r="A649" s="18"/>
      <c r="B649" s="6"/>
      <c r="C649" s="6"/>
      <c r="D649" s="6"/>
      <c r="E649" s="16" t="str">
        <f>IF($B649="","",IFERROR(INDEX(Services!$C$2:$C$120,MATCH($B649,Services!$D$2:$D$120,0)),""))</f>
        <v/>
      </c>
      <c r="F649" s="19"/>
      <c r="G649" s="9" t="str">
        <f t="shared" si="10"/>
        <v/>
      </c>
      <c r="H649" s="15" t="str">
        <f>IF($B649="","",IFERROR(INDEX(Services!$A$2:$A$120,MATCH($B649,Services!$D$2:$D$120,0)),""))</f>
        <v/>
      </c>
      <c r="I649" s="19"/>
      <c r="J649" s="15" t="str">
        <f>IF($B649="","",IFERROR(INDEX(Services!$E$2:$E$120,MATCH($B649,Services!$D$2:$D$120,0)),""))</f>
        <v/>
      </c>
    </row>
    <row r="650" spans="1:10" x14ac:dyDescent="0.3">
      <c r="A650" s="18"/>
      <c r="B650" s="6"/>
      <c r="C650" s="6"/>
      <c r="D650" s="6"/>
      <c r="E650" s="16" t="str">
        <f>IF($B650="","",IFERROR(INDEX(Services!$C$2:$C$120,MATCH($B650,Services!$D$2:$D$120,0)),""))</f>
        <v/>
      </c>
      <c r="F650" s="19"/>
      <c r="G650" s="9" t="str">
        <f t="shared" si="10"/>
        <v/>
      </c>
      <c r="H650" s="15" t="str">
        <f>IF($B650="","",IFERROR(INDEX(Services!$A$2:$A$120,MATCH($B650,Services!$D$2:$D$120,0)),""))</f>
        <v/>
      </c>
      <c r="I650" s="19"/>
      <c r="J650" s="15" t="str">
        <f>IF($B650="","",IFERROR(INDEX(Services!$E$2:$E$120,MATCH($B650,Services!$D$2:$D$120,0)),""))</f>
        <v/>
      </c>
    </row>
    <row r="651" spans="1:10" x14ac:dyDescent="0.3">
      <c r="A651" s="18"/>
      <c r="B651" s="6"/>
      <c r="C651" s="6"/>
      <c r="D651" s="6"/>
      <c r="E651" s="16" t="str">
        <f>IF($B651="","",IFERROR(INDEX(Services!$C$2:$C$120,MATCH($B651,Services!$D$2:$D$120,0)),""))</f>
        <v/>
      </c>
      <c r="F651" s="19"/>
      <c r="G651" s="9" t="str">
        <f t="shared" si="10"/>
        <v/>
      </c>
      <c r="H651" s="15" t="str">
        <f>IF($B651="","",IFERROR(INDEX(Services!$A$2:$A$120,MATCH($B651,Services!$D$2:$D$120,0)),""))</f>
        <v/>
      </c>
      <c r="I651" s="19"/>
      <c r="J651" s="15" t="str">
        <f>IF($B651="","",IFERROR(INDEX(Services!$E$2:$E$120,MATCH($B651,Services!$D$2:$D$120,0)),""))</f>
        <v/>
      </c>
    </row>
    <row r="652" spans="1:10" x14ac:dyDescent="0.3">
      <c r="A652" s="18"/>
      <c r="B652" s="6"/>
      <c r="C652" s="6"/>
      <c r="D652" s="6"/>
      <c r="E652" s="16" t="str">
        <f>IF($B652="","",IFERROR(INDEX(Services!$C$2:$C$120,MATCH($B652,Services!$D$2:$D$120,0)),""))</f>
        <v/>
      </c>
      <c r="F652" s="19"/>
      <c r="G652" s="9" t="str">
        <f t="shared" si="10"/>
        <v/>
      </c>
      <c r="H652" s="15" t="str">
        <f>IF($B652="","",IFERROR(INDEX(Services!$A$2:$A$120,MATCH($B652,Services!$D$2:$D$120,0)),""))</f>
        <v/>
      </c>
      <c r="I652" s="19"/>
      <c r="J652" s="15" t="str">
        <f>IF($B652="","",IFERROR(INDEX(Services!$E$2:$E$120,MATCH($B652,Services!$D$2:$D$120,0)),""))</f>
        <v/>
      </c>
    </row>
    <row r="653" spans="1:10" x14ac:dyDescent="0.3">
      <c r="A653" s="18"/>
      <c r="B653" s="6"/>
      <c r="C653" s="6"/>
      <c r="D653" s="6"/>
      <c r="E653" s="16" t="str">
        <f>IF($B653="","",IFERROR(INDEX(Services!$C$2:$C$120,MATCH($B653,Services!$D$2:$D$120,0)),""))</f>
        <v/>
      </c>
      <c r="F653" s="19"/>
      <c r="G653" s="9" t="str">
        <f t="shared" si="10"/>
        <v/>
      </c>
      <c r="H653" s="15" t="str">
        <f>IF($B653="","",IFERROR(INDEX(Services!$A$2:$A$120,MATCH($B653,Services!$D$2:$D$120,0)),""))</f>
        <v/>
      </c>
      <c r="I653" s="19"/>
      <c r="J653" s="15" t="str">
        <f>IF($B653="","",IFERROR(INDEX(Services!$E$2:$E$120,MATCH($B653,Services!$D$2:$D$120,0)),""))</f>
        <v/>
      </c>
    </row>
    <row r="654" spans="1:10" x14ac:dyDescent="0.3">
      <c r="A654" s="18"/>
      <c r="B654" s="6"/>
      <c r="C654" s="6"/>
      <c r="D654" s="6"/>
      <c r="E654" s="16" t="str">
        <f>IF($B654="","",IFERROR(INDEX(Services!$C$2:$C$120,MATCH($B654,Services!$D$2:$D$120,0)),""))</f>
        <v/>
      </c>
      <c r="F654" s="19"/>
      <c r="G654" s="9" t="str">
        <f t="shared" si="10"/>
        <v/>
      </c>
      <c r="H654" s="15" t="str">
        <f>IF($B654="","",IFERROR(INDEX(Services!$A$2:$A$120,MATCH($B654,Services!$D$2:$D$120,0)),""))</f>
        <v/>
      </c>
      <c r="I654" s="19"/>
      <c r="J654" s="15" t="str">
        <f>IF($B654="","",IFERROR(INDEX(Services!$E$2:$E$120,MATCH($B654,Services!$D$2:$D$120,0)),""))</f>
        <v/>
      </c>
    </row>
    <row r="655" spans="1:10" x14ac:dyDescent="0.3">
      <c r="A655" s="18"/>
      <c r="B655" s="6"/>
      <c r="C655" s="6"/>
      <c r="D655" s="6"/>
      <c r="E655" s="16" t="str">
        <f>IF($B655="","",IFERROR(INDEX(Services!$C$2:$C$120,MATCH($B655,Services!$D$2:$D$120,0)),""))</f>
        <v/>
      </c>
      <c r="F655" s="19"/>
      <c r="G655" s="9" t="str">
        <f t="shared" si="10"/>
        <v/>
      </c>
      <c r="H655" s="15" t="str">
        <f>IF($B655="","",IFERROR(INDEX(Services!$A$2:$A$120,MATCH($B655,Services!$D$2:$D$120,0)),""))</f>
        <v/>
      </c>
      <c r="I655" s="19"/>
      <c r="J655" s="15" t="str">
        <f>IF($B655="","",IFERROR(INDEX(Services!$E$2:$E$120,MATCH($B655,Services!$D$2:$D$120,0)),""))</f>
        <v/>
      </c>
    </row>
    <row r="656" spans="1:10" x14ac:dyDescent="0.3">
      <c r="A656" s="18"/>
      <c r="B656" s="6"/>
      <c r="C656" s="6"/>
      <c r="D656" s="6"/>
      <c r="E656" s="16" t="str">
        <f>IF($B656="","",IFERROR(INDEX(Services!$C$2:$C$120,MATCH($B656,Services!$D$2:$D$120,0)),""))</f>
        <v/>
      </c>
      <c r="F656" s="19"/>
      <c r="G656" s="9" t="str">
        <f t="shared" si="10"/>
        <v/>
      </c>
      <c r="H656" s="15" t="str">
        <f>IF($B656="","",IFERROR(INDEX(Services!$A$2:$A$120,MATCH($B656,Services!$D$2:$D$120,0)),""))</f>
        <v/>
      </c>
      <c r="I656" s="19"/>
      <c r="J656" s="15" t="str">
        <f>IF($B656="","",IFERROR(INDEX(Services!$E$2:$E$120,MATCH($B656,Services!$D$2:$D$120,0)),""))</f>
        <v/>
      </c>
    </row>
    <row r="657" spans="1:10" x14ac:dyDescent="0.3">
      <c r="A657" s="18"/>
      <c r="B657" s="6"/>
      <c r="C657" s="6"/>
      <c r="D657" s="6"/>
      <c r="E657" s="16" t="str">
        <f>IF($B657="","",IFERROR(INDEX(Services!$C$2:$C$120,MATCH($B657,Services!$D$2:$D$120,0)),""))</f>
        <v/>
      </c>
      <c r="F657" s="19"/>
      <c r="G657" s="9" t="str">
        <f t="shared" si="10"/>
        <v/>
      </c>
      <c r="H657" s="15" t="str">
        <f>IF($B657="","",IFERROR(INDEX(Services!$A$2:$A$120,MATCH($B657,Services!$D$2:$D$120,0)),""))</f>
        <v/>
      </c>
      <c r="I657" s="19"/>
      <c r="J657" s="15" t="str">
        <f>IF($B657="","",IFERROR(INDEX(Services!$E$2:$E$120,MATCH($B657,Services!$D$2:$D$120,0)),""))</f>
        <v/>
      </c>
    </row>
    <row r="658" spans="1:10" x14ac:dyDescent="0.3">
      <c r="A658" s="18"/>
      <c r="B658" s="6"/>
      <c r="C658" s="6"/>
      <c r="D658" s="6"/>
      <c r="E658" s="16" t="str">
        <f>IF($B658="","",IFERROR(INDEX(Services!$C$2:$C$120,MATCH($B658,Services!$D$2:$D$120,0)),""))</f>
        <v/>
      </c>
      <c r="F658" s="19"/>
      <c r="G658" s="9" t="str">
        <f t="shared" si="10"/>
        <v/>
      </c>
      <c r="H658" s="15" t="str">
        <f>IF($B658="","",IFERROR(INDEX(Services!$A$2:$A$120,MATCH($B658,Services!$D$2:$D$120,0)),""))</f>
        <v/>
      </c>
      <c r="I658" s="19"/>
      <c r="J658" s="15" t="str">
        <f>IF($B658="","",IFERROR(INDEX(Services!$E$2:$E$120,MATCH($B658,Services!$D$2:$D$120,0)),""))</f>
        <v/>
      </c>
    </row>
    <row r="659" spans="1:10" x14ac:dyDescent="0.3">
      <c r="A659" s="18"/>
      <c r="B659" s="6"/>
      <c r="C659" s="6"/>
      <c r="D659" s="6"/>
      <c r="E659" s="16" t="str">
        <f>IF($B659="","",IFERROR(INDEX(Services!$C$2:$C$120,MATCH($B659,Services!$D$2:$D$120,0)),""))</f>
        <v/>
      </c>
      <c r="F659" s="19"/>
      <c r="G659" s="9" t="str">
        <f t="shared" si="10"/>
        <v/>
      </c>
      <c r="H659" s="15" t="str">
        <f>IF($B659="","",IFERROR(INDEX(Services!$A$2:$A$120,MATCH($B659,Services!$D$2:$D$120,0)),""))</f>
        <v/>
      </c>
      <c r="I659" s="19"/>
      <c r="J659" s="15" t="str">
        <f>IF($B659="","",IFERROR(INDEX(Services!$E$2:$E$120,MATCH($B659,Services!$D$2:$D$120,0)),""))</f>
        <v/>
      </c>
    </row>
    <row r="660" spans="1:10" x14ac:dyDescent="0.3">
      <c r="A660" s="18"/>
      <c r="B660" s="6"/>
      <c r="C660" s="6"/>
      <c r="D660" s="6"/>
      <c r="E660" s="16" t="str">
        <f>IF($B660="","",IFERROR(INDEX(Services!$C$2:$C$120,MATCH($B660,Services!$D$2:$D$120,0)),""))</f>
        <v/>
      </c>
      <c r="F660" s="19"/>
      <c r="G660" s="9" t="str">
        <f t="shared" si="10"/>
        <v/>
      </c>
      <c r="H660" s="15" t="str">
        <f>IF($B660="","",IFERROR(INDEX(Services!$A$2:$A$120,MATCH($B660,Services!$D$2:$D$120,0)),""))</f>
        <v/>
      </c>
      <c r="I660" s="19"/>
      <c r="J660" s="15" t="str">
        <f>IF($B660="","",IFERROR(INDEX(Services!$E$2:$E$120,MATCH($B660,Services!$D$2:$D$120,0)),""))</f>
        <v/>
      </c>
    </row>
    <row r="661" spans="1:10" x14ac:dyDescent="0.3">
      <c r="A661" s="18"/>
      <c r="B661" s="6"/>
      <c r="C661" s="6"/>
      <c r="D661" s="6"/>
      <c r="E661" s="16" t="str">
        <f>IF($B661="","",IFERROR(INDEX(Services!$C$2:$C$120,MATCH($B661,Services!$D$2:$D$120,0)),""))</f>
        <v/>
      </c>
      <c r="F661" s="19"/>
      <c r="G661" s="9" t="str">
        <f t="shared" si="10"/>
        <v/>
      </c>
      <c r="H661" s="15" t="str">
        <f>IF($B661="","",IFERROR(INDEX(Services!$A$2:$A$120,MATCH($B661,Services!$D$2:$D$120,0)),""))</f>
        <v/>
      </c>
      <c r="I661" s="19"/>
      <c r="J661" s="15" t="str">
        <f>IF($B661="","",IFERROR(INDEX(Services!$E$2:$E$120,MATCH($B661,Services!$D$2:$D$120,0)),""))</f>
        <v/>
      </c>
    </row>
    <row r="662" spans="1:10" x14ac:dyDescent="0.3">
      <c r="A662" s="18"/>
      <c r="B662" s="6"/>
      <c r="C662" s="6"/>
      <c r="D662" s="6"/>
      <c r="E662" s="16" t="str">
        <f>IF($B662="","",IFERROR(INDEX(Services!$C$2:$C$120,MATCH($B662,Services!$D$2:$D$120,0)),""))</f>
        <v/>
      </c>
      <c r="F662" s="19"/>
      <c r="G662" s="9" t="str">
        <f t="shared" si="10"/>
        <v/>
      </c>
      <c r="H662" s="15" t="str">
        <f>IF($B662="","",IFERROR(INDEX(Services!$A$2:$A$120,MATCH($B662,Services!$D$2:$D$120,0)),""))</f>
        <v/>
      </c>
      <c r="I662" s="19"/>
      <c r="J662" s="15" t="str">
        <f>IF($B662="","",IFERROR(INDEX(Services!$E$2:$E$120,MATCH($B662,Services!$D$2:$D$120,0)),""))</f>
        <v/>
      </c>
    </row>
    <row r="663" spans="1:10" x14ac:dyDescent="0.3">
      <c r="A663" s="18"/>
      <c r="B663" s="6"/>
      <c r="C663" s="6"/>
      <c r="D663" s="6"/>
      <c r="E663" s="16" t="str">
        <f>IF($B663="","",IFERROR(INDEX(Services!$C$2:$C$120,MATCH($B663,Services!$D$2:$D$120,0)),""))</f>
        <v/>
      </c>
      <c r="F663" s="19"/>
      <c r="G663" s="9" t="str">
        <f t="shared" si="10"/>
        <v/>
      </c>
      <c r="H663" s="15" t="str">
        <f>IF($B663="","",IFERROR(INDEX(Services!$A$2:$A$120,MATCH($B663,Services!$D$2:$D$120,0)),""))</f>
        <v/>
      </c>
      <c r="I663" s="19"/>
      <c r="J663" s="15" t="str">
        <f>IF($B663="","",IFERROR(INDEX(Services!$E$2:$E$120,MATCH($B663,Services!$D$2:$D$120,0)),""))</f>
        <v/>
      </c>
    </row>
    <row r="664" spans="1:10" x14ac:dyDescent="0.3">
      <c r="A664" s="18"/>
      <c r="B664" s="6"/>
      <c r="C664" s="6"/>
      <c r="D664" s="6"/>
      <c r="E664" s="16" t="str">
        <f>IF($B664="","",IFERROR(INDEX(Services!$C$2:$C$120,MATCH($B664,Services!$D$2:$D$120,0)),""))</f>
        <v/>
      </c>
      <c r="F664" s="19"/>
      <c r="G664" s="9" t="str">
        <f t="shared" si="10"/>
        <v/>
      </c>
      <c r="H664" s="15" t="str">
        <f>IF($B664="","",IFERROR(INDEX(Services!$A$2:$A$120,MATCH($B664,Services!$D$2:$D$120,0)),""))</f>
        <v/>
      </c>
      <c r="I664" s="19"/>
      <c r="J664" s="15" t="str">
        <f>IF($B664="","",IFERROR(INDEX(Services!$E$2:$E$120,MATCH($B664,Services!$D$2:$D$120,0)),""))</f>
        <v/>
      </c>
    </row>
    <row r="665" spans="1:10" x14ac:dyDescent="0.3">
      <c r="A665" s="18"/>
      <c r="B665" s="6"/>
      <c r="C665" s="6"/>
      <c r="D665" s="6"/>
      <c r="E665" s="16" t="str">
        <f>IF($B665="","",IFERROR(INDEX(Services!$C$2:$C$120,MATCH($B665,Services!$D$2:$D$120,0)),""))</f>
        <v/>
      </c>
      <c r="F665" s="19"/>
      <c r="G665" s="9" t="str">
        <f t="shared" si="10"/>
        <v/>
      </c>
      <c r="H665" s="15" t="str">
        <f>IF($B665="","",IFERROR(INDEX(Services!$A$2:$A$120,MATCH($B665,Services!$D$2:$D$120,0)),""))</f>
        <v/>
      </c>
      <c r="I665" s="19"/>
      <c r="J665" s="15" t="str">
        <f>IF($B665="","",IFERROR(INDEX(Services!$E$2:$E$120,MATCH($B665,Services!$D$2:$D$120,0)),""))</f>
        <v/>
      </c>
    </row>
    <row r="666" spans="1:10" x14ac:dyDescent="0.3">
      <c r="A666" s="18"/>
      <c r="B666" s="6"/>
      <c r="C666" s="6"/>
      <c r="D666" s="6"/>
      <c r="E666" s="16" t="str">
        <f>IF($B666="","",IFERROR(INDEX(Services!$C$2:$C$120,MATCH($B666,Services!$D$2:$D$120,0)),""))</f>
        <v/>
      </c>
      <c r="F666" s="19"/>
      <c r="G666" s="9" t="str">
        <f t="shared" si="10"/>
        <v/>
      </c>
      <c r="H666" s="15" t="str">
        <f>IF($B666="","",IFERROR(INDEX(Services!$A$2:$A$120,MATCH($B666,Services!$D$2:$D$120,0)),""))</f>
        <v/>
      </c>
      <c r="I666" s="19"/>
      <c r="J666" s="15" t="str">
        <f>IF($B666="","",IFERROR(INDEX(Services!$E$2:$E$120,MATCH($B666,Services!$D$2:$D$120,0)),""))</f>
        <v/>
      </c>
    </row>
    <row r="667" spans="1:10" x14ac:dyDescent="0.3">
      <c r="A667" s="18"/>
      <c r="B667" s="6"/>
      <c r="C667" s="6"/>
      <c r="D667" s="6"/>
      <c r="E667" s="16" t="str">
        <f>IF($B667="","",IFERROR(INDEX(Services!$C$2:$C$120,MATCH($B667,Services!$D$2:$D$120,0)),""))</f>
        <v/>
      </c>
      <c r="F667" s="19"/>
      <c r="G667" s="9" t="str">
        <f t="shared" si="10"/>
        <v/>
      </c>
      <c r="H667" s="15" t="str">
        <f>IF($B667="","",IFERROR(INDEX(Services!$A$2:$A$120,MATCH($B667,Services!$D$2:$D$120,0)),""))</f>
        <v/>
      </c>
      <c r="I667" s="19"/>
      <c r="J667" s="15" t="str">
        <f>IF($B667="","",IFERROR(INDEX(Services!$E$2:$E$120,MATCH($B667,Services!$D$2:$D$120,0)),""))</f>
        <v/>
      </c>
    </row>
    <row r="668" spans="1:10" x14ac:dyDescent="0.3">
      <c r="A668" s="18"/>
      <c r="B668" s="6"/>
      <c r="C668" s="6"/>
      <c r="D668" s="6"/>
      <c r="E668" s="16" t="str">
        <f>IF($B668="","",IFERROR(INDEX(Services!$C$2:$C$120,MATCH($B668,Services!$D$2:$D$120,0)),""))</f>
        <v/>
      </c>
      <c r="F668" s="19"/>
      <c r="G668" s="9" t="str">
        <f t="shared" si="10"/>
        <v/>
      </c>
      <c r="H668" s="15" t="str">
        <f>IF($B668="","",IFERROR(INDEX(Services!$A$2:$A$120,MATCH($B668,Services!$D$2:$D$120,0)),""))</f>
        <v/>
      </c>
      <c r="I668" s="19"/>
      <c r="J668" s="15" t="str">
        <f>IF($B668="","",IFERROR(INDEX(Services!$E$2:$E$120,MATCH($B668,Services!$D$2:$D$120,0)),""))</f>
        <v/>
      </c>
    </row>
    <row r="669" spans="1:10" x14ac:dyDescent="0.3">
      <c r="A669" s="18"/>
      <c r="B669" s="6"/>
      <c r="C669" s="6"/>
      <c r="D669" s="6"/>
      <c r="E669" s="16" t="str">
        <f>IF($B669="","",IFERROR(INDEX(Services!$C$2:$C$120,MATCH($B669,Services!$D$2:$D$120,0)),""))</f>
        <v/>
      </c>
      <c r="F669" s="19"/>
      <c r="G669" s="9" t="str">
        <f t="shared" si="10"/>
        <v/>
      </c>
      <c r="H669" s="15" t="str">
        <f>IF($B669="","",IFERROR(INDEX(Services!$A$2:$A$120,MATCH($B669,Services!$D$2:$D$120,0)),""))</f>
        <v/>
      </c>
      <c r="I669" s="19"/>
      <c r="J669" s="15" t="str">
        <f>IF($B669="","",IFERROR(INDEX(Services!$E$2:$E$120,MATCH($B669,Services!$D$2:$D$120,0)),""))</f>
        <v/>
      </c>
    </row>
    <row r="670" spans="1:10" x14ac:dyDescent="0.3">
      <c r="A670" s="18"/>
      <c r="B670" s="6"/>
      <c r="C670" s="6"/>
      <c r="D670" s="6"/>
      <c r="E670" s="16" t="str">
        <f>IF($B670="","",IFERROR(INDEX(Services!$C$2:$C$120,MATCH($B670,Services!$D$2:$D$120,0)),""))</f>
        <v/>
      </c>
      <c r="F670" s="19"/>
      <c r="G670" s="9" t="str">
        <f t="shared" si="10"/>
        <v/>
      </c>
      <c r="H670" s="15" t="str">
        <f>IF($B670="","",IFERROR(INDEX(Services!$A$2:$A$120,MATCH($B670,Services!$D$2:$D$120,0)),""))</f>
        <v/>
      </c>
      <c r="I670" s="19"/>
      <c r="J670" s="15" t="str">
        <f>IF($B670="","",IFERROR(INDEX(Services!$E$2:$E$120,MATCH($B670,Services!$D$2:$D$120,0)),""))</f>
        <v/>
      </c>
    </row>
    <row r="671" spans="1:10" x14ac:dyDescent="0.3">
      <c r="A671" s="18"/>
      <c r="B671" s="6"/>
      <c r="C671" s="6"/>
      <c r="D671" s="6"/>
      <c r="E671" s="16" t="str">
        <f>IF($B671="","",IFERROR(INDEX(Services!$C$2:$C$120,MATCH($B671,Services!$D$2:$D$120,0)),""))</f>
        <v/>
      </c>
      <c r="F671" s="19"/>
      <c r="G671" s="9" t="str">
        <f t="shared" si="10"/>
        <v/>
      </c>
      <c r="H671" s="15" t="str">
        <f>IF($B671="","",IFERROR(INDEX(Services!$A$2:$A$120,MATCH($B671,Services!$D$2:$D$120,0)),""))</f>
        <v/>
      </c>
      <c r="I671" s="19"/>
      <c r="J671" s="15" t="str">
        <f>IF($B671="","",IFERROR(INDEX(Services!$E$2:$E$120,MATCH($B671,Services!$D$2:$D$120,0)),""))</f>
        <v/>
      </c>
    </row>
    <row r="672" spans="1:10" x14ac:dyDescent="0.3">
      <c r="A672" s="18"/>
      <c r="B672" s="6"/>
      <c r="C672" s="6"/>
      <c r="D672" s="6"/>
      <c r="E672" s="16" t="str">
        <f>IF($B672="","",IFERROR(INDEX(Services!$C$2:$C$120,MATCH($B672,Services!$D$2:$D$120,0)),""))</f>
        <v/>
      </c>
      <c r="F672" s="19"/>
      <c r="G672" s="9" t="str">
        <f t="shared" si="10"/>
        <v/>
      </c>
      <c r="H672" s="15" t="str">
        <f>IF($B672="","",IFERROR(INDEX(Services!$A$2:$A$120,MATCH($B672,Services!$D$2:$D$120,0)),""))</f>
        <v/>
      </c>
      <c r="I672" s="19"/>
      <c r="J672" s="15" t="str">
        <f>IF($B672="","",IFERROR(INDEX(Services!$E$2:$E$120,MATCH($B672,Services!$D$2:$D$120,0)),""))</f>
        <v/>
      </c>
    </row>
    <row r="673" spans="1:10" x14ac:dyDescent="0.3">
      <c r="A673" s="18"/>
      <c r="B673" s="6"/>
      <c r="C673" s="6"/>
      <c r="D673" s="6"/>
      <c r="E673" s="16" t="str">
        <f>IF($B673="","",IFERROR(INDEX(Services!$C$2:$C$120,MATCH($B673,Services!$D$2:$D$120,0)),""))</f>
        <v/>
      </c>
      <c r="F673" s="19"/>
      <c r="G673" s="9" t="str">
        <f t="shared" si="10"/>
        <v/>
      </c>
      <c r="H673" s="15" t="str">
        <f>IF($B673="","",IFERROR(INDEX(Services!$A$2:$A$120,MATCH($B673,Services!$D$2:$D$120,0)),""))</f>
        <v/>
      </c>
      <c r="I673" s="19"/>
      <c r="J673" s="15" t="str">
        <f>IF($B673="","",IFERROR(INDEX(Services!$E$2:$E$120,MATCH($B673,Services!$D$2:$D$120,0)),""))</f>
        <v/>
      </c>
    </row>
    <row r="674" spans="1:10" x14ac:dyDescent="0.3">
      <c r="A674" s="18"/>
      <c r="B674" s="6"/>
      <c r="C674" s="6"/>
      <c r="D674" s="6"/>
      <c r="E674" s="16" t="str">
        <f>IF($B674="","",IFERROR(INDEX(Services!$C$2:$C$120,MATCH($B674,Services!$D$2:$D$120,0)),""))</f>
        <v/>
      </c>
      <c r="F674" s="19"/>
      <c r="G674" s="9" t="str">
        <f t="shared" si="10"/>
        <v/>
      </c>
      <c r="H674" s="15" t="str">
        <f>IF($B674="","",IFERROR(INDEX(Services!$A$2:$A$120,MATCH($B674,Services!$D$2:$D$120,0)),""))</f>
        <v/>
      </c>
      <c r="I674" s="19"/>
      <c r="J674" s="15" t="str">
        <f>IF($B674="","",IFERROR(INDEX(Services!$E$2:$E$120,MATCH($B674,Services!$D$2:$D$120,0)),""))</f>
        <v/>
      </c>
    </row>
    <row r="675" spans="1:10" x14ac:dyDescent="0.3">
      <c r="A675" s="18"/>
      <c r="B675" s="6"/>
      <c r="C675" s="6"/>
      <c r="D675" s="6"/>
      <c r="E675" s="16" t="str">
        <f>IF($B675="","",IFERROR(INDEX(Services!$C$2:$C$120,MATCH($B675,Services!$D$2:$D$120,0)),""))</f>
        <v/>
      </c>
      <c r="F675" s="19"/>
      <c r="G675" s="9" t="str">
        <f t="shared" si="10"/>
        <v/>
      </c>
      <c r="H675" s="15" t="str">
        <f>IF($B675="","",IFERROR(INDEX(Services!$A$2:$A$120,MATCH($B675,Services!$D$2:$D$120,0)),""))</f>
        <v/>
      </c>
      <c r="I675" s="19"/>
      <c r="J675" s="15" t="str">
        <f>IF($B675="","",IFERROR(INDEX(Services!$E$2:$E$120,MATCH($B675,Services!$D$2:$D$120,0)),""))</f>
        <v/>
      </c>
    </row>
    <row r="676" spans="1:10" x14ac:dyDescent="0.3">
      <c r="A676" s="18"/>
      <c r="B676" s="6"/>
      <c r="C676" s="6"/>
      <c r="D676" s="6"/>
      <c r="E676" s="16" t="str">
        <f>IF($B676="","",IFERROR(INDEX(Services!$C$2:$C$120,MATCH($B676,Services!$D$2:$D$120,0)),""))</f>
        <v/>
      </c>
      <c r="F676" s="19"/>
      <c r="G676" s="9" t="str">
        <f t="shared" si="10"/>
        <v/>
      </c>
      <c r="H676" s="15" t="str">
        <f>IF($B676="","",IFERROR(INDEX(Services!$A$2:$A$120,MATCH($B676,Services!$D$2:$D$120,0)),""))</f>
        <v/>
      </c>
      <c r="I676" s="19"/>
      <c r="J676" s="15" t="str">
        <f>IF($B676="","",IFERROR(INDEX(Services!$E$2:$E$120,MATCH($B676,Services!$D$2:$D$120,0)),""))</f>
        <v/>
      </c>
    </row>
    <row r="677" spans="1:10" x14ac:dyDescent="0.3">
      <c r="A677" s="18"/>
      <c r="B677" s="6"/>
      <c r="C677" s="6"/>
      <c r="D677" s="6"/>
      <c r="E677" s="16" t="str">
        <f>IF($B677="","",IFERROR(INDEX(Services!$C$2:$C$120,MATCH($B677,Services!$D$2:$D$120,0)),""))</f>
        <v/>
      </c>
      <c r="F677" s="19"/>
      <c r="G677" s="9" t="str">
        <f t="shared" si="10"/>
        <v/>
      </c>
      <c r="H677" s="15" t="str">
        <f>IF($B677="","",IFERROR(INDEX(Services!$A$2:$A$120,MATCH($B677,Services!$D$2:$D$120,0)),""))</f>
        <v/>
      </c>
      <c r="I677" s="19"/>
      <c r="J677" s="15" t="str">
        <f>IF($B677="","",IFERROR(INDEX(Services!$E$2:$E$120,MATCH($B677,Services!$D$2:$D$120,0)),""))</f>
        <v/>
      </c>
    </row>
    <row r="678" spans="1:10" x14ac:dyDescent="0.3">
      <c r="A678" s="18"/>
      <c r="B678" s="6"/>
      <c r="C678" s="6"/>
      <c r="D678" s="6"/>
      <c r="E678" s="16" t="str">
        <f>IF($B678="","",IFERROR(INDEX(Services!$C$2:$C$120,MATCH($B678,Services!$D$2:$D$120,0)),""))</f>
        <v/>
      </c>
      <c r="F678" s="19"/>
      <c r="G678" s="9" t="str">
        <f t="shared" si="10"/>
        <v/>
      </c>
      <c r="H678" s="15" t="str">
        <f>IF($B678="","",IFERROR(INDEX(Services!$A$2:$A$120,MATCH($B678,Services!$D$2:$D$120,0)),""))</f>
        <v/>
      </c>
      <c r="I678" s="19"/>
      <c r="J678" s="15" t="str">
        <f>IF($B678="","",IFERROR(INDEX(Services!$E$2:$E$120,MATCH($B678,Services!$D$2:$D$120,0)),""))</f>
        <v/>
      </c>
    </row>
    <row r="679" spans="1:10" x14ac:dyDescent="0.3">
      <c r="A679" s="18"/>
      <c r="B679" s="6"/>
      <c r="C679" s="6"/>
      <c r="D679" s="6"/>
      <c r="E679" s="16" t="str">
        <f>IF($B679="","",IFERROR(INDEX(Services!$C$2:$C$120,MATCH($B679,Services!$D$2:$D$120,0)),""))</f>
        <v/>
      </c>
      <c r="F679" s="19"/>
      <c r="G679" s="9" t="str">
        <f t="shared" si="10"/>
        <v/>
      </c>
      <c r="H679" s="15" t="str">
        <f>IF($B679="","",IFERROR(INDEX(Services!$A$2:$A$120,MATCH($B679,Services!$D$2:$D$120,0)),""))</f>
        <v/>
      </c>
      <c r="I679" s="19"/>
      <c r="J679" s="15" t="str">
        <f>IF($B679="","",IFERROR(INDEX(Services!$E$2:$E$120,MATCH($B679,Services!$D$2:$D$120,0)),""))</f>
        <v/>
      </c>
    </row>
    <row r="680" spans="1:10" x14ac:dyDescent="0.3">
      <c r="A680" s="18"/>
      <c r="B680" s="6"/>
      <c r="C680" s="6"/>
      <c r="D680" s="6"/>
      <c r="E680" s="16" t="str">
        <f>IF($B680="","",IFERROR(INDEX(Services!$C$2:$C$120,MATCH($B680,Services!$D$2:$D$120,0)),""))</f>
        <v/>
      </c>
      <c r="F680" s="19"/>
      <c r="G680" s="9" t="str">
        <f t="shared" si="10"/>
        <v/>
      </c>
      <c r="H680" s="15" t="str">
        <f>IF($B680="","",IFERROR(INDEX(Services!$A$2:$A$120,MATCH($B680,Services!$D$2:$D$120,0)),""))</f>
        <v/>
      </c>
      <c r="I680" s="19"/>
      <c r="J680" s="15" t="str">
        <f>IF($B680="","",IFERROR(INDEX(Services!$E$2:$E$120,MATCH($B680,Services!$D$2:$D$120,0)),""))</f>
        <v/>
      </c>
    </row>
    <row r="681" spans="1:10" x14ac:dyDescent="0.3">
      <c r="A681" s="18"/>
      <c r="B681" s="6"/>
      <c r="C681" s="6"/>
      <c r="D681" s="6"/>
      <c r="E681" s="16" t="str">
        <f>IF($B681="","",IFERROR(INDEX(Services!$C$2:$C$120,MATCH($B681,Services!$D$2:$D$120,0)),""))</f>
        <v/>
      </c>
      <c r="F681" s="19"/>
      <c r="G681" s="9" t="str">
        <f t="shared" si="10"/>
        <v/>
      </c>
      <c r="H681" s="15" t="str">
        <f>IF($B681="","",IFERROR(INDEX(Services!$A$2:$A$120,MATCH($B681,Services!$D$2:$D$120,0)),""))</f>
        <v/>
      </c>
      <c r="I681" s="19"/>
      <c r="J681" s="15" t="str">
        <f>IF($B681="","",IFERROR(INDEX(Services!$E$2:$E$120,MATCH($B681,Services!$D$2:$D$120,0)),""))</f>
        <v/>
      </c>
    </row>
    <row r="682" spans="1:10" x14ac:dyDescent="0.3">
      <c r="A682" s="18"/>
      <c r="B682" s="6"/>
      <c r="C682" s="6"/>
      <c r="D682" s="6"/>
      <c r="E682" s="16" t="str">
        <f>IF($B682="","",IFERROR(INDEX(Services!$C$2:$C$120,MATCH($B682,Services!$D$2:$D$120,0)),""))</f>
        <v/>
      </c>
      <c r="F682" s="19"/>
      <c r="G682" s="9" t="str">
        <f t="shared" si="10"/>
        <v/>
      </c>
      <c r="H682" s="15" t="str">
        <f>IF($B682="","",IFERROR(INDEX(Services!$A$2:$A$120,MATCH($B682,Services!$D$2:$D$120,0)),""))</f>
        <v/>
      </c>
      <c r="I682" s="19"/>
      <c r="J682" s="15" t="str">
        <f>IF($B682="","",IFERROR(INDEX(Services!$E$2:$E$120,MATCH($B682,Services!$D$2:$D$120,0)),""))</f>
        <v/>
      </c>
    </row>
    <row r="683" spans="1:10" x14ac:dyDescent="0.3">
      <c r="A683" s="18"/>
      <c r="B683" s="6"/>
      <c r="C683" s="6"/>
      <c r="D683" s="6"/>
      <c r="E683" s="16" t="str">
        <f>IF($B683="","",IFERROR(INDEX(Services!$C$2:$C$120,MATCH($B683,Services!$D$2:$D$120,0)),""))</f>
        <v/>
      </c>
      <c r="F683" s="19"/>
      <c r="G683" s="9" t="str">
        <f t="shared" si="10"/>
        <v/>
      </c>
      <c r="H683" s="15" t="str">
        <f>IF($B683="","",IFERROR(INDEX(Services!$A$2:$A$120,MATCH($B683,Services!$D$2:$D$120,0)),""))</f>
        <v/>
      </c>
      <c r="I683" s="19"/>
      <c r="J683" s="15" t="str">
        <f>IF($B683="","",IFERROR(INDEX(Services!$E$2:$E$120,MATCH($B683,Services!$D$2:$D$120,0)),""))</f>
        <v/>
      </c>
    </row>
    <row r="684" spans="1:10" x14ac:dyDescent="0.3">
      <c r="A684" s="18"/>
      <c r="B684" s="6"/>
      <c r="C684" s="6"/>
      <c r="D684" s="6"/>
      <c r="E684" s="16" t="str">
        <f>IF($B684="","",IFERROR(INDEX(Services!$C$2:$C$120,MATCH($B684,Services!$D$2:$D$120,0)),""))</f>
        <v/>
      </c>
      <c r="F684" s="19"/>
      <c r="G684" s="9" t="str">
        <f t="shared" si="10"/>
        <v/>
      </c>
      <c r="H684" s="15" t="str">
        <f>IF($B684="","",IFERROR(INDEX(Services!$A$2:$A$120,MATCH($B684,Services!$D$2:$D$120,0)),""))</f>
        <v/>
      </c>
      <c r="I684" s="19"/>
      <c r="J684" s="15" t="str">
        <f>IF($B684="","",IFERROR(INDEX(Services!$E$2:$E$120,MATCH($B684,Services!$D$2:$D$120,0)),""))</f>
        <v/>
      </c>
    </row>
    <row r="685" spans="1:10" x14ac:dyDescent="0.3">
      <c r="A685" s="18"/>
      <c r="B685" s="6"/>
      <c r="C685" s="6"/>
      <c r="D685" s="6"/>
      <c r="E685" s="16" t="str">
        <f>IF($B685="","",IFERROR(INDEX(Services!$C$2:$C$120,MATCH($B685,Services!$D$2:$D$120,0)),""))</f>
        <v/>
      </c>
      <c r="F685" s="19"/>
      <c r="G685" s="9" t="str">
        <f t="shared" si="10"/>
        <v/>
      </c>
      <c r="H685" s="15" t="str">
        <f>IF($B685="","",IFERROR(INDEX(Services!$A$2:$A$120,MATCH($B685,Services!$D$2:$D$120,0)),""))</f>
        <v/>
      </c>
      <c r="I685" s="19"/>
      <c r="J685" s="15" t="str">
        <f>IF($B685="","",IFERROR(INDEX(Services!$E$2:$E$120,MATCH($B685,Services!$D$2:$D$120,0)),""))</f>
        <v/>
      </c>
    </row>
    <row r="686" spans="1:10" x14ac:dyDescent="0.3">
      <c r="A686" s="18"/>
      <c r="B686" s="6"/>
      <c r="C686" s="6"/>
      <c r="D686" s="6"/>
      <c r="E686" s="16" t="str">
        <f>IF($B686="","",IFERROR(INDEX(Services!$C$2:$C$120,MATCH($B686,Services!$D$2:$D$120,0)),""))</f>
        <v/>
      </c>
      <c r="F686" s="19"/>
      <c r="G686" s="9" t="str">
        <f t="shared" si="10"/>
        <v/>
      </c>
      <c r="H686" s="15" t="str">
        <f>IF($B686="","",IFERROR(INDEX(Services!$A$2:$A$120,MATCH($B686,Services!$D$2:$D$120,0)),""))</f>
        <v/>
      </c>
      <c r="I686" s="19"/>
      <c r="J686" s="15" t="str">
        <f>IF($B686="","",IFERROR(INDEX(Services!$E$2:$E$120,MATCH($B686,Services!$D$2:$D$120,0)),""))</f>
        <v/>
      </c>
    </row>
    <row r="687" spans="1:10" x14ac:dyDescent="0.3">
      <c r="A687" s="18"/>
      <c r="B687" s="6"/>
      <c r="C687" s="6"/>
      <c r="D687" s="6"/>
      <c r="E687" s="16" t="str">
        <f>IF($B687="","",IFERROR(INDEX(Services!$C$2:$C$120,MATCH($B687,Services!$D$2:$D$120,0)),""))</f>
        <v/>
      </c>
      <c r="F687" s="19"/>
      <c r="G687" s="9" t="str">
        <f t="shared" si="10"/>
        <v/>
      </c>
      <c r="H687" s="15" t="str">
        <f>IF($B687="","",IFERROR(INDEX(Services!$A$2:$A$120,MATCH($B687,Services!$D$2:$D$120,0)),""))</f>
        <v/>
      </c>
      <c r="I687" s="19"/>
      <c r="J687" s="15" t="str">
        <f>IF($B687="","",IFERROR(INDEX(Services!$E$2:$E$120,MATCH($B687,Services!$D$2:$D$120,0)),""))</f>
        <v/>
      </c>
    </row>
    <row r="688" spans="1:10" x14ac:dyDescent="0.3">
      <c r="A688" s="18"/>
      <c r="B688" s="6"/>
      <c r="C688" s="6"/>
      <c r="D688" s="6"/>
      <c r="E688" s="16" t="str">
        <f>IF($B688="","",IFERROR(INDEX(Services!$C$2:$C$120,MATCH($B688,Services!$D$2:$D$120,0)),""))</f>
        <v/>
      </c>
      <c r="F688" s="19"/>
      <c r="G688" s="9" t="str">
        <f t="shared" si="10"/>
        <v/>
      </c>
      <c r="H688" s="15" t="str">
        <f>IF($B688="","",IFERROR(INDEX(Services!$A$2:$A$120,MATCH($B688,Services!$D$2:$D$120,0)),""))</f>
        <v/>
      </c>
      <c r="I688" s="19"/>
      <c r="J688" s="15" t="str">
        <f>IF($B688="","",IFERROR(INDEX(Services!$E$2:$E$120,MATCH($B688,Services!$D$2:$D$120,0)),""))</f>
        <v/>
      </c>
    </row>
    <row r="689" spans="1:10" x14ac:dyDescent="0.3">
      <c r="A689" s="18"/>
      <c r="B689" s="6"/>
      <c r="C689" s="6"/>
      <c r="D689" s="6"/>
      <c r="E689" s="16" t="str">
        <f>IF($B689="","",IFERROR(INDEX(Services!$C$2:$C$120,MATCH($B689,Services!$D$2:$D$120,0)),""))</f>
        <v/>
      </c>
      <c r="F689" s="19"/>
      <c r="G689" s="9" t="str">
        <f t="shared" si="10"/>
        <v/>
      </c>
      <c r="H689" s="15" t="str">
        <f>IF($B689="","",IFERROR(INDEX(Services!$A$2:$A$120,MATCH($B689,Services!$D$2:$D$120,0)),""))</f>
        <v/>
      </c>
      <c r="I689" s="19"/>
      <c r="J689" s="15" t="str">
        <f>IF($B689="","",IFERROR(INDEX(Services!$E$2:$E$120,MATCH($B689,Services!$D$2:$D$120,0)),""))</f>
        <v/>
      </c>
    </row>
    <row r="690" spans="1:10" x14ac:dyDescent="0.3">
      <c r="A690" s="18"/>
      <c r="B690" s="6"/>
      <c r="C690" s="6"/>
      <c r="D690" s="6"/>
      <c r="E690" s="16" t="str">
        <f>IF($B690="","",IFERROR(INDEX(Services!$C$2:$C$120,MATCH($B690,Services!$D$2:$D$120,0)),""))</f>
        <v/>
      </c>
      <c r="F690" s="19"/>
      <c r="G690" s="9" t="str">
        <f t="shared" si="10"/>
        <v/>
      </c>
      <c r="H690" s="15" t="str">
        <f>IF($B690="","",IFERROR(INDEX(Services!$A$2:$A$120,MATCH($B690,Services!$D$2:$D$120,0)),""))</f>
        <v/>
      </c>
      <c r="I690" s="19"/>
      <c r="J690" s="15" t="str">
        <f>IF($B690="","",IFERROR(INDEX(Services!$E$2:$E$120,MATCH($B690,Services!$D$2:$D$120,0)),""))</f>
        <v/>
      </c>
    </row>
    <row r="691" spans="1:10" x14ac:dyDescent="0.3">
      <c r="A691" s="18"/>
      <c r="B691" s="6"/>
      <c r="C691" s="6"/>
      <c r="D691" s="6"/>
      <c r="E691" s="16" t="str">
        <f>IF($B691="","",IFERROR(INDEX(Services!$C$2:$C$120,MATCH($B691,Services!$D$2:$D$120,0)),""))</f>
        <v/>
      </c>
      <c r="F691" s="19"/>
      <c r="G691" s="9" t="str">
        <f t="shared" si="10"/>
        <v/>
      </c>
      <c r="H691" s="15" t="str">
        <f>IF($B691="","",IFERROR(INDEX(Services!$A$2:$A$120,MATCH($B691,Services!$D$2:$D$120,0)),""))</f>
        <v/>
      </c>
      <c r="I691" s="19"/>
      <c r="J691" s="15" t="str">
        <f>IF($B691="","",IFERROR(INDEX(Services!$E$2:$E$120,MATCH($B691,Services!$D$2:$D$120,0)),""))</f>
        <v/>
      </c>
    </row>
    <row r="692" spans="1:10" x14ac:dyDescent="0.3">
      <c r="A692" s="18"/>
      <c r="B692" s="6"/>
      <c r="C692" s="6"/>
      <c r="D692" s="6"/>
      <c r="E692" s="16" t="str">
        <f>IF($B692="","",IFERROR(INDEX(Services!$C$2:$C$120,MATCH($B692,Services!$D$2:$D$120,0)),""))</f>
        <v/>
      </c>
      <c r="F692" s="19"/>
      <c r="G692" s="9" t="str">
        <f t="shared" si="10"/>
        <v/>
      </c>
      <c r="H692" s="15" t="str">
        <f>IF($B692="","",IFERROR(INDEX(Services!$A$2:$A$120,MATCH($B692,Services!$D$2:$D$120,0)),""))</f>
        <v/>
      </c>
      <c r="I692" s="19"/>
      <c r="J692" s="15" t="str">
        <f>IF($B692="","",IFERROR(INDEX(Services!$E$2:$E$120,MATCH($B692,Services!$D$2:$D$120,0)),""))</f>
        <v/>
      </c>
    </row>
    <row r="693" spans="1:10" x14ac:dyDescent="0.3">
      <c r="A693" s="18"/>
      <c r="B693" s="6"/>
      <c r="C693" s="6"/>
      <c r="D693" s="6"/>
      <c r="E693" s="16" t="str">
        <f>IF($B693="","",IFERROR(INDEX(Services!$C$2:$C$120,MATCH($B693,Services!$D$2:$D$120,0)),""))</f>
        <v/>
      </c>
      <c r="F693" s="19"/>
      <c r="G693" s="9" t="str">
        <f t="shared" si="10"/>
        <v/>
      </c>
      <c r="H693" s="15" t="str">
        <f>IF($B693="","",IFERROR(INDEX(Services!$A$2:$A$120,MATCH($B693,Services!$D$2:$D$120,0)),""))</f>
        <v/>
      </c>
      <c r="I693" s="19"/>
      <c r="J693" s="15" t="str">
        <f>IF($B693="","",IFERROR(INDEX(Services!$E$2:$E$120,MATCH($B693,Services!$D$2:$D$120,0)),""))</f>
        <v/>
      </c>
    </row>
    <row r="694" spans="1:10" x14ac:dyDescent="0.3">
      <c r="A694" s="18"/>
      <c r="B694" s="6"/>
      <c r="C694" s="6"/>
      <c r="D694" s="6"/>
      <c r="E694" s="16" t="str">
        <f>IF($B694="","",IFERROR(INDEX(Services!$C$2:$C$120,MATCH($B694,Services!$D$2:$D$120,0)),""))</f>
        <v/>
      </c>
      <c r="F694" s="19"/>
      <c r="G694" s="9" t="str">
        <f t="shared" si="10"/>
        <v/>
      </c>
      <c r="H694" s="15" t="str">
        <f>IF($B694="","",IFERROR(INDEX(Services!$A$2:$A$120,MATCH($B694,Services!$D$2:$D$120,0)),""))</f>
        <v/>
      </c>
      <c r="I694" s="19"/>
      <c r="J694" s="15" t="str">
        <f>IF($B694="","",IFERROR(INDEX(Services!$E$2:$E$120,MATCH($B694,Services!$D$2:$D$120,0)),""))</f>
        <v/>
      </c>
    </row>
    <row r="695" spans="1:10" x14ac:dyDescent="0.3">
      <c r="A695" s="18"/>
      <c r="B695" s="6"/>
      <c r="C695" s="6"/>
      <c r="D695" s="6"/>
      <c r="E695" s="16" t="str">
        <f>IF($B695="","",IFERROR(INDEX(Services!$C$2:$C$120,MATCH($B695,Services!$D$2:$D$120,0)),""))</f>
        <v/>
      </c>
      <c r="F695" s="19"/>
      <c r="G695" s="9" t="str">
        <f t="shared" si="10"/>
        <v/>
      </c>
      <c r="H695" s="15" t="str">
        <f>IF($B695="","",IFERROR(INDEX(Services!$A$2:$A$120,MATCH($B695,Services!$D$2:$D$120,0)),""))</f>
        <v/>
      </c>
      <c r="I695" s="19"/>
      <c r="J695" s="15" t="str">
        <f>IF($B695="","",IFERROR(INDEX(Services!$E$2:$E$120,MATCH($B695,Services!$D$2:$D$120,0)),""))</f>
        <v/>
      </c>
    </row>
    <row r="696" spans="1:10" x14ac:dyDescent="0.3">
      <c r="A696" s="18"/>
      <c r="B696" s="6"/>
      <c r="C696" s="6"/>
      <c r="D696" s="6"/>
      <c r="E696" s="16" t="str">
        <f>IF($B696="","",IFERROR(INDEX(Services!$C$2:$C$120,MATCH($B696,Services!$D$2:$D$120,0)),""))</f>
        <v/>
      </c>
      <c r="F696" s="19"/>
      <c r="G696" s="9" t="str">
        <f t="shared" si="10"/>
        <v/>
      </c>
      <c r="H696" s="15" t="str">
        <f>IF($B696="","",IFERROR(INDEX(Services!$A$2:$A$120,MATCH($B696,Services!$D$2:$D$120,0)),""))</f>
        <v/>
      </c>
      <c r="I696" s="19"/>
      <c r="J696" s="15" t="str">
        <f>IF($B696="","",IFERROR(INDEX(Services!$E$2:$E$120,MATCH($B696,Services!$D$2:$D$120,0)),""))</f>
        <v/>
      </c>
    </row>
    <row r="697" spans="1:10" x14ac:dyDescent="0.3">
      <c r="A697" s="18"/>
      <c r="B697" s="6"/>
      <c r="C697" s="6"/>
      <c r="D697" s="6"/>
      <c r="E697" s="16" t="str">
        <f>IF($B697="","",IFERROR(INDEX(Services!$C$2:$C$120,MATCH($B697,Services!$D$2:$D$120,0)),""))</f>
        <v/>
      </c>
      <c r="F697" s="19"/>
      <c r="G697" s="9" t="str">
        <f t="shared" si="10"/>
        <v/>
      </c>
      <c r="H697" s="15" t="str">
        <f>IF($B697="","",IFERROR(INDEX(Services!$A$2:$A$120,MATCH($B697,Services!$D$2:$D$120,0)),""))</f>
        <v/>
      </c>
      <c r="I697" s="19"/>
      <c r="J697" s="15" t="str">
        <f>IF($B697="","",IFERROR(INDEX(Services!$E$2:$E$120,MATCH($B697,Services!$D$2:$D$120,0)),""))</f>
        <v/>
      </c>
    </row>
    <row r="698" spans="1:10" x14ac:dyDescent="0.3">
      <c r="A698" s="18"/>
      <c r="B698" s="6"/>
      <c r="C698" s="6"/>
      <c r="D698" s="6"/>
      <c r="E698" s="16" t="str">
        <f>IF($B698="","",IFERROR(INDEX(Services!$C$2:$C$120,MATCH($B698,Services!$D$2:$D$120,0)),""))</f>
        <v/>
      </c>
      <c r="F698" s="19"/>
      <c r="G698" s="9" t="str">
        <f t="shared" si="10"/>
        <v/>
      </c>
      <c r="H698" s="15" t="str">
        <f>IF($B698="","",IFERROR(INDEX(Services!$A$2:$A$120,MATCH($B698,Services!$D$2:$D$120,0)),""))</f>
        <v/>
      </c>
      <c r="I698" s="19"/>
      <c r="J698" s="15" t="str">
        <f>IF($B698="","",IFERROR(INDEX(Services!$E$2:$E$120,MATCH($B698,Services!$D$2:$D$120,0)),""))</f>
        <v/>
      </c>
    </row>
    <row r="699" spans="1:10" x14ac:dyDescent="0.3">
      <c r="A699" s="18"/>
      <c r="B699" s="6"/>
      <c r="C699" s="6"/>
      <c r="D699" s="6"/>
      <c r="E699" s="16" t="str">
        <f>IF($B699="","",IFERROR(INDEX(Services!$C$2:$C$120,MATCH($B699,Services!$D$2:$D$120,0)),""))</f>
        <v/>
      </c>
      <c r="F699" s="19"/>
      <c r="G699" s="9" t="str">
        <f t="shared" si="10"/>
        <v/>
      </c>
      <c r="H699" s="15" t="str">
        <f>IF($B699="","",IFERROR(INDEX(Services!$A$2:$A$120,MATCH($B699,Services!$D$2:$D$120,0)),""))</f>
        <v/>
      </c>
      <c r="I699" s="19"/>
      <c r="J699" s="15" t="str">
        <f>IF($B699="","",IFERROR(INDEX(Services!$E$2:$E$120,MATCH($B699,Services!$D$2:$D$120,0)),""))</f>
        <v/>
      </c>
    </row>
    <row r="700" spans="1:10" x14ac:dyDescent="0.3">
      <c r="A700" s="18"/>
      <c r="B700" s="6"/>
      <c r="C700" s="6"/>
      <c r="D700" s="6"/>
      <c r="E700" s="16" t="str">
        <f>IF($B700="","",IFERROR(INDEX(Services!$C$2:$C$120,MATCH($B700,Services!$D$2:$D$120,0)),""))</f>
        <v/>
      </c>
      <c r="F700" s="19"/>
      <c r="G700" s="9" t="str">
        <f t="shared" si="10"/>
        <v/>
      </c>
      <c r="H700" s="15" t="str">
        <f>IF($B700="","",IFERROR(INDEX(Services!$A$2:$A$120,MATCH($B700,Services!$D$2:$D$120,0)),""))</f>
        <v/>
      </c>
      <c r="I700" s="19"/>
      <c r="J700" s="15" t="str">
        <f>IF($B700="","",IFERROR(INDEX(Services!$E$2:$E$120,MATCH($B700,Services!$D$2:$D$120,0)),""))</f>
        <v/>
      </c>
    </row>
    <row r="701" spans="1:10" x14ac:dyDescent="0.3">
      <c r="A701" s="18"/>
      <c r="B701" s="6"/>
      <c r="C701" s="6"/>
      <c r="D701" s="6"/>
      <c r="E701" s="16" t="str">
        <f>IF($B701="","",IFERROR(INDEX(Services!$C$2:$C$120,MATCH($B701,Services!$D$2:$D$120,0)),""))</f>
        <v/>
      </c>
      <c r="F701" s="19"/>
      <c r="G701" s="9" t="str">
        <f t="shared" si="10"/>
        <v/>
      </c>
      <c r="H701" s="15" t="str">
        <f>IF($B701="","",IFERROR(INDEX(Services!$A$2:$A$120,MATCH($B701,Services!$D$2:$D$120,0)),""))</f>
        <v/>
      </c>
      <c r="I701" s="19"/>
      <c r="J701" s="15" t="str">
        <f>IF($B701="","",IFERROR(INDEX(Services!$E$2:$E$120,MATCH($B701,Services!$D$2:$D$120,0)),""))</f>
        <v/>
      </c>
    </row>
    <row r="702" spans="1:10" x14ac:dyDescent="0.3">
      <c r="A702" s="18"/>
      <c r="B702" s="6"/>
      <c r="C702" s="6"/>
      <c r="D702" s="6"/>
      <c r="E702" s="16" t="str">
        <f>IF($B702="","",IFERROR(INDEX(Services!$C$2:$C$120,MATCH($B702,Services!$D$2:$D$120,0)),""))</f>
        <v/>
      </c>
      <c r="F702" s="19"/>
      <c r="G702" s="9" t="str">
        <f t="shared" si="10"/>
        <v/>
      </c>
      <c r="H702" s="15" t="str">
        <f>IF($B702="","",IFERROR(INDEX(Services!$A$2:$A$120,MATCH($B702,Services!$D$2:$D$120,0)),""))</f>
        <v/>
      </c>
      <c r="I702" s="19"/>
      <c r="J702" s="15" t="str">
        <f>IF($B702="","",IFERROR(INDEX(Services!$E$2:$E$120,MATCH($B702,Services!$D$2:$D$120,0)),""))</f>
        <v/>
      </c>
    </row>
    <row r="703" spans="1:10" x14ac:dyDescent="0.3">
      <c r="A703" s="18"/>
      <c r="B703" s="6"/>
      <c r="C703" s="6"/>
      <c r="D703" s="6"/>
      <c r="E703" s="16" t="str">
        <f>IF($B703="","",IFERROR(INDEX(Services!$C$2:$C$120,MATCH($B703,Services!$D$2:$D$120,0)),""))</f>
        <v/>
      </c>
      <c r="F703" s="19"/>
      <c r="G703" s="9" t="str">
        <f t="shared" si="10"/>
        <v/>
      </c>
      <c r="H703" s="15" t="str">
        <f>IF($B703="","",IFERROR(INDEX(Services!$A$2:$A$120,MATCH($B703,Services!$D$2:$D$120,0)),""))</f>
        <v/>
      </c>
      <c r="I703" s="19"/>
      <c r="J703" s="15" t="str">
        <f>IF($B703="","",IFERROR(INDEX(Services!$E$2:$E$120,MATCH($B703,Services!$D$2:$D$120,0)),""))</f>
        <v/>
      </c>
    </row>
    <row r="704" spans="1:10" x14ac:dyDescent="0.3">
      <c r="A704" s="18"/>
      <c r="B704" s="6"/>
      <c r="C704" s="6"/>
      <c r="D704" s="6"/>
      <c r="E704" s="16" t="str">
        <f>IF($B704="","",IFERROR(INDEX(Services!$C$2:$C$120,MATCH($B704,Services!$D$2:$D$120,0)),""))</f>
        <v/>
      </c>
      <c r="F704" s="19"/>
      <c r="G704" s="9" t="str">
        <f t="shared" si="10"/>
        <v/>
      </c>
      <c r="H704" s="15" t="str">
        <f>IF($B704="","",IFERROR(INDEX(Services!$A$2:$A$120,MATCH($B704,Services!$D$2:$D$120,0)),""))</f>
        <v/>
      </c>
      <c r="I704" s="19"/>
      <c r="J704" s="15" t="str">
        <f>IF($B704="","",IFERROR(INDEX(Services!$E$2:$E$120,MATCH($B704,Services!$D$2:$D$120,0)),""))</f>
        <v/>
      </c>
    </row>
    <row r="705" spans="1:10" x14ac:dyDescent="0.3">
      <c r="A705" s="18"/>
      <c r="B705" s="6"/>
      <c r="C705" s="6"/>
      <c r="D705" s="6"/>
      <c r="E705" s="16" t="str">
        <f>IF($B705="","",IFERROR(INDEX(Services!$C$2:$C$120,MATCH($B705,Services!$D$2:$D$120,0)),""))</f>
        <v/>
      </c>
      <c r="F705" s="19"/>
      <c r="G705" s="9" t="str">
        <f t="shared" si="10"/>
        <v/>
      </c>
      <c r="H705" s="15" t="str">
        <f>IF($B705="","",IFERROR(INDEX(Services!$A$2:$A$120,MATCH($B705,Services!$D$2:$D$120,0)),""))</f>
        <v/>
      </c>
      <c r="I705" s="19"/>
      <c r="J705" s="15" t="str">
        <f>IF($B705="","",IFERROR(INDEX(Services!$E$2:$E$120,MATCH($B705,Services!$D$2:$D$120,0)),""))</f>
        <v/>
      </c>
    </row>
    <row r="706" spans="1:10" x14ac:dyDescent="0.3">
      <c r="A706" s="18"/>
      <c r="B706" s="6"/>
      <c r="C706" s="6"/>
      <c r="D706" s="6"/>
      <c r="E706" s="16" t="str">
        <f>IF($B706="","",IFERROR(INDEX(Services!$C$2:$C$120,MATCH($B706,Services!$D$2:$D$120,0)),""))</f>
        <v/>
      </c>
      <c r="F706" s="19"/>
      <c r="G706" s="9" t="str">
        <f t="shared" ref="G706:G769" si="11">IF(OR($B706="",NOT(ISNUMBER($E706))),"",$E706-IF($F706="",0,$F706))</f>
        <v/>
      </c>
      <c r="H706" s="15" t="str">
        <f>IF($B706="","",IFERROR(INDEX(Services!$A$2:$A$120,MATCH($B706,Services!$D$2:$D$120,0)),""))</f>
        <v/>
      </c>
      <c r="I706" s="19"/>
      <c r="J706" s="15" t="str">
        <f>IF($B706="","",IFERROR(INDEX(Services!$E$2:$E$120,MATCH($B706,Services!$D$2:$D$120,0)),""))</f>
        <v/>
      </c>
    </row>
    <row r="707" spans="1:10" x14ac:dyDescent="0.3">
      <c r="A707" s="18"/>
      <c r="B707" s="6"/>
      <c r="C707" s="6"/>
      <c r="D707" s="6"/>
      <c r="E707" s="16" t="str">
        <f>IF($B707="","",IFERROR(INDEX(Services!$C$2:$C$120,MATCH($B707,Services!$D$2:$D$120,0)),""))</f>
        <v/>
      </c>
      <c r="F707" s="19"/>
      <c r="G707" s="9" t="str">
        <f t="shared" si="11"/>
        <v/>
      </c>
      <c r="H707" s="15" t="str">
        <f>IF($B707="","",IFERROR(INDEX(Services!$A$2:$A$120,MATCH($B707,Services!$D$2:$D$120,0)),""))</f>
        <v/>
      </c>
      <c r="I707" s="19"/>
      <c r="J707" s="15" t="str">
        <f>IF($B707="","",IFERROR(INDEX(Services!$E$2:$E$120,MATCH($B707,Services!$D$2:$D$120,0)),""))</f>
        <v/>
      </c>
    </row>
    <row r="708" spans="1:10" x14ac:dyDescent="0.3">
      <c r="A708" s="18"/>
      <c r="B708" s="6"/>
      <c r="C708" s="6"/>
      <c r="D708" s="6"/>
      <c r="E708" s="16" t="str">
        <f>IF($B708="","",IFERROR(INDEX(Services!$C$2:$C$120,MATCH($B708,Services!$D$2:$D$120,0)),""))</f>
        <v/>
      </c>
      <c r="F708" s="19"/>
      <c r="G708" s="9" t="str">
        <f t="shared" si="11"/>
        <v/>
      </c>
      <c r="H708" s="15" t="str">
        <f>IF($B708="","",IFERROR(INDEX(Services!$A$2:$A$120,MATCH($B708,Services!$D$2:$D$120,0)),""))</f>
        <v/>
      </c>
      <c r="I708" s="19"/>
      <c r="J708" s="15" t="str">
        <f>IF($B708="","",IFERROR(INDEX(Services!$E$2:$E$120,MATCH($B708,Services!$D$2:$D$120,0)),""))</f>
        <v/>
      </c>
    </row>
    <row r="709" spans="1:10" x14ac:dyDescent="0.3">
      <c r="A709" s="18"/>
      <c r="B709" s="6"/>
      <c r="C709" s="6"/>
      <c r="D709" s="6"/>
      <c r="E709" s="16" t="str">
        <f>IF($B709="","",IFERROR(INDEX(Services!$C$2:$C$120,MATCH($B709,Services!$D$2:$D$120,0)),""))</f>
        <v/>
      </c>
      <c r="F709" s="19"/>
      <c r="G709" s="9" t="str">
        <f t="shared" si="11"/>
        <v/>
      </c>
      <c r="H709" s="15" t="str">
        <f>IF($B709="","",IFERROR(INDEX(Services!$A$2:$A$120,MATCH($B709,Services!$D$2:$D$120,0)),""))</f>
        <v/>
      </c>
      <c r="I709" s="19"/>
      <c r="J709" s="15" t="str">
        <f>IF($B709="","",IFERROR(INDEX(Services!$E$2:$E$120,MATCH($B709,Services!$D$2:$D$120,0)),""))</f>
        <v/>
      </c>
    </row>
    <row r="710" spans="1:10" x14ac:dyDescent="0.3">
      <c r="A710" s="18"/>
      <c r="B710" s="6"/>
      <c r="C710" s="6"/>
      <c r="D710" s="6"/>
      <c r="E710" s="16" t="str">
        <f>IF($B710="","",IFERROR(INDEX(Services!$C$2:$C$120,MATCH($B710,Services!$D$2:$D$120,0)),""))</f>
        <v/>
      </c>
      <c r="F710" s="19"/>
      <c r="G710" s="9" t="str">
        <f t="shared" si="11"/>
        <v/>
      </c>
      <c r="H710" s="15" t="str">
        <f>IF($B710="","",IFERROR(INDEX(Services!$A$2:$A$120,MATCH($B710,Services!$D$2:$D$120,0)),""))</f>
        <v/>
      </c>
      <c r="I710" s="19"/>
      <c r="J710" s="15" t="str">
        <f>IF($B710="","",IFERROR(INDEX(Services!$E$2:$E$120,MATCH($B710,Services!$D$2:$D$120,0)),""))</f>
        <v/>
      </c>
    </row>
    <row r="711" spans="1:10" x14ac:dyDescent="0.3">
      <c r="A711" s="18"/>
      <c r="B711" s="6"/>
      <c r="C711" s="6"/>
      <c r="D711" s="6"/>
      <c r="E711" s="16" t="str">
        <f>IF($B711="","",IFERROR(INDEX(Services!$C$2:$C$120,MATCH($B711,Services!$D$2:$D$120,0)),""))</f>
        <v/>
      </c>
      <c r="F711" s="19"/>
      <c r="G711" s="9" t="str">
        <f t="shared" si="11"/>
        <v/>
      </c>
      <c r="H711" s="15" t="str">
        <f>IF($B711="","",IFERROR(INDEX(Services!$A$2:$A$120,MATCH($B711,Services!$D$2:$D$120,0)),""))</f>
        <v/>
      </c>
      <c r="I711" s="19"/>
      <c r="J711" s="15" t="str">
        <f>IF($B711="","",IFERROR(INDEX(Services!$E$2:$E$120,MATCH($B711,Services!$D$2:$D$120,0)),""))</f>
        <v/>
      </c>
    </row>
    <row r="712" spans="1:10" x14ac:dyDescent="0.3">
      <c r="A712" s="18"/>
      <c r="B712" s="6"/>
      <c r="C712" s="6"/>
      <c r="D712" s="6"/>
      <c r="E712" s="16" t="str">
        <f>IF($B712="","",IFERROR(INDEX(Services!$C$2:$C$120,MATCH($B712,Services!$D$2:$D$120,0)),""))</f>
        <v/>
      </c>
      <c r="F712" s="19"/>
      <c r="G712" s="9" t="str">
        <f t="shared" si="11"/>
        <v/>
      </c>
      <c r="H712" s="15" t="str">
        <f>IF($B712="","",IFERROR(INDEX(Services!$A$2:$A$120,MATCH($B712,Services!$D$2:$D$120,0)),""))</f>
        <v/>
      </c>
      <c r="I712" s="19"/>
      <c r="J712" s="15" t="str">
        <f>IF($B712="","",IFERROR(INDEX(Services!$E$2:$E$120,MATCH($B712,Services!$D$2:$D$120,0)),""))</f>
        <v/>
      </c>
    </row>
    <row r="713" spans="1:10" x14ac:dyDescent="0.3">
      <c r="A713" s="18"/>
      <c r="B713" s="6"/>
      <c r="C713" s="6"/>
      <c r="D713" s="6"/>
      <c r="E713" s="16" t="str">
        <f>IF($B713="","",IFERROR(INDEX(Services!$C$2:$C$120,MATCH($B713,Services!$D$2:$D$120,0)),""))</f>
        <v/>
      </c>
      <c r="F713" s="19"/>
      <c r="G713" s="9" t="str">
        <f t="shared" si="11"/>
        <v/>
      </c>
      <c r="H713" s="15" t="str">
        <f>IF($B713="","",IFERROR(INDEX(Services!$A$2:$A$120,MATCH($B713,Services!$D$2:$D$120,0)),""))</f>
        <v/>
      </c>
      <c r="I713" s="19"/>
      <c r="J713" s="15" t="str">
        <f>IF($B713="","",IFERROR(INDEX(Services!$E$2:$E$120,MATCH($B713,Services!$D$2:$D$120,0)),""))</f>
        <v/>
      </c>
    </row>
    <row r="714" spans="1:10" x14ac:dyDescent="0.3">
      <c r="A714" s="18"/>
      <c r="B714" s="6"/>
      <c r="C714" s="6"/>
      <c r="D714" s="6"/>
      <c r="E714" s="16" t="str">
        <f>IF($B714="","",IFERROR(INDEX(Services!$C$2:$C$120,MATCH($B714,Services!$D$2:$D$120,0)),""))</f>
        <v/>
      </c>
      <c r="F714" s="19"/>
      <c r="G714" s="9" t="str">
        <f t="shared" si="11"/>
        <v/>
      </c>
      <c r="H714" s="15" t="str">
        <f>IF($B714="","",IFERROR(INDEX(Services!$A$2:$A$120,MATCH($B714,Services!$D$2:$D$120,0)),""))</f>
        <v/>
      </c>
      <c r="I714" s="19"/>
      <c r="J714" s="15" t="str">
        <f>IF($B714="","",IFERROR(INDEX(Services!$E$2:$E$120,MATCH($B714,Services!$D$2:$D$120,0)),""))</f>
        <v/>
      </c>
    </row>
    <row r="715" spans="1:10" x14ac:dyDescent="0.3">
      <c r="A715" s="18"/>
      <c r="B715" s="6"/>
      <c r="C715" s="6"/>
      <c r="D715" s="6"/>
      <c r="E715" s="16" t="str">
        <f>IF($B715="","",IFERROR(INDEX(Services!$C$2:$C$120,MATCH($B715,Services!$D$2:$D$120,0)),""))</f>
        <v/>
      </c>
      <c r="F715" s="19"/>
      <c r="G715" s="9" t="str">
        <f t="shared" si="11"/>
        <v/>
      </c>
      <c r="H715" s="15" t="str">
        <f>IF($B715="","",IFERROR(INDEX(Services!$A$2:$A$120,MATCH($B715,Services!$D$2:$D$120,0)),""))</f>
        <v/>
      </c>
      <c r="I715" s="19"/>
      <c r="J715" s="15" t="str">
        <f>IF($B715="","",IFERROR(INDEX(Services!$E$2:$E$120,MATCH($B715,Services!$D$2:$D$120,0)),""))</f>
        <v/>
      </c>
    </row>
    <row r="716" spans="1:10" x14ac:dyDescent="0.3">
      <c r="A716" s="18"/>
      <c r="B716" s="6"/>
      <c r="C716" s="6"/>
      <c r="D716" s="6"/>
      <c r="E716" s="16" t="str">
        <f>IF($B716="","",IFERROR(INDEX(Services!$C$2:$C$120,MATCH($B716,Services!$D$2:$D$120,0)),""))</f>
        <v/>
      </c>
      <c r="F716" s="19"/>
      <c r="G716" s="9" t="str">
        <f t="shared" si="11"/>
        <v/>
      </c>
      <c r="H716" s="15" t="str">
        <f>IF($B716="","",IFERROR(INDEX(Services!$A$2:$A$120,MATCH($B716,Services!$D$2:$D$120,0)),""))</f>
        <v/>
      </c>
      <c r="I716" s="19"/>
      <c r="J716" s="15" t="str">
        <f>IF($B716="","",IFERROR(INDEX(Services!$E$2:$E$120,MATCH($B716,Services!$D$2:$D$120,0)),""))</f>
        <v/>
      </c>
    </row>
    <row r="717" spans="1:10" x14ac:dyDescent="0.3">
      <c r="A717" s="18"/>
      <c r="B717" s="6"/>
      <c r="C717" s="6"/>
      <c r="D717" s="6"/>
      <c r="E717" s="16" t="str">
        <f>IF($B717="","",IFERROR(INDEX(Services!$C$2:$C$120,MATCH($B717,Services!$D$2:$D$120,0)),""))</f>
        <v/>
      </c>
      <c r="F717" s="19"/>
      <c r="G717" s="9" t="str">
        <f t="shared" si="11"/>
        <v/>
      </c>
      <c r="H717" s="15" t="str">
        <f>IF($B717="","",IFERROR(INDEX(Services!$A$2:$A$120,MATCH($B717,Services!$D$2:$D$120,0)),""))</f>
        <v/>
      </c>
      <c r="I717" s="19"/>
      <c r="J717" s="15" t="str">
        <f>IF($B717="","",IFERROR(INDEX(Services!$E$2:$E$120,MATCH($B717,Services!$D$2:$D$120,0)),""))</f>
        <v/>
      </c>
    </row>
    <row r="718" spans="1:10" x14ac:dyDescent="0.3">
      <c r="A718" s="18"/>
      <c r="B718" s="6"/>
      <c r="C718" s="6"/>
      <c r="D718" s="6"/>
      <c r="E718" s="16" t="str">
        <f>IF($B718="","",IFERROR(INDEX(Services!$C$2:$C$120,MATCH($B718,Services!$D$2:$D$120,0)),""))</f>
        <v/>
      </c>
      <c r="F718" s="19"/>
      <c r="G718" s="9" t="str">
        <f t="shared" si="11"/>
        <v/>
      </c>
      <c r="H718" s="15" t="str">
        <f>IF($B718="","",IFERROR(INDEX(Services!$A$2:$A$120,MATCH($B718,Services!$D$2:$D$120,0)),""))</f>
        <v/>
      </c>
      <c r="I718" s="19"/>
      <c r="J718" s="15" t="str">
        <f>IF($B718="","",IFERROR(INDEX(Services!$E$2:$E$120,MATCH($B718,Services!$D$2:$D$120,0)),""))</f>
        <v/>
      </c>
    </row>
    <row r="719" spans="1:10" x14ac:dyDescent="0.3">
      <c r="A719" s="18"/>
      <c r="B719" s="6"/>
      <c r="C719" s="6"/>
      <c r="D719" s="6"/>
      <c r="E719" s="16" t="str">
        <f>IF($B719="","",IFERROR(INDEX(Services!$C$2:$C$120,MATCH($B719,Services!$D$2:$D$120,0)),""))</f>
        <v/>
      </c>
      <c r="F719" s="19"/>
      <c r="G719" s="9" t="str">
        <f t="shared" si="11"/>
        <v/>
      </c>
      <c r="H719" s="15" t="str">
        <f>IF($B719="","",IFERROR(INDEX(Services!$A$2:$A$120,MATCH($B719,Services!$D$2:$D$120,0)),""))</f>
        <v/>
      </c>
      <c r="I719" s="19"/>
      <c r="J719" s="15" t="str">
        <f>IF($B719="","",IFERROR(INDEX(Services!$E$2:$E$120,MATCH($B719,Services!$D$2:$D$120,0)),""))</f>
        <v/>
      </c>
    </row>
    <row r="720" spans="1:10" x14ac:dyDescent="0.3">
      <c r="A720" s="18"/>
      <c r="B720" s="6"/>
      <c r="C720" s="6"/>
      <c r="D720" s="6"/>
      <c r="E720" s="16" t="str">
        <f>IF($B720="","",IFERROR(INDEX(Services!$C$2:$C$120,MATCH($B720,Services!$D$2:$D$120,0)),""))</f>
        <v/>
      </c>
      <c r="F720" s="19"/>
      <c r="G720" s="9" t="str">
        <f t="shared" si="11"/>
        <v/>
      </c>
      <c r="H720" s="15" t="str">
        <f>IF($B720="","",IFERROR(INDEX(Services!$A$2:$A$120,MATCH($B720,Services!$D$2:$D$120,0)),""))</f>
        <v/>
      </c>
      <c r="I720" s="19"/>
      <c r="J720" s="15" t="str">
        <f>IF($B720="","",IFERROR(INDEX(Services!$E$2:$E$120,MATCH($B720,Services!$D$2:$D$120,0)),""))</f>
        <v/>
      </c>
    </row>
    <row r="721" spans="1:10" x14ac:dyDescent="0.3">
      <c r="A721" s="18"/>
      <c r="B721" s="6"/>
      <c r="C721" s="6"/>
      <c r="D721" s="6"/>
      <c r="E721" s="16" t="str">
        <f>IF($B721="","",IFERROR(INDEX(Services!$C$2:$C$120,MATCH($B721,Services!$D$2:$D$120,0)),""))</f>
        <v/>
      </c>
      <c r="F721" s="19"/>
      <c r="G721" s="9" t="str">
        <f t="shared" si="11"/>
        <v/>
      </c>
      <c r="H721" s="15" t="str">
        <f>IF($B721="","",IFERROR(INDEX(Services!$A$2:$A$120,MATCH($B721,Services!$D$2:$D$120,0)),""))</f>
        <v/>
      </c>
      <c r="I721" s="19"/>
      <c r="J721" s="15" t="str">
        <f>IF($B721="","",IFERROR(INDEX(Services!$E$2:$E$120,MATCH($B721,Services!$D$2:$D$120,0)),""))</f>
        <v/>
      </c>
    </row>
    <row r="722" spans="1:10" x14ac:dyDescent="0.3">
      <c r="A722" s="18"/>
      <c r="B722" s="6"/>
      <c r="C722" s="6"/>
      <c r="D722" s="6"/>
      <c r="E722" s="16" t="str">
        <f>IF($B722="","",IFERROR(INDEX(Services!$C$2:$C$120,MATCH($B722,Services!$D$2:$D$120,0)),""))</f>
        <v/>
      </c>
      <c r="F722" s="19"/>
      <c r="G722" s="9" t="str">
        <f t="shared" si="11"/>
        <v/>
      </c>
      <c r="H722" s="15" t="str">
        <f>IF($B722="","",IFERROR(INDEX(Services!$A$2:$A$120,MATCH($B722,Services!$D$2:$D$120,0)),""))</f>
        <v/>
      </c>
      <c r="I722" s="19"/>
      <c r="J722" s="15" t="str">
        <f>IF($B722="","",IFERROR(INDEX(Services!$E$2:$E$120,MATCH($B722,Services!$D$2:$D$120,0)),""))</f>
        <v/>
      </c>
    </row>
    <row r="723" spans="1:10" x14ac:dyDescent="0.3">
      <c r="A723" s="18"/>
      <c r="B723" s="6"/>
      <c r="C723" s="6"/>
      <c r="D723" s="6"/>
      <c r="E723" s="16" t="str">
        <f>IF($B723="","",IFERROR(INDEX(Services!$C$2:$C$120,MATCH($B723,Services!$D$2:$D$120,0)),""))</f>
        <v/>
      </c>
      <c r="F723" s="19"/>
      <c r="G723" s="9" t="str">
        <f t="shared" si="11"/>
        <v/>
      </c>
      <c r="H723" s="15" t="str">
        <f>IF($B723="","",IFERROR(INDEX(Services!$A$2:$A$120,MATCH($B723,Services!$D$2:$D$120,0)),""))</f>
        <v/>
      </c>
      <c r="I723" s="19"/>
      <c r="J723" s="15" t="str">
        <f>IF($B723="","",IFERROR(INDEX(Services!$E$2:$E$120,MATCH($B723,Services!$D$2:$D$120,0)),""))</f>
        <v/>
      </c>
    </row>
    <row r="724" spans="1:10" x14ac:dyDescent="0.3">
      <c r="A724" s="18"/>
      <c r="B724" s="6"/>
      <c r="C724" s="6"/>
      <c r="D724" s="6"/>
      <c r="E724" s="16" t="str">
        <f>IF($B724="","",IFERROR(INDEX(Services!$C$2:$C$120,MATCH($B724,Services!$D$2:$D$120,0)),""))</f>
        <v/>
      </c>
      <c r="F724" s="19"/>
      <c r="G724" s="9" t="str">
        <f t="shared" si="11"/>
        <v/>
      </c>
      <c r="H724" s="15" t="str">
        <f>IF($B724="","",IFERROR(INDEX(Services!$A$2:$A$120,MATCH($B724,Services!$D$2:$D$120,0)),""))</f>
        <v/>
      </c>
      <c r="I724" s="19"/>
      <c r="J724" s="15" t="str">
        <f>IF($B724="","",IFERROR(INDEX(Services!$E$2:$E$120,MATCH($B724,Services!$D$2:$D$120,0)),""))</f>
        <v/>
      </c>
    </row>
    <row r="725" spans="1:10" x14ac:dyDescent="0.3">
      <c r="A725" s="18"/>
      <c r="B725" s="6"/>
      <c r="C725" s="6"/>
      <c r="D725" s="6"/>
      <c r="E725" s="16" t="str">
        <f>IF($B725="","",IFERROR(INDEX(Services!$C$2:$C$120,MATCH($B725,Services!$D$2:$D$120,0)),""))</f>
        <v/>
      </c>
      <c r="F725" s="19"/>
      <c r="G725" s="9" t="str">
        <f t="shared" si="11"/>
        <v/>
      </c>
      <c r="H725" s="15" t="str">
        <f>IF($B725="","",IFERROR(INDEX(Services!$A$2:$A$120,MATCH($B725,Services!$D$2:$D$120,0)),""))</f>
        <v/>
      </c>
      <c r="I725" s="19"/>
      <c r="J725" s="15" t="str">
        <f>IF($B725="","",IFERROR(INDEX(Services!$E$2:$E$120,MATCH($B725,Services!$D$2:$D$120,0)),""))</f>
        <v/>
      </c>
    </row>
    <row r="726" spans="1:10" x14ac:dyDescent="0.3">
      <c r="A726" s="18"/>
      <c r="B726" s="6"/>
      <c r="C726" s="6"/>
      <c r="D726" s="6"/>
      <c r="E726" s="16" t="str">
        <f>IF($B726="","",IFERROR(INDEX(Services!$C$2:$C$120,MATCH($B726,Services!$D$2:$D$120,0)),""))</f>
        <v/>
      </c>
      <c r="F726" s="19"/>
      <c r="G726" s="9" t="str">
        <f t="shared" si="11"/>
        <v/>
      </c>
      <c r="H726" s="15" t="str">
        <f>IF($B726="","",IFERROR(INDEX(Services!$A$2:$A$120,MATCH($B726,Services!$D$2:$D$120,0)),""))</f>
        <v/>
      </c>
      <c r="I726" s="19"/>
      <c r="J726" s="15" t="str">
        <f>IF($B726="","",IFERROR(INDEX(Services!$E$2:$E$120,MATCH($B726,Services!$D$2:$D$120,0)),""))</f>
        <v/>
      </c>
    </row>
    <row r="727" spans="1:10" x14ac:dyDescent="0.3">
      <c r="A727" s="18"/>
      <c r="B727" s="6"/>
      <c r="C727" s="6"/>
      <c r="D727" s="6"/>
      <c r="E727" s="16" t="str">
        <f>IF($B727="","",IFERROR(INDEX(Services!$C$2:$C$120,MATCH($B727,Services!$D$2:$D$120,0)),""))</f>
        <v/>
      </c>
      <c r="F727" s="19"/>
      <c r="G727" s="9" t="str">
        <f t="shared" si="11"/>
        <v/>
      </c>
      <c r="H727" s="15" t="str">
        <f>IF($B727="","",IFERROR(INDEX(Services!$A$2:$A$120,MATCH($B727,Services!$D$2:$D$120,0)),""))</f>
        <v/>
      </c>
      <c r="I727" s="19"/>
      <c r="J727" s="15" t="str">
        <f>IF($B727="","",IFERROR(INDEX(Services!$E$2:$E$120,MATCH($B727,Services!$D$2:$D$120,0)),""))</f>
        <v/>
      </c>
    </row>
    <row r="728" spans="1:10" x14ac:dyDescent="0.3">
      <c r="A728" s="18"/>
      <c r="B728" s="6"/>
      <c r="C728" s="6"/>
      <c r="D728" s="6"/>
      <c r="E728" s="16" t="str">
        <f>IF($B728="","",IFERROR(INDEX(Services!$C$2:$C$120,MATCH($B728,Services!$D$2:$D$120,0)),""))</f>
        <v/>
      </c>
      <c r="F728" s="19"/>
      <c r="G728" s="9" t="str">
        <f t="shared" si="11"/>
        <v/>
      </c>
      <c r="H728" s="15" t="str">
        <f>IF($B728="","",IFERROR(INDEX(Services!$A$2:$A$120,MATCH($B728,Services!$D$2:$D$120,0)),""))</f>
        <v/>
      </c>
      <c r="I728" s="19"/>
      <c r="J728" s="15" t="str">
        <f>IF($B728="","",IFERROR(INDEX(Services!$E$2:$E$120,MATCH($B728,Services!$D$2:$D$120,0)),""))</f>
        <v/>
      </c>
    </row>
    <row r="729" spans="1:10" x14ac:dyDescent="0.3">
      <c r="A729" s="18"/>
      <c r="B729" s="6"/>
      <c r="C729" s="6"/>
      <c r="D729" s="6"/>
      <c r="E729" s="16" t="str">
        <f>IF($B729="","",IFERROR(INDEX(Services!$C$2:$C$120,MATCH($B729,Services!$D$2:$D$120,0)),""))</f>
        <v/>
      </c>
      <c r="F729" s="19"/>
      <c r="G729" s="9" t="str">
        <f t="shared" si="11"/>
        <v/>
      </c>
      <c r="H729" s="15" t="str">
        <f>IF($B729="","",IFERROR(INDEX(Services!$A$2:$A$120,MATCH($B729,Services!$D$2:$D$120,0)),""))</f>
        <v/>
      </c>
      <c r="I729" s="19"/>
      <c r="J729" s="15" t="str">
        <f>IF($B729="","",IFERROR(INDEX(Services!$E$2:$E$120,MATCH($B729,Services!$D$2:$D$120,0)),""))</f>
        <v/>
      </c>
    </row>
    <row r="730" spans="1:10" x14ac:dyDescent="0.3">
      <c r="A730" s="18"/>
      <c r="B730" s="6"/>
      <c r="C730" s="6"/>
      <c r="D730" s="6"/>
      <c r="E730" s="16" t="str">
        <f>IF($B730="","",IFERROR(INDEX(Services!$C$2:$C$120,MATCH($B730,Services!$D$2:$D$120,0)),""))</f>
        <v/>
      </c>
      <c r="F730" s="19"/>
      <c r="G730" s="9" t="str">
        <f t="shared" si="11"/>
        <v/>
      </c>
      <c r="H730" s="15" t="str">
        <f>IF($B730="","",IFERROR(INDEX(Services!$A$2:$A$120,MATCH($B730,Services!$D$2:$D$120,0)),""))</f>
        <v/>
      </c>
      <c r="I730" s="19"/>
      <c r="J730" s="15" t="str">
        <f>IF($B730="","",IFERROR(INDEX(Services!$E$2:$E$120,MATCH($B730,Services!$D$2:$D$120,0)),""))</f>
        <v/>
      </c>
    </row>
    <row r="731" spans="1:10" x14ac:dyDescent="0.3">
      <c r="A731" s="18"/>
      <c r="B731" s="6"/>
      <c r="C731" s="6"/>
      <c r="D731" s="6"/>
      <c r="E731" s="16" t="str">
        <f>IF($B731="","",IFERROR(INDEX(Services!$C$2:$C$120,MATCH($B731,Services!$D$2:$D$120,0)),""))</f>
        <v/>
      </c>
      <c r="F731" s="19"/>
      <c r="G731" s="9" t="str">
        <f t="shared" si="11"/>
        <v/>
      </c>
      <c r="H731" s="15" t="str">
        <f>IF($B731="","",IFERROR(INDEX(Services!$A$2:$A$120,MATCH($B731,Services!$D$2:$D$120,0)),""))</f>
        <v/>
      </c>
      <c r="I731" s="19"/>
      <c r="J731" s="15" t="str">
        <f>IF($B731="","",IFERROR(INDEX(Services!$E$2:$E$120,MATCH($B731,Services!$D$2:$D$120,0)),""))</f>
        <v/>
      </c>
    </row>
    <row r="732" spans="1:10" x14ac:dyDescent="0.3">
      <c r="A732" s="18"/>
      <c r="B732" s="6"/>
      <c r="C732" s="6"/>
      <c r="D732" s="6"/>
      <c r="E732" s="16" t="str">
        <f>IF($B732="","",IFERROR(INDEX(Services!$C$2:$C$120,MATCH($B732,Services!$D$2:$D$120,0)),""))</f>
        <v/>
      </c>
      <c r="F732" s="19"/>
      <c r="G732" s="9" t="str">
        <f t="shared" si="11"/>
        <v/>
      </c>
      <c r="H732" s="15" t="str">
        <f>IF($B732="","",IFERROR(INDEX(Services!$A$2:$A$120,MATCH($B732,Services!$D$2:$D$120,0)),""))</f>
        <v/>
      </c>
      <c r="I732" s="19"/>
      <c r="J732" s="15" t="str">
        <f>IF($B732="","",IFERROR(INDEX(Services!$E$2:$E$120,MATCH($B732,Services!$D$2:$D$120,0)),""))</f>
        <v/>
      </c>
    </row>
    <row r="733" spans="1:10" x14ac:dyDescent="0.3">
      <c r="A733" s="18"/>
      <c r="B733" s="6"/>
      <c r="C733" s="6"/>
      <c r="D733" s="6"/>
      <c r="E733" s="16" t="str">
        <f>IF($B733="","",IFERROR(INDEX(Services!$C$2:$C$120,MATCH($B733,Services!$D$2:$D$120,0)),""))</f>
        <v/>
      </c>
      <c r="F733" s="19"/>
      <c r="G733" s="9" t="str">
        <f t="shared" si="11"/>
        <v/>
      </c>
      <c r="H733" s="15" t="str">
        <f>IF($B733="","",IFERROR(INDEX(Services!$A$2:$A$120,MATCH($B733,Services!$D$2:$D$120,0)),""))</f>
        <v/>
      </c>
      <c r="I733" s="19"/>
      <c r="J733" s="15" t="str">
        <f>IF($B733="","",IFERROR(INDEX(Services!$E$2:$E$120,MATCH($B733,Services!$D$2:$D$120,0)),""))</f>
        <v/>
      </c>
    </row>
    <row r="734" spans="1:10" x14ac:dyDescent="0.3">
      <c r="A734" s="18"/>
      <c r="B734" s="6"/>
      <c r="C734" s="6"/>
      <c r="D734" s="6"/>
      <c r="E734" s="16" t="str">
        <f>IF($B734="","",IFERROR(INDEX(Services!$C$2:$C$120,MATCH($B734,Services!$D$2:$D$120,0)),""))</f>
        <v/>
      </c>
      <c r="F734" s="19"/>
      <c r="G734" s="9" t="str">
        <f t="shared" si="11"/>
        <v/>
      </c>
      <c r="H734" s="15" t="str">
        <f>IF($B734="","",IFERROR(INDEX(Services!$A$2:$A$120,MATCH($B734,Services!$D$2:$D$120,0)),""))</f>
        <v/>
      </c>
      <c r="I734" s="19"/>
      <c r="J734" s="15" t="str">
        <f>IF($B734="","",IFERROR(INDEX(Services!$E$2:$E$120,MATCH($B734,Services!$D$2:$D$120,0)),""))</f>
        <v/>
      </c>
    </row>
    <row r="735" spans="1:10" x14ac:dyDescent="0.3">
      <c r="A735" s="18"/>
      <c r="B735" s="6"/>
      <c r="C735" s="6"/>
      <c r="D735" s="6"/>
      <c r="E735" s="16" t="str">
        <f>IF($B735="","",IFERROR(INDEX(Services!$C$2:$C$120,MATCH($B735,Services!$D$2:$D$120,0)),""))</f>
        <v/>
      </c>
      <c r="F735" s="19"/>
      <c r="G735" s="9" t="str">
        <f t="shared" si="11"/>
        <v/>
      </c>
      <c r="H735" s="15" t="str">
        <f>IF($B735="","",IFERROR(INDEX(Services!$A$2:$A$120,MATCH($B735,Services!$D$2:$D$120,0)),""))</f>
        <v/>
      </c>
      <c r="I735" s="19"/>
      <c r="J735" s="15" t="str">
        <f>IF($B735="","",IFERROR(INDEX(Services!$E$2:$E$120,MATCH($B735,Services!$D$2:$D$120,0)),""))</f>
        <v/>
      </c>
    </row>
    <row r="736" spans="1:10" x14ac:dyDescent="0.3">
      <c r="A736" s="18"/>
      <c r="B736" s="6"/>
      <c r="C736" s="6"/>
      <c r="D736" s="6"/>
      <c r="E736" s="16" t="str">
        <f>IF($B736="","",IFERROR(INDEX(Services!$C$2:$C$120,MATCH($B736,Services!$D$2:$D$120,0)),""))</f>
        <v/>
      </c>
      <c r="F736" s="19"/>
      <c r="G736" s="9" t="str">
        <f t="shared" si="11"/>
        <v/>
      </c>
      <c r="H736" s="15" t="str">
        <f>IF($B736="","",IFERROR(INDEX(Services!$A$2:$A$120,MATCH($B736,Services!$D$2:$D$120,0)),""))</f>
        <v/>
      </c>
      <c r="I736" s="19"/>
      <c r="J736" s="15" t="str">
        <f>IF($B736="","",IFERROR(INDEX(Services!$E$2:$E$120,MATCH($B736,Services!$D$2:$D$120,0)),""))</f>
        <v/>
      </c>
    </row>
    <row r="737" spans="1:10" x14ac:dyDescent="0.3">
      <c r="A737" s="18"/>
      <c r="B737" s="6"/>
      <c r="C737" s="6"/>
      <c r="D737" s="6"/>
      <c r="E737" s="16" t="str">
        <f>IF($B737="","",IFERROR(INDEX(Services!$C$2:$C$120,MATCH($B737,Services!$D$2:$D$120,0)),""))</f>
        <v/>
      </c>
      <c r="F737" s="19"/>
      <c r="G737" s="9" t="str">
        <f t="shared" si="11"/>
        <v/>
      </c>
      <c r="H737" s="15" t="str">
        <f>IF($B737="","",IFERROR(INDEX(Services!$A$2:$A$120,MATCH($B737,Services!$D$2:$D$120,0)),""))</f>
        <v/>
      </c>
      <c r="I737" s="19"/>
      <c r="J737" s="15" t="str">
        <f>IF($B737="","",IFERROR(INDEX(Services!$E$2:$E$120,MATCH($B737,Services!$D$2:$D$120,0)),""))</f>
        <v/>
      </c>
    </row>
    <row r="738" spans="1:10" x14ac:dyDescent="0.3">
      <c r="A738" s="18"/>
      <c r="B738" s="6"/>
      <c r="C738" s="6"/>
      <c r="D738" s="6"/>
      <c r="E738" s="16" t="str">
        <f>IF($B738="","",IFERROR(INDEX(Services!$C$2:$C$120,MATCH($B738,Services!$D$2:$D$120,0)),""))</f>
        <v/>
      </c>
      <c r="F738" s="19"/>
      <c r="G738" s="9" t="str">
        <f t="shared" si="11"/>
        <v/>
      </c>
      <c r="H738" s="15" t="str">
        <f>IF($B738="","",IFERROR(INDEX(Services!$A$2:$A$120,MATCH($B738,Services!$D$2:$D$120,0)),""))</f>
        <v/>
      </c>
      <c r="I738" s="19"/>
      <c r="J738" s="15" t="str">
        <f>IF($B738="","",IFERROR(INDEX(Services!$E$2:$E$120,MATCH($B738,Services!$D$2:$D$120,0)),""))</f>
        <v/>
      </c>
    </row>
    <row r="739" spans="1:10" x14ac:dyDescent="0.3">
      <c r="A739" s="18"/>
      <c r="B739" s="6"/>
      <c r="C739" s="6"/>
      <c r="D739" s="6"/>
      <c r="E739" s="16" t="str">
        <f>IF($B739="","",IFERROR(INDEX(Services!$C$2:$C$120,MATCH($B739,Services!$D$2:$D$120,0)),""))</f>
        <v/>
      </c>
      <c r="F739" s="19"/>
      <c r="G739" s="9" t="str">
        <f t="shared" si="11"/>
        <v/>
      </c>
      <c r="H739" s="15" t="str">
        <f>IF($B739="","",IFERROR(INDEX(Services!$A$2:$A$120,MATCH($B739,Services!$D$2:$D$120,0)),""))</f>
        <v/>
      </c>
      <c r="I739" s="19"/>
      <c r="J739" s="15" t="str">
        <f>IF($B739="","",IFERROR(INDEX(Services!$E$2:$E$120,MATCH($B739,Services!$D$2:$D$120,0)),""))</f>
        <v/>
      </c>
    </row>
    <row r="740" spans="1:10" x14ac:dyDescent="0.3">
      <c r="A740" s="18"/>
      <c r="B740" s="6"/>
      <c r="C740" s="6"/>
      <c r="D740" s="6"/>
      <c r="E740" s="16" t="str">
        <f>IF($B740="","",IFERROR(INDEX(Services!$C$2:$C$120,MATCH($B740,Services!$D$2:$D$120,0)),""))</f>
        <v/>
      </c>
      <c r="F740" s="19"/>
      <c r="G740" s="9" t="str">
        <f t="shared" si="11"/>
        <v/>
      </c>
      <c r="H740" s="15" t="str">
        <f>IF($B740="","",IFERROR(INDEX(Services!$A$2:$A$120,MATCH($B740,Services!$D$2:$D$120,0)),""))</f>
        <v/>
      </c>
      <c r="I740" s="19"/>
      <c r="J740" s="15" t="str">
        <f>IF($B740="","",IFERROR(INDEX(Services!$E$2:$E$120,MATCH($B740,Services!$D$2:$D$120,0)),""))</f>
        <v/>
      </c>
    </row>
    <row r="741" spans="1:10" x14ac:dyDescent="0.3">
      <c r="A741" s="18"/>
      <c r="B741" s="6"/>
      <c r="C741" s="6"/>
      <c r="D741" s="6"/>
      <c r="E741" s="16" t="str">
        <f>IF($B741="","",IFERROR(INDEX(Services!$C$2:$C$120,MATCH($B741,Services!$D$2:$D$120,0)),""))</f>
        <v/>
      </c>
      <c r="F741" s="19"/>
      <c r="G741" s="9" t="str">
        <f t="shared" si="11"/>
        <v/>
      </c>
      <c r="H741" s="15" t="str">
        <f>IF($B741="","",IFERROR(INDEX(Services!$A$2:$A$120,MATCH($B741,Services!$D$2:$D$120,0)),""))</f>
        <v/>
      </c>
      <c r="I741" s="19"/>
      <c r="J741" s="15" t="str">
        <f>IF($B741="","",IFERROR(INDEX(Services!$E$2:$E$120,MATCH($B741,Services!$D$2:$D$120,0)),""))</f>
        <v/>
      </c>
    </row>
    <row r="742" spans="1:10" x14ac:dyDescent="0.3">
      <c r="A742" s="18"/>
      <c r="B742" s="6"/>
      <c r="C742" s="6"/>
      <c r="D742" s="6"/>
      <c r="E742" s="16" t="str">
        <f>IF($B742="","",IFERROR(INDEX(Services!$C$2:$C$120,MATCH($B742,Services!$D$2:$D$120,0)),""))</f>
        <v/>
      </c>
      <c r="F742" s="19"/>
      <c r="G742" s="9" t="str">
        <f t="shared" si="11"/>
        <v/>
      </c>
      <c r="H742" s="15" t="str">
        <f>IF($B742="","",IFERROR(INDEX(Services!$A$2:$A$120,MATCH($B742,Services!$D$2:$D$120,0)),""))</f>
        <v/>
      </c>
      <c r="I742" s="19"/>
      <c r="J742" s="15" t="str">
        <f>IF($B742="","",IFERROR(INDEX(Services!$E$2:$E$120,MATCH($B742,Services!$D$2:$D$120,0)),""))</f>
        <v/>
      </c>
    </row>
    <row r="743" spans="1:10" x14ac:dyDescent="0.3">
      <c r="A743" s="18"/>
      <c r="B743" s="6"/>
      <c r="C743" s="6"/>
      <c r="D743" s="6"/>
      <c r="E743" s="16" t="str">
        <f>IF($B743="","",IFERROR(INDEX(Services!$C$2:$C$120,MATCH($B743,Services!$D$2:$D$120,0)),""))</f>
        <v/>
      </c>
      <c r="F743" s="19"/>
      <c r="G743" s="9" t="str">
        <f t="shared" si="11"/>
        <v/>
      </c>
      <c r="H743" s="15" t="str">
        <f>IF($B743="","",IFERROR(INDEX(Services!$A$2:$A$120,MATCH($B743,Services!$D$2:$D$120,0)),""))</f>
        <v/>
      </c>
      <c r="I743" s="19"/>
      <c r="J743" s="15" t="str">
        <f>IF($B743="","",IFERROR(INDEX(Services!$E$2:$E$120,MATCH($B743,Services!$D$2:$D$120,0)),""))</f>
        <v/>
      </c>
    </row>
    <row r="744" spans="1:10" x14ac:dyDescent="0.3">
      <c r="A744" s="18"/>
      <c r="B744" s="6"/>
      <c r="C744" s="6"/>
      <c r="D744" s="6"/>
      <c r="E744" s="16" t="str">
        <f>IF($B744="","",IFERROR(INDEX(Services!$C$2:$C$120,MATCH($B744,Services!$D$2:$D$120,0)),""))</f>
        <v/>
      </c>
      <c r="F744" s="19"/>
      <c r="G744" s="9" t="str">
        <f t="shared" si="11"/>
        <v/>
      </c>
      <c r="H744" s="15" t="str">
        <f>IF($B744="","",IFERROR(INDEX(Services!$A$2:$A$120,MATCH($B744,Services!$D$2:$D$120,0)),""))</f>
        <v/>
      </c>
      <c r="I744" s="19"/>
      <c r="J744" s="15" t="str">
        <f>IF($B744="","",IFERROR(INDEX(Services!$E$2:$E$120,MATCH($B744,Services!$D$2:$D$120,0)),""))</f>
        <v/>
      </c>
    </row>
    <row r="745" spans="1:10" x14ac:dyDescent="0.3">
      <c r="A745" s="18"/>
      <c r="B745" s="6"/>
      <c r="C745" s="6"/>
      <c r="D745" s="6"/>
      <c r="E745" s="16" t="str">
        <f>IF($B745="","",IFERROR(INDEX(Services!$C$2:$C$120,MATCH($B745,Services!$D$2:$D$120,0)),""))</f>
        <v/>
      </c>
      <c r="F745" s="19"/>
      <c r="G745" s="9" t="str">
        <f t="shared" si="11"/>
        <v/>
      </c>
      <c r="H745" s="15" t="str">
        <f>IF($B745="","",IFERROR(INDEX(Services!$A$2:$A$120,MATCH($B745,Services!$D$2:$D$120,0)),""))</f>
        <v/>
      </c>
      <c r="I745" s="19"/>
      <c r="J745" s="15" t="str">
        <f>IF($B745="","",IFERROR(INDEX(Services!$E$2:$E$120,MATCH($B745,Services!$D$2:$D$120,0)),""))</f>
        <v/>
      </c>
    </row>
    <row r="746" spans="1:10" x14ac:dyDescent="0.3">
      <c r="A746" s="18"/>
      <c r="B746" s="6"/>
      <c r="C746" s="6"/>
      <c r="D746" s="6"/>
      <c r="E746" s="16" t="str">
        <f>IF($B746="","",IFERROR(INDEX(Services!$C$2:$C$120,MATCH($B746,Services!$D$2:$D$120,0)),""))</f>
        <v/>
      </c>
      <c r="F746" s="19"/>
      <c r="G746" s="9" t="str">
        <f t="shared" si="11"/>
        <v/>
      </c>
      <c r="H746" s="15" t="str">
        <f>IF($B746="","",IFERROR(INDEX(Services!$A$2:$A$120,MATCH($B746,Services!$D$2:$D$120,0)),""))</f>
        <v/>
      </c>
      <c r="I746" s="19"/>
      <c r="J746" s="15" t="str">
        <f>IF($B746="","",IFERROR(INDEX(Services!$E$2:$E$120,MATCH($B746,Services!$D$2:$D$120,0)),""))</f>
        <v/>
      </c>
    </row>
    <row r="747" spans="1:10" x14ac:dyDescent="0.3">
      <c r="A747" s="18"/>
      <c r="B747" s="6"/>
      <c r="C747" s="6"/>
      <c r="D747" s="6"/>
      <c r="E747" s="16" t="str">
        <f>IF($B747="","",IFERROR(INDEX(Services!$C$2:$C$120,MATCH($B747,Services!$D$2:$D$120,0)),""))</f>
        <v/>
      </c>
      <c r="F747" s="19"/>
      <c r="G747" s="9" t="str">
        <f t="shared" si="11"/>
        <v/>
      </c>
      <c r="H747" s="15" t="str">
        <f>IF($B747="","",IFERROR(INDEX(Services!$A$2:$A$120,MATCH($B747,Services!$D$2:$D$120,0)),""))</f>
        <v/>
      </c>
      <c r="I747" s="19"/>
      <c r="J747" s="15" t="str">
        <f>IF($B747="","",IFERROR(INDEX(Services!$E$2:$E$120,MATCH($B747,Services!$D$2:$D$120,0)),""))</f>
        <v/>
      </c>
    </row>
    <row r="748" spans="1:10" x14ac:dyDescent="0.3">
      <c r="A748" s="18"/>
      <c r="B748" s="6"/>
      <c r="C748" s="6"/>
      <c r="D748" s="6"/>
      <c r="E748" s="16" t="str">
        <f>IF($B748="","",IFERROR(INDEX(Services!$C$2:$C$120,MATCH($B748,Services!$D$2:$D$120,0)),""))</f>
        <v/>
      </c>
      <c r="F748" s="19"/>
      <c r="G748" s="9" t="str">
        <f t="shared" si="11"/>
        <v/>
      </c>
      <c r="H748" s="15" t="str">
        <f>IF($B748="","",IFERROR(INDEX(Services!$A$2:$A$120,MATCH($B748,Services!$D$2:$D$120,0)),""))</f>
        <v/>
      </c>
      <c r="I748" s="19"/>
      <c r="J748" s="15" t="str">
        <f>IF($B748="","",IFERROR(INDEX(Services!$E$2:$E$120,MATCH($B748,Services!$D$2:$D$120,0)),""))</f>
        <v/>
      </c>
    </row>
    <row r="749" spans="1:10" x14ac:dyDescent="0.3">
      <c r="A749" s="18"/>
      <c r="B749" s="6"/>
      <c r="C749" s="6"/>
      <c r="D749" s="6"/>
      <c r="E749" s="16" t="str">
        <f>IF($B749="","",IFERROR(INDEX(Services!$C$2:$C$120,MATCH($B749,Services!$D$2:$D$120,0)),""))</f>
        <v/>
      </c>
      <c r="F749" s="19"/>
      <c r="G749" s="9" t="str">
        <f t="shared" si="11"/>
        <v/>
      </c>
      <c r="H749" s="15" t="str">
        <f>IF($B749="","",IFERROR(INDEX(Services!$A$2:$A$120,MATCH($B749,Services!$D$2:$D$120,0)),""))</f>
        <v/>
      </c>
      <c r="I749" s="19"/>
      <c r="J749" s="15" t="str">
        <f>IF($B749="","",IFERROR(INDEX(Services!$E$2:$E$120,MATCH($B749,Services!$D$2:$D$120,0)),""))</f>
        <v/>
      </c>
    </row>
    <row r="750" spans="1:10" x14ac:dyDescent="0.3">
      <c r="A750" s="18"/>
      <c r="B750" s="6"/>
      <c r="C750" s="6"/>
      <c r="D750" s="6"/>
      <c r="E750" s="16" t="str">
        <f>IF($B750="","",IFERROR(INDEX(Services!$C$2:$C$120,MATCH($B750,Services!$D$2:$D$120,0)),""))</f>
        <v/>
      </c>
      <c r="F750" s="19"/>
      <c r="G750" s="9" t="str">
        <f t="shared" si="11"/>
        <v/>
      </c>
      <c r="H750" s="15" t="str">
        <f>IF($B750="","",IFERROR(INDEX(Services!$A$2:$A$120,MATCH($B750,Services!$D$2:$D$120,0)),""))</f>
        <v/>
      </c>
      <c r="I750" s="19"/>
      <c r="J750" s="15" t="str">
        <f>IF($B750="","",IFERROR(INDEX(Services!$E$2:$E$120,MATCH($B750,Services!$D$2:$D$120,0)),""))</f>
        <v/>
      </c>
    </row>
    <row r="751" spans="1:10" x14ac:dyDescent="0.3">
      <c r="A751" s="18"/>
      <c r="B751" s="6"/>
      <c r="C751" s="6"/>
      <c r="D751" s="6"/>
      <c r="E751" s="16" t="str">
        <f>IF($B751="","",IFERROR(INDEX(Services!$C$2:$C$120,MATCH($B751,Services!$D$2:$D$120,0)),""))</f>
        <v/>
      </c>
      <c r="F751" s="19"/>
      <c r="G751" s="9" t="str">
        <f t="shared" si="11"/>
        <v/>
      </c>
      <c r="H751" s="15" t="str">
        <f>IF($B751="","",IFERROR(INDEX(Services!$A$2:$A$120,MATCH($B751,Services!$D$2:$D$120,0)),""))</f>
        <v/>
      </c>
      <c r="I751" s="19"/>
      <c r="J751" s="15" t="str">
        <f>IF($B751="","",IFERROR(INDEX(Services!$E$2:$E$120,MATCH($B751,Services!$D$2:$D$120,0)),""))</f>
        <v/>
      </c>
    </row>
    <row r="752" spans="1:10" x14ac:dyDescent="0.3">
      <c r="A752" s="18"/>
      <c r="B752" s="6"/>
      <c r="C752" s="6"/>
      <c r="D752" s="6"/>
      <c r="E752" s="16" t="str">
        <f>IF($B752="","",IFERROR(INDEX(Services!$C$2:$C$120,MATCH($B752,Services!$D$2:$D$120,0)),""))</f>
        <v/>
      </c>
      <c r="F752" s="19"/>
      <c r="G752" s="9" t="str">
        <f t="shared" si="11"/>
        <v/>
      </c>
      <c r="H752" s="15" t="str">
        <f>IF($B752="","",IFERROR(INDEX(Services!$A$2:$A$120,MATCH($B752,Services!$D$2:$D$120,0)),""))</f>
        <v/>
      </c>
      <c r="I752" s="19"/>
      <c r="J752" s="15" t="str">
        <f>IF($B752="","",IFERROR(INDEX(Services!$E$2:$E$120,MATCH($B752,Services!$D$2:$D$120,0)),""))</f>
        <v/>
      </c>
    </row>
    <row r="753" spans="1:10" x14ac:dyDescent="0.3">
      <c r="A753" s="18"/>
      <c r="B753" s="6"/>
      <c r="C753" s="6"/>
      <c r="D753" s="6"/>
      <c r="E753" s="16" t="str">
        <f>IF($B753="","",IFERROR(INDEX(Services!$C$2:$C$120,MATCH($B753,Services!$D$2:$D$120,0)),""))</f>
        <v/>
      </c>
      <c r="F753" s="19"/>
      <c r="G753" s="9" t="str">
        <f t="shared" si="11"/>
        <v/>
      </c>
      <c r="H753" s="15" t="str">
        <f>IF($B753="","",IFERROR(INDEX(Services!$A$2:$A$120,MATCH($B753,Services!$D$2:$D$120,0)),""))</f>
        <v/>
      </c>
      <c r="I753" s="19"/>
      <c r="J753" s="15" t="str">
        <f>IF($B753="","",IFERROR(INDEX(Services!$E$2:$E$120,MATCH($B753,Services!$D$2:$D$120,0)),""))</f>
        <v/>
      </c>
    </row>
    <row r="754" spans="1:10" x14ac:dyDescent="0.3">
      <c r="A754" s="18"/>
      <c r="B754" s="6"/>
      <c r="C754" s="6"/>
      <c r="D754" s="6"/>
      <c r="E754" s="16" t="str">
        <f>IF($B754="","",IFERROR(INDEX(Services!$C$2:$C$120,MATCH($B754,Services!$D$2:$D$120,0)),""))</f>
        <v/>
      </c>
      <c r="F754" s="19"/>
      <c r="G754" s="9" t="str">
        <f t="shared" si="11"/>
        <v/>
      </c>
      <c r="H754" s="15" t="str">
        <f>IF($B754="","",IFERROR(INDEX(Services!$A$2:$A$120,MATCH($B754,Services!$D$2:$D$120,0)),""))</f>
        <v/>
      </c>
      <c r="I754" s="19"/>
      <c r="J754" s="15" t="str">
        <f>IF($B754="","",IFERROR(INDEX(Services!$E$2:$E$120,MATCH($B754,Services!$D$2:$D$120,0)),""))</f>
        <v/>
      </c>
    </row>
    <row r="755" spans="1:10" x14ac:dyDescent="0.3">
      <c r="A755" s="18"/>
      <c r="B755" s="6"/>
      <c r="C755" s="6"/>
      <c r="D755" s="6"/>
      <c r="E755" s="16" t="str">
        <f>IF($B755="","",IFERROR(INDEX(Services!$C$2:$C$120,MATCH($B755,Services!$D$2:$D$120,0)),""))</f>
        <v/>
      </c>
      <c r="F755" s="19"/>
      <c r="G755" s="9" t="str">
        <f t="shared" si="11"/>
        <v/>
      </c>
      <c r="H755" s="15" t="str">
        <f>IF($B755="","",IFERROR(INDEX(Services!$A$2:$A$120,MATCH($B755,Services!$D$2:$D$120,0)),""))</f>
        <v/>
      </c>
      <c r="I755" s="19"/>
      <c r="J755" s="15" t="str">
        <f>IF($B755="","",IFERROR(INDEX(Services!$E$2:$E$120,MATCH($B755,Services!$D$2:$D$120,0)),""))</f>
        <v/>
      </c>
    </row>
    <row r="756" spans="1:10" x14ac:dyDescent="0.3">
      <c r="A756" s="18"/>
      <c r="B756" s="6"/>
      <c r="C756" s="6"/>
      <c r="D756" s="6"/>
      <c r="E756" s="16" t="str">
        <f>IF($B756="","",IFERROR(INDEX(Services!$C$2:$C$120,MATCH($B756,Services!$D$2:$D$120,0)),""))</f>
        <v/>
      </c>
      <c r="F756" s="19"/>
      <c r="G756" s="9" t="str">
        <f t="shared" si="11"/>
        <v/>
      </c>
      <c r="H756" s="15" t="str">
        <f>IF($B756="","",IFERROR(INDEX(Services!$A$2:$A$120,MATCH($B756,Services!$D$2:$D$120,0)),""))</f>
        <v/>
      </c>
      <c r="I756" s="19"/>
      <c r="J756" s="15" t="str">
        <f>IF($B756="","",IFERROR(INDEX(Services!$E$2:$E$120,MATCH($B756,Services!$D$2:$D$120,0)),""))</f>
        <v/>
      </c>
    </row>
    <row r="757" spans="1:10" x14ac:dyDescent="0.3">
      <c r="A757" s="18"/>
      <c r="B757" s="6"/>
      <c r="C757" s="6"/>
      <c r="D757" s="6"/>
      <c r="E757" s="16" t="str">
        <f>IF($B757="","",IFERROR(INDEX(Services!$C$2:$C$120,MATCH($B757,Services!$D$2:$D$120,0)),""))</f>
        <v/>
      </c>
      <c r="F757" s="19"/>
      <c r="G757" s="9" t="str">
        <f t="shared" si="11"/>
        <v/>
      </c>
      <c r="H757" s="15" t="str">
        <f>IF($B757="","",IFERROR(INDEX(Services!$A$2:$A$120,MATCH($B757,Services!$D$2:$D$120,0)),""))</f>
        <v/>
      </c>
      <c r="I757" s="19"/>
      <c r="J757" s="15" t="str">
        <f>IF($B757="","",IFERROR(INDEX(Services!$E$2:$E$120,MATCH($B757,Services!$D$2:$D$120,0)),""))</f>
        <v/>
      </c>
    </row>
    <row r="758" spans="1:10" x14ac:dyDescent="0.3">
      <c r="A758" s="18"/>
      <c r="B758" s="6"/>
      <c r="C758" s="6"/>
      <c r="D758" s="6"/>
      <c r="E758" s="16" t="str">
        <f>IF($B758="","",IFERROR(INDEX(Services!$C$2:$C$120,MATCH($B758,Services!$D$2:$D$120,0)),""))</f>
        <v/>
      </c>
      <c r="F758" s="19"/>
      <c r="G758" s="9" t="str">
        <f t="shared" si="11"/>
        <v/>
      </c>
      <c r="H758" s="15" t="str">
        <f>IF($B758="","",IFERROR(INDEX(Services!$A$2:$A$120,MATCH($B758,Services!$D$2:$D$120,0)),""))</f>
        <v/>
      </c>
      <c r="I758" s="19"/>
      <c r="J758" s="15" t="str">
        <f>IF($B758="","",IFERROR(INDEX(Services!$E$2:$E$120,MATCH($B758,Services!$D$2:$D$120,0)),""))</f>
        <v/>
      </c>
    </row>
    <row r="759" spans="1:10" x14ac:dyDescent="0.3">
      <c r="A759" s="18"/>
      <c r="B759" s="6"/>
      <c r="C759" s="6"/>
      <c r="D759" s="6"/>
      <c r="E759" s="16" t="str">
        <f>IF($B759="","",IFERROR(INDEX(Services!$C$2:$C$120,MATCH($B759,Services!$D$2:$D$120,0)),""))</f>
        <v/>
      </c>
      <c r="F759" s="19"/>
      <c r="G759" s="9" t="str">
        <f t="shared" si="11"/>
        <v/>
      </c>
      <c r="H759" s="15" t="str">
        <f>IF($B759="","",IFERROR(INDEX(Services!$A$2:$A$120,MATCH($B759,Services!$D$2:$D$120,0)),""))</f>
        <v/>
      </c>
      <c r="I759" s="19"/>
      <c r="J759" s="15" t="str">
        <f>IF($B759="","",IFERROR(INDEX(Services!$E$2:$E$120,MATCH($B759,Services!$D$2:$D$120,0)),""))</f>
        <v/>
      </c>
    </row>
    <row r="760" spans="1:10" x14ac:dyDescent="0.3">
      <c r="A760" s="18"/>
      <c r="B760" s="6"/>
      <c r="C760" s="6"/>
      <c r="D760" s="6"/>
      <c r="E760" s="16" t="str">
        <f>IF($B760="","",IFERROR(INDEX(Services!$C$2:$C$120,MATCH($B760,Services!$D$2:$D$120,0)),""))</f>
        <v/>
      </c>
      <c r="F760" s="19"/>
      <c r="G760" s="9" t="str">
        <f t="shared" si="11"/>
        <v/>
      </c>
      <c r="H760" s="15" t="str">
        <f>IF($B760="","",IFERROR(INDEX(Services!$A$2:$A$120,MATCH($B760,Services!$D$2:$D$120,0)),""))</f>
        <v/>
      </c>
      <c r="I760" s="19"/>
      <c r="J760" s="15" t="str">
        <f>IF($B760="","",IFERROR(INDEX(Services!$E$2:$E$120,MATCH($B760,Services!$D$2:$D$120,0)),""))</f>
        <v/>
      </c>
    </row>
    <row r="761" spans="1:10" x14ac:dyDescent="0.3">
      <c r="A761" s="18"/>
      <c r="B761" s="6"/>
      <c r="C761" s="6"/>
      <c r="D761" s="6"/>
      <c r="E761" s="16" t="str">
        <f>IF($B761="","",IFERROR(INDEX(Services!$C$2:$C$120,MATCH($B761,Services!$D$2:$D$120,0)),""))</f>
        <v/>
      </c>
      <c r="F761" s="19"/>
      <c r="G761" s="9" t="str">
        <f t="shared" si="11"/>
        <v/>
      </c>
      <c r="H761" s="15" t="str">
        <f>IF($B761="","",IFERROR(INDEX(Services!$A$2:$A$120,MATCH($B761,Services!$D$2:$D$120,0)),""))</f>
        <v/>
      </c>
      <c r="I761" s="19"/>
      <c r="J761" s="15" t="str">
        <f>IF($B761="","",IFERROR(INDEX(Services!$E$2:$E$120,MATCH($B761,Services!$D$2:$D$120,0)),""))</f>
        <v/>
      </c>
    </row>
    <row r="762" spans="1:10" x14ac:dyDescent="0.3">
      <c r="A762" s="18"/>
      <c r="B762" s="6"/>
      <c r="C762" s="6"/>
      <c r="D762" s="6"/>
      <c r="E762" s="16" t="str">
        <f>IF($B762="","",IFERROR(INDEX(Services!$C$2:$C$120,MATCH($B762,Services!$D$2:$D$120,0)),""))</f>
        <v/>
      </c>
      <c r="F762" s="19"/>
      <c r="G762" s="9" t="str">
        <f t="shared" si="11"/>
        <v/>
      </c>
      <c r="H762" s="15" t="str">
        <f>IF($B762="","",IFERROR(INDEX(Services!$A$2:$A$120,MATCH($B762,Services!$D$2:$D$120,0)),""))</f>
        <v/>
      </c>
      <c r="I762" s="19"/>
      <c r="J762" s="15" t="str">
        <f>IF($B762="","",IFERROR(INDEX(Services!$E$2:$E$120,MATCH($B762,Services!$D$2:$D$120,0)),""))</f>
        <v/>
      </c>
    </row>
    <row r="763" spans="1:10" x14ac:dyDescent="0.3">
      <c r="A763" s="18"/>
      <c r="B763" s="6"/>
      <c r="C763" s="6"/>
      <c r="D763" s="6"/>
      <c r="E763" s="16" t="str">
        <f>IF($B763="","",IFERROR(INDEX(Services!$C$2:$C$120,MATCH($B763,Services!$D$2:$D$120,0)),""))</f>
        <v/>
      </c>
      <c r="F763" s="19"/>
      <c r="G763" s="9" t="str">
        <f t="shared" si="11"/>
        <v/>
      </c>
      <c r="H763" s="15" t="str">
        <f>IF($B763="","",IFERROR(INDEX(Services!$A$2:$A$120,MATCH($B763,Services!$D$2:$D$120,0)),""))</f>
        <v/>
      </c>
      <c r="I763" s="19"/>
      <c r="J763" s="15" t="str">
        <f>IF($B763="","",IFERROR(INDEX(Services!$E$2:$E$120,MATCH($B763,Services!$D$2:$D$120,0)),""))</f>
        <v/>
      </c>
    </row>
    <row r="764" spans="1:10" x14ac:dyDescent="0.3">
      <c r="A764" s="18"/>
      <c r="B764" s="6"/>
      <c r="C764" s="6"/>
      <c r="D764" s="6"/>
      <c r="E764" s="16" t="str">
        <f>IF($B764="","",IFERROR(INDEX(Services!$C$2:$C$120,MATCH($B764,Services!$D$2:$D$120,0)),""))</f>
        <v/>
      </c>
      <c r="F764" s="19"/>
      <c r="G764" s="9" t="str">
        <f t="shared" si="11"/>
        <v/>
      </c>
      <c r="H764" s="15" t="str">
        <f>IF($B764="","",IFERROR(INDEX(Services!$A$2:$A$120,MATCH($B764,Services!$D$2:$D$120,0)),""))</f>
        <v/>
      </c>
      <c r="I764" s="19"/>
      <c r="J764" s="15" t="str">
        <f>IF($B764="","",IFERROR(INDEX(Services!$E$2:$E$120,MATCH($B764,Services!$D$2:$D$120,0)),""))</f>
        <v/>
      </c>
    </row>
    <row r="765" spans="1:10" x14ac:dyDescent="0.3">
      <c r="A765" s="18"/>
      <c r="B765" s="6"/>
      <c r="C765" s="6"/>
      <c r="D765" s="6"/>
      <c r="E765" s="16" t="str">
        <f>IF($B765="","",IFERROR(INDEX(Services!$C$2:$C$120,MATCH($B765,Services!$D$2:$D$120,0)),""))</f>
        <v/>
      </c>
      <c r="F765" s="19"/>
      <c r="G765" s="9" t="str">
        <f t="shared" si="11"/>
        <v/>
      </c>
      <c r="H765" s="15" t="str">
        <f>IF($B765="","",IFERROR(INDEX(Services!$A$2:$A$120,MATCH($B765,Services!$D$2:$D$120,0)),""))</f>
        <v/>
      </c>
      <c r="I765" s="19"/>
      <c r="J765" s="15" t="str">
        <f>IF($B765="","",IFERROR(INDEX(Services!$E$2:$E$120,MATCH($B765,Services!$D$2:$D$120,0)),""))</f>
        <v/>
      </c>
    </row>
    <row r="766" spans="1:10" x14ac:dyDescent="0.3">
      <c r="A766" s="18"/>
      <c r="B766" s="6"/>
      <c r="C766" s="6"/>
      <c r="D766" s="6"/>
      <c r="E766" s="16" t="str">
        <f>IF($B766="","",IFERROR(INDEX(Services!$C$2:$C$120,MATCH($B766,Services!$D$2:$D$120,0)),""))</f>
        <v/>
      </c>
      <c r="F766" s="19"/>
      <c r="G766" s="9" t="str">
        <f t="shared" si="11"/>
        <v/>
      </c>
      <c r="H766" s="15" t="str">
        <f>IF($B766="","",IFERROR(INDEX(Services!$A$2:$A$120,MATCH($B766,Services!$D$2:$D$120,0)),""))</f>
        <v/>
      </c>
      <c r="I766" s="19"/>
      <c r="J766" s="15" t="str">
        <f>IF($B766="","",IFERROR(INDEX(Services!$E$2:$E$120,MATCH($B766,Services!$D$2:$D$120,0)),""))</f>
        <v/>
      </c>
    </row>
    <row r="767" spans="1:10" x14ac:dyDescent="0.3">
      <c r="A767" s="18"/>
      <c r="B767" s="6"/>
      <c r="C767" s="6"/>
      <c r="D767" s="6"/>
      <c r="E767" s="16" t="str">
        <f>IF($B767="","",IFERROR(INDEX(Services!$C$2:$C$120,MATCH($B767,Services!$D$2:$D$120,0)),""))</f>
        <v/>
      </c>
      <c r="F767" s="19"/>
      <c r="G767" s="9" t="str">
        <f t="shared" si="11"/>
        <v/>
      </c>
      <c r="H767" s="15" t="str">
        <f>IF($B767="","",IFERROR(INDEX(Services!$A$2:$A$120,MATCH($B767,Services!$D$2:$D$120,0)),""))</f>
        <v/>
      </c>
      <c r="I767" s="19"/>
      <c r="J767" s="15" t="str">
        <f>IF($B767="","",IFERROR(INDEX(Services!$E$2:$E$120,MATCH($B767,Services!$D$2:$D$120,0)),""))</f>
        <v/>
      </c>
    </row>
    <row r="768" spans="1:10" x14ac:dyDescent="0.3">
      <c r="A768" s="18"/>
      <c r="B768" s="6"/>
      <c r="C768" s="6"/>
      <c r="D768" s="6"/>
      <c r="E768" s="16" t="str">
        <f>IF($B768="","",IFERROR(INDEX(Services!$C$2:$C$120,MATCH($B768,Services!$D$2:$D$120,0)),""))</f>
        <v/>
      </c>
      <c r="F768" s="19"/>
      <c r="G768" s="9" t="str">
        <f t="shared" si="11"/>
        <v/>
      </c>
      <c r="H768" s="15" t="str">
        <f>IF($B768="","",IFERROR(INDEX(Services!$A$2:$A$120,MATCH($B768,Services!$D$2:$D$120,0)),""))</f>
        <v/>
      </c>
      <c r="I768" s="19"/>
      <c r="J768" s="15" t="str">
        <f>IF($B768="","",IFERROR(INDEX(Services!$E$2:$E$120,MATCH($B768,Services!$D$2:$D$120,0)),""))</f>
        <v/>
      </c>
    </row>
    <row r="769" spans="1:10" x14ac:dyDescent="0.3">
      <c r="A769" s="18"/>
      <c r="B769" s="6"/>
      <c r="C769" s="6"/>
      <c r="D769" s="6"/>
      <c r="E769" s="16" t="str">
        <f>IF($B769="","",IFERROR(INDEX(Services!$C$2:$C$120,MATCH($B769,Services!$D$2:$D$120,0)),""))</f>
        <v/>
      </c>
      <c r="F769" s="19"/>
      <c r="G769" s="9" t="str">
        <f t="shared" si="11"/>
        <v/>
      </c>
      <c r="H769" s="15" t="str">
        <f>IF($B769="","",IFERROR(INDEX(Services!$A$2:$A$120,MATCH($B769,Services!$D$2:$D$120,0)),""))</f>
        <v/>
      </c>
      <c r="I769" s="19"/>
      <c r="J769" s="15" t="str">
        <f>IF($B769="","",IFERROR(INDEX(Services!$E$2:$E$120,MATCH($B769,Services!$D$2:$D$120,0)),""))</f>
        <v/>
      </c>
    </row>
    <row r="770" spans="1:10" x14ac:dyDescent="0.3">
      <c r="A770" s="18"/>
      <c r="B770" s="6"/>
      <c r="C770" s="6"/>
      <c r="D770" s="6"/>
      <c r="E770" s="16" t="str">
        <f>IF($B770="","",IFERROR(INDEX(Services!$C$2:$C$120,MATCH($B770,Services!$D$2:$D$120,0)),""))</f>
        <v/>
      </c>
      <c r="F770" s="19"/>
      <c r="G770" s="9" t="str">
        <f t="shared" ref="G770:G833" si="12">IF(OR($B770="",NOT(ISNUMBER($E770))),"",$E770-IF($F770="",0,$F770))</f>
        <v/>
      </c>
      <c r="H770" s="15" t="str">
        <f>IF($B770="","",IFERROR(INDEX(Services!$A$2:$A$120,MATCH($B770,Services!$D$2:$D$120,0)),""))</f>
        <v/>
      </c>
      <c r="I770" s="19"/>
      <c r="J770" s="15" t="str">
        <f>IF($B770="","",IFERROR(INDEX(Services!$E$2:$E$120,MATCH($B770,Services!$D$2:$D$120,0)),""))</f>
        <v/>
      </c>
    </row>
    <row r="771" spans="1:10" x14ac:dyDescent="0.3">
      <c r="A771" s="18"/>
      <c r="B771" s="6"/>
      <c r="C771" s="6"/>
      <c r="D771" s="6"/>
      <c r="E771" s="16" t="str">
        <f>IF($B771="","",IFERROR(INDEX(Services!$C$2:$C$120,MATCH($B771,Services!$D$2:$D$120,0)),""))</f>
        <v/>
      </c>
      <c r="F771" s="19"/>
      <c r="G771" s="9" t="str">
        <f t="shared" si="12"/>
        <v/>
      </c>
      <c r="H771" s="15" t="str">
        <f>IF($B771="","",IFERROR(INDEX(Services!$A$2:$A$120,MATCH($B771,Services!$D$2:$D$120,0)),""))</f>
        <v/>
      </c>
      <c r="I771" s="19"/>
      <c r="J771" s="15" t="str">
        <f>IF($B771="","",IFERROR(INDEX(Services!$E$2:$E$120,MATCH($B771,Services!$D$2:$D$120,0)),""))</f>
        <v/>
      </c>
    </row>
    <row r="772" spans="1:10" x14ac:dyDescent="0.3">
      <c r="A772" s="18"/>
      <c r="B772" s="6"/>
      <c r="C772" s="6"/>
      <c r="D772" s="6"/>
      <c r="E772" s="16" t="str">
        <f>IF($B772="","",IFERROR(INDEX(Services!$C$2:$C$120,MATCH($B772,Services!$D$2:$D$120,0)),""))</f>
        <v/>
      </c>
      <c r="F772" s="19"/>
      <c r="G772" s="9" t="str">
        <f t="shared" si="12"/>
        <v/>
      </c>
      <c r="H772" s="15" t="str">
        <f>IF($B772="","",IFERROR(INDEX(Services!$A$2:$A$120,MATCH($B772,Services!$D$2:$D$120,0)),""))</f>
        <v/>
      </c>
      <c r="I772" s="19"/>
      <c r="J772" s="15" t="str">
        <f>IF($B772="","",IFERROR(INDEX(Services!$E$2:$E$120,MATCH($B772,Services!$D$2:$D$120,0)),""))</f>
        <v/>
      </c>
    </row>
    <row r="773" spans="1:10" x14ac:dyDescent="0.3">
      <c r="A773" s="18"/>
      <c r="B773" s="6"/>
      <c r="C773" s="6"/>
      <c r="D773" s="6"/>
      <c r="E773" s="16" t="str">
        <f>IF($B773="","",IFERROR(INDEX(Services!$C$2:$C$120,MATCH($B773,Services!$D$2:$D$120,0)),""))</f>
        <v/>
      </c>
      <c r="F773" s="19"/>
      <c r="G773" s="9" t="str">
        <f t="shared" si="12"/>
        <v/>
      </c>
      <c r="H773" s="15" t="str">
        <f>IF($B773="","",IFERROR(INDEX(Services!$A$2:$A$120,MATCH($B773,Services!$D$2:$D$120,0)),""))</f>
        <v/>
      </c>
      <c r="I773" s="19"/>
      <c r="J773" s="15" t="str">
        <f>IF($B773="","",IFERROR(INDEX(Services!$E$2:$E$120,MATCH($B773,Services!$D$2:$D$120,0)),""))</f>
        <v/>
      </c>
    </row>
    <row r="774" spans="1:10" x14ac:dyDescent="0.3">
      <c r="A774" s="18"/>
      <c r="B774" s="6"/>
      <c r="C774" s="6"/>
      <c r="D774" s="6"/>
      <c r="E774" s="16" t="str">
        <f>IF($B774="","",IFERROR(INDEX(Services!$C$2:$C$120,MATCH($B774,Services!$D$2:$D$120,0)),""))</f>
        <v/>
      </c>
      <c r="F774" s="19"/>
      <c r="G774" s="9" t="str">
        <f t="shared" si="12"/>
        <v/>
      </c>
      <c r="H774" s="15" t="str">
        <f>IF($B774="","",IFERROR(INDEX(Services!$A$2:$A$120,MATCH($B774,Services!$D$2:$D$120,0)),""))</f>
        <v/>
      </c>
      <c r="I774" s="19"/>
      <c r="J774" s="15" t="str">
        <f>IF($B774="","",IFERROR(INDEX(Services!$E$2:$E$120,MATCH($B774,Services!$D$2:$D$120,0)),""))</f>
        <v/>
      </c>
    </row>
    <row r="775" spans="1:10" x14ac:dyDescent="0.3">
      <c r="A775" s="18"/>
      <c r="B775" s="6"/>
      <c r="C775" s="6"/>
      <c r="D775" s="6"/>
      <c r="E775" s="16" t="str">
        <f>IF($B775="","",IFERROR(INDEX(Services!$C$2:$C$120,MATCH($B775,Services!$D$2:$D$120,0)),""))</f>
        <v/>
      </c>
      <c r="F775" s="19"/>
      <c r="G775" s="9" t="str">
        <f t="shared" si="12"/>
        <v/>
      </c>
      <c r="H775" s="15" t="str">
        <f>IF($B775="","",IFERROR(INDEX(Services!$A$2:$A$120,MATCH($B775,Services!$D$2:$D$120,0)),""))</f>
        <v/>
      </c>
      <c r="I775" s="19"/>
      <c r="J775" s="15" t="str">
        <f>IF($B775="","",IFERROR(INDEX(Services!$E$2:$E$120,MATCH($B775,Services!$D$2:$D$120,0)),""))</f>
        <v/>
      </c>
    </row>
    <row r="776" spans="1:10" x14ac:dyDescent="0.3">
      <c r="A776" s="18"/>
      <c r="B776" s="6"/>
      <c r="C776" s="6"/>
      <c r="D776" s="6"/>
      <c r="E776" s="16" t="str">
        <f>IF($B776="","",IFERROR(INDEX(Services!$C$2:$C$120,MATCH($B776,Services!$D$2:$D$120,0)),""))</f>
        <v/>
      </c>
      <c r="F776" s="19"/>
      <c r="G776" s="9" t="str">
        <f t="shared" si="12"/>
        <v/>
      </c>
      <c r="H776" s="15" t="str">
        <f>IF($B776="","",IFERROR(INDEX(Services!$A$2:$A$120,MATCH($B776,Services!$D$2:$D$120,0)),""))</f>
        <v/>
      </c>
      <c r="I776" s="19"/>
      <c r="J776" s="15" t="str">
        <f>IF($B776="","",IFERROR(INDEX(Services!$E$2:$E$120,MATCH($B776,Services!$D$2:$D$120,0)),""))</f>
        <v/>
      </c>
    </row>
    <row r="777" spans="1:10" x14ac:dyDescent="0.3">
      <c r="A777" s="18"/>
      <c r="B777" s="6"/>
      <c r="C777" s="6"/>
      <c r="D777" s="6"/>
      <c r="E777" s="16" t="str">
        <f>IF($B777="","",IFERROR(INDEX(Services!$C$2:$C$120,MATCH($B777,Services!$D$2:$D$120,0)),""))</f>
        <v/>
      </c>
      <c r="F777" s="19"/>
      <c r="G777" s="9" t="str">
        <f t="shared" si="12"/>
        <v/>
      </c>
      <c r="H777" s="15" t="str">
        <f>IF($B777="","",IFERROR(INDEX(Services!$A$2:$A$120,MATCH($B777,Services!$D$2:$D$120,0)),""))</f>
        <v/>
      </c>
      <c r="I777" s="19"/>
      <c r="J777" s="15" t="str">
        <f>IF($B777="","",IFERROR(INDEX(Services!$E$2:$E$120,MATCH($B777,Services!$D$2:$D$120,0)),""))</f>
        <v/>
      </c>
    </row>
    <row r="778" spans="1:10" x14ac:dyDescent="0.3">
      <c r="A778" s="18"/>
      <c r="B778" s="6"/>
      <c r="C778" s="6"/>
      <c r="D778" s="6"/>
      <c r="E778" s="16" t="str">
        <f>IF($B778="","",IFERROR(INDEX(Services!$C$2:$C$120,MATCH($B778,Services!$D$2:$D$120,0)),""))</f>
        <v/>
      </c>
      <c r="F778" s="19"/>
      <c r="G778" s="9" t="str">
        <f t="shared" si="12"/>
        <v/>
      </c>
      <c r="H778" s="15" t="str">
        <f>IF($B778="","",IFERROR(INDEX(Services!$A$2:$A$120,MATCH($B778,Services!$D$2:$D$120,0)),""))</f>
        <v/>
      </c>
      <c r="I778" s="19"/>
      <c r="J778" s="15" t="str">
        <f>IF($B778="","",IFERROR(INDEX(Services!$E$2:$E$120,MATCH($B778,Services!$D$2:$D$120,0)),""))</f>
        <v/>
      </c>
    </row>
    <row r="779" spans="1:10" x14ac:dyDescent="0.3">
      <c r="A779" s="18"/>
      <c r="B779" s="6"/>
      <c r="C779" s="6"/>
      <c r="D779" s="6"/>
      <c r="E779" s="16" t="str">
        <f>IF($B779="","",IFERROR(INDEX(Services!$C$2:$C$120,MATCH($B779,Services!$D$2:$D$120,0)),""))</f>
        <v/>
      </c>
      <c r="F779" s="19"/>
      <c r="G779" s="9" t="str">
        <f t="shared" si="12"/>
        <v/>
      </c>
      <c r="H779" s="15" t="str">
        <f>IF($B779="","",IFERROR(INDEX(Services!$A$2:$A$120,MATCH($B779,Services!$D$2:$D$120,0)),""))</f>
        <v/>
      </c>
      <c r="I779" s="19"/>
      <c r="J779" s="15" t="str">
        <f>IF($B779="","",IFERROR(INDEX(Services!$E$2:$E$120,MATCH($B779,Services!$D$2:$D$120,0)),""))</f>
        <v/>
      </c>
    </row>
    <row r="780" spans="1:10" x14ac:dyDescent="0.3">
      <c r="A780" s="18"/>
      <c r="B780" s="6"/>
      <c r="C780" s="6"/>
      <c r="D780" s="6"/>
      <c r="E780" s="16" t="str">
        <f>IF($B780="","",IFERROR(INDEX(Services!$C$2:$C$120,MATCH($B780,Services!$D$2:$D$120,0)),""))</f>
        <v/>
      </c>
      <c r="F780" s="19"/>
      <c r="G780" s="9" t="str">
        <f t="shared" si="12"/>
        <v/>
      </c>
      <c r="H780" s="15" t="str">
        <f>IF($B780="","",IFERROR(INDEX(Services!$A$2:$A$120,MATCH($B780,Services!$D$2:$D$120,0)),""))</f>
        <v/>
      </c>
      <c r="I780" s="19"/>
      <c r="J780" s="15" t="str">
        <f>IF($B780="","",IFERROR(INDEX(Services!$E$2:$E$120,MATCH($B780,Services!$D$2:$D$120,0)),""))</f>
        <v/>
      </c>
    </row>
    <row r="781" spans="1:10" x14ac:dyDescent="0.3">
      <c r="A781" s="18"/>
      <c r="B781" s="6"/>
      <c r="C781" s="6"/>
      <c r="D781" s="6"/>
      <c r="E781" s="16" t="str">
        <f>IF($B781="","",IFERROR(INDEX(Services!$C$2:$C$120,MATCH($B781,Services!$D$2:$D$120,0)),""))</f>
        <v/>
      </c>
      <c r="F781" s="19"/>
      <c r="G781" s="9" t="str">
        <f t="shared" si="12"/>
        <v/>
      </c>
      <c r="H781" s="15" t="str">
        <f>IF($B781="","",IFERROR(INDEX(Services!$A$2:$A$120,MATCH($B781,Services!$D$2:$D$120,0)),""))</f>
        <v/>
      </c>
      <c r="I781" s="19"/>
      <c r="J781" s="15" t="str">
        <f>IF($B781="","",IFERROR(INDEX(Services!$E$2:$E$120,MATCH($B781,Services!$D$2:$D$120,0)),""))</f>
        <v/>
      </c>
    </row>
    <row r="782" spans="1:10" x14ac:dyDescent="0.3">
      <c r="A782" s="18"/>
      <c r="B782" s="6"/>
      <c r="C782" s="6"/>
      <c r="D782" s="6"/>
      <c r="E782" s="16" t="str">
        <f>IF($B782="","",IFERROR(INDEX(Services!$C$2:$C$120,MATCH($B782,Services!$D$2:$D$120,0)),""))</f>
        <v/>
      </c>
      <c r="F782" s="19"/>
      <c r="G782" s="9" t="str">
        <f t="shared" si="12"/>
        <v/>
      </c>
      <c r="H782" s="15" t="str">
        <f>IF($B782="","",IFERROR(INDEX(Services!$A$2:$A$120,MATCH($B782,Services!$D$2:$D$120,0)),""))</f>
        <v/>
      </c>
      <c r="I782" s="19"/>
      <c r="J782" s="15" t="str">
        <f>IF($B782="","",IFERROR(INDEX(Services!$E$2:$E$120,MATCH($B782,Services!$D$2:$D$120,0)),""))</f>
        <v/>
      </c>
    </row>
    <row r="783" spans="1:10" x14ac:dyDescent="0.3">
      <c r="A783" s="18"/>
      <c r="B783" s="6"/>
      <c r="C783" s="6"/>
      <c r="D783" s="6"/>
      <c r="E783" s="16" t="str">
        <f>IF($B783="","",IFERROR(INDEX(Services!$C$2:$C$120,MATCH($B783,Services!$D$2:$D$120,0)),""))</f>
        <v/>
      </c>
      <c r="F783" s="19"/>
      <c r="G783" s="9" t="str">
        <f t="shared" si="12"/>
        <v/>
      </c>
      <c r="H783" s="15" t="str">
        <f>IF($B783="","",IFERROR(INDEX(Services!$A$2:$A$120,MATCH($B783,Services!$D$2:$D$120,0)),""))</f>
        <v/>
      </c>
      <c r="I783" s="19"/>
      <c r="J783" s="15" t="str">
        <f>IF($B783="","",IFERROR(INDEX(Services!$E$2:$E$120,MATCH($B783,Services!$D$2:$D$120,0)),""))</f>
        <v/>
      </c>
    </row>
    <row r="784" spans="1:10" x14ac:dyDescent="0.3">
      <c r="A784" s="18"/>
      <c r="B784" s="6"/>
      <c r="C784" s="6"/>
      <c r="D784" s="6"/>
      <c r="E784" s="16" t="str">
        <f>IF($B784="","",IFERROR(INDEX(Services!$C$2:$C$120,MATCH($B784,Services!$D$2:$D$120,0)),""))</f>
        <v/>
      </c>
      <c r="F784" s="19"/>
      <c r="G784" s="9" t="str">
        <f t="shared" si="12"/>
        <v/>
      </c>
      <c r="H784" s="15" t="str">
        <f>IF($B784="","",IFERROR(INDEX(Services!$A$2:$A$120,MATCH($B784,Services!$D$2:$D$120,0)),""))</f>
        <v/>
      </c>
      <c r="I784" s="19"/>
      <c r="J784" s="15" t="str">
        <f>IF($B784="","",IFERROR(INDEX(Services!$E$2:$E$120,MATCH($B784,Services!$D$2:$D$120,0)),""))</f>
        <v/>
      </c>
    </row>
    <row r="785" spans="1:10" x14ac:dyDescent="0.3">
      <c r="A785" s="18"/>
      <c r="B785" s="6"/>
      <c r="C785" s="6"/>
      <c r="D785" s="6"/>
      <c r="E785" s="16" t="str">
        <f>IF($B785="","",IFERROR(INDEX(Services!$C$2:$C$120,MATCH($B785,Services!$D$2:$D$120,0)),""))</f>
        <v/>
      </c>
      <c r="F785" s="19"/>
      <c r="G785" s="9" t="str">
        <f t="shared" si="12"/>
        <v/>
      </c>
      <c r="H785" s="15" t="str">
        <f>IF($B785="","",IFERROR(INDEX(Services!$A$2:$A$120,MATCH($B785,Services!$D$2:$D$120,0)),""))</f>
        <v/>
      </c>
      <c r="I785" s="19"/>
      <c r="J785" s="15" t="str">
        <f>IF($B785="","",IFERROR(INDEX(Services!$E$2:$E$120,MATCH($B785,Services!$D$2:$D$120,0)),""))</f>
        <v/>
      </c>
    </row>
    <row r="786" spans="1:10" x14ac:dyDescent="0.3">
      <c r="A786" s="18"/>
      <c r="B786" s="6"/>
      <c r="C786" s="6"/>
      <c r="D786" s="6"/>
      <c r="E786" s="16" t="str">
        <f>IF($B786="","",IFERROR(INDEX(Services!$C$2:$C$120,MATCH($B786,Services!$D$2:$D$120,0)),""))</f>
        <v/>
      </c>
      <c r="F786" s="19"/>
      <c r="G786" s="9" t="str">
        <f t="shared" si="12"/>
        <v/>
      </c>
      <c r="H786" s="15" t="str">
        <f>IF($B786="","",IFERROR(INDEX(Services!$A$2:$A$120,MATCH($B786,Services!$D$2:$D$120,0)),""))</f>
        <v/>
      </c>
      <c r="I786" s="19"/>
      <c r="J786" s="15" t="str">
        <f>IF($B786="","",IFERROR(INDEX(Services!$E$2:$E$120,MATCH($B786,Services!$D$2:$D$120,0)),""))</f>
        <v/>
      </c>
    </row>
    <row r="787" spans="1:10" x14ac:dyDescent="0.3">
      <c r="A787" s="18"/>
      <c r="B787" s="6"/>
      <c r="C787" s="6"/>
      <c r="D787" s="6"/>
      <c r="E787" s="16" t="str">
        <f>IF($B787="","",IFERROR(INDEX(Services!$C$2:$C$120,MATCH($B787,Services!$D$2:$D$120,0)),""))</f>
        <v/>
      </c>
      <c r="F787" s="19"/>
      <c r="G787" s="9" t="str">
        <f t="shared" si="12"/>
        <v/>
      </c>
      <c r="H787" s="15" t="str">
        <f>IF($B787="","",IFERROR(INDEX(Services!$A$2:$A$120,MATCH($B787,Services!$D$2:$D$120,0)),""))</f>
        <v/>
      </c>
      <c r="I787" s="19"/>
      <c r="J787" s="15" t="str">
        <f>IF($B787="","",IFERROR(INDEX(Services!$E$2:$E$120,MATCH($B787,Services!$D$2:$D$120,0)),""))</f>
        <v/>
      </c>
    </row>
    <row r="788" spans="1:10" x14ac:dyDescent="0.3">
      <c r="A788" s="18"/>
      <c r="B788" s="6"/>
      <c r="C788" s="6"/>
      <c r="D788" s="6"/>
      <c r="E788" s="16" t="str">
        <f>IF($B788="","",IFERROR(INDEX(Services!$C$2:$C$120,MATCH($B788,Services!$D$2:$D$120,0)),""))</f>
        <v/>
      </c>
      <c r="F788" s="19"/>
      <c r="G788" s="9" t="str">
        <f t="shared" si="12"/>
        <v/>
      </c>
      <c r="H788" s="15" t="str">
        <f>IF($B788="","",IFERROR(INDEX(Services!$A$2:$A$120,MATCH($B788,Services!$D$2:$D$120,0)),""))</f>
        <v/>
      </c>
      <c r="I788" s="19"/>
      <c r="J788" s="15" t="str">
        <f>IF($B788="","",IFERROR(INDEX(Services!$E$2:$E$120,MATCH($B788,Services!$D$2:$D$120,0)),""))</f>
        <v/>
      </c>
    </row>
    <row r="789" spans="1:10" x14ac:dyDescent="0.3">
      <c r="A789" s="18"/>
      <c r="B789" s="6"/>
      <c r="C789" s="6"/>
      <c r="D789" s="6"/>
      <c r="E789" s="16" t="str">
        <f>IF($B789="","",IFERROR(INDEX(Services!$C$2:$C$120,MATCH($B789,Services!$D$2:$D$120,0)),""))</f>
        <v/>
      </c>
      <c r="F789" s="19"/>
      <c r="G789" s="9" t="str">
        <f t="shared" si="12"/>
        <v/>
      </c>
      <c r="H789" s="15" t="str">
        <f>IF($B789="","",IFERROR(INDEX(Services!$A$2:$A$120,MATCH($B789,Services!$D$2:$D$120,0)),""))</f>
        <v/>
      </c>
      <c r="I789" s="19"/>
      <c r="J789" s="15" t="str">
        <f>IF($B789="","",IFERROR(INDEX(Services!$E$2:$E$120,MATCH($B789,Services!$D$2:$D$120,0)),""))</f>
        <v/>
      </c>
    </row>
    <row r="790" spans="1:10" x14ac:dyDescent="0.3">
      <c r="A790" s="18"/>
      <c r="B790" s="6"/>
      <c r="C790" s="6"/>
      <c r="D790" s="6"/>
      <c r="E790" s="16" t="str">
        <f>IF($B790="","",IFERROR(INDEX(Services!$C$2:$C$120,MATCH($B790,Services!$D$2:$D$120,0)),""))</f>
        <v/>
      </c>
      <c r="F790" s="19"/>
      <c r="G790" s="9" t="str">
        <f t="shared" si="12"/>
        <v/>
      </c>
      <c r="H790" s="15" t="str">
        <f>IF($B790="","",IFERROR(INDEX(Services!$A$2:$A$120,MATCH($B790,Services!$D$2:$D$120,0)),""))</f>
        <v/>
      </c>
      <c r="I790" s="19"/>
      <c r="J790" s="15" t="str">
        <f>IF($B790="","",IFERROR(INDEX(Services!$E$2:$E$120,MATCH($B790,Services!$D$2:$D$120,0)),""))</f>
        <v/>
      </c>
    </row>
    <row r="791" spans="1:10" x14ac:dyDescent="0.3">
      <c r="A791" s="18"/>
      <c r="B791" s="6"/>
      <c r="C791" s="6"/>
      <c r="D791" s="6"/>
      <c r="E791" s="16" t="str">
        <f>IF($B791="","",IFERROR(INDEX(Services!$C$2:$C$120,MATCH($B791,Services!$D$2:$D$120,0)),""))</f>
        <v/>
      </c>
      <c r="F791" s="19"/>
      <c r="G791" s="9" t="str">
        <f t="shared" si="12"/>
        <v/>
      </c>
      <c r="H791" s="15" t="str">
        <f>IF($B791="","",IFERROR(INDEX(Services!$A$2:$A$120,MATCH($B791,Services!$D$2:$D$120,0)),""))</f>
        <v/>
      </c>
      <c r="I791" s="19"/>
      <c r="J791" s="15" t="str">
        <f>IF($B791="","",IFERROR(INDEX(Services!$E$2:$E$120,MATCH($B791,Services!$D$2:$D$120,0)),""))</f>
        <v/>
      </c>
    </row>
    <row r="792" spans="1:10" x14ac:dyDescent="0.3">
      <c r="A792" s="18"/>
      <c r="B792" s="6"/>
      <c r="C792" s="6"/>
      <c r="D792" s="6"/>
      <c r="E792" s="16" t="str">
        <f>IF($B792="","",IFERROR(INDEX(Services!$C$2:$C$120,MATCH($B792,Services!$D$2:$D$120,0)),""))</f>
        <v/>
      </c>
      <c r="F792" s="19"/>
      <c r="G792" s="9" t="str">
        <f t="shared" si="12"/>
        <v/>
      </c>
      <c r="H792" s="15" t="str">
        <f>IF($B792="","",IFERROR(INDEX(Services!$A$2:$A$120,MATCH($B792,Services!$D$2:$D$120,0)),""))</f>
        <v/>
      </c>
      <c r="I792" s="19"/>
      <c r="J792" s="15" t="str">
        <f>IF($B792="","",IFERROR(INDEX(Services!$E$2:$E$120,MATCH($B792,Services!$D$2:$D$120,0)),""))</f>
        <v/>
      </c>
    </row>
    <row r="793" spans="1:10" x14ac:dyDescent="0.3">
      <c r="A793" s="18"/>
      <c r="B793" s="6"/>
      <c r="C793" s="6"/>
      <c r="D793" s="6"/>
      <c r="E793" s="16" t="str">
        <f>IF($B793="","",IFERROR(INDEX(Services!$C$2:$C$120,MATCH($B793,Services!$D$2:$D$120,0)),""))</f>
        <v/>
      </c>
      <c r="F793" s="19"/>
      <c r="G793" s="9" t="str">
        <f t="shared" si="12"/>
        <v/>
      </c>
      <c r="H793" s="15" t="str">
        <f>IF($B793="","",IFERROR(INDEX(Services!$A$2:$A$120,MATCH($B793,Services!$D$2:$D$120,0)),""))</f>
        <v/>
      </c>
      <c r="I793" s="19"/>
      <c r="J793" s="15" t="str">
        <f>IF($B793="","",IFERROR(INDEX(Services!$E$2:$E$120,MATCH($B793,Services!$D$2:$D$120,0)),""))</f>
        <v/>
      </c>
    </row>
    <row r="794" spans="1:10" x14ac:dyDescent="0.3">
      <c r="A794" s="18"/>
      <c r="B794" s="6"/>
      <c r="C794" s="6"/>
      <c r="D794" s="6"/>
      <c r="E794" s="16" t="str">
        <f>IF($B794="","",IFERROR(INDEX(Services!$C$2:$C$120,MATCH($B794,Services!$D$2:$D$120,0)),""))</f>
        <v/>
      </c>
      <c r="F794" s="19"/>
      <c r="G794" s="9" t="str">
        <f t="shared" si="12"/>
        <v/>
      </c>
      <c r="H794" s="15" t="str">
        <f>IF($B794="","",IFERROR(INDEX(Services!$A$2:$A$120,MATCH($B794,Services!$D$2:$D$120,0)),""))</f>
        <v/>
      </c>
      <c r="I794" s="19"/>
      <c r="J794" s="15" t="str">
        <f>IF($B794="","",IFERROR(INDEX(Services!$E$2:$E$120,MATCH($B794,Services!$D$2:$D$120,0)),""))</f>
        <v/>
      </c>
    </row>
    <row r="795" spans="1:10" x14ac:dyDescent="0.3">
      <c r="A795" s="18"/>
      <c r="B795" s="6"/>
      <c r="C795" s="6"/>
      <c r="D795" s="6"/>
      <c r="E795" s="16" t="str">
        <f>IF($B795="","",IFERROR(INDEX(Services!$C$2:$C$120,MATCH($B795,Services!$D$2:$D$120,0)),""))</f>
        <v/>
      </c>
      <c r="F795" s="19"/>
      <c r="G795" s="9" t="str">
        <f t="shared" si="12"/>
        <v/>
      </c>
      <c r="H795" s="15" t="str">
        <f>IF($B795="","",IFERROR(INDEX(Services!$A$2:$A$120,MATCH($B795,Services!$D$2:$D$120,0)),""))</f>
        <v/>
      </c>
      <c r="I795" s="19"/>
      <c r="J795" s="15" t="str">
        <f>IF($B795="","",IFERROR(INDEX(Services!$E$2:$E$120,MATCH($B795,Services!$D$2:$D$120,0)),""))</f>
        <v/>
      </c>
    </row>
    <row r="796" spans="1:10" x14ac:dyDescent="0.3">
      <c r="A796" s="18"/>
      <c r="B796" s="6"/>
      <c r="C796" s="6"/>
      <c r="D796" s="6"/>
      <c r="E796" s="16" t="str">
        <f>IF($B796="","",IFERROR(INDEX(Services!$C$2:$C$120,MATCH($B796,Services!$D$2:$D$120,0)),""))</f>
        <v/>
      </c>
      <c r="F796" s="19"/>
      <c r="G796" s="9" t="str">
        <f t="shared" si="12"/>
        <v/>
      </c>
      <c r="H796" s="15" t="str">
        <f>IF($B796="","",IFERROR(INDEX(Services!$A$2:$A$120,MATCH($B796,Services!$D$2:$D$120,0)),""))</f>
        <v/>
      </c>
      <c r="I796" s="19"/>
      <c r="J796" s="15" t="str">
        <f>IF($B796="","",IFERROR(INDEX(Services!$E$2:$E$120,MATCH($B796,Services!$D$2:$D$120,0)),""))</f>
        <v/>
      </c>
    </row>
    <row r="797" spans="1:10" x14ac:dyDescent="0.3">
      <c r="A797" s="18"/>
      <c r="B797" s="6"/>
      <c r="C797" s="6"/>
      <c r="D797" s="6"/>
      <c r="E797" s="16" t="str">
        <f>IF($B797="","",IFERROR(INDEX(Services!$C$2:$C$120,MATCH($B797,Services!$D$2:$D$120,0)),""))</f>
        <v/>
      </c>
      <c r="F797" s="19"/>
      <c r="G797" s="9" t="str">
        <f t="shared" si="12"/>
        <v/>
      </c>
      <c r="H797" s="15" t="str">
        <f>IF($B797="","",IFERROR(INDEX(Services!$A$2:$A$120,MATCH($B797,Services!$D$2:$D$120,0)),""))</f>
        <v/>
      </c>
      <c r="I797" s="19"/>
      <c r="J797" s="15" t="str">
        <f>IF($B797="","",IFERROR(INDEX(Services!$E$2:$E$120,MATCH($B797,Services!$D$2:$D$120,0)),""))</f>
        <v/>
      </c>
    </row>
    <row r="798" spans="1:10" x14ac:dyDescent="0.3">
      <c r="A798" s="18"/>
      <c r="B798" s="6"/>
      <c r="C798" s="6"/>
      <c r="D798" s="6"/>
      <c r="E798" s="16" t="str">
        <f>IF($B798="","",IFERROR(INDEX(Services!$C$2:$C$120,MATCH($B798,Services!$D$2:$D$120,0)),""))</f>
        <v/>
      </c>
      <c r="F798" s="19"/>
      <c r="G798" s="9" t="str">
        <f t="shared" si="12"/>
        <v/>
      </c>
      <c r="H798" s="15" t="str">
        <f>IF($B798="","",IFERROR(INDEX(Services!$A$2:$A$120,MATCH($B798,Services!$D$2:$D$120,0)),""))</f>
        <v/>
      </c>
      <c r="I798" s="19"/>
      <c r="J798" s="15" t="str">
        <f>IF($B798="","",IFERROR(INDEX(Services!$E$2:$E$120,MATCH($B798,Services!$D$2:$D$120,0)),""))</f>
        <v/>
      </c>
    </row>
    <row r="799" spans="1:10" x14ac:dyDescent="0.3">
      <c r="A799" s="18"/>
      <c r="B799" s="6"/>
      <c r="C799" s="6"/>
      <c r="D799" s="6"/>
      <c r="E799" s="16" t="str">
        <f>IF($B799="","",IFERROR(INDEX(Services!$C$2:$C$120,MATCH($B799,Services!$D$2:$D$120,0)),""))</f>
        <v/>
      </c>
      <c r="F799" s="19"/>
      <c r="G799" s="9" t="str">
        <f t="shared" si="12"/>
        <v/>
      </c>
      <c r="H799" s="15" t="str">
        <f>IF($B799="","",IFERROR(INDEX(Services!$A$2:$A$120,MATCH($B799,Services!$D$2:$D$120,0)),""))</f>
        <v/>
      </c>
      <c r="I799" s="19"/>
      <c r="J799" s="15" t="str">
        <f>IF($B799="","",IFERROR(INDEX(Services!$E$2:$E$120,MATCH($B799,Services!$D$2:$D$120,0)),""))</f>
        <v/>
      </c>
    </row>
    <row r="800" spans="1:10" x14ac:dyDescent="0.3">
      <c r="A800" s="18"/>
      <c r="B800" s="6"/>
      <c r="C800" s="6"/>
      <c r="D800" s="6"/>
      <c r="E800" s="16" t="str">
        <f>IF($B800="","",IFERROR(INDEX(Services!$C$2:$C$120,MATCH($B800,Services!$D$2:$D$120,0)),""))</f>
        <v/>
      </c>
      <c r="F800" s="19"/>
      <c r="G800" s="9" t="str">
        <f t="shared" si="12"/>
        <v/>
      </c>
      <c r="H800" s="15" t="str">
        <f>IF($B800="","",IFERROR(INDEX(Services!$A$2:$A$120,MATCH($B800,Services!$D$2:$D$120,0)),""))</f>
        <v/>
      </c>
      <c r="I800" s="19"/>
      <c r="J800" s="15" t="str">
        <f>IF($B800="","",IFERROR(INDEX(Services!$E$2:$E$120,MATCH($B800,Services!$D$2:$D$120,0)),""))</f>
        <v/>
      </c>
    </row>
    <row r="801" spans="1:10" x14ac:dyDescent="0.3">
      <c r="A801" s="18"/>
      <c r="B801" s="6"/>
      <c r="C801" s="6"/>
      <c r="D801" s="6"/>
      <c r="E801" s="16" t="str">
        <f>IF($B801="","",IFERROR(INDEX(Services!$C$2:$C$120,MATCH($B801,Services!$D$2:$D$120,0)),""))</f>
        <v/>
      </c>
      <c r="F801" s="19"/>
      <c r="G801" s="9" t="str">
        <f t="shared" si="12"/>
        <v/>
      </c>
      <c r="H801" s="15" t="str">
        <f>IF($B801="","",IFERROR(INDEX(Services!$A$2:$A$120,MATCH($B801,Services!$D$2:$D$120,0)),""))</f>
        <v/>
      </c>
      <c r="I801" s="19"/>
      <c r="J801" s="15" t="str">
        <f>IF($B801="","",IFERROR(INDEX(Services!$E$2:$E$120,MATCH($B801,Services!$D$2:$D$120,0)),""))</f>
        <v/>
      </c>
    </row>
    <row r="802" spans="1:10" x14ac:dyDescent="0.3">
      <c r="A802" s="18"/>
      <c r="B802" s="6"/>
      <c r="C802" s="6"/>
      <c r="D802" s="6"/>
      <c r="E802" s="16" t="str">
        <f>IF($B802="","",IFERROR(INDEX(Services!$C$2:$C$120,MATCH($B802,Services!$D$2:$D$120,0)),""))</f>
        <v/>
      </c>
      <c r="F802" s="19"/>
      <c r="G802" s="9" t="str">
        <f t="shared" si="12"/>
        <v/>
      </c>
      <c r="H802" s="15" t="str">
        <f>IF($B802="","",IFERROR(INDEX(Services!$A$2:$A$120,MATCH($B802,Services!$D$2:$D$120,0)),""))</f>
        <v/>
      </c>
      <c r="I802" s="19"/>
      <c r="J802" s="15" t="str">
        <f>IF($B802="","",IFERROR(INDEX(Services!$E$2:$E$120,MATCH($B802,Services!$D$2:$D$120,0)),""))</f>
        <v/>
      </c>
    </row>
    <row r="803" spans="1:10" x14ac:dyDescent="0.3">
      <c r="A803" s="18"/>
      <c r="B803" s="6"/>
      <c r="C803" s="6"/>
      <c r="D803" s="6"/>
      <c r="E803" s="16" t="str">
        <f>IF($B803="","",IFERROR(INDEX(Services!$C$2:$C$120,MATCH($B803,Services!$D$2:$D$120,0)),""))</f>
        <v/>
      </c>
      <c r="F803" s="19"/>
      <c r="G803" s="9" t="str">
        <f t="shared" si="12"/>
        <v/>
      </c>
      <c r="H803" s="15" t="str">
        <f>IF($B803="","",IFERROR(INDEX(Services!$A$2:$A$120,MATCH($B803,Services!$D$2:$D$120,0)),""))</f>
        <v/>
      </c>
      <c r="I803" s="19"/>
      <c r="J803" s="15" t="str">
        <f>IF($B803="","",IFERROR(INDEX(Services!$E$2:$E$120,MATCH($B803,Services!$D$2:$D$120,0)),""))</f>
        <v/>
      </c>
    </row>
    <row r="804" spans="1:10" x14ac:dyDescent="0.3">
      <c r="A804" s="18"/>
      <c r="B804" s="6"/>
      <c r="C804" s="6"/>
      <c r="D804" s="6"/>
      <c r="E804" s="16" t="str">
        <f>IF($B804="","",IFERROR(INDEX(Services!$C$2:$C$120,MATCH($B804,Services!$D$2:$D$120,0)),""))</f>
        <v/>
      </c>
      <c r="F804" s="19"/>
      <c r="G804" s="9" t="str">
        <f t="shared" si="12"/>
        <v/>
      </c>
      <c r="H804" s="15" t="str">
        <f>IF($B804="","",IFERROR(INDEX(Services!$A$2:$A$120,MATCH($B804,Services!$D$2:$D$120,0)),""))</f>
        <v/>
      </c>
      <c r="I804" s="19"/>
      <c r="J804" s="15" t="str">
        <f>IF($B804="","",IFERROR(INDEX(Services!$E$2:$E$120,MATCH($B804,Services!$D$2:$D$120,0)),""))</f>
        <v/>
      </c>
    </row>
    <row r="805" spans="1:10" x14ac:dyDescent="0.3">
      <c r="A805" s="18"/>
      <c r="B805" s="6"/>
      <c r="C805" s="6"/>
      <c r="D805" s="6"/>
      <c r="E805" s="16" t="str">
        <f>IF($B805="","",IFERROR(INDEX(Services!$C$2:$C$120,MATCH($B805,Services!$D$2:$D$120,0)),""))</f>
        <v/>
      </c>
      <c r="F805" s="19"/>
      <c r="G805" s="9" t="str">
        <f t="shared" si="12"/>
        <v/>
      </c>
      <c r="H805" s="15" t="str">
        <f>IF($B805="","",IFERROR(INDEX(Services!$A$2:$A$120,MATCH($B805,Services!$D$2:$D$120,0)),""))</f>
        <v/>
      </c>
      <c r="I805" s="19"/>
      <c r="J805" s="15" t="str">
        <f>IF($B805="","",IFERROR(INDEX(Services!$E$2:$E$120,MATCH($B805,Services!$D$2:$D$120,0)),""))</f>
        <v/>
      </c>
    </row>
    <row r="806" spans="1:10" x14ac:dyDescent="0.3">
      <c r="A806" s="18"/>
      <c r="B806" s="6"/>
      <c r="C806" s="6"/>
      <c r="D806" s="6"/>
      <c r="E806" s="16" t="str">
        <f>IF($B806="","",IFERROR(INDEX(Services!$C$2:$C$120,MATCH($B806,Services!$D$2:$D$120,0)),""))</f>
        <v/>
      </c>
      <c r="F806" s="19"/>
      <c r="G806" s="9" t="str">
        <f t="shared" si="12"/>
        <v/>
      </c>
      <c r="H806" s="15" t="str">
        <f>IF($B806="","",IFERROR(INDEX(Services!$A$2:$A$120,MATCH($B806,Services!$D$2:$D$120,0)),""))</f>
        <v/>
      </c>
      <c r="I806" s="19"/>
      <c r="J806" s="15" t="str">
        <f>IF($B806="","",IFERROR(INDEX(Services!$E$2:$E$120,MATCH($B806,Services!$D$2:$D$120,0)),""))</f>
        <v/>
      </c>
    </row>
    <row r="807" spans="1:10" x14ac:dyDescent="0.3">
      <c r="A807" s="18"/>
      <c r="B807" s="6"/>
      <c r="C807" s="6"/>
      <c r="D807" s="6"/>
      <c r="E807" s="16" t="str">
        <f>IF($B807="","",IFERROR(INDEX(Services!$C$2:$C$120,MATCH($B807,Services!$D$2:$D$120,0)),""))</f>
        <v/>
      </c>
      <c r="F807" s="19"/>
      <c r="G807" s="9" t="str">
        <f t="shared" si="12"/>
        <v/>
      </c>
      <c r="H807" s="15" t="str">
        <f>IF($B807="","",IFERROR(INDEX(Services!$A$2:$A$120,MATCH($B807,Services!$D$2:$D$120,0)),""))</f>
        <v/>
      </c>
      <c r="I807" s="19"/>
      <c r="J807" s="15" t="str">
        <f>IF($B807="","",IFERROR(INDEX(Services!$E$2:$E$120,MATCH($B807,Services!$D$2:$D$120,0)),""))</f>
        <v/>
      </c>
    </row>
    <row r="808" spans="1:10" x14ac:dyDescent="0.3">
      <c r="A808" s="18"/>
      <c r="B808" s="6"/>
      <c r="C808" s="6"/>
      <c r="D808" s="6"/>
      <c r="E808" s="16" t="str">
        <f>IF($B808="","",IFERROR(INDEX(Services!$C$2:$C$120,MATCH($B808,Services!$D$2:$D$120,0)),""))</f>
        <v/>
      </c>
      <c r="F808" s="19"/>
      <c r="G808" s="9" t="str">
        <f t="shared" si="12"/>
        <v/>
      </c>
      <c r="H808" s="15" t="str">
        <f>IF($B808="","",IFERROR(INDEX(Services!$A$2:$A$120,MATCH($B808,Services!$D$2:$D$120,0)),""))</f>
        <v/>
      </c>
      <c r="I808" s="19"/>
      <c r="J808" s="15" t="str">
        <f>IF($B808="","",IFERROR(INDEX(Services!$E$2:$E$120,MATCH($B808,Services!$D$2:$D$120,0)),""))</f>
        <v/>
      </c>
    </row>
    <row r="809" spans="1:10" x14ac:dyDescent="0.3">
      <c r="A809" s="18"/>
      <c r="B809" s="6"/>
      <c r="C809" s="6"/>
      <c r="D809" s="6"/>
      <c r="E809" s="16" t="str">
        <f>IF($B809="","",IFERROR(INDEX(Services!$C$2:$C$120,MATCH($B809,Services!$D$2:$D$120,0)),""))</f>
        <v/>
      </c>
      <c r="F809" s="19"/>
      <c r="G809" s="9" t="str">
        <f t="shared" si="12"/>
        <v/>
      </c>
      <c r="H809" s="15" t="str">
        <f>IF($B809="","",IFERROR(INDEX(Services!$A$2:$A$120,MATCH($B809,Services!$D$2:$D$120,0)),""))</f>
        <v/>
      </c>
      <c r="I809" s="19"/>
      <c r="J809" s="15" t="str">
        <f>IF($B809="","",IFERROR(INDEX(Services!$E$2:$E$120,MATCH($B809,Services!$D$2:$D$120,0)),""))</f>
        <v/>
      </c>
    </row>
    <row r="810" spans="1:10" x14ac:dyDescent="0.3">
      <c r="A810" s="18"/>
      <c r="B810" s="6"/>
      <c r="C810" s="6"/>
      <c r="D810" s="6"/>
      <c r="E810" s="16" t="str">
        <f>IF($B810="","",IFERROR(INDEX(Services!$C$2:$C$120,MATCH($B810,Services!$D$2:$D$120,0)),""))</f>
        <v/>
      </c>
      <c r="F810" s="19"/>
      <c r="G810" s="9" t="str">
        <f t="shared" si="12"/>
        <v/>
      </c>
      <c r="H810" s="15" t="str">
        <f>IF($B810="","",IFERROR(INDEX(Services!$A$2:$A$120,MATCH($B810,Services!$D$2:$D$120,0)),""))</f>
        <v/>
      </c>
      <c r="I810" s="19"/>
      <c r="J810" s="15" t="str">
        <f>IF($B810="","",IFERROR(INDEX(Services!$E$2:$E$120,MATCH($B810,Services!$D$2:$D$120,0)),""))</f>
        <v/>
      </c>
    </row>
    <row r="811" spans="1:10" x14ac:dyDescent="0.3">
      <c r="A811" s="18"/>
      <c r="B811" s="6"/>
      <c r="C811" s="6"/>
      <c r="D811" s="6"/>
      <c r="E811" s="16" t="str">
        <f>IF($B811="","",IFERROR(INDEX(Services!$C$2:$C$120,MATCH($B811,Services!$D$2:$D$120,0)),""))</f>
        <v/>
      </c>
      <c r="F811" s="19"/>
      <c r="G811" s="9" t="str">
        <f t="shared" si="12"/>
        <v/>
      </c>
      <c r="H811" s="15" t="str">
        <f>IF($B811="","",IFERROR(INDEX(Services!$A$2:$A$120,MATCH($B811,Services!$D$2:$D$120,0)),""))</f>
        <v/>
      </c>
      <c r="I811" s="19"/>
      <c r="J811" s="15" t="str">
        <f>IF($B811="","",IFERROR(INDEX(Services!$E$2:$E$120,MATCH($B811,Services!$D$2:$D$120,0)),""))</f>
        <v/>
      </c>
    </row>
    <row r="812" spans="1:10" x14ac:dyDescent="0.3">
      <c r="A812" s="18"/>
      <c r="B812" s="6"/>
      <c r="C812" s="6"/>
      <c r="D812" s="6"/>
      <c r="E812" s="16" t="str">
        <f>IF($B812="","",IFERROR(INDEX(Services!$C$2:$C$120,MATCH($B812,Services!$D$2:$D$120,0)),""))</f>
        <v/>
      </c>
      <c r="F812" s="19"/>
      <c r="G812" s="9" t="str">
        <f t="shared" si="12"/>
        <v/>
      </c>
      <c r="H812" s="15" t="str">
        <f>IF($B812="","",IFERROR(INDEX(Services!$A$2:$A$120,MATCH($B812,Services!$D$2:$D$120,0)),""))</f>
        <v/>
      </c>
      <c r="I812" s="19"/>
      <c r="J812" s="15" t="str">
        <f>IF($B812="","",IFERROR(INDEX(Services!$E$2:$E$120,MATCH($B812,Services!$D$2:$D$120,0)),""))</f>
        <v/>
      </c>
    </row>
    <row r="813" spans="1:10" x14ac:dyDescent="0.3">
      <c r="A813" s="18"/>
      <c r="B813" s="6"/>
      <c r="C813" s="6"/>
      <c r="D813" s="6"/>
      <c r="E813" s="16" t="str">
        <f>IF($B813="","",IFERROR(INDEX(Services!$C$2:$C$120,MATCH($B813,Services!$D$2:$D$120,0)),""))</f>
        <v/>
      </c>
      <c r="F813" s="19"/>
      <c r="G813" s="9" t="str">
        <f t="shared" si="12"/>
        <v/>
      </c>
      <c r="H813" s="15" t="str">
        <f>IF($B813="","",IFERROR(INDEX(Services!$A$2:$A$120,MATCH($B813,Services!$D$2:$D$120,0)),""))</f>
        <v/>
      </c>
      <c r="I813" s="19"/>
      <c r="J813" s="15" t="str">
        <f>IF($B813="","",IFERROR(INDEX(Services!$E$2:$E$120,MATCH($B813,Services!$D$2:$D$120,0)),""))</f>
        <v/>
      </c>
    </row>
    <row r="814" spans="1:10" x14ac:dyDescent="0.3">
      <c r="A814" s="18"/>
      <c r="B814" s="6"/>
      <c r="C814" s="6"/>
      <c r="D814" s="6"/>
      <c r="E814" s="16" t="str">
        <f>IF($B814="","",IFERROR(INDEX(Services!$C$2:$C$120,MATCH($B814,Services!$D$2:$D$120,0)),""))</f>
        <v/>
      </c>
      <c r="F814" s="19"/>
      <c r="G814" s="9" t="str">
        <f t="shared" si="12"/>
        <v/>
      </c>
      <c r="H814" s="15" t="str">
        <f>IF($B814="","",IFERROR(INDEX(Services!$A$2:$A$120,MATCH($B814,Services!$D$2:$D$120,0)),""))</f>
        <v/>
      </c>
      <c r="I814" s="19"/>
      <c r="J814" s="15" t="str">
        <f>IF($B814="","",IFERROR(INDEX(Services!$E$2:$E$120,MATCH($B814,Services!$D$2:$D$120,0)),""))</f>
        <v/>
      </c>
    </row>
    <row r="815" spans="1:10" x14ac:dyDescent="0.3">
      <c r="A815" s="18"/>
      <c r="B815" s="6"/>
      <c r="C815" s="6"/>
      <c r="D815" s="6"/>
      <c r="E815" s="16" t="str">
        <f>IF($B815="","",IFERROR(INDEX(Services!$C$2:$C$120,MATCH($B815,Services!$D$2:$D$120,0)),""))</f>
        <v/>
      </c>
      <c r="F815" s="19"/>
      <c r="G815" s="9" t="str">
        <f t="shared" si="12"/>
        <v/>
      </c>
      <c r="H815" s="15" t="str">
        <f>IF($B815="","",IFERROR(INDEX(Services!$A$2:$A$120,MATCH($B815,Services!$D$2:$D$120,0)),""))</f>
        <v/>
      </c>
      <c r="I815" s="19"/>
      <c r="J815" s="15" t="str">
        <f>IF($B815="","",IFERROR(INDEX(Services!$E$2:$E$120,MATCH($B815,Services!$D$2:$D$120,0)),""))</f>
        <v/>
      </c>
    </row>
    <row r="816" spans="1:10" x14ac:dyDescent="0.3">
      <c r="A816" s="18"/>
      <c r="B816" s="6"/>
      <c r="C816" s="6"/>
      <c r="D816" s="6"/>
      <c r="E816" s="16" t="str">
        <f>IF($B816="","",IFERROR(INDEX(Services!$C$2:$C$120,MATCH($B816,Services!$D$2:$D$120,0)),""))</f>
        <v/>
      </c>
      <c r="F816" s="19"/>
      <c r="G816" s="9" t="str">
        <f t="shared" si="12"/>
        <v/>
      </c>
      <c r="H816" s="15" t="str">
        <f>IF($B816="","",IFERROR(INDEX(Services!$A$2:$A$120,MATCH($B816,Services!$D$2:$D$120,0)),""))</f>
        <v/>
      </c>
      <c r="I816" s="19"/>
      <c r="J816" s="15" t="str">
        <f>IF($B816="","",IFERROR(INDEX(Services!$E$2:$E$120,MATCH($B816,Services!$D$2:$D$120,0)),""))</f>
        <v/>
      </c>
    </row>
    <row r="817" spans="1:10" x14ac:dyDescent="0.3">
      <c r="A817" s="18"/>
      <c r="B817" s="6"/>
      <c r="C817" s="6"/>
      <c r="D817" s="6"/>
      <c r="E817" s="16" t="str">
        <f>IF($B817="","",IFERROR(INDEX(Services!$C$2:$C$120,MATCH($B817,Services!$D$2:$D$120,0)),""))</f>
        <v/>
      </c>
      <c r="F817" s="19"/>
      <c r="G817" s="9" t="str">
        <f t="shared" si="12"/>
        <v/>
      </c>
      <c r="H817" s="15" t="str">
        <f>IF($B817="","",IFERROR(INDEX(Services!$A$2:$A$120,MATCH($B817,Services!$D$2:$D$120,0)),""))</f>
        <v/>
      </c>
      <c r="I817" s="19"/>
      <c r="J817" s="15" t="str">
        <f>IF($B817="","",IFERROR(INDEX(Services!$E$2:$E$120,MATCH($B817,Services!$D$2:$D$120,0)),""))</f>
        <v/>
      </c>
    </row>
    <row r="818" spans="1:10" x14ac:dyDescent="0.3">
      <c r="A818" s="18"/>
      <c r="B818" s="6"/>
      <c r="C818" s="6"/>
      <c r="D818" s="6"/>
      <c r="E818" s="16" t="str">
        <f>IF($B818="","",IFERROR(INDEX(Services!$C$2:$C$120,MATCH($B818,Services!$D$2:$D$120,0)),""))</f>
        <v/>
      </c>
      <c r="F818" s="19"/>
      <c r="G818" s="9" t="str">
        <f t="shared" si="12"/>
        <v/>
      </c>
      <c r="H818" s="15" t="str">
        <f>IF($B818="","",IFERROR(INDEX(Services!$A$2:$A$120,MATCH($B818,Services!$D$2:$D$120,0)),""))</f>
        <v/>
      </c>
      <c r="I818" s="19"/>
      <c r="J818" s="15" t="str">
        <f>IF($B818="","",IFERROR(INDEX(Services!$E$2:$E$120,MATCH($B818,Services!$D$2:$D$120,0)),""))</f>
        <v/>
      </c>
    </row>
    <row r="819" spans="1:10" x14ac:dyDescent="0.3">
      <c r="A819" s="18"/>
      <c r="B819" s="6"/>
      <c r="C819" s="6"/>
      <c r="D819" s="6"/>
      <c r="E819" s="16" t="str">
        <f>IF($B819="","",IFERROR(INDEX(Services!$C$2:$C$120,MATCH($B819,Services!$D$2:$D$120,0)),""))</f>
        <v/>
      </c>
      <c r="F819" s="19"/>
      <c r="G819" s="9" t="str">
        <f t="shared" si="12"/>
        <v/>
      </c>
      <c r="H819" s="15" t="str">
        <f>IF($B819="","",IFERROR(INDEX(Services!$A$2:$A$120,MATCH($B819,Services!$D$2:$D$120,0)),""))</f>
        <v/>
      </c>
      <c r="I819" s="19"/>
      <c r="J819" s="15" t="str">
        <f>IF($B819="","",IFERROR(INDEX(Services!$E$2:$E$120,MATCH($B819,Services!$D$2:$D$120,0)),""))</f>
        <v/>
      </c>
    </row>
    <row r="820" spans="1:10" x14ac:dyDescent="0.3">
      <c r="A820" s="18"/>
      <c r="B820" s="6"/>
      <c r="C820" s="6"/>
      <c r="D820" s="6"/>
      <c r="E820" s="16" t="str">
        <f>IF($B820="","",IFERROR(INDEX(Services!$C$2:$C$120,MATCH($B820,Services!$D$2:$D$120,0)),""))</f>
        <v/>
      </c>
      <c r="F820" s="19"/>
      <c r="G820" s="9" t="str">
        <f t="shared" si="12"/>
        <v/>
      </c>
      <c r="H820" s="15" t="str">
        <f>IF($B820="","",IFERROR(INDEX(Services!$A$2:$A$120,MATCH($B820,Services!$D$2:$D$120,0)),""))</f>
        <v/>
      </c>
      <c r="I820" s="19"/>
      <c r="J820" s="15" t="str">
        <f>IF($B820="","",IFERROR(INDEX(Services!$E$2:$E$120,MATCH($B820,Services!$D$2:$D$120,0)),""))</f>
        <v/>
      </c>
    </row>
    <row r="821" spans="1:10" x14ac:dyDescent="0.3">
      <c r="A821" s="18"/>
      <c r="B821" s="6"/>
      <c r="C821" s="6"/>
      <c r="D821" s="6"/>
      <c r="E821" s="16" t="str">
        <f>IF($B821="","",IFERROR(INDEX(Services!$C$2:$C$120,MATCH($B821,Services!$D$2:$D$120,0)),""))</f>
        <v/>
      </c>
      <c r="F821" s="19"/>
      <c r="G821" s="9" t="str">
        <f t="shared" si="12"/>
        <v/>
      </c>
      <c r="H821" s="15" t="str">
        <f>IF($B821="","",IFERROR(INDEX(Services!$A$2:$A$120,MATCH($B821,Services!$D$2:$D$120,0)),""))</f>
        <v/>
      </c>
      <c r="I821" s="19"/>
      <c r="J821" s="15" t="str">
        <f>IF($B821="","",IFERROR(INDEX(Services!$E$2:$E$120,MATCH($B821,Services!$D$2:$D$120,0)),""))</f>
        <v/>
      </c>
    </row>
    <row r="822" spans="1:10" x14ac:dyDescent="0.3">
      <c r="A822" s="18"/>
      <c r="B822" s="6"/>
      <c r="C822" s="6"/>
      <c r="D822" s="6"/>
      <c r="E822" s="16" t="str">
        <f>IF($B822="","",IFERROR(INDEX(Services!$C$2:$C$120,MATCH($B822,Services!$D$2:$D$120,0)),""))</f>
        <v/>
      </c>
      <c r="F822" s="19"/>
      <c r="G822" s="9" t="str">
        <f t="shared" si="12"/>
        <v/>
      </c>
      <c r="H822" s="15" t="str">
        <f>IF($B822="","",IFERROR(INDEX(Services!$A$2:$A$120,MATCH($B822,Services!$D$2:$D$120,0)),""))</f>
        <v/>
      </c>
      <c r="I822" s="19"/>
      <c r="J822" s="15" t="str">
        <f>IF($B822="","",IFERROR(INDEX(Services!$E$2:$E$120,MATCH($B822,Services!$D$2:$D$120,0)),""))</f>
        <v/>
      </c>
    </row>
    <row r="823" spans="1:10" x14ac:dyDescent="0.3">
      <c r="A823" s="18"/>
      <c r="B823" s="6"/>
      <c r="C823" s="6"/>
      <c r="D823" s="6"/>
      <c r="E823" s="16" t="str">
        <f>IF($B823="","",IFERROR(INDEX(Services!$C$2:$C$120,MATCH($B823,Services!$D$2:$D$120,0)),""))</f>
        <v/>
      </c>
      <c r="F823" s="19"/>
      <c r="G823" s="9" t="str">
        <f t="shared" si="12"/>
        <v/>
      </c>
      <c r="H823" s="15" t="str">
        <f>IF($B823="","",IFERROR(INDEX(Services!$A$2:$A$120,MATCH($B823,Services!$D$2:$D$120,0)),""))</f>
        <v/>
      </c>
      <c r="I823" s="19"/>
      <c r="J823" s="15" t="str">
        <f>IF($B823="","",IFERROR(INDEX(Services!$E$2:$E$120,MATCH($B823,Services!$D$2:$D$120,0)),""))</f>
        <v/>
      </c>
    </row>
    <row r="824" spans="1:10" x14ac:dyDescent="0.3">
      <c r="A824" s="18"/>
      <c r="B824" s="6"/>
      <c r="C824" s="6"/>
      <c r="D824" s="6"/>
      <c r="E824" s="16" t="str">
        <f>IF($B824="","",IFERROR(INDEX(Services!$C$2:$C$120,MATCH($B824,Services!$D$2:$D$120,0)),""))</f>
        <v/>
      </c>
      <c r="F824" s="19"/>
      <c r="G824" s="9" t="str">
        <f t="shared" si="12"/>
        <v/>
      </c>
      <c r="H824" s="15" t="str">
        <f>IF($B824="","",IFERROR(INDEX(Services!$A$2:$A$120,MATCH($B824,Services!$D$2:$D$120,0)),""))</f>
        <v/>
      </c>
      <c r="I824" s="19"/>
      <c r="J824" s="15" t="str">
        <f>IF($B824="","",IFERROR(INDEX(Services!$E$2:$E$120,MATCH($B824,Services!$D$2:$D$120,0)),""))</f>
        <v/>
      </c>
    </row>
    <row r="825" spans="1:10" x14ac:dyDescent="0.3">
      <c r="A825" s="18"/>
      <c r="B825" s="6"/>
      <c r="C825" s="6"/>
      <c r="D825" s="6"/>
      <c r="E825" s="16" t="str">
        <f>IF($B825="","",IFERROR(INDEX(Services!$C$2:$C$120,MATCH($B825,Services!$D$2:$D$120,0)),""))</f>
        <v/>
      </c>
      <c r="F825" s="19"/>
      <c r="G825" s="9" t="str">
        <f t="shared" si="12"/>
        <v/>
      </c>
      <c r="H825" s="15" t="str">
        <f>IF($B825="","",IFERROR(INDEX(Services!$A$2:$A$120,MATCH($B825,Services!$D$2:$D$120,0)),""))</f>
        <v/>
      </c>
      <c r="I825" s="19"/>
      <c r="J825" s="15" t="str">
        <f>IF($B825="","",IFERROR(INDEX(Services!$E$2:$E$120,MATCH($B825,Services!$D$2:$D$120,0)),""))</f>
        <v/>
      </c>
    </row>
    <row r="826" spans="1:10" x14ac:dyDescent="0.3">
      <c r="A826" s="18"/>
      <c r="B826" s="6"/>
      <c r="C826" s="6"/>
      <c r="D826" s="6"/>
      <c r="E826" s="16" t="str">
        <f>IF($B826="","",IFERROR(INDEX(Services!$C$2:$C$120,MATCH($B826,Services!$D$2:$D$120,0)),""))</f>
        <v/>
      </c>
      <c r="F826" s="19"/>
      <c r="G826" s="9" t="str">
        <f t="shared" si="12"/>
        <v/>
      </c>
      <c r="H826" s="15" t="str">
        <f>IF($B826="","",IFERROR(INDEX(Services!$A$2:$A$120,MATCH($B826,Services!$D$2:$D$120,0)),""))</f>
        <v/>
      </c>
      <c r="I826" s="19"/>
      <c r="J826" s="15" t="str">
        <f>IF($B826="","",IFERROR(INDEX(Services!$E$2:$E$120,MATCH($B826,Services!$D$2:$D$120,0)),""))</f>
        <v/>
      </c>
    </row>
    <row r="827" spans="1:10" x14ac:dyDescent="0.3">
      <c r="A827" s="18"/>
      <c r="B827" s="6"/>
      <c r="C827" s="6"/>
      <c r="D827" s="6"/>
      <c r="E827" s="16" t="str">
        <f>IF($B827="","",IFERROR(INDEX(Services!$C$2:$C$120,MATCH($B827,Services!$D$2:$D$120,0)),""))</f>
        <v/>
      </c>
      <c r="F827" s="19"/>
      <c r="G827" s="9" t="str">
        <f t="shared" si="12"/>
        <v/>
      </c>
      <c r="H827" s="15" t="str">
        <f>IF($B827="","",IFERROR(INDEX(Services!$A$2:$A$120,MATCH($B827,Services!$D$2:$D$120,0)),""))</f>
        <v/>
      </c>
      <c r="I827" s="19"/>
      <c r="J827" s="15" t="str">
        <f>IF($B827="","",IFERROR(INDEX(Services!$E$2:$E$120,MATCH($B827,Services!$D$2:$D$120,0)),""))</f>
        <v/>
      </c>
    </row>
    <row r="828" spans="1:10" x14ac:dyDescent="0.3">
      <c r="A828" s="18"/>
      <c r="B828" s="6"/>
      <c r="C828" s="6"/>
      <c r="D828" s="6"/>
      <c r="E828" s="16" t="str">
        <f>IF($B828="","",IFERROR(INDEX(Services!$C$2:$C$120,MATCH($B828,Services!$D$2:$D$120,0)),""))</f>
        <v/>
      </c>
      <c r="F828" s="19"/>
      <c r="G828" s="9" t="str">
        <f t="shared" si="12"/>
        <v/>
      </c>
      <c r="H828" s="15" t="str">
        <f>IF($B828="","",IFERROR(INDEX(Services!$A$2:$A$120,MATCH($B828,Services!$D$2:$D$120,0)),""))</f>
        <v/>
      </c>
      <c r="I828" s="19"/>
      <c r="J828" s="15" t="str">
        <f>IF($B828="","",IFERROR(INDEX(Services!$E$2:$E$120,MATCH($B828,Services!$D$2:$D$120,0)),""))</f>
        <v/>
      </c>
    </row>
    <row r="829" spans="1:10" x14ac:dyDescent="0.3">
      <c r="A829" s="18"/>
      <c r="B829" s="6"/>
      <c r="C829" s="6"/>
      <c r="D829" s="6"/>
      <c r="E829" s="16" t="str">
        <f>IF($B829="","",IFERROR(INDEX(Services!$C$2:$C$120,MATCH($B829,Services!$D$2:$D$120,0)),""))</f>
        <v/>
      </c>
      <c r="F829" s="19"/>
      <c r="G829" s="9" t="str">
        <f t="shared" si="12"/>
        <v/>
      </c>
      <c r="H829" s="15" t="str">
        <f>IF($B829="","",IFERROR(INDEX(Services!$A$2:$A$120,MATCH($B829,Services!$D$2:$D$120,0)),""))</f>
        <v/>
      </c>
      <c r="I829" s="19"/>
      <c r="J829" s="15" t="str">
        <f>IF($B829="","",IFERROR(INDEX(Services!$E$2:$E$120,MATCH($B829,Services!$D$2:$D$120,0)),""))</f>
        <v/>
      </c>
    </row>
    <row r="830" spans="1:10" x14ac:dyDescent="0.3">
      <c r="A830" s="18"/>
      <c r="B830" s="6"/>
      <c r="C830" s="6"/>
      <c r="D830" s="6"/>
      <c r="E830" s="16" t="str">
        <f>IF($B830="","",IFERROR(INDEX(Services!$C$2:$C$120,MATCH($B830,Services!$D$2:$D$120,0)),""))</f>
        <v/>
      </c>
      <c r="F830" s="19"/>
      <c r="G830" s="9" t="str">
        <f t="shared" si="12"/>
        <v/>
      </c>
      <c r="H830" s="15" t="str">
        <f>IF($B830="","",IFERROR(INDEX(Services!$A$2:$A$120,MATCH($B830,Services!$D$2:$D$120,0)),""))</f>
        <v/>
      </c>
      <c r="I830" s="19"/>
      <c r="J830" s="15" t="str">
        <f>IF($B830="","",IFERROR(INDEX(Services!$E$2:$E$120,MATCH($B830,Services!$D$2:$D$120,0)),""))</f>
        <v/>
      </c>
    </row>
    <row r="831" spans="1:10" x14ac:dyDescent="0.3">
      <c r="A831" s="18"/>
      <c r="B831" s="6"/>
      <c r="C831" s="6"/>
      <c r="D831" s="6"/>
      <c r="E831" s="16" t="str">
        <f>IF($B831="","",IFERROR(INDEX(Services!$C$2:$C$120,MATCH($B831,Services!$D$2:$D$120,0)),""))</f>
        <v/>
      </c>
      <c r="F831" s="19"/>
      <c r="G831" s="9" t="str">
        <f t="shared" si="12"/>
        <v/>
      </c>
      <c r="H831" s="15" t="str">
        <f>IF($B831="","",IFERROR(INDEX(Services!$A$2:$A$120,MATCH($B831,Services!$D$2:$D$120,0)),""))</f>
        <v/>
      </c>
      <c r="I831" s="19"/>
      <c r="J831" s="15" t="str">
        <f>IF($B831="","",IFERROR(INDEX(Services!$E$2:$E$120,MATCH($B831,Services!$D$2:$D$120,0)),""))</f>
        <v/>
      </c>
    </row>
    <row r="832" spans="1:10" x14ac:dyDescent="0.3">
      <c r="A832" s="18"/>
      <c r="B832" s="6"/>
      <c r="C832" s="6"/>
      <c r="D832" s="6"/>
      <c r="E832" s="16" t="str">
        <f>IF($B832="","",IFERROR(INDEX(Services!$C$2:$C$120,MATCH($B832,Services!$D$2:$D$120,0)),""))</f>
        <v/>
      </c>
      <c r="F832" s="19"/>
      <c r="G832" s="9" t="str">
        <f t="shared" si="12"/>
        <v/>
      </c>
      <c r="H832" s="15" t="str">
        <f>IF($B832="","",IFERROR(INDEX(Services!$A$2:$A$120,MATCH($B832,Services!$D$2:$D$120,0)),""))</f>
        <v/>
      </c>
      <c r="I832" s="19"/>
      <c r="J832" s="15" t="str">
        <f>IF($B832="","",IFERROR(INDEX(Services!$E$2:$E$120,MATCH($B832,Services!$D$2:$D$120,0)),""))</f>
        <v/>
      </c>
    </row>
    <row r="833" spans="1:10" x14ac:dyDescent="0.3">
      <c r="A833" s="18"/>
      <c r="B833" s="6"/>
      <c r="C833" s="6"/>
      <c r="D833" s="6"/>
      <c r="E833" s="16" t="str">
        <f>IF($B833="","",IFERROR(INDEX(Services!$C$2:$C$120,MATCH($B833,Services!$D$2:$D$120,0)),""))</f>
        <v/>
      </c>
      <c r="F833" s="19"/>
      <c r="G833" s="9" t="str">
        <f t="shared" si="12"/>
        <v/>
      </c>
      <c r="H833" s="15" t="str">
        <f>IF($B833="","",IFERROR(INDEX(Services!$A$2:$A$120,MATCH($B833,Services!$D$2:$D$120,0)),""))</f>
        <v/>
      </c>
      <c r="I833" s="19"/>
      <c r="J833" s="15" t="str">
        <f>IF($B833="","",IFERROR(INDEX(Services!$E$2:$E$120,MATCH($B833,Services!$D$2:$D$120,0)),""))</f>
        <v/>
      </c>
    </row>
    <row r="834" spans="1:10" x14ac:dyDescent="0.3">
      <c r="A834" s="18"/>
      <c r="B834" s="6"/>
      <c r="C834" s="6"/>
      <c r="D834" s="6"/>
      <c r="E834" s="16" t="str">
        <f>IF($B834="","",IFERROR(INDEX(Services!$C$2:$C$120,MATCH($B834,Services!$D$2:$D$120,0)),""))</f>
        <v/>
      </c>
      <c r="F834" s="19"/>
      <c r="G834" s="9" t="str">
        <f t="shared" ref="G834:G897" si="13">IF(OR($B834="",NOT(ISNUMBER($E834))),"",$E834-IF($F834="",0,$F834))</f>
        <v/>
      </c>
      <c r="H834" s="15" t="str">
        <f>IF($B834="","",IFERROR(INDEX(Services!$A$2:$A$120,MATCH($B834,Services!$D$2:$D$120,0)),""))</f>
        <v/>
      </c>
      <c r="I834" s="19"/>
      <c r="J834" s="15" t="str">
        <f>IF($B834="","",IFERROR(INDEX(Services!$E$2:$E$120,MATCH($B834,Services!$D$2:$D$120,0)),""))</f>
        <v/>
      </c>
    </row>
    <row r="835" spans="1:10" x14ac:dyDescent="0.3">
      <c r="A835" s="18"/>
      <c r="B835" s="6"/>
      <c r="C835" s="6"/>
      <c r="D835" s="6"/>
      <c r="E835" s="16" t="str">
        <f>IF($B835="","",IFERROR(INDEX(Services!$C$2:$C$120,MATCH($B835,Services!$D$2:$D$120,0)),""))</f>
        <v/>
      </c>
      <c r="F835" s="19"/>
      <c r="G835" s="9" t="str">
        <f t="shared" si="13"/>
        <v/>
      </c>
      <c r="H835" s="15" t="str">
        <f>IF($B835="","",IFERROR(INDEX(Services!$A$2:$A$120,MATCH($B835,Services!$D$2:$D$120,0)),""))</f>
        <v/>
      </c>
      <c r="I835" s="19"/>
      <c r="J835" s="15" t="str">
        <f>IF($B835="","",IFERROR(INDEX(Services!$E$2:$E$120,MATCH($B835,Services!$D$2:$D$120,0)),""))</f>
        <v/>
      </c>
    </row>
    <row r="836" spans="1:10" x14ac:dyDescent="0.3">
      <c r="A836" s="18"/>
      <c r="B836" s="6"/>
      <c r="C836" s="6"/>
      <c r="D836" s="6"/>
      <c r="E836" s="16" t="str">
        <f>IF($B836="","",IFERROR(INDEX(Services!$C$2:$C$120,MATCH($B836,Services!$D$2:$D$120,0)),""))</f>
        <v/>
      </c>
      <c r="F836" s="19"/>
      <c r="G836" s="9" t="str">
        <f t="shared" si="13"/>
        <v/>
      </c>
      <c r="H836" s="15" t="str">
        <f>IF($B836="","",IFERROR(INDEX(Services!$A$2:$A$120,MATCH($B836,Services!$D$2:$D$120,0)),""))</f>
        <v/>
      </c>
      <c r="I836" s="19"/>
      <c r="J836" s="15" t="str">
        <f>IF($B836="","",IFERROR(INDEX(Services!$E$2:$E$120,MATCH($B836,Services!$D$2:$D$120,0)),""))</f>
        <v/>
      </c>
    </row>
    <row r="837" spans="1:10" x14ac:dyDescent="0.3">
      <c r="A837" s="18"/>
      <c r="B837" s="6"/>
      <c r="C837" s="6"/>
      <c r="D837" s="6"/>
      <c r="E837" s="16" t="str">
        <f>IF($B837="","",IFERROR(INDEX(Services!$C$2:$C$120,MATCH($B837,Services!$D$2:$D$120,0)),""))</f>
        <v/>
      </c>
      <c r="F837" s="19"/>
      <c r="G837" s="9" t="str">
        <f t="shared" si="13"/>
        <v/>
      </c>
      <c r="H837" s="15" t="str">
        <f>IF($B837="","",IFERROR(INDEX(Services!$A$2:$A$120,MATCH($B837,Services!$D$2:$D$120,0)),""))</f>
        <v/>
      </c>
      <c r="I837" s="19"/>
      <c r="J837" s="15" t="str">
        <f>IF($B837="","",IFERROR(INDEX(Services!$E$2:$E$120,MATCH($B837,Services!$D$2:$D$120,0)),""))</f>
        <v/>
      </c>
    </row>
    <row r="838" spans="1:10" x14ac:dyDescent="0.3">
      <c r="A838" s="18"/>
      <c r="B838" s="6"/>
      <c r="C838" s="6"/>
      <c r="D838" s="6"/>
      <c r="E838" s="16" t="str">
        <f>IF($B838="","",IFERROR(INDEX(Services!$C$2:$C$120,MATCH($B838,Services!$D$2:$D$120,0)),""))</f>
        <v/>
      </c>
      <c r="F838" s="19"/>
      <c r="G838" s="9" t="str">
        <f t="shared" si="13"/>
        <v/>
      </c>
      <c r="H838" s="15" t="str">
        <f>IF($B838="","",IFERROR(INDEX(Services!$A$2:$A$120,MATCH($B838,Services!$D$2:$D$120,0)),""))</f>
        <v/>
      </c>
      <c r="I838" s="19"/>
      <c r="J838" s="15" t="str">
        <f>IF($B838="","",IFERROR(INDEX(Services!$E$2:$E$120,MATCH($B838,Services!$D$2:$D$120,0)),""))</f>
        <v/>
      </c>
    </row>
    <row r="839" spans="1:10" x14ac:dyDescent="0.3">
      <c r="A839" s="18"/>
      <c r="B839" s="6"/>
      <c r="C839" s="6"/>
      <c r="D839" s="6"/>
      <c r="E839" s="16" t="str">
        <f>IF($B839="","",IFERROR(INDEX(Services!$C$2:$C$120,MATCH($B839,Services!$D$2:$D$120,0)),""))</f>
        <v/>
      </c>
      <c r="F839" s="19"/>
      <c r="G839" s="9" t="str">
        <f t="shared" si="13"/>
        <v/>
      </c>
      <c r="H839" s="15" t="str">
        <f>IF($B839="","",IFERROR(INDEX(Services!$A$2:$A$120,MATCH($B839,Services!$D$2:$D$120,0)),""))</f>
        <v/>
      </c>
      <c r="I839" s="19"/>
      <c r="J839" s="15" t="str">
        <f>IF($B839="","",IFERROR(INDEX(Services!$E$2:$E$120,MATCH($B839,Services!$D$2:$D$120,0)),""))</f>
        <v/>
      </c>
    </row>
    <row r="840" spans="1:10" x14ac:dyDescent="0.3">
      <c r="A840" s="18"/>
      <c r="B840" s="6"/>
      <c r="C840" s="6"/>
      <c r="D840" s="6"/>
      <c r="E840" s="16" t="str">
        <f>IF($B840="","",IFERROR(INDEX(Services!$C$2:$C$120,MATCH($B840,Services!$D$2:$D$120,0)),""))</f>
        <v/>
      </c>
      <c r="F840" s="19"/>
      <c r="G840" s="9" t="str">
        <f t="shared" si="13"/>
        <v/>
      </c>
      <c r="H840" s="15" t="str">
        <f>IF($B840="","",IFERROR(INDEX(Services!$A$2:$A$120,MATCH($B840,Services!$D$2:$D$120,0)),""))</f>
        <v/>
      </c>
      <c r="I840" s="19"/>
      <c r="J840" s="15" t="str">
        <f>IF($B840="","",IFERROR(INDEX(Services!$E$2:$E$120,MATCH($B840,Services!$D$2:$D$120,0)),""))</f>
        <v/>
      </c>
    </row>
    <row r="841" spans="1:10" x14ac:dyDescent="0.3">
      <c r="A841" s="18"/>
      <c r="B841" s="6"/>
      <c r="C841" s="6"/>
      <c r="D841" s="6"/>
      <c r="E841" s="16" t="str">
        <f>IF($B841="","",IFERROR(INDEX(Services!$C$2:$C$120,MATCH($B841,Services!$D$2:$D$120,0)),""))</f>
        <v/>
      </c>
      <c r="F841" s="19"/>
      <c r="G841" s="9" t="str">
        <f t="shared" si="13"/>
        <v/>
      </c>
      <c r="H841" s="15" t="str">
        <f>IF($B841="","",IFERROR(INDEX(Services!$A$2:$A$120,MATCH($B841,Services!$D$2:$D$120,0)),""))</f>
        <v/>
      </c>
      <c r="I841" s="19"/>
      <c r="J841" s="15" t="str">
        <f>IF($B841="","",IFERROR(INDEX(Services!$E$2:$E$120,MATCH($B841,Services!$D$2:$D$120,0)),""))</f>
        <v/>
      </c>
    </row>
    <row r="842" spans="1:10" x14ac:dyDescent="0.3">
      <c r="A842" s="18"/>
      <c r="B842" s="6"/>
      <c r="C842" s="6"/>
      <c r="D842" s="6"/>
      <c r="E842" s="16" t="str">
        <f>IF($B842="","",IFERROR(INDEX(Services!$C$2:$C$120,MATCH($B842,Services!$D$2:$D$120,0)),""))</f>
        <v/>
      </c>
      <c r="F842" s="19"/>
      <c r="G842" s="9" t="str">
        <f t="shared" si="13"/>
        <v/>
      </c>
      <c r="H842" s="15" t="str">
        <f>IF($B842="","",IFERROR(INDEX(Services!$A$2:$A$120,MATCH($B842,Services!$D$2:$D$120,0)),""))</f>
        <v/>
      </c>
      <c r="I842" s="19"/>
      <c r="J842" s="15" t="str">
        <f>IF($B842="","",IFERROR(INDEX(Services!$E$2:$E$120,MATCH($B842,Services!$D$2:$D$120,0)),""))</f>
        <v/>
      </c>
    </row>
    <row r="843" spans="1:10" x14ac:dyDescent="0.3">
      <c r="A843" s="18"/>
      <c r="B843" s="6"/>
      <c r="C843" s="6"/>
      <c r="D843" s="6"/>
      <c r="E843" s="16" t="str">
        <f>IF($B843="","",IFERROR(INDEX(Services!$C$2:$C$120,MATCH($B843,Services!$D$2:$D$120,0)),""))</f>
        <v/>
      </c>
      <c r="F843" s="19"/>
      <c r="G843" s="9" t="str">
        <f t="shared" si="13"/>
        <v/>
      </c>
      <c r="H843" s="15" t="str">
        <f>IF($B843="","",IFERROR(INDEX(Services!$A$2:$A$120,MATCH($B843,Services!$D$2:$D$120,0)),""))</f>
        <v/>
      </c>
      <c r="I843" s="19"/>
      <c r="J843" s="15" t="str">
        <f>IF($B843="","",IFERROR(INDEX(Services!$E$2:$E$120,MATCH($B843,Services!$D$2:$D$120,0)),""))</f>
        <v/>
      </c>
    </row>
    <row r="844" spans="1:10" x14ac:dyDescent="0.3">
      <c r="A844" s="18"/>
      <c r="B844" s="6"/>
      <c r="C844" s="6"/>
      <c r="D844" s="6"/>
      <c r="E844" s="16" t="str">
        <f>IF($B844="","",IFERROR(INDEX(Services!$C$2:$C$120,MATCH($B844,Services!$D$2:$D$120,0)),""))</f>
        <v/>
      </c>
      <c r="F844" s="19"/>
      <c r="G844" s="9" t="str">
        <f t="shared" si="13"/>
        <v/>
      </c>
      <c r="H844" s="15" t="str">
        <f>IF($B844="","",IFERROR(INDEX(Services!$A$2:$A$120,MATCH($B844,Services!$D$2:$D$120,0)),""))</f>
        <v/>
      </c>
      <c r="I844" s="19"/>
      <c r="J844" s="15" t="str">
        <f>IF($B844="","",IFERROR(INDEX(Services!$E$2:$E$120,MATCH($B844,Services!$D$2:$D$120,0)),""))</f>
        <v/>
      </c>
    </row>
    <row r="845" spans="1:10" x14ac:dyDescent="0.3">
      <c r="A845" s="18"/>
      <c r="B845" s="6"/>
      <c r="C845" s="6"/>
      <c r="D845" s="6"/>
      <c r="E845" s="16" t="str">
        <f>IF($B845="","",IFERROR(INDEX(Services!$C$2:$C$120,MATCH($B845,Services!$D$2:$D$120,0)),""))</f>
        <v/>
      </c>
      <c r="F845" s="19"/>
      <c r="G845" s="9" t="str">
        <f t="shared" si="13"/>
        <v/>
      </c>
      <c r="H845" s="15" t="str">
        <f>IF($B845="","",IFERROR(INDEX(Services!$A$2:$A$120,MATCH($B845,Services!$D$2:$D$120,0)),""))</f>
        <v/>
      </c>
      <c r="I845" s="19"/>
      <c r="J845" s="15" t="str">
        <f>IF($B845="","",IFERROR(INDEX(Services!$E$2:$E$120,MATCH($B845,Services!$D$2:$D$120,0)),""))</f>
        <v/>
      </c>
    </row>
    <row r="846" spans="1:10" x14ac:dyDescent="0.3">
      <c r="A846" s="18"/>
      <c r="B846" s="6"/>
      <c r="C846" s="6"/>
      <c r="D846" s="6"/>
      <c r="E846" s="16" t="str">
        <f>IF($B846="","",IFERROR(INDEX(Services!$C$2:$C$120,MATCH($B846,Services!$D$2:$D$120,0)),""))</f>
        <v/>
      </c>
      <c r="F846" s="19"/>
      <c r="G846" s="9" t="str">
        <f t="shared" si="13"/>
        <v/>
      </c>
      <c r="H846" s="15" t="str">
        <f>IF($B846="","",IFERROR(INDEX(Services!$A$2:$A$120,MATCH($B846,Services!$D$2:$D$120,0)),""))</f>
        <v/>
      </c>
      <c r="I846" s="19"/>
      <c r="J846" s="15" t="str">
        <f>IF($B846="","",IFERROR(INDEX(Services!$E$2:$E$120,MATCH($B846,Services!$D$2:$D$120,0)),""))</f>
        <v/>
      </c>
    </row>
    <row r="847" spans="1:10" x14ac:dyDescent="0.3">
      <c r="A847" s="18"/>
      <c r="B847" s="6"/>
      <c r="C847" s="6"/>
      <c r="D847" s="6"/>
      <c r="E847" s="16" t="str">
        <f>IF($B847="","",IFERROR(INDEX(Services!$C$2:$C$120,MATCH($B847,Services!$D$2:$D$120,0)),""))</f>
        <v/>
      </c>
      <c r="F847" s="19"/>
      <c r="G847" s="9" t="str">
        <f t="shared" si="13"/>
        <v/>
      </c>
      <c r="H847" s="15" t="str">
        <f>IF($B847="","",IFERROR(INDEX(Services!$A$2:$A$120,MATCH($B847,Services!$D$2:$D$120,0)),""))</f>
        <v/>
      </c>
      <c r="I847" s="19"/>
      <c r="J847" s="15" t="str">
        <f>IF($B847="","",IFERROR(INDEX(Services!$E$2:$E$120,MATCH($B847,Services!$D$2:$D$120,0)),""))</f>
        <v/>
      </c>
    </row>
    <row r="848" spans="1:10" x14ac:dyDescent="0.3">
      <c r="A848" s="18"/>
      <c r="B848" s="6"/>
      <c r="C848" s="6"/>
      <c r="D848" s="6"/>
      <c r="E848" s="16" t="str">
        <f>IF($B848="","",IFERROR(INDEX(Services!$C$2:$C$120,MATCH($B848,Services!$D$2:$D$120,0)),""))</f>
        <v/>
      </c>
      <c r="F848" s="19"/>
      <c r="G848" s="9" t="str">
        <f t="shared" si="13"/>
        <v/>
      </c>
      <c r="H848" s="15" t="str">
        <f>IF($B848="","",IFERROR(INDEX(Services!$A$2:$A$120,MATCH($B848,Services!$D$2:$D$120,0)),""))</f>
        <v/>
      </c>
      <c r="I848" s="19"/>
      <c r="J848" s="15" t="str">
        <f>IF($B848="","",IFERROR(INDEX(Services!$E$2:$E$120,MATCH($B848,Services!$D$2:$D$120,0)),""))</f>
        <v/>
      </c>
    </row>
    <row r="849" spans="1:10" x14ac:dyDescent="0.3">
      <c r="A849" s="18"/>
      <c r="B849" s="6"/>
      <c r="C849" s="6"/>
      <c r="D849" s="6"/>
      <c r="E849" s="16" t="str">
        <f>IF($B849="","",IFERROR(INDEX(Services!$C$2:$C$120,MATCH($B849,Services!$D$2:$D$120,0)),""))</f>
        <v/>
      </c>
      <c r="F849" s="19"/>
      <c r="G849" s="9" t="str">
        <f t="shared" si="13"/>
        <v/>
      </c>
      <c r="H849" s="15" t="str">
        <f>IF($B849="","",IFERROR(INDEX(Services!$A$2:$A$120,MATCH($B849,Services!$D$2:$D$120,0)),""))</f>
        <v/>
      </c>
      <c r="I849" s="19"/>
      <c r="J849" s="15" t="str">
        <f>IF($B849="","",IFERROR(INDEX(Services!$E$2:$E$120,MATCH($B849,Services!$D$2:$D$120,0)),""))</f>
        <v/>
      </c>
    </row>
    <row r="850" spans="1:10" x14ac:dyDescent="0.3">
      <c r="A850" s="18"/>
      <c r="B850" s="6"/>
      <c r="C850" s="6"/>
      <c r="D850" s="6"/>
      <c r="E850" s="16" t="str">
        <f>IF($B850="","",IFERROR(INDEX(Services!$C$2:$C$120,MATCH($B850,Services!$D$2:$D$120,0)),""))</f>
        <v/>
      </c>
      <c r="F850" s="19"/>
      <c r="G850" s="9" t="str">
        <f t="shared" si="13"/>
        <v/>
      </c>
      <c r="H850" s="15" t="str">
        <f>IF($B850="","",IFERROR(INDEX(Services!$A$2:$A$120,MATCH($B850,Services!$D$2:$D$120,0)),""))</f>
        <v/>
      </c>
      <c r="I850" s="19"/>
      <c r="J850" s="15" t="str">
        <f>IF($B850="","",IFERROR(INDEX(Services!$E$2:$E$120,MATCH($B850,Services!$D$2:$D$120,0)),""))</f>
        <v/>
      </c>
    </row>
    <row r="851" spans="1:10" x14ac:dyDescent="0.3">
      <c r="A851" s="18"/>
      <c r="B851" s="6"/>
      <c r="C851" s="6"/>
      <c r="D851" s="6"/>
      <c r="E851" s="16" t="str">
        <f>IF($B851="","",IFERROR(INDEX(Services!$C$2:$C$120,MATCH($B851,Services!$D$2:$D$120,0)),""))</f>
        <v/>
      </c>
      <c r="F851" s="19"/>
      <c r="G851" s="9" t="str">
        <f t="shared" si="13"/>
        <v/>
      </c>
      <c r="H851" s="15" t="str">
        <f>IF($B851="","",IFERROR(INDEX(Services!$A$2:$A$120,MATCH($B851,Services!$D$2:$D$120,0)),""))</f>
        <v/>
      </c>
      <c r="I851" s="19"/>
      <c r="J851" s="15" t="str">
        <f>IF($B851="","",IFERROR(INDEX(Services!$E$2:$E$120,MATCH($B851,Services!$D$2:$D$120,0)),""))</f>
        <v/>
      </c>
    </row>
    <row r="852" spans="1:10" x14ac:dyDescent="0.3">
      <c r="A852" s="18"/>
      <c r="B852" s="6"/>
      <c r="C852" s="6"/>
      <c r="D852" s="6"/>
      <c r="E852" s="16" t="str">
        <f>IF($B852="","",IFERROR(INDEX(Services!$C$2:$C$120,MATCH($B852,Services!$D$2:$D$120,0)),""))</f>
        <v/>
      </c>
      <c r="F852" s="19"/>
      <c r="G852" s="9" t="str">
        <f t="shared" si="13"/>
        <v/>
      </c>
      <c r="H852" s="15" t="str">
        <f>IF($B852="","",IFERROR(INDEX(Services!$A$2:$A$120,MATCH($B852,Services!$D$2:$D$120,0)),""))</f>
        <v/>
      </c>
      <c r="I852" s="19"/>
      <c r="J852" s="15" t="str">
        <f>IF($B852="","",IFERROR(INDEX(Services!$E$2:$E$120,MATCH($B852,Services!$D$2:$D$120,0)),""))</f>
        <v/>
      </c>
    </row>
    <row r="853" spans="1:10" x14ac:dyDescent="0.3">
      <c r="A853" s="18"/>
      <c r="B853" s="6"/>
      <c r="C853" s="6"/>
      <c r="D853" s="6"/>
      <c r="E853" s="16" t="str">
        <f>IF($B853="","",IFERROR(INDEX(Services!$C$2:$C$120,MATCH($B853,Services!$D$2:$D$120,0)),""))</f>
        <v/>
      </c>
      <c r="F853" s="19"/>
      <c r="G853" s="9" t="str">
        <f t="shared" si="13"/>
        <v/>
      </c>
      <c r="H853" s="15" t="str">
        <f>IF($B853="","",IFERROR(INDEX(Services!$A$2:$A$120,MATCH($B853,Services!$D$2:$D$120,0)),""))</f>
        <v/>
      </c>
      <c r="I853" s="19"/>
      <c r="J853" s="15" t="str">
        <f>IF($B853="","",IFERROR(INDEX(Services!$E$2:$E$120,MATCH($B853,Services!$D$2:$D$120,0)),""))</f>
        <v/>
      </c>
    </row>
    <row r="854" spans="1:10" x14ac:dyDescent="0.3">
      <c r="A854" s="18"/>
      <c r="B854" s="6"/>
      <c r="C854" s="6"/>
      <c r="D854" s="6"/>
      <c r="E854" s="16" t="str">
        <f>IF($B854="","",IFERROR(INDEX(Services!$C$2:$C$120,MATCH($B854,Services!$D$2:$D$120,0)),""))</f>
        <v/>
      </c>
      <c r="F854" s="19"/>
      <c r="G854" s="9" t="str">
        <f t="shared" si="13"/>
        <v/>
      </c>
      <c r="H854" s="15" t="str">
        <f>IF($B854="","",IFERROR(INDEX(Services!$A$2:$A$120,MATCH($B854,Services!$D$2:$D$120,0)),""))</f>
        <v/>
      </c>
      <c r="I854" s="19"/>
      <c r="J854" s="15" t="str">
        <f>IF($B854="","",IFERROR(INDEX(Services!$E$2:$E$120,MATCH($B854,Services!$D$2:$D$120,0)),""))</f>
        <v/>
      </c>
    </row>
    <row r="855" spans="1:10" x14ac:dyDescent="0.3">
      <c r="A855" s="18"/>
      <c r="B855" s="6"/>
      <c r="C855" s="6"/>
      <c r="D855" s="6"/>
      <c r="E855" s="16" t="str">
        <f>IF($B855="","",IFERROR(INDEX(Services!$C$2:$C$120,MATCH($B855,Services!$D$2:$D$120,0)),""))</f>
        <v/>
      </c>
      <c r="F855" s="19"/>
      <c r="G855" s="9" t="str">
        <f t="shared" si="13"/>
        <v/>
      </c>
      <c r="H855" s="15" t="str">
        <f>IF($B855="","",IFERROR(INDEX(Services!$A$2:$A$120,MATCH($B855,Services!$D$2:$D$120,0)),""))</f>
        <v/>
      </c>
      <c r="I855" s="19"/>
      <c r="J855" s="15" t="str">
        <f>IF($B855="","",IFERROR(INDEX(Services!$E$2:$E$120,MATCH($B855,Services!$D$2:$D$120,0)),""))</f>
        <v/>
      </c>
    </row>
    <row r="856" spans="1:10" x14ac:dyDescent="0.3">
      <c r="A856" s="18"/>
      <c r="B856" s="6"/>
      <c r="C856" s="6"/>
      <c r="D856" s="6"/>
      <c r="E856" s="16" t="str">
        <f>IF($B856="","",IFERROR(INDEX(Services!$C$2:$C$120,MATCH($B856,Services!$D$2:$D$120,0)),""))</f>
        <v/>
      </c>
      <c r="F856" s="19"/>
      <c r="G856" s="9" t="str">
        <f t="shared" si="13"/>
        <v/>
      </c>
      <c r="H856" s="15" t="str">
        <f>IF($B856="","",IFERROR(INDEX(Services!$A$2:$A$120,MATCH($B856,Services!$D$2:$D$120,0)),""))</f>
        <v/>
      </c>
      <c r="I856" s="19"/>
      <c r="J856" s="15" t="str">
        <f>IF($B856="","",IFERROR(INDEX(Services!$E$2:$E$120,MATCH($B856,Services!$D$2:$D$120,0)),""))</f>
        <v/>
      </c>
    </row>
    <row r="857" spans="1:10" x14ac:dyDescent="0.3">
      <c r="A857" s="18"/>
      <c r="B857" s="6"/>
      <c r="C857" s="6"/>
      <c r="D857" s="6"/>
      <c r="E857" s="16" t="str">
        <f>IF($B857="","",IFERROR(INDEX(Services!$C$2:$C$120,MATCH($B857,Services!$D$2:$D$120,0)),""))</f>
        <v/>
      </c>
      <c r="F857" s="19"/>
      <c r="G857" s="9" t="str">
        <f t="shared" si="13"/>
        <v/>
      </c>
      <c r="H857" s="15" t="str">
        <f>IF($B857="","",IFERROR(INDEX(Services!$A$2:$A$120,MATCH($B857,Services!$D$2:$D$120,0)),""))</f>
        <v/>
      </c>
      <c r="I857" s="19"/>
      <c r="J857" s="15" t="str">
        <f>IF($B857="","",IFERROR(INDEX(Services!$E$2:$E$120,MATCH($B857,Services!$D$2:$D$120,0)),""))</f>
        <v/>
      </c>
    </row>
    <row r="858" spans="1:10" x14ac:dyDescent="0.3">
      <c r="A858" s="18"/>
      <c r="B858" s="6"/>
      <c r="C858" s="6"/>
      <c r="D858" s="6"/>
      <c r="E858" s="16" t="str">
        <f>IF($B858="","",IFERROR(INDEX(Services!$C$2:$C$120,MATCH($B858,Services!$D$2:$D$120,0)),""))</f>
        <v/>
      </c>
      <c r="F858" s="19"/>
      <c r="G858" s="9" t="str">
        <f t="shared" si="13"/>
        <v/>
      </c>
      <c r="H858" s="15" t="str">
        <f>IF($B858="","",IFERROR(INDEX(Services!$A$2:$A$120,MATCH($B858,Services!$D$2:$D$120,0)),""))</f>
        <v/>
      </c>
      <c r="I858" s="19"/>
      <c r="J858" s="15" t="str">
        <f>IF($B858="","",IFERROR(INDEX(Services!$E$2:$E$120,MATCH($B858,Services!$D$2:$D$120,0)),""))</f>
        <v/>
      </c>
    </row>
    <row r="859" spans="1:10" x14ac:dyDescent="0.3">
      <c r="A859" s="18"/>
      <c r="B859" s="6"/>
      <c r="C859" s="6"/>
      <c r="D859" s="6"/>
      <c r="E859" s="16" t="str">
        <f>IF($B859="","",IFERROR(INDEX(Services!$C$2:$C$120,MATCH($B859,Services!$D$2:$D$120,0)),""))</f>
        <v/>
      </c>
      <c r="F859" s="19"/>
      <c r="G859" s="9" t="str">
        <f t="shared" si="13"/>
        <v/>
      </c>
      <c r="H859" s="15" t="str">
        <f>IF($B859="","",IFERROR(INDEX(Services!$A$2:$A$120,MATCH($B859,Services!$D$2:$D$120,0)),""))</f>
        <v/>
      </c>
      <c r="I859" s="19"/>
      <c r="J859" s="15" t="str">
        <f>IF($B859="","",IFERROR(INDEX(Services!$E$2:$E$120,MATCH($B859,Services!$D$2:$D$120,0)),""))</f>
        <v/>
      </c>
    </row>
    <row r="860" spans="1:10" x14ac:dyDescent="0.3">
      <c r="A860" s="18"/>
      <c r="B860" s="6"/>
      <c r="C860" s="6"/>
      <c r="D860" s="6"/>
      <c r="E860" s="16" t="str">
        <f>IF($B860="","",IFERROR(INDEX(Services!$C$2:$C$120,MATCH($B860,Services!$D$2:$D$120,0)),""))</f>
        <v/>
      </c>
      <c r="F860" s="19"/>
      <c r="G860" s="9" t="str">
        <f t="shared" si="13"/>
        <v/>
      </c>
      <c r="H860" s="15" t="str">
        <f>IF($B860="","",IFERROR(INDEX(Services!$A$2:$A$120,MATCH($B860,Services!$D$2:$D$120,0)),""))</f>
        <v/>
      </c>
      <c r="I860" s="19"/>
      <c r="J860" s="15" t="str">
        <f>IF($B860="","",IFERROR(INDEX(Services!$E$2:$E$120,MATCH($B860,Services!$D$2:$D$120,0)),""))</f>
        <v/>
      </c>
    </row>
    <row r="861" spans="1:10" x14ac:dyDescent="0.3">
      <c r="A861" s="18"/>
      <c r="B861" s="6"/>
      <c r="C861" s="6"/>
      <c r="D861" s="6"/>
      <c r="E861" s="16" t="str">
        <f>IF($B861="","",IFERROR(INDEX(Services!$C$2:$C$120,MATCH($B861,Services!$D$2:$D$120,0)),""))</f>
        <v/>
      </c>
      <c r="F861" s="19"/>
      <c r="G861" s="9" t="str">
        <f t="shared" si="13"/>
        <v/>
      </c>
      <c r="H861" s="15" t="str">
        <f>IF($B861="","",IFERROR(INDEX(Services!$A$2:$A$120,MATCH($B861,Services!$D$2:$D$120,0)),""))</f>
        <v/>
      </c>
      <c r="I861" s="19"/>
      <c r="J861" s="15" t="str">
        <f>IF($B861="","",IFERROR(INDEX(Services!$E$2:$E$120,MATCH($B861,Services!$D$2:$D$120,0)),""))</f>
        <v/>
      </c>
    </row>
    <row r="862" spans="1:10" x14ac:dyDescent="0.3">
      <c r="A862" s="18"/>
      <c r="B862" s="6"/>
      <c r="C862" s="6"/>
      <c r="D862" s="6"/>
      <c r="E862" s="16" t="str">
        <f>IF($B862="","",IFERROR(INDEX(Services!$C$2:$C$120,MATCH($B862,Services!$D$2:$D$120,0)),""))</f>
        <v/>
      </c>
      <c r="F862" s="19"/>
      <c r="G862" s="9" t="str">
        <f t="shared" si="13"/>
        <v/>
      </c>
      <c r="H862" s="15" t="str">
        <f>IF($B862="","",IFERROR(INDEX(Services!$A$2:$A$120,MATCH($B862,Services!$D$2:$D$120,0)),""))</f>
        <v/>
      </c>
      <c r="I862" s="19"/>
      <c r="J862" s="15" t="str">
        <f>IF($B862="","",IFERROR(INDEX(Services!$E$2:$E$120,MATCH($B862,Services!$D$2:$D$120,0)),""))</f>
        <v/>
      </c>
    </row>
    <row r="863" spans="1:10" x14ac:dyDescent="0.3">
      <c r="A863" s="18"/>
      <c r="B863" s="6"/>
      <c r="C863" s="6"/>
      <c r="D863" s="6"/>
      <c r="E863" s="16" t="str">
        <f>IF($B863="","",IFERROR(INDEX(Services!$C$2:$C$120,MATCH($B863,Services!$D$2:$D$120,0)),""))</f>
        <v/>
      </c>
      <c r="F863" s="19"/>
      <c r="G863" s="9" t="str">
        <f t="shared" si="13"/>
        <v/>
      </c>
      <c r="H863" s="15" t="str">
        <f>IF($B863="","",IFERROR(INDEX(Services!$A$2:$A$120,MATCH($B863,Services!$D$2:$D$120,0)),""))</f>
        <v/>
      </c>
      <c r="I863" s="19"/>
      <c r="J863" s="15" t="str">
        <f>IF($B863="","",IFERROR(INDEX(Services!$E$2:$E$120,MATCH($B863,Services!$D$2:$D$120,0)),""))</f>
        <v/>
      </c>
    </row>
    <row r="864" spans="1:10" x14ac:dyDescent="0.3">
      <c r="A864" s="18"/>
      <c r="B864" s="6"/>
      <c r="C864" s="6"/>
      <c r="D864" s="6"/>
      <c r="E864" s="16" t="str">
        <f>IF($B864="","",IFERROR(INDEX(Services!$C$2:$C$120,MATCH($B864,Services!$D$2:$D$120,0)),""))</f>
        <v/>
      </c>
      <c r="F864" s="19"/>
      <c r="G864" s="9" t="str">
        <f t="shared" si="13"/>
        <v/>
      </c>
      <c r="H864" s="15" t="str">
        <f>IF($B864="","",IFERROR(INDEX(Services!$A$2:$A$120,MATCH($B864,Services!$D$2:$D$120,0)),""))</f>
        <v/>
      </c>
      <c r="I864" s="19"/>
      <c r="J864" s="15" t="str">
        <f>IF($B864="","",IFERROR(INDEX(Services!$E$2:$E$120,MATCH($B864,Services!$D$2:$D$120,0)),""))</f>
        <v/>
      </c>
    </row>
    <row r="865" spans="1:10" x14ac:dyDescent="0.3">
      <c r="A865" s="18"/>
      <c r="B865" s="6"/>
      <c r="C865" s="6"/>
      <c r="D865" s="6"/>
      <c r="E865" s="16" t="str">
        <f>IF($B865="","",IFERROR(INDEX(Services!$C$2:$C$120,MATCH($B865,Services!$D$2:$D$120,0)),""))</f>
        <v/>
      </c>
      <c r="F865" s="19"/>
      <c r="G865" s="9" t="str">
        <f t="shared" si="13"/>
        <v/>
      </c>
      <c r="H865" s="15" t="str">
        <f>IF($B865="","",IFERROR(INDEX(Services!$A$2:$A$120,MATCH($B865,Services!$D$2:$D$120,0)),""))</f>
        <v/>
      </c>
      <c r="I865" s="19"/>
      <c r="J865" s="15" t="str">
        <f>IF($B865="","",IFERROR(INDEX(Services!$E$2:$E$120,MATCH($B865,Services!$D$2:$D$120,0)),""))</f>
        <v/>
      </c>
    </row>
    <row r="866" spans="1:10" x14ac:dyDescent="0.3">
      <c r="A866" s="18"/>
      <c r="B866" s="6"/>
      <c r="C866" s="6"/>
      <c r="D866" s="6"/>
      <c r="E866" s="16" t="str">
        <f>IF($B866="","",IFERROR(INDEX(Services!$C$2:$C$120,MATCH($B866,Services!$D$2:$D$120,0)),""))</f>
        <v/>
      </c>
      <c r="F866" s="19"/>
      <c r="G866" s="9" t="str">
        <f t="shared" si="13"/>
        <v/>
      </c>
      <c r="H866" s="15" t="str">
        <f>IF($B866="","",IFERROR(INDEX(Services!$A$2:$A$120,MATCH($B866,Services!$D$2:$D$120,0)),""))</f>
        <v/>
      </c>
      <c r="I866" s="19"/>
      <c r="J866" s="15" t="str">
        <f>IF($B866="","",IFERROR(INDEX(Services!$E$2:$E$120,MATCH($B866,Services!$D$2:$D$120,0)),""))</f>
        <v/>
      </c>
    </row>
    <row r="867" spans="1:10" x14ac:dyDescent="0.3">
      <c r="A867" s="18"/>
      <c r="B867" s="6"/>
      <c r="C867" s="6"/>
      <c r="D867" s="6"/>
      <c r="E867" s="16" t="str">
        <f>IF($B867="","",IFERROR(INDEX(Services!$C$2:$C$120,MATCH($B867,Services!$D$2:$D$120,0)),""))</f>
        <v/>
      </c>
      <c r="F867" s="19"/>
      <c r="G867" s="9" t="str">
        <f t="shared" si="13"/>
        <v/>
      </c>
      <c r="H867" s="15" t="str">
        <f>IF($B867="","",IFERROR(INDEX(Services!$A$2:$A$120,MATCH($B867,Services!$D$2:$D$120,0)),""))</f>
        <v/>
      </c>
      <c r="I867" s="19"/>
      <c r="J867" s="15" t="str">
        <f>IF($B867="","",IFERROR(INDEX(Services!$E$2:$E$120,MATCH($B867,Services!$D$2:$D$120,0)),""))</f>
        <v/>
      </c>
    </row>
    <row r="868" spans="1:10" x14ac:dyDescent="0.3">
      <c r="A868" s="18"/>
      <c r="B868" s="6"/>
      <c r="C868" s="6"/>
      <c r="D868" s="6"/>
      <c r="E868" s="16" t="str">
        <f>IF($B868="","",IFERROR(INDEX(Services!$C$2:$C$120,MATCH($B868,Services!$D$2:$D$120,0)),""))</f>
        <v/>
      </c>
      <c r="F868" s="19"/>
      <c r="G868" s="9" t="str">
        <f t="shared" si="13"/>
        <v/>
      </c>
      <c r="H868" s="15" t="str">
        <f>IF($B868="","",IFERROR(INDEX(Services!$A$2:$A$120,MATCH($B868,Services!$D$2:$D$120,0)),""))</f>
        <v/>
      </c>
      <c r="I868" s="19"/>
      <c r="J868" s="15" t="str">
        <f>IF($B868="","",IFERROR(INDEX(Services!$E$2:$E$120,MATCH($B868,Services!$D$2:$D$120,0)),""))</f>
        <v/>
      </c>
    </row>
    <row r="869" spans="1:10" x14ac:dyDescent="0.3">
      <c r="A869" s="18"/>
      <c r="B869" s="6"/>
      <c r="C869" s="6"/>
      <c r="D869" s="6"/>
      <c r="E869" s="16" t="str">
        <f>IF($B869="","",IFERROR(INDEX(Services!$C$2:$C$120,MATCH($B869,Services!$D$2:$D$120,0)),""))</f>
        <v/>
      </c>
      <c r="F869" s="19"/>
      <c r="G869" s="9" t="str">
        <f t="shared" si="13"/>
        <v/>
      </c>
      <c r="H869" s="15" t="str">
        <f>IF($B869="","",IFERROR(INDEX(Services!$A$2:$A$120,MATCH($B869,Services!$D$2:$D$120,0)),""))</f>
        <v/>
      </c>
      <c r="I869" s="19"/>
      <c r="J869" s="15" t="str">
        <f>IF($B869="","",IFERROR(INDEX(Services!$E$2:$E$120,MATCH($B869,Services!$D$2:$D$120,0)),""))</f>
        <v/>
      </c>
    </row>
    <row r="870" spans="1:10" x14ac:dyDescent="0.3">
      <c r="A870" s="18"/>
      <c r="B870" s="6"/>
      <c r="C870" s="6"/>
      <c r="D870" s="6"/>
      <c r="E870" s="16" t="str">
        <f>IF($B870="","",IFERROR(INDEX(Services!$C$2:$C$120,MATCH($B870,Services!$D$2:$D$120,0)),""))</f>
        <v/>
      </c>
      <c r="F870" s="19"/>
      <c r="G870" s="9" t="str">
        <f t="shared" si="13"/>
        <v/>
      </c>
      <c r="H870" s="15" t="str">
        <f>IF($B870="","",IFERROR(INDEX(Services!$A$2:$A$120,MATCH($B870,Services!$D$2:$D$120,0)),""))</f>
        <v/>
      </c>
      <c r="I870" s="19"/>
      <c r="J870" s="15" t="str">
        <f>IF($B870="","",IFERROR(INDEX(Services!$E$2:$E$120,MATCH($B870,Services!$D$2:$D$120,0)),""))</f>
        <v/>
      </c>
    </row>
    <row r="871" spans="1:10" x14ac:dyDescent="0.3">
      <c r="A871" s="18"/>
      <c r="B871" s="6"/>
      <c r="C871" s="6"/>
      <c r="D871" s="6"/>
      <c r="E871" s="16" t="str">
        <f>IF($B871="","",IFERROR(INDEX(Services!$C$2:$C$120,MATCH($B871,Services!$D$2:$D$120,0)),""))</f>
        <v/>
      </c>
      <c r="F871" s="19"/>
      <c r="G871" s="9" t="str">
        <f t="shared" si="13"/>
        <v/>
      </c>
      <c r="H871" s="15" t="str">
        <f>IF($B871="","",IFERROR(INDEX(Services!$A$2:$A$120,MATCH($B871,Services!$D$2:$D$120,0)),""))</f>
        <v/>
      </c>
      <c r="I871" s="19"/>
      <c r="J871" s="15" t="str">
        <f>IF($B871="","",IFERROR(INDEX(Services!$E$2:$E$120,MATCH($B871,Services!$D$2:$D$120,0)),""))</f>
        <v/>
      </c>
    </row>
    <row r="872" spans="1:10" x14ac:dyDescent="0.3">
      <c r="A872" s="18"/>
      <c r="B872" s="6"/>
      <c r="C872" s="6"/>
      <c r="D872" s="6"/>
      <c r="E872" s="16" t="str">
        <f>IF($B872="","",IFERROR(INDEX(Services!$C$2:$C$120,MATCH($B872,Services!$D$2:$D$120,0)),""))</f>
        <v/>
      </c>
      <c r="F872" s="19"/>
      <c r="G872" s="9" t="str">
        <f t="shared" si="13"/>
        <v/>
      </c>
      <c r="H872" s="15" t="str">
        <f>IF($B872="","",IFERROR(INDEX(Services!$A$2:$A$120,MATCH($B872,Services!$D$2:$D$120,0)),""))</f>
        <v/>
      </c>
      <c r="I872" s="19"/>
      <c r="J872" s="15" t="str">
        <f>IF($B872="","",IFERROR(INDEX(Services!$E$2:$E$120,MATCH($B872,Services!$D$2:$D$120,0)),""))</f>
        <v/>
      </c>
    </row>
    <row r="873" spans="1:10" x14ac:dyDescent="0.3">
      <c r="A873" s="18"/>
      <c r="B873" s="6"/>
      <c r="C873" s="6"/>
      <c r="D873" s="6"/>
      <c r="E873" s="16" t="str">
        <f>IF($B873="","",IFERROR(INDEX(Services!$C$2:$C$120,MATCH($B873,Services!$D$2:$D$120,0)),""))</f>
        <v/>
      </c>
      <c r="F873" s="19"/>
      <c r="G873" s="9" t="str">
        <f t="shared" si="13"/>
        <v/>
      </c>
      <c r="H873" s="15" t="str">
        <f>IF($B873="","",IFERROR(INDEX(Services!$A$2:$A$120,MATCH($B873,Services!$D$2:$D$120,0)),""))</f>
        <v/>
      </c>
      <c r="I873" s="19"/>
      <c r="J873" s="15" t="str">
        <f>IF($B873="","",IFERROR(INDEX(Services!$E$2:$E$120,MATCH($B873,Services!$D$2:$D$120,0)),""))</f>
        <v/>
      </c>
    </row>
    <row r="874" spans="1:10" x14ac:dyDescent="0.3">
      <c r="A874" s="18"/>
      <c r="B874" s="6"/>
      <c r="C874" s="6"/>
      <c r="D874" s="6"/>
      <c r="E874" s="16" t="str">
        <f>IF($B874="","",IFERROR(INDEX(Services!$C$2:$C$120,MATCH($B874,Services!$D$2:$D$120,0)),""))</f>
        <v/>
      </c>
      <c r="F874" s="19"/>
      <c r="G874" s="9" t="str">
        <f t="shared" si="13"/>
        <v/>
      </c>
      <c r="H874" s="15" t="str">
        <f>IF($B874="","",IFERROR(INDEX(Services!$A$2:$A$120,MATCH($B874,Services!$D$2:$D$120,0)),""))</f>
        <v/>
      </c>
      <c r="I874" s="19"/>
      <c r="J874" s="15" t="str">
        <f>IF($B874="","",IFERROR(INDEX(Services!$E$2:$E$120,MATCH($B874,Services!$D$2:$D$120,0)),""))</f>
        <v/>
      </c>
    </row>
    <row r="875" spans="1:10" x14ac:dyDescent="0.3">
      <c r="A875" s="18"/>
      <c r="B875" s="6"/>
      <c r="C875" s="6"/>
      <c r="D875" s="6"/>
      <c r="E875" s="16" t="str">
        <f>IF($B875="","",IFERROR(INDEX(Services!$C$2:$C$120,MATCH($B875,Services!$D$2:$D$120,0)),""))</f>
        <v/>
      </c>
      <c r="F875" s="19"/>
      <c r="G875" s="9" t="str">
        <f t="shared" si="13"/>
        <v/>
      </c>
      <c r="H875" s="15" t="str">
        <f>IF($B875="","",IFERROR(INDEX(Services!$A$2:$A$120,MATCH($B875,Services!$D$2:$D$120,0)),""))</f>
        <v/>
      </c>
      <c r="I875" s="19"/>
      <c r="J875" s="15" t="str">
        <f>IF($B875="","",IFERROR(INDEX(Services!$E$2:$E$120,MATCH($B875,Services!$D$2:$D$120,0)),""))</f>
        <v/>
      </c>
    </row>
    <row r="876" spans="1:10" x14ac:dyDescent="0.3">
      <c r="A876" s="18"/>
      <c r="B876" s="6"/>
      <c r="C876" s="6"/>
      <c r="D876" s="6"/>
      <c r="E876" s="16" t="str">
        <f>IF($B876="","",IFERROR(INDEX(Services!$C$2:$C$120,MATCH($B876,Services!$D$2:$D$120,0)),""))</f>
        <v/>
      </c>
      <c r="F876" s="19"/>
      <c r="G876" s="9" t="str">
        <f t="shared" si="13"/>
        <v/>
      </c>
      <c r="H876" s="15" t="str">
        <f>IF($B876="","",IFERROR(INDEX(Services!$A$2:$A$120,MATCH($B876,Services!$D$2:$D$120,0)),""))</f>
        <v/>
      </c>
      <c r="I876" s="19"/>
      <c r="J876" s="15" t="str">
        <f>IF($B876="","",IFERROR(INDEX(Services!$E$2:$E$120,MATCH($B876,Services!$D$2:$D$120,0)),""))</f>
        <v/>
      </c>
    </row>
    <row r="877" spans="1:10" x14ac:dyDescent="0.3">
      <c r="A877" s="18"/>
      <c r="B877" s="6"/>
      <c r="C877" s="6"/>
      <c r="D877" s="6"/>
      <c r="E877" s="16" t="str">
        <f>IF($B877="","",IFERROR(INDEX(Services!$C$2:$C$120,MATCH($B877,Services!$D$2:$D$120,0)),""))</f>
        <v/>
      </c>
      <c r="F877" s="19"/>
      <c r="G877" s="9" t="str">
        <f t="shared" si="13"/>
        <v/>
      </c>
      <c r="H877" s="15" t="str">
        <f>IF($B877="","",IFERROR(INDEX(Services!$A$2:$A$120,MATCH($B877,Services!$D$2:$D$120,0)),""))</f>
        <v/>
      </c>
      <c r="I877" s="19"/>
      <c r="J877" s="15" t="str">
        <f>IF($B877="","",IFERROR(INDEX(Services!$E$2:$E$120,MATCH($B877,Services!$D$2:$D$120,0)),""))</f>
        <v/>
      </c>
    </row>
    <row r="878" spans="1:10" x14ac:dyDescent="0.3">
      <c r="A878" s="18"/>
      <c r="B878" s="6"/>
      <c r="C878" s="6"/>
      <c r="D878" s="6"/>
      <c r="E878" s="16" t="str">
        <f>IF($B878="","",IFERROR(INDEX(Services!$C$2:$C$120,MATCH($B878,Services!$D$2:$D$120,0)),""))</f>
        <v/>
      </c>
      <c r="F878" s="19"/>
      <c r="G878" s="9" t="str">
        <f t="shared" si="13"/>
        <v/>
      </c>
      <c r="H878" s="15" t="str">
        <f>IF($B878="","",IFERROR(INDEX(Services!$A$2:$A$120,MATCH($B878,Services!$D$2:$D$120,0)),""))</f>
        <v/>
      </c>
      <c r="I878" s="19"/>
      <c r="J878" s="15" t="str">
        <f>IF($B878="","",IFERROR(INDEX(Services!$E$2:$E$120,MATCH($B878,Services!$D$2:$D$120,0)),""))</f>
        <v/>
      </c>
    </row>
    <row r="879" spans="1:10" x14ac:dyDescent="0.3">
      <c r="A879" s="18"/>
      <c r="B879" s="6"/>
      <c r="C879" s="6"/>
      <c r="D879" s="6"/>
      <c r="E879" s="16" t="str">
        <f>IF($B879="","",IFERROR(INDEX(Services!$C$2:$C$120,MATCH($B879,Services!$D$2:$D$120,0)),""))</f>
        <v/>
      </c>
      <c r="F879" s="19"/>
      <c r="G879" s="9" t="str">
        <f t="shared" si="13"/>
        <v/>
      </c>
      <c r="H879" s="15" t="str">
        <f>IF($B879="","",IFERROR(INDEX(Services!$A$2:$A$120,MATCH($B879,Services!$D$2:$D$120,0)),""))</f>
        <v/>
      </c>
      <c r="I879" s="19"/>
      <c r="J879" s="15" t="str">
        <f>IF($B879="","",IFERROR(INDEX(Services!$E$2:$E$120,MATCH($B879,Services!$D$2:$D$120,0)),""))</f>
        <v/>
      </c>
    </row>
    <row r="880" spans="1:10" x14ac:dyDescent="0.3">
      <c r="A880" s="18"/>
      <c r="B880" s="6"/>
      <c r="C880" s="6"/>
      <c r="D880" s="6"/>
      <c r="E880" s="16" t="str">
        <f>IF($B880="","",IFERROR(INDEX(Services!$C$2:$C$120,MATCH($B880,Services!$D$2:$D$120,0)),""))</f>
        <v/>
      </c>
      <c r="F880" s="19"/>
      <c r="G880" s="9" t="str">
        <f t="shared" si="13"/>
        <v/>
      </c>
      <c r="H880" s="15" t="str">
        <f>IF($B880="","",IFERROR(INDEX(Services!$A$2:$A$120,MATCH($B880,Services!$D$2:$D$120,0)),""))</f>
        <v/>
      </c>
      <c r="I880" s="19"/>
      <c r="J880" s="15" t="str">
        <f>IF($B880="","",IFERROR(INDEX(Services!$E$2:$E$120,MATCH($B880,Services!$D$2:$D$120,0)),""))</f>
        <v/>
      </c>
    </row>
    <row r="881" spans="1:10" x14ac:dyDescent="0.3">
      <c r="A881" s="18"/>
      <c r="B881" s="6"/>
      <c r="C881" s="6"/>
      <c r="D881" s="6"/>
      <c r="E881" s="16" t="str">
        <f>IF($B881="","",IFERROR(INDEX(Services!$C$2:$C$120,MATCH($B881,Services!$D$2:$D$120,0)),""))</f>
        <v/>
      </c>
      <c r="F881" s="19"/>
      <c r="G881" s="9" t="str">
        <f t="shared" si="13"/>
        <v/>
      </c>
      <c r="H881" s="15" t="str">
        <f>IF($B881="","",IFERROR(INDEX(Services!$A$2:$A$120,MATCH($B881,Services!$D$2:$D$120,0)),""))</f>
        <v/>
      </c>
      <c r="I881" s="19"/>
      <c r="J881" s="15" t="str">
        <f>IF($B881="","",IFERROR(INDEX(Services!$E$2:$E$120,MATCH($B881,Services!$D$2:$D$120,0)),""))</f>
        <v/>
      </c>
    </row>
    <row r="882" spans="1:10" x14ac:dyDescent="0.3">
      <c r="A882" s="18"/>
      <c r="B882" s="6"/>
      <c r="C882" s="6"/>
      <c r="D882" s="6"/>
      <c r="E882" s="16" t="str">
        <f>IF($B882="","",IFERROR(INDEX(Services!$C$2:$C$120,MATCH($B882,Services!$D$2:$D$120,0)),""))</f>
        <v/>
      </c>
      <c r="F882" s="19"/>
      <c r="G882" s="9" t="str">
        <f t="shared" si="13"/>
        <v/>
      </c>
      <c r="H882" s="15" t="str">
        <f>IF($B882="","",IFERROR(INDEX(Services!$A$2:$A$120,MATCH($B882,Services!$D$2:$D$120,0)),""))</f>
        <v/>
      </c>
      <c r="I882" s="19"/>
      <c r="J882" s="15" t="str">
        <f>IF($B882="","",IFERROR(INDEX(Services!$E$2:$E$120,MATCH($B882,Services!$D$2:$D$120,0)),""))</f>
        <v/>
      </c>
    </row>
    <row r="883" spans="1:10" x14ac:dyDescent="0.3">
      <c r="A883" s="18"/>
      <c r="B883" s="6"/>
      <c r="C883" s="6"/>
      <c r="D883" s="6"/>
      <c r="E883" s="16" t="str">
        <f>IF($B883="","",IFERROR(INDEX(Services!$C$2:$C$120,MATCH($B883,Services!$D$2:$D$120,0)),""))</f>
        <v/>
      </c>
      <c r="F883" s="19"/>
      <c r="G883" s="9" t="str">
        <f t="shared" si="13"/>
        <v/>
      </c>
      <c r="H883" s="15" t="str">
        <f>IF($B883="","",IFERROR(INDEX(Services!$A$2:$A$120,MATCH($B883,Services!$D$2:$D$120,0)),""))</f>
        <v/>
      </c>
      <c r="I883" s="19"/>
      <c r="J883" s="15" t="str">
        <f>IF($B883="","",IFERROR(INDEX(Services!$E$2:$E$120,MATCH($B883,Services!$D$2:$D$120,0)),""))</f>
        <v/>
      </c>
    </row>
    <row r="884" spans="1:10" x14ac:dyDescent="0.3">
      <c r="A884" s="18"/>
      <c r="B884" s="6"/>
      <c r="C884" s="6"/>
      <c r="D884" s="6"/>
      <c r="E884" s="16" t="str">
        <f>IF($B884="","",IFERROR(INDEX(Services!$C$2:$C$120,MATCH($B884,Services!$D$2:$D$120,0)),""))</f>
        <v/>
      </c>
      <c r="F884" s="19"/>
      <c r="G884" s="9" t="str">
        <f t="shared" si="13"/>
        <v/>
      </c>
      <c r="H884" s="15" t="str">
        <f>IF($B884="","",IFERROR(INDEX(Services!$A$2:$A$120,MATCH($B884,Services!$D$2:$D$120,0)),""))</f>
        <v/>
      </c>
      <c r="I884" s="19"/>
      <c r="J884" s="15" t="str">
        <f>IF($B884="","",IFERROR(INDEX(Services!$E$2:$E$120,MATCH($B884,Services!$D$2:$D$120,0)),""))</f>
        <v/>
      </c>
    </row>
    <row r="885" spans="1:10" x14ac:dyDescent="0.3">
      <c r="A885" s="18"/>
      <c r="B885" s="6"/>
      <c r="C885" s="6"/>
      <c r="D885" s="6"/>
      <c r="E885" s="16" t="str">
        <f>IF($B885="","",IFERROR(INDEX(Services!$C$2:$C$120,MATCH($B885,Services!$D$2:$D$120,0)),""))</f>
        <v/>
      </c>
      <c r="F885" s="19"/>
      <c r="G885" s="9" t="str">
        <f t="shared" si="13"/>
        <v/>
      </c>
      <c r="H885" s="15" t="str">
        <f>IF($B885="","",IFERROR(INDEX(Services!$A$2:$A$120,MATCH($B885,Services!$D$2:$D$120,0)),""))</f>
        <v/>
      </c>
      <c r="I885" s="19"/>
      <c r="J885" s="15" t="str">
        <f>IF($B885="","",IFERROR(INDEX(Services!$E$2:$E$120,MATCH($B885,Services!$D$2:$D$120,0)),""))</f>
        <v/>
      </c>
    </row>
    <row r="886" spans="1:10" x14ac:dyDescent="0.3">
      <c r="A886" s="18"/>
      <c r="B886" s="6"/>
      <c r="C886" s="6"/>
      <c r="D886" s="6"/>
      <c r="E886" s="16" t="str">
        <f>IF($B886="","",IFERROR(INDEX(Services!$C$2:$C$120,MATCH($B886,Services!$D$2:$D$120,0)),""))</f>
        <v/>
      </c>
      <c r="F886" s="19"/>
      <c r="G886" s="9" t="str">
        <f t="shared" si="13"/>
        <v/>
      </c>
      <c r="H886" s="15" t="str">
        <f>IF($B886="","",IFERROR(INDEX(Services!$A$2:$A$120,MATCH($B886,Services!$D$2:$D$120,0)),""))</f>
        <v/>
      </c>
      <c r="I886" s="19"/>
      <c r="J886" s="15" t="str">
        <f>IF($B886="","",IFERROR(INDEX(Services!$E$2:$E$120,MATCH($B886,Services!$D$2:$D$120,0)),""))</f>
        <v/>
      </c>
    </row>
    <row r="887" spans="1:10" x14ac:dyDescent="0.3">
      <c r="A887" s="18"/>
      <c r="B887" s="6"/>
      <c r="C887" s="6"/>
      <c r="D887" s="6"/>
      <c r="E887" s="16" t="str">
        <f>IF($B887="","",IFERROR(INDEX(Services!$C$2:$C$120,MATCH($B887,Services!$D$2:$D$120,0)),""))</f>
        <v/>
      </c>
      <c r="F887" s="19"/>
      <c r="G887" s="9" t="str">
        <f t="shared" si="13"/>
        <v/>
      </c>
      <c r="H887" s="15" t="str">
        <f>IF($B887="","",IFERROR(INDEX(Services!$A$2:$A$120,MATCH($B887,Services!$D$2:$D$120,0)),""))</f>
        <v/>
      </c>
      <c r="I887" s="19"/>
      <c r="J887" s="15" t="str">
        <f>IF($B887="","",IFERROR(INDEX(Services!$E$2:$E$120,MATCH($B887,Services!$D$2:$D$120,0)),""))</f>
        <v/>
      </c>
    </row>
    <row r="888" spans="1:10" x14ac:dyDescent="0.3">
      <c r="A888" s="18"/>
      <c r="B888" s="6"/>
      <c r="C888" s="6"/>
      <c r="D888" s="6"/>
      <c r="E888" s="16" t="str">
        <f>IF($B888="","",IFERROR(INDEX(Services!$C$2:$C$120,MATCH($B888,Services!$D$2:$D$120,0)),""))</f>
        <v/>
      </c>
      <c r="F888" s="19"/>
      <c r="G888" s="9" t="str">
        <f t="shared" si="13"/>
        <v/>
      </c>
      <c r="H888" s="15" t="str">
        <f>IF($B888="","",IFERROR(INDEX(Services!$A$2:$A$120,MATCH($B888,Services!$D$2:$D$120,0)),""))</f>
        <v/>
      </c>
      <c r="I888" s="19"/>
      <c r="J888" s="15" t="str">
        <f>IF($B888="","",IFERROR(INDEX(Services!$E$2:$E$120,MATCH($B888,Services!$D$2:$D$120,0)),""))</f>
        <v/>
      </c>
    </row>
    <row r="889" spans="1:10" x14ac:dyDescent="0.3">
      <c r="A889" s="18"/>
      <c r="B889" s="6"/>
      <c r="C889" s="6"/>
      <c r="D889" s="6"/>
      <c r="E889" s="16" t="str">
        <f>IF($B889="","",IFERROR(INDEX(Services!$C$2:$C$120,MATCH($B889,Services!$D$2:$D$120,0)),""))</f>
        <v/>
      </c>
      <c r="F889" s="19"/>
      <c r="G889" s="9" t="str">
        <f t="shared" si="13"/>
        <v/>
      </c>
      <c r="H889" s="15" t="str">
        <f>IF($B889="","",IFERROR(INDEX(Services!$A$2:$A$120,MATCH($B889,Services!$D$2:$D$120,0)),""))</f>
        <v/>
      </c>
      <c r="I889" s="19"/>
      <c r="J889" s="15" t="str">
        <f>IF($B889="","",IFERROR(INDEX(Services!$E$2:$E$120,MATCH($B889,Services!$D$2:$D$120,0)),""))</f>
        <v/>
      </c>
    </row>
    <row r="890" spans="1:10" x14ac:dyDescent="0.3">
      <c r="A890" s="18"/>
      <c r="B890" s="6"/>
      <c r="C890" s="6"/>
      <c r="D890" s="6"/>
      <c r="E890" s="16" t="str">
        <f>IF($B890="","",IFERROR(INDEX(Services!$C$2:$C$120,MATCH($B890,Services!$D$2:$D$120,0)),""))</f>
        <v/>
      </c>
      <c r="F890" s="19"/>
      <c r="G890" s="9" t="str">
        <f t="shared" si="13"/>
        <v/>
      </c>
      <c r="H890" s="15" t="str">
        <f>IF($B890="","",IFERROR(INDEX(Services!$A$2:$A$120,MATCH($B890,Services!$D$2:$D$120,0)),""))</f>
        <v/>
      </c>
      <c r="I890" s="19"/>
      <c r="J890" s="15" t="str">
        <f>IF($B890="","",IFERROR(INDEX(Services!$E$2:$E$120,MATCH($B890,Services!$D$2:$D$120,0)),""))</f>
        <v/>
      </c>
    </row>
    <row r="891" spans="1:10" x14ac:dyDescent="0.3">
      <c r="A891" s="18"/>
      <c r="B891" s="6"/>
      <c r="C891" s="6"/>
      <c r="D891" s="6"/>
      <c r="E891" s="16" t="str">
        <f>IF($B891="","",IFERROR(INDEX(Services!$C$2:$C$120,MATCH($B891,Services!$D$2:$D$120,0)),""))</f>
        <v/>
      </c>
      <c r="F891" s="19"/>
      <c r="G891" s="9" t="str">
        <f t="shared" si="13"/>
        <v/>
      </c>
      <c r="H891" s="15" t="str">
        <f>IF($B891="","",IFERROR(INDEX(Services!$A$2:$A$120,MATCH($B891,Services!$D$2:$D$120,0)),""))</f>
        <v/>
      </c>
      <c r="I891" s="19"/>
      <c r="J891" s="15" t="str">
        <f>IF($B891="","",IFERROR(INDEX(Services!$E$2:$E$120,MATCH($B891,Services!$D$2:$D$120,0)),""))</f>
        <v/>
      </c>
    </row>
    <row r="892" spans="1:10" x14ac:dyDescent="0.3">
      <c r="A892" s="18"/>
      <c r="B892" s="6"/>
      <c r="C892" s="6"/>
      <c r="D892" s="6"/>
      <c r="E892" s="16" t="str">
        <f>IF($B892="","",IFERROR(INDEX(Services!$C$2:$C$120,MATCH($B892,Services!$D$2:$D$120,0)),""))</f>
        <v/>
      </c>
      <c r="F892" s="19"/>
      <c r="G892" s="9" t="str">
        <f t="shared" si="13"/>
        <v/>
      </c>
      <c r="H892" s="15" t="str">
        <f>IF($B892="","",IFERROR(INDEX(Services!$A$2:$A$120,MATCH($B892,Services!$D$2:$D$120,0)),""))</f>
        <v/>
      </c>
      <c r="I892" s="19"/>
      <c r="J892" s="15" t="str">
        <f>IF($B892="","",IFERROR(INDEX(Services!$E$2:$E$120,MATCH($B892,Services!$D$2:$D$120,0)),""))</f>
        <v/>
      </c>
    </row>
    <row r="893" spans="1:10" x14ac:dyDescent="0.3">
      <c r="A893" s="18"/>
      <c r="B893" s="6"/>
      <c r="C893" s="6"/>
      <c r="D893" s="6"/>
      <c r="E893" s="16" t="str">
        <f>IF($B893="","",IFERROR(INDEX(Services!$C$2:$C$120,MATCH($B893,Services!$D$2:$D$120,0)),""))</f>
        <v/>
      </c>
      <c r="F893" s="19"/>
      <c r="G893" s="9" t="str">
        <f t="shared" si="13"/>
        <v/>
      </c>
      <c r="H893" s="15" t="str">
        <f>IF($B893="","",IFERROR(INDEX(Services!$A$2:$A$120,MATCH($B893,Services!$D$2:$D$120,0)),""))</f>
        <v/>
      </c>
      <c r="I893" s="19"/>
      <c r="J893" s="15" t="str">
        <f>IF($B893="","",IFERROR(INDEX(Services!$E$2:$E$120,MATCH($B893,Services!$D$2:$D$120,0)),""))</f>
        <v/>
      </c>
    </row>
    <row r="894" spans="1:10" x14ac:dyDescent="0.3">
      <c r="A894" s="18"/>
      <c r="B894" s="6"/>
      <c r="C894" s="6"/>
      <c r="D894" s="6"/>
      <c r="E894" s="16" t="str">
        <f>IF($B894="","",IFERROR(INDEX(Services!$C$2:$C$120,MATCH($B894,Services!$D$2:$D$120,0)),""))</f>
        <v/>
      </c>
      <c r="F894" s="19"/>
      <c r="G894" s="9" t="str">
        <f t="shared" si="13"/>
        <v/>
      </c>
      <c r="H894" s="15" t="str">
        <f>IF($B894="","",IFERROR(INDEX(Services!$A$2:$A$120,MATCH($B894,Services!$D$2:$D$120,0)),""))</f>
        <v/>
      </c>
      <c r="I894" s="19"/>
      <c r="J894" s="15" t="str">
        <f>IF($B894="","",IFERROR(INDEX(Services!$E$2:$E$120,MATCH($B894,Services!$D$2:$D$120,0)),""))</f>
        <v/>
      </c>
    </row>
    <row r="895" spans="1:10" x14ac:dyDescent="0.3">
      <c r="A895" s="18"/>
      <c r="B895" s="6"/>
      <c r="C895" s="6"/>
      <c r="D895" s="6"/>
      <c r="E895" s="16" t="str">
        <f>IF($B895="","",IFERROR(INDEX(Services!$C$2:$C$120,MATCH($B895,Services!$D$2:$D$120,0)),""))</f>
        <v/>
      </c>
      <c r="F895" s="19"/>
      <c r="G895" s="9" t="str">
        <f t="shared" si="13"/>
        <v/>
      </c>
      <c r="H895" s="15" t="str">
        <f>IF($B895="","",IFERROR(INDEX(Services!$A$2:$A$120,MATCH($B895,Services!$D$2:$D$120,0)),""))</f>
        <v/>
      </c>
      <c r="I895" s="19"/>
      <c r="J895" s="15" t="str">
        <f>IF($B895="","",IFERROR(INDEX(Services!$E$2:$E$120,MATCH($B895,Services!$D$2:$D$120,0)),""))</f>
        <v/>
      </c>
    </row>
    <row r="896" spans="1:10" x14ac:dyDescent="0.3">
      <c r="A896" s="18"/>
      <c r="B896" s="6"/>
      <c r="C896" s="6"/>
      <c r="D896" s="6"/>
      <c r="E896" s="16" t="str">
        <f>IF($B896="","",IFERROR(INDEX(Services!$C$2:$C$120,MATCH($B896,Services!$D$2:$D$120,0)),""))</f>
        <v/>
      </c>
      <c r="F896" s="19"/>
      <c r="G896" s="9" t="str">
        <f t="shared" si="13"/>
        <v/>
      </c>
      <c r="H896" s="15" t="str">
        <f>IF($B896="","",IFERROR(INDEX(Services!$A$2:$A$120,MATCH($B896,Services!$D$2:$D$120,0)),""))</f>
        <v/>
      </c>
      <c r="I896" s="19"/>
      <c r="J896" s="15" t="str">
        <f>IF($B896="","",IFERROR(INDEX(Services!$E$2:$E$120,MATCH($B896,Services!$D$2:$D$120,0)),""))</f>
        <v/>
      </c>
    </row>
    <row r="897" spans="1:10" x14ac:dyDescent="0.3">
      <c r="A897" s="18"/>
      <c r="B897" s="6"/>
      <c r="C897" s="6"/>
      <c r="D897" s="6"/>
      <c r="E897" s="16" t="str">
        <f>IF($B897="","",IFERROR(INDEX(Services!$C$2:$C$120,MATCH($B897,Services!$D$2:$D$120,0)),""))</f>
        <v/>
      </c>
      <c r="F897" s="19"/>
      <c r="G897" s="9" t="str">
        <f t="shared" si="13"/>
        <v/>
      </c>
      <c r="H897" s="15" t="str">
        <f>IF($B897="","",IFERROR(INDEX(Services!$A$2:$A$120,MATCH($B897,Services!$D$2:$D$120,0)),""))</f>
        <v/>
      </c>
      <c r="I897" s="19"/>
      <c r="J897" s="15" t="str">
        <f>IF($B897="","",IFERROR(INDEX(Services!$E$2:$E$120,MATCH($B897,Services!$D$2:$D$120,0)),""))</f>
        <v/>
      </c>
    </row>
    <row r="898" spans="1:10" x14ac:dyDescent="0.3">
      <c r="A898" s="18"/>
      <c r="B898" s="6"/>
      <c r="C898" s="6"/>
      <c r="D898" s="6"/>
      <c r="E898" s="16" t="str">
        <f>IF($B898="","",IFERROR(INDEX(Services!$C$2:$C$120,MATCH($B898,Services!$D$2:$D$120,0)),""))</f>
        <v/>
      </c>
      <c r="F898" s="19"/>
      <c r="G898" s="9" t="str">
        <f t="shared" ref="G898:G961" si="14">IF(OR($B898="",NOT(ISNUMBER($E898))),"",$E898-IF($F898="",0,$F898))</f>
        <v/>
      </c>
      <c r="H898" s="15" t="str">
        <f>IF($B898="","",IFERROR(INDEX(Services!$A$2:$A$120,MATCH($B898,Services!$D$2:$D$120,0)),""))</f>
        <v/>
      </c>
      <c r="I898" s="19"/>
      <c r="J898" s="15" t="str">
        <f>IF($B898="","",IFERROR(INDEX(Services!$E$2:$E$120,MATCH($B898,Services!$D$2:$D$120,0)),""))</f>
        <v/>
      </c>
    </row>
    <row r="899" spans="1:10" x14ac:dyDescent="0.3">
      <c r="A899" s="18"/>
      <c r="B899" s="6"/>
      <c r="C899" s="6"/>
      <c r="D899" s="6"/>
      <c r="E899" s="16" t="str">
        <f>IF($B899="","",IFERROR(INDEX(Services!$C$2:$C$120,MATCH($B899,Services!$D$2:$D$120,0)),""))</f>
        <v/>
      </c>
      <c r="F899" s="19"/>
      <c r="G899" s="9" t="str">
        <f t="shared" si="14"/>
        <v/>
      </c>
      <c r="H899" s="15" t="str">
        <f>IF($B899="","",IFERROR(INDEX(Services!$A$2:$A$120,MATCH($B899,Services!$D$2:$D$120,0)),""))</f>
        <v/>
      </c>
      <c r="I899" s="19"/>
      <c r="J899" s="15" t="str">
        <f>IF($B899="","",IFERROR(INDEX(Services!$E$2:$E$120,MATCH($B899,Services!$D$2:$D$120,0)),""))</f>
        <v/>
      </c>
    </row>
    <row r="900" spans="1:10" x14ac:dyDescent="0.3">
      <c r="A900" s="18"/>
      <c r="B900" s="6"/>
      <c r="C900" s="6"/>
      <c r="D900" s="6"/>
      <c r="E900" s="16" t="str">
        <f>IF($B900="","",IFERROR(INDEX(Services!$C$2:$C$120,MATCH($B900,Services!$D$2:$D$120,0)),""))</f>
        <v/>
      </c>
      <c r="F900" s="19"/>
      <c r="G900" s="9" t="str">
        <f t="shared" si="14"/>
        <v/>
      </c>
      <c r="H900" s="15" t="str">
        <f>IF($B900="","",IFERROR(INDEX(Services!$A$2:$A$120,MATCH($B900,Services!$D$2:$D$120,0)),""))</f>
        <v/>
      </c>
      <c r="I900" s="19"/>
      <c r="J900" s="15" t="str">
        <f>IF($B900="","",IFERROR(INDEX(Services!$E$2:$E$120,MATCH($B900,Services!$D$2:$D$120,0)),""))</f>
        <v/>
      </c>
    </row>
    <row r="901" spans="1:10" x14ac:dyDescent="0.3">
      <c r="A901" s="18"/>
      <c r="B901" s="6"/>
      <c r="C901" s="6"/>
      <c r="D901" s="6"/>
      <c r="E901" s="16" t="str">
        <f>IF($B901="","",IFERROR(INDEX(Services!$C$2:$C$120,MATCH($B901,Services!$D$2:$D$120,0)),""))</f>
        <v/>
      </c>
      <c r="F901" s="19"/>
      <c r="G901" s="9" t="str">
        <f t="shared" si="14"/>
        <v/>
      </c>
      <c r="H901" s="15" t="str">
        <f>IF($B901="","",IFERROR(INDEX(Services!$A$2:$A$120,MATCH($B901,Services!$D$2:$D$120,0)),""))</f>
        <v/>
      </c>
      <c r="I901" s="19"/>
      <c r="J901" s="15" t="str">
        <f>IF($B901="","",IFERROR(INDEX(Services!$E$2:$E$120,MATCH($B901,Services!$D$2:$D$120,0)),""))</f>
        <v/>
      </c>
    </row>
    <row r="902" spans="1:10" x14ac:dyDescent="0.3">
      <c r="A902" s="18"/>
      <c r="B902" s="6"/>
      <c r="C902" s="6"/>
      <c r="D902" s="6"/>
      <c r="E902" s="16" t="str">
        <f>IF($B902="","",IFERROR(INDEX(Services!$C$2:$C$120,MATCH($B902,Services!$D$2:$D$120,0)),""))</f>
        <v/>
      </c>
      <c r="F902" s="19"/>
      <c r="G902" s="9" t="str">
        <f t="shared" si="14"/>
        <v/>
      </c>
      <c r="H902" s="15" t="str">
        <f>IF($B902="","",IFERROR(INDEX(Services!$A$2:$A$120,MATCH($B902,Services!$D$2:$D$120,0)),""))</f>
        <v/>
      </c>
      <c r="I902" s="19"/>
      <c r="J902" s="15" t="str">
        <f>IF($B902="","",IFERROR(INDEX(Services!$E$2:$E$120,MATCH($B902,Services!$D$2:$D$120,0)),""))</f>
        <v/>
      </c>
    </row>
    <row r="903" spans="1:10" x14ac:dyDescent="0.3">
      <c r="A903" s="18"/>
      <c r="B903" s="6"/>
      <c r="C903" s="6"/>
      <c r="D903" s="6"/>
      <c r="E903" s="16" t="str">
        <f>IF($B903="","",IFERROR(INDEX(Services!$C$2:$C$120,MATCH($B903,Services!$D$2:$D$120,0)),""))</f>
        <v/>
      </c>
      <c r="F903" s="19"/>
      <c r="G903" s="9" t="str">
        <f t="shared" si="14"/>
        <v/>
      </c>
      <c r="H903" s="15" t="str">
        <f>IF($B903="","",IFERROR(INDEX(Services!$A$2:$A$120,MATCH($B903,Services!$D$2:$D$120,0)),""))</f>
        <v/>
      </c>
      <c r="I903" s="19"/>
      <c r="J903" s="15" t="str">
        <f>IF($B903="","",IFERROR(INDEX(Services!$E$2:$E$120,MATCH($B903,Services!$D$2:$D$120,0)),""))</f>
        <v/>
      </c>
    </row>
    <row r="904" spans="1:10" x14ac:dyDescent="0.3">
      <c r="A904" s="18"/>
      <c r="B904" s="6"/>
      <c r="C904" s="6"/>
      <c r="D904" s="6"/>
      <c r="E904" s="16" t="str">
        <f>IF($B904="","",IFERROR(INDEX(Services!$C$2:$C$120,MATCH($B904,Services!$D$2:$D$120,0)),""))</f>
        <v/>
      </c>
      <c r="F904" s="19"/>
      <c r="G904" s="9" t="str">
        <f t="shared" si="14"/>
        <v/>
      </c>
      <c r="H904" s="15" t="str">
        <f>IF($B904="","",IFERROR(INDEX(Services!$A$2:$A$120,MATCH($B904,Services!$D$2:$D$120,0)),""))</f>
        <v/>
      </c>
      <c r="I904" s="19"/>
      <c r="J904" s="15" t="str">
        <f>IF($B904="","",IFERROR(INDEX(Services!$E$2:$E$120,MATCH($B904,Services!$D$2:$D$120,0)),""))</f>
        <v/>
      </c>
    </row>
    <row r="905" spans="1:10" x14ac:dyDescent="0.3">
      <c r="A905" s="18"/>
      <c r="B905" s="6"/>
      <c r="C905" s="6"/>
      <c r="D905" s="6"/>
      <c r="E905" s="16" t="str">
        <f>IF($B905="","",IFERROR(INDEX(Services!$C$2:$C$120,MATCH($B905,Services!$D$2:$D$120,0)),""))</f>
        <v/>
      </c>
      <c r="F905" s="19"/>
      <c r="G905" s="9" t="str">
        <f t="shared" si="14"/>
        <v/>
      </c>
      <c r="H905" s="15" t="str">
        <f>IF($B905="","",IFERROR(INDEX(Services!$A$2:$A$120,MATCH($B905,Services!$D$2:$D$120,0)),""))</f>
        <v/>
      </c>
      <c r="I905" s="19"/>
      <c r="J905" s="15" t="str">
        <f>IF($B905="","",IFERROR(INDEX(Services!$E$2:$E$120,MATCH($B905,Services!$D$2:$D$120,0)),""))</f>
        <v/>
      </c>
    </row>
    <row r="906" spans="1:10" x14ac:dyDescent="0.3">
      <c r="A906" s="18"/>
      <c r="B906" s="6"/>
      <c r="C906" s="6"/>
      <c r="D906" s="6"/>
      <c r="E906" s="16" t="str">
        <f>IF($B906="","",IFERROR(INDEX(Services!$C$2:$C$120,MATCH($B906,Services!$D$2:$D$120,0)),""))</f>
        <v/>
      </c>
      <c r="F906" s="19"/>
      <c r="G906" s="9" t="str">
        <f t="shared" si="14"/>
        <v/>
      </c>
      <c r="H906" s="15" t="str">
        <f>IF($B906="","",IFERROR(INDEX(Services!$A$2:$A$120,MATCH($B906,Services!$D$2:$D$120,0)),""))</f>
        <v/>
      </c>
      <c r="I906" s="19"/>
      <c r="J906" s="15" t="str">
        <f>IF($B906="","",IFERROR(INDEX(Services!$E$2:$E$120,MATCH($B906,Services!$D$2:$D$120,0)),""))</f>
        <v/>
      </c>
    </row>
    <row r="907" spans="1:10" x14ac:dyDescent="0.3">
      <c r="A907" s="18"/>
      <c r="B907" s="6"/>
      <c r="C907" s="6"/>
      <c r="D907" s="6"/>
      <c r="E907" s="16" t="str">
        <f>IF($B907="","",IFERROR(INDEX(Services!$C$2:$C$120,MATCH($B907,Services!$D$2:$D$120,0)),""))</f>
        <v/>
      </c>
      <c r="F907" s="19"/>
      <c r="G907" s="9" t="str">
        <f t="shared" si="14"/>
        <v/>
      </c>
      <c r="H907" s="15" t="str">
        <f>IF($B907="","",IFERROR(INDEX(Services!$A$2:$A$120,MATCH($B907,Services!$D$2:$D$120,0)),""))</f>
        <v/>
      </c>
      <c r="I907" s="19"/>
      <c r="J907" s="15" t="str">
        <f>IF($B907="","",IFERROR(INDEX(Services!$E$2:$E$120,MATCH($B907,Services!$D$2:$D$120,0)),""))</f>
        <v/>
      </c>
    </row>
    <row r="908" spans="1:10" x14ac:dyDescent="0.3">
      <c r="A908" s="18"/>
      <c r="B908" s="6"/>
      <c r="C908" s="6"/>
      <c r="D908" s="6"/>
      <c r="E908" s="16" t="str">
        <f>IF($B908="","",IFERROR(INDEX(Services!$C$2:$C$120,MATCH($B908,Services!$D$2:$D$120,0)),""))</f>
        <v/>
      </c>
      <c r="F908" s="19"/>
      <c r="G908" s="9" t="str">
        <f t="shared" si="14"/>
        <v/>
      </c>
      <c r="H908" s="15" t="str">
        <f>IF($B908="","",IFERROR(INDEX(Services!$A$2:$A$120,MATCH($B908,Services!$D$2:$D$120,0)),""))</f>
        <v/>
      </c>
      <c r="I908" s="19"/>
      <c r="J908" s="15" t="str">
        <f>IF($B908="","",IFERROR(INDEX(Services!$E$2:$E$120,MATCH($B908,Services!$D$2:$D$120,0)),""))</f>
        <v/>
      </c>
    </row>
    <row r="909" spans="1:10" x14ac:dyDescent="0.3">
      <c r="A909" s="18"/>
      <c r="B909" s="6"/>
      <c r="C909" s="6"/>
      <c r="D909" s="6"/>
      <c r="E909" s="16" t="str">
        <f>IF($B909="","",IFERROR(INDEX(Services!$C$2:$C$120,MATCH($B909,Services!$D$2:$D$120,0)),""))</f>
        <v/>
      </c>
      <c r="F909" s="19"/>
      <c r="G909" s="9" t="str">
        <f t="shared" si="14"/>
        <v/>
      </c>
      <c r="H909" s="15" t="str">
        <f>IF($B909="","",IFERROR(INDEX(Services!$A$2:$A$120,MATCH($B909,Services!$D$2:$D$120,0)),""))</f>
        <v/>
      </c>
      <c r="I909" s="19"/>
      <c r="J909" s="15" t="str">
        <f>IF($B909="","",IFERROR(INDEX(Services!$E$2:$E$120,MATCH($B909,Services!$D$2:$D$120,0)),""))</f>
        <v/>
      </c>
    </row>
    <row r="910" spans="1:10" x14ac:dyDescent="0.3">
      <c r="A910" s="18"/>
      <c r="B910" s="6"/>
      <c r="C910" s="6"/>
      <c r="D910" s="6"/>
      <c r="E910" s="16" t="str">
        <f>IF($B910="","",IFERROR(INDEX(Services!$C$2:$C$120,MATCH($B910,Services!$D$2:$D$120,0)),""))</f>
        <v/>
      </c>
      <c r="F910" s="19"/>
      <c r="G910" s="9" t="str">
        <f t="shared" si="14"/>
        <v/>
      </c>
      <c r="H910" s="15" t="str">
        <f>IF($B910="","",IFERROR(INDEX(Services!$A$2:$A$120,MATCH($B910,Services!$D$2:$D$120,0)),""))</f>
        <v/>
      </c>
      <c r="I910" s="19"/>
      <c r="J910" s="15" t="str">
        <f>IF($B910="","",IFERROR(INDEX(Services!$E$2:$E$120,MATCH($B910,Services!$D$2:$D$120,0)),""))</f>
        <v/>
      </c>
    </row>
    <row r="911" spans="1:10" x14ac:dyDescent="0.3">
      <c r="A911" s="18"/>
      <c r="B911" s="6"/>
      <c r="C911" s="6"/>
      <c r="D911" s="6"/>
      <c r="E911" s="16" t="str">
        <f>IF($B911="","",IFERROR(INDEX(Services!$C$2:$C$120,MATCH($B911,Services!$D$2:$D$120,0)),""))</f>
        <v/>
      </c>
      <c r="F911" s="19"/>
      <c r="G911" s="9" t="str">
        <f t="shared" si="14"/>
        <v/>
      </c>
      <c r="H911" s="15" t="str">
        <f>IF($B911="","",IFERROR(INDEX(Services!$A$2:$A$120,MATCH($B911,Services!$D$2:$D$120,0)),""))</f>
        <v/>
      </c>
      <c r="I911" s="19"/>
      <c r="J911" s="15" t="str">
        <f>IF($B911="","",IFERROR(INDEX(Services!$E$2:$E$120,MATCH($B911,Services!$D$2:$D$120,0)),""))</f>
        <v/>
      </c>
    </row>
    <row r="912" spans="1:10" x14ac:dyDescent="0.3">
      <c r="A912" s="18"/>
      <c r="B912" s="6"/>
      <c r="C912" s="6"/>
      <c r="D912" s="6"/>
      <c r="E912" s="16" t="str">
        <f>IF($B912="","",IFERROR(INDEX(Services!$C$2:$C$120,MATCH($B912,Services!$D$2:$D$120,0)),""))</f>
        <v/>
      </c>
      <c r="F912" s="19"/>
      <c r="G912" s="9" t="str">
        <f t="shared" si="14"/>
        <v/>
      </c>
      <c r="H912" s="15" t="str">
        <f>IF($B912="","",IFERROR(INDEX(Services!$A$2:$A$120,MATCH($B912,Services!$D$2:$D$120,0)),""))</f>
        <v/>
      </c>
      <c r="I912" s="19"/>
      <c r="J912" s="15" t="str">
        <f>IF($B912="","",IFERROR(INDEX(Services!$E$2:$E$120,MATCH($B912,Services!$D$2:$D$120,0)),""))</f>
        <v/>
      </c>
    </row>
    <row r="913" spans="1:10" x14ac:dyDescent="0.3">
      <c r="A913" s="18"/>
      <c r="B913" s="6"/>
      <c r="C913" s="6"/>
      <c r="D913" s="6"/>
      <c r="E913" s="16" t="str">
        <f>IF($B913="","",IFERROR(INDEX(Services!$C$2:$C$120,MATCH($B913,Services!$D$2:$D$120,0)),""))</f>
        <v/>
      </c>
      <c r="F913" s="19"/>
      <c r="G913" s="9" t="str">
        <f t="shared" si="14"/>
        <v/>
      </c>
      <c r="H913" s="15" t="str">
        <f>IF($B913="","",IFERROR(INDEX(Services!$A$2:$A$120,MATCH($B913,Services!$D$2:$D$120,0)),""))</f>
        <v/>
      </c>
      <c r="I913" s="19"/>
      <c r="J913" s="15" t="str">
        <f>IF($B913="","",IFERROR(INDEX(Services!$E$2:$E$120,MATCH($B913,Services!$D$2:$D$120,0)),""))</f>
        <v/>
      </c>
    </row>
    <row r="914" spans="1:10" x14ac:dyDescent="0.3">
      <c r="A914" s="18"/>
      <c r="B914" s="6"/>
      <c r="C914" s="6"/>
      <c r="D914" s="6"/>
      <c r="E914" s="16" t="str">
        <f>IF($B914="","",IFERROR(INDEX(Services!$C$2:$C$120,MATCH($B914,Services!$D$2:$D$120,0)),""))</f>
        <v/>
      </c>
      <c r="F914" s="19"/>
      <c r="G914" s="9" t="str">
        <f t="shared" si="14"/>
        <v/>
      </c>
      <c r="H914" s="15" t="str">
        <f>IF($B914="","",IFERROR(INDEX(Services!$A$2:$A$120,MATCH($B914,Services!$D$2:$D$120,0)),""))</f>
        <v/>
      </c>
      <c r="I914" s="19"/>
      <c r="J914" s="15" t="str">
        <f>IF($B914="","",IFERROR(INDEX(Services!$E$2:$E$120,MATCH($B914,Services!$D$2:$D$120,0)),""))</f>
        <v/>
      </c>
    </row>
    <row r="915" spans="1:10" x14ac:dyDescent="0.3">
      <c r="A915" s="18"/>
      <c r="B915" s="6"/>
      <c r="C915" s="6"/>
      <c r="D915" s="6"/>
      <c r="E915" s="16" t="str">
        <f>IF($B915="","",IFERROR(INDEX(Services!$C$2:$C$120,MATCH($B915,Services!$D$2:$D$120,0)),""))</f>
        <v/>
      </c>
      <c r="F915" s="19"/>
      <c r="G915" s="9" t="str">
        <f t="shared" si="14"/>
        <v/>
      </c>
      <c r="H915" s="15" t="str">
        <f>IF($B915="","",IFERROR(INDEX(Services!$A$2:$A$120,MATCH($B915,Services!$D$2:$D$120,0)),""))</f>
        <v/>
      </c>
      <c r="I915" s="19"/>
      <c r="J915" s="15" t="str">
        <f>IF($B915="","",IFERROR(INDEX(Services!$E$2:$E$120,MATCH($B915,Services!$D$2:$D$120,0)),""))</f>
        <v/>
      </c>
    </row>
    <row r="916" spans="1:10" x14ac:dyDescent="0.3">
      <c r="A916" s="18"/>
      <c r="B916" s="6"/>
      <c r="C916" s="6"/>
      <c r="D916" s="6"/>
      <c r="E916" s="16" t="str">
        <f>IF($B916="","",IFERROR(INDEX(Services!$C$2:$C$120,MATCH($B916,Services!$D$2:$D$120,0)),""))</f>
        <v/>
      </c>
      <c r="F916" s="19"/>
      <c r="G916" s="9" t="str">
        <f t="shared" si="14"/>
        <v/>
      </c>
      <c r="H916" s="15" t="str">
        <f>IF($B916="","",IFERROR(INDEX(Services!$A$2:$A$120,MATCH($B916,Services!$D$2:$D$120,0)),""))</f>
        <v/>
      </c>
      <c r="I916" s="19"/>
      <c r="J916" s="15" t="str">
        <f>IF($B916="","",IFERROR(INDEX(Services!$E$2:$E$120,MATCH($B916,Services!$D$2:$D$120,0)),""))</f>
        <v/>
      </c>
    </row>
    <row r="917" spans="1:10" x14ac:dyDescent="0.3">
      <c r="A917" s="18"/>
      <c r="B917" s="6"/>
      <c r="C917" s="6"/>
      <c r="D917" s="6"/>
      <c r="E917" s="16" t="str">
        <f>IF($B917="","",IFERROR(INDEX(Services!$C$2:$C$120,MATCH($B917,Services!$D$2:$D$120,0)),""))</f>
        <v/>
      </c>
      <c r="F917" s="19"/>
      <c r="G917" s="9" t="str">
        <f t="shared" si="14"/>
        <v/>
      </c>
      <c r="H917" s="15" t="str">
        <f>IF($B917="","",IFERROR(INDEX(Services!$A$2:$A$120,MATCH($B917,Services!$D$2:$D$120,0)),""))</f>
        <v/>
      </c>
      <c r="I917" s="19"/>
      <c r="J917" s="15" t="str">
        <f>IF($B917="","",IFERROR(INDEX(Services!$E$2:$E$120,MATCH($B917,Services!$D$2:$D$120,0)),""))</f>
        <v/>
      </c>
    </row>
    <row r="918" spans="1:10" x14ac:dyDescent="0.3">
      <c r="A918" s="18"/>
      <c r="B918" s="6"/>
      <c r="C918" s="6"/>
      <c r="D918" s="6"/>
      <c r="E918" s="16" t="str">
        <f>IF($B918="","",IFERROR(INDEX(Services!$C$2:$C$120,MATCH($B918,Services!$D$2:$D$120,0)),""))</f>
        <v/>
      </c>
      <c r="F918" s="19"/>
      <c r="G918" s="9" t="str">
        <f t="shared" si="14"/>
        <v/>
      </c>
      <c r="H918" s="15" t="str">
        <f>IF($B918="","",IFERROR(INDEX(Services!$A$2:$A$120,MATCH($B918,Services!$D$2:$D$120,0)),""))</f>
        <v/>
      </c>
      <c r="I918" s="19"/>
      <c r="J918" s="15" t="str">
        <f>IF($B918="","",IFERROR(INDEX(Services!$E$2:$E$120,MATCH($B918,Services!$D$2:$D$120,0)),""))</f>
        <v/>
      </c>
    </row>
    <row r="919" spans="1:10" x14ac:dyDescent="0.3">
      <c r="A919" s="18"/>
      <c r="B919" s="6"/>
      <c r="C919" s="6"/>
      <c r="D919" s="6"/>
      <c r="E919" s="16" t="str">
        <f>IF($B919="","",IFERROR(INDEX(Services!$C$2:$C$120,MATCH($B919,Services!$D$2:$D$120,0)),""))</f>
        <v/>
      </c>
      <c r="F919" s="19"/>
      <c r="G919" s="9" t="str">
        <f t="shared" si="14"/>
        <v/>
      </c>
      <c r="H919" s="15" t="str">
        <f>IF($B919="","",IFERROR(INDEX(Services!$A$2:$A$120,MATCH($B919,Services!$D$2:$D$120,0)),""))</f>
        <v/>
      </c>
      <c r="I919" s="19"/>
      <c r="J919" s="15" t="str">
        <f>IF($B919="","",IFERROR(INDEX(Services!$E$2:$E$120,MATCH($B919,Services!$D$2:$D$120,0)),""))</f>
        <v/>
      </c>
    </row>
    <row r="920" spans="1:10" x14ac:dyDescent="0.3">
      <c r="A920" s="18"/>
      <c r="B920" s="6"/>
      <c r="C920" s="6"/>
      <c r="D920" s="6"/>
      <c r="E920" s="16" t="str">
        <f>IF($B920="","",IFERROR(INDEX(Services!$C$2:$C$120,MATCH($B920,Services!$D$2:$D$120,0)),""))</f>
        <v/>
      </c>
      <c r="F920" s="19"/>
      <c r="G920" s="9" t="str">
        <f t="shared" si="14"/>
        <v/>
      </c>
      <c r="H920" s="15" t="str">
        <f>IF($B920="","",IFERROR(INDEX(Services!$A$2:$A$120,MATCH($B920,Services!$D$2:$D$120,0)),""))</f>
        <v/>
      </c>
      <c r="I920" s="19"/>
      <c r="J920" s="15" t="str">
        <f>IF($B920="","",IFERROR(INDEX(Services!$E$2:$E$120,MATCH($B920,Services!$D$2:$D$120,0)),""))</f>
        <v/>
      </c>
    </row>
    <row r="921" spans="1:10" x14ac:dyDescent="0.3">
      <c r="A921" s="18"/>
      <c r="B921" s="6"/>
      <c r="C921" s="6"/>
      <c r="D921" s="6"/>
      <c r="E921" s="16" t="str">
        <f>IF($B921="","",IFERROR(INDEX(Services!$C$2:$C$120,MATCH($B921,Services!$D$2:$D$120,0)),""))</f>
        <v/>
      </c>
      <c r="F921" s="19"/>
      <c r="G921" s="9" t="str">
        <f t="shared" si="14"/>
        <v/>
      </c>
      <c r="H921" s="15" t="str">
        <f>IF($B921="","",IFERROR(INDEX(Services!$A$2:$A$120,MATCH($B921,Services!$D$2:$D$120,0)),""))</f>
        <v/>
      </c>
      <c r="I921" s="19"/>
      <c r="J921" s="15" t="str">
        <f>IF($B921="","",IFERROR(INDEX(Services!$E$2:$E$120,MATCH($B921,Services!$D$2:$D$120,0)),""))</f>
        <v/>
      </c>
    </row>
    <row r="922" spans="1:10" x14ac:dyDescent="0.3">
      <c r="A922" s="18"/>
      <c r="B922" s="6"/>
      <c r="C922" s="6"/>
      <c r="D922" s="6"/>
      <c r="E922" s="16" t="str">
        <f>IF($B922="","",IFERROR(INDEX(Services!$C$2:$C$120,MATCH($B922,Services!$D$2:$D$120,0)),""))</f>
        <v/>
      </c>
      <c r="F922" s="19"/>
      <c r="G922" s="9" t="str">
        <f t="shared" si="14"/>
        <v/>
      </c>
      <c r="H922" s="15" t="str">
        <f>IF($B922="","",IFERROR(INDEX(Services!$A$2:$A$120,MATCH($B922,Services!$D$2:$D$120,0)),""))</f>
        <v/>
      </c>
      <c r="I922" s="19"/>
      <c r="J922" s="15" t="str">
        <f>IF($B922="","",IFERROR(INDEX(Services!$E$2:$E$120,MATCH($B922,Services!$D$2:$D$120,0)),""))</f>
        <v/>
      </c>
    </row>
    <row r="923" spans="1:10" x14ac:dyDescent="0.3">
      <c r="A923" s="18"/>
      <c r="B923" s="6"/>
      <c r="C923" s="6"/>
      <c r="D923" s="6"/>
      <c r="E923" s="16" t="str">
        <f>IF($B923="","",IFERROR(INDEX(Services!$C$2:$C$120,MATCH($B923,Services!$D$2:$D$120,0)),""))</f>
        <v/>
      </c>
      <c r="F923" s="19"/>
      <c r="G923" s="9" t="str">
        <f t="shared" si="14"/>
        <v/>
      </c>
      <c r="H923" s="15" t="str">
        <f>IF($B923="","",IFERROR(INDEX(Services!$A$2:$A$120,MATCH($B923,Services!$D$2:$D$120,0)),""))</f>
        <v/>
      </c>
      <c r="I923" s="19"/>
      <c r="J923" s="15" t="str">
        <f>IF($B923="","",IFERROR(INDEX(Services!$E$2:$E$120,MATCH($B923,Services!$D$2:$D$120,0)),""))</f>
        <v/>
      </c>
    </row>
    <row r="924" spans="1:10" x14ac:dyDescent="0.3">
      <c r="A924" s="18"/>
      <c r="B924" s="6"/>
      <c r="C924" s="6"/>
      <c r="D924" s="6"/>
      <c r="E924" s="16" t="str">
        <f>IF($B924="","",IFERROR(INDEX(Services!$C$2:$C$120,MATCH($B924,Services!$D$2:$D$120,0)),""))</f>
        <v/>
      </c>
      <c r="F924" s="19"/>
      <c r="G924" s="9" t="str">
        <f t="shared" si="14"/>
        <v/>
      </c>
      <c r="H924" s="15" t="str">
        <f>IF($B924="","",IFERROR(INDEX(Services!$A$2:$A$120,MATCH($B924,Services!$D$2:$D$120,0)),""))</f>
        <v/>
      </c>
      <c r="I924" s="19"/>
      <c r="J924" s="15" t="str">
        <f>IF($B924="","",IFERROR(INDEX(Services!$E$2:$E$120,MATCH($B924,Services!$D$2:$D$120,0)),""))</f>
        <v/>
      </c>
    </row>
    <row r="925" spans="1:10" x14ac:dyDescent="0.3">
      <c r="A925" s="18"/>
      <c r="B925" s="6"/>
      <c r="C925" s="6"/>
      <c r="D925" s="6"/>
      <c r="E925" s="16" t="str">
        <f>IF($B925="","",IFERROR(INDEX(Services!$C$2:$C$120,MATCH($B925,Services!$D$2:$D$120,0)),""))</f>
        <v/>
      </c>
      <c r="F925" s="19"/>
      <c r="G925" s="9" t="str">
        <f t="shared" si="14"/>
        <v/>
      </c>
      <c r="H925" s="15" t="str">
        <f>IF($B925="","",IFERROR(INDEX(Services!$A$2:$A$120,MATCH($B925,Services!$D$2:$D$120,0)),""))</f>
        <v/>
      </c>
      <c r="I925" s="19"/>
      <c r="J925" s="15" t="str">
        <f>IF($B925="","",IFERROR(INDEX(Services!$E$2:$E$120,MATCH($B925,Services!$D$2:$D$120,0)),""))</f>
        <v/>
      </c>
    </row>
    <row r="926" spans="1:10" x14ac:dyDescent="0.3">
      <c r="A926" s="18"/>
      <c r="B926" s="6"/>
      <c r="C926" s="6"/>
      <c r="D926" s="6"/>
      <c r="E926" s="16" t="str">
        <f>IF($B926="","",IFERROR(INDEX(Services!$C$2:$C$120,MATCH($B926,Services!$D$2:$D$120,0)),""))</f>
        <v/>
      </c>
      <c r="F926" s="19"/>
      <c r="G926" s="9" t="str">
        <f t="shared" si="14"/>
        <v/>
      </c>
      <c r="H926" s="15" t="str">
        <f>IF($B926="","",IFERROR(INDEX(Services!$A$2:$A$120,MATCH($B926,Services!$D$2:$D$120,0)),""))</f>
        <v/>
      </c>
      <c r="I926" s="19"/>
      <c r="J926" s="15" t="str">
        <f>IF($B926="","",IFERROR(INDEX(Services!$E$2:$E$120,MATCH($B926,Services!$D$2:$D$120,0)),""))</f>
        <v/>
      </c>
    </row>
    <row r="927" spans="1:10" x14ac:dyDescent="0.3">
      <c r="A927" s="18"/>
      <c r="B927" s="6"/>
      <c r="C927" s="6"/>
      <c r="D927" s="6"/>
      <c r="E927" s="16" t="str">
        <f>IF($B927="","",IFERROR(INDEX(Services!$C$2:$C$120,MATCH($B927,Services!$D$2:$D$120,0)),""))</f>
        <v/>
      </c>
      <c r="F927" s="19"/>
      <c r="G927" s="9" t="str">
        <f t="shared" si="14"/>
        <v/>
      </c>
      <c r="H927" s="15" t="str">
        <f>IF($B927="","",IFERROR(INDEX(Services!$A$2:$A$120,MATCH($B927,Services!$D$2:$D$120,0)),""))</f>
        <v/>
      </c>
      <c r="I927" s="19"/>
      <c r="J927" s="15" t="str">
        <f>IF($B927="","",IFERROR(INDEX(Services!$E$2:$E$120,MATCH($B927,Services!$D$2:$D$120,0)),""))</f>
        <v/>
      </c>
    </row>
    <row r="928" spans="1:10" x14ac:dyDescent="0.3">
      <c r="A928" s="18"/>
      <c r="B928" s="6"/>
      <c r="C928" s="6"/>
      <c r="D928" s="6"/>
      <c r="E928" s="16" t="str">
        <f>IF($B928="","",IFERROR(INDEX(Services!$C$2:$C$120,MATCH($B928,Services!$D$2:$D$120,0)),""))</f>
        <v/>
      </c>
      <c r="F928" s="19"/>
      <c r="G928" s="9" t="str">
        <f t="shared" si="14"/>
        <v/>
      </c>
      <c r="H928" s="15" t="str">
        <f>IF($B928="","",IFERROR(INDEX(Services!$A$2:$A$120,MATCH($B928,Services!$D$2:$D$120,0)),""))</f>
        <v/>
      </c>
      <c r="I928" s="19"/>
      <c r="J928" s="15" t="str">
        <f>IF($B928="","",IFERROR(INDEX(Services!$E$2:$E$120,MATCH($B928,Services!$D$2:$D$120,0)),""))</f>
        <v/>
      </c>
    </row>
    <row r="929" spans="1:10" x14ac:dyDescent="0.3">
      <c r="A929" s="18"/>
      <c r="B929" s="6"/>
      <c r="C929" s="6"/>
      <c r="D929" s="6"/>
      <c r="E929" s="16" t="str">
        <f>IF($B929="","",IFERROR(INDEX(Services!$C$2:$C$120,MATCH($B929,Services!$D$2:$D$120,0)),""))</f>
        <v/>
      </c>
      <c r="F929" s="19"/>
      <c r="G929" s="9" t="str">
        <f t="shared" si="14"/>
        <v/>
      </c>
      <c r="H929" s="15" t="str">
        <f>IF($B929="","",IFERROR(INDEX(Services!$A$2:$A$120,MATCH($B929,Services!$D$2:$D$120,0)),""))</f>
        <v/>
      </c>
      <c r="I929" s="19"/>
      <c r="J929" s="15" t="str">
        <f>IF($B929="","",IFERROR(INDEX(Services!$E$2:$E$120,MATCH($B929,Services!$D$2:$D$120,0)),""))</f>
        <v/>
      </c>
    </row>
    <row r="930" spans="1:10" x14ac:dyDescent="0.3">
      <c r="A930" s="18"/>
      <c r="B930" s="6"/>
      <c r="C930" s="6"/>
      <c r="D930" s="6"/>
      <c r="E930" s="16" t="str">
        <f>IF($B930="","",IFERROR(INDEX(Services!$C$2:$C$120,MATCH($B930,Services!$D$2:$D$120,0)),""))</f>
        <v/>
      </c>
      <c r="F930" s="19"/>
      <c r="G930" s="9" t="str">
        <f t="shared" si="14"/>
        <v/>
      </c>
      <c r="H930" s="15" t="str">
        <f>IF($B930="","",IFERROR(INDEX(Services!$A$2:$A$120,MATCH($B930,Services!$D$2:$D$120,0)),""))</f>
        <v/>
      </c>
      <c r="I930" s="19"/>
      <c r="J930" s="15" t="str">
        <f>IF($B930="","",IFERROR(INDEX(Services!$E$2:$E$120,MATCH($B930,Services!$D$2:$D$120,0)),""))</f>
        <v/>
      </c>
    </row>
    <row r="931" spans="1:10" x14ac:dyDescent="0.3">
      <c r="A931" s="18"/>
      <c r="B931" s="6"/>
      <c r="C931" s="6"/>
      <c r="D931" s="6"/>
      <c r="E931" s="16" t="str">
        <f>IF($B931="","",IFERROR(INDEX(Services!$C$2:$C$120,MATCH($B931,Services!$D$2:$D$120,0)),""))</f>
        <v/>
      </c>
      <c r="F931" s="19"/>
      <c r="G931" s="9" t="str">
        <f t="shared" si="14"/>
        <v/>
      </c>
      <c r="H931" s="15" t="str">
        <f>IF($B931="","",IFERROR(INDEX(Services!$A$2:$A$120,MATCH($B931,Services!$D$2:$D$120,0)),""))</f>
        <v/>
      </c>
      <c r="I931" s="19"/>
      <c r="J931" s="15" t="str">
        <f>IF($B931="","",IFERROR(INDEX(Services!$E$2:$E$120,MATCH($B931,Services!$D$2:$D$120,0)),""))</f>
        <v/>
      </c>
    </row>
    <row r="932" spans="1:10" x14ac:dyDescent="0.3">
      <c r="A932" s="18"/>
      <c r="B932" s="6"/>
      <c r="C932" s="6"/>
      <c r="D932" s="6"/>
      <c r="E932" s="16" t="str">
        <f>IF($B932="","",IFERROR(INDEX(Services!$C$2:$C$120,MATCH($B932,Services!$D$2:$D$120,0)),""))</f>
        <v/>
      </c>
      <c r="F932" s="19"/>
      <c r="G932" s="9" t="str">
        <f t="shared" si="14"/>
        <v/>
      </c>
      <c r="H932" s="15" t="str">
        <f>IF($B932="","",IFERROR(INDEX(Services!$A$2:$A$120,MATCH($B932,Services!$D$2:$D$120,0)),""))</f>
        <v/>
      </c>
      <c r="I932" s="19"/>
      <c r="J932" s="15" t="str">
        <f>IF($B932="","",IFERROR(INDEX(Services!$E$2:$E$120,MATCH($B932,Services!$D$2:$D$120,0)),""))</f>
        <v/>
      </c>
    </row>
    <row r="933" spans="1:10" x14ac:dyDescent="0.3">
      <c r="A933" s="18"/>
      <c r="B933" s="6"/>
      <c r="C933" s="6"/>
      <c r="D933" s="6"/>
      <c r="E933" s="16" t="str">
        <f>IF($B933="","",IFERROR(INDEX(Services!$C$2:$C$120,MATCH($B933,Services!$D$2:$D$120,0)),""))</f>
        <v/>
      </c>
      <c r="F933" s="19"/>
      <c r="G933" s="9" t="str">
        <f t="shared" si="14"/>
        <v/>
      </c>
      <c r="H933" s="15" t="str">
        <f>IF($B933="","",IFERROR(INDEX(Services!$A$2:$A$120,MATCH($B933,Services!$D$2:$D$120,0)),""))</f>
        <v/>
      </c>
      <c r="I933" s="19"/>
      <c r="J933" s="15" t="str">
        <f>IF($B933="","",IFERROR(INDEX(Services!$E$2:$E$120,MATCH($B933,Services!$D$2:$D$120,0)),""))</f>
        <v/>
      </c>
    </row>
    <row r="934" spans="1:10" x14ac:dyDescent="0.3">
      <c r="A934" s="18"/>
      <c r="B934" s="6"/>
      <c r="C934" s="6"/>
      <c r="D934" s="6"/>
      <c r="E934" s="16" t="str">
        <f>IF($B934="","",IFERROR(INDEX(Services!$C$2:$C$120,MATCH($B934,Services!$D$2:$D$120,0)),""))</f>
        <v/>
      </c>
      <c r="F934" s="19"/>
      <c r="G934" s="9" t="str">
        <f t="shared" si="14"/>
        <v/>
      </c>
      <c r="H934" s="15" t="str">
        <f>IF($B934="","",IFERROR(INDEX(Services!$A$2:$A$120,MATCH($B934,Services!$D$2:$D$120,0)),""))</f>
        <v/>
      </c>
      <c r="I934" s="19"/>
      <c r="J934" s="15" t="str">
        <f>IF($B934="","",IFERROR(INDEX(Services!$E$2:$E$120,MATCH($B934,Services!$D$2:$D$120,0)),""))</f>
        <v/>
      </c>
    </row>
    <row r="935" spans="1:10" x14ac:dyDescent="0.3">
      <c r="A935" s="18"/>
      <c r="B935" s="6"/>
      <c r="C935" s="6"/>
      <c r="D935" s="6"/>
      <c r="E935" s="16" t="str">
        <f>IF($B935="","",IFERROR(INDEX(Services!$C$2:$C$120,MATCH($B935,Services!$D$2:$D$120,0)),""))</f>
        <v/>
      </c>
      <c r="F935" s="19"/>
      <c r="G935" s="9" t="str">
        <f t="shared" si="14"/>
        <v/>
      </c>
      <c r="H935" s="15" t="str">
        <f>IF($B935="","",IFERROR(INDEX(Services!$A$2:$A$120,MATCH($B935,Services!$D$2:$D$120,0)),""))</f>
        <v/>
      </c>
      <c r="I935" s="19"/>
      <c r="J935" s="15" t="str">
        <f>IF($B935="","",IFERROR(INDEX(Services!$E$2:$E$120,MATCH($B935,Services!$D$2:$D$120,0)),""))</f>
        <v/>
      </c>
    </row>
    <row r="936" spans="1:10" x14ac:dyDescent="0.3">
      <c r="A936" s="18"/>
      <c r="B936" s="6"/>
      <c r="C936" s="6"/>
      <c r="D936" s="6"/>
      <c r="E936" s="16" t="str">
        <f>IF($B936="","",IFERROR(INDEX(Services!$C$2:$C$120,MATCH($B936,Services!$D$2:$D$120,0)),""))</f>
        <v/>
      </c>
      <c r="F936" s="19"/>
      <c r="G936" s="9" t="str">
        <f t="shared" si="14"/>
        <v/>
      </c>
      <c r="H936" s="15" t="str">
        <f>IF($B936="","",IFERROR(INDEX(Services!$A$2:$A$120,MATCH($B936,Services!$D$2:$D$120,0)),""))</f>
        <v/>
      </c>
      <c r="I936" s="19"/>
      <c r="J936" s="15" t="str">
        <f>IF($B936="","",IFERROR(INDEX(Services!$E$2:$E$120,MATCH($B936,Services!$D$2:$D$120,0)),""))</f>
        <v/>
      </c>
    </row>
    <row r="937" spans="1:10" x14ac:dyDescent="0.3">
      <c r="A937" s="18"/>
      <c r="B937" s="6"/>
      <c r="C937" s="6"/>
      <c r="D937" s="6"/>
      <c r="E937" s="16" t="str">
        <f>IF($B937="","",IFERROR(INDEX(Services!$C$2:$C$120,MATCH($B937,Services!$D$2:$D$120,0)),""))</f>
        <v/>
      </c>
      <c r="F937" s="19"/>
      <c r="G937" s="9" t="str">
        <f t="shared" si="14"/>
        <v/>
      </c>
      <c r="H937" s="15" t="str">
        <f>IF($B937="","",IFERROR(INDEX(Services!$A$2:$A$120,MATCH($B937,Services!$D$2:$D$120,0)),""))</f>
        <v/>
      </c>
      <c r="I937" s="19"/>
      <c r="J937" s="15" t="str">
        <f>IF($B937="","",IFERROR(INDEX(Services!$E$2:$E$120,MATCH($B937,Services!$D$2:$D$120,0)),""))</f>
        <v/>
      </c>
    </row>
    <row r="938" spans="1:10" x14ac:dyDescent="0.3">
      <c r="A938" s="18"/>
      <c r="B938" s="6"/>
      <c r="C938" s="6"/>
      <c r="D938" s="6"/>
      <c r="E938" s="16" t="str">
        <f>IF($B938="","",IFERROR(INDEX(Services!$C$2:$C$120,MATCH($B938,Services!$D$2:$D$120,0)),""))</f>
        <v/>
      </c>
      <c r="F938" s="19"/>
      <c r="G938" s="9" t="str">
        <f t="shared" si="14"/>
        <v/>
      </c>
      <c r="H938" s="15" t="str">
        <f>IF($B938="","",IFERROR(INDEX(Services!$A$2:$A$120,MATCH($B938,Services!$D$2:$D$120,0)),""))</f>
        <v/>
      </c>
      <c r="I938" s="19"/>
      <c r="J938" s="15" t="str">
        <f>IF($B938="","",IFERROR(INDEX(Services!$E$2:$E$120,MATCH($B938,Services!$D$2:$D$120,0)),""))</f>
        <v/>
      </c>
    </row>
    <row r="939" spans="1:10" x14ac:dyDescent="0.3">
      <c r="A939" s="18"/>
      <c r="B939" s="6"/>
      <c r="C939" s="6"/>
      <c r="D939" s="6"/>
      <c r="E939" s="16" t="str">
        <f>IF($B939="","",IFERROR(INDEX(Services!$C$2:$C$120,MATCH($B939,Services!$D$2:$D$120,0)),""))</f>
        <v/>
      </c>
      <c r="F939" s="19"/>
      <c r="G939" s="9" t="str">
        <f t="shared" si="14"/>
        <v/>
      </c>
      <c r="H939" s="15" t="str">
        <f>IF($B939="","",IFERROR(INDEX(Services!$A$2:$A$120,MATCH($B939,Services!$D$2:$D$120,0)),""))</f>
        <v/>
      </c>
      <c r="I939" s="19"/>
      <c r="J939" s="15" t="str">
        <f>IF($B939="","",IFERROR(INDEX(Services!$E$2:$E$120,MATCH($B939,Services!$D$2:$D$120,0)),""))</f>
        <v/>
      </c>
    </row>
    <row r="940" spans="1:10" x14ac:dyDescent="0.3">
      <c r="A940" s="18"/>
      <c r="B940" s="6"/>
      <c r="C940" s="6"/>
      <c r="D940" s="6"/>
      <c r="E940" s="16" t="str">
        <f>IF($B940="","",IFERROR(INDEX(Services!$C$2:$C$120,MATCH($B940,Services!$D$2:$D$120,0)),""))</f>
        <v/>
      </c>
      <c r="F940" s="19"/>
      <c r="G940" s="9" t="str">
        <f t="shared" si="14"/>
        <v/>
      </c>
      <c r="H940" s="15" t="str">
        <f>IF($B940="","",IFERROR(INDEX(Services!$A$2:$A$120,MATCH($B940,Services!$D$2:$D$120,0)),""))</f>
        <v/>
      </c>
      <c r="I940" s="19"/>
      <c r="J940" s="15" t="str">
        <f>IF($B940="","",IFERROR(INDEX(Services!$E$2:$E$120,MATCH($B940,Services!$D$2:$D$120,0)),""))</f>
        <v/>
      </c>
    </row>
    <row r="941" spans="1:10" x14ac:dyDescent="0.3">
      <c r="A941" s="18"/>
      <c r="B941" s="6"/>
      <c r="C941" s="6"/>
      <c r="D941" s="6"/>
      <c r="E941" s="16" t="str">
        <f>IF($B941="","",IFERROR(INDEX(Services!$C$2:$C$120,MATCH($B941,Services!$D$2:$D$120,0)),""))</f>
        <v/>
      </c>
      <c r="F941" s="19"/>
      <c r="G941" s="9" t="str">
        <f t="shared" si="14"/>
        <v/>
      </c>
      <c r="H941" s="15" t="str">
        <f>IF($B941="","",IFERROR(INDEX(Services!$A$2:$A$120,MATCH($B941,Services!$D$2:$D$120,0)),""))</f>
        <v/>
      </c>
      <c r="I941" s="19"/>
      <c r="J941" s="15" t="str">
        <f>IF($B941="","",IFERROR(INDEX(Services!$E$2:$E$120,MATCH($B941,Services!$D$2:$D$120,0)),""))</f>
        <v/>
      </c>
    </row>
    <row r="942" spans="1:10" x14ac:dyDescent="0.3">
      <c r="A942" s="18"/>
      <c r="B942" s="6"/>
      <c r="C942" s="6"/>
      <c r="D942" s="6"/>
      <c r="E942" s="16" t="str">
        <f>IF($B942="","",IFERROR(INDEX(Services!$C$2:$C$120,MATCH($B942,Services!$D$2:$D$120,0)),""))</f>
        <v/>
      </c>
      <c r="F942" s="19"/>
      <c r="G942" s="9" t="str">
        <f t="shared" si="14"/>
        <v/>
      </c>
      <c r="H942" s="15" t="str">
        <f>IF($B942="","",IFERROR(INDEX(Services!$A$2:$A$120,MATCH($B942,Services!$D$2:$D$120,0)),""))</f>
        <v/>
      </c>
      <c r="I942" s="19"/>
      <c r="J942" s="15" t="str">
        <f>IF($B942="","",IFERROR(INDEX(Services!$E$2:$E$120,MATCH($B942,Services!$D$2:$D$120,0)),""))</f>
        <v/>
      </c>
    </row>
    <row r="943" spans="1:10" x14ac:dyDescent="0.3">
      <c r="A943" s="18"/>
      <c r="B943" s="6"/>
      <c r="C943" s="6"/>
      <c r="D943" s="6"/>
      <c r="E943" s="16" t="str">
        <f>IF($B943="","",IFERROR(INDEX(Services!$C$2:$C$120,MATCH($B943,Services!$D$2:$D$120,0)),""))</f>
        <v/>
      </c>
      <c r="F943" s="19"/>
      <c r="G943" s="9" t="str">
        <f t="shared" si="14"/>
        <v/>
      </c>
      <c r="H943" s="15" t="str">
        <f>IF($B943="","",IFERROR(INDEX(Services!$A$2:$A$120,MATCH($B943,Services!$D$2:$D$120,0)),""))</f>
        <v/>
      </c>
      <c r="I943" s="19"/>
      <c r="J943" s="15" t="str">
        <f>IF($B943="","",IFERROR(INDEX(Services!$E$2:$E$120,MATCH($B943,Services!$D$2:$D$120,0)),""))</f>
        <v/>
      </c>
    </row>
    <row r="944" spans="1:10" x14ac:dyDescent="0.3">
      <c r="A944" s="18"/>
      <c r="B944" s="6"/>
      <c r="C944" s="6"/>
      <c r="D944" s="6"/>
      <c r="E944" s="16" t="str">
        <f>IF($B944="","",IFERROR(INDEX(Services!$C$2:$C$120,MATCH($B944,Services!$D$2:$D$120,0)),""))</f>
        <v/>
      </c>
      <c r="F944" s="19"/>
      <c r="G944" s="9" t="str">
        <f t="shared" si="14"/>
        <v/>
      </c>
      <c r="H944" s="15" t="str">
        <f>IF($B944="","",IFERROR(INDEX(Services!$A$2:$A$120,MATCH($B944,Services!$D$2:$D$120,0)),""))</f>
        <v/>
      </c>
      <c r="I944" s="19"/>
      <c r="J944" s="15" t="str">
        <f>IF($B944="","",IFERROR(INDEX(Services!$E$2:$E$120,MATCH($B944,Services!$D$2:$D$120,0)),""))</f>
        <v/>
      </c>
    </row>
    <row r="945" spans="1:10" x14ac:dyDescent="0.3">
      <c r="A945" s="18"/>
      <c r="B945" s="6"/>
      <c r="C945" s="6"/>
      <c r="D945" s="6"/>
      <c r="E945" s="16" t="str">
        <f>IF($B945="","",IFERROR(INDEX(Services!$C$2:$C$120,MATCH($B945,Services!$D$2:$D$120,0)),""))</f>
        <v/>
      </c>
      <c r="F945" s="19"/>
      <c r="G945" s="9" t="str">
        <f t="shared" si="14"/>
        <v/>
      </c>
      <c r="H945" s="15" t="str">
        <f>IF($B945="","",IFERROR(INDEX(Services!$A$2:$A$120,MATCH($B945,Services!$D$2:$D$120,0)),""))</f>
        <v/>
      </c>
      <c r="I945" s="19"/>
      <c r="J945" s="15" t="str">
        <f>IF($B945="","",IFERROR(INDEX(Services!$E$2:$E$120,MATCH($B945,Services!$D$2:$D$120,0)),""))</f>
        <v/>
      </c>
    </row>
    <row r="946" spans="1:10" x14ac:dyDescent="0.3">
      <c r="A946" s="18"/>
      <c r="B946" s="6"/>
      <c r="C946" s="6"/>
      <c r="D946" s="6"/>
      <c r="E946" s="16" t="str">
        <f>IF($B946="","",IFERROR(INDEX(Services!$C$2:$C$120,MATCH($B946,Services!$D$2:$D$120,0)),""))</f>
        <v/>
      </c>
      <c r="F946" s="19"/>
      <c r="G946" s="9" t="str">
        <f t="shared" si="14"/>
        <v/>
      </c>
      <c r="H946" s="15" t="str">
        <f>IF($B946="","",IFERROR(INDEX(Services!$A$2:$A$120,MATCH($B946,Services!$D$2:$D$120,0)),""))</f>
        <v/>
      </c>
      <c r="I946" s="19"/>
      <c r="J946" s="15" t="str">
        <f>IF($B946="","",IFERROR(INDEX(Services!$E$2:$E$120,MATCH($B946,Services!$D$2:$D$120,0)),""))</f>
        <v/>
      </c>
    </row>
    <row r="947" spans="1:10" x14ac:dyDescent="0.3">
      <c r="A947" s="18"/>
      <c r="B947" s="6"/>
      <c r="C947" s="6"/>
      <c r="D947" s="6"/>
      <c r="E947" s="16" t="str">
        <f>IF($B947="","",IFERROR(INDEX(Services!$C$2:$C$120,MATCH($B947,Services!$D$2:$D$120,0)),""))</f>
        <v/>
      </c>
      <c r="F947" s="19"/>
      <c r="G947" s="9" t="str">
        <f t="shared" si="14"/>
        <v/>
      </c>
      <c r="H947" s="15" t="str">
        <f>IF($B947="","",IFERROR(INDEX(Services!$A$2:$A$120,MATCH($B947,Services!$D$2:$D$120,0)),""))</f>
        <v/>
      </c>
      <c r="I947" s="19"/>
      <c r="J947" s="15" t="str">
        <f>IF($B947="","",IFERROR(INDEX(Services!$E$2:$E$120,MATCH($B947,Services!$D$2:$D$120,0)),""))</f>
        <v/>
      </c>
    </row>
    <row r="948" spans="1:10" x14ac:dyDescent="0.3">
      <c r="A948" s="18"/>
      <c r="B948" s="6"/>
      <c r="C948" s="6"/>
      <c r="D948" s="6"/>
      <c r="E948" s="16" t="str">
        <f>IF($B948="","",IFERROR(INDEX(Services!$C$2:$C$120,MATCH($B948,Services!$D$2:$D$120,0)),""))</f>
        <v/>
      </c>
      <c r="F948" s="19"/>
      <c r="G948" s="9" t="str">
        <f t="shared" si="14"/>
        <v/>
      </c>
      <c r="H948" s="15" t="str">
        <f>IF($B948="","",IFERROR(INDEX(Services!$A$2:$A$120,MATCH($B948,Services!$D$2:$D$120,0)),""))</f>
        <v/>
      </c>
      <c r="I948" s="19"/>
      <c r="J948" s="15" t="str">
        <f>IF($B948="","",IFERROR(INDEX(Services!$E$2:$E$120,MATCH($B948,Services!$D$2:$D$120,0)),""))</f>
        <v/>
      </c>
    </row>
    <row r="949" spans="1:10" x14ac:dyDescent="0.3">
      <c r="A949" s="18"/>
      <c r="B949" s="6"/>
      <c r="C949" s="6"/>
      <c r="D949" s="6"/>
      <c r="E949" s="16" t="str">
        <f>IF($B949="","",IFERROR(INDEX(Services!$C$2:$C$120,MATCH($B949,Services!$D$2:$D$120,0)),""))</f>
        <v/>
      </c>
      <c r="F949" s="19"/>
      <c r="G949" s="9" t="str">
        <f t="shared" si="14"/>
        <v/>
      </c>
      <c r="H949" s="15" t="str">
        <f>IF($B949="","",IFERROR(INDEX(Services!$A$2:$A$120,MATCH($B949,Services!$D$2:$D$120,0)),""))</f>
        <v/>
      </c>
      <c r="I949" s="19"/>
      <c r="J949" s="15" t="str">
        <f>IF($B949="","",IFERROR(INDEX(Services!$E$2:$E$120,MATCH($B949,Services!$D$2:$D$120,0)),""))</f>
        <v/>
      </c>
    </row>
    <row r="950" spans="1:10" x14ac:dyDescent="0.3">
      <c r="A950" s="18"/>
      <c r="B950" s="6"/>
      <c r="C950" s="6"/>
      <c r="D950" s="6"/>
      <c r="E950" s="16" t="str">
        <f>IF($B950="","",IFERROR(INDEX(Services!$C$2:$C$120,MATCH($B950,Services!$D$2:$D$120,0)),""))</f>
        <v/>
      </c>
      <c r="F950" s="19"/>
      <c r="G950" s="9" t="str">
        <f t="shared" si="14"/>
        <v/>
      </c>
      <c r="H950" s="15" t="str">
        <f>IF($B950="","",IFERROR(INDEX(Services!$A$2:$A$120,MATCH($B950,Services!$D$2:$D$120,0)),""))</f>
        <v/>
      </c>
      <c r="I950" s="19"/>
      <c r="J950" s="15" t="str">
        <f>IF($B950="","",IFERROR(INDEX(Services!$E$2:$E$120,MATCH($B950,Services!$D$2:$D$120,0)),""))</f>
        <v/>
      </c>
    </row>
    <row r="951" spans="1:10" x14ac:dyDescent="0.3">
      <c r="A951" s="18"/>
      <c r="B951" s="6"/>
      <c r="C951" s="6"/>
      <c r="D951" s="6"/>
      <c r="E951" s="16" t="str">
        <f>IF($B951="","",IFERROR(INDEX(Services!$C$2:$C$120,MATCH($B951,Services!$D$2:$D$120,0)),""))</f>
        <v/>
      </c>
      <c r="F951" s="19"/>
      <c r="G951" s="9" t="str">
        <f t="shared" si="14"/>
        <v/>
      </c>
      <c r="H951" s="15" t="str">
        <f>IF($B951="","",IFERROR(INDEX(Services!$A$2:$A$120,MATCH($B951,Services!$D$2:$D$120,0)),""))</f>
        <v/>
      </c>
      <c r="I951" s="19"/>
      <c r="J951" s="15" t="str">
        <f>IF($B951="","",IFERROR(INDEX(Services!$E$2:$E$120,MATCH($B951,Services!$D$2:$D$120,0)),""))</f>
        <v/>
      </c>
    </row>
    <row r="952" spans="1:10" x14ac:dyDescent="0.3">
      <c r="A952" s="18"/>
      <c r="B952" s="6"/>
      <c r="C952" s="6"/>
      <c r="D952" s="6"/>
      <c r="E952" s="16" t="str">
        <f>IF($B952="","",IFERROR(INDEX(Services!$C$2:$C$120,MATCH($B952,Services!$D$2:$D$120,0)),""))</f>
        <v/>
      </c>
      <c r="F952" s="19"/>
      <c r="G952" s="9" t="str">
        <f t="shared" si="14"/>
        <v/>
      </c>
      <c r="H952" s="15" t="str">
        <f>IF($B952="","",IFERROR(INDEX(Services!$A$2:$A$120,MATCH($B952,Services!$D$2:$D$120,0)),""))</f>
        <v/>
      </c>
      <c r="I952" s="19"/>
      <c r="J952" s="15" t="str">
        <f>IF($B952="","",IFERROR(INDEX(Services!$E$2:$E$120,MATCH($B952,Services!$D$2:$D$120,0)),""))</f>
        <v/>
      </c>
    </row>
    <row r="953" spans="1:10" x14ac:dyDescent="0.3">
      <c r="A953" s="18"/>
      <c r="B953" s="6"/>
      <c r="C953" s="6"/>
      <c r="D953" s="6"/>
      <c r="E953" s="16" t="str">
        <f>IF($B953="","",IFERROR(INDEX(Services!$C$2:$C$120,MATCH($B953,Services!$D$2:$D$120,0)),""))</f>
        <v/>
      </c>
      <c r="F953" s="19"/>
      <c r="G953" s="9" t="str">
        <f t="shared" si="14"/>
        <v/>
      </c>
      <c r="H953" s="15" t="str">
        <f>IF($B953="","",IFERROR(INDEX(Services!$A$2:$A$120,MATCH($B953,Services!$D$2:$D$120,0)),""))</f>
        <v/>
      </c>
      <c r="I953" s="19"/>
      <c r="J953" s="15" t="str">
        <f>IF($B953="","",IFERROR(INDEX(Services!$E$2:$E$120,MATCH($B953,Services!$D$2:$D$120,0)),""))</f>
        <v/>
      </c>
    </row>
    <row r="954" spans="1:10" x14ac:dyDescent="0.3">
      <c r="A954" s="18"/>
      <c r="B954" s="6"/>
      <c r="C954" s="6"/>
      <c r="D954" s="6"/>
      <c r="E954" s="16" t="str">
        <f>IF($B954="","",IFERROR(INDEX(Services!$C$2:$C$120,MATCH($B954,Services!$D$2:$D$120,0)),""))</f>
        <v/>
      </c>
      <c r="F954" s="19"/>
      <c r="G954" s="9" t="str">
        <f t="shared" si="14"/>
        <v/>
      </c>
      <c r="H954" s="15" t="str">
        <f>IF($B954="","",IFERROR(INDEX(Services!$A$2:$A$120,MATCH($B954,Services!$D$2:$D$120,0)),""))</f>
        <v/>
      </c>
      <c r="I954" s="19"/>
      <c r="J954" s="15" t="str">
        <f>IF($B954="","",IFERROR(INDEX(Services!$E$2:$E$120,MATCH($B954,Services!$D$2:$D$120,0)),""))</f>
        <v/>
      </c>
    </row>
    <row r="955" spans="1:10" x14ac:dyDescent="0.3">
      <c r="A955" s="18"/>
      <c r="B955" s="6"/>
      <c r="C955" s="6"/>
      <c r="D955" s="6"/>
      <c r="E955" s="16" t="str">
        <f>IF($B955="","",IFERROR(INDEX(Services!$C$2:$C$120,MATCH($B955,Services!$D$2:$D$120,0)),""))</f>
        <v/>
      </c>
      <c r="F955" s="19"/>
      <c r="G955" s="9" t="str">
        <f t="shared" si="14"/>
        <v/>
      </c>
      <c r="H955" s="15" t="str">
        <f>IF($B955="","",IFERROR(INDEX(Services!$A$2:$A$120,MATCH($B955,Services!$D$2:$D$120,0)),""))</f>
        <v/>
      </c>
      <c r="I955" s="19"/>
      <c r="J955" s="15" t="str">
        <f>IF($B955="","",IFERROR(INDEX(Services!$E$2:$E$120,MATCH($B955,Services!$D$2:$D$120,0)),""))</f>
        <v/>
      </c>
    </row>
    <row r="956" spans="1:10" x14ac:dyDescent="0.3">
      <c r="A956" s="18"/>
      <c r="B956" s="6"/>
      <c r="C956" s="6"/>
      <c r="D956" s="6"/>
      <c r="E956" s="16" t="str">
        <f>IF($B956="","",IFERROR(INDEX(Services!$C$2:$C$120,MATCH($B956,Services!$D$2:$D$120,0)),""))</f>
        <v/>
      </c>
      <c r="F956" s="19"/>
      <c r="G956" s="9" t="str">
        <f t="shared" si="14"/>
        <v/>
      </c>
      <c r="H956" s="15" t="str">
        <f>IF($B956="","",IFERROR(INDEX(Services!$A$2:$A$120,MATCH($B956,Services!$D$2:$D$120,0)),""))</f>
        <v/>
      </c>
      <c r="I956" s="19"/>
      <c r="J956" s="15" t="str">
        <f>IF($B956="","",IFERROR(INDEX(Services!$E$2:$E$120,MATCH($B956,Services!$D$2:$D$120,0)),""))</f>
        <v/>
      </c>
    </row>
    <row r="957" spans="1:10" x14ac:dyDescent="0.3">
      <c r="A957" s="18"/>
      <c r="B957" s="6"/>
      <c r="C957" s="6"/>
      <c r="D957" s="6"/>
      <c r="E957" s="16" t="str">
        <f>IF($B957="","",IFERROR(INDEX(Services!$C$2:$C$120,MATCH($B957,Services!$D$2:$D$120,0)),""))</f>
        <v/>
      </c>
      <c r="F957" s="19"/>
      <c r="G957" s="9" t="str">
        <f t="shared" si="14"/>
        <v/>
      </c>
      <c r="H957" s="15" t="str">
        <f>IF($B957="","",IFERROR(INDEX(Services!$A$2:$A$120,MATCH($B957,Services!$D$2:$D$120,0)),""))</f>
        <v/>
      </c>
      <c r="I957" s="19"/>
      <c r="J957" s="15" t="str">
        <f>IF($B957="","",IFERROR(INDEX(Services!$E$2:$E$120,MATCH($B957,Services!$D$2:$D$120,0)),""))</f>
        <v/>
      </c>
    </row>
    <row r="958" spans="1:10" x14ac:dyDescent="0.3">
      <c r="A958" s="18"/>
      <c r="B958" s="6"/>
      <c r="C958" s="6"/>
      <c r="D958" s="6"/>
      <c r="E958" s="16" t="str">
        <f>IF($B958="","",IFERROR(INDEX(Services!$C$2:$C$120,MATCH($B958,Services!$D$2:$D$120,0)),""))</f>
        <v/>
      </c>
      <c r="F958" s="19"/>
      <c r="G958" s="9" t="str">
        <f t="shared" si="14"/>
        <v/>
      </c>
      <c r="H958" s="15" t="str">
        <f>IF($B958="","",IFERROR(INDEX(Services!$A$2:$A$120,MATCH($B958,Services!$D$2:$D$120,0)),""))</f>
        <v/>
      </c>
      <c r="I958" s="19"/>
      <c r="J958" s="15" t="str">
        <f>IF($B958="","",IFERROR(INDEX(Services!$E$2:$E$120,MATCH($B958,Services!$D$2:$D$120,0)),""))</f>
        <v/>
      </c>
    </row>
    <row r="959" spans="1:10" x14ac:dyDescent="0.3">
      <c r="A959" s="18"/>
      <c r="B959" s="6"/>
      <c r="C959" s="6"/>
      <c r="D959" s="6"/>
      <c r="E959" s="16" t="str">
        <f>IF($B959="","",IFERROR(INDEX(Services!$C$2:$C$120,MATCH($B959,Services!$D$2:$D$120,0)),""))</f>
        <v/>
      </c>
      <c r="F959" s="19"/>
      <c r="G959" s="9" t="str">
        <f t="shared" si="14"/>
        <v/>
      </c>
      <c r="H959" s="15" t="str">
        <f>IF($B959="","",IFERROR(INDEX(Services!$A$2:$A$120,MATCH($B959,Services!$D$2:$D$120,0)),""))</f>
        <v/>
      </c>
      <c r="I959" s="19"/>
      <c r="J959" s="15" t="str">
        <f>IF($B959="","",IFERROR(INDEX(Services!$E$2:$E$120,MATCH($B959,Services!$D$2:$D$120,0)),""))</f>
        <v/>
      </c>
    </row>
    <row r="960" spans="1:10" x14ac:dyDescent="0.3">
      <c r="A960" s="18"/>
      <c r="B960" s="6"/>
      <c r="C960" s="6"/>
      <c r="D960" s="6"/>
      <c r="E960" s="16" t="str">
        <f>IF($B960="","",IFERROR(INDEX(Services!$C$2:$C$120,MATCH($B960,Services!$D$2:$D$120,0)),""))</f>
        <v/>
      </c>
      <c r="F960" s="19"/>
      <c r="G960" s="9" t="str">
        <f t="shared" si="14"/>
        <v/>
      </c>
      <c r="H960" s="15" t="str">
        <f>IF($B960="","",IFERROR(INDEX(Services!$A$2:$A$120,MATCH($B960,Services!$D$2:$D$120,0)),""))</f>
        <v/>
      </c>
      <c r="I960" s="19"/>
      <c r="J960" s="15" t="str">
        <f>IF($B960="","",IFERROR(INDEX(Services!$E$2:$E$120,MATCH($B960,Services!$D$2:$D$120,0)),""))</f>
        <v/>
      </c>
    </row>
    <row r="961" spans="1:10" x14ac:dyDescent="0.3">
      <c r="A961" s="18"/>
      <c r="B961" s="6"/>
      <c r="C961" s="6"/>
      <c r="D961" s="6"/>
      <c r="E961" s="16" t="str">
        <f>IF($B961="","",IFERROR(INDEX(Services!$C$2:$C$120,MATCH($B961,Services!$D$2:$D$120,0)),""))</f>
        <v/>
      </c>
      <c r="F961" s="19"/>
      <c r="G961" s="9" t="str">
        <f t="shared" si="14"/>
        <v/>
      </c>
      <c r="H961" s="15" t="str">
        <f>IF($B961="","",IFERROR(INDEX(Services!$A$2:$A$120,MATCH($B961,Services!$D$2:$D$120,0)),""))</f>
        <v/>
      </c>
      <c r="I961" s="19"/>
      <c r="J961" s="15" t="str">
        <f>IF($B961="","",IFERROR(INDEX(Services!$E$2:$E$120,MATCH($B961,Services!$D$2:$D$120,0)),""))</f>
        <v/>
      </c>
    </row>
    <row r="962" spans="1:10" x14ac:dyDescent="0.3">
      <c r="A962" s="18"/>
      <c r="B962" s="6"/>
      <c r="C962" s="6"/>
      <c r="D962" s="6"/>
      <c r="E962" s="16" t="str">
        <f>IF($B962="","",IFERROR(INDEX(Services!$C$2:$C$120,MATCH($B962,Services!$D$2:$D$120,0)),""))</f>
        <v/>
      </c>
      <c r="F962" s="19"/>
      <c r="G962" s="9" t="str">
        <f t="shared" ref="G962:G1025" si="15">IF(OR($B962="",NOT(ISNUMBER($E962))),"",$E962-IF($F962="",0,$F962))</f>
        <v/>
      </c>
      <c r="H962" s="15" t="str">
        <f>IF($B962="","",IFERROR(INDEX(Services!$A$2:$A$120,MATCH($B962,Services!$D$2:$D$120,0)),""))</f>
        <v/>
      </c>
      <c r="I962" s="19"/>
      <c r="J962" s="15" t="str">
        <f>IF($B962="","",IFERROR(INDEX(Services!$E$2:$E$120,MATCH($B962,Services!$D$2:$D$120,0)),""))</f>
        <v/>
      </c>
    </row>
    <row r="963" spans="1:10" x14ac:dyDescent="0.3">
      <c r="A963" s="18"/>
      <c r="B963" s="6"/>
      <c r="C963" s="6"/>
      <c r="D963" s="6"/>
      <c r="E963" s="16" t="str">
        <f>IF($B963="","",IFERROR(INDEX(Services!$C$2:$C$120,MATCH($B963,Services!$D$2:$D$120,0)),""))</f>
        <v/>
      </c>
      <c r="F963" s="19"/>
      <c r="G963" s="9" t="str">
        <f t="shared" si="15"/>
        <v/>
      </c>
      <c r="H963" s="15" t="str">
        <f>IF($B963="","",IFERROR(INDEX(Services!$A$2:$A$120,MATCH($B963,Services!$D$2:$D$120,0)),""))</f>
        <v/>
      </c>
      <c r="I963" s="19"/>
      <c r="J963" s="15" t="str">
        <f>IF($B963="","",IFERROR(INDEX(Services!$E$2:$E$120,MATCH($B963,Services!$D$2:$D$120,0)),""))</f>
        <v/>
      </c>
    </row>
    <row r="964" spans="1:10" x14ac:dyDescent="0.3">
      <c r="A964" s="18"/>
      <c r="B964" s="6"/>
      <c r="C964" s="6"/>
      <c r="D964" s="6"/>
      <c r="E964" s="16" t="str">
        <f>IF($B964="","",IFERROR(INDEX(Services!$C$2:$C$120,MATCH($B964,Services!$D$2:$D$120,0)),""))</f>
        <v/>
      </c>
      <c r="F964" s="19"/>
      <c r="G964" s="9" t="str">
        <f t="shared" si="15"/>
        <v/>
      </c>
      <c r="H964" s="15" t="str">
        <f>IF($B964="","",IFERROR(INDEX(Services!$A$2:$A$120,MATCH($B964,Services!$D$2:$D$120,0)),""))</f>
        <v/>
      </c>
      <c r="I964" s="19"/>
      <c r="J964" s="15" t="str">
        <f>IF($B964="","",IFERROR(INDEX(Services!$E$2:$E$120,MATCH($B964,Services!$D$2:$D$120,0)),""))</f>
        <v/>
      </c>
    </row>
    <row r="965" spans="1:10" x14ac:dyDescent="0.3">
      <c r="A965" s="18"/>
      <c r="B965" s="6"/>
      <c r="C965" s="6"/>
      <c r="D965" s="6"/>
      <c r="E965" s="16" t="str">
        <f>IF($B965="","",IFERROR(INDEX(Services!$C$2:$C$120,MATCH($B965,Services!$D$2:$D$120,0)),""))</f>
        <v/>
      </c>
      <c r="F965" s="19"/>
      <c r="G965" s="9" t="str">
        <f t="shared" si="15"/>
        <v/>
      </c>
      <c r="H965" s="15" t="str">
        <f>IF($B965="","",IFERROR(INDEX(Services!$A$2:$A$120,MATCH($B965,Services!$D$2:$D$120,0)),""))</f>
        <v/>
      </c>
      <c r="I965" s="19"/>
      <c r="J965" s="15" t="str">
        <f>IF($B965="","",IFERROR(INDEX(Services!$E$2:$E$120,MATCH($B965,Services!$D$2:$D$120,0)),""))</f>
        <v/>
      </c>
    </row>
    <row r="966" spans="1:10" x14ac:dyDescent="0.3">
      <c r="A966" s="18"/>
      <c r="B966" s="6"/>
      <c r="C966" s="6"/>
      <c r="D966" s="6"/>
      <c r="E966" s="16" t="str">
        <f>IF($B966="","",IFERROR(INDEX(Services!$C$2:$C$120,MATCH($B966,Services!$D$2:$D$120,0)),""))</f>
        <v/>
      </c>
      <c r="F966" s="19"/>
      <c r="G966" s="9" t="str">
        <f t="shared" si="15"/>
        <v/>
      </c>
      <c r="H966" s="15" t="str">
        <f>IF($B966="","",IFERROR(INDEX(Services!$A$2:$A$120,MATCH($B966,Services!$D$2:$D$120,0)),""))</f>
        <v/>
      </c>
      <c r="I966" s="19"/>
      <c r="J966" s="15" t="str">
        <f>IF($B966="","",IFERROR(INDEX(Services!$E$2:$E$120,MATCH($B966,Services!$D$2:$D$120,0)),""))</f>
        <v/>
      </c>
    </row>
    <row r="967" spans="1:10" x14ac:dyDescent="0.3">
      <c r="A967" s="18"/>
      <c r="B967" s="6"/>
      <c r="C967" s="6"/>
      <c r="D967" s="6"/>
      <c r="E967" s="16" t="str">
        <f>IF($B967="","",IFERROR(INDEX(Services!$C$2:$C$120,MATCH($B967,Services!$D$2:$D$120,0)),""))</f>
        <v/>
      </c>
      <c r="F967" s="19"/>
      <c r="G967" s="9" t="str">
        <f t="shared" si="15"/>
        <v/>
      </c>
      <c r="H967" s="15" t="str">
        <f>IF($B967="","",IFERROR(INDEX(Services!$A$2:$A$120,MATCH($B967,Services!$D$2:$D$120,0)),""))</f>
        <v/>
      </c>
      <c r="I967" s="19"/>
      <c r="J967" s="15" t="str">
        <f>IF($B967="","",IFERROR(INDEX(Services!$E$2:$E$120,MATCH($B967,Services!$D$2:$D$120,0)),""))</f>
        <v/>
      </c>
    </row>
    <row r="968" spans="1:10" x14ac:dyDescent="0.3">
      <c r="A968" s="18"/>
      <c r="B968" s="6"/>
      <c r="C968" s="6"/>
      <c r="D968" s="6"/>
      <c r="E968" s="16" t="str">
        <f>IF($B968="","",IFERROR(INDEX(Services!$C$2:$C$120,MATCH($B968,Services!$D$2:$D$120,0)),""))</f>
        <v/>
      </c>
      <c r="F968" s="19"/>
      <c r="G968" s="9" t="str">
        <f t="shared" si="15"/>
        <v/>
      </c>
      <c r="H968" s="15" t="str">
        <f>IF($B968="","",IFERROR(INDEX(Services!$A$2:$A$120,MATCH($B968,Services!$D$2:$D$120,0)),""))</f>
        <v/>
      </c>
      <c r="I968" s="19"/>
      <c r="J968" s="15" t="str">
        <f>IF($B968="","",IFERROR(INDEX(Services!$E$2:$E$120,MATCH($B968,Services!$D$2:$D$120,0)),""))</f>
        <v/>
      </c>
    </row>
    <row r="969" spans="1:10" x14ac:dyDescent="0.3">
      <c r="A969" s="18"/>
      <c r="B969" s="6"/>
      <c r="C969" s="6"/>
      <c r="D969" s="6"/>
      <c r="E969" s="16" t="str">
        <f>IF($B969="","",IFERROR(INDEX(Services!$C$2:$C$120,MATCH($B969,Services!$D$2:$D$120,0)),""))</f>
        <v/>
      </c>
      <c r="F969" s="19"/>
      <c r="G969" s="9" t="str">
        <f t="shared" si="15"/>
        <v/>
      </c>
      <c r="H969" s="15" t="str">
        <f>IF($B969="","",IFERROR(INDEX(Services!$A$2:$A$120,MATCH($B969,Services!$D$2:$D$120,0)),""))</f>
        <v/>
      </c>
      <c r="I969" s="19"/>
      <c r="J969" s="15" t="str">
        <f>IF($B969="","",IFERROR(INDEX(Services!$E$2:$E$120,MATCH($B969,Services!$D$2:$D$120,0)),""))</f>
        <v/>
      </c>
    </row>
    <row r="970" spans="1:10" x14ac:dyDescent="0.3">
      <c r="A970" s="18"/>
      <c r="B970" s="6"/>
      <c r="C970" s="6"/>
      <c r="D970" s="6"/>
      <c r="E970" s="16" t="str">
        <f>IF($B970="","",IFERROR(INDEX(Services!$C$2:$C$120,MATCH($B970,Services!$D$2:$D$120,0)),""))</f>
        <v/>
      </c>
      <c r="F970" s="19"/>
      <c r="G970" s="9" t="str">
        <f t="shared" si="15"/>
        <v/>
      </c>
      <c r="H970" s="15" t="str">
        <f>IF($B970="","",IFERROR(INDEX(Services!$A$2:$A$120,MATCH($B970,Services!$D$2:$D$120,0)),""))</f>
        <v/>
      </c>
      <c r="I970" s="19"/>
      <c r="J970" s="15" t="str">
        <f>IF($B970="","",IFERROR(INDEX(Services!$E$2:$E$120,MATCH($B970,Services!$D$2:$D$120,0)),""))</f>
        <v/>
      </c>
    </row>
    <row r="971" spans="1:10" x14ac:dyDescent="0.3">
      <c r="A971" s="18"/>
      <c r="B971" s="6"/>
      <c r="C971" s="6"/>
      <c r="D971" s="6"/>
      <c r="E971" s="16" t="str">
        <f>IF($B971="","",IFERROR(INDEX(Services!$C$2:$C$120,MATCH($B971,Services!$D$2:$D$120,0)),""))</f>
        <v/>
      </c>
      <c r="F971" s="19"/>
      <c r="G971" s="9" t="str">
        <f t="shared" si="15"/>
        <v/>
      </c>
      <c r="H971" s="15" t="str">
        <f>IF($B971="","",IFERROR(INDEX(Services!$A$2:$A$120,MATCH($B971,Services!$D$2:$D$120,0)),""))</f>
        <v/>
      </c>
      <c r="I971" s="19"/>
      <c r="J971" s="15" t="str">
        <f>IF($B971="","",IFERROR(INDEX(Services!$E$2:$E$120,MATCH($B971,Services!$D$2:$D$120,0)),""))</f>
        <v/>
      </c>
    </row>
    <row r="972" spans="1:10" x14ac:dyDescent="0.3">
      <c r="A972" s="18"/>
      <c r="B972" s="6"/>
      <c r="C972" s="6"/>
      <c r="D972" s="6"/>
      <c r="E972" s="16" t="str">
        <f>IF($B972="","",IFERROR(INDEX(Services!$C$2:$C$120,MATCH($B972,Services!$D$2:$D$120,0)),""))</f>
        <v/>
      </c>
      <c r="F972" s="19"/>
      <c r="G972" s="9" t="str">
        <f t="shared" si="15"/>
        <v/>
      </c>
      <c r="H972" s="15" t="str">
        <f>IF($B972="","",IFERROR(INDEX(Services!$A$2:$A$120,MATCH($B972,Services!$D$2:$D$120,0)),""))</f>
        <v/>
      </c>
      <c r="I972" s="19"/>
      <c r="J972" s="15" t="str">
        <f>IF($B972="","",IFERROR(INDEX(Services!$E$2:$E$120,MATCH($B972,Services!$D$2:$D$120,0)),""))</f>
        <v/>
      </c>
    </row>
    <row r="973" spans="1:10" x14ac:dyDescent="0.3">
      <c r="A973" s="18"/>
      <c r="B973" s="6"/>
      <c r="C973" s="6"/>
      <c r="D973" s="6"/>
      <c r="E973" s="16" t="str">
        <f>IF($B973="","",IFERROR(INDEX(Services!$C$2:$C$120,MATCH($B973,Services!$D$2:$D$120,0)),""))</f>
        <v/>
      </c>
      <c r="F973" s="19"/>
      <c r="G973" s="9" t="str">
        <f t="shared" si="15"/>
        <v/>
      </c>
      <c r="H973" s="15" t="str">
        <f>IF($B973="","",IFERROR(INDEX(Services!$A$2:$A$120,MATCH($B973,Services!$D$2:$D$120,0)),""))</f>
        <v/>
      </c>
      <c r="I973" s="19"/>
      <c r="J973" s="15" t="str">
        <f>IF($B973="","",IFERROR(INDEX(Services!$E$2:$E$120,MATCH($B973,Services!$D$2:$D$120,0)),""))</f>
        <v/>
      </c>
    </row>
    <row r="974" spans="1:10" x14ac:dyDescent="0.3">
      <c r="A974" s="18"/>
      <c r="B974" s="6"/>
      <c r="C974" s="6"/>
      <c r="D974" s="6"/>
      <c r="E974" s="16" t="str">
        <f>IF($B974="","",IFERROR(INDEX(Services!$C$2:$C$120,MATCH($B974,Services!$D$2:$D$120,0)),""))</f>
        <v/>
      </c>
      <c r="F974" s="19"/>
      <c r="G974" s="9" t="str">
        <f t="shared" si="15"/>
        <v/>
      </c>
      <c r="H974" s="15" t="str">
        <f>IF($B974="","",IFERROR(INDEX(Services!$A$2:$A$120,MATCH($B974,Services!$D$2:$D$120,0)),""))</f>
        <v/>
      </c>
      <c r="I974" s="19"/>
      <c r="J974" s="15" t="str">
        <f>IF($B974="","",IFERROR(INDEX(Services!$E$2:$E$120,MATCH($B974,Services!$D$2:$D$120,0)),""))</f>
        <v/>
      </c>
    </row>
    <row r="975" spans="1:10" x14ac:dyDescent="0.3">
      <c r="A975" s="18"/>
      <c r="B975" s="6"/>
      <c r="C975" s="6"/>
      <c r="D975" s="6"/>
      <c r="E975" s="16" t="str">
        <f>IF($B975="","",IFERROR(INDEX(Services!$C$2:$C$120,MATCH($B975,Services!$D$2:$D$120,0)),""))</f>
        <v/>
      </c>
      <c r="F975" s="19"/>
      <c r="G975" s="9" t="str">
        <f t="shared" si="15"/>
        <v/>
      </c>
      <c r="H975" s="15" t="str">
        <f>IF($B975="","",IFERROR(INDEX(Services!$A$2:$A$120,MATCH($B975,Services!$D$2:$D$120,0)),""))</f>
        <v/>
      </c>
      <c r="I975" s="19"/>
      <c r="J975" s="15" t="str">
        <f>IF($B975="","",IFERROR(INDEX(Services!$E$2:$E$120,MATCH($B975,Services!$D$2:$D$120,0)),""))</f>
        <v/>
      </c>
    </row>
    <row r="976" spans="1:10" x14ac:dyDescent="0.3">
      <c r="A976" s="18"/>
      <c r="B976" s="6"/>
      <c r="C976" s="6"/>
      <c r="D976" s="6"/>
      <c r="E976" s="16" t="str">
        <f>IF($B976="","",IFERROR(INDEX(Services!$C$2:$C$120,MATCH($B976,Services!$D$2:$D$120,0)),""))</f>
        <v/>
      </c>
      <c r="F976" s="19"/>
      <c r="G976" s="9" t="str">
        <f t="shared" si="15"/>
        <v/>
      </c>
      <c r="H976" s="15" t="str">
        <f>IF($B976="","",IFERROR(INDEX(Services!$A$2:$A$120,MATCH($B976,Services!$D$2:$D$120,0)),""))</f>
        <v/>
      </c>
      <c r="I976" s="19"/>
      <c r="J976" s="15" t="str">
        <f>IF($B976="","",IFERROR(INDEX(Services!$E$2:$E$120,MATCH($B976,Services!$D$2:$D$120,0)),""))</f>
        <v/>
      </c>
    </row>
    <row r="977" spans="1:10" x14ac:dyDescent="0.3">
      <c r="A977" s="18"/>
      <c r="B977" s="6"/>
      <c r="C977" s="6"/>
      <c r="D977" s="6"/>
      <c r="E977" s="16" t="str">
        <f>IF($B977="","",IFERROR(INDEX(Services!$C$2:$C$120,MATCH($B977,Services!$D$2:$D$120,0)),""))</f>
        <v/>
      </c>
      <c r="F977" s="19"/>
      <c r="G977" s="9" t="str">
        <f t="shared" si="15"/>
        <v/>
      </c>
      <c r="H977" s="15" t="str">
        <f>IF($B977="","",IFERROR(INDEX(Services!$A$2:$A$120,MATCH($B977,Services!$D$2:$D$120,0)),""))</f>
        <v/>
      </c>
      <c r="I977" s="19"/>
      <c r="J977" s="15" t="str">
        <f>IF($B977="","",IFERROR(INDEX(Services!$E$2:$E$120,MATCH($B977,Services!$D$2:$D$120,0)),""))</f>
        <v/>
      </c>
    </row>
    <row r="978" spans="1:10" x14ac:dyDescent="0.3">
      <c r="A978" s="18"/>
      <c r="B978" s="6"/>
      <c r="C978" s="6"/>
      <c r="D978" s="6"/>
      <c r="E978" s="16" t="str">
        <f>IF($B978="","",IFERROR(INDEX(Services!$C$2:$C$120,MATCH($B978,Services!$D$2:$D$120,0)),""))</f>
        <v/>
      </c>
      <c r="F978" s="19"/>
      <c r="G978" s="9" t="str">
        <f t="shared" si="15"/>
        <v/>
      </c>
      <c r="H978" s="15" t="str">
        <f>IF($B978="","",IFERROR(INDEX(Services!$A$2:$A$120,MATCH($B978,Services!$D$2:$D$120,0)),""))</f>
        <v/>
      </c>
      <c r="I978" s="19"/>
      <c r="J978" s="15" t="str">
        <f>IF($B978="","",IFERROR(INDEX(Services!$E$2:$E$120,MATCH($B978,Services!$D$2:$D$120,0)),""))</f>
        <v/>
      </c>
    </row>
    <row r="979" spans="1:10" x14ac:dyDescent="0.3">
      <c r="A979" s="18"/>
      <c r="B979" s="6"/>
      <c r="C979" s="6"/>
      <c r="D979" s="6"/>
      <c r="E979" s="16" t="str">
        <f>IF($B979="","",IFERROR(INDEX(Services!$C$2:$C$120,MATCH($B979,Services!$D$2:$D$120,0)),""))</f>
        <v/>
      </c>
      <c r="F979" s="19"/>
      <c r="G979" s="9" t="str">
        <f t="shared" si="15"/>
        <v/>
      </c>
      <c r="H979" s="15" t="str">
        <f>IF($B979="","",IFERROR(INDEX(Services!$A$2:$A$120,MATCH($B979,Services!$D$2:$D$120,0)),""))</f>
        <v/>
      </c>
      <c r="I979" s="19"/>
      <c r="J979" s="15" t="str">
        <f>IF($B979="","",IFERROR(INDEX(Services!$E$2:$E$120,MATCH($B979,Services!$D$2:$D$120,0)),""))</f>
        <v/>
      </c>
    </row>
    <row r="980" spans="1:10" x14ac:dyDescent="0.3">
      <c r="A980" s="18"/>
      <c r="B980" s="6"/>
      <c r="C980" s="6"/>
      <c r="D980" s="6"/>
      <c r="E980" s="16" t="str">
        <f>IF($B980="","",IFERROR(INDEX(Services!$C$2:$C$120,MATCH($B980,Services!$D$2:$D$120,0)),""))</f>
        <v/>
      </c>
      <c r="F980" s="19"/>
      <c r="G980" s="9" t="str">
        <f t="shared" si="15"/>
        <v/>
      </c>
      <c r="H980" s="15" t="str">
        <f>IF($B980="","",IFERROR(INDEX(Services!$A$2:$A$120,MATCH($B980,Services!$D$2:$D$120,0)),""))</f>
        <v/>
      </c>
      <c r="I980" s="19"/>
      <c r="J980" s="15" t="str">
        <f>IF($B980="","",IFERROR(INDEX(Services!$E$2:$E$120,MATCH($B980,Services!$D$2:$D$120,0)),""))</f>
        <v/>
      </c>
    </row>
    <row r="981" spans="1:10" x14ac:dyDescent="0.3">
      <c r="A981" s="18"/>
      <c r="B981" s="6"/>
      <c r="C981" s="6"/>
      <c r="D981" s="6"/>
      <c r="E981" s="16" t="str">
        <f>IF($B981="","",IFERROR(INDEX(Services!$C$2:$C$120,MATCH($B981,Services!$D$2:$D$120,0)),""))</f>
        <v/>
      </c>
      <c r="F981" s="19"/>
      <c r="G981" s="9" t="str">
        <f t="shared" si="15"/>
        <v/>
      </c>
      <c r="H981" s="15" t="str">
        <f>IF($B981="","",IFERROR(INDEX(Services!$A$2:$A$120,MATCH($B981,Services!$D$2:$D$120,0)),""))</f>
        <v/>
      </c>
      <c r="I981" s="19"/>
      <c r="J981" s="15" t="str">
        <f>IF($B981="","",IFERROR(INDEX(Services!$E$2:$E$120,MATCH($B981,Services!$D$2:$D$120,0)),""))</f>
        <v/>
      </c>
    </row>
    <row r="982" spans="1:10" x14ac:dyDescent="0.3">
      <c r="A982" s="18"/>
      <c r="B982" s="6"/>
      <c r="C982" s="6"/>
      <c r="D982" s="6"/>
      <c r="E982" s="16" t="str">
        <f>IF($B982="","",IFERROR(INDEX(Services!$C$2:$C$120,MATCH($B982,Services!$D$2:$D$120,0)),""))</f>
        <v/>
      </c>
      <c r="F982" s="19"/>
      <c r="G982" s="9" t="str">
        <f t="shared" si="15"/>
        <v/>
      </c>
      <c r="H982" s="15" t="str">
        <f>IF($B982="","",IFERROR(INDEX(Services!$A$2:$A$120,MATCH($B982,Services!$D$2:$D$120,0)),""))</f>
        <v/>
      </c>
      <c r="I982" s="19"/>
      <c r="J982" s="15" t="str">
        <f>IF($B982="","",IFERROR(INDEX(Services!$E$2:$E$120,MATCH($B982,Services!$D$2:$D$120,0)),""))</f>
        <v/>
      </c>
    </row>
    <row r="983" spans="1:10" x14ac:dyDescent="0.3">
      <c r="A983" s="18"/>
      <c r="B983" s="6"/>
      <c r="C983" s="6"/>
      <c r="D983" s="6"/>
      <c r="E983" s="16" t="str">
        <f>IF($B983="","",IFERROR(INDEX(Services!$C$2:$C$120,MATCH($B983,Services!$D$2:$D$120,0)),""))</f>
        <v/>
      </c>
      <c r="F983" s="19"/>
      <c r="G983" s="9" t="str">
        <f t="shared" si="15"/>
        <v/>
      </c>
      <c r="H983" s="15" t="str">
        <f>IF($B983="","",IFERROR(INDEX(Services!$A$2:$A$120,MATCH($B983,Services!$D$2:$D$120,0)),""))</f>
        <v/>
      </c>
      <c r="I983" s="19"/>
      <c r="J983" s="15" t="str">
        <f>IF($B983="","",IFERROR(INDEX(Services!$E$2:$E$120,MATCH($B983,Services!$D$2:$D$120,0)),""))</f>
        <v/>
      </c>
    </row>
    <row r="984" spans="1:10" x14ac:dyDescent="0.3">
      <c r="A984" s="18"/>
      <c r="B984" s="6"/>
      <c r="C984" s="6"/>
      <c r="D984" s="6"/>
      <c r="E984" s="16" t="str">
        <f>IF($B984="","",IFERROR(INDEX(Services!$C$2:$C$120,MATCH($B984,Services!$D$2:$D$120,0)),""))</f>
        <v/>
      </c>
      <c r="F984" s="19"/>
      <c r="G984" s="9" t="str">
        <f t="shared" si="15"/>
        <v/>
      </c>
      <c r="H984" s="15" t="str">
        <f>IF($B984="","",IFERROR(INDEX(Services!$A$2:$A$120,MATCH($B984,Services!$D$2:$D$120,0)),""))</f>
        <v/>
      </c>
      <c r="I984" s="19"/>
      <c r="J984" s="15" t="str">
        <f>IF($B984="","",IFERROR(INDEX(Services!$E$2:$E$120,MATCH($B984,Services!$D$2:$D$120,0)),""))</f>
        <v/>
      </c>
    </row>
    <row r="985" spans="1:10" x14ac:dyDescent="0.3">
      <c r="A985" s="18"/>
      <c r="B985" s="6"/>
      <c r="C985" s="6"/>
      <c r="D985" s="6"/>
      <c r="E985" s="16" t="str">
        <f>IF($B985="","",IFERROR(INDEX(Services!$C$2:$C$120,MATCH($B985,Services!$D$2:$D$120,0)),""))</f>
        <v/>
      </c>
      <c r="F985" s="19"/>
      <c r="G985" s="9" t="str">
        <f t="shared" si="15"/>
        <v/>
      </c>
      <c r="H985" s="15" t="str">
        <f>IF($B985="","",IFERROR(INDEX(Services!$A$2:$A$120,MATCH($B985,Services!$D$2:$D$120,0)),""))</f>
        <v/>
      </c>
      <c r="I985" s="19"/>
      <c r="J985" s="15" t="str">
        <f>IF($B985="","",IFERROR(INDEX(Services!$E$2:$E$120,MATCH($B985,Services!$D$2:$D$120,0)),""))</f>
        <v/>
      </c>
    </row>
    <row r="986" spans="1:10" x14ac:dyDescent="0.3">
      <c r="A986" s="18"/>
      <c r="B986" s="6"/>
      <c r="C986" s="6"/>
      <c r="D986" s="6"/>
      <c r="E986" s="16" t="str">
        <f>IF($B986="","",IFERROR(INDEX(Services!$C$2:$C$120,MATCH($B986,Services!$D$2:$D$120,0)),""))</f>
        <v/>
      </c>
      <c r="F986" s="19"/>
      <c r="G986" s="9" t="str">
        <f t="shared" si="15"/>
        <v/>
      </c>
      <c r="H986" s="15" t="str">
        <f>IF($B986="","",IFERROR(INDEX(Services!$A$2:$A$120,MATCH($B986,Services!$D$2:$D$120,0)),""))</f>
        <v/>
      </c>
      <c r="I986" s="19"/>
      <c r="J986" s="15" t="str">
        <f>IF($B986="","",IFERROR(INDEX(Services!$E$2:$E$120,MATCH($B986,Services!$D$2:$D$120,0)),""))</f>
        <v/>
      </c>
    </row>
    <row r="987" spans="1:10" x14ac:dyDescent="0.3">
      <c r="A987" s="18"/>
      <c r="B987" s="6"/>
      <c r="C987" s="6"/>
      <c r="D987" s="6"/>
      <c r="E987" s="16" t="str">
        <f>IF($B987="","",IFERROR(INDEX(Services!$C$2:$C$120,MATCH($B987,Services!$D$2:$D$120,0)),""))</f>
        <v/>
      </c>
      <c r="F987" s="19"/>
      <c r="G987" s="9" t="str">
        <f t="shared" si="15"/>
        <v/>
      </c>
      <c r="H987" s="15" t="str">
        <f>IF($B987="","",IFERROR(INDEX(Services!$A$2:$A$120,MATCH($B987,Services!$D$2:$D$120,0)),""))</f>
        <v/>
      </c>
      <c r="I987" s="19"/>
      <c r="J987" s="15" t="str">
        <f>IF($B987="","",IFERROR(INDEX(Services!$E$2:$E$120,MATCH($B987,Services!$D$2:$D$120,0)),""))</f>
        <v/>
      </c>
    </row>
    <row r="988" spans="1:10" x14ac:dyDescent="0.3">
      <c r="A988" s="18"/>
      <c r="B988" s="6"/>
      <c r="C988" s="6"/>
      <c r="D988" s="6"/>
      <c r="E988" s="16" t="str">
        <f>IF($B988="","",IFERROR(INDEX(Services!$C$2:$C$120,MATCH($B988,Services!$D$2:$D$120,0)),""))</f>
        <v/>
      </c>
      <c r="F988" s="19"/>
      <c r="G988" s="9" t="str">
        <f t="shared" si="15"/>
        <v/>
      </c>
      <c r="H988" s="15" t="str">
        <f>IF($B988="","",IFERROR(INDEX(Services!$A$2:$A$120,MATCH($B988,Services!$D$2:$D$120,0)),""))</f>
        <v/>
      </c>
      <c r="I988" s="19"/>
      <c r="J988" s="15" t="str">
        <f>IF($B988="","",IFERROR(INDEX(Services!$E$2:$E$120,MATCH($B988,Services!$D$2:$D$120,0)),""))</f>
        <v/>
      </c>
    </row>
    <row r="989" spans="1:10" x14ac:dyDescent="0.3">
      <c r="A989" s="18"/>
      <c r="B989" s="6"/>
      <c r="C989" s="6"/>
      <c r="D989" s="6"/>
      <c r="E989" s="16" t="str">
        <f>IF($B989="","",IFERROR(INDEX(Services!$C$2:$C$120,MATCH($B989,Services!$D$2:$D$120,0)),""))</f>
        <v/>
      </c>
      <c r="F989" s="19"/>
      <c r="G989" s="9" t="str">
        <f t="shared" si="15"/>
        <v/>
      </c>
      <c r="H989" s="15" t="str">
        <f>IF($B989="","",IFERROR(INDEX(Services!$A$2:$A$120,MATCH($B989,Services!$D$2:$D$120,0)),""))</f>
        <v/>
      </c>
      <c r="I989" s="19"/>
      <c r="J989" s="15" t="str">
        <f>IF($B989="","",IFERROR(INDEX(Services!$E$2:$E$120,MATCH($B989,Services!$D$2:$D$120,0)),""))</f>
        <v/>
      </c>
    </row>
    <row r="990" spans="1:10" x14ac:dyDescent="0.3">
      <c r="A990" s="18"/>
      <c r="B990" s="6"/>
      <c r="C990" s="6"/>
      <c r="D990" s="6"/>
      <c r="E990" s="16" t="str">
        <f>IF($B990="","",IFERROR(INDEX(Services!$C$2:$C$120,MATCH($B990,Services!$D$2:$D$120,0)),""))</f>
        <v/>
      </c>
      <c r="F990" s="19"/>
      <c r="G990" s="9" t="str">
        <f t="shared" si="15"/>
        <v/>
      </c>
      <c r="H990" s="15" t="str">
        <f>IF($B990="","",IFERROR(INDEX(Services!$A$2:$A$120,MATCH($B990,Services!$D$2:$D$120,0)),""))</f>
        <v/>
      </c>
      <c r="I990" s="19"/>
      <c r="J990" s="15" t="str">
        <f>IF($B990="","",IFERROR(INDEX(Services!$E$2:$E$120,MATCH($B990,Services!$D$2:$D$120,0)),""))</f>
        <v/>
      </c>
    </row>
    <row r="991" spans="1:10" x14ac:dyDescent="0.3">
      <c r="A991" s="18"/>
      <c r="B991" s="6"/>
      <c r="C991" s="6"/>
      <c r="D991" s="6"/>
      <c r="E991" s="16" t="str">
        <f>IF($B991="","",IFERROR(INDEX(Services!$C$2:$C$120,MATCH($B991,Services!$D$2:$D$120,0)),""))</f>
        <v/>
      </c>
      <c r="F991" s="19"/>
      <c r="G991" s="9" t="str">
        <f t="shared" si="15"/>
        <v/>
      </c>
      <c r="H991" s="15" t="str">
        <f>IF($B991="","",IFERROR(INDEX(Services!$A$2:$A$120,MATCH($B991,Services!$D$2:$D$120,0)),""))</f>
        <v/>
      </c>
      <c r="I991" s="19"/>
      <c r="J991" s="15" t="str">
        <f>IF($B991="","",IFERROR(INDEX(Services!$E$2:$E$120,MATCH($B991,Services!$D$2:$D$120,0)),""))</f>
        <v/>
      </c>
    </row>
    <row r="992" spans="1:10" x14ac:dyDescent="0.3">
      <c r="A992" s="18"/>
      <c r="B992" s="6"/>
      <c r="C992" s="6"/>
      <c r="D992" s="6"/>
      <c r="E992" s="16" t="str">
        <f>IF($B992="","",IFERROR(INDEX(Services!$C$2:$C$120,MATCH($B992,Services!$D$2:$D$120,0)),""))</f>
        <v/>
      </c>
      <c r="F992" s="19"/>
      <c r="G992" s="9" t="str">
        <f t="shared" si="15"/>
        <v/>
      </c>
      <c r="H992" s="15" t="str">
        <f>IF($B992="","",IFERROR(INDEX(Services!$A$2:$A$120,MATCH($B992,Services!$D$2:$D$120,0)),""))</f>
        <v/>
      </c>
      <c r="I992" s="19"/>
      <c r="J992" s="15" t="str">
        <f>IF($B992="","",IFERROR(INDEX(Services!$E$2:$E$120,MATCH($B992,Services!$D$2:$D$120,0)),""))</f>
        <v/>
      </c>
    </row>
    <row r="993" spans="1:10" x14ac:dyDescent="0.3">
      <c r="A993" s="18"/>
      <c r="B993" s="6"/>
      <c r="C993" s="6"/>
      <c r="D993" s="6"/>
      <c r="E993" s="16" t="str">
        <f>IF($B993="","",IFERROR(INDEX(Services!$C$2:$C$120,MATCH($B993,Services!$D$2:$D$120,0)),""))</f>
        <v/>
      </c>
      <c r="F993" s="19"/>
      <c r="G993" s="9" t="str">
        <f t="shared" si="15"/>
        <v/>
      </c>
      <c r="H993" s="15" t="str">
        <f>IF($B993="","",IFERROR(INDEX(Services!$A$2:$A$120,MATCH($B993,Services!$D$2:$D$120,0)),""))</f>
        <v/>
      </c>
      <c r="I993" s="19"/>
      <c r="J993" s="15" t="str">
        <f>IF($B993="","",IFERROR(INDEX(Services!$E$2:$E$120,MATCH($B993,Services!$D$2:$D$120,0)),""))</f>
        <v/>
      </c>
    </row>
    <row r="994" spans="1:10" x14ac:dyDescent="0.3">
      <c r="A994" s="18"/>
      <c r="B994" s="6"/>
      <c r="C994" s="6"/>
      <c r="D994" s="6"/>
      <c r="E994" s="16" t="str">
        <f>IF($B994="","",IFERROR(INDEX(Services!$C$2:$C$120,MATCH($B994,Services!$D$2:$D$120,0)),""))</f>
        <v/>
      </c>
      <c r="F994" s="19"/>
      <c r="G994" s="9" t="str">
        <f t="shared" si="15"/>
        <v/>
      </c>
      <c r="H994" s="15" t="str">
        <f>IF($B994="","",IFERROR(INDEX(Services!$A$2:$A$120,MATCH($B994,Services!$D$2:$D$120,0)),""))</f>
        <v/>
      </c>
      <c r="I994" s="19"/>
      <c r="J994" s="15" t="str">
        <f>IF($B994="","",IFERROR(INDEX(Services!$E$2:$E$120,MATCH($B994,Services!$D$2:$D$120,0)),""))</f>
        <v/>
      </c>
    </row>
    <row r="995" spans="1:10" x14ac:dyDescent="0.3">
      <c r="A995" s="18"/>
      <c r="B995" s="6"/>
      <c r="C995" s="6"/>
      <c r="D995" s="6"/>
      <c r="E995" s="16" t="str">
        <f>IF($B995="","",IFERROR(INDEX(Services!$C$2:$C$120,MATCH($B995,Services!$D$2:$D$120,0)),""))</f>
        <v/>
      </c>
      <c r="F995" s="19"/>
      <c r="G995" s="9" t="str">
        <f t="shared" si="15"/>
        <v/>
      </c>
      <c r="H995" s="15" t="str">
        <f>IF($B995="","",IFERROR(INDEX(Services!$A$2:$A$120,MATCH($B995,Services!$D$2:$D$120,0)),""))</f>
        <v/>
      </c>
      <c r="I995" s="19"/>
      <c r="J995" s="15" t="str">
        <f>IF($B995="","",IFERROR(INDEX(Services!$E$2:$E$120,MATCH($B995,Services!$D$2:$D$120,0)),""))</f>
        <v/>
      </c>
    </row>
    <row r="996" spans="1:10" x14ac:dyDescent="0.3">
      <c r="A996" s="18"/>
      <c r="B996" s="6"/>
      <c r="C996" s="6"/>
      <c r="D996" s="6"/>
      <c r="E996" s="16" t="str">
        <f>IF($B996="","",IFERROR(INDEX(Services!$C$2:$C$120,MATCH($B996,Services!$D$2:$D$120,0)),""))</f>
        <v/>
      </c>
      <c r="F996" s="19"/>
      <c r="G996" s="9" t="str">
        <f t="shared" si="15"/>
        <v/>
      </c>
      <c r="H996" s="15" t="str">
        <f>IF($B996="","",IFERROR(INDEX(Services!$A$2:$A$120,MATCH($B996,Services!$D$2:$D$120,0)),""))</f>
        <v/>
      </c>
      <c r="I996" s="19"/>
      <c r="J996" s="15" t="str">
        <f>IF($B996="","",IFERROR(INDEX(Services!$E$2:$E$120,MATCH($B996,Services!$D$2:$D$120,0)),""))</f>
        <v/>
      </c>
    </row>
    <row r="997" spans="1:10" x14ac:dyDescent="0.3">
      <c r="A997" s="18"/>
      <c r="B997" s="6"/>
      <c r="C997" s="6"/>
      <c r="D997" s="6"/>
      <c r="E997" s="16" t="str">
        <f>IF($B997="","",IFERROR(INDEX(Services!$C$2:$C$120,MATCH($B997,Services!$D$2:$D$120,0)),""))</f>
        <v/>
      </c>
      <c r="F997" s="19"/>
      <c r="G997" s="9" t="str">
        <f t="shared" si="15"/>
        <v/>
      </c>
      <c r="H997" s="15" t="str">
        <f>IF($B997="","",IFERROR(INDEX(Services!$A$2:$A$120,MATCH($B997,Services!$D$2:$D$120,0)),""))</f>
        <v/>
      </c>
      <c r="I997" s="19"/>
      <c r="J997" s="15" t="str">
        <f>IF($B997="","",IFERROR(INDEX(Services!$E$2:$E$120,MATCH($B997,Services!$D$2:$D$120,0)),""))</f>
        <v/>
      </c>
    </row>
    <row r="998" spans="1:10" x14ac:dyDescent="0.3">
      <c r="A998" s="18"/>
      <c r="B998" s="6"/>
      <c r="C998" s="6"/>
      <c r="D998" s="6"/>
      <c r="E998" s="16" t="str">
        <f>IF($B998="","",IFERROR(INDEX(Services!$C$2:$C$120,MATCH($B998,Services!$D$2:$D$120,0)),""))</f>
        <v/>
      </c>
      <c r="F998" s="19"/>
      <c r="G998" s="9" t="str">
        <f t="shared" si="15"/>
        <v/>
      </c>
      <c r="H998" s="15" t="str">
        <f>IF($B998="","",IFERROR(INDEX(Services!$A$2:$A$120,MATCH($B998,Services!$D$2:$D$120,0)),""))</f>
        <v/>
      </c>
      <c r="I998" s="19"/>
      <c r="J998" s="15" t="str">
        <f>IF($B998="","",IFERROR(INDEX(Services!$E$2:$E$120,MATCH($B998,Services!$D$2:$D$120,0)),""))</f>
        <v/>
      </c>
    </row>
    <row r="999" spans="1:10" x14ac:dyDescent="0.3">
      <c r="A999" s="18"/>
      <c r="B999" s="6"/>
      <c r="C999" s="6"/>
      <c r="D999" s="6"/>
      <c r="E999" s="16" t="str">
        <f>IF($B999="","",IFERROR(INDEX(Services!$C$2:$C$120,MATCH($B999,Services!$D$2:$D$120,0)),""))</f>
        <v/>
      </c>
      <c r="F999" s="19"/>
      <c r="G999" s="9" t="str">
        <f t="shared" si="15"/>
        <v/>
      </c>
      <c r="H999" s="15" t="str">
        <f>IF($B999="","",IFERROR(INDEX(Services!$A$2:$A$120,MATCH($B999,Services!$D$2:$D$120,0)),""))</f>
        <v/>
      </c>
      <c r="I999" s="19"/>
      <c r="J999" s="15" t="str">
        <f>IF($B999="","",IFERROR(INDEX(Services!$E$2:$E$120,MATCH($B999,Services!$D$2:$D$120,0)),""))</f>
        <v/>
      </c>
    </row>
    <row r="1000" spans="1:10" x14ac:dyDescent="0.3">
      <c r="A1000" s="18"/>
      <c r="B1000" s="6"/>
      <c r="C1000" s="6"/>
      <c r="D1000" s="6"/>
      <c r="E1000" s="16" t="str">
        <f>IF($B1000="","",IFERROR(INDEX(Services!$C$2:$C$120,MATCH($B1000,Services!$D$2:$D$120,0)),""))</f>
        <v/>
      </c>
      <c r="F1000" s="19"/>
      <c r="G1000" s="9" t="str">
        <f t="shared" si="15"/>
        <v/>
      </c>
      <c r="H1000" s="15" t="str">
        <f>IF($B1000="","",IFERROR(INDEX(Services!$A$2:$A$120,MATCH($B1000,Services!$D$2:$D$120,0)),""))</f>
        <v/>
      </c>
      <c r="I1000" s="19"/>
      <c r="J1000" s="15" t="str">
        <f>IF($B1000="","",IFERROR(INDEX(Services!$E$2:$E$120,MATCH($B1000,Services!$D$2:$D$120,0)),""))</f>
        <v/>
      </c>
    </row>
    <row r="1001" spans="1:10" x14ac:dyDescent="0.3">
      <c r="A1001" s="18"/>
      <c r="B1001" s="6"/>
      <c r="C1001" s="6"/>
      <c r="D1001" s="6"/>
      <c r="E1001" s="16" t="str">
        <f>IF($B1001="","",IFERROR(INDEX(Services!$C$2:$C$120,MATCH($B1001,Services!$D$2:$D$120,0)),""))</f>
        <v/>
      </c>
      <c r="F1001" s="19"/>
      <c r="G1001" s="9" t="str">
        <f t="shared" si="15"/>
        <v/>
      </c>
      <c r="H1001" s="15" t="str">
        <f>IF($B1001="","",IFERROR(INDEX(Services!$A$2:$A$120,MATCH($B1001,Services!$D$2:$D$120,0)),""))</f>
        <v/>
      </c>
      <c r="I1001" s="19"/>
      <c r="J1001" s="15" t="str">
        <f>IF($B1001="","",IFERROR(INDEX(Services!$E$2:$E$120,MATCH($B1001,Services!$D$2:$D$120,0)),""))</f>
        <v/>
      </c>
    </row>
    <row r="1002" spans="1:10" x14ac:dyDescent="0.3">
      <c r="A1002" s="18"/>
      <c r="B1002" s="6"/>
      <c r="C1002" s="6"/>
      <c r="D1002" s="6"/>
      <c r="E1002" s="16" t="str">
        <f>IF($B1002="","",IFERROR(INDEX(Services!$C$2:$C$120,MATCH($B1002,Services!$D$2:$D$120,0)),""))</f>
        <v/>
      </c>
      <c r="F1002" s="19"/>
      <c r="G1002" s="9" t="str">
        <f t="shared" si="15"/>
        <v/>
      </c>
      <c r="H1002" s="15" t="str">
        <f>IF($B1002="","",IFERROR(INDEX(Services!$A$2:$A$120,MATCH($B1002,Services!$D$2:$D$120,0)),""))</f>
        <v/>
      </c>
      <c r="I1002" s="19"/>
      <c r="J1002" s="15" t="str">
        <f>IF($B1002="","",IFERROR(INDEX(Services!$E$2:$E$120,MATCH($B1002,Services!$D$2:$D$120,0)),""))</f>
        <v/>
      </c>
    </row>
    <row r="1003" spans="1:10" x14ac:dyDescent="0.3">
      <c r="A1003" s="18"/>
      <c r="B1003" s="6"/>
      <c r="C1003" s="6"/>
      <c r="D1003" s="6"/>
      <c r="E1003" s="16" t="str">
        <f>IF($B1003="","",IFERROR(INDEX(Services!$C$2:$C$120,MATCH($B1003,Services!$D$2:$D$120,0)),""))</f>
        <v/>
      </c>
      <c r="F1003" s="19"/>
      <c r="G1003" s="9" t="str">
        <f t="shared" si="15"/>
        <v/>
      </c>
      <c r="H1003" s="15" t="str">
        <f>IF($B1003="","",IFERROR(INDEX(Services!$A$2:$A$120,MATCH($B1003,Services!$D$2:$D$120,0)),""))</f>
        <v/>
      </c>
      <c r="I1003" s="19"/>
      <c r="J1003" s="15" t="str">
        <f>IF($B1003="","",IFERROR(INDEX(Services!$E$2:$E$120,MATCH($B1003,Services!$D$2:$D$120,0)),""))</f>
        <v/>
      </c>
    </row>
    <row r="1004" spans="1:10" x14ac:dyDescent="0.3">
      <c r="A1004" s="18"/>
      <c r="B1004" s="6"/>
      <c r="C1004" s="6"/>
      <c r="D1004" s="6"/>
      <c r="E1004" s="16" t="str">
        <f>IF($B1004="","",IFERROR(INDEX(Services!$C$2:$C$120,MATCH($B1004,Services!$D$2:$D$120,0)),""))</f>
        <v/>
      </c>
      <c r="F1004" s="19"/>
      <c r="G1004" s="9" t="str">
        <f t="shared" si="15"/>
        <v/>
      </c>
      <c r="H1004" s="15" t="str">
        <f>IF($B1004="","",IFERROR(INDEX(Services!$A$2:$A$120,MATCH($B1004,Services!$D$2:$D$120,0)),""))</f>
        <v/>
      </c>
      <c r="I1004" s="19"/>
      <c r="J1004" s="15" t="str">
        <f>IF($B1004="","",IFERROR(INDEX(Services!$E$2:$E$120,MATCH($B1004,Services!$D$2:$D$120,0)),""))</f>
        <v/>
      </c>
    </row>
    <row r="1005" spans="1:10" x14ac:dyDescent="0.3">
      <c r="A1005" s="18"/>
      <c r="B1005" s="6"/>
      <c r="C1005" s="6"/>
      <c r="D1005" s="6"/>
      <c r="E1005" s="16" t="str">
        <f>IF($B1005="","",IFERROR(INDEX(Services!$C$2:$C$120,MATCH($B1005,Services!$D$2:$D$120,0)),""))</f>
        <v/>
      </c>
      <c r="F1005" s="19"/>
      <c r="G1005" s="9" t="str">
        <f t="shared" si="15"/>
        <v/>
      </c>
      <c r="H1005" s="15" t="str">
        <f>IF($B1005="","",IFERROR(INDEX(Services!$A$2:$A$120,MATCH($B1005,Services!$D$2:$D$120,0)),""))</f>
        <v/>
      </c>
      <c r="I1005" s="19"/>
      <c r="J1005" s="15" t="str">
        <f>IF($B1005="","",IFERROR(INDEX(Services!$E$2:$E$120,MATCH($B1005,Services!$D$2:$D$120,0)),""))</f>
        <v/>
      </c>
    </row>
    <row r="1006" spans="1:10" x14ac:dyDescent="0.3">
      <c r="A1006" s="18"/>
      <c r="B1006" s="6"/>
      <c r="C1006" s="6"/>
      <c r="D1006" s="6"/>
      <c r="E1006" s="16" t="str">
        <f>IF($B1006="","",IFERROR(INDEX(Services!$C$2:$C$120,MATCH($B1006,Services!$D$2:$D$120,0)),""))</f>
        <v/>
      </c>
      <c r="F1006" s="19"/>
      <c r="G1006" s="9" t="str">
        <f t="shared" si="15"/>
        <v/>
      </c>
      <c r="H1006" s="15" t="str">
        <f>IF($B1006="","",IFERROR(INDEX(Services!$A$2:$A$120,MATCH($B1006,Services!$D$2:$D$120,0)),""))</f>
        <v/>
      </c>
      <c r="I1006" s="19"/>
      <c r="J1006" s="15" t="str">
        <f>IF($B1006="","",IFERROR(INDEX(Services!$E$2:$E$120,MATCH($B1006,Services!$D$2:$D$120,0)),""))</f>
        <v/>
      </c>
    </row>
    <row r="1007" spans="1:10" x14ac:dyDescent="0.3">
      <c r="A1007" s="18"/>
      <c r="B1007" s="6"/>
      <c r="C1007" s="6"/>
      <c r="D1007" s="6"/>
      <c r="E1007" s="16" t="str">
        <f>IF($B1007="","",IFERROR(INDEX(Services!$C$2:$C$120,MATCH($B1007,Services!$D$2:$D$120,0)),""))</f>
        <v/>
      </c>
      <c r="F1007" s="19"/>
      <c r="G1007" s="9" t="str">
        <f t="shared" si="15"/>
        <v/>
      </c>
      <c r="H1007" s="15" t="str">
        <f>IF($B1007="","",IFERROR(INDEX(Services!$A$2:$A$120,MATCH($B1007,Services!$D$2:$D$120,0)),""))</f>
        <v/>
      </c>
      <c r="I1007" s="19"/>
      <c r="J1007" s="15" t="str">
        <f>IF($B1007="","",IFERROR(INDEX(Services!$E$2:$E$120,MATCH($B1007,Services!$D$2:$D$120,0)),""))</f>
        <v/>
      </c>
    </row>
    <row r="1008" spans="1:10" x14ac:dyDescent="0.3">
      <c r="A1008" s="18"/>
      <c r="B1008" s="6"/>
      <c r="C1008" s="6"/>
      <c r="D1008" s="6"/>
      <c r="E1008" s="16" t="str">
        <f>IF($B1008="","",IFERROR(INDEX(Services!$C$2:$C$120,MATCH($B1008,Services!$D$2:$D$120,0)),""))</f>
        <v/>
      </c>
      <c r="F1008" s="19"/>
      <c r="G1008" s="9" t="str">
        <f t="shared" si="15"/>
        <v/>
      </c>
      <c r="H1008" s="15" t="str">
        <f>IF($B1008="","",IFERROR(INDEX(Services!$A$2:$A$120,MATCH($B1008,Services!$D$2:$D$120,0)),""))</f>
        <v/>
      </c>
      <c r="I1008" s="19"/>
      <c r="J1008" s="15" t="str">
        <f>IF($B1008="","",IFERROR(INDEX(Services!$E$2:$E$120,MATCH($B1008,Services!$D$2:$D$120,0)),""))</f>
        <v/>
      </c>
    </row>
    <row r="1009" spans="1:10" x14ac:dyDescent="0.3">
      <c r="A1009" s="18"/>
      <c r="B1009" s="6"/>
      <c r="C1009" s="6"/>
      <c r="D1009" s="6"/>
      <c r="E1009" s="16" t="str">
        <f>IF($B1009="","",IFERROR(INDEX(Services!$C$2:$C$120,MATCH($B1009,Services!$D$2:$D$120,0)),""))</f>
        <v/>
      </c>
      <c r="F1009" s="19"/>
      <c r="G1009" s="9" t="str">
        <f t="shared" si="15"/>
        <v/>
      </c>
      <c r="H1009" s="15" t="str">
        <f>IF($B1009="","",IFERROR(INDEX(Services!$A$2:$A$120,MATCH($B1009,Services!$D$2:$D$120,0)),""))</f>
        <v/>
      </c>
      <c r="I1009" s="19"/>
      <c r="J1009" s="15" t="str">
        <f>IF($B1009="","",IFERROR(INDEX(Services!$E$2:$E$120,MATCH($B1009,Services!$D$2:$D$120,0)),""))</f>
        <v/>
      </c>
    </row>
    <row r="1010" spans="1:10" x14ac:dyDescent="0.3">
      <c r="A1010" s="18"/>
      <c r="B1010" s="6"/>
      <c r="C1010" s="6"/>
      <c r="D1010" s="6"/>
      <c r="E1010" s="16" t="str">
        <f>IF($B1010="","",IFERROR(INDEX(Services!$C$2:$C$120,MATCH($B1010,Services!$D$2:$D$120,0)),""))</f>
        <v/>
      </c>
      <c r="F1010" s="19"/>
      <c r="G1010" s="9" t="str">
        <f t="shared" si="15"/>
        <v/>
      </c>
      <c r="H1010" s="15" t="str">
        <f>IF($B1010="","",IFERROR(INDEX(Services!$A$2:$A$120,MATCH($B1010,Services!$D$2:$D$120,0)),""))</f>
        <v/>
      </c>
      <c r="I1010" s="19"/>
      <c r="J1010" s="15" t="str">
        <f>IF($B1010="","",IFERROR(INDEX(Services!$E$2:$E$120,MATCH($B1010,Services!$D$2:$D$120,0)),""))</f>
        <v/>
      </c>
    </row>
    <row r="1011" spans="1:10" x14ac:dyDescent="0.3">
      <c r="A1011" s="18"/>
      <c r="B1011" s="6"/>
      <c r="C1011" s="6"/>
      <c r="D1011" s="6"/>
      <c r="E1011" s="16" t="str">
        <f>IF($B1011="","",IFERROR(INDEX(Services!$C$2:$C$120,MATCH($B1011,Services!$D$2:$D$120,0)),""))</f>
        <v/>
      </c>
      <c r="F1011" s="19"/>
      <c r="G1011" s="9" t="str">
        <f t="shared" si="15"/>
        <v/>
      </c>
      <c r="H1011" s="15" t="str">
        <f>IF($B1011="","",IFERROR(INDEX(Services!$A$2:$A$120,MATCH($B1011,Services!$D$2:$D$120,0)),""))</f>
        <v/>
      </c>
      <c r="I1011" s="19"/>
      <c r="J1011" s="15" t="str">
        <f>IF($B1011="","",IFERROR(INDEX(Services!$E$2:$E$120,MATCH($B1011,Services!$D$2:$D$120,0)),""))</f>
        <v/>
      </c>
    </row>
    <row r="1012" spans="1:10" x14ac:dyDescent="0.3">
      <c r="A1012" s="18"/>
      <c r="B1012" s="6"/>
      <c r="C1012" s="6"/>
      <c r="D1012" s="6"/>
      <c r="E1012" s="16" t="str">
        <f>IF($B1012="","",IFERROR(INDEX(Services!$C$2:$C$120,MATCH($B1012,Services!$D$2:$D$120,0)),""))</f>
        <v/>
      </c>
      <c r="F1012" s="19"/>
      <c r="G1012" s="9" t="str">
        <f t="shared" si="15"/>
        <v/>
      </c>
      <c r="H1012" s="15" t="str">
        <f>IF($B1012="","",IFERROR(INDEX(Services!$A$2:$A$120,MATCH($B1012,Services!$D$2:$D$120,0)),""))</f>
        <v/>
      </c>
      <c r="I1012" s="19"/>
      <c r="J1012" s="15" t="str">
        <f>IF($B1012="","",IFERROR(INDEX(Services!$E$2:$E$120,MATCH($B1012,Services!$D$2:$D$120,0)),""))</f>
        <v/>
      </c>
    </row>
    <row r="1013" spans="1:10" x14ac:dyDescent="0.3">
      <c r="A1013" s="18"/>
      <c r="B1013" s="6"/>
      <c r="C1013" s="6"/>
      <c r="D1013" s="6"/>
      <c r="E1013" s="16" t="str">
        <f>IF($B1013="","",IFERROR(INDEX(Services!$C$2:$C$120,MATCH($B1013,Services!$D$2:$D$120,0)),""))</f>
        <v/>
      </c>
      <c r="F1013" s="19"/>
      <c r="G1013" s="9" t="str">
        <f t="shared" si="15"/>
        <v/>
      </c>
      <c r="H1013" s="15" t="str">
        <f>IF($B1013="","",IFERROR(INDEX(Services!$A$2:$A$120,MATCH($B1013,Services!$D$2:$D$120,0)),""))</f>
        <v/>
      </c>
      <c r="I1013" s="19"/>
      <c r="J1013" s="15" t="str">
        <f>IF($B1013="","",IFERROR(INDEX(Services!$E$2:$E$120,MATCH($B1013,Services!$D$2:$D$120,0)),""))</f>
        <v/>
      </c>
    </row>
    <row r="1014" spans="1:10" x14ac:dyDescent="0.3">
      <c r="A1014" s="18"/>
      <c r="B1014" s="6"/>
      <c r="C1014" s="6"/>
      <c r="D1014" s="6"/>
      <c r="E1014" s="16" t="str">
        <f>IF($B1014="","",IFERROR(INDEX(Services!$C$2:$C$120,MATCH($B1014,Services!$D$2:$D$120,0)),""))</f>
        <v/>
      </c>
      <c r="F1014" s="19"/>
      <c r="G1014" s="9" t="str">
        <f t="shared" si="15"/>
        <v/>
      </c>
      <c r="H1014" s="15" t="str">
        <f>IF($B1014="","",IFERROR(INDEX(Services!$A$2:$A$120,MATCH($B1014,Services!$D$2:$D$120,0)),""))</f>
        <v/>
      </c>
      <c r="I1014" s="19"/>
      <c r="J1014" s="15" t="str">
        <f>IF($B1014="","",IFERROR(INDEX(Services!$E$2:$E$120,MATCH($B1014,Services!$D$2:$D$120,0)),""))</f>
        <v/>
      </c>
    </row>
    <row r="1015" spans="1:10" x14ac:dyDescent="0.3">
      <c r="A1015" s="18"/>
      <c r="B1015" s="6"/>
      <c r="C1015" s="6"/>
      <c r="D1015" s="6"/>
      <c r="E1015" s="16" t="str">
        <f>IF($B1015="","",IFERROR(INDEX(Services!$C$2:$C$120,MATCH($B1015,Services!$D$2:$D$120,0)),""))</f>
        <v/>
      </c>
      <c r="F1015" s="19"/>
      <c r="G1015" s="9" t="str">
        <f t="shared" si="15"/>
        <v/>
      </c>
      <c r="H1015" s="15" t="str">
        <f>IF($B1015="","",IFERROR(INDEX(Services!$A$2:$A$120,MATCH($B1015,Services!$D$2:$D$120,0)),""))</f>
        <v/>
      </c>
      <c r="I1015" s="19"/>
      <c r="J1015" s="15" t="str">
        <f>IF($B1015="","",IFERROR(INDEX(Services!$E$2:$E$120,MATCH($B1015,Services!$D$2:$D$120,0)),""))</f>
        <v/>
      </c>
    </row>
    <row r="1016" spans="1:10" x14ac:dyDescent="0.3">
      <c r="A1016" s="18"/>
      <c r="B1016" s="6"/>
      <c r="C1016" s="6"/>
      <c r="D1016" s="6"/>
      <c r="E1016" s="16" t="str">
        <f>IF($B1016="","",IFERROR(INDEX(Services!$C$2:$C$120,MATCH($B1016,Services!$D$2:$D$120,0)),""))</f>
        <v/>
      </c>
      <c r="F1016" s="19"/>
      <c r="G1016" s="9" t="str">
        <f t="shared" si="15"/>
        <v/>
      </c>
      <c r="H1016" s="15" t="str">
        <f>IF($B1016="","",IFERROR(INDEX(Services!$A$2:$A$120,MATCH($B1016,Services!$D$2:$D$120,0)),""))</f>
        <v/>
      </c>
      <c r="I1016" s="19"/>
      <c r="J1016" s="15" t="str">
        <f>IF($B1016="","",IFERROR(INDEX(Services!$E$2:$E$120,MATCH($B1016,Services!$D$2:$D$120,0)),""))</f>
        <v/>
      </c>
    </row>
    <row r="1017" spans="1:10" x14ac:dyDescent="0.3">
      <c r="A1017" s="18"/>
      <c r="B1017" s="6"/>
      <c r="C1017" s="6"/>
      <c r="D1017" s="6"/>
      <c r="E1017" s="16" t="str">
        <f>IF($B1017="","",IFERROR(INDEX(Services!$C$2:$C$120,MATCH($B1017,Services!$D$2:$D$120,0)),""))</f>
        <v/>
      </c>
      <c r="F1017" s="19"/>
      <c r="G1017" s="9" t="str">
        <f t="shared" si="15"/>
        <v/>
      </c>
      <c r="H1017" s="15" t="str">
        <f>IF($B1017="","",IFERROR(INDEX(Services!$A$2:$A$120,MATCH($B1017,Services!$D$2:$D$120,0)),""))</f>
        <v/>
      </c>
      <c r="I1017" s="19"/>
      <c r="J1017" s="15" t="str">
        <f>IF($B1017="","",IFERROR(INDEX(Services!$E$2:$E$120,MATCH($B1017,Services!$D$2:$D$120,0)),""))</f>
        <v/>
      </c>
    </row>
    <row r="1018" spans="1:10" x14ac:dyDescent="0.3">
      <c r="A1018" s="18"/>
      <c r="B1018" s="6"/>
      <c r="C1018" s="6"/>
      <c r="D1018" s="6"/>
      <c r="E1018" s="16" t="str">
        <f>IF($B1018="","",IFERROR(INDEX(Services!$C$2:$C$120,MATCH($B1018,Services!$D$2:$D$120,0)),""))</f>
        <v/>
      </c>
      <c r="F1018" s="19"/>
      <c r="G1018" s="9" t="str">
        <f t="shared" si="15"/>
        <v/>
      </c>
      <c r="H1018" s="15" t="str">
        <f>IF($B1018="","",IFERROR(INDEX(Services!$A$2:$A$120,MATCH($B1018,Services!$D$2:$D$120,0)),""))</f>
        <v/>
      </c>
      <c r="I1018" s="19"/>
      <c r="J1018" s="15" t="str">
        <f>IF($B1018="","",IFERROR(INDEX(Services!$E$2:$E$120,MATCH($B1018,Services!$D$2:$D$120,0)),""))</f>
        <v/>
      </c>
    </row>
    <row r="1019" spans="1:10" x14ac:dyDescent="0.3">
      <c r="A1019" s="18"/>
      <c r="B1019" s="6"/>
      <c r="C1019" s="6"/>
      <c r="D1019" s="6"/>
      <c r="E1019" s="16" t="str">
        <f>IF($B1019="","",IFERROR(INDEX(Services!$C$2:$C$120,MATCH($B1019,Services!$D$2:$D$120,0)),""))</f>
        <v/>
      </c>
      <c r="F1019" s="19"/>
      <c r="G1019" s="9" t="str">
        <f t="shared" si="15"/>
        <v/>
      </c>
      <c r="H1019" s="15" t="str">
        <f>IF($B1019="","",IFERROR(INDEX(Services!$A$2:$A$120,MATCH($B1019,Services!$D$2:$D$120,0)),""))</f>
        <v/>
      </c>
      <c r="I1019" s="19"/>
      <c r="J1019" s="15" t="str">
        <f>IF($B1019="","",IFERROR(INDEX(Services!$E$2:$E$120,MATCH($B1019,Services!$D$2:$D$120,0)),""))</f>
        <v/>
      </c>
    </row>
    <row r="1020" spans="1:10" x14ac:dyDescent="0.3">
      <c r="A1020" s="18"/>
      <c r="B1020" s="6"/>
      <c r="C1020" s="6"/>
      <c r="D1020" s="6"/>
      <c r="E1020" s="16" t="str">
        <f>IF($B1020="","",IFERROR(INDEX(Services!$C$2:$C$120,MATCH($B1020,Services!$D$2:$D$120,0)),""))</f>
        <v/>
      </c>
      <c r="F1020" s="19"/>
      <c r="G1020" s="9" t="str">
        <f t="shared" si="15"/>
        <v/>
      </c>
      <c r="H1020" s="15" t="str">
        <f>IF($B1020="","",IFERROR(INDEX(Services!$A$2:$A$120,MATCH($B1020,Services!$D$2:$D$120,0)),""))</f>
        <v/>
      </c>
      <c r="I1020" s="19"/>
      <c r="J1020" s="15" t="str">
        <f>IF($B1020="","",IFERROR(INDEX(Services!$E$2:$E$120,MATCH($B1020,Services!$D$2:$D$120,0)),""))</f>
        <v/>
      </c>
    </row>
    <row r="1021" spans="1:10" x14ac:dyDescent="0.3">
      <c r="A1021" s="18"/>
      <c r="B1021" s="6"/>
      <c r="C1021" s="6"/>
      <c r="D1021" s="6"/>
      <c r="E1021" s="16" t="str">
        <f>IF($B1021="","",IFERROR(INDEX(Services!$C$2:$C$120,MATCH($B1021,Services!$D$2:$D$120,0)),""))</f>
        <v/>
      </c>
      <c r="F1021" s="19"/>
      <c r="G1021" s="9" t="str">
        <f t="shared" si="15"/>
        <v/>
      </c>
      <c r="H1021" s="15" t="str">
        <f>IF($B1021="","",IFERROR(INDEX(Services!$A$2:$A$120,MATCH($B1021,Services!$D$2:$D$120,0)),""))</f>
        <v/>
      </c>
      <c r="I1021" s="19"/>
      <c r="J1021" s="15" t="str">
        <f>IF($B1021="","",IFERROR(INDEX(Services!$E$2:$E$120,MATCH($B1021,Services!$D$2:$D$120,0)),""))</f>
        <v/>
      </c>
    </row>
    <row r="1022" spans="1:10" x14ac:dyDescent="0.3">
      <c r="A1022" s="18"/>
      <c r="B1022" s="6"/>
      <c r="C1022" s="6"/>
      <c r="D1022" s="6"/>
      <c r="E1022" s="16" t="str">
        <f>IF($B1022="","",IFERROR(INDEX(Services!$C$2:$C$120,MATCH($B1022,Services!$D$2:$D$120,0)),""))</f>
        <v/>
      </c>
      <c r="F1022" s="19"/>
      <c r="G1022" s="9" t="str">
        <f t="shared" si="15"/>
        <v/>
      </c>
      <c r="H1022" s="15" t="str">
        <f>IF($B1022="","",IFERROR(INDEX(Services!$A$2:$A$120,MATCH($B1022,Services!$D$2:$D$120,0)),""))</f>
        <v/>
      </c>
      <c r="I1022" s="19"/>
      <c r="J1022" s="15" t="str">
        <f>IF($B1022="","",IFERROR(INDEX(Services!$E$2:$E$120,MATCH($B1022,Services!$D$2:$D$120,0)),""))</f>
        <v/>
      </c>
    </row>
    <row r="1023" spans="1:10" x14ac:dyDescent="0.3">
      <c r="A1023" s="18"/>
      <c r="B1023" s="6"/>
      <c r="C1023" s="6"/>
      <c r="D1023" s="6"/>
      <c r="E1023" s="16" t="str">
        <f>IF($B1023="","",IFERROR(INDEX(Services!$C$2:$C$120,MATCH($B1023,Services!$D$2:$D$120,0)),""))</f>
        <v/>
      </c>
      <c r="F1023" s="19"/>
      <c r="G1023" s="9" t="str">
        <f t="shared" si="15"/>
        <v/>
      </c>
      <c r="H1023" s="15" t="str">
        <f>IF($B1023="","",IFERROR(INDEX(Services!$A$2:$A$120,MATCH($B1023,Services!$D$2:$D$120,0)),""))</f>
        <v/>
      </c>
      <c r="I1023" s="19"/>
      <c r="J1023" s="15" t="str">
        <f>IF($B1023="","",IFERROR(INDEX(Services!$E$2:$E$120,MATCH($B1023,Services!$D$2:$D$120,0)),""))</f>
        <v/>
      </c>
    </row>
    <row r="1024" spans="1:10" x14ac:dyDescent="0.3">
      <c r="A1024" s="18"/>
      <c r="B1024" s="6"/>
      <c r="C1024" s="6"/>
      <c r="D1024" s="6"/>
      <c r="E1024" s="16" t="str">
        <f>IF($B1024="","",IFERROR(INDEX(Services!$C$2:$C$120,MATCH($B1024,Services!$D$2:$D$120,0)),""))</f>
        <v/>
      </c>
      <c r="F1024" s="19"/>
      <c r="G1024" s="9" t="str">
        <f t="shared" si="15"/>
        <v/>
      </c>
      <c r="H1024" s="15" t="str">
        <f>IF($B1024="","",IFERROR(INDEX(Services!$A$2:$A$120,MATCH($B1024,Services!$D$2:$D$120,0)),""))</f>
        <v/>
      </c>
      <c r="I1024" s="19"/>
      <c r="J1024" s="15" t="str">
        <f>IF($B1024="","",IFERROR(INDEX(Services!$E$2:$E$120,MATCH($B1024,Services!$D$2:$D$120,0)),""))</f>
        <v/>
      </c>
    </row>
    <row r="1025" spans="1:10" x14ac:dyDescent="0.3">
      <c r="A1025" s="18"/>
      <c r="B1025" s="6"/>
      <c r="C1025" s="6"/>
      <c r="D1025" s="6"/>
      <c r="E1025" s="16" t="str">
        <f>IF($B1025="","",IFERROR(INDEX(Services!$C$2:$C$120,MATCH($B1025,Services!$D$2:$D$120,0)),""))</f>
        <v/>
      </c>
      <c r="F1025" s="19"/>
      <c r="G1025" s="9" t="str">
        <f t="shared" si="15"/>
        <v/>
      </c>
      <c r="H1025" s="15" t="str">
        <f>IF($B1025="","",IFERROR(INDEX(Services!$A$2:$A$120,MATCH($B1025,Services!$D$2:$D$120,0)),""))</f>
        <v/>
      </c>
      <c r="I1025" s="19"/>
      <c r="J1025" s="15" t="str">
        <f>IF($B1025="","",IFERROR(INDEX(Services!$E$2:$E$120,MATCH($B1025,Services!$D$2:$D$120,0)),""))</f>
        <v/>
      </c>
    </row>
    <row r="1026" spans="1:10" x14ac:dyDescent="0.3">
      <c r="A1026" s="18"/>
      <c r="B1026" s="6"/>
      <c r="C1026" s="6"/>
      <c r="D1026" s="6"/>
      <c r="E1026" s="16" t="str">
        <f>IF($B1026="","",IFERROR(INDEX(Services!$C$2:$C$120,MATCH($B1026,Services!$D$2:$D$120,0)),""))</f>
        <v/>
      </c>
      <c r="F1026" s="19"/>
      <c r="G1026" s="9" t="str">
        <f t="shared" ref="G1026:G1089" si="16">IF(OR($B1026="",NOT(ISNUMBER($E1026))),"",$E1026-IF($F1026="",0,$F1026))</f>
        <v/>
      </c>
      <c r="H1026" s="15" t="str">
        <f>IF($B1026="","",IFERROR(INDEX(Services!$A$2:$A$120,MATCH($B1026,Services!$D$2:$D$120,0)),""))</f>
        <v/>
      </c>
      <c r="I1026" s="19"/>
      <c r="J1026" s="15" t="str">
        <f>IF($B1026="","",IFERROR(INDEX(Services!$E$2:$E$120,MATCH($B1026,Services!$D$2:$D$120,0)),""))</f>
        <v/>
      </c>
    </row>
    <row r="1027" spans="1:10" x14ac:dyDescent="0.3">
      <c r="A1027" s="18"/>
      <c r="B1027" s="6"/>
      <c r="C1027" s="6"/>
      <c r="D1027" s="6"/>
      <c r="E1027" s="16" t="str">
        <f>IF($B1027="","",IFERROR(INDEX(Services!$C$2:$C$120,MATCH($B1027,Services!$D$2:$D$120,0)),""))</f>
        <v/>
      </c>
      <c r="F1027" s="19"/>
      <c r="G1027" s="9" t="str">
        <f t="shared" si="16"/>
        <v/>
      </c>
      <c r="H1027" s="15" t="str">
        <f>IF($B1027="","",IFERROR(INDEX(Services!$A$2:$A$120,MATCH($B1027,Services!$D$2:$D$120,0)),""))</f>
        <v/>
      </c>
      <c r="I1027" s="19"/>
      <c r="J1027" s="15" t="str">
        <f>IF($B1027="","",IFERROR(INDEX(Services!$E$2:$E$120,MATCH($B1027,Services!$D$2:$D$120,0)),""))</f>
        <v/>
      </c>
    </row>
    <row r="1028" spans="1:10" x14ac:dyDescent="0.3">
      <c r="A1028" s="18"/>
      <c r="B1028" s="6"/>
      <c r="C1028" s="6"/>
      <c r="D1028" s="6"/>
      <c r="E1028" s="16" t="str">
        <f>IF($B1028="","",IFERROR(INDEX(Services!$C$2:$C$120,MATCH($B1028,Services!$D$2:$D$120,0)),""))</f>
        <v/>
      </c>
      <c r="F1028" s="19"/>
      <c r="G1028" s="9" t="str">
        <f t="shared" si="16"/>
        <v/>
      </c>
      <c r="H1028" s="15" t="str">
        <f>IF($B1028="","",IFERROR(INDEX(Services!$A$2:$A$120,MATCH($B1028,Services!$D$2:$D$120,0)),""))</f>
        <v/>
      </c>
      <c r="I1028" s="19"/>
      <c r="J1028" s="15" t="str">
        <f>IF($B1028="","",IFERROR(INDEX(Services!$E$2:$E$120,MATCH($B1028,Services!$D$2:$D$120,0)),""))</f>
        <v/>
      </c>
    </row>
    <row r="1029" spans="1:10" x14ac:dyDescent="0.3">
      <c r="A1029" s="18"/>
      <c r="B1029" s="6"/>
      <c r="C1029" s="6"/>
      <c r="D1029" s="6"/>
      <c r="E1029" s="16" t="str">
        <f>IF($B1029="","",IFERROR(INDEX(Services!$C$2:$C$120,MATCH($B1029,Services!$D$2:$D$120,0)),""))</f>
        <v/>
      </c>
      <c r="F1029" s="19"/>
      <c r="G1029" s="9" t="str">
        <f t="shared" si="16"/>
        <v/>
      </c>
      <c r="H1029" s="15" t="str">
        <f>IF($B1029="","",IFERROR(INDEX(Services!$A$2:$A$120,MATCH($B1029,Services!$D$2:$D$120,0)),""))</f>
        <v/>
      </c>
      <c r="I1029" s="19"/>
      <c r="J1029" s="15" t="str">
        <f>IF($B1029="","",IFERROR(INDEX(Services!$E$2:$E$120,MATCH($B1029,Services!$D$2:$D$120,0)),""))</f>
        <v/>
      </c>
    </row>
    <row r="1030" spans="1:10" x14ac:dyDescent="0.3">
      <c r="A1030" s="18"/>
      <c r="B1030" s="6"/>
      <c r="C1030" s="6"/>
      <c r="D1030" s="6"/>
      <c r="E1030" s="16" t="str">
        <f>IF($B1030="","",IFERROR(INDEX(Services!$C$2:$C$120,MATCH($B1030,Services!$D$2:$D$120,0)),""))</f>
        <v/>
      </c>
      <c r="F1030" s="19"/>
      <c r="G1030" s="9" t="str">
        <f t="shared" si="16"/>
        <v/>
      </c>
      <c r="H1030" s="15" t="str">
        <f>IF($B1030="","",IFERROR(INDEX(Services!$A$2:$A$120,MATCH($B1030,Services!$D$2:$D$120,0)),""))</f>
        <v/>
      </c>
      <c r="I1030" s="19"/>
      <c r="J1030" s="15" t="str">
        <f>IF($B1030="","",IFERROR(INDEX(Services!$E$2:$E$120,MATCH($B1030,Services!$D$2:$D$120,0)),""))</f>
        <v/>
      </c>
    </row>
    <row r="1031" spans="1:10" x14ac:dyDescent="0.3">
      <c r="A1031" s="18"/>
      <c r="B1031" s="6"/>
      <c r="C1031" s="6"/>
      <c r="D1031" s="6"/>
      <c r="E1031" s="16" t="str">
        <f>IF($B1031="","",IFERROR(INDEX(Services!$C$2:$C$120,MATCH($B1031,Services!$D$2:$D$120,0)),""))</f>
        <v/>
      </c>
      <c r="F1031" s="19"/>
      <c r="G1031" s="9" t="str">
        <f t="shared" si="16"/>
        <v/>
      </c>
      <c r="H1031" s="15" t="str">
        <f>IF($B1031="","",IFERROR(INDEX(Services!$A$2:$A$120,MATCH($B1031,Services!$D$2:$D$120,0)),""))</f>
        <v/>
      </c>
      <c r="I1031" s="19"/>
      <c r="J1031" s="15" t="str">
        <f>IF($B1031="","",IFERROR(INDEX(Services!$E$2:$E$120,MATCH($B1031,Services!$D$2:$D$120,0)),""))</f>
        <v/>
      </c>
    </row>
    <row r="1032" spans="1:10" x14ac:dyDescent="0.3">
      <c r="A1032" s="18"/>
      <c r="B1032" s="6"/>
      <c r="C1032" s="6"/>
      <c r="D1032" s="6"/>
      <c r="E1032" s="16" t="str">
        <f>IF($B1032="","",IFERROR(INDEX(Services!$C$2:$C$120,MATCH($B1032,Services!$D$2:$D$120,0)),""))</f>
        <v/>
      </c>
      <c r="F1032" s="19"/>
      <c r="G1032" s="9" t="str">
        <f t="shared" si="16"/>
        <v/>
      </c>
      <c r="H1032" s="15" t="str">
        <f>IF($B1032="","",IFERROR(INDEX(Services!$A$2:$A$120,MATCH($B1032,Services!$D$2:$D$120,0)),""))</f>
        <v/>
      </c>
      <c r="I1032" s="19"/>
      <c r="J1032" s="15" t="str">
        <f>IF($B1032="","",IFERROR(INDEX(Services!$E$2:$E$120,MATCH($B1032,Services!$D$2:$D$120,0)),""))</f>
        <v/>
      </c>
    </row>
    <row r="1033" spans="1:10" x14ac:dyDescent="0.3">
      <c r="A1033" s="18"/>
      <c r="B1033" s="6"/>
      <c r="C1033" s="6"/>
      <c r="D1033" s="6"/>
      <c r="E1033" s="16" t="str">
        <f>IF($B1033="","",IFERROR(INDEX(Services!$C$2:$C$120,MATCH($B1033,Services!$D$2:$D$120,0)),""))</f>
        <v/>
      </c>
      <c r="F1033" s="19"/>
      <c r="G1033" s="9" t="str">
        <f t="shared" si="16"/>
        <v/>
      </c>
      <c r="H1033" s="15" t="str">
        <f>IF($B1033="","",IFERROR(INDEX(Services!$A$2:$A$120,MATCH($B1033,Services!$D$2:$D$120,0)),""))</f>
        <v/>
      </c>
      <c r="I1033" s="19"/>
      <c r="J1033" s="15" t="str">
        <f>IF($B1033="","",IFERROR(INDEX(Services!$E$2:$E$120,MATCH($B1033,Services!$D$2:$D$120,0)),""))</f>
        <v/>
      </c>
    </row>
    <row r="1034" spans="1:10" x14ac:dyDescent="0.3">
      <c r="A1034" s="18"/>
      <c r="B1034" s="6"/>
      <c r="C1034" s="6"/>
      <c r="D1034" s="6"/>
      <c r="E1034" s="16" t="str">
        <f>IF($B1034="","",IFERROR(INDEX(Services!$C$2:$C$120,MATCH($B1034,Services!$D$2:$D$120,0)),""))</f>
        <v/>
      </c>
      <c r="F1034" s="19"/>
      <c r="G1034" s="9" t="str">
        <f t="shared" si="16"/>
        <v/>
      </c>
      <c r="H1034" s="15" t="str">
        <f>IF($B1034="","",IFERROR(INDEX(Services!$A$2:$A$120,MATCH($B1034,Services!$D$2:$D$120,0)),""))</f>
        <v/>
      </c>
      <c r="I1034" s="19"/>
      <c r="J1034" s="15" t="str">
        <f>IF($B1034="","",IFERROR(INDEX(Services!$E$2:$E$120,MATCH($B1034,Services!$D$2:$D$120,0)),""))</f>
        <v/>
      </c>
    </row>
    <row r="1035" spans="1:10" x14ac:dyDescent="0.3">
      <c r="A1035" s="18"/>
      <c r="B1035" s="6"/>
      <c r="C1035" s="6"/>
      <c r="D1035" s="6"/>
      <c r="E1035" s="16" t="str">
        <f>IF($B1035="","",IFERROR(INDEX(Services!$C$2:$C$120,MATCH($B1035,Services!$D$2:$D$120,0)),""))</f>
        <v/>
      </c>
      <c r="F1035" s="19"/>
      <c r="G1035" s="9" t="str">
        <f t="shared" si="16"/>
        <v/>
      </c>
      <c r="H1035" s="15" t="str">
        <f>IF($B1035="","",IFERROR(INDEX(Services!$A$2:$A$120,MATCH($B1035,Services!$D$2:$D$120,0)),""))</f>
        <v/>
      </c>
      <c r="I1035" s="19"/>
      <c r="J1035" s="15" t="str">
        <f>IF($B1035="","",IFERROR(INDEX(Services!$E$2:$E$120,MATCH($B1035,Services!$D$2:$D$120,0)),""))</f>
        <v/>
      </c>
    </row>
    <row r="1036" spans="1:10" x14ac:dyDescent="0.3">
      <c r="A1036" s="18"/>
      <c r="B1036" s="6"/>
      <c r="C1036" s="6"/>
      <c r="D1036" s="6"/>
      <c r="E1036" s="16" t="str">
        <f>IF($B1036="","",IFERROR(INDEX(Services!$C$2:$C$120,MATCH($B1036,Services!$D$2:$D$120,0)),""))</f>
        <v/>
      </c>
      <c r="F1036" s="19"/>
      <c r="G1036" s="9" t="str">
        <f t="shared" si="16"/>
        <v/>
      </c>
      <c r="H1036" s="15" t="str">
        <f>IF($B1036="","",IFERROR(INDEX(Services!$A$2:$A$120,MATCH($B1036,Services!$D$2:$D$120,0)),""))</f>
        <v/>
      </c>
      <c r="I1036" s="19"/>
      <c r="J1036" s="15" t="str">
        <f>IF($B1036="","",IFERROR(INDEX(Services!$E$2:$E$120,MATCH($B1036,Services!$D$2:$D$120,0)),""))</f>
        <v/>
      </c>
    </row>
    <row r="1037" spans="1:10" x14ac:dyDescent="0.3">
      <c r="A1037" s="18"/>
      <c r="B1037" s="6"/>
      <c r="C1037" s="6"/>
      <c r="D1037" s="6"/>
      <c r="E1037" s="16" t="str">
        <f>IF($B1037="","",IFERROR(INDEX(Services!$C$2:$C$120,MATCH($B1037,Services!$D$2:$D$120,0)),""))</f>
        <v/>
      </c>
      <c r="F1037" s="19"/>
      <c r="G1037" s="9" t="str">
        <f t="shared" si="16"/>
        <v/>
      </c>
      <c r="H1037" s="15" t="str">
        <f>IF($B1037="","",IFERROR(INDEX(Services!$A$2:$A$120,MATCH($B1037,Services!$D$2:$D$120,0)),""))</f>
        <v/>
      </c>
      <c r="I1037" s="19"/>
      <c r="J1037" s="15" t="str">
        <f>IF($B1037="","",IFERROR(INDEX(Services!$E$2:$E$120,MATCH($B1037,Services!$D$2:$D$120,0)),""))</f>
        <v/>
      </c>
    </row>
    <row r="1038" spans="1:10" x14ac:dyDescent="0.3">
      <c r="A1038" s="18"/>
      <c r="B1038" s="6"/>
      <c r="C1038" s="6"/>
      <c r="D1038" s="6"/>
      <c r="E1038" s="16" t="str">
        <f>IF($B1038="","",IFERROR(INDEX(Services!$C$2:$C$120,MATCH($B1038,Services!$D$2:$D$120,0)),""))</f>
        <v/>
      </c>
      <c r="F1038" s="19"/>
      <c r="G1038" s="9" t="str">
        <f t="shared" si="16"/>
        <v/>
      </c>
      <c r="H1038" s="15" t="str">
        <f>IF($B1038="","",IFERROR(INDEX(Services!$A$2:$A$120,MATCH($B1038,Services!$D$2:$D$120,0)),""))</f>
        <v/>
      </c>
      <c r="I1038" s="19"/>
      <c r="J1038" s="15" t="str">
        <f>IF($B1038="","",IFERROR(INDEX(Services!$E$2:$E$120,MATCH($B1038,Services!$D$2:$D$120,0)),""))</f>
        <v/>
      </c>
    </row>
    <row r="1039" spans="1:10" x14ac:dyDescent="0.3">
      <c r="A1039" s="18"/>
      <c r="B1039" s="6"/>
      <c r="C1039" s="6"/>
      <c r="D1039" s="6"/>
      <c r="E1039" s="16" t="str">
        <f>IF($B1039="","",IFERROR(INDEX(Services!$C$2:$C$120,MATCH($B1039,Services!$D$2:$D$120,0)),""))</f>
        <v/>
      </c>
      <c r="F1039" s="19"/>
      <c r="G1039" s="9" t="str">
        <f t="shared" si="16"/>
        <v/>
      </c>
      <c r="H1039" s="15" t="str">
        <f>IF($B1039="","",IFERROR(INDEX(Services!$A$2:$A$120,MATCH($B1039,Services!$D$2:$D$120,0)),""))</f>
        <v/>
      </c>
      <c r="I1039" s="19"/>
      <c r="J1039" s="15" t="str">
        <f>IF($B1039="","",IFERROR(INDEX(Services!$E$2:$E$120,MATCH($B1039,Services!$D$2:$D$120,0)),""))</f>
        <v/>
      </c>
    </row>
    <row r="1040" spans="1:10" x14ac:dyDescent="0.3">
      <c r="A1040" s="18"/>
      <c r="B1040" s="6"/>
      <c r="C1040" s="6"/>
      <c r="D1040" s="6"/>
      <c r="E1040" s="16" t="str">
        <f>IF($B1040="","",IFERROR(INDEX(Services!$C$2:$C$120,MATCH($B1040,Services!$D$2:$D$120,0)),""))</f>
        <v/>
      </c>
      <c r="F1040" s="19"/>
      <c r="G1040" s="9" t="str">
        <f t="shared" si="16"/>
        <v/>
      </c>
      <c r="H1040" s="15" t="str">
        <f>IF($B1040="","",IFERROR(INDEX(Services!$A$2:$A$120,MATCH($B1040,Services!$D$2:$D$120,0)),""))</f>
        <v/>
      </c>
      <c r="I1040" s="19"/>
      <c r="J1040" s="15" t="str">
        <f>IF($B1040="","",IFERROR(INDEX(Services!$E$2:$E$120,MATCH($B1040,Services!$D$2:$D$120,0)),""))</f>
        <v/>
      </c>
    </row>
    <row r="1041" spans="1:10" x14ac:dyDescent="0.3">
      <c r="A1041" s="18"/>
      <c r="B1041" s="6"/>
      <c r="C1041" s="6"/>
      <c r="D1041" s="6"/>
      <c r="E1041" s="16" t="str">
        <f>IF($B1041="","",IFERROR(INDEX(Services!$C$2:$C$120,MATCH($B1041,Services!$D$2:$D$120,0)),""))</f>
        <v/>
      </c>
      <c r="F1041" s="19"/>
      <c r="G1041" s="9" t="str">
        <f t="shared" si="16"/>
        <v/>
      </c>
      <c r="H1041" s="15" t="str">
        <f>IF($B1041="","",IFERROR(INDEX(Services!$A$2:$A$120,MATCH($B1041,Services!$D$2:$D$120,0)),""))</f>
        <v/>
      </c>
      <c r="I1041" s="19"/>
      <c r="J1041" s="15" t="str">
        <f>IF($B1041="","",IFERROR(INDEX(Services!$E$2:$E$120,MATCH($B1041,Services!$D$2:$D$120,0)),""))</f>
        <v/>
      </c>
    </row>
    <row r="1042" spans="1:10" x14ac:dyDescent="0.3">
      <c r="A1042" s="18"/>
      <c r="B1042" s="6"/>
      <c r="C1042" s="6"/>
      <c r="D1042" s="6"/>
      <c r="E1042" s="16" t="str">
        <f>IF($B1042="","",IFERROR(INDEX(Services!$C$2:$C$120,MATCH($B1042,Services!$D$2:$D$120,0)),""))</f>
        <v/>
      </c>
      <c r="F1042" s="19"/>
      <c r="G1042" s="9" t="str">
        <f t="shared" si="16"/>
        <v/>
      </c>
      <c r="H1042" s="15" t="str">
        <f>IF($B1042="","",IFERROR(INDEX(Services!$A$2:$A$120,MATCH($B1042,Services!$D$2:$D$120,0)),""))</f>
        <v/>
      </c>
      <c r="I1042" s="19"/>
      <c r="J1042" s="15" t="str">
        <f>IF($B1042="","",IFERROR(INDEX(Services!$E$2:$E$120,MATCH($B1042,Services!$D$2:$D$120,0)),""))</f>
        <v/>
      </c>
    </row>
    <row r="1043" spans="1:10" x14ac:dyDescent="0.3">
      <c r="A1043" s="18"/>
      <c r="B1043" s="6"/>
      <c r="C1043" s="6"/>
      <c r="D1043" s="6"/>
      <c r="E1043" s="16" t="str">
        <f>IF($B1043="","",IFERROR(INDEX(Services!$C$2:$C$120,MATCH($B1043,Services!$D$2:$D$120,0)),""))</f>
        <v/>
      </c>
      <c r="F1043" s="19"/>
      <c r="G1043" s="9" t="str">
        <f t="shared" si="16"/>
        <v/>
      </c>
      <c r="H1043" s="15" t="str">
        <f>IF($B1043="","",IFERROR(INDEX(Services!$A$2:$A$120,MATCH($B1043,Services!$D$2:$D$120,0)),""))</f>
        <v/>
      </c>
      <c r="I1043" s="19"/>
      <c r="J1043" s="15" t="str">
        <f>IF($B1043="","",IFERROR(INDEX(Services!$E$2:$E$120,MATCH($B1043,Services!$D$2:$D$120,0)),""))</f>
        <v/>
      </c>
    </row>
    <row r="1044" spans="1:10" x14ac:dyDescent="0.3">
      <c r="A1044" s="18"/>
      <c r="B1044" s="6"/>
      <c r="C1044" s="6"/>
      <c r="D1044" s="6"/>
      <c r="E1044" s="16" t="str">
        <f>IF($B1044="","",IFERROR(INDEX(Services!$C$2:$C$120,MATCH($B1044,Services!$D$2:$D$120,0)),""))</f>
        <v/>
      </c>
      <c r="F1044" s="19"/>
      <c r="G1044" s="9" t="str">
        <f t="shared" si="16"/>
        <v/>
      </c>
      <c r="H1044" s="15" t="str">
        <f>IF($B1044="","",IFERROR(INDEX(Services!$A$2:$A$120,MATCH($B1044,Services!$D$2:$D$120,0)),""))</f>
        <v/>
      </c>
      <c r="I1044" s="19"/>
      <c r="J1044" s="15" t="str">
        <f>IF($B1044="","",IFERROR(INDEX(Services!$E$2:$E$120,MATCH($B1044,Services!$D$2:$D$120,0)),""))</f>
        <v/>
      </c>
    </row>
    <row r="1045" spans="1:10" x14ac:dyDescent="0.3">
      <c r="A1045" s="18"/>
      <c r="B1045" s="6"/>
      <c r="C1045" s="6"/>
      <c r="D1045" s="6"/>
      <c r="E1045" s="16" t="str">
        <f>IF($B1045="","",IFERROR(INDEX(Services!$C$2:$C$120,MATCH($B1045,Services!$D$2:$D$120,0)),""))</f>
        <v/>
      </c>
      <c r="F1045" s="19"/>
      <c r="G1045" s="9" t="str">
        <f t="shared" si="16"/>
        <v/>
      </c>
      <c r="H1045" s="15" t="str">
        <f>IF($B1045="","",IFERROR(INDEX(Services!$A$2:$A$120,MATCH($B1045,Services!$D$2:$D$120,0)),""))</f>
        <v/>
      </c>
      <c r="I1045" s="19"/>
      <c r="J1045" s="15" t="str">
        <f>IF($B1045="","",IFERROR(INDEX(Services!$E$2:$E$120,MATCH($B1045,Services!$D$2:$D$120,0)),""))</f>
        <v/>
      </c>
    </row>
    <row r="1046" spans="1:10" x14ac:dyDescent="0.3">
      <c r="A1046" s="18"/>
      <c r="B1046" s="6"/>
      <c r="C1046" s="6"/>
      <c r="D1046" s="6"/>
      <c r="E1046" s="16" t="str">
        <f>IF($B1046="","",IFERROR(INDEX(Services!$C$2:$C$120,MATCH($B1046,Services!$D$2:$D$120,0)),""))</f>
        <v/>
      </c>
      <c r="F1046" s="19"/>
      <c r="G1046" s="9" t="str">
        <f t="shared" si="16"/>
        <v/>
      </c>
      <c r="H1046" s="15" t="str">
        <f>IF($B1046="","",IFERROR(INDEX(Services!$A$2:$A$120,MATCH($B1046,Services!$D$2:$D$120,0)),""))</f>
        <v/>
      </c>
      <c r="I1046" s="19"/>
      <c r="J1046" s="15" t="str">
        <f>IF($B1046="","",IFERROR(INDEX(Services!$E$2:$E$120,MATCH($B1046,Services!$D$2:$D$120,0)),""))</f>
        <v/>
      </c>
    </row>
    <row r="1047" spans="1:10" x14ac:dyDescent="0.3">
      <c r="A1047" s="18"/>
      <c r="B1047" s="6"/>
      <c r="C1047" s="6"/>
      <c r="D1047" s="6"/>
      <c r="E1047" s="16" t="str">
        <f>IF($B1047="","",IFERROR(INDEX(Services!$C$2:$C$120,MATCH($B1047,Services!$D$2:$D$120,0)),""))</f>
        <v/>
      </c>
      <c r="F1047" s="19"/>
      <c r="G1047" s="9" t="str">
        <f t="shared" si="16"/>
        <v/>
      </c>
      <c r="H1047" s="15" t="str">
        <f>IF($B1047="","",IFERROR(INDEX(Services!$A$2:$A$120,MATCH($B1047,Services!$D$2:$D$120,0)),""))</f>
        <v/>
      </c>
      <c r="I1047" s="19"/>
      <c r="J1047" s="15" t="str">
        <f>IF($B1047="","",IFERROR(INDEX(Services!$E$2:$E$120,MATCH($B1047,Services!$D$2:$D$120,0)),""))</f>
        <v/>
      </c>
    </row>
    <row r="1048" spans="1:10" x14ac:dyDescent="0.3">
      <c r="A1048" s="18"/>
      <c r="B1048" s="6"/>
      <c r="C1048" s="6"/>
      <c r="D1048" s="6"/>
      <c r="E1048" s="16" t="str">
        <f>IF($B1048="","",IFERROR(INDEX(Services!$C$2:$C$120,MATCH($B1048,Services!$D$2:$D$120,0)),""))</f>
        <v/>
      </c>
      <c r="F1048" s="19"/>
      <c r="G1048" s="9" t="str">
        <f t="shared" si="16"/>
        <v/>
      </c>
      <c r="H1048" s="15" t="str">
        <f>IF($B1048="","",IFERROR(INDEX(Services!$A$2:$A$120,MATCH($B1048,Services!$D$2:$D$120,0)),""))</f>
        <v/>
      </c>
      <c r="I1048" s="19"/>
      <c r="J1048" s="15" t="str">
        <f>IF($B1048="","",IFERROR(INDEX(Services!$E$2:$E$120,MATCH($B1048,Services!$D$2:$D$120,0)),""))</f>
        <v/>
      </c>
    </row>
    <row r="1049" spans="1:10" x14ac:dyDescent="0.3">
      <c r="A1049" s="18"/>
      <c r="B1049" s="6"/>
      <c r="C1049" s="6"/>
      <c r="D1049" s="6"/>
      <c r="E1049" s="16" t="str">
        <f>IF($B1049="","",IFERROR(INDEX(Services!$C$2:$C$120,MATCH($B1049,Services!$D$2:$D$120,0)),""))</f>
        <v/>
      </c>
      <c r="F1049" s="19"/>
      <c r="G1049" s="9" t="str">
        <f t="shared" si="16"/>
        <v/>
      </c>
      <c r="H1049" s="15" t="str">
        <f>IF($B1049="","",IFERROR(INDEX(Services!$A$2:$A$120,MATCH($B1049,Services!$D$2:$D$120,0)),""))</f>
        <v/>
      </c>
      <c r="I1049" s="19"/>
      <c r="J1049" s="15" t="str">
        <f>IF($B1049="","",IFERROR(INDEX(Services!$E$2:$E$120,MATCH($B1049,Services!$D$2:$D$120,0)),""))</f>
        <v/>
      </c>
    </row>
    <row r="1050" spans="1:10" x14ac:dyDescent="0.3">
      <c r="A1050" s="18"/>
      <c r="B1050" s="6"/>
      <c r="C1050" s="6"/>
      <c r="D1050" s="6"/>
      <c r="E1050" s="16" t="str">
        <f>IF($B1050="","",IFERROR(INDEX(Services!$C$2:$C$120,MATCH($B1050,Services!$D$2:$D$120,0)),""))</f>
        <v/>
      </c>
      <c r="F1050" s="19"/>
      <c r="G1050" s="9" t="str">
        <f t="shared" si="16"/>
        <v/>
      </c>
      <c r="H1050" s="15" t="str">
        <f>IF($B1050="","",IFERROR(INDEX(Services!$A$2:$A$120,MATCH($B1050,Services!$D$2:$D$120,0)),""))</f>
        <v/>
      </c>
      <c r="I1050" s="19"/>
      <c r="J1050" s="15" t="str">
        <f>IF($B1050="","",IFERROR(INDEX(Services!$E$2:$E$120,MATCH($B1050,Services!$D$2:$D$120,0)),""))</f>
        <v/>
      </c>
    </row>
    <row r="1051" spans="1:10" x14ac:dyDescent="0.3">
      <c r="A1051" s="18"/>
      <c r="B1051" s="6"/>
      <c r="C1051" s="6"/>
      <c r="D1051" s="6"/>
      <c r="E1051" s="16" t="str">
        <f>IF($B1051="","",IFERROR(INDEX(Services!$C$2:$C$120,MATCH($B1051,Services!$D$2:$D$120,0)),""))</f>
        <v/>
      </c>
      <c r="F1051" s="19"/>
      <c r="G1051" s="9" t="str">
        <f t="shared" si="16"/>
        <v/>
      </c>
      <c r="H1051" s="15" t="str">
        <f>IF($B1051="","",IFERROR(INDEX(Services!$A$2:$A$120,MATCH($B1051,Services!$D$2:$D$120,0)),""))</f>
        <v/>
      </c>
      <c r="I1051" s="19"/>
      <c r="J1051" s="15" t="str">
        <f>IF($B1051="","",IFERROR(INDEX(Services!$E$2:$E$120,MATCH($B1051,Services!$D$2:$D$120,0)),""))</f>
        <v/>
      </c>
    </row>
    <row r="1052" spans="1:10" x14ac:dyDescent="0.3">
      <c r="A1052" s="18"/>
      <c r="B1052" s="6"/>
      <c r="C1052" s="6"/>
      <c r="D1052" s="6"/>
      <c r="E1052" s="16" t="str">
        <f>IF($B1052="","",IFERROR(INDEX(Services!$C$2:$C$120,MATCH($B1052,Services!$D$2:$D$120,0)),""))</f>
        <v/>
      </c>
      <c r="F1052" s="19"/>
      <c r="G1052" s="9" t="str">
        <f t="shared" si="16"/>
        <v/>
      </c>
      <c r="H1052" s="15" t="str">
        <f>IF($B1052="","",IFERROR(INDEX(Services!$A$2:$A$120,MATCH($B1052,Services!$D$2:$D$120,0)),""))</f>
        <v/>
      </c>
      <c r="I1052" s="19"/>
      <c r="J1052" s="15" t="str">
        <f>IF($B1052="","",IFERROR(INDEX(Services!$E$2:$E$120,MATCH($B1052,Services!$D$2:$D$120,0)),""))</f>
        <v/>
      </c>
    </row>
    <row r="1053" spans="1:10" x14ac:dyDescent="0.3">
      <c r="A1053" s="18"/>
      <c r="B1053" s="6"/>
      <c r="C1053" s="6"/>
      <c r="D1053" s="6"/>
      <c r="E1053" s="16" t="str">
        <f>IF($B1053="","",IFERROR(INDEX(Services!$C$2:$C$120,MATCH($B1053,Services!$D$2:$D$120,0)),""))</f>
        <v/>
      </c>
      <c r="F1053" s="19"/>
      <c r="G1053" s="9" t="str">
        <f t="shared" si="16"/>
        <v/>
      </c>
      <c r="H1053" s="15" t="str">
        <f>IF($B1053="","",IFERROR(INDEX(Services!$A$2:$A$120,MATCH($B1053,Services!$D$2:$D$120,0)),""))</f>
        <v/>
      </c>
      <c r="I1053" s="19"/>
      <c r="J1053" s="15" t="str">
        <f>IF($B1053="","",IFERROR(INDEX(Services!$E$2:$E$120,MATCH($B1053,Services!$D$2:$D$120,0)),""))</f>
        <v/>
      </c>
    </row>
    <row r="1054" spans="1:10" x14ac:dyDescent="0.3">
      <c r="A1054" s="18"/>
      <c r="B1054" s="6"/>
      <c r="C1054" s="6"/>
      <c r="D1054" s="6"/>
      <c r="E1054" s="16" t="str">
        <f>IF($B1054="","",IFERROR(INDEX(Services!$C$2:$C$120,MATCH($B1054,Services!$D$2:$D$120,0)),""))</f>
        <v/>
      </c>
      <c r="F1054" s="19"/>
      <c r="G1054" s="9" t="str">
        <f t="shared" si="16"/>
        <v/>
      </c>
      <c r="H1054" s="15" t="str">
        <f>IF($B1054="","",IFERROR(INDEX(Services!$A$2:$A$120,MATCH($B1054,Services!$D$2:$D$120,0)),""))</f>
        <v/>
      </c>
      <c r="I1054" s="19"/>
      <c r="J1054" s="15" t="str">
        <f>IF($B1054="","",IFERROR(INDEX(Services!$E$2:$E$120,MATCH($B1054,Services!$D$2:$D$120,0)),""))</f>
        <v/>
      </c>
    </row>
    <row r="1055" spans="1:10" x14ac:dyDescent="0.3">
      <c r="A1055" s="18"/>
      <c r="B1055" s="6"/>
      <c r="C1055" s="6"/>
      <c r="D1055" s="6"/>
      <c r="E1055" s="16" t="str">
        <f>IF($B1055="","",IFERROR(INDEX(Services!$C$2:$C$120,MATCH($B1055,Services!$D$2:$D$120,0)),""))</f>
        <v/>
      </c>
      <c r="F1055" s="19"/>
      <c r="G1055" s="9" t="str">
        <f t="shared" si="16"/>
        <v/>
      </c>
      <c r="H1055" s="15" t="str">
        <f>IF($B1055="","",IFERROR(INDEX(Services!$A$2:$A$120,MATCH($B1055,Services!$D$2:$D$120,0)),""))</f>
        <v/>
      </c>
      <c r="I1055" s="19"/>
      <c r="J1055" s="15" t="str">
        <f>IF($B1055="","",IFERROR(INDEX(Services!$E$2:$E$120,MATCH($B1055,Services!$D$2:$D$120,0)),""))</f>
        <v/>
      </c>
    </row>
    <row r="1056" spans="1:10" x14ac:dyDescent="0.3">
      <c r="A1056" s="18"/>
      <c r="B1056" s="6"/>
      <c r="C1056" s="6"/>
      <c r="D1056" s="6"/>
      <c r="E1056" s="16" t="str">
        <f>IF($B1056="","",IFERROR(INDEX(Services!$C$2:$C$120,MATCH($B1056,Services!$D$2:$D$120,0)),""))</f>
        <v/>
      </c>
      <c r="F1056" s="19"/>
      <c r="G1056" s="9" t="str">
        <f t="shared" si="16"/>
        <v/>
      </c>
      <c r="H1056" s="15" t="str">
        <f>IF($B1056="","",IFERROR(INDEX(Services!$A$2:$A$120,MATCH($B1056,Services!$D$2:$D$120,0)),""))</f>
        <v/>
      </c>
      <c r="I1056" s="19"/>
      <c r="J1056" s="15" t="str">
        <f>IF($B1056="","",IFERROR(INDEX(Services!$E$2:$E$120,MATCH($B1056,Services!$D$2:$D$120,0)),""))</f>
        <v/>
      </c>
    </row>
    <row r="1057" spans="1:10" x14ac:dyDescent="0.3">
      <c r="A1057" s="18"/>
      <c r="B1057" s="6"/>
      <c r="C1057" s="6"/>
      <c r="D1057" s="6"/>
      <c r="E1057" s="16" t="str">
        <f>IF($B1057="","",IFERROR(INDEX(Services!$C$2:$C$120,MATCH($B1057,Services!$D$2:$D$120,0)),""))</f>
        <v/>
      </c>
      <c r="F1057" s="19"/>
      <c r="G1057" s="9" t="str">
        <f t="shared" si="16"/>
        <v/>
      </c>
      <c r="H1057" s="15" t="str">
        <f>IF($B1057="","",IFERROR(INDEX(Services!$A$2:$A$120,MATCH($B1057,Services!$D$2:$D$120,0)),""))</f>
        <v/>
      </c>
      <c r="I1057" s="19"/>
      <c r="J1057" s="15" t="str">
        <f>IF($B1057="","",IFERROR(INDEX(Services!$E$2:$E$120,MATCH($B1057,Services!$D$2:$D$120,0)),""))</f>
        <v/>
      </c>
    </row>
    <row r="1058" spans="1:10" x14ac:dyDescent="0.3">
      <c r="A1058" s="18"/>
      <c r="B1058" s="6"/>
      <c r="C1058" s="6"/>
      <c r="D1058" s="6"/>
      <c r="E1058" s="16" t="str">
        <f>IF($B1058="","",IFERROR(INDEX(Services!$C$2:$C$120,MATCH($B1058,Services!$D$2:$D$120,0)),""))</f>
        <v/>
      </c>
      <c r="F1058" s="19"/>
      <c r="G1058" s="9" t="str">
        <f t="shared" si="16"/>
        <v/>
      </c>
      <c r="H1058" s="15" t="str">
        <f>IF($B1058="","",IFERROR(INDEX(Services!$A$2:$A$120,MATCH($B1058,Services!$D$2:$D$120,0)),""))</f>
        <v/>
      </c>
      <c r="I1058" s="19"/>
      <c r="J1058" s="15" t="str">
        <f>IF($B1058="","",IFERROR(INDEX(Services!$E$2:$E$120,MATCH($B1058,Services!$D$2:$D$120,0)),""))</f>
        <v/>
      </c>
    </row>
    <row r="1059" spans="1:10" x14ac:dyDescent="0.3">
      <c r="A1059" s="18"/>
      <c r="B1059" s="6"/>
      <c r="C1059" s="6"/>
      <c r="D1059" s="6"/>
      <c r="E1059" s="16" t="str">
        <f>IF($B1059="","",IFERROR(INDEX(Services!$C$2:$C$120,MATCH($B1059,Services!$D$2:$D$120,0)),""))</f>
        <v/>
      </c>
      <c r="F1059" s="19"/>
      <c r="G1059" s="9" t="str">
        <f t="shared" si="16"/>
        <v/>
      </c>
      <c r="H1059" s="15" t="str">
        <f>IF($B1059="","",IFERROR(INDEX(Services!$A$2:$A$120,MATCH($B1059,Services!$D$2:$D$120,0)),""))</f>
        <v/>
      </c>
      <c r="I1059" s="19"/>
      <c r="J1059" s="15" t="str">
        <f>IF($B1059="","",IFERROR(INDEX(Services!$E$2:$E$120,MATCH($B1059,Services!$D$2:$D$120,0)),""))</f>
        <v/>
      </c>
    </row>
    <row r="1060" spans="1:10" x14ac:dyDescent="0.3">
      <c r="A1060" s="18"/>
      <c r="B1060" s="6"/>
      <c r="C1060" s="6"/>
      <c r="D1060" s="6"/>
      <c r="E1060" s="16" t="str">
        <f>IF($B1060="","",IFERROR(INDEX(Services!$C$2:$C$120,MATCH($B1060,Services!$D$2:$D$120,0)),""))</f>
        <v/>
      </c>
      <c r="F1060" s="19"/>
      <c r="G1060" s="9" t="str">
        <f t="shared" si="16"/>
        <v/>
      </c>
      <c r="H1060" s="15" t="str">
        <f>IF($B1060="","",IFERROR(INDEX(Services!$A$2:$A$120,MATCH($B1060,Services!$D$2:$D$120,0)),""))</f>
        <v/>
      </c>
      <c r="I1060" s="19"/>
      <c r="J1060" s="15" t="str">
        <f>IF($B1060="","",IFERROR(INDEX(Services!$E$2:$E$120,MATCH($B1060,Services!$D$2:$D$120,0)),""))</f>
        <v/>
      </c>
    </row>
    <row r="1061" spans="1:10" x14ac:dyDescent="0.3">
      <c r="A1061" s="18"/>
      <c r="B1061" s="6"/>
      <c r="C1061" s="6"/>
      <c r="D1061" s="6"/>
      <c r="E1061" s="16" t="str">
        <f>IF($B1061="","",IFERROR(INDEX(Services!$C$2:$C$120,MATCH($B1061,Services!$D$2:$D$120,0)),""))</f>
        <v/>
      </c>
      <c r="F1061" s="19"/>
      <c r="G1061" s="9" t="str">
        <f t="shared" si="16"/>
        <v/>
      </c>
      <c r="H1061" s="15" t="str">
        <f>IF($B1061="","",IFERROR(INDEX(Services!$A$2:$A$120,MATCH($B1061,Services!$D$2:$D$120,0)),""))</f>
        <v/>
      </c>
      <c r="I1061" s="19"/>
      <c r="J1061" s="15" t="str">
        <f>IF($B1061="","",IFERROR(INDEX(Services!$E$2:$E$120,MATCH($B1061,Services!$D$2:$D$120,0)),""))</f>
        <v/>
      </c>
    </row>
    <row r="1062" spans="1:10" x14ac:dyDescent="0.3">
      <c r="A1062" s="18"/>
      <c r="B1062" s="6"/>
      <c r="C1062" s="6"/>
      <c r="D1062" s="6"/>
      <c r="E1062" s="16" t="str">
        <f>IF($B1062="","",IFERROR(INDEX(Services!$C$2:$C$120,MATCH($B1062,Services!$D$2:$D$120,0)),""))</f>
        <v/>
      </c>
      <c r="F1062" s="19"/>
      <c r="G1062" s="9" t="str">
        <f t="shared" si="16"/>
        <v/>
      </c>
      <c r="H1062" s="15" t="str">
        <f>IF($B1062="","",IFERROR(INDEX(Services!$A$2:$A$120,MATCH($B1062,Services!$D$2:$D$120,0)),""))</f>
        <v/>
      </c>
      <c r="I1062" s="19"/>
      <c r="J1062" s="15" t="str">
        <f>IF($B1062="","",IFERROR(INDEX(Services!$E$2:$E$120,MATCH($B1062,Services!$D$2:$D$120,0)),""))</f>
        <v/>
      </c>
    </row>
    <row r="1063" spans="1:10" x14ac:dyDescent="0.3">
      <c r="A1063" s="18"/>
      <c r="B1063" s="6"/>
      <c r="C1063" s="6"/>
      <c r="D1063" s="6"/>
      <c r="E1063" s="16" t="str">
        <f>IF($B1063="","",IFERROR(INDEX(Services!$C$2:$C$120,MATCH($B1063,Services!$D$2:$D$120,0)),""))</f>
        <v/>
      </c>
      <c r="F1063" s="19"/>
      <c r="G1063" s="9" t="str">
        <f t="shared" si="16"/>
        <v/>
      </c>
      <c r="H1063" s="15" t="str">
        <f>IF($B1063="","",IFERROR(INDEX(Services!$A$2:$A$120,MATCH($B1063,Services!$D$2:$D$120,0)),""))</f>
        <v/>
      </c>
      <c r="I1063" s="19"/>
      <c r="J1063" s="15" t="str">
        <f>IF($B1063="","",IFERROR(INDEX(Services!$E$2:$E$120,MATCH($B1063,Services!$D$2:$D$120,0)),""))</f>
        <v/>
      </c>
    </row>
    <row r="1064" spans="1:10" x14ac:dyDescent="0.3">
      <c r="A1064" s="18"/>
      <c r="B1064" s="6"/>
      <c r="C1064" s="6"/>
      <c r="D1064" s="6"/>
      <c r="E1064" s="16" t="str">
        <f>IF($B1064="","",IFERROR(INDEX(Services!$C$2:$C$120,MATCH($B1064,Services!$D$2:$D$120,0)),""))</f>
        <v/>
      </c>
      <c r="F1064" s="19"/>
      <c r="G1064" s="9" t="str">
        <f t="shared" si="16"/>
        <v/>
      </c>
      <c r="H1064" s="15" t="str">
        <f>IF($B1064="","",IFERROR(INDEX(Services!$A$2:$A$120,MATCH($B1064,Services!$D$2:$D$120,0)),""))</f>
        <v/>
      </c>
      <c r="I1064" s="19"/>
      <c r="J1064" s="15" t="str">
        <f>IF($B1064="","",IFERROR(INDEX(Services!$E$2:$E$120,MATCH($B1064,Services!$D$2:$D$120,0)),""))</f>
        <v/>
      </c>
    </row>
    <row r="1065" spans="1:10" x14ac:dyDescent="0.3">
      <c r="A1065" s="18"/>
      <c r="B1065" s="6"/>
      <c r="C1065" s="6"/>
      <c r="D1065" s="6"/>
      <c r="E1065" s="16" t="str">
        <f>IF($B1065="","",IFERROR(INDEX(Services!$C$2:$C$120,MATCH($B1065,Services!$D$2:$D$120,0)),""))</f>
        <v/>
      </c>
      <c r="F1065" s="19"/>
      <c r="G1065" s="9" t="str">
        <f t="shared" si="16"/>
        <v/>
      </c>
      <c r="H1065" s="15" t="str">
        <f>IF($B1065="","",IFERROR(INDEX(Services!$A$2:$A$120,MATCH($B1065,Services!$D$2:$D$120,0)),""))</f>
        <v/>
      </c>
      <c r="I1065" s="19"/>
      <c r="J1065" s="15" t="str">
        <f>IF($B1065="","",IFERROR(INDEX(Services!$E$2:$E$120,MATCH($B1065,Services!$D$2:$D$120,0)),""))</f>
        <v/>
      </c>
    </row>
    <row r="1066" spans="1:10" x14ac:dyDescent="0.3">
      <c r="A1066" s="18"/>
      <c r="B1066" s="6"/>
      <c r="C1066" s="6"/>
      <c r="D1066" s="6"/>
      <c r="E1066" s="16" t="str">
        <f>IF($B1066="","",IFERROR(INDEX(Services!$C$2:$C$120,MATCH($B1066,Services!$D$2:$D$120,0)),""))</f>
        <v/>
      </c>
      <c r="F1066" s="19"/>
      <c r="G1066" s="9" t="str">
        <f t="shared" si="16"/>
        <v/>
      </c>
      <c r="H1066" s="15" t="str">
        <f>IF($B1066="","",IFERROR(INDEX(Services!$A$2:$A$120,MATCH($B1066,Services!$D$2:$D$120,0)),""))</f>
        <v/>
      </c>
      <c r="I1066" s="19"/>
      <c r="J1066" s="15" t="str">
        <f>IF($B1066="","",IFERROR(INDEX(Services!$E$2:$E$120,MATCH($B1066,Services!$D$2:$D$120,0)),""))</f>
        <v/>
      </c>
    </row>
    <row r="1067" spans="1:10" x14ac:dyDescent="0.3">
      <c r="A1067" s="18"/>
      <c r="B1067" s="6"/>
      <c r="C1067" s="6"/>
      <c r="D1067" s="6"/>
      <c r="E1067" s="16" t="str">
        <f>IF($B1067="","",IFERROR(INDEX(Services!$C$2:$C$120,MATCH($B1067,Services!$D$2:$D$120,0)),""))</f>
        <v/>
      </c>
      <c r="F1067" s="19"/>
      <c r="G1067" s="9" t="str">
        <f t="shared" si="16"/>
        <v/>
      </c>
      <c r="H1067" s="15" t="str">
        <f>IF($B1067="","",IFERROR(INDEX(Services!$A$2:$A$120,MATCH($B1067,Services!$D$2:$D$120,0)),""))</f>
        <v/>
      </c>
      <c r="I1067" s="19"/>
      <c r="J1067" s="15" t="str">
        <f>IF($B1067="","",IFERROR(INDEX(Services!$E$2:$E$120,MATCH($B1067,Services!$D$2:$D$120,0)),""))</f>
        <v/>
      </c>
    </row>
    <row r="1068" spans="1:10" x14ac:dyDescent="0.3">
      <c r="A1068" s="18"/>
      <c r="B1068" s="6"/>
      <c r="C1068" s="6"/>
      <c r="D1068" s="6"/>
      <c r="E1068" s="16" t="str">
        <f>IF($B1068="","",IFERROR(INDEX(Services!$C$2:$C$120,MATCH($B1068,Services!$D$2:$D$120,0)),""))</f>
        <v/>
      </c>
      <c r="F1068" s="19"/>
      <c r="G1068" s="9" t="str">
        <f t="shared" si="16"/>
        <v/>
      </c>
      <c r="H1068" s="15" t="str">
        <f>IF($B1068="","",IFERROR(INDEX(Services!$A$2:$A$120,MATCH($B1068,Services!$D$2:$D$120,0)),""))</f>
        <v/>
      </c>
      <c r="I1068" s="19"/>
      <c r="J1068" s="15" t="str">
        <f>IF($B1068="","",IFERROR(INDEX(Services!$E$2:$E$120,MATCH($B1068,Services!$D$2:$D$120,0)),""))</f>
        <v/>
      </c>
    </row>
    <row r="1069" spans="1:10" x14ac:dyDescent="0.3">
      <c r="A1069" s="18"/>
      <c r="B1069" s="6"/>
      <c r="C1069" s="6"/>
      <c r="D1069" s="6"/>
      <c r="E1069" s="16" t="str">
        <f>IF($B1069="","",IFERROR(INDEX(Services!$C$2:$C$120,MATCH($B1069,Services!$D$2:$D$120,0)),""))</f>
        <v/>
      </c>
      <c r="F1069" s="19"/>
      <c r="G1069" s="9" t="str">
        <f t="shared" si="16"/>
        <v/>
      </c>
      <c r="H1069" s="15" t="str">
        <f>IF($B1069="","",IFERROR(INDEX(Services!$A$2:$A$120,MATCH($B1069,Services!$D$2:$D$120,0)),""))</f>
        <v/>
      </c>
      <c r="I1069" s="19"/>
      <c r="J1069" s="15" t="str">
        <f>IF($B1069="","",IFERROR(INDEX(Services!$E$2:$E$120,MATCH($B1069,Services!$D$2:$D$120,0)),""))</f>
        <v/>
      </c>
    </row>
    <row r="1070" spans="1:10" x14ac:dyDescent="0.3">
      <c r="A1070" s="18"/>
      <c r="B1070" s="6"/>
      <c r="C1070" s="6"/>
      <c r="D1070" s="6"/>
      <c r="E1070" s="16" t="str">
        <f>IF($B1070="","",IFERROR(INDEX(Services!$C$2:$C$120,MATCH($B1070,Services!$D$2:$D$120,0)),""))</f>
        <v/>
      </c>
      <c r="F1070" s="19"/>
      <c r="G1070" s="9" t="str">
        <f t="shared" si="16"/>
        <v/>
      </c>
      <c r="H1070" s="15" t="str">
        <f>IF($B1070="","",IFERROR(INDEX(Services!$A$2:$A$120,MATCH($B1070,Services!$D$2:$D$120,0)),""))</f>
        <v/>
      </c>
      <c r="I1070" s="19"/>
      <c r="J1070" s="15" t="str">
        <f>IF($B1070="","",IFERROR(INDEX(Services!$E$2:$E$120,MATCH($B1070,Services!$D$2:$D$120,0)),""))</f>
        <v/>
      </c>
    </row>
    <row r="1071" spans="1:10" x14ac:dyDescent="0.3">
      <c r="A1071" s="18"/>
      <c r="B1071" s="6"/>
      <c r="C1071" s="6"/>
      <c r="D1071" s="6"/>
      <c r="E1071" s="16" t="str">
        <f>IF($B1071="","",IFERROR(INDEX(Services!$C$2:$C$120,MATCH($B1071,Services!$D$2:$D$120,0)),""))</f>
        <v/>
      </c>
      <c r="F1071" s="19"/>
      <c r="G1071" s="9" t="str">
        <f t="shared" si="16"/>
        <v/>
      </c>
      <c r="H1071" s="15" t="str">
        <f>IF($B1071="","",IFERROR(INDEX(Services!$A$2:$A$120,MATCH($B1071,Services!$D$2:$D$120,0)),""))</f>
        <v/>
      </c>
      <c r="I1071" s="19"/>
      <c r="J1071" s="15" t="str">
        <f>IF($B1071="","",IFERROR(INDEX(Services!$E$2:$E$120,MATCH($B1071,Services!$D$2:$D$120,0)),""))</f>
        <v/>
      </c>
    </row>
    <row r="1072" spans="1:10" x14ac:dyDescent="0.3">
      <c r="A1072" s="18"/>
      <c r="B1072" s="6"/>
      <c r="C1072" s="6"/>
      <c r="D1072" s="6"/>
      <c r="E1072" s="16" t="str">
        <f>IF($B1072="","",IFERROR(INDEX(Services!$C$2:$C$120,MATCH($B1072,Services!$D$2:$D$120,0)),""))</f>
        <v/>
      </c>
      <c r="F1072" s="19"/>
      <c r="G1072" s="9" t="str">
        <f t="shared" si="16"/>
        <v/>
      </c>
      <c r="H1072" s="15" t="str">
        <f>IF($B1072="","",IFERROR(INDEX(Services!$A$2:$A$120,MATCH($B1072,Services!$D$2:$D$120,0)),""))</f>
        <v/>
      </c>
      <c r="I1072" s="19"/>
      <c r="J1072" s="15" t="str">
        <f>IF($B1072="","",IFERROR(INDEX(Services!$E$2:$E$120,MATCH($B1072,Services!$D$2:$D$120,0)),""))</f>
        <v/>
      </c>
    </row>
    <row r="1073" spans="1:10" x14ac:dyDescent="0.3">
      <c r="A1073" s="18"/>
      <c r="B1073" s="6"/>
      <c r="C1073" s="6"/>
      <c r="D1073" s="6"/>
      <c r="E1073" s="16" t="str">
        <f>IF($B1073="","",IFERROR(INDEX(Services!$C$2:$C$120,MATCH($B1073,Services!$D$2:$D$120,0)),""))</f>
        <v/>
      </c>
      <c r="F1073" s="19"/>
      <c r="G1073" s="9" t="str">
        <f t="shared" si="16"/>
        <v/>
      </c>
      <c r="H1073" s="15" t="str">
        <f>IF($B1073="","",IFERROR(INDEX(Services!$A$2:$A$120,MATCH($B1073,Services!$D$2:$D$120,0)),""))</f>
        <v/>
      </c>
      <c r="I1073" s="19"/>
      <c r="J1073" s="15" t="str">
        <f>IF($B1073="","",IFERROR(INDEX(Services!$E$2:$E$120,MATCH($B1073,Services!$D$2:$D$120,0)),""))</f>
        <v/>
      </c>
    </row>
    <row r="1074" spans="1:10" x14ac:dyDescent="0.3">
      <c r="A1074" s="18"/>
      <c r="B1074" s="6"/>
      <c r="C1074" s="6"/>
      <c r="D1074" s="6"/>
      <c r="E1074" s="16" t="str">
        <f>IF($B1074="","",IFERROR(INDEX(Services!$C$2:$C$120,MATCH($B1074,Services!$D$2:$D$120,0)),""))</f>
        <v/>
      </c>
      <c r="F1074" s="19"/>
      <c r="G1074" s="9" t="str">
        <f t="shared" si="16"/>
        <v/>
      </c>
      <c r="H1074" s="15" t="str">
        <f>IF($B1074="","",IFERROR(INDEX(Services!$A$2:$A$120,MATCH($B1074,Services!$D$2:$D$120,0)),""))</f>
        <v/>
      </c>
      <c r="I1074" s="19"/>
      <c r="J1074" s="15" t="str">
        <f>IF($B1074="","",IFERROR(INDEX(Services!$E$2:$E$120,MATCH($B1074,Services!$D$2:$D$120,0)),""))</f>
        <v/>
      </c>
    </row>
    <row r="1075" spans="1:10" x14ac:dyDescent="0.3">
      <c r="A1075" s="18"/>
      <c r="B1075" s="6"/>
      <c r="C1075" s="6"/>
      <c r="D1075" s="6"/>
      <c r="E1075" s="16" t="str">
        <f>IF($B1075="","",IFERROR(INDEX(Services!$C$2:$C$120,MATCH($B1075,Services!$D$2:$D$120,0)),""))</f>
        <v/>
      </c>
      <c r="F1075" s="19"/>
      <c r="G1075" s="9" t="str">
        <f t="shared" si="16"/>
        <v/>
      </c>
      <c r="H1075" s="15" t="str">
        <f>IF($B1075="","",IFERROR(INDEX(Services!$A$2:$A$120,MATCH($B1075,Services!$D$2:$D$120,0)),""))</f>
        <v/>
      </c>
      <c r="I1075" s="19"/>
      <c r="J1075" s="15" t="str">
        <f>IF($B1075="","",IFERROR(INDEX(Services!$E$2:$E$120,MATCH($B1075,Services!$D$2:$D$120,0)),""))</f>
        <v/>
      </c>
    </row>
    <row r="1076" spans="1:10" x14ac:dyDescent="0.3">
      <c r="A1076" s="18"/>
      <c r="B1076" s="6"/>
      <c r="C1076" s="6"/>
      <c r="D1076" s="6"/>
      <c r="E1076" s="16" t="str">
        <f>IF($B1076="","",IFERROR(INDEX(Services!$C$2:$C$120,MATCH($B1076,Services!$D$2:$D$120,0)),""))</f>
        <v/>
      </c>
      <c r="F1076" s="19"/>
      <c r="G1076" s="9" t="str">
        <f t="shared" si="16"/>
        <v/>
      </c>
      <c r="H1076" s="15" t="str">
        <f>IF($B1076="","",IFERROR(INDEX(Services!$A$2:$A$120,MATCH($B1076,Services!$D$2:$D$120,0)),""))</f>
        <v/>
      </c>
      <c r="I1076" s="19"/>
      <c r="J1076" s="15" t="str">
        <f>IF($B1076="","",IFERROR(INDEX(Services!$E$2:$E$120,MATCH($B1076,Services!$D$2:$D$120,0)),""))</f>
        <v/>
      </c>
    </row>
    <row r="1077" spans="1:10" x14ac:dyDescent="0.3">
      <c r="A1077" s="18"/>
      <c r="B1077" s="6"/>
      <c r="C1077" s="6"/>
      <c r="D1077" s="6"/>
      <c r="E1077" s="16" t="str">
        <f>IF($B1077="","",IFERROR(INDEX(Services!$C$2:$C$120,MATCH($B1077,Services!$D$2:$D$120,0)),""))</f>
        <v/>
      </c>
      <c r="F1077" s="19"/>
      <c r="G1077" s="9" t="str">
        <f t="shared" si="16"/>
        <v/>
      </c>
      <c r="H1077" s="15" t="str">
        <f>IF($B1077="","",IFERROR(INDEX(Services!$A$2:$A$120,MATCH($B1077,Services!$D$2:$D$120,0)),""))</f>
        <v/>
      </c>
      <c r="I1077" s="19"/>
      <c r="J1077" s="15" t="str">
        <f>IF($B1077="","",IFERROR(INDEX(Services!$E$2:$E$120,MATCH($B1077,Services!$D$2:$D$120,0)),""))</f>
        <v/>
      </c>
    </row>
    <row r="1078" spans="1:10" x14ac:dyDescent="0.3">
      <c r="A1078" s="18"/>
      <c r="B1078" s="6"/>
      <c r="C1078" s="6"/>
      <c r="D1078" s="6"/>
      <c r="E1078" s="16" t="str">
        <f>IF($B1078="","",IFERROR(INDEX(Services!$C$2:$C$120,MATCH($B1078,Services!$D$2:$D$120,0)),""))</f>
        <v/>
      </c>
      <c r="F1078" s="19"/>
      <c r="G1078" s="9" t="str">
        <f t="shared" si="16"/>
        <v/>
      </c>
      <c r="H1078" s="15" t="str">
        <f>IF($B1078="","",IFERROR(INDEX(Services!$A$2:$A$120,MATCH($B1078,Services!$D$2:$D$120,0)),""))</f>
        <v/>
      </c>
      <c r="I1078" s="19"/>
      <c r="J1078" s="15" t="str">
        <f>IF($B1078="","",IFERROR(INDEX(Services!$E$2:$E$120,MATCH($B1078,Services!$D$2:$D$120,0)),""))</f>
        <v/>
      </c>
    </row>
    <row r="1079" spans="1:10" x14ac:dyDescent="0.3">
      <c r="A1079" s="18"/>
      <c r="B1079" s="6"/>
      <c r="C1079" s="6"/>
      <c r="D1079" s="6"/>
      <c r="E1079" s="16" t="str">
        <f>IF($B1079="","",IFERROR(INDEX(Services!$C$2:$C$120,MATCH($B1079,Services!$D$2:$D$120,0)),""))</f>
        <v/>
      </c>
      <c r="F1079" s="19"/>
      <c r="G1079" s="9" t="str">
        <f t="shared" si="16"/>
        <v/>
      </c>
      <c r="H1079" s="15" t="str">
        <f>IF($B1079="","",IFERROR(INDEX(Services!$A$2:$A$120,MATCH($B1079,Services!$D$2:$D$120,0)),""))</f>
        <v/>
      </c>
      <c r="I1079" s="19"/>
      <c r="J1079" s="15" t="str">
        <f>IF($B1079="","",IFERROR(INDEX(Services!$E$2:$E$120,MATCH($B1079,Services!$D$2:$D$120,0)),""))</f>
        <v/>
      </c>
    </row>
    <row r="1080" spans="1:10" x14ac:dyDescent="0.3">
      <c r="A1080" s="18"/>
      <c r="B1080" s="6"/>
      <c r="C1080" s="6"/>
      <c r="D1080" s="6"/>
      <c r="E1080" s="16" t="str">
        <f>IF($B1080="","",IFERROR(INDEX(Services!$C$2:$C$120,MATCH($B1080,Services!$D$2:$D$120,0)),""))</f>
        <v/>
      </c>
      <c r="F1080" s="19"/>
      <c r="G1080" s="9" t="str">
        <f t="shared" si="16"/>
        <v/>
      </c>
      <c r="H1080" s="15" t="str">
        <f>IF($B1080="","",IFERROR(INDEX(Services!$A$2:$A$120,MATCH($B1080,Services!$D$2:$D$120,0)),""))</f>
        <v/>
      </c>
      <c r="I1080" s="19"/>
      <c r="J1080" s="15" t="str">
        <f>IF($B1080="","",IFERROR(INDEX(Services!$E$2:$E$120,MATCH($B1080,Services!$D$2:$D$120,0)),""))</f>
        <v/>
      </c>
    </row>
    <row r="1081" spans="1:10" x14ac:dyDescent="0.3">
      <c r="A1081" s="18"/>
      <c r="B1081" s="6"/>
      <c r="C1081" s="6"/>
      <c r="D1081" s="6"/>
      <c r="E1081" s="16" t="str">
        <f>IF($B1081="","",IFERROR(INDEX(Services!$C$2:$C$120,MATCH($B1081,Services!$D$2:$D$120,0)),""))</f>
        <v/>
      </c>
      <c r="F1081" s="19"/>
      <c r="G1081" s="9" t="str">
        <f t="shared" si="16"/>
        <v/>
      </c>
      <c r="H1081" s="15" t="str">
        <f>IF($B1081="","",IFERROR(INDEX(Services!$A$2:$A$120,MATCH($B1081,Services!$D$2:$D$120,0)),""))</f>
        <v/>
      </c>
      <c r="I1081" s="19"/>
      <c r="J1081" s="15" t="str">
        <f>IF($B1081="","",IFERROR(INDEX(Services!$E$2:$E$120,MATCH($B1081,Services!$D$2:$D$120,0)),""))</f>
        <v/>
      </c>
    </row>
    <row r="1082" spans="1:10" x14ac:dyDescent="0.3">
      <c r="A1082" s="18"/>
      <c r="B1082" s="6"/>
      <c r="C1082" s="6"/>
      <c r="D1082" s="6"/>
      <c r="E1082" s="16" t="str">
        <f>IF($B1082="","",IFERROR(INDEX(Services!$C$2:$C$120,MATCH($B1082,Services!$D$2:$D$120,0)),""))</f>
        <v/>
      </c>
      <c r="F1082" s="19"/>
      <c r="G1082" s="9" t="str">
        <f t="shared" si="16"/>
        <v/>
      </c>
      <c r="H1082" s="15" t="str">
        <f>IF($B1082="","",IFERROR(INDEX(Services!$A$2:$A$120,MATCH($B1082,Services!$D$2:$D$120,0)),""))</f>
        <v/>
      </c>
      <c r="I1082" s="19"/>
      <c r="J1082" s="15" t="str">
        <f>IF($B1082="","",IFERROR(INDEX(Services!$E$2:$E$120,MATCH($B1082,Services!$D$2:$D$120,0)),""))</f>
        <v/>
      </c>
    </row>
    <row r="1083" spans="1:10" x14ac:dyDescent="0.3">
      <c r="A1083" s="18"/>
      <c r="B1083" s="6"/>
      <c r="C1083" s="6"/>
      <c r="D1083" s="6"/>
      <c r="E1083" s="16" t="str">
        <f>IF($B1083="","",IFERROR(INDEX(Services!$C$2:$C$120,MATCH($B1083,Services!$D$2:$D$120,0)),""))</f>
        <v/>
      </c>
      <c r="F1083" s="19"/>
      <c r="G1083" s="9" t="str">
        <f t="shared" si="16"/>
        <v/>
      </c>
      <c r="H1083" s="15" t="str">
        <f>IF($B1083="","",IFERROR(INDEX(Services!$A$2:$A$120,MATCH($B1083,Services!$D$2:$D$120,0)),""))</f>
        <v/>
      </c>
      <c r="I1083" s="19"/>
      <c r="J1083" s="15" t="str">
        <f>IF($B1083="","",IFERROR(INDEX(Services!$E$2:$E$120,MATCH($B1083,Services!$D$2:$D$120,0)),""))</f>
        <v/>
      </c>
    </row>
    <row r="1084" spans="1:10" x14ac:dyDescent="0.3">
      <c r="A1084" s="18"/>
      <c r="B1084" s="6"/>
      <c r="C1084" s="6"/>
      <c r="D1084" s="6"/>
      <c r="E1084" s="16" t="str">
        <f>IF($B1084="","",IFERROR(INDEX(Services!$C$2:$C$120,MATCH($B1084,Services!$D$2:$D$120,0)),""))</f>
        <v/>
      </c>
      <c r="F1084" s="19"/>
      <c r="G1084" s="9" t="str">
        <f t="shared" si="16"/>
        <v/>
      </c>
      <c r="H1084" s="15" t="str">
        <f>IF($B1084="","",IFERROR(INDEX(Services!$A$2:$A$120,MATCH($B1084,Services!$D$2:$D$120,0)),""))</f>
        <v/>
      </c>
      <c r="I1084" s="19"/>
      <c r="J1084" s="15" t="str">
        <f>IF($B1084="","",IFERROR(INDEX(Services!$E$2:$E$120,MATCH($B1084,Services!$D$2:$D$120,0)),""))</f>
        <v/>
      </c>
    </row>
    <row r="1085" spans="1:10" x14ac:dyDescent="0.3">
      <c r="A1085" s="18"/>
      <c r="B1085" s="6"/>
      <c r="C1085" s="6"/>
      <c r="D1085" s="6"/>
      <c r="E1085" s="16" t="str">
        <f>IF($B1085="","",IFERROR(INDEX(Services!$C$2:$C$120,MATCH($B1085,Services!$D$2:$D$120,0)),""))</f>
        <v/>
      </c>
      <c r="F1085" s="19"/>
      <c r="G1085" s="9" t="str">
        <f t="shared" si="16"/>
        <v/>
      </c>
      <c r="H1085" s="15" t="str">
        <f>IF($B1085="","",IFERROR(INDEX(Services!$A$2:$A$120,MATCH($B1085,Services!$D$2:$D$120,0)),""))</f>
        <v/>
      </c>
      <c r="I1085" s="19"/>
      <c r="J1085" s="15" t="str">
        <f>IF($B1085="","",IFERROR(INDEX(Services!$E$2:$E$120,MATCH($B1085,Services!$D$2:$D$120,0)),""))</f>
        <v/>
      </c>
    </row>
    <row r="1086" spans="1:10" x14ac:dyDescent="0.3">
      <c r="A1086" s="18"/>
      <c r="B1086" s="6"/>
      <c r="C1086" s="6"/>
      <c r="D1086" s="6"/>
      <c r="E1086" s="16" t="str">
        <f>IF($B1086="","",IFERROR(INDEX(Services!$C$2:$C$120,MATCH($B1086,Services!$D$2:$D$120,0)),""))</f>
        <v/>
      </c>
      <c r="F1086" s="19"/>
      <c r="G1086" s="9" t="str">
        <f t="shared" si="16"/>
        <v/>
      </c>
      <c r="H1086" s="15" t="str">
        <f>IF($B1086="","",IFERROR(INDEX(Services!$A$2:$A$120,MATCH($B1086,Services!$D$2:$D$120,0)),""))</f>
        <v/>
      </c>
      <c r="I1086" s="19"/>
      <c r="J1086" s="15" t="str">
        <f>IF($B1086="","",IFERROR(INDEX(Services!$E$2:$E$120,MATCH($B1086,Services!$D$2:$D$120,0)),""))</f>
        <v/>
      </c>
    </row>
    <row r="1087" spans="1:10" x14ac:dyDescent="0.3">
      <c r="A1087" s="18"/>
      <c r="B1087" s="6"/>
      <c r="C1087" s="6"/>
      <c r="D1087" s="6"/>
      <c r="E1087" s="16" t="str">
        <f>IF($B1087="","",IFERROR(INDEX(Services!$C$2:$C$120,MATCH($B1087,Services!$D$2:$D$120,0)),""))</f>
        <v/>
      </c>
      <c r="F1087" s="19"/>
      <c r="G1087" s="9" t="str">
        <f t="shared" si="16"/>
        <v/>
      </c>
      <c r="H1087" s="15" t="str">
        <f>IF($B1087="","",IFERROR(INDEX(Services!$A$2:$A$120,MATCH($B1087,Services!$D$2:$D$120,0)),""))</f>
        <v/>
      </c>
      <c r="I1087" s="19"/>
      <c r="J1087" s="15" t="str">
        <f>IF($B1087="","",IFERROR(INDEX(Services!$E$2:$E$120,MATCH($B1087,Services!$D$2:$D$120,0)),""))</f>
        <v/>
      </c>
    </row>
    <row r="1088" spans="1:10" x14ac:dyDescent="0.3">
      <c r="A1088" s="18"/>
      <c r="B1088" s="6"/>
      <c r="C1088" s="6"/>
      <c r="D1088" s="6"/>
      <c r="E1088" s="16" t="str">
        <f>IF($B1088="","",IFERROR(INDEX(Services!$C$2:$C$120,MATCH($B1088,Services!$D$2:$D$120,0)),""))</f>
        <v/>
      </c>
      <c r="F1088" s="19"/>
      <c r="G1088" s="9" t="str">
        <f t="shared" si="16"/>
        <v/>
      </c>
      <c r="H1088" s="15" t="str">
        <f>IF($B1088="","",IFERROR(INDEX(Services!$A$2:$A$120,MATCH($B1088,Services!$D$2:$D$120,0)),""))</f>
        <v/>
      </c>
      <c r="I1088" s="19"/>
      <c r="J1088" s="15" t="str">
        <f>IF($B1088="","",IFERROR(INDEX(Services!$E$2:$E$120,MATCH($B1088,Services!$D$2:$D$120,0)),""))</f>
        <v/>
      </c>
    </row>
    <row r="1089" spans="1:10" x14ac:dyDescent="0.3">
      <c r="A1089" s="18"/>
      <c r="B1089" s="6"/>
      <c r="C1089" s="6"/>
      <c r="D1089" s="6"/>
      <c r="E1089" s="16" t="str">
        <f>IF($B1089="","",IFERROR(INDEX(Services!$C$2:$C$120,MATCH($B1089,Services!$D$2:$D$120,0)),""))</f>
        <v/>
      </c>
      <c r="F1089" s="19"/>
      <c r="G1089" s="9" t="str">
        <f t="shared" si="16"/>
        <v/>
      </c>
      <c r="H1089" s="15" t="str">
        <f>IF($B1089="","",IFERROR(INDEX(Services!$A$2:$A$120,MATCH($B1089,Services!$D$2:$D$120,0)),""))</f>
        <v/>
      </c>
      <c r="I1089" s="19"/>
      <c r="J1089" s="15" t="str">
        <f>IF($B1089="","",IFERROR(INDEX(Services!$E$2:$E$120,MATCH($B1089,Services!$D$2:$D$120,0)),""))</f>
        <v/>
      </c>
    </row>
    <row r="1090" spans="1:10" x14ac:dyDescent="0.3">
      <c r="A1090" s="18"/>
      <c r="B1090" s="6"/>
      <c r="C1090" s="6"/>
      <c r="D1090" s="6"/>
      <c r="E1090" s="16" t="str">
        <f>IF($B1090="","",IFERROR(INDEX(Services!$C$2:$C$120,MATCH($B1090,Services!$D$2:$D$120,0)),""))</f>
        <v/>
      </c>
      <c r="F1090" s="19"/>
      <c r="G1090" s="9" t="str">
        <f t="shared" ref="G1090:G1153" si="17">IF(OR($B1090="",NOT(ISNUMBER($E1090))),"",$E1090-IF($F1090="",0,$F1090))</f>
        <v/>
      </c>
      <c r="H1090" s="15" t="str">
        <f>IF($B1090="","",IFERROR(INDEX(Services!$A$2:$A$120,MATCH($B1090,Services!$D$2:$D$120,0)),""))</f>
        <v/>
      </c>
      <c r="I1090" s="19"/>
      <c r="J1090" s="15" t="str">
        <f>IF($B1090="","",IFERROR(INDEX(Services!$E$2:$E$120,MATCH($B1090,Services!$D$2:$D$120,0)),""))</f>
        <v/>
      </c>
    </row>
    <row r="1091" spans="1:10" x14ac:dyDescent="0.3">
      <c r="A1091" s="18"/>
      <c r="B1091" s="6"/>
      <c r="C1091" s="6"/>
      <c r="D1091" s="6"/>
      <c r="E1091" s="16" t="str">
        <f>IF($B1091="","",IFERROR(INDEX(Services!$C$2:$C$120,MATCH($B1091,Services!$D$2:$D$120,0)),""))</f>
        <v/>
      </c>
      <c r="F1091" s="19"/>
      <c r="G1091" s="9" t="str">
        <f t="shared" si="17"/>
        <v/>
      </c>
      <c r="H1091" s="15" t="str">
        <f>IF($B1091="","",IFERROR(INDEX(Services!$A$2:$A$120,MATCH($B1091,Services!$D$2:$D$120,0)),""))</f>
        <v/>
      </c>
      <c r="I1091" s="19"/>
      <c r="J1091" s="15" t="str">
        <f>IF($B1091="","",IFERROR(INDEX(Services!$E$2:$E$120,MATCH($B1091,Services!$D$2:$D$120,0)),""))</f>
        <v/>
      </c>
    </row>
    <row r="1092" spans="1:10" x14ac:dyDescent="0.3">
      <c r="A1092" s="18"/>
      <c r="B1092" s="6"/>
      <c r="C1092" s="6"/>
      <c r="D1092" s="6"/>
      <c r="E1092" s="16" t="str">
        <f>IF($B1092="","",IFERROR(INDEX(Services!$C$2:$C$120,MATCH($B1092,Services!$D$2:$D$120,0)),""))</f>
        <v/>
      </c>
      <c r="F1092" s="19"/>
      <c r="G1092" s="9" t="str">
        <f t="shared" si="17"/>
        <v/>
      </c>
      <c r="H1092" s="15" t="str">
        <f>IF($B1092="","",IFERROR(INDEX(Services!$A$2:$A$120,MATCH($B1092,Services!$D$2:$D$120,0)),""))</f>
        <v/>
      </c>
      <c r="I1092" s="19"/>
      <c r="J1092" s="15" t="str">
        <f>IF($B1092="","",IFERROR(INDEX(Services!$E$2:$E$120,MATCH($B1092,Services!$D$2:$D$120,0)),""))</f>
        <v/>
      </c>
    </row>
    <row r="1093" spans="1:10" x14ac:dyDescent="0.3">
      <c r="A1093" s="18"/>
      <c r="B1093" s="6"/>
      <c r="C1093" s="6"/>
      <c r="D1093" s="6"/>
      <c r="E1093" s="16" t="str">
        <f>IF($B1093="","",IFERROR(INDEX(Services!$C$2:$C$120,MATCH($B1093,Services!$D$2:$D$120,0)),""))</f>
        <v/>
      </c>
      <c r="F1093" s="19"/>
      <c r="G1093" s="9" t="str">
        <f t="shared" si="17"/>
        <v/>
      </c>
      <c r="H1093" s="15" t="str">
        <f>IF($B1093="","",IFERROR(INDEX(Services!$A$2:$A$120,MATCH($B1093,Services!$D$2:$D$120,0)),""))</f>
        <v/>
      </c>
      <c r="I1093" s="19"/>
      <c r="J1093" s="15" t="str">
        <f>IF($B1093="","",IFERROR(INDEX(Services!$E$2:$E$120,MATCH($B1093,Services!$D$2:$D$120,0)),""))</f>
        <v/>
      </c>
    </row>
    <row r="1094" spans="1:10" x14ac:dyDescent="0.3">
      <c r="A1094" s="18"/>
      <c r="B1094" s="6"/>
      <c r="C1094" s="6"/>
      <c r="D1094" s="6"/>
      <c r="E1094" s="16" t="str">
        <f>IF($B1094="","",IFERROR(INDEX(Services!$C$2:$C$120,MATCH($B1094,Services!$D$2:$D$120,0)),""))</f>
        <v/>
      </c>
      <c r="F1094" s="19"/>
      <c r="G1094" s="9" t="str">
        <f t="shared" si="17"/>
        <v/>
      </c>
      <c r="H1094" s="15" t="str">
        <f>IF($B1094="","",IFERROR(INDEX(Services!$A$2:$A$120,MATCH($B1094,Services!$D$2:$D$120,0)),""))</f>
        <v/>
      </c>
      <c r="I1094" s="19"/>
      <c r="J1094" s="15" t="str">
        <f>IF($B1094="","",IFERROR(INDEX(Services!$E$2:$E$120,MATCH($B1094,Services!$D$2:$D$120,0)),""))</f>
        <v/>
      </c>
    </row>
    <row r="1095" spans="1:10" x14ac:dyDescent="0.3">
      <c r="A1095" s="18"/>
      <c r="B1095" s="6"/>
      <c r="C1095" s="6"/>
      <c r="D1095" s="6"/>
      <c r="E1095" s="16" t="str">
        <f>IF($B1095="","",IFERROR(INDEX(Services!$C$2:$C$120,MATCH($B1095,Services!$D$2:$D$120,0)),""))</f>
        <v/>
      </c>
      <c r="F1095" s="19"/>
      <c r="G1095" s="9" t="str">
        <f t="shared" si="17"/>
        <v/>
      </c>
      <c r="H1095" s="15" t="str">
        <f>IF($B1095="","",IFERROR(INDEX(Services!$A$2:$A$120,MATCH($B1095,Services!$D$2:$D$120,0)),""))</f>
        <v/>
      </c>
      <c r="I1095" s="19"/>
      <c r="J1095" s="15" t="str">
        <f>IF($B1095="","",IFERROR(INDEX(Services!$E$2:$E$120,MATCH($B1095,Services!$D$2:$D$120,0)),""))</f>
        <v/>
      </c>
    </row>
    <row r="1096" spans="1:10" x14ac:dyDescent="0.3">
      <c r="A1096" s="18"/>
      <c r="B1096" s="6"/>
      <c r="C1096" s="6"/>
      <c r="D1096" s="6"/>
      <c r="E1096" s="16" t="str">
        <f>IF($B1096="","",IFERROR(INDEX(Services!$C$2:$C$120,MATCH($B1096,Services!$D$2:$D$120,0)),""))</f>
        <v/>
      </c>
      <c r="F1096" s="19"/>
      <c r="G1096" s="9" t="str">
        <f t="shared" si="17"/>
        <v/>
      </c>
      <c r="H1096" s="15" t="str">
        <f>IF($B1096="","",IFERROR(INDEX(Services!$A$2:$A$120,MATCH($B1096,Services!$D$2:$D$120,0)),""))</f>
        <v/>
      </c>
      <c r="I1096" s="19"/>
      <c r="J1096" s="15" t="str">
        <f>IF($B1096="","",IFERROR(INDEX(Services!$E$2:$E$120,MATCH($B1096,Services!$D$2:$D$120,0)),""))</f>
        <v/>
      </c>
    </row>
    <row r="1097" spans="1:10" x14ac:dyDescent="0.3">
      <c r="A1097" s="18"/>
      <c r="B1097" s="6"/>
      <c r="C1097" s="6"/>
      <c r="D1097" s="6"/>
      <c r="E1097" s="16" t="str">
        <f>IF($B1097="","",IFERROR(INDEX(Services!$C$2:$C$120,MATCH($B1097,Services!$D$2:$D$120,0)),""))</f>
        <v/>
      </c>
      <c r="F1097" s="19"/>
      <c r="G1097" s="9" t="str">
        <f t="shared" si="17"/>
        <v/>
      </c>
      <c r="H1097" s="15" t="str">
        <f>IF($B1097="","",IFERROR(INDEX(Services!$A$2:$A$120,MATCH($B1097,Services!$D$2:$D$120,0)),""))</f>
        <v/>
      </c>
      <c r="I1097" s="19"/>
      <c r="J1097" s="15" t="str">
        <f>IF($B1097="","",IFERROR(INDEX(Services!$E$2:$E$120,MATCH($B1097,Services!$D$2:$D$120,0)),""))</f>
        <v/>
      </c>
    </row>
    <row r="1098" spans="1:10" x14ac:dyDescent="0.3">
      <c r="A1098" s="18"/>
      <c r="B1098" s="6"/>
      <c r="C1098" s="6"/>
      <c r="D1098" s="6"/>
      <c r="E1098" s="16" t="str">
        <f>IF($B1098="","",IFERROR(INDEX(Services!$C$2:$C$120,MATCH($B1098,Services!$D$2:$D$120,0)),""))</f>
        <v/>
      </c>
      <c r="F1098" s="19"/>
      <c r="G1098" s="9" t="str">
        <f t="shared" si="17"/>
        <v/>
      </c>
      <c r="H1098" s="15" t="str">
        <f>IF($B1098="","",IFERROR(INDEX(Services!$A$2:$A$120,MATCH($B1098,Services!$D$2:$D$120,0)),""))</f>
        <v/>
      </c>
      <c r="I1098" s="19"/>
      <c r="J1098" s="15" t="str">
        <f>IF($B1098="","",IFERROR(INDEX(Services!$E$2:$E$120,MATCH($B1098,Services!$D$2:$D$120,0)),""))</f>
        <v/>
      </c>
    </row>
    <row r="1099" spans="1:10" x14ac:dyDescent="0.3">
      <c r="A1099" s="18"/>
      <c r="B1099" s="6"/>
      <c r="C1099" s="6"/>
      <c r="D1099" s="6"/>
      <c r="E1099" s="16" t="str">
        <f>IF($B1099="","",IFERROR(INDEX(Services!$C$2:$C$120,MATCH($B1099,Services!$D$2:$D$120,0)),""))</f>
        <v/>
      </c>
      <c r="F1099" s="19"/>
      <c r="G1099" s="9" t="str">
        <f t="shared" si="17"/>
        <v/>
      </c>
      <c r="H1099" s="15" t="str">
        <f>IF($B1099="","",IFERROR(INDEX(Services!$A$2:$A$120,MATCH($B1099,Services!$D$2:$D$120,0)),""))</f>
        <v/>
      </c>
      <c r="I1099" s="19"/>
      <c r="J1099" s="15" t="str">
        <f>IF($B1099="","",IFERROR(INDEX(Services!$E$2:$E$120,MATCH($B1099,Services!$D$2:$D$120,0)),""))</f>
        <v/>
      </c>
    </row>
    <row r="1100" spans="1:10" x14ac:dyDescent="0.3">
      <c r="A1100" s="18"/>
      <c r="B1100" s="6"/>
      <c r="C1100" s="6"/>
      <c r="D1100" s="6"/>
      <c r="E1100" s="16" t="str">
        <f>IF($B1100="","",IFERROR(INDEX(Services!$C$2:$C$120,MATCH($B1100,Services!$D$2:$D$120,0)),""))</f>
        <v/>
      </c>
      <c r="F1100" s="19"/>
      <c r="G1100" s="9" t="str">
        <f t="shared" si="17"/>
        <v/>
      </c>
      <c r="H1100" s="15" t="str">
        <f>IF($B1100="","",IFERROR(INDEX(Services!$A$2:$A$120,MATCH($B1100,Services!$D$2:$D$120,0)),""))</f>
        <v/>
      </c>
      <c r="I1100" s="19"/>
      <c r="J1100" s="15" t="str">
        <f>IF($B1100="","",IFERROR(INDEX(Services!$E$2:$E$120,MATCH($B1100,Services!$D$2:$D$120,0)),""))</f>
        <v/>
      </c>
    </row>
    <row r="1101" spans="1:10" x14ac:dyDescent="0.3">
      <c r="A1101" s="18"/>
      <c r="B1101" s="6"/>
      <c r="C1101" s="6"/>
      <c r="D1101" s="6"/>
      <c r="E1101" s="16" t="str">
        <f>IF($B1101="","",IFERROR(INDEX(Services!$C$2:$C$120,MATCH($B1101,Services!$D$2:$D$120,0)),""))</f>
        <v/>
      </c>
      <c r="F1101" s="19"/>
      <c r="G1101" s="9" t="str">
        <f t="shared" si="17"/>
        <v/>
      </c>
      <c r="H1101" s="15" t="str">
        <f>IF($B1101="","",IFERROR(INDEX(Services!$A$2:$A$120,MATCH($B1101,Services!$D$2:$D$120,0)),""))</f>
        <v/>
      </c>
      <c r="I1101" s="19"/>
      <c r="J1101" s="15" t="str">
        <f>IF($B1101="","",IFERROR(INDEX(Services!$E$2:$E$120,MATCH($B1101,Services!$D$2:$D$120,0)),""))</f>
        <v/>
      </c>
    </row>
    <row r="1102" spans="1:10" x14ac:dyDescent="0.3">
      <c r="A1102" s="18"/>
      <c r="B1102" s="6"/>
      <c r="C1102" s="6"/>
      <c r="D1102" s="6"/>
      <c r="E1102" s="16" t="str">
        <f>IF($B1102="","",IFERROR(INDEX(Services!$C$2:$C$120,MATCH($B1102,Services!$D$2:$D$120,0)),""))</f>
        <v/>
      </c>
      <c r="F1102" s="19"/>
      <c r="G1102" s="9" t="str">
        <f t="shared" si="17"/>
        <v/>
      </c>
      <c r="H1102" s="15" t="str">
        <f>IF($B1102="","",IFERROR(INDEX(Services!$A$2:$A$120,MATCH($B1102,Services!$D$2:$D$120,0)),""))</f>
        <v/>
      </c>
      <c r="I1102" s="19"/>
      <c r="J1102" s="15" t="str">
        <f>IF($B1102="","",IFERROR(INDEX(Services!$E$2:$E$120,MATCH($B1102,Services!$D$2:$D$120,0)),""))</f>
        <v/>
      </c>
    </row>
    <row r="1103" spans="1:10" x14ac:dyDescent="0.3">
      <c r="A1103" s="18"/>
      <c r="B1103" s="6"/>
      <c r="C1103" s="6"/>
      <c r="D1103" s="6"/>
      <c r="E1103" s="16" t="str">
        <f>IF($B1103="","",IFERROR(INDEX(Services!$C$2:$C$120,MATCH($B1103,Services!$D$2:$D$120,0)),""))</f>
        <v/>
      </c>
      <c r="F1103" s="19"/>
      <c r="G1103" s="9" t="str">
        <f t="shared" si="17"/>
        <v/>
      </c>
      <c r="H1103" s="15" t="str">
        <f>IF($B1103="","",IFERROR(INDEX(Services!$A$2:$A$120,MATCH($B1103,Services!$D$2:$D$120,0)),""))</f>
        <v/>
      </c>
      <c r="I1103" s="19"/>
      <c r="J1103" s="15" t="str">
        <f>IF($B1103="","",IFERROR(INDEX(Services!$E$2:$E$120,MATCH($B1103,Services!$D$2:$D$120,0)),""))</f>
        <v/>
      </c>
    </row>
    <row r="1104" spans="1:10" x14ac:dyDescent="0.3">
      <c r="A1104" s="18"/>
      <c r="B1104" s="6"/>
      <c r="C1104" s="6"/>
      <c r="D1104" s="6"/>
      <c r="E1104" s="16" t="str">
        <f>IF($B1104="","",IFERROR(INDEX(Services!$C$2:$C$120,MATCH($B1104,Services!$D$2:$D$120,0)),""))</f>
        <v/>
      </c>
      <c r="F1104" s="19"/>
      <c r="G1104" s="9" t="str">
        <f t="shared" si="17"/>
        <v/>
      </c>
      <c r="H1104" s="15" t="str">
        <f>IF($B1104="","",IFERROR(INDEX(Services!$A$2:$A$120,MATCH($B1104,Services!$D$2:$D$120,0)),""))</f>
        <v/>
      </c>
      <c r="I1104" s="19"/>
      <c r="J1104" s="15" t="str">
        <f>IF($B1104="","",IFERROR(INDEX(Services!$E$2:$E$120,MATCH($B1104,Services!$D$2:$D$120,0)),""))</f>
        <v/>
      </c>
    </row>
    <row r="1105" spans="1:10" x14ac:dyDescent="0.3">
      <c r="A1105" s="18"/>
      <c r="B1105" s="6"/>
      <c r="C1105" s="6"/>
      <c r="D1105" s="6"/>
      <c r="E1105" s="16" t="str">
        <f>IF($B1105="","",IFERROR(INDEX(Services!$C$2:$C$120,MATCH($B1105,Services!$D$2:$D$120,0)),""))</f>
        <v/>
      </c>
      <c r="F1105" s="19"/>
      <c r="G1105" s="9" t="str">
        <f t="shared" si="17"/>
        <v/>
      </c>
      <c r="H1105" s="15" t="str">
        <f>IF($B1105="","",IFERROR(INDEX(Services!$A$2:$A$120,MATCH($B1105,Services!$D$2:$D$120,0)),""))</f>
        <v/>
      </c>
      <c r="I1105" s="19"/>
      <c r="J1105" s="15" t="str">
        <f>IF($B1105="","",IFERROR(INDEX(Services!$E$2:$E$120,MATCH($B1105,Services!$D$2:$D$120,0)),""))</f>
        <v/>
      </c>
    </row>
    <row r="1106" spans="1:10" x14ac:dyDescent="0.3">
      <c r="A1106" s="18"/>
      <c r="B1106" s="6"/>
      <c r="C1106" s="6"/>
      <c r="D1106" s="6"/>
      <c r="E1106" s="16" t="str">
        <f>IF($B1106="","",IFERROR(INDEX(Services!$C$2:$C$120,MATCH($B1106,Services!$D$2:$D$120,0)),""))</f>
        <v/>
      </c>
      <c r="F1106" s="19"/>
      <c r="G1106" s="9" t="str">
        <f t="shared" si="17"/>
        <v/>
      </c>
      <c r="H1106" s="15" t="str">
        <f>IF($B1106="","",IFERROR(INDEX(Services!$A$2:$A$120,MATCH($B1106,Services!$D$2:$D$120,0)),""))</f>
        <v/>
      </c>
      <c r="I1106" s="19"/>
      <c r="J1106" s="15" t="str">
        <f>IF($B1106="","",IFERROR(INDEX(Services!$E$2:$E$120,MATCH($B1106,Services!$D$2:$D$120,0)),""))</f>
        <v/>
      </c>
    </row>
    <row r="1107" spans="1:10" x14ac:dyDescent="0.3">
      <c r="A1107" s="18"/>
      <c r="B1107" s="6"/>
      <c r="C1107" s="6"/>
      <c r="D1107" s="6"/>
      <c r="E1107" s="16" t="str">
        <f>IF($B1107="","",IFERROR(INDEX(Services!$C$2:$C$120,MATCH($B1107,Services!$D$2:$D$120,0)),""))</f>
        <v/>
      </c>
      <c r="F1107" s="19"/>
      <c r="G1107" s="9" t="str">
        <f t="shared" si="17"/>
        <v/>
      </c>
      <c r="H1107" s="15" t="str">
        <f>IF($B1107="","",IFERROR(INDEX(Services!$A$2:$A$120,MATCH($B1107,Services!$D$2:$D$120,0)),""))</f>
        <v/>
      </c>
      <c r="I1107" s="19"/>
      <c r="J1107" s="15" t="str">
        <f>IF($B1107="","",IFERROR(INDEX(Services!$E$2:$E$120,MATCH($B1107,Services!$D$2:$D$120,0)),""))</f>
        <v/>
      </c>
    </row>
    <row r="1108" spans="1:10" x14ac:dyDescent="0.3">
      <c r="A1108" s="18"/>
      <c r="B1108" s="6"/>
      <c r="C1108" s="6"/>
      <c r="D1108" s="6"/>
      <c r="E1108" s="16" t="str">
        <f>IF($B1108="","",IFERROR(INDEX(Services!$C$2:$C$120,MATCH($B1108,Services!$D$2:$D$120,0)),""))</f>
        <v/>
      </c>
      <c r="F1108" s="19"/>
      <c r="G1108" s="9" t="str">
        <f t="shared" si="17"/>
        <v/>
      </c>
      <c r="H1108" s="15" t="str">
        <f>IF($B1108="","",IFERROR(INDEX(Services!$A$2:$A$120,MATCH($B1108,Services!$D$2:$D$120,0)),""))</f>
        <v/>
      </c>
      <c r="I1108" s="19"/>
      <c r="J1108" s="15" t="str">
        <f>IF($B1108="","",IFERROR(INDEX(Services!$E$2:$E$120,MATCH($B1108,Services!$D$2:$D$120,0)),""))</f>
        <v/>
      </c>
    </row>
    <row r="1109" spans="1:10" x14ac:dyDescent="0.3">
      <c r="A1109" s="18"/>
      <c r="B1109" s="6"/>
      <c r="C1109" s="6"/>
      <c r="D1109" s="6"/>
      <c r="E1109" s="16" t="str">
        <f>IF($B1109="","",IFERROR(INDEX(Services!$C$2:$C$120,MATCH($B1109,Services!$D$2:$D$120,0)),""))</f>
        <v/>
      </c>
      <c r="F1109" s="19"/>
      <c r="G1109" s="9" t="str">
        <f t="shared" si="17"/>
        <v/>
      </c>
      <c r="H1109" s="15" t="str">
        <f>IF($B1109="","",IFERROR(INDEX(Services!$A$2:$A$120,MATCH($B1109,Services!$D$2:$D$120,0)),""))</f>
        <v/>
      </c>
      <c r="I1109" s="19"/>
      <c r="J1109" s="15" t="str">
        <f>IF($B1109="","",IFERROR(INDEX(Services!$E$2:$E$120,MATCH($B1109,Services!$D$2:$D$120,0)),""))</f>
        <v/>
      </c>
    </row>
    <row r="1110" spans="1:10" x14ac:dyDescent="0.3">
      <c r="A1110" s="18"/>
      <c r="B1110" s="6"/>
      <c r="C1110" s="6"/>
      <c r="D1110" s="6"/>
      <c r="E1110" s="16" t="str">
        <f>IF($B1110="","",IFERROR(INDEX(Services!$C$2:$C$120,MATCH($B1110,Services!$D$2:$D$120,0)),""))</f>
        <v/>
      </c>
      <c r="F1110" s="19"/>
      <c r="G1110" s="9" t="str">
        <f t="shared" si="17"/>
        <v/>
      </c>
      <c r="H1110" s="15" t="str">
        <f>IF($B1110="","",IFERROR(INDEX(Services!$A$2:$A$120,MATCH($B1110,Services!$D$2:$D$120,0)),""))</f>
        <v/>
      </c>
      <c r="I1110" s="19"/>
      <c r="J1110" s="15" t="str">
        <f>IF($B1110="","",IFERROR(INDEX(Services!$E$2:$E$120,MATCH($B1110,Services!$D$2:$D$120,0)),""))</f>
        <v/>
      </c>
    </row>
    <row r="1111" spans="1:10" x14ac:dyDescent="0.3">
      <c r="A1111" s="18"/>
      <c r="B1111" s="6"/>
      <c r="C1111" s="6"/>
      <c r="D1111" s="6"/>
      <c r="E1111" s="16" t="str">
        <f>IF($B1111="","",IFERROR(INDEX(Services!$C$2:$C$120,MATCH($B1111,Services!$D$2:$D$120,0)),""))</f>
        <v/>
      </c>
      <c r="F1111" s="19"/>
      <c r="G1111" s="9" t="str">
        <f t="shared" si="17"/>
        <v/>
      </c>
      <c r="H1111" s="15" t="str">
        <f>IF($B1111="","",IFERROR(INDEX(Services!$A$2:$A$120,MATCH($B1111,Services!$D$2:$D$120,0)),""))</f>
        <v/>
      </c>
      <c r="I1111" s="19"/>
      <c r="J1111" s="15" t="str">
        <f>IF($B1111="","",IFERROR(INDEX(Services!$E$2:$E$120,MATCH($B1111,Services!$D$2:$D$120,0)),""))</f>
        <v/>
      </c>
    </row>
    <row r="1112" spans="1:10" x14ac:dyDescent="0.3">
      <c r="A1112" s="18"/>
      <c r="B1112" s="6"/>
      <c r="C1112" s="6"/>
      <c r="D1112" s="6"/>
      <c r="E1112" s="16" t="str">
        <f>IF($B1112="","",IFERROR(INDEX(Services!$C$2:$C$120,MATCH($B1112,Services!$D$2:$D$120,0)),""))</f>
        <v/>
      </c>
      <c r="F1112" s="19"/>
      <c r="G1112" s="9" t="str">
        <f t="shared" si="17"/>
        <v/>
      </c>
      <c r="H1112" s="15" t="str">
        <f>IF($B1112="","",IFERROR(INDEX(Services!$A$2:$A$120,MATCH($B1112,Services!$D$2:$D$120,0)),""))</f>
        <v/>
      </c>
      <c r="I1112" s="19"/>
      <c r="J1112" s="15" t="str">
        <f>IF($B1112="","",IFERROR(INDEX(Services!$E$2:$E$120,MATCH($B1112,Services!$D$2:$D$120,0)),""))</f>
        <v/>
      </c>
    </row>
    <row r="1113" spans="1:10" x14ac:dyDescent="0.3">
      <c r="A1113" s="18"/>
      <c r="B1113" s="6"/>
      <c r="C1113" s="6"/>
      <c r="D1113" s="6"/>
      <c r="E1113" s="16" t="str">
        <f>IF($B1113="","",IFERROR(INDEX(Services!$C$2:$C$120,MATCH($B1113,Services!$D$2:$D$120,0)),""))</f>
        <v/>
      </c>
      <c r="F1113" s="19"/>
      <c r="G1113" s="9" t="str">
        <f t="shared" si="17"/>
        <v/>
      </c>
      <c r="H1113" s="15" t="str">
        <f>IF($B1113="","",IFERROR(INDEX(Services!$A$2:$A$120,MATCH($B1113,Services!$D$2:$D$120,0)),""))</f>
        <v/>
      </c>
      <c r="I1113" s="19"/>
      <c r="J1113" s="15" t="str">
        <f>IF($B1113="","",IFERROR(INDEX(Services!$E$2:$E$120,MATCH($B1113,Services!$D$2:$D$120,0)),""))</f>
        <v/>
      </c>
    </row>
    <row r="1114" spans="1:10" x14ac:dyDescent="0.3">
      <c r="A1114" s="18"/>
      <c r="B1114" s="6"/>
      <c r="C1114" s="6"/>
      <c r="D1114" s="6"/>
      <c r="E1114" s="16" t="str">
        <f>IF($B1114="","",IFERROR(INDEX(Services!$C$2:$C$120,MATCH($B1114,Services!$D$2:$D$120,0)),""))</f>
        <v/>
      </c>
      <c r="F1114" s="19"/>
      <c r="G1114" s="9" t="str">
        <f t="shared" si="17"/>
        <v/>
      </c>
      <c r="H1114" s="15" t="str">
        <f>IF($B1114="","",IFERROR(INDEX(Services!$A$2:$A$120,MATCH($B1114,Services!$D$2:$D$120,0)),""))</f>
        <v/>
      </c>
      <c r="I1114" s="19"/>
      <c r="J1114" s="15" t="str">
        <f>IF($B1114="","",IFERROR(INDEX(Services!$E$2:$E$120,MATCH($B1114,Services!$D$2:$D$120,0)),""))</f>
        <v/>
      </c>
    </row>
    <row r="1115" spans="1:10" x14ac:dyDescent="0.3">
      <c r="A1115" s="18"/>
      <c r="B1115" s="6"/>
      <c r="C1115" s="6"/>
      <c r="D1115" s="6"/>
      <c r="E1115" s="16" t="str">
        <f>IF($B1115="","",IFERROR(INDEX(Services!$C$2:$C$120,MATCH($B1115,Services!$D$2:$D$120,0)),""))</f>
        <v/>
      </c>
      <c r="F1115" s="19"/>
      <c r="G1115" s="9" t="str">
        <f t="shared" si="17"/>
        <v/>
      </c>
      <c r="H1115" s="15" t="str">
        <f>IF($B1115="","",IFERROR(INDEX(Services!$A$2:$A$120,MATCH($B1115,Services!$D$2:$D$120,0)),""))</f>
        <v/>
      </c>
      <c r="I1115" s="19"/>
      <c r="J1115" s="15" t="str">
        <f>IF($B1115="","",IFERROR(INDEX(Services!$E$2:$E$120,MATCH($B1115,Services!$D$2:$D$120,0)),""))</f>
        <v/>
      </c>
    </row>
    <row r="1116" spans="1:10" x14ac:dyDescent="0.3">
      <c r="A1116" s="18"/>
      <c r="B1116" s="6"/>
      <c r="C1116" s="6"/>
      <c r="D1116" s="6"/>
      <c r="E1116" s="16" t="str">
        <f>IF($B1116="","",IFERROR(INDEX(Services!$C$2:$C$120,MATCH($B1116,Services!$D$2:$D$120,0)),""))</f>
        <v/>
      </c>
      <c r="F1116" s="19"/>
      <c r="G1116" s="9" t="str">
        <f t="shared" si="17"/>
        <v/>
      </c>
      <c r="H1116" s="15" t="str">
        <f>IF($B1116="","",IFERROR(INDEX(Services!$A$2:$A$120,MATCH($B1116,Services!$D$2:$D$120,0)),""))</f>
        <v/>
      </c>
      <c r="I1116" s="19"/>
      <c r="J1116" s="15" t="str">
        <f>IF($B1116="","",IFERROR(INDEX(Services!$E$2:$E$120,MATCH($B1116,Services!$D$2:$D$120,0)),""))</f>
        <v/>
      </c>
    </row>
    <row r="1117" spans="1:10" x14ac:dyDescent="0.3">
      <c r="A1117" s="18"/>
      <c r="B1117" s="6"/>
      <c r="C1117" s="6"/>
      <c r="D1117" s="6"/>
      <c r="E1117" s="16" t="str">
        <f>IF($B1117="","",IFERROR(INDEX(Services!$C$2:$C$120,MATCH($B1117,Services!$D$2:$D$120,0)),""))</f>
        <v/>
      </c>
      <c r="F1117" s="19"/>
      <c r="G1117" s="9" t="str">
        <f t="shared" si="17"/>
        <v/>
      </c>
      <c r="H1117" s="15" t="str">
        <f>IF($B1117="","",IFERROR(INDEX(Services!$A$2:$A$120,MATCH($B1117,Services!$D$2:$D$120,0)),""))</f>
        <v/>
      </c>
      <c r="I1117" s="19"/>
      <c r="J1117" s="15" t="str">
        <f>IF($B1117="","",IFERROR(INDEX(Services!$E$2:$E$120,MATCH($B1117,Services!$D$2:$D$120,0)),""))</f>
        <v/>
      </c>
    </row>
    <row r="1118" spans="1:10" x14ac:dyDescent="0.3">
      <c r="A1118" s="18"/>
      <c r="B1118" s="6"/>
      <c r="C1118" s="6"/>
      <c r="D1118" s="6"/>
      <c r="E1118" s="16" t="str">
        <f>IF($B1118="","",IFERROR(INDEX(Services!$C$2:$C$120,MATCH($B1118,Services!$D$2:$D$120,0)),""))</f>
        <v/>
      </c>
      <c r="F1118" s="19"/>
      <c r="G1118" s="9" t="str">
        <f t="shared" si="17"/>
        <v/>
      </c>
      <c r="H1118" s="15" t="str">
        <f>IF($B1118="","",IFERROR(INDEX(Services!$A$2:$A$120,MATCH($B1118,Services!$D$2:$D$120,0)),""))</f>
        <v/>
      </c>
      <c r="I1118" s="19"/>
      <c r="J1118" s="15" t="str">
        <f>IF($B1118="","",IFERROR(INDEX(Services!$E$2:$E$120,MATCH($B1118,Services!$D$2:$D$120,0)),""))</f>
        <v/>
      </c>
    </row>
    <row r="1119" spans="1:10" x14ac:dyDescent="0.3">
      <c r="A1119" s="18"/>
      <c r="B1119" s="6"/>
      <c r="C1119" s="6"/>
      <c r="D1119" s="6"/>
      <c r="E1119" s="16" t="str">
        <f>IF($B1119="","",IFERROR(INDEX(Services!$C$2:$C$120,MATCH($B1119,Services!$D$2:$D$120,0)),""))</f>
        <v/>
      </c>
      <c r="F1119" s="19"/>
      <c r="G1119" s="9" t="str">
        <f t="shared" si="17"/>
        <v/>
      </c>
      <c r="H1119" s="15" t="str">
        <f>IF($B1119="","",IFERROR(INDEX(Services!$A$2:$A$120,MATCH($B1119,Services!$D$2:$D$120,0)),""))</f>
        <v/>
      </c>
      <c r="I1119" s="19"/>
      <c r="J1119" s="15" t="str">
        <f>IF($B1119="","",IFERROR(INDEX(Services!$E$2:$E$120,MATCH($B1119,Services!$D$2:$D$120,0)),""))</f>
        <v/>
      </c>
    </row>
    <row r="1120" spans="1:10" x14ac:dyDescent="0.3">
      <c r="A1120" s="18"/>
      <c r="B1120" s="6"/>
      <c r="C1120" s="6"/>
      <c r="D1120" s="6"/>
      <c r="E1120" s="16" t="str">
        <f>IF($B1120="","",IFERROR(INDEX(Services!$C$2:$C$120,MATCH($B1120,Services!$D$2:$D$120,0)),""))</f>
        <v/>
      </c>
      <c r="F1120" s="19"/>
      <c r="G1120" s="9" t="str">
        <f t="shared" si="17"/>
        <v/>
      </c>
      <c r="H1120" s="15" t="str">
        <f>IF($B1120="","",IFERROR(INDEX(Services!$A$2:$A$120,MATCH($B1120,Services!$D$2:$D$120,0)),""))</f>
        <v/>
      </c>
      <c r="I1120" s="19"/>
      <c r="J1120" s="15" t="str">
        <f>IF($B1120="","",IFERROR(INDEX(Services!$E$2:$E$120,MATCH($B1120,Services!$D$2:$D$120,0)),""))</f>
        <v/>
      </c>
    </row>
    <row r="1121" spans="1:10" x14ac:dyDescent="0.3">
      <c r="A1121" s="18"/>
      <c r="B1121" s="6"/>
      <c r="C1121" s="6"/>
      <c r="D1121" s="6"/>
      <c r="E1121" s="16" t="str">
        <f>IF($B1121="","",IFERROR(INDEX(Services!$C$2:$C$120,MATCH($B1121,Services!$D$2:$D$120,0)),""))</f>
        <v/>
      </c>
      <c r="F1121" s="19"/>
      <c r="G1121" s="9" t="str">
        <f t="shared" si="17"/>
        <v/>
      </c>
      <c r="H1121" s="15" t="str">
        <f>IF($B1121="","",IFERROR(INDEX(Services!$A$2:$A$120,MATCH($B1121,Services!$D$2:$D$120,0)),""))</f>
        <v/>
      </c>
      <c r="I1121" s="19"/>
      <c r="J1121" s="15" t="str">
        <f>IF($B1121="","",IFERROR(INDEX(Services!$E$2:$E$120,MATCH($B1121,Services!$D$2:$D$120,0)),""))</f>
        <v/>
      </c>
    </row>
    <row r="1122" spans="1:10" x14ac:dyDescent="0.3">
      <c r="A1122" s="18"/>
      <c r="B1122" s="6"/>
      <c r="C1122" s="6"/>
      <c r="D1122" s="6"/>
      <c r="E1122" s="16" t="str">
        <f>IF($B1122="","",IFERROR(INDEX(Services!$C$2:$C$120,MATCH($B1122,Services!$D$2:$D$120,0)),""))</f>
        <v/>
      </c>
      <c r="F1122" s="19"/>
      <c r="G1122" s="9" t="str">
        <f t="shared" si="17"/>
        <v/>
      </c>
      <c r="H1122" s="15" t="str">
        <f>IF($B1122="","",IFERROR(INDEX(Services!$A$2:$A$120,MATCH($B1122,Services!$D$2:$D$120,0)),""))</f>
        <v/>
      </c>
      <c r="I1122" s="19"/>
      <c r="J1122" s="15" t="str">
        <f>IF($B1122="","",IFERROR(INDEX(Services!$E$2:$E$120,MATCH($B1122,Services!$D$2:$D$120,0)),""))</f>
        <v/>
      </c>
    </row>
    <row r="1123" spans="1:10" x14ac:dyDescent="0.3">
      <c r="A1123" s="18"/>
      <c r="B1123" s="6"/>
      <c r="C1123" s="6"/>
      <c r="D1123" s="6"/>
      <c r="E1123" s="16" t="str">
        <f>IF($B1123="","",IFERROR(INDEX(Services!$C$2:$C$120,MATCH($B1123,Services!$D$2:$D$120,0)),""))</f>
        <v/>
      </c>
      <c r="F1123" s="19"/>
      <c r="G1123" s="9" t="str">
        <f t="shared" si="17"/>
        <v/>
      </c>
      <c r="H1123" s="15" t="str">
        <f>IF($B1123="","",IFERROR(INDEX(Services!$A$2:$A$120,MATCH($B1123,Services!$D$2:$D$120,0)),""))</f>
        <v/>
      </c>
      <c r="I1123" s="19"/>
      <c r="J1123" s="15" t="str">
        <f>IF($B1123="","",IFERROR(INDEX(Services!$E$2:$E$120,MATCH($B1123,Services!$D$2:$D$120,0)),""))</f>
        <v/>
      </c>
    </row>
    <row r="1124" spans="1:10" x14ac:dyDescent="0.3">
      <c r="A1124" s="18"/>
      <c r="B1124" s="6"/>
      <c r="C1124" s="6"/>
      <c r="D1124" s="6"/>
      <c r="E1124" s="16" t="str">
        <f>IF($B1124="","",IFERROR(INDEX(Services!$C$2:$C$120,MATCH($B1124,Services!$D$2:$D$120,0)),""))</f>
        <v/>
      </c>
      <c r="F1124" s="19"/>
      <c r="G1124" s="9" t="str">
        <f t="shared" si="17"/>
        <v/>
      </c>
      <c r="H1124" s="15" t="str">
        <f>IF($B1124="","",IFERROR(INDEX(Services!$A$2:$A$120,MATCH($B1124,Services!$D$2:$D$120,0)),""))</f>
        <v/>
      </c>
      <c r="I1124" s="19"/>
      <c r="J1124" s="15" t="str">
        <f>IF($B1124="","",IFERROR(INDEX(Services!$E$2:$E$120,MATCH($B1124,Services!$D$2:$D$120,0)),""))</f>
        <v/>
      </c>
    </row>
    <row r="1125" spans="1:10" x14ac:dyDescent="0.3">
      <c r="A1125" s="18"/>
      <c r="B1125" s="6"/>
      <c r="C1125" s="6"/>
      <c r="D1125" s="6"/>
      <c r="E1125" s="16" t="str">
        <f>IF($B1125="","",IFERROR(INDEX(Services!$C$2:$C$120,MATCH($B1125,Services!$D$2:$D$120,0)),""))</f>
        <v/>
      </c>
      <c r="F1125" s="19"/>
      <c r="G1125" s="9" t="str">
        <f t="shared" si="17"/>
        <v/>
      </c>
      <c r="H1125" s="15" t="str">
        <f>IF($B1125="","",IFERROR(INDEX(Services!$A$2:$A$120,MATCH($B1125,Services!$D$2:$D$120,0)),""))</f>
        <v/>
      </c>
      <c r="I1125" s="19"/>
      <c r="J1125" s="15" t="str">
        <f>IF($B1125="","",IFERROR(INDEX(Services!$E$2:$E$120,MATCH($B1125,Services!$D$2:$D$120,0)),""))</f>
        <v/>
      </c>
    </row>
    <row r="1126" spans="1:10" x14ac:dyDescent="0.3">
      <c r="A1126" s="18"/>
      <c r="B1126" s="6"/>
      <c r="C1126" s="6"/>
      <c r="D1126" s="6"/>
      <c r="E1126" s="16" t="str">
        <f>IF($B1126="","",IFERROR(INDEX(Services!$C$2:$C$120,MATCH($B1126,Services!$D$2:$D$120,0)),""))</f>
        <v/>
      </c>
      <c r="F1126" s="19"/>
      <c r="G1126" s="9" t="str">
        <f t="shared" si="17"/>
        <v/>
      </c>
      <c r="H1126" s="15" t="str">
        <f>IF($B1126="","",IFERROR(INDEX(Services!$A$2:$A$120,MATCH($B1126,Services!$D$2:$D$120,0)),""))</f>
        <v/>
      </c>
      <c r="I1126" s="19"/>
      <c r="J1126" s="15" t="str">
        <f>IF($B1126="","",IFERROR(INDEX(Services!$E$2:$E$120,MATCH($B1126,Services!$D$2:$D$120,0)),""))</f>
        <v/>
      </c>
    </row>
    <row r="1127" spans="1:10" x14ac:dyDescent="0.3">
      <c r="A1127" s="18"/>
      <c r="B1127" s="6"/>
      <c r="C1127" s="6"/>
      <c r="D1127" s="6"/>
      <c r="E1127" s="16" t="str">
        <f>IF($B1127="","",IFERROR(INDEX(Services!$C$2:$C$120,MATCH($B1127,Services!$D$2:$D$120,0)),""))</f>
        <v/>
      </c>
      <c r="F1127" s="19"/>
      <c r="G1127" s="9" t="str">
        <f t="shared" si="17"/>
        <v/>
      </c>
      <c r="H1127" s="15" t="str">
        <f>IF($B1127="","",IFERROR(INDEX(Services!$A$2:$A$120,MATCH($B1127,Services!$D$2:$D$120,0)),""))</f>
        <v/>
      </c>
      <c r="I1127" s="19"/>
      <c r="J1127" s="15" t="str">
        <f>IF($B1127="","",IFERROR(INDEX(Services!$E$2:$E$120,MATCH($B1127,Services!$D$2:$D$120,0)),""))</f>
        <v/>
      </c>
    </row>
    <row r="1128" spans="1:10" x14ac:dyDescent="0.3">
      <c r="A1128" s="18"/>
      <c r="B1128" s="6"/>
      <c r="C1128" s="6"/>
      <c r="D1128" s="6"/>
      <c r="E1128" s="16" t="str">
        <f>IF($B1128="","",IFERROR(INDEX(Services!$C$2:$C$120,MATCH($B1128,Services!$D$2:$D$120,0)),""))</f>
        <v/>
      </c>
      <c r="F1128" s="19"/>
      <c r="G1128" s="9" t="str">
        <f t="shared" si="17"/>
        <v/>
      </c>
      <c r="H1128" s="15" t="str">
        <f>IF($B1128="","",IFERROR(INDEX(Services!$A$2:$A$120,MATCH($B1128,Services!$D$2:$D$120,0)),""))</f>
        <v/>
      </c>
      <c r="I1128" s="19"/>
      <c r="J1128" s="15" t="str">
        <f>IF($B1128="","",IFERROR(INDEX(Services!$E$2:$E$120,MATCH($B1128,Services!$D$2:$D$120,0)),""))</f>
        <v/>
      </c>
    </row>
    <row r="1129" spans="1:10" x14ac:dyDescent="0.3">
      <c r="A1129" s="18"/>
      <c r="B1129" s="6"/>
      <c r="C1129" s="6"/>
      <c r="D1129" s="6"/>
      <c r="E1129" s="16" t="str">
        <f>IF($B1129="","",IFERROR(INDEX(Services!$C$2:$C$120,MATCH($B1129,Services!$D$2:$D$120,0)),""))</f>
        <v/>
      </c>
      <c r="F1129" s="19"/>
      <c r="G1129" s="9" t="str">
        <f t="shared" si="17"/>
        <v/>
      </c>
      <c r="H1129" s="15" t="str">
        <f>IF($B1129="","",IFERROR(INDEX(Services!$A$2:$A$120,MATCH($B1129,Services!$D$2:$D$120,0)),""))</f>
        <v/>
      </c>
      <c r="I1129" s="19"/>
      <c r="J1129" s="15" t="str">
        <f>IF($B1129="","",IFERROR(INDEX(Services!$E$2:$E$120,MATCH($B1129,Services!$D$2:$D$120,0)),""))</f>
        <v/>
      </c>
    </row>
    <row r="1130" spans="1:10" x14ac:dyDescent="0.3">
      <c r="A1130" s="18"/>
      <c r="B1130" s="6"/>
      <c r="C1130" s="6"/>
      <c r="D1130" s="6"/>
      <c r="E1130" s="16" t="str">
        <f>IF($B1130="","",IFERROR(INDEX(Services!$C$2:$C$120,MATCH($B1130,Services!$D$2:$D$120,0)),""))</f>
        <v/>
      </c>
      <c r="F1130" s="19"/>
      <c r="G1130" s="9" t="str">
        <f t="shared" si="17"/>
        <v/>
      </c>
      <c r="H1130" s="15" t="str">
        <f>IF($B1130="","",IFERROR(INDEX(Services!$A$2:$A$120,MATCH($B1130,Services!$D$2:$D$120,0)),""))</f>
        <v/>
      </c>
      <c r="I1130" s="19"/>
      <c r="J1130" s="15" t="str">
        <f>IF($B1130="","",IFERROR(INDEX(Services!$E$2:$E$120,MATCH($B1130,Services!$D$2:$D$120,0)),""))</f>
        <v/>
      </c>
    </row>
    <row r="1131" spans="1:10" x14ac:dyDescent="0.3">
      <c r="A1131" s="18"/>
      <c r="B1131" s="6"/>
      <c r="C1131" s="6"/>
      <c r="D1131" s="6"/>
      <c r="E1131" s="16" t="str">
        <f>IF($B1131="","",IFERROR(INDEX(Services!$C$2:$C$120,MATCH($B1131,Services!$D$2:$D$120,0)),""))</f>
        <v/>
      </c>
      <c r="F1131" s="19"/>
      <c r="G1131" s="9" t="str">
        <f t="shared" si="17"/>
        <v/>
      </c>
      <c r="H1131" s="15" t="str">
        <f>IF($B1131="","",IFERROR(INDEX(Services!$A$2:$A$120,MATCH($B1131,Services!$D$2:$D$120,0)),""))</f>
        <v/>
      </c>
      <c r="I1131" s="19"/>
      <c r="J1131" s="15" t="str">
        <f>IF($B1131="","",IFERROR(INDEX(Services!$E$2:$E$120,MATCH($B1131,Services!$D$2:$D$120,0)),""))</f>
        <v/>
      </c>
    </row>
    <row r="1132" spans="1:10" x14ac:dyDescent="0.3">
      <c r="A1132" s="18"/>
      <c r="B1132" s="6"/>
      <c r="C1132" s="6"/>
      <c r="D1132" s="6"/>
      <c r="E1132" s="16" t="str">
        <f>IF($B1132="","",IFERROR(INDEX(Services!$C$2:$C$120,MATCH($B1132,Services!$D$2:$D$120,0)),""))</f>
        <v/>
      </c>
      <c r="F1132" s="19"/>
      <c r="G1132" s="9" t="str">
        <f t="shared" si="17"/>
        <v/>
      </c>
      <c r="H1132" s="15" t="str">
        <f>IF($B1132="","",IFERROR(INDEX(Services!$A$2:$A$120,MATCH($B1132,Services!$D$2:$D$120,0)),""))</f>
        <v/>
      </c>
      <c r="I1132" s="19"/>
      <c r="J1132" s="15" t="str">
        <f>IF($B1132="","",IFERROR(INDEX(Services!$E$2:$E$120,MATCH($B1132,Services!$D$2:$D$120,0)),""))</f>
        <v/>
      </c>
    </row>
    <row r="1133" spans="1:10" x14ac:dyDescent="0.3">
      <c r="A1133" s="18"/>
      <c r="B1133" s="6"/>
      <c r="C1133" s="6"/>
      <c r="D1133" s="6"/>
      <c r="E1133" s="16" t="str">
        <f>IF($B1133="","",IFERROR(INDEX(Services!$C$2:$C$120,MATCH($B1133,Services!$D$2:$D$120,0)),""))</f>
        <v/>
      </c>
      <c r="F1133" s="19"/>
      <c r="G1133" s="9" t="str">
        <f t="shared" si="17"/>
        <v/>
      </c>
      <c r="H1133" s="15" t="str">
        <f>IF($B1133="","",IFERROR(INDEX(Services!$A$2:$A$120,MATCH($B1133,Services!$D$2:$D$120,0)),""))</f>
        <v/>
      </c>
      <c r="I1133" s="19"/>
      <c r="J1133" s="15" t="str">
        <f>IF($B1133="","",IFERROR(INDEX(Services!$E$2:$E$120,MATCH($B1133,Services!$D$2:$D$120,0)),""))</f>
        <v/>
      </c>
    </row>
    <row r="1134" spans="1:10" x14ac:dyDescent="0.3">
      <c r="A1134" s="18"/>
      <c r="B1134" s="6"/>
      <c r="C1134" s="6"/>
      <c r="D1134" s="6"/>
      <c r="E1134" s="16" t="str">
        <f>IF($B1134="","",IFERROR(INDEX(Services!$C$2:$C$120,MATCH($B1134,Services!$D$2:$D$120,0)),""))</f>
        <v/>
      </c>
      <c r="F1134" s="19"/>
      <c r="G1134" s="9" t="str">
        <f t="shared" si="17"/>
        <v/>
      </c>
      <c r="H1134" s="15" t="str">
        <f>IF($B1134="","",IFERROR(INDEX(Services!$A$2:$A$120,MATCH($B1134,Services!$D$2:$D$120,0)),""))</f>
        <v/>
      </c>
      <c r="I1134" s="19"/>
      <c r="J1134" s="15" t="str">
        <f>IF($B1134="","",IFERROR(INDEX(Services!$E$2:$E$120,MATCH($B1134,Services!$D$2:$D$120,0)),""))</f>
        <v/>
      </c>
    </row>
    <row r="1135" spans="1:10" x14ac:dyDescent="0.3">
      <c r="A1135" s="18"/>
      <c r="B1135" s="6"/>
      <c r="C1135" s="6"/>
      <c r="D1135" s="6"/>
      <c r="E1135" s="16" t="str">
        <f>IF($B1135="","",IFERROR(INDEX(Services!$C$2:$C$120,MATCH($B1135,Services!$D$2:$D$120,0)),""))</f>
        <v/>
      </c>
      <c r="F1135" s="19"/>
      <c r="G1135" s="9" t="str">
        <f t="shared" si="17"/>
        <v/>
      </c>
      <c r="H1135" s="15" t="str">
        <f>IF($B1135="","",IFERROR(INDEX(Services!$A$2:$A$120,MATCH($B1135,Services!$D$2:$D$120,0)),""))</f>
        <v/>
      </c>
      <c r="I1135" s="19"/>
      <c r="J1135" s="15" t="str">
        <f>IF($B1135="","",IFERROR(INDEX(Services!$E$2:$E$120,MATCH($B1135,Services!$D$2:$D$120,0)),""))</f>
        <v/>
      </c>
    </row>
    <row r="1136" spans="1:10" x14ac:dyDescent="0.3">
      <c r="A1136" s="18"/>
      <c r="B1136" s="6"/>
      <c r="C1136" s="6"/>
      <c r="D1136" s="6"/>
      <c r="E1136" s="16" t="str">
        <f>IF($B1136="","",IFERROR(INDEX(Services!$C$2:$C$120,MATCH($B1136,Services!$D$2:$D$120,0)),""))</f>
        <v/>
      </c>
      <c r="F1136" s="19"/>
      <c r="G1136" s="9" t="str">
        <f t="shared" si="17"/>
        <v/>
      </c>
      <c r="H1136" s="15" t="str">
        <f>IF($B1136="","",IFERROR(INDEX(Services!$A$2:$A$120,MATCH($B1136,Services!$D$2:$D$120,0)),""))</f>
        <v/>
      </c>
      <c r="I1136" s="19"/>
      <c r="J1136" s="15" t="str">
        <f>IF($B1136="","",IFERROR(INDEX(Services!$E$2:$E$120,MATCH($B1136,Services!$D$2:$D$120,0)),""))</f>
        <v/>
      </c>
    </row>
    <row r="1137" spans="1:10" x14ac:dyDescent="0.3">
      <c r="A1137" s="18"/>
      <c r="B1137" s="6"/>
      <c r="C1137" s="6"/>
      <c r="D1137" s="6"/>
      <c r="E1137" s="16" t="str">
        <f>IF($B1137="","",IFERROR(INDEX(Services!$C$2:$C$120,MATCH($B1137,Services!$D$2:$D$120,0)),""))</f>
        <v/>
      </c>
      <c r="F1137" s="19"/>
      <c r="G1137" s="9" t="str">
        <f t="shared" si="17"/>
        <v/>
      </c>
      <c r="H1137" s="15" t="str">
        <f>IF($B1137="","",IFERROR(INDEX(Services!$A$2:$A$120,MATCH($B1137,Services!$D$2:$D$120,0)),""))</f>
        <v/>
      </c>
      <c r="I1137" s="19"/>
      <c r="J1137" s="15" t="str">
        <f>IF($B1137="","",IFERROR(INDEX(Services!$E$2:$E$120,MATCH($B1137,Services!$D$2:$D$120,0)),""))</f>
        <v/>
      </c>
    </row>
    <row r="1138" spans="1:10" x14ac:dyDescent="0.3">
      <c r="A1138" s="18"/>
      <c r="B1138" s="6"/>
      <c r="C1138" s="6"/>
      <c r="D1138" s="6"/>
      <c r="E1138" s="16" t="str">
        <f>IF($B1138="","",IFERROR(INDEX(Services!$C$2:$C$120,MATCH($B1138,Services!$D$2:$D$120,0)),""))</f>
        <v/>
      </c>
      <c r="F1138" s="19"/>
      <c r="G1138" s="9" t="str">
        <f t="shared" si="17"/>
        <v/>
      </c>
      <c r="H1138" s="15" t="str">
        <f>IF($B1138="","",IFERROR(INDEX(Services!$A$2:$A$120,MATCH($B1138,Services!$D$2:$D$120,0)),""))</f>
        <v/>
      </c>
      <c r="I1138" s="19"/>
      <c r="J1138" s="15" t="str">
        <f>IF($B1138="","",IFERROR(INDEX(Services!$E$2:$E$120,MATCH($B1138,Services!$D$2:$D$120,0)),""))</f>
        <v/>
      </c>
    </row>
    <row r="1139" spans="1:10" x14ac:dyDescent="0.3">
      <c r="A1139" s="18"/>
      <c r="B1139" s="6"/>
      <c r="C1139" s="6"/>
      <c r="D1139" s="6"/>
      <c r="E1139" s="16" t="str">
        <f>IF($B1139="","",IFERROR(INDEX(Services!$C$2:$C$120,MATCH($B1139,Services!$D$2:$D$120,0)),""))</f>
        <v/>
      </c>
      <c r="F1139" s="19"/>
      <c r="G1139" s="9" t="str">
        <f t="shared" si="17"/>
        <v/>
      </c>
      <c r="H1139" s="15" t="str">
        <f>IF($B1139="","",IFERROR(INDEX(Services!$A$2:$A$120,MATCH($B1139,Services!$D$2:$D$120,0)),""))</f>
        <v/>
      </c>
      <c r="I1139" s="19"/>
      <c r="J1139" s="15" t="str">
        <f>IF($B1139="","",IFERROR(INDEX(Services!$E$2:$E$120,MATCH($B1139,Services!$D$2:$D$120,0)),""))</f>
        <v/>
      </c>
    </row>
    <row r="1140" spans="1:10" x14ac:dyDescent="0.3">
      <c r="A1140" s="18"/>
      <c r="B1140" s="6"/>
      <c r="C1140" s="6"/>
      <c r="D1140" s="6"/>
      <c r="E1140" s="16" t="str">
        <f>IF($B1140="","",IFERROR(INDEX(Services!$C$2:$C$120,MATCH($B1140,Services!$D$2:$D$120,0)),""))</f>
        <v/>
      </c>
      <c r="F1140" s="19"/>
      <c r="G1140" s="9" t="str">
        <f t="shared" si="17"/>
        <v/>
      </c>
      <c r="H1140" s="15" t="str">
        <f>IF($B1140="","",IFERROR(INDEX(Services!$A$2:$A$120,MATCH($B1140,Services!$D$2:$D$120,0)),""))</f>
        <v/>
      </c>
      <c r="I1140" s="19"/>
      <c r="J1140" s="15" t="str">
        <f>IF($B1140="","",IFERROR(INDEX(Services!$E$2:$E$120,MATCH($B1140,Services!$D$2:$D$120,0)),""))</f>
        <v/>
      </c>
    </row>
    <row r="1141" spans="1:10" x14ac:dyDescent="0.3">
      <c r="A1141" s="18"/>
      <c r="B1141" s="6"/>
      <c r="C1141" s="6"/>
      <c r="D1141" s="6"/>
      <c r="E1141" s="16" t="str">
        <f>IF($B1141="","",IFERROR(INDEX(Services!$C$2:$C$120,MATCH($B1141,Services!$D$2:$D$120,0)),""))</f>
        <v/>
      </c>
      <c r="F1141" s="19"/>
      <c r="G1141" s="9" t="str">
        <f t="shared" si="17"/>
        <v/>
      </c>
      <c r="H1141" s="15" t="str">
        <f>IF($B1141="","",IFERROR(INDEX(Services!$A$2:$A$120,MATCH($B1141,Services!$D$2:$D$120,0)),""))</f>
        <v/>
      </c>
      <c r="I1141" s="19"/>
      <c r="J1141" s="15" t="str">
        <f>IF($B1141="","",IFERROR(INDEX(Services!$E$2:$E$120,MATCH($B1141,Services!$D$2:$D$120,0)),""))</f>
        <v/>
      </c>
    </row>
    <row r="1142" spans="1:10" x14ac:dyDescent="0.3">
      <c r="A1142" s="18"/>
      <c r="B1142" s="6"/>
      <c r="C1142" s="6"/>
      <c r="D1142" s="6"/>
      <c r="E1142" s="16" t="str">
        <f>IF($B1142="","",IFERROR(INDEX(Services!$C$2:$C$120,MATCH($B1142,Services!$D$2:$D$120,0)),""))</f>
        <v/>
      </c>
      <c r="F1142" s="19"/>
      <c r="G1142" s="9" t="str">
        <f t="shared" si="17"/>
        <v/>
      </c>
      <c r="H1142" s="15" t="str">
        <f>IF($B1142="","",IFERROR(INDEX(Services!$A$2:$A$120,MATCH($B1142,Services!$D$2:$D$120,0)),""))</f>
        <v/>
      </c>
      <c r="I1142" s="19"/>
      <c r="J1142" s="15" t="str">
        <f>IF($B1142="","",IFERROR(INDEX(Services!$E$2:$E$120,MATCH($B1142,Services!$D$2:$D$120,0)),""))</f>
        <v/>
      </c>
    </row>
    <row r="1143" spans="1:10" x14ac:dyDescent="0.3">
      <c r="A1143" s="18"/>
      <c r="B1143" s="6"/>
      <c r="C1143" s="6"/>
      <c r="D1143" s="6"/>
      <c r="E1143" s="16" t="str">
        <f>IF($B1143="","",IFERROR(INDEX(Services!$C$2:$C$120,MATCH($B1143,Services!$D$2:$D$120,0)),""))</f>
        <v/>
      </c>
      <c r="F1143" s="19"/>
      <c r="G1143" s="9" t="str">
        <f t="shared" si="17"/>
        <v/>
      </c>
      <c r="H1143" s="15" t="str">
        <f>IF($B1143="","",IFERROR(INDEX(Services!$A$2:$A$120,MATCH($B1143,Services!$D$2:$D$120,0)),""))</f>
        <v/>
      </c>
      <c r="I1143" s="19"/>
      <c r="J1143" s="15" t="str">
        <f>IF($B1143="","",IFERROR(INDEX(Services!$E$2:$E$120,MATCH($B1143,Services!$D$2:$D$120,0)),""))</f>
        <v/>
      </c>
    </row>
    <row r="1144" spans="1:10" x14ac:dyDescent="0.3">
      <c r="A1144" s="18"/>
      <c r="B1144" s="6"/>
      <c r="C1144" s="6"/>
      <c r="D1144" s="6"/>
      <c r="E1144" s="16" t="str">
        <f>IF($B1144="","",IFERROR(INDEX(Services!$C$2:$C$120,MATCH($B1144,Services!$D$2:$D$120,0)),""))</f>
        <v/>
      </c>
      <c r="F1144" s="19"/>
      <c r="G1144" s="9" t="str">
        <f t="shared" si="17"/>
        <v/>
      </c>
      <c r="H1144" s="15" t="str">
        <f>IF($B1144="","",IFERROR(INDEX(Services!$A$2:$A$120,MATCH($B1144,Services!$D$2:$D$120,0)),""))</f>
        <v/>
      </c>
      <c r="I1144" s="19"/>
      <c r="J1144" s="15" t="str">
        <f>IF($B1144="","",IFERROR(INDEX(Services!$E$2:$E$120,MATCH($B1144,Services!$D$2:$D$120,0)),""))</f>
        <v/>
      </c>
    </row>
    <row r="1145" spans="1:10" x14ac:dyDescent="0.3">
      <c r="A1145" s="18"/>
      <c r="B1145" s="6"/>
      <c r="C1145" s="6"/>
      <c r="D1145" s="6"/>
      <c r="E1145" s="16" t="str">
        <f>IF($B1145="","",IFERROR(INDEX(Services!$C$2:$C$120,MATCH($B1145,Services!$D$2:$D$120,0)),""))</f>
        <v/>
      </c>
      <c r="F1145" s="19"/>
      <c r="G1145" s="9" t="str">
        <f t="shared" si="17"/>
        <v/>
      </c>
      <c r="H1145" s="15" t="str">
        <f>IF($B1145="","",IFERROR(INDEX(Services!$A$2:$A$120,MATCH($B1145,Services!$D$2:$D$120,0)),""))</f>
        <v/>
      </c>
      <c r="I1145" s="19"/>
      <c r="J1145" s="15" t="str">
        <f>IF($B1145="","",IFERROR(INDEX(Services!$E$2:$E$120,MATCH($B1145,Services!$D$2:$D$120,0)),""))</f>
        <v/>
      </c>
    </row>
    <row r="1146" spans="1:10" x14ac:dyDescent="0.3">
      <c r="A1146" s="18"/>
      <c r="B1146" s="6"/>
      <c r="C1146" s="6"/>
      <c r="D1146" s="6"/>
      <c r="E1146" s="16" t="str">
        <f>IF($B1146="","",IFERROR(INDEX(Services!$C$2:$C$120,MATCH($B1146,Services!$D$2:$D$120,0)),""))</f>
        <v/>
      </c>
      <c r="F1146" s="19"/>
      <c r="G1146" s="9" t="str">
        <f t="shared" si="17"/>
        <v/>
      </c>
      <c r="H1146" s="15" t="str">
        <f>IF($B1146="","",IFERROR(INDEX(Services!$A$2:$A$120,MATCH($B1146,Services!$D$2:$D$120,0)),""))</f>
        <v/>
      </c>
      <c r="I1146" s="19"/>
      <c r="J1146" s="15" t="str">
        <f>IF($B1146="","",IFERROR(INDEX(Services!$E$2:$E$120,MATCH($B1146,Services!$D$2:$D$120,0)),""))</f>
        <v/>
      </c>
    </row>
    <row r="1147" spans="1:10" x14ac:dyDescent="0.3">
      <c r="A1147" s="18"/>
      <c r="B1147" s="6"/>
      <c r="C1147" s="6"/>
      <c r="D1147" s="6"/>
      <c r="E1147" s="16" t="str">
        <f>IF($B1147="","",IFERROR(INDEX(Services!$C$2:$C$120,MATCH($B1147,Services!$D$2:$D$120,0)),""))</f>
        <v/>
      </c>
      <c r="F1147" s="19"/>
      <c r="G1147" s="9" t="str">
        <f t="shared" si="17"/>
        <v/>
      </c>
      <c r="H1147" s="15" t="str">
        <f>IF($B1147="","",IFERROR(INDEX(Services!$A$2:$A$120,MATCH($B1147,Services!$D$2:$D$120,0)),""))</f>
        <v/>
      </c>
      <c r="I1147" s="19"/>
      <c r="J1147" s="15" t="str">
        <f>IF($B1147="","",IFERROR(INDEX(Services!$E$2:$E$120,MATCH($B1147,Services!$D$2:$D$120,0)),""))</f>
        <v/>
      </c>
    </row>
    <row r="1148" spans="1:10" x14ac:dyDescent="0.3">
      <c r="A1148" s="18"/>
      <c r="B1148" s="6"/>
      <c r="C1148" s="6"/>
      <c r="D1148" s="6"/>
      <c r="E1148" s="16" t="str">
        <f>IF($B1148="","",IFERROR(INDEX(Services!$C$2:$C$120,MATCH($B1148,Services!$D$2:$D$120,0)),""))</f>
        <v/>
      </c>
      <c r="F1148" s="19"/>
      <c r="G1148" s="9" t="str">
        <f t="shared" si="17"/>
        <v/>
      </c>
      <c r="H1148" s="15" t="str">
        <f>IF($B1148="","",IFERROR(INDEX(Services!$A$2:$A$120,MATCH($B1148,Services!$D$2:$D$120,0)),""))</f>
        <v/>
      </c>
      <c r="I1148" s="19"/>
      <c r="J1148" s="15" t="str">
        <f>IF($B1148="","",IFERROR(INDEX(Services!$E$2:$E$120,MATCH($B1148,Services!$D$2:$D$120,0)),""))</f>
        <v/>
      </c>
    </row>
    <row r="1149" spans="1:10" x14ac:dyDescent="0.3">
      <c r="A1149" s="18"/>
      <c r="B1149" s="6"/>
      <c r="C1149" s="6"/>
      <c r="D1149" s="6"/>
      <c r="E1149" s="16" t="str">
        <f>IF($B1149="","",IFERROR(INDEX(Services!$C$2:$C$120,MATCH($B1149,Services!$D$2:$D$120,0)),""))</f>
        <v/>
      </c>
      <c r="F1149" s="19"/>
      <c r="G1149" s="9" t="str">
        <f t="shared" si="17"/>
        <v/>
      </c>
      <c r="H1149" s="15" t="str">
        <f>IF($B1149="","",IFERROR(INDEX(Services!$A$2:$A$120,MATCH($B1149,Services!$D$2:$D$120,0)),""))</f>
        <v/>
      </c>
      <c r="I1149" s="19"/>
      <c r="J1149" s="15" t="str">
        <f>IF($B1149="","",IFERROR(INDEX(Services!$E$2:$E$120,MATCH($B1149,Services!$D$2:$D$120,0)),""))</f>
        <v/>
      </c>
    </row>
    <row r="1150" spans="1:10" x14ac:dyDescent="0.3">
      <c r="A1150" s="18"/>
      <c r="B1150" s="6"/>
      <c r="C1150" s="6"/>
      <c r="D1150" s="6"/>
      <c r="E1150" s="16" t="str">
        <f>IF($B1150="","",IFERROR(INDEX(Services!$C$2:$C$120,MATCH($B1150,Services!$D$2:$D$120,0)),""))</f>
        <v/>
      </c>
      <c r="F1150" s="19"/>
      <c r="G1150" s="9" t="str">
        <f t="shared" si="17"/>
        <v/>
      </c>
      <c r="H1150" s="15" t="str">
        <f>IF($B1150="","",IFERROR(INDEX(Services!$A$2:$A$120,MATCH($B1150,Services!$D$2:$D$120,0)),""))</f>
        <v/>
      </c>
      <c r="I1150" s="19"/>
      <c r="J1150" s="15" t="str">
        <f>IF($B1150="","",IFERROR(INDEX(Services!$E$2:$E$120,MATCH($B1150,Services!$D$2:$D$120,0)),""))</f>
        <v/>
      </c>
    </row>
    <row r="1151" spans="1:10" x14ac:dyDescent="0.3">
      <c r="A1151" s="18"/>
      <c r="B1151" s="6"/>
      <c r="C1151" s="6"/>
      <c r="D1151" s="6"/>
      <c r="E1151" s="16" t="str">
        <f>IF($B1151="","",IFERROR(INDEX(Services!$C$2:$C$120,MATCH($B1151,Services!$D$2:$D$120,0)),""))</f>
        <v/>
      </c>
      <c r="F1151" s="19"/>
      <c r="G1151" s="9" t="str">
        <f t="shared" si="17"/>
        <v/>
      </c>
      <c r="H1151" s="15" t="str">
        <f>IF($B1151="","",IFERROR(INDEX(Services!$A$2:$A$120,MATCH($B1151,Services!$D$2:$D$120,0)),""))</f>
        <v/>
      </c>
      <c r="I1151" s="19"/>
      <c r="J1151" s="15" t="str">
        <f>IF($B1151="","",IFERROR(INDEX(Services!$E$2:$E$120,MATCH($B1151,Services!$D$2:$D$120,0)),""))</f>
        <v/>
      </c>
    </row>
    <row r="1152" spans="1:10" x14ac:dyDescent="0.3">
      <c r="A1152" s="18"/>
      <c r="B1152" s="6"/>
      <c r="C1152" s="6"/>
      <c r="D1152" s="6"/>
      <c r="E1152" s="16" t="str">
        <f>IF($B1152="","",IFERROR(INDEX(Services!$C$2:$C$120,MATCH($B1152,Services!$D$2:$D$120,0)),""))</f>
        <v/>
      </c>
      <c r="F1152" s="19"/>
      <c r="G1152" s="9" t="str">
        <f t="shared" si="17"/>
        <v/>
      </c>
      <c r="H1152" s="15" t="str">
        <f>IF($B1152="","",IFERROR(INDEX(Services!$A$2:$A$120,MATCH($B1152,Services!$D$2:$D$120,0)),""))</f>
        <v/>
      </c>
      <c r="I1152" s="19"/>
      <c r="J1152" s="15" t="str">
        <f>IF($B1152="","",IFERROR(INDEX(Services!$E$2:$E$120,MATCH($B1152,Services!$D$2:$D$120,0)),""))</f>
        <v/>
      </c>
    </row>
    <row r="1153" spans="1:10" x14ac:dyDescent="0.3">
      <c r="A1153" s="18"/>
      <c r="B1153" s="6"/>
      <c r="C1153" s="6"/>
      <c r="D1153" s="6"/>
      <c r="E1153" s="16" t="str">
        <f>IF($B1153="","",IFERROR(INDEX(Services!$C$2:$C$120,MATCH($B1153,Services!$D$2:$D$120,0)),""))</f>
        <v/>
      </c>
      <c r="F1153" s="19"/>
      <c r="G1153" s="9" t="str">
        <f t="shared" si="17"/>
        <v/>
      </c>
      <c r="H1153" s="15" t="str">
        <f>IF($B1153="","",IFERROR(INDEX(Services!$A$2:$A$120,MATCH($B1153,Services!$D$2:$D$120,0)),""))</f>
        <v/>
      </c>
      <c r="I1153" s="19"/>
      <c r="J1153" s="15" t="str">
        <f>IF($B1153="","",IFERROR(INDEX(Services!$E$2:$E$120,MATCH($B1153,Services!$D$2:$D$120,0)),""))</f>
        <v/>
      </c>
    </row>
    <row r="1154" spans="1:10" x14ac:dyDescent="0.3">
      <c r="A1154" s="18"/>
      <c r="B1154" s="6"/>
      <c r="C1154" s="6"/>
      <c r="D1154" s="6"/>
      <c r="E1154" s="16" t="str">
        <f>IF($B1154="","",IFERROR(INDEX(Services!$C$2:$C$120,MATCH($B1154,Services!$D$2:$D$120,0)),""))</f>
        <v/>
      </c>
      <c r="F1154" s="19"/>
      <c r="G1154" s="9" t="str">
        <f t="shared" ref="G1154:G1217" si="18">IF(OR($B1154="",NOT(ISNUMBER($E1154))),"",$E1154-IF($F1154="",0,$F1154))</f>
        <v/>
      </c>
      <c r="H1154" s="15" t="str">
        <f>IF($B1154="","",IFERROR(INDEX(Services!$A$2:$A$120,MATCH($B1154,Services!$D$2:$D$120,0)),""))</f>
        <v/>
      </c>
      <c r="I1154" s="19"/>
      <c r="J1154" s="15" t="str">
        <f>IF($B1154="","",IFERROR(INDEX(Services!$E$2:$E$120,MATCH($B1154,Services!$D$2:$D$120,0)),""))</f>
        <v/>
      </c>
    </row>
    <row r="1155" spans="1:10" x14ac:dyDescent="0.3">
      <c r="A1155" s="18"/>
      <c r="B1155" s="6"/>
      <c r="C1155" s="6"/>
      <c r="D1155" s="6"/>
      <c r="E1155" s="16" t="str">
        <f>IF($B1155="","",IFERROR(INDEX(Services!$C$2:$C$120,MATCH($B1155,Services!$D$2:$D$120,0)),""))</f>
        <v/>
      </c>
      <c r="F1155" s="19"/>
      <c r="G1155" s="9" t="str">
        <f t="shared" si="18"/>
        <v/>
      </c>
      <c r="H1155" s="15" t="str">
        <f>IF($B1155="","",IFERROR(INDEX(Services!$A$2:$A$120,MATCH($B1155,Services!$D$2:$D$120,0)),""))</f>
        <v/>
      </c>
      <c r="I1155" s="19"/>
      <c r="J1155" s="15" t="str">
        <f>IF($B1155="","",IFERROR(INDEX(Services!$E$2:$E$120,MATCH($B1155,Services!$D$2:$D$120,0)),""))</f>
        <v/>
      </c>
    </row>
    <row r="1156" spans="1:10" x14ac:dyDescent="0.3">
      <c r="A1156" s="18"/>
      <c r="B1156" s="6"/>
      <c r="C1156" s="6"/>
      <c r="D1156" s="6"/>
      <c r="E1156" s="16" t="str">
        <f>IF($B1156="","",IFERROR(INDEX(Services!$C$2:$C$120,MATCH($B1156,Services!$D$2:$D$120,0)),""))</f>
        <v/>
      </c>
      <c r="F1156" s="19"/>
      <c r="G1156" s="9" t="str">
        <f t="shared" si="18"/>
        <v/>
      </c>
      <c r="H1156" s="15" t="str">
        <f>IF($B1156="","",IFERROR(INDEX(Services!$A$2:$A$120,MATCH($B1156,Services!$D$2:$D$120,0)),""))</f>
        <v/>
      </c>
      <c r="I1156" s="19"/>
      <c r="J1156" s="15" t="str">
        <f>IF($B1156="","",IFERROR(INDEX(Services!$E$2:$E$120,MATCH($B1156,Services!$D$2:$D$120,0)),""))</f>
        <v/>
      </c>
    </row>
    <row r="1157" spans="1:10" x14ac:dyDescent="0.3">
      <c r="A1157" s="18"/>
      <c r="B1157" s="6"/>
      <c r="C1157" s="6"/>
      <c r="D1157" s="6"/>
      <c r="E1157" s="16" t="str">
        <f>IF($B1157="","",IFERROR(INDEX(Services!$C$2:$C$120,MATCH($B1157,Services!$D$2:$D$120,0)),""))</f>
        <v/>
      </c>
      <c r="F1157" s="19"/>
      <c r="G1157" s="9" t="str">
        <f t="shared" si="18"/>
        <v/>
      </c>
      <c r="H1157" s="15" t="str">
        <f>IF($B1157="","",IFERROR(INDEX(Services!$A$2:$A$120,MATCH($B1157,Services!$D$2:$D$120,0)),""))</f>
        <v/>
      </c>
      <c r="I1157" s="19"/>
      <c r="J1157" s="15" t="str">
        <f>IF($B1157="","",IFERROR(INDEX(Services!$E$2:$E$120,MATCH($B1157,Services!$D$2:$D$120,0)),""))</f>
        <v/>
      </c>
    </row>
    <row r="1158" spans="1:10" x14ac:dyDescent="0.3">
      <c r="A1158" s="18"/>
      <c r="B1158" s="6"/>
      <c r="C1158" s="6"/>
      <c r="D1158" s="6"/>
      <c r="E1158" s="16" t="str">
        <f>IF($B1158="","",IFERROR(INDEX(Services!$C$2:$C$120,MATCH($B1158,Services!$D$2:$D$120,0)),""))</f>
        <v/>
      </c>
      <c r="F1158" s="19"/>
      <c r="G1158" s="9" t="str">
        <f t="shared" si="18"/>
        <v/>
      </c>
      <c r="H1158" s="15" t="str">
        <f>IF($B1158="","",IFERROR(INDEX(Services!$A$2:$A$120,MATCH($B1158,Services!$D$2:$D$120,0)),""))</f>
        <v/>
      </c>
      <c r="I1158" s="19"/>
      <c r="J1158" s="15" t="str">
        <f>IF($B1158="","",IFERROR(INDEX(Services!$E$2:$E$120,MATCH($B1158,Services!$D$2:$D$120,0)),""))</f>
        <v/>
      </c>
    </row>
    <row r="1159" spans="1:10" x14ac:dyDescent="0.3">
      <c r="A1159" s="18"/>
      <c r="B1159" s="6"/>
      <c r="C1159" s="6"/>
      <c r="D1159" s="6"/>
      <c r="E1159" s="16" t="str">
        <f>IF($B1159="","",IFERROR(INDEX(Services!$C$2:$C$120,MATCH($B1159,Services!$D$2:$D$120,0)),""))</f>
        <v/>
      </c>
      <c r="F1159" s="19"/>
      <c r="G1159" s="9" t="str">
        <f t="shared" si="18"/>
        <v/>
      </c>
      <c r="H1159" s="15" t="str">
        <f>IF($B1159="","",IFERROR(INDEX(Services!$A$2:$A$120,MATCH($B1159,Services!$D$2:$D$120,0)),""))</f>
        <v/>
      </c>
      <c r="I1159" s="19"/>
      <c r="J1159" s="15" t="str">
        <f>IF($B1159="","",IFERROR(INDEX(Services!$E$2:$E$120,MATCH($B1159,Services!$D$2:$D$120,0)),""))</f>
        <v/>
      </c>
    </row>
    <row r="1160" spans="1:10" x14ac:dyDescent="0.3">
      <c r="A1160" s="18"/>
      <c r="B1160" s="6"/>
      <c r="C1160" s="6"/>
      <c r="D1160" s="6"/>
      <c r="E1160" s="16" t="str">
        <f>IF($B1160="","",IFERROR(INDEX(Services!$C$2:$C$120,MATCH($B1160,Services!$D$2:$D$120,0)),""))</f>
        <v/>
      </c>
      <c r="F1160" s="19"/>
      <c r="G1160" s="9" t="str">
        <f t="shared" si="18"/>
        <v/>
      </c>
      <c r="H1160" s="15" t="str">
        <f>IF($B1160="","",IFERROR(INDEX(Services!$A$2:$A$120,MATCH($B1160,Services!$D$2:$D$120,0)),""))</f>
        <v/>
      </c>
      <c r="I1160" s="19"/>
      <c r="J1160" s="15" t="str">
        <f>IF($B1160="","",IFERROR(INDEX(Services!$E$2:$E$120,MATCH($B1160,Services!$D$2:$D$120,0)),""))</f>
        <v/>
      </c>
    </row>
    <row r="1161" spans="1:10" x14ac:dyDescent="0.3">
      <c r="A1161" s="18"/>
      <c r="B1161" s="6"/>
      <c r="C1161" s="6"/>
      <c r="D1161" s="6"/>
      <c r="E1161" s="16" t="str">
        <f>IF($B1161="","",IFERROR(INDEX(Services!$C$2:$C$120,MATCH($B1161,Services!$D$2:$D$120,0)),""))</f>
        <v/>
      </c>
      <c r="F1161" s="19"/>
      <c r="G1161" s="9" t="str">
        <f t="shared" si="18"/>
        <v/>
      </c>
      <c r="H1161" s="15" t="str">
        <f>IF($B1161="","",IFERROR(INDEX(Services!$A$2:$A$120,MATCH($B1161,Services!$D$2:$D$120,0)),""))</f>
        <v/>
      </c>
      <c r="I1161" s="19"/>
      <c r="J1161" s="15" t="str">
        <f>IF($B1161="","",IFERROR(INDEX(Services!$E$2:$E$120,MATCH($B1161,Services!$D$2:$D$120,0)),""))</f>
        <v/>
      </c>
    </row>
    <row r="1162" spans="1:10" x14ac:dyDescent="0.3">
      <c r="A1162" s="18"/>
      <c r="B1162" s="6"/>
      <c r="C1162" s="6"/>
      <c r="D1162" s="6"/>
      <c r="E1162" s="16" t="str">
        <f>IF($B1162="","",IFERROR(INDEX(Services!$C$2:$C$120,MATCH($B1162,Services!$D$2:$D$120,0)),""))</f>
        <v/>
      </c>
      <c r="F1162" s="19"/>
      <c r="G1162" s="9" t="str">
        <f t="shared" si="18"/>
        <v/>
      </c>
      <c r="H1162" s="15" t="str">
        <f>IF($B1162="","",IFERROR(INDEX(Services!$A$2:$A$120,MATCH($B1162,Services!$D$2:$D$120,0)),""))</f>
        <v/>
      </c>
      <c r="I1162" s="19"/>
      <c r="J1162" s="15" t="str">
        <f>IF($B1162="","",IFERROR(INDEX(Services!$E$2:$E$120,MATCH($B1162,Services!$D$2:$D$120,0)),""))</f>
        <v/>
      </c>
    </row>
    <row r="1163" spans="1:10" x14ac:dyDescent="0.3">
      <c r="A1163" s="18"/>
      <c r="B1163" s="6"/>
      <c r="C1163" s="6"/>
      <c r="D1163" s="6"/>
      <c r="E1163" s="16" t="str">
        <f>IF($B1163="","",IFERROR(INDEX(Services!$C$2:$C$120,MATCH($B1163,Services!$D$2:$D$120,0)),""))</f>
        <v/>
      </c>
      <c r="F1163" s="19"/>
      <c r="G1163" s="9" t="str">
        <f t="shared" si="18"/>
        <v/>
      </c>
      <c r="H1163" s="15" t="str">
        <f>IF($B1163="","",IFERROR(INDEX(Services!$A$2:$A$120,MATCH($B1163,Services!$D$2:$D$120,0)),""))</f>
        <v/>
      </c>
      <c r="I1163" s="19"/>
      <c r="J1163" s="15" t="str">
        <f>IF($B1163="","",IFERROR(INDEX(Services!$E$2:$E$120,MATCH($B1163,Services!$D$2:$D$120,0)),""))</f>
        <v/>
      </c>
    </row>
    <row r="1164" spans="1:10" x14ac:dyDescent="0.3">
      <c r="A1164" s="18"/>
      <c r="B1164" s="6"/>
      <c r="C1164" s="6"/>
      <c r="D1164" s="6"/>
      <c r="E1164" s="16" t="str">
        <f>IF($B1164="","",IFERROR(INDEX(Services!$C$2:$C$120,MATCH($B1164,Services!$D$2:$D$120,0)),""))</f>
        <v/>
      </c>
      <c r="F1164" s="19"/>
      <c r="G1164" s="9" t="str">
        <f t="shared" si="18"/>
        <v/>
      </c>
      <c r="H1164" s="15" t="str">
        <f>IF($B1164="","",IFERROR(INDEX(Services!$A$2:$A$120,MATCH($B1164,Services!$D$2:$D$120,0)),""))</f>
        <v/>
      </c>
      <c r="I1164" s="19"/>
      <c r="J1164" s="15" t="str">
        <f>IF($B1164="","",IFERROR(INDEX(Services!$E$2:$E$120,MATCH($B1164,Services!$D$2:$D$120,0)),""))</f>
        <v/>
      </c>
    </row>
    <row r="1165" spans="1:10" x14ac:dyDescent="0.3">
      <c r="A1165" s="18"/>
      <c r="B1165" s="6"/>
      <c r="C1165" s="6"/>
      <c r="D1165" s="6"/>
      <c r="E1165" s="16" t="str">
        <f>IF($B1165="","",IFERROR(INDEX(Services!$C$2:$C$120,MATCH($B1165,Services!$D$2:$D$120,0)),""))</f>
        <v/>
      </c>
      <c r="F1165" s="19"/>
      <c r="G1165" s="9" t="str">
        <f t="shared" si="18"/>
        <v/>
      </c>
      <c r="H1165" s="15" t="str">
        <f>IF($B1165="","",IFERROR(INDEX(Services!$A$2:$A$120,MATCH($B1165,Services!$D$2:$D$120,0)),""))</f>
        <v/>
      </c>
      <c r="I1165" s="19"/>
      <c r="J1165" s="15" t="str">
        <f>IF($B1165="","",IFERROR(INDEX(Services!$E$2:$E$120,MATCH($B1165,Services!$D$2:$D$120,0)),""))</f>
        <v/>
      </c>
    </row>
    <row r="1166" spans="1:10" x14ac:dyDescent="0.3">
      <c r="A1166" s="18"/>
      <c r="B1166" s="6"/>
      <c r="C1166" s="6"/>
      <c r="D1166" s="6"/>
      <c r="E1166" s="16" t="str">
        <f>IF($B1166="","",IFERROR(INDEX(Services!$C$2:$C$120,MATCH($B1166,Services!$D$2:$D$120,0)),""))</f>
        <v/>
      </c>
      <c r="F1166" s="19"/>
      <c r="G1166" s="9" t="str">
        <f t="shared" si="18"/>
        <v/>
      </c>
      <c r="H1166" s="15" t="str">
        <f>IF($B1166="","",IFERROR(INDEX(Services!$A$2:$A$120,MATCH($B1166,Services!$D$2:$D$120,0)),""))</f>
        <v/>
      </c>
      <c r="I1166" s="19"/>
      <c r="J1166" s="15" t="str">
        <f>IF($B1166="","",IFERROR(INDEX(Services!$E$2:$E$120,MATCH($B1166,Services!$D$2:$D$120,0)),""))</f>
        <v/>
      </c>
    </row>
    <row r="1167" spans="1:10" x14ac:dyDescent="0.3">
      <c r="A1167" s="18"/>
      <c r="B1167" s="6"/>
      <c r="C1167" s="6"/>
      <c r="D1167" s="6"/>
      <c r="E1167" s="16" t="str">
        <f>IF($B1167="","",IFERROR(INDEX(Services!$C$2:$C$120,MATCH($B1167,Services!$D$2:$D$120,0)),""))</f>
        <v/>
      </c>
      <c r="F1167" s="19"/>
      <c r="G1167" s="9" t="str">
        <f t="shared" si="18"/>
        <v/>
      </c>
      <c r="H1167" s="15" t="str">
        <f>IF($B1167="","",IFERROR(INDEX(Services!$A$2:$A$120,MATCH($B1167,Services!$D$2:$D$120,0)),""))</f>
        <v/>
      </c>
      <c r="I1167" s="19"/>
      <c r="J1167" s="15" t="str">
        <f>IF($B1167="","",IFERROR(INDEX(Services!$E$2:$E$120,MATCH($B1167,Services!$D$2:$D$120,0)),""))</f>
        <v/>
      </c>
    </row>
    <row r="1168" spans="1:10" x14ac:dyDescent="0.3">
      <c r="A1168" s="18"/>
      <c r="B1168" s="6"/>
      <c r="C1168" s="6"/>
      <c r="D1168" s="6"/>
      <c r="E1168" s="16" t="str">
        <f>IF($B1168="","",IFERROR(INDEX(Services!$C$2:$C$120,MATCH($B1168,Services!$D$2:$D$120,0)),""))</f>
        <v/>
      </c>
      <c r="F1168" s="19"/>
      <c r="G1168" s="9" t="str">
        <f t="shared" si="18"/>
        <v/>
      </c>
      <c r="H1168" s="15" t="str">
        <f>IF($B1168="","",IFERROR(INDEX(Services!$A$2:$A$120,MATCH($B1168,Services!$D$2:$D$120,0)),""))</f>
        <v/>
      </c>
      <c r="I1168" s="19"/>
      <c r="J1168" s="15" t="str">
        <f>IF($B1168="","",IFERROR(INDEX(Services!$E$2:$E$120,MATCH($B1168,Services!$D$2:$D$120,0)),""))</f>
        <v/>
      </c>
    </row>
    <row r="1169" spans="1:10" x14ac:dyDescent="0.3">
      <c r="A1169" s="18"/>
      <c r="B1169" s="6"/>
      <c r="C1169" s="6"/>
      <c r="D1169" s="6"/>
      <c r="E1169" s="16" t="str">
        <f>IF($B1169="","",IFERROR(INDEX(Services!$C$2:$C$120,MATCH($B1169,Services!$D$2:$D$120,0)),""))</f>
        <v/>
      </c>
      <c r="F1169" s="19"/>
      <c r="G1169" s="9" t="str">
        <f t="shared" si="18"/>
        <v/>
      </c>
      <c r="H1169" s="15" t="str">
        <f>IF($B1169="","",IFERROR(INDEX(Services!$A$2:$A$120,MATCH($B1169,Services!$D$2:$D$120,0)),""))</f>
        <v/>
      </c>
      <c r="I1169" s="19"/>
      <c r="J1169" s="15" t="str">
        <f>IF($B1169="","",IFERROR(INDEX(Services!$E$2:$E$120,MATCH($B1169,Services!$D$2:$D$120,0)),""))</f>
        <v/>
      </c>
    </row>
    <row r="1170" spans="1:10" x14ac:dyDescent="0.3">
      <c r="A1170" s="18"/>
      <c r="B1170" s="6"/>
      <c r="C1170" s="6"/>
      <c r="D1170" s="6"/>
      <c r="E1170" s="16" t="str">
        <f>IF($B1170="","",IFERROR(INDEX(Services!$C$2:$C$120,MATCH($B1170,Services!$D$2:$D$120,0)),""))</f>
        <v/>
      </c>
      <c r="F1170" s="19"/>
      <c r="G1170" s="9" t="str">
        <f t="shared" si="18"/>
        <v/>
      </c>
      <c r="H1170" s="15" t="str">
        <f>IF($B1170="","",IFERROR(INDEX(Services!$A$2:$A$120,MATCH($B1170,Services!$D$2:$D$120,0)),""))</f>
        <v/>
      </c>
      <c r="I1170" s="19"/>
      <c r="J1170" s="15" t="str">
        <f>IF($B1170="","",IFERROR(INDEX(Services!$E$2:$E$120,MATCH($B1170,Services!$D$2:$D$120,0)),""))</f>
        <v/>
      </c>
    </row>
    <row r="1171" spans="1:10" x14ac:dyDescent="0.3">
      <c r="A1171" s="18"/>
      <c r="B1171" s="6"/>
      <c r="C1171" s="6"/>
      <c r="D1171" s="6"/>
      <c r="E1171" s="16" t="str">
        <f>IF($B1171="","",IFERROR(INDEX(Services!$C$2:$C$120,MATCH($B1171,Services!$D$2:$D$120,0)),""))</f>
        <v/>
      </c>
      <c r="F1171" s="19"/>
      <c r="G1171" s="9" t="str">
        <f t="shared" si="18"/>
        <v/>
      </c>
      <c r="H1171" s="15" t="str">
        <f>IF($B1171="","",IFERROR(INDEX(Services!$A$2:$A$120,MATCH($B1171,Services!$D$2:$D$120,0)),""))</f>
        <v/>
      </c>
      <c r="I1171" s="19"/>
      <c r="J1171" s="15" t="str">
        <f>IF($B1171="","",IFERROR(INDEX(Services!$E$2:$E$120,MATCH($B1171,Services!$D$2:$D$120,0)),""))</f>
        <v/>
      </c>
    </row>
    <row r="1172" spans="1:10" x14ac:dyDescent="0.3">
      <c r="A1172" s="18"/>
      <c r="B1172" s="6"/>
      <c r="C1172" s="6"/>
      <c r="D1172" s="6"/>
      <c r="E1172" s="16" t="str">
        <f>IF($B1172="","",IFERROR(INDEX(Services!$C$2:$C$120,MATCH($B1172,Services!$D$2:$D$120,0)),""))</f>
        <v/>
      </c>
      <c r="F1172" s="19"/>
      <c r="G1172" s="9" t="str">
        <f t="shared" si="18"/>
        <v/>
      </c>
      <c r="H1172" s="15" t="str">
        <f>IF($B1172="","",IFERROR(INDEX(Services!$A$2:$A$120,MATCH($B1172,Services!$D$2:$D$120,0)),""))</f>
        <v/>
      </c>
      <c r="I1172" s="19"/>
      <c r="J1172" s="15" t="str">
        <f>IF($B1172="","",IFERROR(INDEX(Services!$E$2:$E$120,MATCH($B1172,Services!$D$2:$D$120,0)),""))</f>
        <v/>
      </c>
    </row>
    <row r="1173" spans="1:10" x14ac:dyDescent="0.3">
      <c r="A1173" s="18"/>
      <c r="B1173" s="6"/>
      <c r="C1173" s="6"/>
      <c r="D1173" s="6"/>
      <c r="E1173" s="16" t="str">
        <f>IF($B1173="","",IFERROR(INDEX(Services!$C$2:$C$120,MATCH($B1173,Services!$D$2:$D$120,0)),""))</f>
        <v/>
      </c>
      <c r="F1173" s="19"/>
      <c r="G1173" s="9" t="str">
        <f t="shared" si="18"/>
        <v/>
      </c>
      <c r="H1173" s="15" t="str">
        <f>IF($B1173="","",IFERROR(INDEX(Services!$A$2:$A$120,MATCH($B1173,Services!$D$2:$D$120,0)),""))</f>
        <v/>
      </c>
      <c r="I1173" s="19"/>
      <c r="J1173" s="15" t="str">
        <f>IF($B1173="","",IFERROR(INDEX(Services!$E$2:$E$120,MATCH($B1173,Services!$D$2:$D$120,0)),""))</f>
        <v/>
      </c>
    </row>
    <row r="1174" spans="1:10" x14ac:dyDescent="0.3">
      <c r="A1174" s="18"/>
      <c r="B1174" s="6"/>
      <c r="C1174" s="6"/>
      <c r="D1174" s="6"/>
      <c r="E1174" s="16" t="str">
        <f>IF($B1174="","",IFERROR(INDEX(Services!$C$2:$C$120,MATCH($B1174,Services!$D$2:$D$120,0)),""))</f>
        <v/>
      </c>
      <c r="F1174" s="19"/>
      <c r="G1174" s="9" t="str">
        <f t="shared" si="18"/>
        <v/>
      </c>
      <c r="H1174" s="15" t="str">
        <f>IF($B1174="","",IFERROR(INDEX(Services!$A$2:$A$120,MATCH($B1174,Services!$D$2:$D$120,0)),""))</f>
        <v/>
      </c>
      <c r="I1174" s="19"/>
      <c r="J1174" s="15" t="str">
        <f>IF($B1174="","",IFERROR(INDEX(Services!$E$2:$E$120,MATCH($B1174,Services!$D$2:$D$120,0)),""))</f>
        <v/>
      </c>
    </row>
    <row r="1175" spans="1:10" x14ac:dyDescent="0.3">
      <c r="A1175" s="18"/>
      <c r="B1175" s="6"/>
      <c r="C1175" s="6"/>
      <c r="D1175" s="6"/>
      <c r="E1175" s="16" t="str">
        <f>IF($B1175="","",IFERROR(INDEX(Services!$C$2:$C$120,MATCH($B1175,Services!$D$2:$D$120,0)),""))</f>
        <v/>
      </c>
      <c r="F1175" s="19"/>
      <c r="G1175" s="9" t="str">
        <f t="shared" si="18"/>
        <v/>
      </c>
      <c r="H1175" s="15" t="str">
        <f>IF($B1175="","",IFERROR(INDEX(Services!$A$2:$A$120,MATCH($B1175,Services!$D$2:$D$120,0)),""))</f>
        <v/>
      </c>
      <c r="I1175" s="19"/>
      <c r="J1175" s="15" t="str">
        <f>IF($B1175="","",IFERROR(INDEX(Services!$E$2:$E$120,MATCH($B1175,Services!$D$2:$D$120,0)),""))</f>
        <v/>
      </c>
    </row>
    <row r="1176" spans="1:10" x14ac:dyDescent="0.3">
      <c r="A1176" s="18"/>
      <c r="B1176" s="6"/>
      <c r="C1176" s="6"/>
      <c r="D1176" s="6"/>
      <c r="E1176" s="16" t="str">
        <f>IF($B1176="","",IFERROR(INDEX(Services!$C$2:$C$120,MATCH($B1176,Services!$D$2:$D$120,0)),""))</f>
        <v/>
      </c>
      <c r="F1176" s="19"/>
      <c r="G1176" s="9" t="str">
        <f t="shared" si="18"/>
        <v/>
      </c>
      <c r="H1176" s="15" t="str">
        <f>IF($B1176="","",IFERROR(INDEX(Services!$A$2:$A$120,MATCH($B1176,Services!$D$2:$D$120,0)),""))</f>
        <v/>
      </c>
      <c r="I1176" s="19"/>
      <c r="J1176" s="15" t="str">
        <f>IF($B1176="","",IFERROR(INDEX(Services!$E$2:$E$120,MATCH($B1176,Services!$D$2:$D$120,0)),""))</f>
        <v/>
      </c>
    </row>
    <row r="1177" spans="1:10" x14ac:dyDescent="0.3">
      <c r="A1177" s="18"/>
      <c r="B1177" s="6"/>
      <c r="C1177" s="6"/>
      <c r="D1177" s="6"/>
      <c r="E1177" s="16" t="str">
        <f>IF($B1177="","",IFERROR(INDEX(Services!$C$2:$C$120,MATCH($B1177,Services!$D$2:$D$120,0)),""))</f>
        <v/>
      </c>
      <c r="F1177" s="19"/>
      <c r="G1177" s="9" t="str">
        <f t="shared" si="18"/>
        <v/>
      </c>
      <c r="H1177" s="15" t="str">
        <f>IF($B1177="","",IFERROR(INDEX(Services!$A$2:$A$120,MATCH($B1177,Services!$D$2:$D$120,0)),""))</f>
        <v/>
      </c>
      <c r="I1177" s="19"/>
      <c r="J1177" s="15" t="str">
        <f>IF($B1177="","",IFERROR(INDEX(Services!$E$2:$E$120,MATCH($B1177,Services!$D$2:$D$120,0)),""))</f>
        <v/>
      </c>
    </row>
    <row r="1178" spans="1:10" x14ac:dyDescent="0.3">
      <c r="A1178" s="18"/>
      <c r="B1178" s="6"/>
      <c r="C1178" s="6"/>
      <c r="D1178" s="6"/>
      <c r="E1178" s="16" t="str">
        <f>IF($B1178="","",IFERROR(INDEX(Services!$C$2:$C$120,MATCH($B1178,Services!$D$2:$D$120,0)),""))</f>
        <v/>
      </c>
      <c r="F1178" s="19"/>
      <c r="G1178" s="9" t="str">
        <f t="shared" si="18"/>
        <v/>
      </c>
      <c r="H1178" s="15" t="str">
        <f>IF($B1178="","",IFERROR(INDEX(Services!$A$2:$A$120,MATCH($B1178,Services!$D$2:$D$120,0)),""))</f>
        <v/>
      </c>
      <c r="I1178" s="19"/>
      <c r="J1178" s="15" t="str">
        <f>IF($B1178="","",IFERROR(INDEX(Services!$E$2:$E$120,MATCH($B1178,Services!$D$2:$D$120,0)),""))</f>
        <v/>
      </c>
    </row>
    <row r="1179" spans="1:10" x14ac:dyDescent="0.3">
      <c r="A1179" s="18"/>
      <c r="B1179" s="6"/>
      <c r="C1179" s="6"/>
      <c r="D1179" s="6"/>
      <c r="E1179" s="16" t="str">
        <f>IF($B1179="","",IFERROR(INDEX(Services!$C$2:$C$120,MATCH($B1179,Services!$D$2:$D$120,0)),""))</f>
        <v/>
      </c>
      <c r="F1179" s="19"/>
      <c r="G1179" s="9" t="str">
        <f t="shared" si="18"/>
        <v/>
      </c>
      <c r="H1179" s="15" t="str">
        <f>IF($B1179="","",IFERROR(INDEX(Services!$A$2:$A$120,MATCH($B1179,Services!$D$2:$D$120,0)),""))</f>
        <v/>
      </c>
      <c r="I1179" s="19"/>
      <c r="J1179" s="15" t="str">
        <f>IF($B1179="","",IFERROR(INDEX(Services!$E$2:$E$120,MATCH($B1179,Services!$D$2:$D$120,0)),""))</f>
        <v/>
      </c>
    </row>
    <row r="1180" spans="1:10" x14ac:dyDescent="0.3">
      <c r="A1180" s="18"/>
      <c r="B1180" s="6"/>
      <c r="C1180" s="6"/>
      <c r="D1180" s="6"/>
      <c r="E1180" s="16" t="str">
        <f>IF($B1180="","",IFERROR(INDEX(Services!$C$2:$C$120,MATCH($B1180,Services!$D$2:$D$120,0)),""))</f>
        <v/>
      </c>
      <c r="F1180" s="19"/>
      <c r="G1180" s="9" t="str">
        <f t="shared" si="18"/>
        <v/>
      </c>
      <c r="H1180" s="15" t="str">
        <f>IF($B1180="","",IFERROR(INDEX(Services!$A$2:$A$120,MATCH($B1180,Services!$D$2:$D$120,0)),""))</f>
        <v/>
      </c>
      <c r="I1180" s="19"/>
      <c r="J1180" s="15" t="str">
        <f>IF($B1180="","",IFERROR(INDEX(Services!$E$2:$E$120,MATCH($B1180,Services!$D$2:$D$120,0)),""))</f>
        <v/>
      </c>
    </row>
    <row r="1181" spans="1:10" x14ac:dyDescent="0.3">
      <c r="A1181" s="18"/>
      <c r="B1181" s="6"/>
      <c r="C1181" s="6"/>
      <c r="D1181" s="6"/>
      <c r="E1181" s="16" t="str">
        <f>IF($B1181="","",IFERROR(INDEX(Services!$C$2:$C$120,MATCH($B1181,Services!$D$2:$D$120,0)),""))</f>
        <v/>
      </c>
      <c r="F1181" s="19"/>
      <c r="G1181" s="9" t="str">
        <f t="shared" si="18"/>
        <v/>
      </c>
      <c r="H1181" s="15" t="str">
        <f>IF($B1181="","",IFERROR(INDEX(Services!$A$2:$A$120,MATCH($B1181,Services!$D$2:$D$120,0)),""))</f>
        <v/>
      </c>
      <c r="I1181" s="19"/>
      <c r="J1181" s="15" t="str">
        <f>IF($B1181="","",IFERROR(INDEX(Services!$E$2:$E$120,MATCH($B1181,Services!$D$2:$D$120,0)),""))</f>
        <v/>
      </c>
    </row>
    <row r="1182" spans="1:10" x14ac:dyDescent="0.3">
      <c r="A1182" s="18"/>
      <c r="B1182" s="6"/>
      <c r="C1182" s="6"/>
      <c r="D1182" s="6"/>
      <c r="E1182" s="16" t="str">
        <f>IF($B1182="","",IFERROR(INDEX(Services!$C$2:$C$120,MATCH($B1182,Services!$D$2:$D$120,0)),""))</f>
        <v/>
      </c>
      <c r="F1182" s="19"/>
      <c r="G1182" s="9" t="str">
        <f t="shared" si="18"/>
        <v/>
      </c>
      <c r="H1182" s="15" t="str">
        <f>IF($B1182="","",IFERROR(INDEX(Services!$A$2:$A$120,MATCH($B1182,Services!$D$2:$D$120,0)),""))</f>
        <v/>
      </c>
      <c r="I1182" s="19"/>
      <c r="J1182" s="15" t="str">
        <f>IF($B1182="","",IFERROR(INDEX(Services!$E$2:$E$120,MATCH($B1182,Services!$D$2:$D$120,0)),""))</f>
        <v/>
      </c>
    </row>
    <row r="1183" spans="1:10" x14ac:dyDescent="0.3">
      <c r="A1183" s="18"/>
      <c r="B1183" s="6"/>
      <c r="C1183" s="6"/>
      <c r="D1183" s="6"/>
      <c r="E1183" s="16" t="str">
        <f>IF($B1183="","",IFERROR(INDEX(Services!$C$2:$C$120,MATCH($B1183,Services!$D$2:$D$120,0)),""))</f>
        <v/>
      </c>
      <c r="F1183" s="19"/>
      <c r="G1183" s="9" t="str">
        <f t="shared" si="18"/>
        <v/>
      </c>
      <c r="H1183" s="15" t="str">
        <f>IF($B1183="","",IFERROR(INDEX(Services!$A$2:$A$120,MATCH($B1183,Services!$D$2:$D$120,0)),""))</f>
        <v/>
      </c>
      <c r="I1183" s="19"/>
      <c r="J1183" s="15" t="str">
        <f>IF($B1183="","",IFERROR(INDEX(Services!$E$2:$E$120,MATCH($B1183,Services!$D$2:$D$120,0)),""))</f>
        <v/>
      </c>
    </row>
    <row r="1184" spans="1:10" x14ac:dyDescent="0.3">
      <c r="A1184" s="18"/>
      <c r="B1184" s="6"/>
      <c r="C1184" s="6"/>
      <c r="D1184" s="6"/>
      <c r="E1184" s="16" t="str">
        <f>IF($B1184="","",IFERROR(INDEX(Services!$C$2:$C$120,MATCH($B1184,Services!$D$2:$D$120,0)),""))</f>
        <v/>
      </c>
      <c r="F1184" s="19"/>
      <c r="G1184" s="9" t="str">
        <f t="shared" si="18"/>
        <v/>
      </c>
      <c r="H1184" s="15" t="str">
        <f>IF($B1184="","",IFERROR(INDEX(Services!$A$2:$A$120,MATCH($B1184,Services!$D$2:$D$120,0)),""))</f>
        <v/>
      </c>
      <c r="I1184" s="19"/>
      <c r="J1184" s="15" t="str">
        <f>IF($B1184="","",IFERROR(INDEX(Services!$E$2:$E$120,MATCH($B1184,Services!$D$2:$D$120,0)),""))</f>
        <v/>
      </c>
    </row>
    <row r="1185" spans="1:10" x14ac:dyDescent="0.3">
      <c r="A1185" s="18"/>
      <c r="B1185" s="6"/>
      <c r="C1185" s="6"/>
      <c r="D1185" s="6"/>
      <c r="E1185" s="16" t="str">
        <f>IF($B1185="","",IFERROR(INDEX(Services!$C$2:$C$120,MATCH($B1185,Services!$D$2:$D$120,0)),""))</f>
        <v/>
      </c>
      <c r="F1185" s="19"/>
      <c r="G1185" s="9" t="str">
        <f t="shared" si="18"/>
        <v/>
      </c>
      <c r="H1185" s="15" t="str">
        <f>IF($B1185="","",IFERROR(INDEX(Services!$A$2:$A$120,MATCH($B1185,Services!$D$2:$D$120,0)),""))</f>
        <v/>
      </c>
      <c r="I1185" s="19"/>
      <c r="J1185" s="15" t="str">
        <f>IF($B1185="","",IFERROR(INDEX(Services!$E$2:$E$120,MATCH($B1185,Services!$D$2:$D$120,0)),""))</f>
        <v/>
      </c>
    </row>
    <row r="1186" spans="1:10" x14ac:dyDescent="0.3">
      <c r="A1186" s="18"/>
      <c r="B1186" s="6"/>
      <c r="C1186" s="6"/>
      <c r="D1186" s="6"/>
      <c r="E1186" s="16" t="str">
        <f>IF($B1186="","",IFERROR(INDEX(Services!$C$2:$C$120,MATCH($B1186,Services!$D$2:$D$120,0)),""))</f>
        <v/>
      </c>
      <c r="F1186" s="19"/>
      <c r="G1186" s="9" t="str">
        <f t="shared" si="18"/>
        <v/>
      </c>
      <c r="H1186" s="15" t="str">
        <f>IF($B1186="","",IFERROR(INDEX(Services!$A$2:$A$120,MATCH($B1186,Services!$D$2:$D$120,0)),""))</f>
        <v/>
      </c>
      <c r="I1186" s="19"/>
      <c r="J1186" s="15" t="str">
        <f>IF($B1186="","",IFERROR(INDEX(Services!$E$2:$E$120,MATCH($B1186,Services!$D$2:$D$120,0)),""))</f>
        <v/>
      </c>
    </row>
    <row r="1187" spans="1:10" x14ac:dyDescent="0.3">
      <c r="A1187" s="18"/>
      <c r="B1187" s="6"/>
      <c r="C1187" s="6"/>
      <c r="D1187" s="6"/>
      <c r="E1187" s="16" t="str">
        <f>IF($B1187="","",IFERROR(INDEX(Services!$C$2:$C$120,MATCH($B1187,Services!$D$2:$D$120,0)),""))</f>
        <v/>
      </c>
      <c r="F1187" s="19"/>
      <c r="G1187" s="9" t="str">
        <f t="shared" si="18"/>
        <v/>
      </c>
      <c r="H1187" s="15" t="str">
        <f>IF($B1187="","",IFERROR(INDEX(Services!$A$2:$A$120,MATCH($B1187,Services!$D$2:$D$120,0)),""))</f>
        <v/>
      </c>
      <c r="I1187" s="19"/>
      <c r="J1187" s="15" t="str">
        <f>IF($B1187="","",IFERROR(INDEX(Services!$E$2:$E$120,MATCH($B1187,Services!$D$2:$D$120,0)),""))</f>
        <v/>
      </c>
    </row>
    <row r="1188" spans="1:10" x14ac:dyDescent="0.3">
      <c r="A1188" s="18"/>
      <c r="B1188" s="6"/>
      <c r="C1188" s="6"/>
      <c r="D1188" s="6"/>
      <c r="E1188" s="16" t="str">
        <f>IF($B1188="","",IFERROR(INDEX(Services!$C$2:$C$120,MATCH($B1188,Services!$D$2:$D$120,0)),""))</f>
        <v/>
      </c>
      <c r="F1188" s="19"/>
      <c r="G1188" s="9" t="str">
        <f t="shared" si="18"/>
        <v/>
      </c>
      <c r="H1188" s="15" t="str">
        <f>IF($B1188="","",IFERROR(INDEX(Services!$A$2:$A$120,MATCH($B1188,Services!$D$2:$D$120,0)),""))</f>
        <v/>
      </c>
      <c r="I1188" s="19"/>
      <c r="J1188" s="15" t="str">
        <f>IF($B1188="","",IFERROR(INDEX(Services!$E$2:$E$120,MATCH($B1188,Services!$D$2:$D$120,0)),""))</f>
        <v/>
      </c>
    </row>
    <row r="1189" spans="1:10" x14ac:dyDescent="0.3">
      <c r="A1189" s="18"/>
      <c r="B1189" s="6"/>
      <c r="C1189" s="6"/>
      <c r="D1189" s="6"/>
      <c r="E1189" s="16" t="str">
        <f>IF($B1189="","",IFERROR(INDEX(Services!$C$2:$C$120,MATCH($B1189,Services!$D$2:$D$120,0)),""))</f>
        <v/>
      </c>
      <c r="F1189" s="19"/>
      <c r="G1189" s="9" t="str">
        <f t="shared" si="18"/>
        <v/>
      </c>
      <c r="H1189" s="15" t="str">
        <f>IF($B1189="","",IFERROR(INDEX(Services!$A$2:$A$120,MATCH($B1189,Services!$D$2:$D$120,0)),""))</f>
        <v/>
      </c>
      <c r="I1189" s="19"/>
      <c r="J1189" s="15" t="str">
        <f>IF($B1189="","",IFERROR(INDEX(Services!$E$2:$E$120,MATCH($B1189,Services!$D$2:$D$120,0)),""))</f>
        <v/>
      </c>
    </row>
    <row r="1190" spans="1:10" x14ac:dyDescent="0.3">
      <c r="A1190" s="18"/>
      <c r="B1190" s="6"/>
      <c r="C1190" s="6"/>
      <c r="D1190" s="6"/>
      <c r="E1190" s="16" t="str">
        <f>IF($B1190="","",IFERROR(INDEX(Services!$C$2:$C$120,MATCH($B1190,Services!$D$2:$D$120,0)),""))</f>
        <v/>
      </c>
      <c r="F1190" s="19"/>
      <c r="G1190" s="9" t="str">
        <f t="shared" si="18"/>
        <v/>
      </c>
      <c r="H1190" s="15" t="str">
        <f>IF($B1190="","",IFERROR(INDEX(Services!$A$2:$A$120,MATCH($B1190,Services!$D$2:$D$120,0)),""))</f>
        <v/>
      </c>
      <c r="I1190" s="19"/>
      <c r="J1190" s="15" t="str">
        <f>IF($B1190="","",IFERROR(INDEX(Services!$E$2:$E$120,MATCH($B1190,Services!$D$2:$D$120,0)),""))</f>
        <v/>
      </c>
    </row>
    <row r="1191" spans="1:10" x14ac:dyDescent="0.3">
      <c r="A1191" s="18"/>
      <c r="B1191" s="6"/>
      <c r="C1191" s="6"/>
      <c r="D1191" s="6"/>
      <c r="E1191" s="16" t="str">
        <f>IF($B1191="","",IFERROR(INDEX(Services!$C$2:$C$120,MATCH($B1191,Services!$D$2:$D$120,0)),""))</f>
        <v/>
      </c>
      <c r="F1191" s="19"/>
      <c r="G1191" s="9" t="str">
        <f t="shared" si="18"/>
        <v/>
      </c>
      <c r="H1191" s="15" t="str">
        <f>IF($B1191="","",IFERROR(INDEX(Services!$A$2:$A$120,MATCH($B1191,Services!$D$2:$D$120,0)),""))</f>
        <v/>
      </c>
      <c r="I1191" s="19"/>
      <c r="J1191" s="15" t="str">
        <f>IF($B1191="","",IFERROR(INDEX(Services!$E$2:$E$120,MATCH($B1191,Services!$D$2:$D$120,0)),""))</f>
        <v/>
      </c>
    </row>
    <row r="1192" spans="1:10" x14ac:dyDescent="0.3">
      <c r="A1192" s="18"/>
      <c r="B1192" s="6"/>
      <c r="C1192" s="6"/>
      <c r="D1192" s="6"/>
      <c r="E1192" s="16" t="str">
        <f>IF($B1192="","",IFERROR(INDEX(Services!$C$2:$C$120,MATCH($B1192,Services!$D$2:$D$120,0)),""))</f>
        <v/>
      </c>
      <c r="F1192" s="19"/>
      <c r="G1192" s="9" t="str">
        <f t="shared" si="18"/>
        <v/>
      </c>
      <c r="H1192" s="15" t="str">
        <f>IF($B1192="","",IFERROR(INDEX(Services!$A$2:$A$120,MATCH($B1192,Services!$D$2:$D$120,0)),""))</f>
        <v/>
      </c>
      <c r="I1192" s="19"/>
      <c r="J1192" s="15" t="str">
        <f>IF($B1192="","",IFERROR(INDEX(Services!$E$2:$E$120,MATCH($B1192,Services!$D$2:$D$120,0)),""))</f>
        <v/>
      </c>
    </row>
    <row r="1193" spans="1:10" x14ac:dyDescent="0.3">
      <c r="A1193" s="18"/>
      <c r="B1193" s="6"/>
      <c r="C1193" s="6"/>
      <c r="D1193" s="6"/>
      <c r="E1193" s="16" t="str">
        <f>IF($B1193="","",IFERROR(INDEX(Services!$C$2:$C$120,MATCH($B1193,Services!$D$2:$D$120,0)),""))</f>
        <v/>
      </c>
      <c r="F1193" s="19"/>
      <c r="G1193" s="9" t="str">
        <f t="shared" si="18"/>
        <v/>
      </c>
      <c r="H1193" s="15" t="str">
        <f>IF($B1193="","",IFERROR(INDEX(Services!$A$2:$A$120,MATCH($B1193,Services!$D$2:$D$120,0)),""))</f>
        <v/>
      </c>
      <c r="I1193" s="19"/>
      <c r="J1193" s="15" t="str">
        <f>IF($B1193="","",IFERROR(INDEX(Services!$E$2:$E$120,MATCH($B1193,Services!$D$2:$D$120,0)),""))</f>
        <v/>
      </c>
    </row>
    <row r="1194" spans="1:10" x14ac:dyDescent="0.3">
      <c r="A1194" s="18"/>
      <c r="B1194" s="6"/>
      <c r="C1194" s="6"/>
      <c r="D1194" s="6"/>
      <c r="E1194" s="16" t="str">
        <f>IF($B1194="","",IFERROR(INDEX(Services!$C$2:$C$120,MATCH($B1194,Services!$D$2:$D$120,0)),""))</f>
        <v/>
      </c>
      <c r="F1194" s="19"/>
      <c r="G1194" s="9" t="str">
        <f t="shared" si="18"/>
        <v/>
      </c>
      <c r="H1194" s="15" t="str">
        <f>IF($B1194="","",IFERROR(INDEX(Services!$A$2:$A$120,MATCH($B1194,Services!$D$2:$D$120,0)),""))</f>
        <v/>
      </c>
      <c r="I1194" s="19"/>
      <c r="J1194" s="15" t="str">
        <f>IF($B1194="","",IFERROR(INDEX(Services!$E$2:$E$120,MATCH($B1194,Services!$D$2:$D$120,0)),""))</f>
        <v/>
      </c>
    </row>
    <row r="1195" spans="1:10" x14ac:dyDescent="0.3">
      <c r="A1195" s="18"/>
      <c r="B1195" s="6"/>
      <c r="C1195" s="6"/>
      <c r="D1195" s="6"/>
      <c r="E1195" s="16" t="str">
        <f>IF($B1195="","",IFERROR(INDEX(Services!$C$2:$C$120,MATCH($B1195,Services!$D$2:$D$120,0)),""))</f>
        <v/>
      </c>
      <c r="F1195" s="19"/>
      <c r="G1195" s="9" t="str">
        <f t="shared" si="18"/>
        <v/>
      </c>
      <c r="H1195" s="15" t="str">
        <f>IF($B1195="","",IFERROR(INDEX(Services!$A$2:$A$120,MATCH($B1195,Services!$D$2:$D$120,0)),""))</f>
        <v/>
      </c>
      <c r="I1195" s="19"/>
      <c r="J1195" s="15" t="str">
        <f>IF($B1195="","",IFERROR(INDEX(Services!$E$2:$E$120,MATCH($B1195,Services!$D$2:$D$120,0)),""))</f>
        <v/>
      </c>
    </row>
    <row r="1196" spans="1:10" x14ac:dyDescent="0.3">
      <c r="A1196" s="18"/>
      <c r="B1196" s="6"/>
      <c r="C1196" s="6"/>
      <c r="D1196" s="6"/>
      <c r="E1196" s="16" t="str">
        <f>IF($B1196="","",IFERROR(INDEX(Services!$C$2:$C$120,MATCH($B1196,Services!$D$2:$D$120,0)),""))</f>
        <v/>
      </c>
      <c r="F1196" s="19"/>
      <c r="G1196" s="9" t="str">
        <f t="shared" si="18"/>
        <v/>
      </c>
      <c r="H1196" s="15" t="str">
        <f>IF($B1196="","",IFERROR(INDEX(Services!$A$2:$A$120,MATCH($B1196,Services!$D$2:$D$120,0)),""))</f>
        <v/>
      </c>
      <c r="I1196" s="19"/>
      <c r="J1196" s="15" t="str">
        <f>IF($B1196="","",IFERROR(INDEX(Services!$E$2:$E$120,MATCH($B1196,Services!$D$2:$D$120,0)),""))</f>
        <v/>
      </c>
    </row>
    <row r="1197" spans="1:10" x14ac:dyDescent="0.3">
      <c r="A1197" s="18"/>
      <c r="B1197" s="6"/>
      <c r="C1197" s="6"/>
      <c r="D1197" s="6"/>
      <c r="E1197" s="16" t="str">
        <f>IF($B1197="","",IFERROR(INDEX(Services!$C$2:$C$120,MATCH($B1197,Services!$D$2:$D$120,0)),""))</f>
        <v/>
      </c>
      <c r="F1197" s="19"/>
      <c r="G1197" s="9" t="str">
        <f t="shared" si="18"/>
        <v/>
      </c>
      <c r="H1197" s="15" t="str">
        <f>IF($B1197="","",IFERROR(INDEX(Services!$A$2:$A$120,MATCH($B1197,Services!$D$2:$D$120,0)),""))</f>
        <v/>
      </c>
      <c r="I1197" s="19"/>
      <c r="J1197" s="15" t="str">
        <f>IF($B1197="","",IFERROR(INDEX(Services!$E$2:$E$120,MATCH($B1197,Services!$D$2:$D$120,0)),""))</f>
        <v/>
      </c>
    </row>
    <row r="1198" spans="1:10" x14ac:dyDescent="0.3">
      <c r="A1198" s="18"/>
      <c r="B1198" s="6"/>
      <c r="C1198" s="6"/>
      <c r="D1198" s="6"/>
      <c r="E1198" s="16" t="str">
        <f>IF($B1198="","",IFERROR(INDEX(Services!$C$2:$C$120,MATCH($B1198,Services!$D$2:$D$120,0)),""))</f>
        <v/>
      </c>
      <c r="F1198" s="19"/>
      <c r="G1198" s="9" t="str">
        <f t="shared" si="18"/>
        <v/>
      </c>
      <c r="H1198" s="15" t="str">
        <f>IF($B1198="","",IFERROR(INDEX(Services!$A$2:$A$120,MATCH($B1198,Services!$D$2:$D$120,0)),""))</f>
        <v/>
      </c>
      <c r="I1198" s="19"/>
      <c r="J1198" s="15" t="str">
        <f>IF($B1198="","",IFERROR(INDEX(Services!$E$2:$E$120,MATCH($B1198,Services!$D$2:$D$120,0)),""))</f>
        <v/>
      </c>
    </row>
    <row r="1199" spans="1:10" x14ac:dyDescent="0.3">
      <c r="A1199" s="18"/>
      <c r="B1199" s="6"/>
      <c r="C1199" s="6"/>
      <c r="D1199" s="6"/>
      <c r="E1199" s="16" t="str">
        <f>IF($B1199="","",IFERROR(INDEX(Services!$C$2:$C$120,MATCH($B1199,Services!$D$2:$D$120,0)),""))</f>
        <v/>
      </c>
      <c r="F1199" s="19"/>
      <c r="G1199" s="9" t="str">
        <f t="shared" si="18"/>
        <v/>
      </c>
      <c r="H1199" s="15" t="str">
        <f>IF($B1199="","",IFERROR(INDEX(Services!$A$2:$A$120,MATCH($B1199,Services!$D$2:$D$120,0)),""))</f>
        <v/>
      </c>
      <c r="I1199" s="19"/>
      <c r="J1199" s="15" t="str">
        <f>IF($B1199="","",IFERROR(INDEX(Services!$E$2:$E$120,MATCH($B1199,Services!$D$2:$D$120,0)),""))</f>
        <v/>
      </c>
    </row>
    <row r="1200" spans="1:10" x14ac:dyDescent="0.3">
      <c r="A1200" s="18"/>
      <c r="B1200" s="6"/>
      <c r="C1200" s="6"/>
      <c r="D1200" s="6"/>
      <c r="E1200" s="16" t="str">
        <f>IF($B1200="","",IFERROR(INDEX(Services!$C$2:$C$120,MATCH($B1200,Services!$D$2:$D$120,0)),""))</f>
        <v/>
      </c>
      <c r="F1200" s="19"/>
      <c r="G1200" s="9" t="str">
        <f t="shared" si="18"/>
        <v/>
      </c>
      <c r="H1200" s="15" t="str">
        <f>IF($B1200="","",IFERROR(INDEX(Services!$A$2:$A$120,MATCH($B1200,Services!$D$2:$D$120,0)),""))</f>
        <v/>
      </c>
      <c r="I1200" s="19"/>
      <c r="J1200" s="15" t="str">
        <f>IF($B1200="","",IFERROR(INDEX(Services!$E$2:$E$120,MATCH($B1200,Services!$D$2:$D$120,0)),""))</f>
        <v/>
      </c>
    </row>
    <row r="1201" spans="1:10" x14ac:dyDescent="0.3">
      <c r="A1201" s="18"/>
      <c r="B1201" s="6"/>
      <c r="C1201" s="6"/>
      <c r="D1201" s="6"/>
      <c r="E1201" s="16" t="str">
        <f>IF($B1201="","",IFERROR(INDEX(Services!$C$2:$C$120,MATCH($B1201,Services!$D$2:$D$120,0)),""))</f>
        <v/>
      </c>
      <c r="F1201" s="19"/>
      <c r="G1201" s="9" t="str">
        <f t="shared" si="18"/>
        <v/>
      </c>
      <c r="H1201" s="15" t="str">
        <f>IF($B1201="","",IFERROR(INDEX(Services!$A$2:$A$120,MATCH($B1201,Services!$D$2:$D$120,0)),""))</f>
        <v/>
      </c>
      <c r="I1201" s="19"/>
      <c r="J1201" s="15" t="str">
        <f>IF($B1201="","",IFERROR(INDEX(Services!$E$2:$E$120,MATCH($B1201,Services!$D$2:$D$120,0)),""))</f>
        <v/>
      </c>
    </row>
    <row r="1202" spans="1:10" x14ac:dyDescent="0.3">
      <c r="A1202" s="18"/>
      <c r="B1202" s="6"/>
      <c r="C1202" s="6"/>
      <c r="D1202" s="6"/>
      <c r="E1202" s="16" t="str">
        <f>IF($B1202="","",IFERROR(INDEX(Services!$C$2:$C$120,MATCH($B1202,Services!$D$2:$D$120,0)),""))</f>
        <v/>
      </c>
      <c r="F1202" s="19"/>
      <c r="G1202" s="9" t="str">
        <f t="shared" si="18"/>
        <v/>
      </c>
      <c r="H1202" s="15" t="str">
        <f>IF($B1202="","",IFERROR(INDEX(Services!$A$2:$A$120,MATCH($B1202,Services!$D$2:$D$120,0)),""))</f>
        <v/>
      </c>
      <c r="I1202" s="19"/>
      <c r="J1202" s="15" t="str">
        <f>IF($B1202="","",IFERROR(INDEX(Services!$E$2:$E$120,MATCH($B1202,Services!$D$2:$D$120,0)),""))</f>
        <v/>
      </c>
    </row>
    <row r="1203" spans="1:10" x14ac:dyDescent="0.3">
      <c r="A1203" s="18"/>
      <c r="B1203" s="6"/>
      <c r="C1203" s="6"/>
      <c r="D1203" s="6"/>
      <c r="E1203" s="16" t="str">
        <f>IF($B1203="","",IFERROR(INDEX(Services!$C$2:$C$120,MATCH($B1203,Services!$D$2:$D$120,0)),""))</f>
        <v/>
      </c>
      <c r="F1203" s="19"/>
      <c r="G1203" s="9" t="str">
        <f t="shared" si="18"/>
        <v/>
      </c>
      <c r="H1203" s="15" t="str">
        <f>IF($B1203="","",IFERROR(INDEX(Services!$A$2:$A$120,MATCH($B1203,Services!$D$2:$D$120,0)),""))</f>
        <v/>
      </c>
      <c r="I1203" s="19"/>
      <c r="J1203" s="15" t="str">
        <f>IF($B1203="","",IFERROR(INDEX(Services!$E$2:$E$120,MATCH($B1203,Services!$D$2:$D$120,0)),""))</f>
        <v/>
      </c>
    </row>
    <row r="1204" spans="1:10" x14ac:dyDescent="0.3">
      <c r="A1204" s="18"/>
      <c r="B1204" s="6"/>
      <c r="C1204" s="6"/>
      <c r="D1204" s="6"/>
      <c r="E1204" s="16" t="str">
        <f>IF($B1204="","",IFERROR(INDEX(Services!$C$2:$C$120,MATCH($B1204,Services!$D$2:$D$120,0)),""))</f>
        <v/>
      </c>
      <c r="F1204" s="19"/>
      <c r="G1204" s="9" t="str">
        <f t="shared" si="18"/>
        <v/>
      </c>
      <c r="H1204" s="15" t="str">
        <f>IF($B1204="","",IFERROR(INDEX(Services!$A$2:$A$120,MATCH($B1204,Services!$D$2:$D$120,0)),""))</f>
        <v/>
      </c>
      <c r="I1204" s="19"/>
      <c r="J1204" s="15" t="str">
        <f>IF($B1204="","",IFERROR(INDEX(Services!$E$2:$E$120,MATCH($B1204,Services!$D$2:$D$120,0)),""))</f>
        <v/>
      </c>
    </row>
    <row r="1205" spans="1:10" x14ac:dyDescent="0.3">
      <c r="A1205" s="18"/>
      <c r="B1205" s="6"/>
      <c r="C1205" s="6"/>
      <c r="D1205" s="6"/>
      <c r="E1205" s="16" t="str">
        <f>IF($B1205="","",IFERROR(INDEX(Services!$C$2:$C$120,MATCH($B1205,Services!$D$2:$D$120,0)),""))</f>
        <v/>
      </c>
      <c r="F1205" s="19"/>
      <c r="G1205" s="9" t="str">
        <f t="shared" si="18"/>
        <v/>
      </c>
      <c r="H1205" s="15" t="str">
        <f>IF($B1205="","",IFERROR(INDEX(Services!$A$2:$A$120,MATCH($B1205,Services!$D$2:$D$120,0)),""))</f>
        <v/>
      </c>
      <c r="I1205" s="19"/>
      <c r="J1205" s="15" t="str">
        <f>IF($B1205="","",IFERROR(INDEX(Services!$E$2:$E$120,MATCH($B1205,Services!$D$2:$D$120,0)),""))</f>
        <v/>
      </c>
    </row>
    <row r="1206" spans="1:10" x14ac:dyDescent="0.3">
      <c r="A1206" s="18"/>
      <c r="B1206" s="6"/>
      <c r="C1206" s="6"/>
      <c r="D1206" s="6"/>
      <c r="E1206" s="16" t="str">
        <f>IF($B1206="","",IFERROR(INDEX(Services!$C$2:$C$120,MATCH($B1206,Services!$D$2:$D$120,0)),""))</f>
        <v/>
      </c>
      <c r="F1206" s="19"/>
      <c r="G1206" s="9" t="str">
        <f t="shared" si="18"/>
        <v/>
      </c>
      <c r="H1206" s="15" t="str">
        <f>IF($B1206="","",IFERROR(INDEX(Services!$A$2:$A$120,MATCH($B1206,Services!$D$2:$D$120,0)),""))</f>
        <v/>
      </c>
      <c r="I1206" s="19"/>
      <c r="J1206" s="15" t="str">
        <f>IF($B1206="","",IFERROR(INDEX(Services!$E$2:$E$120,MATCH($B1206,Services!$D$2:$D$120,0)),""))</f>
        <v/>
      </c>
    </row>
    <row r="1207" spans="1:10" x14ac:dyDescent="0.3">
      <c r="A1207" s="18"/>
      <c r="B1207" s="6"/>
      <c r="C1207" s="6"/>
      <c r="D1207" s="6"/>
      <c r="E1207" s="16" t="str">
        <f>IF($B1207="","",IFERROR(INDEX(Services!$C$2:$C$120,MATCH($B1207,Services!$D$2:$D$120,0)),""))</f>
        <v/>
      </c>
      <c r="F1207" s="19"/>
      <c r="G1207" s="9" t="str">
        <f t="shared" si="18"/>
        <v/>
      </c>
      <c r="H1207" s="15" t="str">
        <f>IF($B1207="","",IFERROR(INDEX(Services!$A$2:$A$120,MATCH($B1207,Services!$D$2:$D$120,0)),""))</f>
        <v/>
      </c>
      <c r="I1207" s="19"/>
      <c r="J1207" s="15" t="str">
        <f>IF($B1207="","",IFERROR(INDEX(Services!$E$2:$E$120,MATCH($B1207,Services!$D$2:$D$120,0)),""))</f>
        <v/>
      </c>
    </row>
    <row r="1208" spans="1:10" x14ac:dyDescent="0.3">
      <c r="A1208" s="18"/>
      <c r="B1208" s="6"/>
      <c r="C1208" s="6"/>
      <c r="D1208" s="6"/>
      <c r="E1208" s="16" t="str">
        <f>IF($B1208="","",IFERROR(INDEX(Services!$C$2:$C$120,MATCH($B1208,Services!$D$2:$D$120,0)),""))</f>
        <v/>
      </c>
      <c r="F1208" s="19"/>
      <c r="G1208" s="9" t="str">
        <f t="shared" si="18"/>
        <v/>
      </c>
      <c r="H1208" s="15" t="str">
        <f>IF($B1208="","",IFERROR(INDEX(Services!$A$2:$A$120,MATCH($B1208,Services!$D$2:$D$120,0)),""))</f>
        <v/>
      </c>
      <c r="I1208" s="19"/>
      <c r="J1208" s="15" t="str">
        <f>IF($B1208="","",IFERROR(INDEX(Services!$E$2:$E$120,MATCH($B1208,Services!$D$2:$D$120,0)),""))</f>
        <v/>
      </c>
    </row>
    <row r="1209" spans="1:10" x14ac:dyDescent="0.3">
      <c r="A1209" s="18"/>
      <c r="B1209" s="6"/>
      <c r="C1209" s="6"/>
      <c r="D1209" s="6"/>
      <c r="E1209" s="16" t="str">
        <f>IF($B1209="","",IFERROR(INDEX(Services!$C$2:$C$120,MATCH($B1209,Services!$D$2:$D$120,0)),""))</f>
        <v/>
      </c>
      <c r="F1209" s="19"/>
      <c r="G1209" s="9" t="str">
        <f t="shared" si="18"/>
        <v/>
      </c>
      <c r="H1209" s="15" t="str">
        <f>IF($B1209="","",IFERROR(INDEX(Services!$A$2:$A$120,MATCH($B1209,Services!$D$2:$D$120,0)),""))</f>
        <v/>
      </c>
      <c r="I1209" s="19"/>
      <c r="J1209" s="15" t="str">
        <f>IF($B1209="","",IFERROR(INDEX(Services!$E$2:$E$120,MATCH($B1209,Services!$D$2:$D$120,0)),""))</f>
        <v/>
      </c>
    </row>
    <row r="1210" spans="1:10" x14ac:dyDescent="0.3">
      <c r="A1210" s="18"/>
      <c r="B1210" s="6"/>
      <c r="C1210" s="6"/>
      <c r="D1210" s="6"/>
      <c r="E1210" s="16" t="str">
        <f>IF($B1210="","",IFERROR(INDEX(Services!$C$2:$C$120,MATCH($B1210,Services!$D$2:$D$120,0)),""))</f>
        <v/>
      </c>
      <c r="F1210" s="19"/>
      <c r="G1210" s="9" t="str">
        <f t="shared" si="18"/>
        <v/>
      </c>
      <c r="H1210" s="15" t="str">
        <f>IF($B1210="","",IFERROR(INDEX(Services!$A$2:$A$120,MATCH($B1210,Services!$D$2:$D$120,0)),""))</f>
        <v/>
      </c>
      <c r="I1210" s="19"/>
      <c r="J1210" s="15" t="str">
        <f>IF($B1210="","",IFERROR(INDEX(Services!$E$2:$E$120,MATCH($B1210,Services!$D$2:$D$120,0)),""))</f>
        <v/>
      </c>
    </row>
    <row r="1211" spans="1:10" x14ac:dyDescent="0.3">
      <c r="A1211" s="18"/>
      <c r="B1211" s="6"/>
      <c r="C1211" s="6"/>
      <c r="D1211" s="6"/>
      <c r="E1211" s="16" t="str">
        <f>IF($B1211="","",IFERROR(INDEX(Services!$C$2:$C$120,MATCH($B1211,Services!$D$2:$D$120,0)),""))</f>
        <v/>
      </c>
      <c r="F1211" s="19"/>
      <c r="G1211" s="9" t="str">
        <f t="shared" si="18"/>
        <v/>
      </c>
      <c r="H1211" s="15" t="str">
        <f>IF($B1211="","",IFERROR(INDEX(Services!$A$2:$A$120,MATCH($B1211,Services!$D$2:$D$120,0)),""))</f>
        <v/>
      </c>
      <c r="I1211" s="19"/>
      <c r="J1211" s="15" t="str">
        <f>IF($B1211="","",IFERROR(INDEX(Services!$E$2:$E$120,MATCH($B1211,Services!$D$2:$D$120,0)),""))</f>
        <v/>
      </c>
    </row>
    <row r="1212" spans="1:10" x14ac:dyDescent="0.3">
      <c r="A1212" s="18"/>
      <c r="B1212" s="6"/>
      <c r="C1212" s="6"/>
      <c r="D1212" s="6"/>
      <c r="E1212" s="16" t="str">
        <f>IF($B1212="","",IFERROR(INDEX(Services!$C$2:$C$120,MATCH($B1212,Services!$D$2:$D$120,0)),""))</f>
        <v/>
      </c>
      <c r="F1212" s="19"/>
      <c r="G1212" s="9" t="str">
        <f t="shared" si="18"/>
        <v/>
      </c>
      <c r="H1212" s="15" t="str">
        <f>IF($B1212="","",IFERROR(INDEX(Services!$A$2:$A$120,MATCH($B1212,Services!$D$2:$D$120,0)),""))</f>
        <v/>
      </c>
      <c r="I1212" s="19"/>
      <c r="J1212" s="15" t="str">
        <f>IF($B1212="","",IFERROR(INDEX(Services!$E$2:$E$120,MATCH($B1212,Services!$D$2:$D$120,0)),""))</f>
        <v/>
      </c>
    </row>
    <row r="1213" spans="1:10" x14ac:dyDescent="0.3">
      <c r="A1213" s="18"/>
      <c r="B1213" s="6"/>
      <c r="C1213" s="6"/>
      <c r="D1213" s="6"/>
      <c r="E1213" s="16" t="str">
        <f>IF($B1213="","",IFERROR(INDEX(Services!$C$2:$C$120,MATCH($B1213,Services!$D$2:$D$120,0)),""))</f>
        <v/>
      </c>
      <c r="F1213" s="19"/>
      <c r="G1213" s="9" t="str">
        <f t="shared" si="18"/>
        <v/>
      </c>
      <c r="H1213" s="15" t="str">
        <f>IF($B1213="","",IFERROR(INDEX(Services!$A$2:$A$120,MATCH($B1213,Services!$D$2:$D$120,0)),""))</f>
        <v/>
      </c>
      <c r="I1213" s="19"/>
      <c r="J1213" s="15" t="str">
        <f>IF($B1213="","",IFERROR(INDEX(Services!$E$2:$E$120,MATCH($B1213,Services!$D$2:$D$120,0)),""))</f>
        <v/>
      </c>
    </row>
    <row r="1214" spans="1:10" x14ac:dyDescent="0.3">
      <c r="A1214" s="18"/>
      <c r="B1214" s="6"/>
      <c r="C1214" s="6"/>
      <c r="D1214" s="6"/>
      <c r="E1214" s="16" t="str">
        <f>IF($B1214="","",IFERROR(INDEX(Services!$C$2:$C$120,MATCH($B1214,Services!$D$2:$D$120,0)),""))</f>
        <v/>
      </c>
      <c r="F1214" s="19"/>
      <c r="G1214" s="9" t="str">
        <f t="shared" si="18"/>
        <v/>
      </c>
      <c r="H1214" s="15" t="str">
        <f>IF($B1214="","",IFERROR(INDEX(Services!$A$2:$A$120,MATCH($B1214,Services!$D$2:$D$120,0)),""))</f>
        <v/>
      </c>
      <c r="I1214" s="19"/>
      <c r="J1214" s="15" t="str">
        <f>IF($B1214="","",IFERROR(INDEX(Services!$E$2:$E$120,MATCH($B1214,Services!$D$2:$D$120,0)),""))</f>
        <v/>
      </c>
    </row>
    <row r="1215" spans="1:10" x14ac:dyDescent="0.3">
      <c r="A1215" s="18"/>
      <c r="B1215" s="6"/>
      <c r="C1215" s="6"/>
      <c r="D1215" s="6"/>
      <c r="E1215" s="16" t="str">
        <f>IF($B1215="","",IFERROR(INDEX(Services!$C$2:$C$120,MATCH($B1215,Services!$D$2:$D$120,0)),""))</f>
        <v/>
      </c>
      <c r="F1215" s="19"/>
      <c r="G1215" s="9" t="str">
        <f t="shared" si="18"/>
        <v/>
      </c>
      <c r="H1215" s="15" t="str">
        <f>IF($B1215="","",IFERROR(INDEX(Services!$A$2:$A$120,MATCH($B1215,Services!$D$2:$D$120,0)),""))</f>
        <v/>
      </c>
      <c r="I1215" s="19"/>
      <c r="J1215" s="15" t="str">
        <f>IF($B1215="","",IFERROR(INDEX(Services!$E$2:$E$120,MATCH($B1215,Services!$D$2:$D$120,0)),""))</f>
        <v/>
      </c>
    </row>
    <row r="1216" spans="1:10" x14ac:dyDescent="0.3">
      <c r="A1216" s="18"/>
      <c r="B1216" s="6"/>
      <c r="C1216" s="6"/>
      <c r="D1216" s="6"/>
      <c r="E1216" s="16" t="str">
        <f>IF($B1216="","",IFERROR(INDEX(Services!$C$2:$C$120,MATCH($B1216,Services!$D$2:$D$120,0)),""))</f>
        <v/>
      </c>
      <c r="F1216" s="19"/>
      <c r="G1216" s="9" t="str">
        <f t="shared" si="18"/>
        <v/>
      </c>
      <c r="H1216" s="15" t="str">
        <f>IF($B1216="","",IFERROR(INDEX(Services!$A$2:$A$120,MATCH($B1216,Services!$D$2:$D$120,0)),""))</f>
        <v/>
      </c>
      <c r="I1216" s="19"/>
      <c r="J1216" s="15" t="str">
        <f>IF($B1216="","",IFERROR(INDEX(Services!$E$2:$E$120,MATCH($B1216,Services!$D$2:$D$120,0)),""))</f>
        <v/>
      </c>
    </row>
    <row r="1217" spans="1:10" x14ac:dyDescent="0.3">
      <c r="A1217" s="18"/>
      <c r="B1217" s="6"/>
      <c r="C1217" s="6"/>
      <c r="D1217" s="6"/>
      <c r="E1217" s="16" t="str">
        <f>IF($B1217="","",IFERROR(INDEX(Services!$C$2:$C$120,MATCH($B1217,Services!$D$2:$D$120,0)),""))</f>
        <v/>
      </c>
      <c r="F1217" s="19"/>
      <c r="G1217" s="9" t="str">
        <f t="shared" si="18"/>
        <v/>
      </c>
      <c r="H1217" s="15" t="str">
        <f>IF($B1217="","",IFERROR(INDEX(Services!$A$2:$A$120,MATCH($B1217,Services!$D$2:$D$120,0)),""))</f>
        <v/>
      </c>
      <c r="I1217" s="19"/>
      <c r="J1217" s="15" t="str">
        <f>IF($B1217="","",IFERROR(INDEX(Services!$E$2:$E$120,MATCH($B1217,Services!$D$2:$D$120,0)),""))</f>
        <v/>
      </c>
    </row>
    <row r="1218" spans="1:10" x14ac:dyDescent="0.3">
      <c r="A1218" s="18"/>
      <c r="B1218" s="6"/>
      <c r="C1218" s="6"/>
      <c r="D1218" s="6"/>
      <c r="E1218" s="16" t="str">
        <f>IF($B1218="","",IFERROR(INDEX(Services!$C$2:$C$120,MATCH($B1218,Services!$D$2:$D$120,0)),""))</f>
        <v/>
      </c>
      <c r="F1218" s="19"/>
      <c r="G1218" s="9" t="str">
        <f t="shared" ref="G1218:G1281" si="19">IF(OR($B1218="",NOT(ISNUMBER($E1218))),"",$E1218-IF($F1218="",0,$F1218))</f>
        <v/>
      </c>
      <c r="H1218" s="15" t="str">
        <f>IF($B1218="","",IFERROR(INDEX(Services!$A$2:$A$120,MATCH($B1218,Services!$D$2:$D$120,0)),""))</f>
        <v/>
      </c>
      <c r="I1218" s="19"/>
      <c r="J1218" s="15" t="str">
        <f>IF($B1218="","",IFERROR(INDEX(Services!$E$2:$E$120,MATCH($B1218,Services!$D$2:$D$120,0)),""))</f>
        <v/>
      </c>
    </row>
    <row r="1219" spans="1:10" x14ac:dyDescent="0.3">
      <c r="A1219" s="18"/>
      <c r="B1219" s="6"/>
      <c r="C1219" s="6"/>
      <c r="D1219" s="6"/>
      <c r="E1219" s="16" t="str">
        <f>IF($B1219="","",IFERROR(INDEX(Services!$C$2:$C$120,MATCH($B1219,Services!$D$2:$D$120,0)),""))</f>
        <v/>
      </c>
      <c r="F1219" s="19"/>
      <c r="G1219" s="9" t="str">
        <f t="shared" si="19"/>
        <v/>
      </c>
      <c r="H1219" s="15" t="str">
        <f>IF($B1219="","",IFERROR(INDEX(Services!$A$2:$A$120,MATCH($B1219,Services!$D$2:$D$120,0)),""))</f>
        <v/>
      </c>
      <c r="I1219" s="19"/>
      <c r="J1219" s="15" t="str">
        <f>IF($B1219="","",IFERROR(INDEX(Services!$E$2:$E$120,MATCH($B1219,Services!$D$2:$D$120,0)),""))</f>
        <v/>
      </c>
    </row>
    <row r="1220" spans="1:10" x14ac:dyDescent="0.3">
      <c r="A1220" s="18"/>
      <c r="B1220" s="6"/>
      <c r="C1220" s="6"/>
      <c r="D1220" s="6"/>
      <c r="E1220" s="16" t="str">
        <f>IF($B1220="","",IFERROR(INDEX(Services!$C$2:$C$120,MATCH($B1220,Services!$D$2:$D$120,0)),""))</f>
        <v/>
      </c>
      <c r="F1220" s="19"/>
      <c r="G1220" s="9" t="str">
        <f t="shared" si="19"/>
        <v/>
      </c>
      <c r="H1220" s="15" t="str">
        <f>IF($B1220="","",IFERROR(INDEX(Services!$A$2:$A$120,MATCH($B1220,Services!$D$2:$D$120,0)),""))</f>
        <v/>
      </c>
      <c r="I1220" s="19"/>
      <c r="J1220" s="15" t="str">
        <f>IF($B1220="","",IFERROR(INDEX(Services!$E$2:$E$120,MATCH($B1220,Services!$D$2:$D$120,0)),""))</f>
        <v/>
      </c>
    </row>
    <row r="1221" spans="1:10" x14ac:dyDescent="0.3">
      <c r="A1221" s="18"/>
      <c r="B1221" s="6"/>
      <c r="C1221" s="6"/>
      <c r="D1221" s="6"/>
      <c r="E1221" s="16" t="str">
        <f>IF($B1221="","",IFERROR(INDEX(Services!$C$2:$C$120,MATCH($B1221,Services!$D$2:$D$120,0)),""))</f>
        <v/>
      </c>
      <c r="F1221" s="19"/>
      <c r="G1221" s="9" t="str">
        <f t="shared" si="19"/>
        <v/>
      </c>
      <c r="H1221" s="15" t="str">
        <f>IF($B1221="","",IFERROR(INDEX(Services!$A$2:$A$120,MATCH($B1221,Services!$D$2:$D$120,0)),""))</f>
        <v/>
      </c>
      <c r="I1221" s="19"/>
      <c r="J1221" s="15" t="str">
        <f>IF($B1221="","",IFERROR(INDEX(Services!$E$2:$E$120,MATCH($B1221,Services!$D$2:$D$120,0)),""))</f>
        <v/>
      </c>
    </row>
    <row r="1222" spans="1:10" x14ac:dyDescent="0.3">
      <c r="A1222" s="18"/>
      <c r="B1222" s="6"/>
      <c r="C1222" s="6"/>
      <c r="D1222" s="6"/>
      <c r="E1222" s="16" t="str">
        <f>IF($B1222="","",IFERROR(INDEX(Services!$C$2:$C$120,MATCH($B1222,Services!$D$2:$D$120,0)),""))</f>
        <v/>
      </c>
      <c r="F1222" s="19"/>
      <c r="G1222" s="9" t="str">
        <f t="shared" si="19"/>
        <v/>
      </c>
      <c r="H1222" s="15" t="str">
        <f>IF($B1222="","",IFERROR(INDEX(Services!$A$2:$A$120,MATCH($B1222,Services!$D$2:$D$120,0)),""))</f>
        <v/>
      </c>
      <c r="I1222" s="19"/>
      <c r="J1222" s="15" t="str">
        <f>IF($B1222="","",IFERROR(INDEX(Services!$E$2:$E$120,MATCH($B1222,Services!$D$2:$D$120,0)),""))</f>
        <v/>
      </c>
    </row>
    <row r="1223" spans="1:10" x14ac:dyDescent="0.3">
      <c r="A1223" s="18"/>
      <c r="B1223" s="6"/>
      <c r="C1223" s="6"/>
      <c r="D1223" s="6"/>
      <c r="E1223" s="16" t="str">
        <f>IF($B1223="","",IFERROR(INDEX(Services!$C$2:$C$120,MATCH($B1223,Services!$D$2:$D$120,0)),""))</f>
        <v/>
      </c>
      <c r="F1223" s="19"/>
      <c r="G1223" s="9" t="str">
        <f t="shared" si="19"/>
        <v/>
      </c>
      <c r="H1223" s="15" t="str">
        <f>IF($B1223="","",IFERROR(INDEX(Services!$A$2:$A$120,MATCH($B1223,Services!$D$2:$D$120,0)),""))</f>
        <v/>
      </c>
      <c r="I1223" s="19"/>
      <c r="J1223" s="15" t="str">
        <f>IF($B1223="","",IFERROR(INDEX(Services!$E$2:$E$120,MATCH($B1223,Services!$D$2:$D$120,0)),""))</f>
        <v/>
      </c>
    </row>
    <row r="1224" spans="1:10" x14ac:dyDescent="0.3">
      <c r="A1224" s="18"/>
      <c r="B1224" s="6"/>
      <c r="C1224" s="6"/>
      <c r="D1224" s="6"/>
      <c r="E1224" s="16" t="str">
        <f>IF($B1224="","",IFERROR(INDEX(Services!$C$2:$C$120,MATCH($B1224,Services!$D$2:$D$120,0)),""))</f>
        <v/>
      </c>
      <c r="F1224" s="19"/>
      <c r="G1224" s="9" t="str">
        <f t="shared" si="19"/>
        <v/>
      </c>
      <c r="H1224" s="15" t="str">
        <f>IF($B1224="","",IFERROR(INDEX(Services!$A$2:$A$120,MATCH($B1224,Services!$D$2:$D$120,0)),""))</f>
        <v/>
      </c>
      <c r="I1224" s="19"/>
      <c r="J1224" s="15" t="str">
        <f>IF($B1224="","",IFERROR(INDEX(Services!$E$2:$E$120,MATCH($B1224,Services!$D$2:$D$120,0)),""))</f>
        <v/>
      </c>
    </row>
    <row r="1225" spans="1:10" x14ac:dyDescent="0.3">
      <c r="A1225" s="18"/>
      <c r="B1225" s="6"/>
      <c r="C1225" s="6"/>
      <c r="D1225" s="6"/>
      <c r="E1225" s="16" t="str">
        <f>IF($B1225="","",IFERROR(INDEX(Services!$C$2:$C$120,MATCH($B1225,Services!$D$2:$D$120,0)),""))</f>
        <v/>
      </c>
      <c r="F1225" s="19"/>
      <c r="G1225" s="9" t="str">
        <f t="shared" si="19"/>
        <v/>
      </c>
      <c r="H1225" s="15" t="str">
        <f>IF($B1225="","",IFERROR(INDEX(Services!$A$2:$A$120,MATCH($B1225,Services!$D$2:$D$120,0)),""))</f>
        <v/>
      </c>
      <c r="I1225" s="19"/>
      <c r="J1225" s="15" t="str">
        <f>IF($B1225="","",IFERROR(INDEX(Services!$E$2:$E$120,MATCH($B1225,Services!$D$2:$D$120,0)),""))</f>
        <v/>
      </c>
    </row>
    <row r="1226" spans="1:10" x14ac:dyDescent="0.3">
      <c r="A1226" s="18"/>
      <c r="B1226" s="6"/>
      <c r="C1226" s="6"/>
      <c r="D1226" s="6"/>
      <c r="E1226" s="16" t="str">
        <f>IF($B1226="","",IFERROR(INDEX(Services!$C$2:$C$120,MATCH($B1226,Services!$D$2:$D$120,0)),""))</f>
        <v/>
      </c>
      <c r="F1226" s="19"/>
      <c r="G1226" s="9" t="str">
        <f t="shared" si="19"/>
        <v/>
      </c>
      <c r="H1226" s="15" t="str">
        <f>IF($B1226="","",IFERROR(INDEX(Services!$A$2:$A$120,MATCH($B1226,Services!$D$2:$D$120,0)),""))</f>
        <v/>
      </c>
      <c r="I1226" s="19"/>
      <c r="J1226" s="15" t="str">
        <f>IF($B1226="","",IFERROR(INDEX(Services!$E$2:$E$120,MATCH($B1226,Services!$D$2:$D$120,0)),""))</f>
        <v/>
      </c>
    </row>
    <row r="1227" spans="1:10" x14ac:dyDescent="0.3">
      <c r="A1227" s="18"/>
      <c r="B1227" s="6"/>
      <c r="C1227" s="6"/>
      <c r="D1227" s="6"/>
      <c r="E1227" s="16" t="str">
        <f>IF($B1227="","",IFERROR(INDEX(Services!$C$2:$C$120,MATCH($B1227,Services!$D$2:$D$120,0)),""))</f>
        <v/>
      </c>
      <c r="F1227" s="19"/>
      <c r="G1227" s="9" t="str">
        <f t="shared" si="19"/>
        <v/>
      </c>
      <c r="H1227" s="15" t="str">
        <f>IF($B1227="","",IFERROR(INDEX(Services!$A$2:$A$120,MATCH($B1227,Services!$D$2:$D$120,0)),""))</f>
        <v/>
      </c>
      <c r="I1227" s="19"/>
      <c r="J1227" s="15" t="str">
        <f>IF($B1227="","",IFERROR(INDEX(Services!$E$2:$E$120,MATCH($B1227,Services!$D$2:$D$120,0)),""))</f>
        <v/>
      </c>
    </row>
    <row r="1228" spans="1:10" x14ac:dyDescent="0.3">
      <c r="A1228" s="18"/>
      <c r="B1228" s="6"/>
      <c r="C1228" s="6"/>
      <c r="D1228" s="6"/>
      <c r="E1228" s="16" t="str">
        <f>IF($B1228="","",IFERROR(INDEX(Services!$C$2:$C$120,MATCH($B1228,Services!$D$2:$D$120,0)),""))</f>
        <v/>
      </c>
      <c r="F1228" s="19"/>
      <c r="G1228" s="9" t="str">
        <f t="shared" si="19"/>
        <v/>
      </c>
      <c r="H1228" s="15" t="str">
        <f>IF($B1228="","",IFERROR(INDEX(Services!$A$2:$A$120,MATCH($B1228,Services!$D$2:$D$120,0)),""))</f>
        <v/>
      </c>
      <c r="I1228" s="19"/>
      <c r="J1228" s="15" t="str">
        <f>IF($B1228="","",IFERROR(INDEX(Services!$E$2:$E$120,MATCH($B1228,Services!$D$2:$D$120,0)),""))</f>
        <v/>
      </c>
    </row>
    <row r="1229" spans="1:10" x14ac:dyDescent="0.3">
      <c r="A1229" s="18"/>
      <c r="B1229" s="6"/>
      <c r="C1229" s="6"/>
      <c r="D1229" s="6"/>
      <c r="E1229" s="16" t="str">
        <f>IF($B1229="","",IFERROR(INDEX(Services!$C$2:$C$120,MATCH($B1229,Services!$D$2:$D$120,0)),""))</f>
        <v/>
      </c>
      <c r="F1229" s="19"/>
      <c r="G1229" s="9" t="str">
        <f t="shared" si="19"/>
        <v/>
      </c>
      <c r="H1229" s="15" t="str">
        <f>IF($B1229="","",IFERROR(INDEX(Services!$A$2:$A$120,MATCH($B1229,Services!$D$2:$D$120,0)),""))</f>
        <v/>
      </c>
      <c r="I1229" s="19"/>
      <c r="J1229" s="15" t="str">
        <f>IF($B1229="","",IFERROR(INDEX(Services!$E$2:$E$120,MATCH($B1229,Services!$D$2:$D$120,0)),""))</f>
        <v/>
      </c>
    </row>
    <row r="1230" spans="1:10" x14ac:dyDescent="0.3">
      <c r="A1230" s="18"/>
      <c r="B1230" s="6"/>
      <c r="C1230" s="6"/>
      <c r="D1230" s="6"/>
      <c r="E1230" s="16" t="str">
        <f>IF($B1230="","",IFERROR(INDEX(Services!$C$2:$C$120,MATCH($B1230,Services!$D$2:$D$120,0)),""))</f>
        <v/>
      </c>
      <c r="F1230" s="19"/>
      <c r="G1230" s="9" t="str">
        <f t="shared" si="19"/>
        <v/>
      </c>
      <c r="H1230" s="15" t="str">
        <f>IF($B1230="","",IFERROR(INDEX(Services!$A$2:$A$120,MATCH($B1230,Services!$D$2:$D$120,0)),""))</f>
        <v/>
      </c>
      <c r="I1230" s="19"/>
      <c r="J1230" s="15" t="str">
        <f>IF($B1230="","",IFERROR(INDEX(Services!$E$2:$E$120,MATCH($B1230,Services!$D$2:$D$120,0)),""))</f>
        <v/>
      </c>
    </row>
    <row r="1231" spans="1:10" x14ac:dyDescent="0.3">
      <c r="A1231" s="18"/>
      <c r="B1231" s="6"/>
      <c r="C1231" s="6"/>
      <c r="D1231" s="6"/>
      <c r="E1231" s="16" t="str">
        <f>IF($B1231="","",IFERROR(INDEX(Services!$C$2:$C$120,MATCH($B1231,Services!$D$2:$D$120,0)),""))</f>
        <v/>
      </c>
      <c r="F1231" s="19"/>
      <c r="G1231" s="9" t="str">
        <f t="shared" si="19"/>
        <v/>
      </c>
      <c r="H1231" s="15" t="str">
        <f>IF($B1231="","",IFERROR(INDEX(Services!$A$2:$A$120,MATCH($B1231,Services!$D$2:$D$120,0)),""))</f>
        <v/>
      </c>
      <c r="I1231" s="19"/>
      <c r="J1231" s="15" t="str">
        <f>IF($B1231="","",IFERROR(INDEX(Services!$E$2:$E$120,MATCH($B1231,Services!$D$2:$D$120,0)),""))</f>
        <v/>
      </c>
    </row>
    <row r="1232" spans="1:10" x14ac:dyDescent="0.3">
      <c r="A1232" s="18"/>
      <c r="B1232" s="6"/>
      <c r="C1232" s="6"/>
      <c r="D1232" s="6"/>
      <c r="E1232" s="16" t="str">
        <f>IF($B1232="","",IFERROR(INDEX(Services!$C$2:$C$120,MATCH($B1232,Services!$D$2:$D$120,0)),""))</f>
        <v/>
      </c>
      <c r="F1232" s="19"/>
      <c r="G1232" s="9" t="str">
        <f t="shared" si="19"/>
        <v/>
      </c>
      <c r="H1232" s="15" t="str">
        <f>IF($B1232="","",IFERROR(INDEX(Services!$A$2:$A$120,MATCH($B1232,Services!$D$2:$D$120,0)),""))</f>
        <v/>
      </c>
      <c r="I1232" s="19"/>
      <c r="J1232" s="15" t="str">
        <f>IF($B1232="","",IFERROR(INDEX(Services!$E$2:$E$120,MATCH($B1232,Services!$D$2:$D$120,0)),""))</f>
        <v/>
      </c>
    </row>
    <row r="1233" spans="1:10" x14ac:dyDescent="0.3">
      <c r="A1233" s="18"/>
      <c r="B1233" s="6"/>
      <c r="C1233" s="6"/>
      <c r="D1233" s="6"/>
      <c r="E1233" s="16" t="str">
        <f>IF($B1233="","",IFERROR(INDEX(Services!$C$2:$C$120,MATCH($B1233,Services!$D$2:$D$120,0)),""))</f>
        <v/>
      </c>
      <c r="F1233" s="19"/>
      <c r="G1233" s="9" t="str">
        <f t="shared" si="19"/>
        <v/>
      </c>
      <c r="H1233" s="15" t="str">
        <f>IF($B1233="","",IFERROR(INDEX(Services!$A$2:$A$120,MATCH($B1233,Services!$D$2:$D$120,0)),""))</f>
        <v/>
      </c>
      <c r="I1233" s="19"/>
      <c r="J1233" s="15" t="str">
        <f>IF($B1233="","",IFERROR(INDEX(Services!$E$2:$E$120,MATCH($B1233,Services!$D$2:$D$120,0)),""))</f>
        <v/>
      </c>
    </row>
    <row r="1234" spans="1:10" x14ac:dyDescent="0.3">
      <c r="A1234" s="18"/>
      <c r="B1234" s="6"/>
      <c r="C1234" s="6"/>
      <c r="D1234" s="6"/>
      <c r="E1234" s="16" t="str">
        <f>IF($B1234="","",IFERROR(INDEX(Services!$C$2:$C$120,MATCH($B1234,Services!$D$2:$D$120,0)),""))</f>
        <v/>
      </c>
      <c r="F1234" s="19"/>
      <c r="G1234" s="9" t="str">
        <f t="shared" si="19"/>
        <v/>
      </c>
      <c r="H1234" s="15" t="str">
        <f>IF($B1234="","",IFERROR(INDEX(Services!$A$2:$A$120,MATCH($B1234,Services!$D$2:$D$120,0)),""))</f>
        <v/>
      </c>
      <c r="I1234" s="19"/>
      <c r="J1234" s="15" t="str">
        <f>IF($B1234="","",IFERROR(INDEX(Services!$E$2:$E$120,MATCH($B1234,Services!$D$2:$D$120,0)),""))</f>
        <v/>
      </c>
    </row>
    <row r="1235" spans="1:10" x14ac:dyDescent="0.3">
      <c r="A1235" s="18"/>
      <c r="B1235" s="6"/>
      <c r="C1235" s="6"/>
      <c r="D1235" s="6"/>
      <c r="E1235" s="16" t="str">
        <f>IF($B1235="","",IFERROR(INDEX(Services!$C$2:$C$120,MATCH($B1235,Services!$D$2:$D$120,0)),""))</f>
        <v/>
      </c>
      <c r="F1235" s="19"/>
      <c r="G1235" s="9" t="str">
        <f t="shared" si="19"/>
        <v/>
      </c>
      <c r="H1235" s="15" t="str">
        <f>IF($B1235="","",IFERROR(INDEX(Services!$A$2:$A$120,MATCH($B1235,Services!$D$2:$D$120,0)),""))</f>
        <v/>
      </c>
      <c r="I1235" s="19"/>
      <c r="J1235" s="15" t="str">
        <f>IF($B1235="","",IFERROR(INDEX(Services!$E$2:$E$120,MATCH($B1235,Services!$D$2:$D$120,0)),""))</f>
        <v/>
      </c>
    </row>
    <row r="1236" spans="1:10" x14ac:dyDescent="0.3">
      <c r="A1236" s="18"/>
      <c r="B1236" s="6"/>
      <c r="C1236" s="6"/>
      <c r="D1236" s="6"/>
      <c r="E1236" s="16" t="str">
        <f>IF($B1236="","",IFERROR(INDEX(Services!$C$2:$C$120,MATCH($B1236,Services!$D$2:$D$120,0)),""))</f>
        <v/>
      </c>
      <c r="F1236" s="19"/>
      <c r="G1236" s="9" t="str">
        <f t="shared" si="19"/>
        <v/>
      </c>
      <c r="H1236" s="15" t="str">
        <f>IF($B1236="","",IFERROR(INDEX(Services!$A$2:$A$120,MATCH($B1236,Services!$D$2:$D$120,0)),""))</f>
        <v/>
      </c>
      <c r="I1236" s="19"/>
      <c r="J1236" s="15" t="str">
        <f>IF($B1236="","",IFERROR(INDEX(Services!$E$2:$E$120,MATCH($B1236,Services!$D$2:$D$120,0)),""))</f>
        <v/>
      </c>
    </row>
    <row r="1237" spans="1:10" x14ac:dyDescent="0.3">
      <c r="A1237" s="18"/>
      <c r="B1237" s="6"/>
      <c r="C1237" s="6"/>
      <c r="D1237" s="6"/>
      <c r="E1237" s="16" t="str">
        <f>IF($B1237="","",IFERROR(INDEX(Services!$C$2:$C$120,MATCH($B1237,Services!$D$2:$D$120,0)),""))</f>
        <v/>
      </c>
      <c r="F1237" s="19"/>
      <c r="G1237" s="9" t="str">
        <f t="shared" si="19"/>
        <v/>
      </c>
      <c r="H1237" s="15" t="str">
        <f>IF($B1237="","",IFERROR(INDEX(Services!$A$2:$A$120,MATCH($B1237,Services!$D$2:$D$120,0)),""))</f>
        <v/>
      </c>
      <c r="I1237" s="19"/>
      <c r="J1237" s="15" t="str">
        <f>IF($B1237="","",IFERROR(INDEX(Services!$E$2:$E$120,MATCH($B1237,Services!$D$2:$D$120,0)),""))</f>
        <v/>
      </c>
    </row>
    <row r="1238" spans="1:10" x14ac:dyDescent="0.3">
      <c r="A1238" s="18"/>
      <c r="B1238" s="6"/>
      <c r="C1238" s="6"/>
      <c r="D1238" s="6"/>
      <c r="E1238" s="16" t="str">
        <f>IF($B1238="","",IFERROR(INDEX(Services!$C$2:$C$120,MATCH($B1238,Services!$D$2:$D$120,0)),""))</f>
        <v/>
      </c>
      <c r="F1238" s="19"/>
      <c r="G1238" s="9" t="str">
        <f t="shared" si="19"/>
        <v/>
      </c>
      <c r="H1238" s="15" t="str">
        <f>IF($B1238="","",IFERROR(INDEX(Services!$A$2:$A$120,MATCH($B1238,Services!$D$2:$D$120,0)),""))</f>
        <v/>
      </c>
      <c r="I1238" s="19"/>
      <c r="J1238" s="15" t="str">
        <f>IF($B1238="","",IFERROR(INDEX(Services!$E$2:$E$120,MATCH($B1238,Services!$D$2:$D$120,0)),""))</f>
        <v/>
      </c>
    </row>
    <row r="1239" spans="1:10" x14ac:dyDescent="0.3">
      <c r="A1239" s="18"/>
      <c r="B1239" s="6"/>
      <c r="C1239" s="6"/>
      <c r="D1239" s="6"/>
      <c r="E1239" s="16" t="str">
        <f>IF($B1239="","",IFERROR(INDEX(Services!$C$2:$C$120,MATCH($B1239,Services!$D$2:$D$120,0)),""))</f>
        <v/>
      </c>
      <c r="F1239" s="19"/>
      <c r="G1239" s="9" t="str">
        <f t="shared" si="19"/>
        <v/>
      </c>
      <c r="H1239" s="15" t="str">
        <f>IF($B1239="","",IFERROR(INDEX(Services!$A$2:$A$120,MATCH($B1239,Services!$D$2:$D$120,0)),""))</f>
        <v/>
      </c>
      <c r="I1239" s="19"/>
      <c r="J1239" s="15" t="str">
        <f>IF($B1239="","",IFERROR(INDEX(Services!$E$2:$E$120,MATCH($B1239,Services!$D$2:$D$120,0)),""))</f>
        <v/>
      </c>
    </row>
    <row r="1240" spans="1:10" x14ac:dyDescent="0.3">
      <c r="A1240" s="18"/>
      <c r="B1240" s="6"/>
      <c r="C1240" s="6"/>
      <c r="D1240" s="6"/>
      <c r="E1240" s="16" t="str">
        <f>IF($B1240="","",IFERROR(INDEX(Services!$C$2:$C$120,MATCH($B1240,Services!$D$2:$D$120,0)),""))</f>
        <v/>
      </c>
      <c r="F1240" s="19"/>
      <c r="G1240" s="9" t="str">
        <f t="shared" si="19"/>
        <v/>
      </c>
      <c r="H1240" s="15" t="str">
        <f>IF($B1240="","",IFERROR(INDEX(Services!$A$2:$A$120,MATCH($B1240,Services!$D$2:$D$120,0)),""))</f>
        <v/>
      </c>
      <c r="I1240" s="19"/>
      <c r="J1240" s="15" t="str">
        <f>IF($B1240="","",IFERROR(INDEX(Services!$E$2:$E$120,MATCH($B1240,Services!$D$2:$D$120,0)),""))</f>
        <v/>
      </c>
    </row>
    <row r="1241" spans="1:10" x14ac:dyDescent="0.3">
      <c r="A1241" s="18"/>
      <c r="B1241" s="6"/>
      <c r="C1241" s="6"/>
      <c r="D1241" s="6"/>
      <c r="E1241" s="16" t="str">
        <f>IF($B1241="","",IFERROR(INDEX(Services!$C$2:$C$120,MATCH($B1241,Services!$D$2:$D$120,0)),""))</f>
        <v/>
      </c>
      <c r="F1241" s="19"/>
      <c r="G1241" s="9" t="str">
        <f t="shared" si="19"/>
        <v/>
      </c>
      <c r="H1241" s="15" t="str">
        <f>IF($B1241="","",IFERROR(INDEX(Services!$A$2:$A$120,MATCH($B1241,Services!$D$2:$D$120,0)),""))</f>
        <v/>
      </c>
      <c r="I1241" s="19"/>
      <c r="J1241" s="15" t="str">
        <f>IF($B1241="","",IFERROR(INDEX(Services!$E$2:$E$120,MATCH($B1241,Services!$D$2:$D$120,0)),""))</f>
        <v/>
      </c>
    </row>
    <row r="1242" spans="1:10" x14ac:dyDescent="0.3">
      <c r="A1242" s="18"/>
      <c r="B1242" s="6"/>
      <c r="C1242" s="6"/>
      <c r="D1242" s="6"/>
      <c r="E1242" s="16" t="str">
        <f>IF($B1242="","",IFERROR(INDEX(Services!$C$2:$C$120,MATCH($B1242,Services!$D$2:$D$120,0)),""))</f>
        <v/>
      </c>
      <c r="F1242" s="19"/>
      <c r="G1242" s="9" t="str">
        <f t="shared" si="19"/>
        <v/>
      </c>
      <c r="H1242" s="15" t="str">
        <f>IF($B1242="","",IFERROR(INDEX(Services!$A$2:$A$120,MATCH($B1242,Services!$D$2:$D$120,0)),""))</f>
        <v/>
      </c>
      <c r="I1242" s="19"/>
      <c r="J1242" s="15" t="str">
        <f>IF($B1242="","",IFERROR(INDEX(Services!$E$2:$E$120,MATCH($B1242,Services!$D$2:$D$120,0)),""))</f>
        <v/>
      </c>
    </row>
    <row r="1243" spans="1:10" x14ac:dyDescent="0.3">
      <c r="A1243" s="18"/>
      <c r="B1243" s="6"/>
      <c r="C1243" s="6"/>
      <c r="D1243" s="6"/>
      <c r="E1243" s="16" t="str">
        <f>IF($B1243="","",IFERROR(INDEX(Services!$C$2:$C$120,MATCH($B1243,Services!$D$2:$D$120,0)),""))</f>
        <v/>
      </c>
      <c r="F1243" s="19"/>
      <c r="G1243" s="9" t="str">
        <f t="shared" si="19"/>
        <v/>
      </c>
      <c r="H1243" s="15" t="str">
        <f>IF($B1243="","",IFERROR(INDEX(Services!$A$2:$A$120,MATCH($B1243,Services!$D$2:$D$120,0)),""))</f>
        <v/>
      </c>
      <c r="I1243" s="19"/>
      <c r="J1243" s="15" t="str">
        <f>IF($B1243="","",IFERROR(INDEX(Services!$E$2:$E$120,MATCH($B1243,Services!$D$2:$D$120,0)),""))</f>
        <v/>
      </c>
    </row>
    <row r="1244" spans="1:10" x14ac:dyDescent="0.3">
      <c r="A1244" s="18"/>
      <c r="B1244" s="6"/>
      <c r="C1244" s="6"/>
      <c r="D1244" s="6"/>
      <c r="E1244" s="16" t="str">
        <f>IF($B1244="","",IFERROR(INDEX(Services!$C$2:$C$120,MATCH($B1244,Services!$D$2:$D$120,0)),""))</f>
        <v/>
      </c>
      <c r="F1244" s="19"/>
      <c r="G1244" s="9" t="str">
        <f t="shared" si="19"/>
        <v/>
      </c>
      <c r="H1244" s="15" t="str">
        <f>IF($B1244="","",IFERROR(INDEX(Services!$A$2:$A$120,MATCH($B1244,Services!$D$2:$D$120,0)),""))</f>
        <v/>
      </c>
      <c r="I1244" s="19"/>
      <c r="J1244" s="15" t="str">
        <f>IF($B1244="","",IFERROR(INDEX(Services!$E$2:$E$120,MATCH($B1244,Services!$D$2:$D$120,0)),""))</f>
        <v/>
      </c>
    </row>
    <row r="1245" spans="1:10" x14ac:dyDescent="0.3">
      <c r="A1245" s="18"/>
      <c r="B1245" s="6"/>
      <c r="C1245" s="6"/>
      <c r="D1245" s="6"/>
      <c r="E1245" s="16" t="str">
        <f>IF($B1245="","",IFERROR(INDEX(Services!$C$2:$C$120,MATCH($B1245,Services!$D$2:$D$120,0)),""))</f>
        <v/>
      </c>
      <c r="F1245" s="19"/>
      <c r="G1245" s="9" t="str">
        <f t="shared" si="19"/>
        <v/>
      </c>
      <c r="H1245" s="15" t="str">
        <f>IF($B1245="","",IFERROR(INDEX(Services!$A$2:$A$120,MATCH($B1245,Services!$D$2:$D$120,0)),""))</f>
        <v/>
      </c>
      <c r="I1245" s="19"/>
      <c r="J1245" s="15" t="str">
        <f>IF($B1245="","",IFERROR(INDEX(Services!$E$2:$E$120,MATCH($B1245,Services!$D$2:$D$120,0)),""))</f>
        <v/>
      </c>
    </row>
    <row r="1246" spans="1:10" x14ac:dyDescent="0.3">
      <c r="A1246" s="18"/>
      <c r="B1246" s="6"/>
      <c r="C1246" s="6"/>
      <c r="D1246" s="6"/>
      <c r="E1246" s="16" t="str">
        <f>IF($B1246="","",IFERROR(INDEX(Services!$C$2:$C$120,MATCH($B1246,Services!$D$2:$D$120,0)),""))</f>
        <v/>
      </c>
      <c r="F1246" s="19"/>
      <c r="G1246" s="9" t="str">
        <f t="shared" si="19"/>
        <v/>
      </c>
      <c r="H1246" s="15" t="str">
        <f>IF($B1246="","",IFERROR(INDEX(Services!$A$2:$A$120,MATCH($B1246,Services!$D$2:$D$120,0)),""))</f>
        <v/>
      </c>
      <c r="I1246" s="19"/>
      <c r="J1246" s="15" t="str">
        <f>IF($B1246="","",IFERROR(INDEX(Services!$E$2:$E$120,MATCH($B1246,Services!$D$2:$D$120,0)),""))</f>
        <v/>
      </c>
    </row>
    <row r="1247" spans="1:10" x14ac:dyDescent="0.3">
      <c r="A1247" s="18"/>
      <c r="B1247" s="6"/>
      <c r="C1247" s="6"/>
      <c r="D1247" s="6"/>
      <c r="E1247" s="16" t="str">
        <f>IF($B1247="","",IFERROR(INDEX(Services!$C$2:$C$120,MATCH($B1247,Services!$D$2:$D$120,0)),""))</f>
        <v/>
      </c>
      <c r="F1247" s="19"/>
      <c r="G1247" s="9" t="str">
        <f t="shared" si="19"/>
        <v/>
      </c>
      <c r="H1247" s="15" t="str">
        <f>IF($B1247="","",IFERROR(INDEX(Services!$A$2:$A$120,MATCH($B1247,Services!$D$2:$D$120,0)),""))</f>
        <v/>
      </c>
      <c r="I1247" s="19"/>
      <c r="J1247" s="15" t="str">
        <f>IF($B1247="","",IFERROR(INDEX(Services!$E$2:$E$120,MATCH($B1247,Services!$D$2:$D$120,0)),""))</f>
        <v/>
      </c>
    </row>
    <row r="1248" spans="1:10" x14ac:dyDescent="0.3">
      <c r="A1248" s="18"/>
      <c r="B1248" s="6"/>
      <c r="C1248" s="6"/>
      <c r="D1248" s="6"/>
      <c r="E1248" s="16" t="str">
        <f>IF($B1248="","",IFERROR(INDEX(Services!$C$2:$C$120,MATCH($B1248,Services!$D$2:$D$120,0)),""))</f>
        <v/>
      </c>
      <c r="F1248" s="19"/>
      <c r="G1248" s="9" t="str">
        <f t="shared" si="19"/>
        <v/>
      </c>
      <c r="H1248" s="15" t="str">
        <f>IF($B1248="","",IFERROR(INDEX(Services!$A$2:$A$120,MATCH($B1248,Services!$D$2:$D$120,0)),""))</f>
        <v/>
      </c>
      <c r="I1248" s="19"/>
      <c r="J1248" s="15" t="str">
        <f>IF($B1248="","",IFERROR(INDEX(Services!$E$2:$E$120,MATCH($B1248,Services!$D$2:$D$120,0)),""))</f>
        <v/>
      </c>
    </row>
    <row r="1249" spans="1:10" x14ac:dyDescent="0.3">
      <c r="A1249" s="18"/>
      <c r="B1249" s="6"/>
      <c r="C1249" s="6"/>
      <c r="D1249" s="6"/>
      <c r="E1249" s="16" t="str">
        <f>IF($B1249="","",IFERROR(INDEX(Services!$C$2:$C$120,MATCH($B1249,Services!$D$2:$D$120,0)),""))</f>
        <v/>
      </c>
      <c r="F1249" s="19"/>
      <c r="G1249" s="9" t="str">
        <f t="shared" si="19"/>
        <v/>
      </c>
      <c r="H1249" s="15" t="str">
        <f>IF($B1249="","",IFERROR(INDEX(Services!$A$2:$A$120,MATCH($B1249,Services!$D$2:$D$120,0)),""))</f>
        <v/>
      </c>
      <c r="I1249" s="19"/>
      <c r="J1249" s="15" t="str">
        <f>IF($B1249="","",IFERROR(INDEX(Services!$E$2:$E$120,MATCH($B1249,Services!$D$2:$D$120,0)),""))</f>
        <v/>
      </c>
    </row>
    <row r="1250" spans="1:10" x14ac:dyDescent="0.3">
      <c r="A1250" s="18"/>
      <c r="B1250" s="6"/>
      <c r="C1250" s="6"/>
      <c r="D1250" s="6"/>
      <c r="E1250" s="16" t="str">
        <f>IF($B1250="","",IFERROR(INDEX(Services!$C$2:$C$120,MATCH($B1250,Services!$D$2:$D$120,0)),""))</f>
        <v/>
      </c>
      <c r="F1250" s="19"/>
      <c r="G1250" s="9" t="str">
        <f t="shared" si="19"/>
        <v/>
      </c>
      <c r="H1250" s="15" t="str">
        <f>IF($B1250="","",IFERROR(INDEX(Services!$A$2:$A$120,MATCH($B1250,Services!$D$2:$D$120,0)),""))</f>
        <v/>
      </c>
      <c r="I1250" s="19"/>
      <c r="J1250" s="15" t="str">
        <f>IF($B1250="","",IFERROR(INDEX(Services!$E$2:$E$120,MATCH($B1250,Services!$D$2:$D$120,0)),""))</f>
        <v/>
      </c>
    </row>
    <row r="1251" spans="1:10" x14ac:dyDescent="0.3">
      <c r="A1251" s="18"/>
      <c r="B1251" s="6"/>
      <c r="C1251" s="6"/>
      <c r="D1251" s="6"/>
      <c r="E1251" s="16" t="str">
        <f>IF($B1251="","",IFERROR(INDEX(Services!$C$2:$C$120,MATCH($B1251,Services!$D$2:$D$120,0)),""))</f>
        <v/>
      </c>
      <c r="F1251" s="19"/>
      <c r="G1251" s="9" t="str">
        <f t="shared" si="19"/>
        <v/>
      </c>
      <c r="H1251" s="15" t="str">
        <f>IF($B1251="","",IFERROR(INDEX(Services!$A$2:$A$120,MATCH($B1251,Services!$D$2:$D$120,0)),""))</f>
        <v/>
      </c>
      <c r="I1251" s="19"/>
      <c r="J1251" s="15" t="str">
        <f>IF($B1251="","",IFERROR(INDEX(Services!$E$2:$E$120,MATCH($B1251,Services!$D$2:$D$120,0)),""))</f>
        <v/>
      </c>
    </row>
    <row r="1252" spans="1:10" x14ac:dyDescent="0.3">
      <c r="A1252" s="18"/>
      <c r="B1252" s="6"/>
      <c r="C1252" s="6"/>
      <c r="D1252" s="6"/>
      <c r="E1252" s="16" t="str">
        <f>IF($B1252="","",IFERROR(INDEX(Services!$C$2:$C$120,MATCH($B1252,Services!$D$2:$D$120,0)),""))</f>
        <v/>
      </c>
      <c r="F1252" s="19"/>
      <c r="G1252" s="9" t="str">
        <f t="shared" si="19"/>
        <v/>
      </c>
      <c r="H1252" s="15" t="str">
        <f>IF($B1252="","",IFERROR(INDEX(Services!$A$2:$A$120,MATCH($B1252,Services!$D$2:$D$120,0)),""))</f>
        <v/>
      </c>
      <c r="I1252" s="19"/>
      <c r="J1252" s="15" t="str">
        <f>IF($B1252="","",IFERROR(INDEX(Services!$E$2:$E$120,MATCH($B1252,Services!$D$2:$D$120,0)),""))</f>
        <v/>
      </c>
    </row>
    <row r="1253" spans="1:10" x14ac:dyDescent="0.3">
      <c r="A1253" s="18"/>
      <c r="B1253" s="6"/>
      <c r="C1253" s="6"/>
      <c r="D1253" s="6"/>
      <c r="E1253" s="16" t="str">
        <f>IF($B1253="","",IFERROR(INDEX(Services!$C$2:$C$120,MATCH($B1253,Services!$D$2:$D$120,0)),""))</f>
        <v/>
      </c>
      <c r="F1253" s="19"/>
      <c r="G1253" s="9" t="str">
        <f t="shared" si="19"/>
        <v/>
      </c>
      <c r="H1253" s="15" t="str">
        <f>IF($B1253="","",IFERROR(INDEX(Services!$A$2:$A$120,MATCH($B1253,Services!$D$2:$D$120,0)),""))</f>
        <v/>
      </c>
      <c r="I1253" s="19"/>
      <c r="J1253" s="15" t="str">
        <f>IF($B1253="","",IFERROR(INDEX(Services!$E$2:$E$120,MATCH($B1253,Services!$D$2:$D$120,0)),""))</f>
        <v/>
      </c>
    </row>
    <row r="1254" spans="1:10" x14ac:dyDescent="0.3">
      <c r="A1254" s="18"/>
      <c r="B1254" s="6"/>
      <c r="C1254" s="6"/>
      <c r="D1254" s="6"/>
      <c r="E1254" s="16" t="str">
        <f>IF($B1254="","",IFERROR(INDEX(Services!$C$2:$C$120,MATCH($B1254,Services!$D$2:$D$120,0)),""))</f>
        <v/>
      </c>
      <c r="F1254" s="19"/>
      <c r="G1254" s="9" t="str">
        <f t="shared" si="19"/>
        <v/>
      </c>
      <c r="H1254" s="15" t="str">
        <f>IF($B1254="","",IFERROR(INDEX(Services!$A$2:$A$120,MATCH($B1254,Services!$D$2:$D$120,0)),""))</f>
        <v/>
      </c>
      <c r="I1254" s="19"/>
      <c r="J1254" s="15" t="str">
        <f>IF($B1254="","",IFERROR(INDEX(Services!$E$2:$E$120,MATCH($B1254,Services!$D$2:$D$120,0)),""))</f>
        <v/>
      </c>
    </row>
    <row r="1255" spans="1:10" x14ac:dyDescent="0.3">
      <c r="A1255" s="18"/>
      <c r="B1255" s="6"/>
      <c r="C1255" s="6"/>
      <c r="D1255" s="6"/>
      <c r="E1255" s="16" t="str">
        <f>IF($B1255="","",IFERROR(INDEX(Services!$C$2:$C$120,MATCH($B1255,Services!$D$2:$D$120,0)),""))</f>
        <v/>
      </c>
      <c r="F1255" s="19"/>
      <c r="G1255" s="9" t="str">
        <f t="shared" si="19"/>
        <v/>
      </c>
      <c r="H1255" s="15" t="str">
        <f>IF($B1255="","",IFERROR(INDEX(Services!$A$2:$A$120,MATCH($B1255,Services!$D$2:$D$120,0)),""))</f>
        <v/>
      </c>
      <c r="I1255" s="19"/>
      <c r="J1255" s="15" t="str">
        <f>IF($B1255="","",IFERROR(INDEX(Services!$E$2:$E$120,MATCH($B1255,Services!$D$2:$D$120,0)),""))</f>
        <v/>
      </c>
    </row>
    <row r="1256" spans="1:10" x14ac:dyDescent="0.3">
      <c r="A1256" s="18"/>
      <c r="B1256" s="6"/>
      <c r="C1256" s="6"/>
      <c r="D1256" s="6"/>
      <c r="E1256" s="16" t="str">
        <f>IF($B1256="","",IFERROR(INDEX(Services!$C$2:$C$120,MATCH($B1256,Services!$D$2:$D$120,0)),""))</f>
        <v/>
      </c>
      <c r="F1256" s="19"/>
      <c r="G1256" s="9" t="str">
        <f t="shared" si="19"/>
        <v/>
      </c>
      <c r="H1256" s="15" t="str">
        <f>IF($B1256="","",IFERROR(INDEX(Services!$A$2:$A$120,MATCH($B1256,Services!$D$2:$D$120,0)),""))</f>
        <v/>
      </c>
      <c r="I1256" s="19"/>
      <c r="J1256" s="15" t="str">
        <f>IF($B1256="","",IFERROR(INDEX(Services!$E$2:$E$120,MATCH($B1256,Services!$D$2:$D$120,0)),""))</f>
        <v/>
      </c>
    </row>
    <row r="1257" spans="1:10" x14ac:dyDescent="0.3">
      <c r="A1257" s="18"/>
      <c r="B1257" s="6"/>
      <c r="C1257" s="6"/>
      <c r="D1257" s="6"/>
      <c r="E1257" s="16" t="str">
        <f>IF($B1257="","",IFERROR(INDEX(Services!$C$2:$C$120,MATCH($B1257,Services!$D$2:$D$120,0)),""))</f>
        <v/>
      </c>
      <c r="F1257" s="19"/>
      <c r="G1257" s="9" t="str">
        <f t="shared" si="19"/>
        <v/>
      </c>
      <c r="H1257" s="15" t="str">
        <f>IF($B1257="","",IFERROR(INDEX(Services!$A$2:$A$120,MATCH($B1257,Services!$D$2:$D$120,0)),""))</f>
        <v/>
      </c>
      <c r="I1257" s="19"/>
      <c r="J1257" s="15" t="str">
        <f>IF($B1257="","",IFERROR(INDEX(Services!$E$2:$E$120,MATCH($B1257,Services!$D$2:$D$120,0)),""))</f>
        <v/>
      </c>
    </row>
    <row r="1258" spans="1:10" x14ac:dyDescent="0.3">
      <c r="A1258" s="18"/>
      <c r="B1258" s="6"/>
      <c r="C1258" s="6"/>
      <c r="D1258" s="6"/>
      <c r="E1258" s="16" t="str">
        <f>IF($B1258="","",IFERROR(INDEX(Services!$C$2:$C$120,MATCH($B1258,Services!$D$2:$D$120,0)),""))</f>
        <v/>
      </c>
      <c r="F1258" s="19"/>
      <c r="G1258" s="9" t="str">
        <f t="shared" si="19"/>
        <v/>
      </c>
      <c r="H1258" s="15" t="str">
        <f>IF($B1258="","",IFERROR(INDEX(Services!$A$2:$A$120,MATCH($B1258,Services!$D$2:$D$120,0)),""))</f>
        <v/>
      </c>
      <c r="I1258" s="19"/>
      <c r="J1258" s="15" t="str">
        <f>IF($B1258="","",IFERROR(INDEX(Services!$E$2:$E$120,MATCH($B1258,Services!$D$2:$D$120,0)),""))</f>
        <v/>
      </c>
    </row>
    <row r="1259" spans="1:10" x14ac:dyDescent="0.3">
      <c r="A1259" s="18"/>
      <c r="B1259" s="6"/>
      <c r="C1259" s="6"/>
      <c r="D1259" s="6"/>
      <c r="E1259" s="16" t="str">
        <f>IF($B1259="","",IFERROR(INDEX(Services!$C$2:$C$120,MATCH($B1259,Services!$D$2:$D$120,0)),""))</f>
        <v/>
      </c>
      <c r="F1259" s="19"/>
      <c r="G1259" s="9" t="str">
        <f t="shared" si="19"/>
        <v/>
      </c>
      <c r="H1259" s="15" t="str">
        <f>IF($B1259="","",IFERROR(INDEX(Services!$A$2:$A$120,MATCH($B1259,Services!$D$2:$D$120,0)),""))</f>
        <v/>
      </c>
      <c r="I1259" s="19"/>
      <c r="J1259" s="15" t="str">
        <f>IF($B1259="","",IFERROR(INDEX(Services!$E$2:$E$120,MATCH($B1259,Services!$D$2:$D$120,0)),""))</f>
        <v/>
      </c>
    </row>
    <row r="1260" spans="1:10" x14ac:dyDescent="0.3">
      <c r="A1260" s="18"/>
      <c r="B1260" s="6"/>
      <c r="C1260" s="6"/>
      <c r="D1260" s="6"/>
      <c r="E1260" s="16" t="str">
        <f>IF($B1260="","",IFERROR(INDEX(Services!$C$2:$C$120,MATCH($B1260,Services!$D$2:$D$120,0)),""))</f>
        <v/>
      </c>
      <c r="F1260" s="19"/>
      <c r="G1260" s="9" t="str">
        <f t="shared" si="19"/>
        <v/>
      </c>
      <c r="H1260" s="15" t="str">
        <f>IF($B1260="","",IFERROR(INDEX(Services!$A$2:$A$120,MATCH($B1260,Services!$D$2:$D$120,0)),""))</f>
        <v/>
      </c>
      <c r="I1260" s="19"/>
      <c r="J1260" s="15" t="str">
        <f>IF($B1260="","",IFERROR(INDEX(Services!$E$2:$E$120,MATCH($B1260,Services!$D$2:$D$120,0)),""))</f>
        <v/>
      </c>
    </row>
    <row r="1261" spans="1:10" x14ac:dyDescent="0.3">
      <c r="A1261" s="18"/>
      <c r="B1261" s="6"/>
      <c r="C1261" s="6"/>
      <c r="D1261" s="6"/>
      <c r="E1261" s="16" t="str">
        <f>IF($B1261="","",IFERROR(INDEX(Services!$C$2:$C$120,MATCH($B1261,Services!$D$2:$D$120,0)),""))</f>
        <v/>
      </c>
      <c r="F1261" s="19"/>
      <c r="G1261" s="9" t="str">
        <f t="shared" si="19"/>
        <v/>
      </c>
      <c r="H1261" s="15" t="str">
        <f>IF($B1261="","",IFERROR(INDEX(Services!$A$2:$A$120,MATCH($B1261,Services!$D$2:$D$120,0)),""))</f>
        <v/>
      </c>
      <c r="I1261" s="19"/>
      <c r="J1261" s="15" t="str">
        <f>IF($B1261="","",IFERROR(INDEX(Services!$E$2:$E$120,MATCH($B1261,Services!$D$2:$D$120,0)),""))</f>
        <v/>
      </c>
    </row>
    <row r="1262" spans="1:10" x14ac:dyDescent="0.3">
      <c r="A1262" s="18"/>
      <c r="B1262" s="6"/>
      <c r="C1262" s="6"/>
      <c r="D1262" s="6"/>
      <c r="E1262" s="16" t="str">
        <f>IF($B1262="","",IFERROR(INDEX(Services!$C$2:$C$120,MATCH($B1262,Services!$D$2:$D$120,0)),""))</f>
        <v/>
      </c>
      <c r="F1262" s="19"/>
      <c r="G1262" s="9" t="str">
        <f t="shared" si="19"/>
        <v/>
      </c>
      <c r="H1262" s="15" t="str">
        <f>IF($B1262="","",IFERROR(INDEX(Services!$A$2:$A$120,MATCH($B1262,Services!$D$2:$D$120,0)),""))</f>
        <v/>
      </c>
      <c r="I1262" s="19"/>
      <c r="J1262" s="15" t="str">
        <f>IF($B1262="","",IFERROR(INDEX(Services!$E$2:$E$120,MATCH($B1262,Services!$D$2:$D$120,0)),""))</f>
        <v/>
      </c>
    </row>
    <row r="1263" spans="1:10" x14ac:dyDescent="0.3">
      <c r="A1263" s="18"/>
      <c r="B1263" s="6"/>
      <c r="C1263" s="6"/>
      <c r="D1263" s="6"/>
      <c r="E1263" s="16" t="str">
        <f>IF($B1263="","",IFERROR(INDEX(Services!$C$2:$C$120,MATCH($B1263,Services!$D$2:$D$120,0)),""))</f>
        <v/>
      </c>
      <c r="F1263" s="19"/>
      <c r="G1263" s="9" t="str">
        <f t="shared" si="19"/>
        <v/>
      </c>
      <c r="H1263" s="15" t="str">
        <f>IF($B1263="","",IFERROR(INDEX(Services!$A$2:$A$120,MATCH($B1263,Services!$D$2:$D$120,0)),""))</f>
        <v/>
      </c>
      <c r="I1263" s="19"/>
      <c r="J1263" s="15" t="str">
        <f>IF($B1263="","",IFERROR(INDEX(Services!$E$2:$E$120,MATCH($B1263,Services!$D$2:$D$120,0)),""))</f>
        <v/>
      </c>
    </row>
    <row r="1264" spans="1:10" x14ac:dyDescent="0.3">
      <c r="A1264" s="18"/>
      <c r="B1264" s="6"/>
      <c r="C1264" s="6"/>
      <c r="D1264" s="6"/>
      <c r="E1264" s="16" t="str">
        <f>IF($B1264="","",IFERROR(INDEX(Services!$C$2:$C$120,MATCH($B1264,Services!$D$2:$D$120,0)),""))</f>
        <v/>
      </c>
      <c r="F1264" s="19"/>
      <c r="G1264" s="9" t="str">
        <f t="shared" si="19"/>
        <v/>
      </c>
      <c r="H1264" s="15" t="str">
        <f>IF($B1264="","",IFERROR(INDEX(Services!$A$2:$A$120,MATCH($B1264,Services!$D$2:$D$120,0)),""))</f>
        <v/>
      </c>
      <c r="I1264" s="19"/>
      <c r="J1264" s="15" t="str">
        <f>IF($B1264="","",IFERROR(INDEX(Services!$E$2:$E$120,MATCH($B1264,Services!$D$2:$D$120,0)),""))</f>
        <v/>
      </c>
    </row>
    <row r="1265" spans="1:10" x14ac:dyDescent="0.3">
      <c r="A1265" s="18"/>
      <c r="B1265" s="6"/>
      <c r="C1265" s="6"/>
      <c r="D1265" s="6"/>
      <c r="E1265" s="16" t="str">
        <f>IF($B1265="","",IFERROR(INDEX(Services!$C$2:$C$120,MATCH($B1265,Services!$D$2:$D$120,0)),""))</f>
        <v/>
      </c>
      <c r="F1265" s="19"/>
      <c r="G1265" s="9" t="str">
        <f t="shared" si="19"/>
        <v/>
      </c>
      <c r="H1265" s="15" t="str">
        <f>IF($B1265="","",IFERROR(INDEX(Services!$A$2:$A$120,MATCH($B1265,Services!$D$2:$D$120,0)),""))</f>
        <v/>
      </c>
      <c r="I1265" s="19"/>
      <c r="J1265" s="15" t="str">
        <f>IF($B1265="","",IFERROR(INDEX(Services!$E$2:$E$120,MATCH($B1265,Services!$D$2:$D$120,0)),""))</f>
        <v/>
      </c>
    </row>
    <row r="1266" spans="1:10" x14ac:dyDescent="0.3">
      <c r="A1266" s="18"/>
      <c r="B1266" s="6"/>
      <c r="C1266" s="6"/>
      <c r="D1266" s="6"/>
      <c r="E1266" s="16" t="str">
        <f>IF($B1266="","",IFERROR(INDEX(Services!$C$2:$C$120,MATCH($B1266,Services!$D$2:$D$120,0)),""))</f>
        <v/>
      </c>
      <c r="F1266" s="19"/>
      <c r="G1266" s="9" t="str">
        <f t="shared" si="19"/>
        <v/>
      </c>
      <c r="H1266" s="15" t="str">
        <f>IF($B1266="","",IFERROR(INDEX(Services!$A$2:$A$120,MATCH($B1266,Services!$D$2:$D$120,0)),""))</f>
        <v/>
      </c>
      <c r="I1266" s="19"/>
      <c r="J1266" s="15" t="str">
        <f>IF($B1266="","",IFERROR(INDEX(Services!$E$2:$E$120,MATCH($B1266,Services!$D$2:$D$120,0)),""))</f>
        <v/>
      </c>
    </row>
    <row r="1267" spans="1:10" x14ac:dyDescent="0.3">
      <c r="A1267" s="18"/>
      <c r="B1267" s="6"/>
      <c r="C1267" s="6"/>
      <c r="D1267" s="6"/>
      <c r="E1267" s="16" t="str">
        <f>IF($B1267="","",IFERROR(INDEX(Services!$C$2:$C$120,MATCH($B1267,Services!$D$2:$D$120,0)),""))</f>
        <v/>
      </c>
      <c r="F1267" s="19"/>
      <c r="G1267" s="9" t="str">
        <f t="shared" si="19"/>
        <v/>
      </c>
      <c r="H1267" s="15" t="str">
        <f>IF($B1267="","",IFERROR(INDEX(Services!$A$2:$A$120,MATCH($B1267,Services!$D$2:$D$120,0)),""))</f>
        <v/>
      </c>
      <c r="I1267" s="19"/>
      <c r="J1267" s="15" t="str">
        <f>IF($B1267="","",IFERROR(INDEX(Services!$E$2:$E$120,MATCH($B1267,Services!$D$2:$D$120,0)),""))</f>
        <v/>
      </c>
    </row>
    <row r="1268" spans="1:10" x14ac:dyDescent="0.3">
      <c r="A1268" s="18"/>
      <c r="B1268" s="6"/>
      <c r="C1268" s="6"/>
      <c r="D1268" s="6"/>
      <c r="E1268" s="16" t="str">
        <f>IF($B1268="","",IFERROR(INDEX(Services!$C$2:$C$120,MATCH($B1268,Services!$D$2:$D$120,0)),""))</f>
        <v/>
      </c>
      <c r="F1268" s="19"/>
      <c r="G1268" s="9" t="str">
        <f t="shared" si="19"/>
        <v/>
      </c>
      <c r="H1268" s="15" t="str">
        <f>IF($B1268="","",IFERROR(INDEX(Services!$A$2:$A$120,MATCH($B1268,Services!$D$2:$D$120,0)),""))</f>
        <v/>
      </c>
      <c r="I1268" s="19"/>
      <c r="J1268" s="15" t="str">
        <f>IF($B1268="","",IFERROR(INDEX(Services!$E$2:$E$120,MATCH($B1268,Services!$D$2:$D$120,0)),""))</f>
        <v/>
      </c>
    </row>
    <row r="1269" spans="1:10" x14ac:dyDescent="0.3">
      <c r="A1269" s="18"/>
      <c r="B1269" s="6"/>
      <c r="C1269" s="6"/>
      <c r="D1269" s="6"/>
      <c r="E1269" s="16" t="str">
        <f>IF($B1269="","",IFERROR(INDEX(Services!$C$2:$C$120,MATCH($B1269,Services!$D$2:$D$120,0)),""))</f>
        <v/>
      </c>
      <c r="F1269" s="19"/>
      <c r="G1269" s="9" t="str">
        <f t="shared" si="19"/>
        <v/>
      </c>
      <c r="H1269" s="15" t="str">
        <f>IF($B1269="","",IFERROR(INDEX(Services!$A$2:$A$120,MATCH($B1269,Services!$D$2:$D$120,0)),""))</f>
        <v/>
      </c>
      <c r="I1269" s="19"/>
      <c r="J1269" s="15" t="str">
        <f>IF($B1269="","",IFERROR(INDEX(Services!$E$2:$E$120,MATCH($B1269,Services!$D$2:$D$120,0)),""))</f>
        <v/>
      </c>
    </row>
    <row r="1270" spans="1:10" x14ac:dyDescent="0.3">
      <c r="A1270" s="18"/>
      <c r="B1270" s="6"/>
      <c r="C1270" s="6"/>
      <c r="D1270" s="6"/>
      <c r="E1270" s="16" t="str">
        <f>IF($B1270="","",IFERROR(INDEX(Services!$C$2:$C$120,MATCH($B1270,Services!$D$2:$D$120,0)),""))</f>
        <v/>
      </c>
      <c r="F1270" s="19"/>
      <c r="G1270" s="9" t="str">
        <f t="shared" si="19"/>
        <v/>
      </c>
      <c r="H1270" s="15" t="str">
        <f>IF($B1270="","",IFERROR(INDEX(Services!$A$2:$A$120,MATCH($B1270,Services!$D$2:$D$120,0)),""))</f>
        <v/>
      </c>
      <c r="I1270" s="19"/>
      <c r="J1270" s="15" t="str">
        <f>IF($B1270="","",IFERROR(INDEX(Services!$E$2:$E$120,MATCH($B1270,Services!$D$2:$D$120,0)),""))</f>
        <v/>
      </c>
    </row>
    <row r="1271" spans="1:10" x14ac:dyDescent="0.3">
      <c r="A1271" s="18"/>
      <c r="B1271" s="6"/>
      <c r="C1271" s="6"/>
      <c r="D1271" s="6"/>
      <c r="E1271" s="16" t="str">
        <f>IF($B1271="","",IFERROR(INDEX(Services!$C$2:$C$120,MATCH($B1271,Services!$D$2:$D$120,0)),""))</f>
        <v/>
      </c>
      <c r="F1271" s="19"/>
      <c r="G1271" s="9" t="str">
        <f t="shared" si="19"/>
        <v/>
      </c>
      <c r="H1271" s="15" t="str">
        <f>IF($B1271="","",IFERROR(INDEX(Services!$A$2:$A$120,MATCH($B1271,Services!$D$2:$D$120,0)),""))</f>
        <v/>
      </c>
      <c r="I1271" s="19"/>
      <c r="J1271" s="15" t="str">
        <f>IF($B1271="","",IFERROR(INDEX(Services!$E$2:$E$120,MATCH($B1271,Services!$D$2:$D$120,0)),""))</f>
        <v/>
      </c>
    </row>
    <row r="1272" spans="1:10" x14ac:dyDescent="0.3">
      <c r="A1272" s="18"/>
      <c r="B1272" s="6"/>
      <c r="C1272" s="6"/>
      <c r="D1272" s="6"/>
      <c r="E1272" s="16" t="str">
        <f>IF($B1272="","",IFERROR(INDEX(Services!$C$2:$C$120,MATCH($B1272,Services!$D$2:$D$120,0)),""))</f>
        <v/>
      </c>
      <c r="F1272" s="19"/>
      <c r="G1272" s="9" t="str">
        <f t="shared" si="19"/>
        <v/>
      </c>
      <c r="H1272" s="15" t="str">
        <f>IF($B1272="","",IFERROR(INDEX(Services!$A$2:$A$120,MATCH($B1272,Services!$D$2:$D$120,0)),""))</f>
        <v/>
      </c>
      <c r="I1272" s="19"/>
      <c r="J1272" s="15" t="str">
        <f>IF($B1272="","",IFERROR(INDEX(Services!$E$2:$E$120,MATCH($B1272,Services!$D$2:$D$120,0)),""))</f>
        <v/>
      </c>
    </row>
    <row r="1273" spans="1:10" x14ac:dyDescent="0.3">
      <c r="A1273" s="18"/>
      <c r="B1273" s="6"/>
      <c r="C1273" s="6"/>
      <c r="D1273" s="6"/>
      <c r="E1273" s="16" t="str">
        <f>IF($B1273="","",IFERROR(INDEX(Services!$C$2:$C$120,MATCH($B1273,Services!$D$2:$D$120,0)),""))</f>
        <v/>
      </c>
      <c r="F1273" s="19"/>
      <c r="G1273" s="9" t="str">
        <f t="shared" si="19"/>
        <v/>
      </c>
      <c r="H1273" s="15" t="str">
        <f>IF($B1273="","",IFERROR(INDEX(Services!$A$2:$A$120,MATCH($B1273,Services!$D$2:$D$120,0)),""))</f>
        <v/>
      </c>
      <c r="I1273" s="19"/>
      <c r="J1273" s="15" t="str">
        <f>IF($B1273="","",IFERROR(INDEX(Services!$E$2:$E$120,MATCH($B1273,Services!$D$2:$D$120,0)),""))</f>
        <v/>
      </c>
    </row>
    <row r="1274" spans="1:10" x14ac:dyDescent="0.3">
      <c r="A1274" s="18"/>
      <c r="B1274" s="6"/>
      <c r="C1274" s="6"/>
      <c r="D1274" s="6"/>
      <c r="E1274" s="16" t="str">
        <f>IF($B1274="","",IFERROR(INDEX(Services!$C$2:$C$120,MATCH($B1274,Services!$D$2:$D$120,0)),""))</f>
        <v/>
      </c>
      <c r="F1274" s="19"/>
      <c r="G1274" s="9" t="str">
        <f t="shared" si="19"/>
        <v/>
      </c>
      <c r="H1274" s="15" t="str">
        <f>IF($B1274="","",IFERROR(INDEX(Services!$A$2:$A$120,MATCH($B1274,Services!$D$2:$D$120,0)),""))</f>
        <v/>
      </c>
      <c r="I1274" s="19"/>
      <c r="J1274" s="15" t="str">
        <f>IF($B1274="","",IFERROR(INDEX(Services!$E$2:$E$120,MATCH($B1274,Services!$D$2:$D$120,0)),""))</f>
        <v/>
      </c>
    </row>
    <row r="1275" spans="1:10" x14ac:dyDescent="0.3">
      <c r="A1275" s="18"/>
      <c r="B1275" s="6"/>
      <c r="C1275" s="6"/>
      <c r="D1275" s="6"/>
      <c r="E1275" s="16" t="str">
        <f>IF($B1275="","",IFERROR(INDEX(Services!$C$2:$C$120,MATCH($B1275,Services!$D$2:$D$120,0)),""))</f>
        <v/>
      </c>
      <c r="F1275" s="19"/>
      <c r="G1275" s="9" t="str">
        <f t="shared" si="19"/>
        <v/>
      </c>
      <c r="H1275" s="15" t="str">
        <f>IF($B1275="","",IFERROR(INDEX(Services!$A$2:$A$120,MATCH($B1275,Services!$D$2:$D$120,0)),""))</f>
        <v/>
      </c>
      <c r="I1275" s="19"/>
      <c r="J1275" s="15" t="str">
        <f>IF($B1275="","",IFERROR(INDEX(Services!$E$2:$E$120,MATCH($B1275,Services!$D$2:$D$120,0)),""))</f>
        <v/>
      </c>
    </row>
    <row r="1276" spans="1:10" x14ac:dyDescent="0.3">
      <c r="A1276" s="18"/>
      <c r="B1276" s="6"/>
      <c r="C1276" s="6"/>
      <c r="D1276" s="6"/>
      <c r="E1276" s="16" t="str">
        <f>IF($B1276="","",IFERROR(INDEX(Services!$C$2:$C$120,MATCH($B1276,Services!$D$2:$D$120,0)),""))</f>
        <v/>
      </c>
      <c r="F1276" s="19"/>
      <c r="G1276" s="9" t="str">
        <f t="shared" si="19"/>
        <v/>
      </c>
      <c r="H1276" s="15" t="str">
        <f>IF($B1276="","",IFERROR(INDEX(Services!$A$2:$A$120,MATCH($B1276,Services!$D$2:$D$120,0)),""))</f>
        <v/>
      </c>
      <c r="I1276" s="19"/>
      <c r="J1276" s="15" t="str">
        <f>IF($B1276="","",IFERROR(INDEX(Services!$E$2:$E$120,MATCH($B1276,Services!$D$2:$D$120,0)),""))</f>
        <v/>
      </c>
    </row>
    <row r="1277" spans="1:10" x14ac:dyDescent="0.3">
      <c r="A1277" s="18"/>
      <c r="B1277" s="6"/>
      <c r="C1277" s="6"/>
      <c r="D1277" s="6"/>
      <c r="E1277" s="16" t="str">
        <f>IF($B1277="","",IFERROR(INDEX(Services!$C$2:$C$120,MATCH($B1277,Services!$D$2:$D$120,0)),""))</f>
        <v/>
      </c>
      <c r="F1277" s="19"/>
      <c r="G1277" s="9" t="str">
        <f t="shared" si="19"/>
        <v/>
      </c>
      <c r="H1277" s="15" t="str">
        <f>IF($B1277="","",IFERROR(INDEX(Services!$A$2:$A$120,MATCH($B1277,Services!$D$2:$D$120,0)),""))</f>
        <v/>
      </c>
      <c r="I1277" s="19"/>
      <c r="J1277" s="15" t="str">
        <f>IF($B1277="","",IFERROR(INDEX(Services!$E$2:$E$120,MATCH($B1277,Services!$D$2:$D$120,0)),""))</f>
        <v/>
      </c>
    </row>
    <row r="1278" spans="1:10" x14ac:dyDescent="0.3">
      <c r="A1278" s="18"/>
      <c r="B1278" s="6"/>
      <c r="C1278" s="6"/>
      <c r="D1278" s="6"/>
      <c r="E1278" s="16" t="str">
        <f>IF($B1278="","",IFERROR(INDEX(Services!$C$2:$C$120,MATCH($B1278,Services!$D$2:$D$120,0)),""))</f>
        <v/>
      </c>
      <c r="F1278" s="19"/>
      <c r="G1278" s="9" t="str">
        <f t="shared" si="19"/>
        <v/>
      </c>
      <c r="H1278" s="15" t="str">
        <f>IF($B1278="","",IFERROR(INDEX(Services!$A$2:$A$120,MATCH($B1278,Services!$D$2:$D$120,0)),""))</f>
        <v/>
      </c>
      <c r="I1278" s="19"/>
      <c r="J1278" s="15" t="str">
        <f>IF($B1278="","",IFERROR(INDEX(Services!$E$2:$E$120,MATCH($B1278,Services!$D$2:$D$120,0)),""))</f>
        <v/>
      </c>
    </row>
    <row r="1279" spans="1:10" x14ac:dyDescent="0.3">
      <c r="A1279" s="18"/>
      <c r="B1279" s="6"/>
      <c r="C1279" s="6"/>
      <c r="D1279" s="6"/>
      <c r="E1279" s="16" t="str">
        <f>IF($B1279="","",IFERROR(INDEX(Services!$C$2:$C$120,MATCH($B1279,Services!$D$2:$D$120,0)),""))</f>
        <v/>
      </c>
      <c r="F1279" s="19"/>
      <c r="G1279" s="9" t="str">
        <f t="shared" si="19"/>
        <v/>
      </c>
      <c r="H1279" s="15" t="str">
        <f>IF($B1279="","",IFERROR(INDEX(Services!$A$2:$A$120,MATCH($B1279,Services!$D$2:$D$120,0)),""))</f>
        <v/>
      </c>
      <c r="I1279" s="19"/>
      <c r="J1279" s="15" t="str">
        <f>IF($B1279="","",IFERROR(INDEX(Services!$E$2:$E$120,MATCH($B1279,Services!$D$2:$D$120,0)),""))</f>
        <v/>
      </c>
    </row>
    <row r="1280" spans="1:10" x14ac:dyDescent="0.3">
      <c r="A1280" s="18"/>
      <c r="B1280" s="6"/>
      <c r="C1280" s="6"/>
      <c r="D1280" s="6"/>
      <c r="E1280" s="16" t="str">
        <f>IF($B1280="","",IFERROR(INDEX(Services!$C$2:$C$120,MATCH($B1280,Services!$D$2:$D$120,0)),""))</f>
        <v/>
      </c>
      <c r="F1280" s="19"/>
      <c r="G1280" s="9" t="str">
        <f t="shared" si="19"/>
        <v/>
      </c>
      <c r="H1280" s="15" t="str">
        <f>IF($B1280="","",IFERROR(INDEX(Services!$A$2:$A$120,MATCH($B1280,Services!$D$2:$D$120,0)),""))</f>
        <v/>
      </c>
      <c r="I1280" s="19"/>
      <c r="J1280" s="15" t="str">
        <f>IF($B1280="","",IFERROR(INDEX(Services!$E$2:$E$120,MATCH($B1280,Services!$D$2:$D$120,0)),""))</f>
        <v/>
      </c>
    </row>
    <row r="1281" spans="1:10" x14ac:dyDescent="0.3">
      <c r="A1281" s="18"/>
      <c r="B1281" s="6"/>
      <c r="C1281" s="6"/>
      <c r="D1281" s="6"/>
      <c r="E1281" s="16" t="str">
        <f>IF($B1281="","",IFERROR(INDEX(Services!$C$2:$C$120,MATCH($B1281,Services!$D$2:$D$120,0)),""))</f>
        <v/>
      </c>
      <c r="F1281" s="19"/>
      <c r="G1281" s="9" t="str">
        <f t="shared" si="19"/>
        <v/>
      </c>
      <c r="H1281" s="15" t="str">
        <f>IF($B1281="","",IFERROR(INDEX(Services!$A$2:$A$120,MATCH($B1281,Services!$D$2:$D$120,0)),""))</f>
        <v/>
      </c>
      <c r="I1281" s="19"/>
      <c r="J1281" s="15" t="str">
        <f>IF($B1281="","",IFERROR(INDEX(Services!$E$2:$E$120,MATCH($B1281,Services!$D$2:$D$120,0)),""))</f>
        <v/>
      </c>
    </row>
    <row r="1282" spans="1:10" x14ac:dyDescent="0.3">
      <c r="A1282" s="18"/>
      <c r="B1282" s="6"/>
      <c r="C1282" s="6"/>
      <c r="D1282" s="6"/>
      <c r="E1282" s="16" t="str">
        <f>IF($B1282="","",IFERROR(INDEX(Services!$C$2:$C$120,MATCH($B1282,Services!$D$2:$D$120,0)),""))</f>
        <v/>
      </c>
      <c r="F1282" s="19"/>
      <c r="G1282" s="9" t="str">
        <f t="shared" ref="G1282:G1345" si="20">IF(OR($B1282="",NOT(ISNUMBER($E1282))),"",$E1282-IF($F1282="",0,$F1282))</f>
        <v/>
      </c>
      <c r="H1282" s="15" t="str">
        <f>IF($B1282="","",IFERROR(INDEX(Services!$A$2:$A$120,MATCH($B1282,Services!$D$2:$D$120,0)),""))</f>
        <v/>
      </c>
      <c r="I1282" s="19"/>
      <c r="J1282" s="15" t="str">
        <f>IF($B1282="","",IFERROR(INDEX(Services!$E$2:$E$120,MATCH($B1282,Services!$D$2:$D$120,0)),""))</f>
        <v/>
      </c>
    </row>
    <row r="1283" spans="1:10" x14ac:dyDescent="0.3">
      <c r="A1283" s="18"/>
      <c r="B1283" s="6"/>
      <c r="C1283" s="6"/>
      <c r="D1283" s="6"/>
      <c r="E1283" s="16" t="str">
        <f>IF($B1283="","",IFERROR(INDEX(Services!$C$2:$C$120,MATCH($B1283,Services!$D$2:$D$120,0)),""))</f>
        <v/>
      </c>
      <c r="F1283" s="19"/>
      <c r="G1283" s="9" t="str">
        <f t="shared" si="20"/>
        <v/>
      </c>
      <c r="H1283" s="15" t="str">
        <f>IF($B1283="","",IFERROR(INDEX(Services!$A$2:$A$120,MATCH($B1283,Services!$D$2:$D$120,0)),""))</f>
        <v/>
      </c>
      <c r="I1283" s="19"/>
      <c r="J1283" s="15" t="str">
        <f>IF($B1283="","",IFERROR(INDEX(Services!$E$2:$E$120,MATCH($B1283,Services!$D$2:$D$120,0)),""))</f>
        <v/>
      </c>
    </row>
    <row r="1284" spans="1:10" x14ac:dyDescent="0.3">
      <c r="A1284" s="18"/>
      <c r="B1284" s="6"/>
      <c r="C1284" s="6"/>
      <c r="D1284" s="6"/>
      <c r="E1284" s="16" t="str">
        <f>IF($B1284="","",IFERROR(INDEX(Services!$C$2:$C$120,MATCH($B1284,Services!$D$2:$D$120,0)),""))</f>
        <v/>
      </c>
      <c r="F1284" s="19"/>
      <c r="G1284" s="9" t="str">
        <f t="shared" si="20"/>
        <v/>
      </c>
      <c r="H1284" s="15" t="str">
        <f>IF($B1284="","",IFERROR(INDEX(Services!$A$2:$A$120,MATCH($B1284,Services!$D$2:$D$120,0)),""))</f>
        <v/>
      </c>
      <c r="I1284" s="19"/>
      <c r="J1284" s="15" t="str">
        <f>IF($B1284="","",IFERROR(INDEX(Services!$E$2:$E$120,MATCH($B1284,Services!$D$2:$D$120,0)),""))</f>
        <v/>
      </c>
    </row>
    <row r="1285" spans="1:10" x14ac:dyDescent="0.3">
      <c r="A1285" s="18"/>
      <c r="B1285" s="6"/>
      <c r="C1285" s="6"/>
      <c r="D1285" s="6"/>
      <c r="E1285" s="16" t="str">
        <f>IF($B1285="","",IFERROR(INDEX(Services!$C$2:$C$120,MATCH($B1285,Services!$D$2:$D$120,0)),""))</f>
        <v/>
      </c>
      <c r="F1285" s="19"/>
      <c r="G1285" s="9" t="str">
        <f t="shared" si="20"/>
        <v/>
      </c>
      <c r="H1285" s="15" t="str">
        <f>IF($B1285="","",IFERROR(INDEX(Services!$A$2:$A$120,MATCH($B1285,Services!$D$2:$D$120,0)),""))</f>
        <v/>
      </c>
      <c r="I1285" s="19"/>
      <c r="J1285" s="15" t="str">
        <f>IF($B1285="","",IFERROR(INDEX(Services!$E$2:$E$120,MATCH($B1285,Services!$D$2:$D$120,0)),""))</f>
        <v/>
      </c>
    </row>
    <row r="1286" spans="1:10" x14ac:dyDescent="0.3">
      <c r="A1286" s="18"/>
      <c r="B1286" s="6"/>
      <c r="C1286" s="6"/>
      <c r="D1286" s="6"/>
      <c r="E1286" s="16" t="str">
        <f>IF($B1286="","",IFERROR(INDEX(Services!$C$2:$C$120,MATCH($B1286,Services!$D$2:$D$120,0)),""))</f>
        <v/>
      </c>
      <c r="F1286" s="19"/>
      <c r="G1286" s="9" t="str">
        <f t="shared" si="20"/>
        <v/>
      </c>
      <c r="H1286" s="15" t="str">
        <f>IF($B1286="","",IFERROR(INDEX(Services!$A$2:$A$120,MATCH($B1286,Services!$D$2:$D$120,0)),""))</f>
        <v/>
      </c>
      <c r="I1286" s="19"/>
      <c r="J1286" s="15" t="str">
        <f>IF($B1286="","",IFERROR(INDEX(Services!$E$2:$E$120,MATCH($B1286,Services!$D$2:$D$120,0)),""))</f>
        <v/>
      </c>
    </row>
    <row r="1287" spans="1:10" x14ac:dyDescent="0.3">
      <c r="A1287" s="18"/>
      <c r="B1287" s="6"/>
      <c r="C1287" s="6"/>
      <c r="D1287" s="6"/>
      <c r="E1287" s="16" t="str">
        <f>IF($B1287="","",IFERROR(INDEX(Services!$C$2:$C$120,MATCH($B1287,Services!$D$2:$D$120,0)),""))</f>
        <v/>
      </c>
      <c r="F1287" s="19"/>
      <c r="G1287" s="9" t="str">
        <f t="shared" si="20"/>
        <v/>
      </c>
      <c r="H1287" s="15" t="str">
        <f>IF($B1287="","",IFERROR(INDEX(Services!$A$2:$A$120,MATCH($B1287,Services!$D$2:$D$120,0)),""))</f>
        <v/>
      </c>
      <c r="I1287" s="19"/>
      <c r="J1287" s="15" t="str">
        <f>IF($B1287="","",IFERROR(INDEX(Services!$E$2:$E$120,MATCH($B1287,Services!$D$2:$D$120,0)),""))</f>
        <v/>
      </c>
    </row>
    <row r="1288" spans="1:10" x14ac:dyDescent="0.3">
      <c r="A1288" s="18"/>
      <c r="B1288" s="6"/>
      <c r="C1288" s="6"/>
      <c r="D1288" s="6"/>
      <c r="E1288" s="16" t="str">
        <f>IF($B1288="","",IFERROR(INDEX(Services!$C$2:$C$120,MATCH($B1288,Services!$D$2:$D$120,0)),""))</f>
        <v/>
      </c>
      <c r="F1288" s="19"/>
      <c r="G1288" s="9" t="str">
        <f t="shared" si="20"/>
        <v/>
      </c>
      <c r="H1288" s="15" t="str">
        <f>IF($B1288="","",IFERROR(INDEX(Services!$A$2:$A$120,MATCH($B1288,Services!$D$2:$D$120,0)),""))</f>
        <v/>
      </c>
      <c r="I1288" s="19"/>
      <c r="J1288" s="15" t="str">
        <f>IF($B1288="","",IFERROR(INDEX(Services!$E$2:$E$120,MATCH($B1288,Services!$D$2:$D$120,0)),""))</f>
        <v/>
      </c>
    </row>
    <row r="1289" spans="1:10" x14ac:dyDescent="0.3">
      <c r="A1289" s="18"/>
      <c r="B1289" s="6"/>
      <c r="C1289" s="6"/>
      <c r="D1289" s="6"/>
      <c r="E1289" s="16" t="str">
        <f>IF($B1289="","",IFERROR(INDEX(Services!$C$2:$C$120,MATCH($B1289,Services!$D$2:$D$120,0)),""))</f>
        <v/>
      </c>
      <c r="F1289" s="19"/>
      <c r="G1289" s="9" t="str">
        <f t="shared" si="20"/>
        <v/>
      </c>
      <c r="H1289" s="15" t="str">
        <f>IF($B1289="","",IFERROR(INDEX(Services!$A$2:$A$120,MATCH($B1289,Services!$D$2:$D$120,0)),""))</f>
        <v/>
      </c>
      <c r="I1289" s="19"/>
      <c r="J1289" s="15" t="str">
        <f>IF($B1289="","",IFERROR(INDEX(Services!$E$2:$E$120,MATCH($B1289,Services!$D$2:$D$120,0)),""))</f>
        <v/>
      </c>
    </row>
    <row r="1290" spans="1:10" x14ac:dyDescent="0.3">
      <c r="A1290" s="18"/>
      <c r="B1290" s="6"/>
      <c r="C1290" s="6"/>
      <c r="D1290" s="6"/>
      <c r="E1290" s="16" t="str">
        <f>IF($B1290="","",IFERROR(INDEX(Services!$C$2:$C$120,MATCH($B1290,Services!$D$2:$D$120,0)),""))</f>
        <v/>
      </c>
      <c r="F1290" s="19"/>
      <c r="G1290" s="9" t="str">
        <f t="shared" si="20"/>
        <v/>
      </c>
      <c r="H1290" s="15" t="str">
        <f>IF($B1290="","",IFERROR(INDEX(Services!$A$2:$A$120,MATCH($B1290,Services!$D$2:$D$120,0)),""))</f>
        <v/>
      </c>
      <c r="I1290" s="19"/>
      <c r="J1290" s="15" t="str">
        <f>IF($B1290="","",IFERROR(INDEX(Services!$E$2:$E$120,MATCH($B1290,Services!$D$2:$D$120,0)),""))</f>
        <v/>
      </c>
    </row>
    <row r="1291" spans="1:10" x14ac:dyDescent="0.3">
      <c r="A1291" s="18"/>
      <c r="B1291" s="6"/>
      <c r="C1291" s="6"/>
      <c r="D1291" s="6"/>
      <c r="E1291" s="16" t="str">
        <f>IF($B1291="","",IFERROR(INDEX(Services!$C$2:$C$120,MATCH($B1291,Services!$D$2:$D$120,0)),""))</f>
        <v/>
      </c>
      <c r="F1291" s="19"/>
      <c r="G1291" s="9" t="str">
        <f t="shared" si="20"/>
        <v/>
      </c>
      <c r="H1291" s="15" t="str">
        <f>IF($B1291="","",IFERROR(INDEX(Services!$A$2:$A$120,MATCH($B1291,Services!$D$2:$D$120,0)),""))</f>
        <v/>
      </c>
      <c r="I1291" s="19"/>
      <c r="J1291" s="15" t="str">
        <f>IF($B1291="","",IFERROR(INDEX(Services!$E$2:$E$120,MATCH($B1291,Services!$D$2:$D$120,0)),""))</f>
        <v/>
      </c>
    </row>
    <row r="1292" spans="1:10" x14ac:dyDescent="0.3">
      <c r="A1292" s="18"/>
      <c r="B1292" s="6"/>
      <c r="C1292" s="6"/>
      <c r="D1292" s="6"/>
      <c r="E1292" s="16" t="str">
        <f>IF($B1292="","",IFERROR(INDEX(Services!$C$2:$C$120,MATCH($B1292,Services!$D$2:$D$120,0)),""))</f>
        <v/>
      </c>
      <c r="F1292" s="19"/>
      <c r="G1292" s="9" t="str">
        <f t="shared" si="20"/>
        <v/>
      </c>
      <c r="H1292" s="15" t="str">
        <f>IF($B1292="","",IFERROR(INDEX(Services!$A$2:$A$120,MATCH($B1292,Services!$D$2:$D$120,0)),""))</f>
        <v/>
      </c>
      <c r="I1292" s="19"/>
      <c r="J1292" s="15" t="str">
        <f>IF($B1292="","",IFERROR(INDEX(Services!$E$2:$E$120,MATCH($B1292,Services!$D$2:$D$120,0)),""))</f>
        <v/>
      </c>
    </row>
    <row r="1293" spans="1:10" x14ac:dyDescent="0.3">
      <c r="A1293" s="18"/>
      <c r="B1293" s="6"/>
      <c r="C1293" s="6"/>
      <c r="D1293" s="6"/>
      <c r="E1293" s="16" t="str">
        <f>IF($B1293="","",IFERROR(INDEX(Services!$C$2:$C$120,MATCH($B1293,Services!$D$2:$D$120,0)),""))</f>
        <v/>
      </c>
      <c r="F1293" s="19"/>
      <c r="G1293" s="9" t="str">
        <f t="shared" si="20"/>
        <v/>
      </c>
      <c r="H1293" s="15" t="str">
        <f>IF($B1293="","",IFERROR(INDEX(Services!$A$2:$A$120,MATCH($B1293,Services!$D$2:$D$120,0)),""))</f>
        <v/>
      </c>
      <c r="I1293" s="19"/>
      <c r="J1293" s="15" t="str">
        <f>IF($B1293="","",IFERROR(INDEX(Services!$E$2:$E$120,MATCH($B1293,Services!$D$2:$D$120,0)),""))</f>
        <v/>
      </c>
    </row>
    <row r="1294" spans="1:10" x14ac:dyDescent="0.3">
      <c r="A1294" s="18"/>
      <c r="B1294" s="6"/>
      <c r="C1294" s="6"/>
      <c r="D1294" s="6"/>
      <c r="E1294" s="16" t="str">
        <f>IF($B1294="","",IFERROR(INDEX(Services!$C$2:$C$120,MATCH($B1294,Services!$D$2:$D$120,0)),""))</f>
        <v/>
      </c>
      <c r="F1294" s="19"/>
      <c r="G1294" s="9" t="str">
        <f t="shared" si="20"/>
        <v/>
      </c>
      <c r="H1294" s="15" t="str">
        <f>IF($B1294="","",IFERROR(INDEX(Services!$A$2:$A$120,MATCH($B1294,Services!$D$2:$D$120,0)),""))</f>
        <v/>
      </c>
      <c r="I1294" s="19"/>
      <c r="J1294" s="15" t="str">
        <f>IF($B1294="","",IFERROR(INDEX(Services!$E$2:$E$120,MATCH($B1294,Services!$D$2:$D$120,0)),""))</f>
        <v/>
      </c>
    </row>
    <row r="1295" spans="1:10" x14ac:dyDescent="0.3">
      <c r="A1295" s="18"/>
      <c r="B1295" s="6"/>
      <c r="C1295" s="6"/>
      <c r="D1295" s="6"/>
      <c r="E1295" s="16" t="str">
        <f>IF($B1295="","",IFERROR(INDEX(Services!$C$2:$C$120,MATCH($B1295,Services!$D$2:$D$120,0)),""))</f>
        <v/>
      </c>
      <c r="F1295" s="19"/>
      <c r="G1295" s="9" t="str">
        <f t="shared" si="20"/>
        <v/>
      </c>
      <c r="H1295" s="15" t="str">
        <f>IF($B1295="","",IFERROR(INDEX(Services!$A$2:$A$120,MATCH($B1295,Services!$D$2:$D$120,0)),""))</f>
        <v/>
      </c>
      <c r="I1295" s="19"/>
      <c r="J1295" s="15" t="str">
        <f>IF($B1295="","",IFERROR(INDEX(Services!$E$2:$E$120,MATCH($B1295,Services!$D$2:$D$120,0)),""))</f>
        <v/>
      </c>
    </row>
    <row r="1296" spans="1:10" x14ac:dyDescent="0.3">
      <c r="A1296" s="18"/>
      <c r="B1296" s="6"/>
      <c r="C1296" s="6"/>
      <c r="D1296" s="6"/>
      <c r="E1296" s="16" t="str">
        <f>IF($B1296="","",IFERROR(INDEX(Services!$C$2:$C$120,MATCH($B1296,Services!$D$2:$D$120,0)),""))</f>
        <v/>
      </c>
      <c r="F1296" s="19"/>
      <c r="G1296" s="9" t="str">
        <f t="shared" si="20"/>
        <v/>
      </c>
      <c r="H1296" s="15" t="str">
        <f>IF($B1296="","",IFERROR(INDEX(Services!$A$2:$A$120,MATCH($B1296,Services!$D$2:$D$120,0)),""))</f>
        <v/>
      </c>
      <c r="I1296" s="19"/>
      <c r="J1296" s="15" t="str">
        <f>IF($B1296="","",IFERROR(INDEX(Services!$E$2:$E$120,MATCH($B1296,Services!$D$2:$D$120,0)),""))</f>
        <v/>
      </c>
    </row>
    <row r="1297" spans="1:10" x14ac:dyDescent="0.3">
      <c r="A1297" s="18"/>
      <c r="B1297" s="6"/>
      <c r="C1297" s="6"/>
      <c r="D1297" s="6"/>
      <c r="E1297" s="16" t="str">
        <f>IF($B1297="","",IFERROR(INDEX(Services!$C$2:$C$120,MATCH($B1297,Services!$D$2:$D$120,0)),""))</f>
        <v/>
      </c>
      <c r="F1297" s="19"/>
      <c r="G1297" s="9" t="str">
        <f t="shared" si="20"/>
        <v/>
      </c>
      <c r="H1297" s="15" t="str">
        <f>IF($B1297="","",IFERROR(INDEX(Services!$A$2:$A$120,MATCH($B1297,Services!$D$2:$D$120,0)),""))</f>
        <v/>
      </c>
      <c r="I1297" s="19"/>
      <c r="J1297" s="15" t="str">
        <f>IF($B1297="","",IFERROR(INDEX(Services!$E$2:$E$120,MATCH($B1297,Services!$D$2:$D$120,0)),""))</f>
        <v/>
      </c>
    </row>
    <row r="1298" spans="1:10" x14ac:dyDescent="0.3">
      <c r="A1298" s="18"/>
      <c r="B1298" s="6"/>
      <c r="C1298" s="6"/>
      <c r="D1298" s="6"/>
      <c r="E1298" s="16" t="str">
        <f>IF($B1298="","",IFERROR(INDEX(Services!$C$2:$C$120,MATCH($B1298,Services!$D$2:$D$120,0)),""))</f>
        <v/>
      </c>
      <c r="F1298" s="19"/>
      <c r="G1298" s="9" t="str">
        <f t="shared" si="20"/>
        <v/>
      </c>
      <c r="H1298" s="15" t="str">
        <f>IF($B1298="","",IFERROR(INDEX(Services!$A$2:$A$120,MATCH($B1298,Services!$D$2:$D$120,0)),""))</f>
        <v/>
      </c>
      <c r="I1298" s="19"/>
      <c r="J1298" s="15" t="str">
        <f>IF($B1298="","",IFERROR(INDEX(Services!$E$2:$E$120,MATCH($B1298,Services!$D$2:$D$120,0)),""))</f>
        <v/>
      </c>
    </row>
    <row r="1299" spans="1:10" x14ac:dyDescent="0.3">
      <c r="A1299" s="18"/>
      <c r="B1299" s="6"/>
      <c r="C1299" s="6"/>
      <c r="D1299" s="6"/>
      <c r="E1299" s="16" t="str">
        <f>IF($B1299="","",IFERROR(INDEX(Services!$C$2:$C$120,MATCH($B1299,Services!$D$2:$D$120,0)),""))</f>
        <v/>
      </c>
      <c r="F1299" s="19"/>
      <c r="G1299" s="9" t="str">
        <f t="shared" si="20"/>
        <v/>
      </c>
      <c r="H1299" s="15" t="str">
        <f>IF($B1299="","",IFERROR(INDEX(Services!$A$2:$A$120,MATCH($B1299,Services!$D$2:$D$120,0)),""))</f>
        <v/>
      </c>
      <c r="I1299" s="19"/>
      <c r="J1299" s="15" t="str">
        <f>IF($B1299="","",IFERROR(INDEX(Services!$E$2:$E$120,MATCH($B1299,Services!$D$2:$D$120,0)),""))</f>
        <v/>
      </c>
    </row>
    <row r="1300" spans="1:10" x14ac:dyDescent="0.3">
      <c r="A1300" s="18"/>
      <c r="B1300" s="6"/>
      <c r="C1300" s="6"/>
      <c r="D1300" s="6"/>
      <c r="E1300" s="16" t="str">
        <f>IF($B1300="","",IFERROR(INDEX(Services!$C$2:$C$120,MATCH($B1300,Services!$D$2:$D$120,0)),""))</f>
        <v/>
      </c>
      <c r="F1300" s="19"/>
      <c r="G1300" s="9" t="str">
        <f t="shared" si="20"/>
        <v/>
      </c>
      <c r="H1300" s="15" t="str">
        <f>IF($B1300="","",IFERROR(INDEX(Services!$A$2:$A$120,MATCH($B1300,Services!$D$2:$D$120,0)),""))</f>
        <v/>
      </c>
      <c r="I1300" s="19"/>
      <c r="J1300" s="15" t="str">
        <f>IF($B1300="","",IFERROR(INDEX(Services!$E$2:$E$120,MATCH($B1300,Services!$D$2:$D$120,0)),""))</f>
        <v/>
      </c>
    </row>
    <row r="1301" spans="1:10" x14ac:dyDescent="0.3">
      <c r="A1301" s="18"/>
      <c r="B1301" s="6"/>
      <c r="C1301" s="6"/>
      <c r="D1301" s="6"/>
      <c r="E1301" s="16" t="str">
        <f>IF($B1301="","",IFERROR(INDEX(Services!$C$2:$C$120,MATCH($B1301,Services!$D$2:$D$120,0)),""))</f>
        <v/>
      </c>
      <c r="F1301" s="19"/>
      <c r="G1301" s="9" t="str">
        <f t="shared" si="20"/>
        <v/>
      </c>
      <c r="H1301" s="15" t="str">
        <f>IF($B1301="","",IFERROR(INDEX(Services!$A$2:$A$120,MATCH($B1301,Services!$D$2:$D$120,0)),""))</f>
        <v/>
      </c>
      <c r="I1301" s="19"/>
      <c r="J1301" s="15" t="str">
        <f>IF($B1301="","",IFERROR(INDEX(Services!$E$2:$E$120,MATCH($B1301,Services!$D$2:$D$120,0)),""))</f>
        <v/>
      </c>
    </row>
    <row r="1302" spans="1:10" x14ac:dyDescent="0.3">
      <c r="A1302" s="18"/>
      <c r="B1302" s="6"/>
      <c r="C1302" s="6"/>
      <c r="D1302" s="6"/>
      <c r="E1302" s="16" t="str">
        <f>IF($B1302="","",IFERROR(INDEX(Services!$C$2:$C$120,MATCH($B1302,Services!$D$2:$D$120,0)),""))</f>
        <v/>
      </c>
      <c r="F1302" s="19"/>
      <c r="G1302" s="9" t="str">
        <f t="shared" si="20"/>
        <v/>
      </c>
      <c r="H1302" s="15" t="str">
        <f>IF($B1302="","",IFERROR(INDEX(Services!$A$2:$A$120,MATCH($B1302,Services!$D$2:$D$120,0)),""))</f>
        <v/>
      </c>
      <c r="I1302" s="19"/>
      <c r="J1302" s="15" t="str">
        <f>IF($B1302="","",IFERROR(INDEX(Services!$E$2:$E$120,MATCH($B1302,Services!$D$2:$D$120,0)),""))</f>
        <v/>
      </c>
    </row>
    <row r="1303" spans="1:10" x14ac:dyDescent="0.3">
      <c r="A1303" s="18"/>
      <c r="B1303" s="6"/>
      <c r="C1303" s="6"/>
      <c r="D1303" s="6"/>
      <c r="E1303" s="16" t="str">
        <f>IF($B1303="","",IFERROR(INDEX(Services!$C$2:$C$120,MATCH($B1303,Services!$D$2:$D$120,0)),""))</f>
        <v/>
      </c>
      <c r="F1303" s="19"/>
      <c r="G1303" s="9" t="str">
        <f t="shared" si="20"/>
        <v/>
      </c>
      <c r="H1303" s="15" t="str">
        <f>IF($B1303="","",IFERROR(INDEX(Services!$A$2:$A$120,MATCH($B1303,Services!$D$2:$D$120,0)),""))</f>
        <v/>
      </c>
      <c r="I1303" s="19"/>
      <c r="J1303" s="15" t="str">
        <f>IF($B1303="","",IFERROR(INDEX(Services!$E$2:$E$120,MATCH($B1303,Services!$D$2:$D$120,0)),""))</f>
        <v/>
      </c>
    </row>
    <row r="1304" spans="1:10" x14ac:dyDescent="0.3">
      <c r="A1304" s="18"/>
      <c r="B1304" s="6"/>
      <c r="C1304" s="6"/>
      <c r="D1304" s="6"/>
      <c r="E1304" s="16" t="str">
        <f>IF($B1304="","",IFERROR(INDEX(Services!$C$2:$C$120,MATCH($B1304,Services!$D$2:$D$120,0)),""))</f>
        <v/>
      </c>
      <c r="F1304" s="19"/>
      <c r="G1304" s="9" t="str">
        <f t="shared" si="20"/>
        <v/>
      </c>
      <c r="H1304" s="15" t="str">
        <f>IF($B1304="","",IFERROR(INDEX(Services!$A$2:$A$120,MATCH($B1304,Services!$D$2:$D$120,0)),""))</f>
        <v/>
      </c>
      <c r="I1304" s="19"/>
      <c r="J1304" s="15" t="str">
        <f>IF($B1304="","",IFERROR(INDEX(Services!$E$2:$E$120,MATCH($B1304,Services!$D$2:$D$120,0)),""))</f>
        <v/>
      </c>
    </row>
    <row r="1305" spans="1:10" x14ac:dyDescent="0.3">
      <c r="A1305" s="18"/>
      <c r="B1305" s="6"/>
      <c r="C1305" s="6"/>
      <c r="D1305" s="6"/>
      <c r="E1305" s="16" t="str">
        <f>IF($B1305="","",IFERROR(INDEX(Services!$C$2:$C$120,MATCH($B1305,Services!$D$2:$D$120,0)),""))</f>
        <v/>
      </c>
      <c r="F1305" s="19"/>
      <c r="G1305" s="9" t="str">
        <f t="shared" si="20"/>
        <v/>
      </c>
      <c r="H1305" s="15" t="str">
        <f>IF($B1305="","",IFERROR(INDEX(Services!$A$2:$A$120,MATCH($B1305,Services!$D$2:$D$120,0)),""))</f>
        <v/>
      </c>
      <c r="I1305" s="19"/>
      <c r="J1305" s="15" t="str">
        <f>IF($B1305="","",IFERROR(INDEX(Services!$E$2:$E$120,MATCH($B1305,Services!$D$2:$D$120,0)),""))</f>
        <v/>
      </c>
    </row>
    <row r="1306" spans="1:10" x14ac:dyDescent="0.3">
      <c r="A1306" s="18"/>
      <c r="B1306" s="6"/>
      <c r="C1306" s="6"/>
      <c r="D1306" s="6"/>
      <c r="E1306" s="16" t="str">
        <f>IF($B1306="","",IFERROR(INDEX(Services!$C$2:$C$120,MATCH($B1306,Services!$D$2:$D$120,0)),""))</f>
        <v/>
      </c>
      <c r="F1306" s="19"/>
      <c r="G1306" s="9" t="str">
        <f t="shared" si="20"/>
        <v/>
      </c>
      <c r="H1306" s="15" t="str">
        <f>IF($B1306="","",IFERROR(INDEX(Services!$A$2:$A$120,MATCH($B1306,Services!$D$2:$D$120,0)),""))</f>
        <v/>
      </c>
      <c r="I1306" s="19"/>
      <c r="J1306" s="15" t="str">
        <f>IF($B1306="","",IFERROR(INDEX(Services!$E$2:$E$120,MATCH($B1306,Services!$D$2:$D$120,0)),""))</f>
        <v/>
      </c>
    </row>
    <row r="1307" spans="1:10" x14ac:dyDescent="0.3">
      <c r="A1307" s="18"/>
      <c r="B1307" s="6"/>
      <c r="C1307" s="6"/>
      <c r="D1307" s="6"/>
      <c r="E1307" s="16" t="str">
        <f>IF($B1307="","",IFERROR(INDEX(Services!$C$2:$C$120,MATCH($B1307,Services!$D$2:$D$120,0)),""))</f>
        <v/>
      </c>
      <c r="F1307" s="19"/>
      <c r="G1307" s="9" t="str">
        <f t="shared" si="20"/>
        <v/>
      </c>
      <c r="H1307" s="15" t="str">
        <f>IF($B1307="","",IFERROR(INDEX(Services!$A$2:$A$120,MATCH($B1307,Services!$D$2:$D$120,0)),""))</f>
        <v/>
      </c>
      <c r="I1307" s="19"/>
      <c r="J1307" s="15" t="str">
        <f>IF($B1307="","",IFERROR(INDEX(Services!$E$2:$E$120,MATCH($B1307,Services!$D$2:$D$120,0)),""))</f>
        <v/>
      </c>
    </row>
    <row r="1308" spans="1:10" x14ac:dyDescent="0.3">
      <c r="A1308" s="18"/>
      <c r="B1308" s="6"/>
      <c r="C1308" s="6"/>
      <c r="D1308" s="6"/>
      <c r="E1308" s="16" t="str">
        <f>IF($B1308="","",IFERROR(INDEX(Services!$C$2:$C$120,MATCH($B1308,Services!$D$2:$D$120,0)),""))</f>
        <v/>
      </c>
      <c r="F1308" s="19"/>
      <c r="G1308" s="9" t="str">
        <f t="shared" si="20"/>
        <v/>
      </c>
      <c r="H1308" s="15" t="str">
        <f>IF($B1308="","",IFERROR(INDEX(Services!$A$2:$A$120,MATCH($B1308,Services!$D$2:$D$120,0)),""))</f>
        <v/>
      </c>
      <c r="I1308" s="19"/>
      <c r="J1308" s="15" t="str">
        <f>IF($B1308="","",IFERROR(INDEX(Services!$E$2:$E$120,MATCH($B1308,Services!$D$2:$D$120,0)),""))</f>
        <v/>
      </c>
    </row>
    <row r="1309" spans="1:10" x14ac:dyDescent="0.3">
      <c r="A1309" s="18"/>
      <c r="B1309" s="6"/>
      <c r="C1309" s="6"/>
      <c r="D1309" s="6"/>
      <c r="E1309" s="16" t="str">
        <f>IF($B1309="","",IFERROR(INDEX(Services!$C$2:$C$120,MATCH($B1309,Services!$D$2:$D$120,0)),""))</f>
        <v/>
      </c>
      <c r="F1309" s="19"/>
      <c r="G1309" s="9" t="str">
        <f t="shared" si="20"/>
        <v/>
      </c>
      <c r="H1309" s="15" t="str">
        <f>IF($B1309="","",IFERROR(INDEX(Services!$A$2:$A$120,MATCH($B1309,Services!$D$2:$D$120,0)),""))</f>
        <v/>
      </c>
      <c r="I1309" s="19"/>
      <c r="J1309" s="15" t="str">
        <f>IF($B1309="","",IFERROR(INDEX(Services!$E$2:$E$120,MATCH($B1309,Services!$D$2:$D$120,0)),""))</f>
        <v/>
      </c>
    </row>
    <row r="1310" spans="1:10" x14ac:dyDescent="0.3">
      <c r="A1310" s="18"/>
      <c r="B1310" s="6"/>
      <c r="C1310" s="6"/>
      <c r="D1310" s="6"/>
      <c r="E1310" s="16" t="str">
        <f>IF($B1310="","",IFERROR(INDEX(Services!$C$2:$C$120,MATCH($B1310,Services!$D$2:$D$120,0)),""))</f>
        <v/>
      </c>
      <c r="F1310" s="19"/>
      <c r="G1310" s="9" t="str">
        <f t="shared" si="20"/>
        <v/>
      </c>
      <c r="H1310" s="15" t="str">
        <f>IF($B1310="","",IFERROR(INDEX(Services!$A$2:$A$120,MATCH($B1310,Services!$D$2:$D$120,0)),""))</f>
        <v/>
      </c>
      <c r="I1310" s="19"/>
      <c r="J1310" s="15" t="str">
        <f>IF($B1310="","",IFERROR(INDEX(Services!$E$2:$E$120,MATCH($B1310,Services!$D$2:$D$120,0)),""))</f>
        <v/>
      </c>
    </row>
    <row r="1311" spans="1:10" x14ac:dyDescent="0.3">
      <c r="A1311" s="18"/>
      <c r="B1311" s="6"/>
      <c r="C1311" s="6"/>
      <c r="D1311" s="6"/>
      <c r="E1311" s="16" t="str">
        <f>IF($B1311="","",IFERROR(INDEX(Services!$C$2:$C$120,MATCH($B1311,Services!$D$2:$D$120,0)),""))</f>
        <v/>
      </c>
      <c r="F1311" s="19"/>
      <c r="G1311" s="9" t="str">
        <f t="shared" si="20"/>
        <v/>
      </c>
      <c r="H1311" s="15" t="str">
        <f>IF($B1311="","",IFERROR(INDEX(Services!$A$2:$A$120,MATCH($B1311,Services!$D$2:$D$120,0)),""))</f>
        <v/>
      </c>
      <c r="I1311" s="19"/>
      <c r="J1311" s="15" t="str">
        <f>IF($B1311="","",IFERROR(INDEX(Services!$E$2:$E$120,MATCH($B1311,Services!$D$2:$D$120,0)),""))</f>
        <v/>
      </c>
    </row>
    <row r="1312" spans="1:10" x14ac:dyDescent="0.3">
      <c r="A1312" s="18"/>
      <c r="B1312" s="6"/>
      <c r="C1312" s="6"/>
      <c r="D1312" s="6"/>
      <c r="E1312" s="16" t="str">
        <f>IF($B1312="","",IFERROR(INDEX(Services!$C$2:$C$120,MATCH($B1312,Services!$D$2:$D$120,0)),""))</f>
        <v/>
      </c>
      <c r="F1312" s="19"/>
      <c r="G1312" s="9" t="str">
        <f t="shared" si="20"/>
        <v/>
      </c>
      <c r="H1312" s="15" t="str">
        <f>IF($B1312="","",IFERROR(INDEX(Services!$A$2:$A$120,MATCH($B1312,Services!$D$2:$D$120,0)),""))</f>
        <v/>
      </c>
      <c r="I1312" s="19"/>
      <c r="J1312" s="15" t="str">
        <f>IF($B1312="","",IFERROR(INDEX(Services!$E$2:$E$120,MATCH($B1312,Services!$D$2:$D$120,0)),""))</f>
        <v/>
      </c>
    </row>
    <row r="1313" spans="1:10" x14ac:dyDescent="0.3">
      <c r="A1313" s="18"/>
      <c r="B1313" s="6"/>
      <c r="C1313" s="6"/>
      <c r="D1313" s="6"/>
      <c r="E1313" s="16" t="str">
        <f>IF($B1313="","",IFERROR(INDEX(Services!$C$2:$C$120,MATCH($B1313,Services!$D$2:$D$120,0)),""))</f>
        <v/>
      </c>
      <c r="F1313" s="19"/>
      <c r="G1313" s="9" t="str">
        <f t="shared" si="20"/>
        <v/>
      </c>
      <c r="H1313" s="15" t="str">
        <f>IF($B1313="","",IFERROR(INDEX(Services!$A$2:$A$120,MATCH($B1313,Services!$D$2:$D$120,0)),""))</f>
        <v/>
      </c>
      <c r="I1313" s="19"/>
      <c r="J1313" s="15" t="str">
        <f>IF($B1313="","",IFERROR(INDEX(Services!$E$2:$E$120,MATCH($B1313,Services!$D$2:$D$120,0)),""))</f>
        <v/>
      </c>
    </row>
    <row r="1314" spans="1:10" x14ac:dyDescent="0.3">
      <c r="A1314" s="18"/>
      <c r="B1314" s="6"/>
      <c r="C1314" s="6"/>
      <c r="D1314" s="6"/>
      <c r="E1314" s="16" t="str">
        <f>IF($B1314="","",IFERROR(INDEX(Services!$C$2:$C$120,MATCH($B1314,Services!$D$2:$D$120,0)),""))</f>
        <v/>
      </c>
      <c r="F1314" s="19"/>
      <c r="G1314" s="9" t="str">
        <f t="shared" si="20"/>
        <v/>
      </c>
      <c r="H1314" s="15" t="str">
        <f>IF($B1314="","",IFERROR(INDEX(Services!$A$2:$A$120,MATCH($B1314,Services!$D$2:$D$120,0)),""))</f>
        <v/>
      </c>
      <c r="I1314" s="19"/>
      <c r="J1314" s="15" t="str">
        <f>IF($B1314="","",IFERROR(INDEX(Services!$E$2:$E$120,MATCH($B1314,Services!$D$2:$D$120,0)),""))</f>
        <v/>
      </c>
    </row>
    <row r="1315" spans="1:10" x14ac:dyDescent="0.3">
      <c r="A1315" s="18"/>
      <c r="B1315" s="6"/>
      <c r="C1315" s="6"/>
      <c r="D1315" s="6"/>
      <c r="E1315" s="16" t="str">
        <f>IF($B1315="","",IFERROR(INDEX(Services!$C$2:$C$120,MATCH($B1315,Services!$D$2:$D$120,0)),""))</f>
        <v/>
      </c>
      <c r="F1315" s="19"/>
      <c r="G1315" s="9" t="str">
        <f t="shared" si="20"/>
        <v/>
      </c>
      <c r="H1315" s="15" t="str">
        <f>IF($B1315="","",IFERROR(INDEX(Services!$A$2:$A$120,MATCH($B1315,Services!$D$2:$D$120,0)),""))</f>
        <v/>
      </c>
      <c r="I1315" s="19"/>
      <c r="J1315" s="15" t="str">
        <f>IF($B1315="","",IFERROR(INDEX(Services!$E$2:$E$120,MATCH($B1315,Services!$D$2:$D$120,0)),""))</f>
        <v/>
      </c>
    </row>
    <row r="1316" spans="1:10" x14ac:dyDescent="0.3">
      <c r="A1316" s="18"/>
      <c r="B1316" s="6"/>
      <c r="C1316" s="6"/>
      <c r="D1316" s="6"/>
      <c r="E1316" s="16" t="str">
        <f>IF($B1316="","",IFERROR(INDEX(Services!$C$2:$C$120,MATCH($B1316,Services!$D$2:$D$120,0)),""))</f>
        <v/>
      </c>
      <c r="F1316" s="19"/>
      <c r="G1316" s="9" t="str">
        <f t="shared" si="20"/>
        <v/>
      </c>
      <c r="H1316" s="15" t="str">
        <f>IF($B1316="","",IFERROR(INDEX(Services!$A$2:$A$120,MATCH($B1316,Services!$D$2:$D$120,0)),""))</f>
        <v/>
      </c>
      <c r="I1316" s="19"/>
      <c r="J1316" s="15" t="str">
        <f>IF($B1316="","",IFERROR(INDEX(Services!$E$2:$E$120,MATCH($B1316,Services!$D$2:$D$120,0)),""))</f>
        <v/>
      </c>
    </row>
    <row r="1317" spans="1:10" x14ac:dyDescent="0.3">
      <c r="A1317" s="18"/>
      <c r="B1317" s="6"/>
      <c r="C1317" s="6"/>
      <c r="D1317" s="6"/>
      <c r="E1317" s="16" t="str">
        <f>IF($B1317="","",IFERROR(INDEX(Services!$C$2:$C$120,MATCH($B1317,Services!$D$2:$D$120,0)),""))</f>
        <v/>
      </c>
      <c r="F1317" s="19"/>
      <c r="G1317" s="9" t="str">
        <f t="shared" si="20"/>
        <v/>
      </c>
      <c r="H1317" s="15" t="str">
        <f>IF($B1317="","",IFERROR(INDEX(Services!$A$2:$A$120,MATCH($B1317,Services!$D$2:$D$120,0)),""))</f>
        <v/>
      </c>
      <c r="I1317" s="19"/>
      <c r="J1317" s="15" t="str">
        <f>IF($B1317="","",IFERROR(INDEX(Services!$E$2:$E$120,MATCH($B1317,Services!$D$2:$D$120,0)),""))</f>
        <v/>
      </c>
    </row>
    <row r="1318" spans="1:10" x14ac:dyDescent="0.3">
      <c r="A1318" s="18"/>
      <c r="B1318" s="6"/>
      <c r="C1318" s="6"/>
      <c r="D1318" s="6"/>
      <c r="E1318" s="16" t="str">
        <f>IF($B1318="","",IFERROR(INDEX(Services!$C$2:$C$120,MATCH($B1318,Services!$D$2:$D$120,0)),""))</f>
        <v/>
      </c>
      <c r="F1318" s="19"/>
      <c r="G1318" s="9" t="str">
        <f t="shared" si="20"/>
        <v/>
      </c>
      <c r="H1318" s="15" t="str">
        <f>IF($B1318="","",IFERROR(INDEX(Services!$A$2:$A$120,MATCH($B1318,Services!$D$2:$D$120,0)),""))</f>
        <v/>
      </c>
      <c r="I1318" s="19"/>
      <c r="J1318" s="15" t="str">
        <f>IF($B1318="","",IFERROR(INDEX(Services!$E$2:$E$120,MATCH($B1318,Services!$D$2:$D$120,0)),""))</f>
        <v/>
      </c>
    </row>
    <row r="1319" spans="1:10" x14ac:dyDescent="0.3">
      <c r="A1319" s="18"/>
      <c r="B1319" s="6"/>
      <c r="C1319" s="6"/>
      <c r="D1319" s="6"/>
      <c r="E1319" s="16" t="str">
        <f>IF($B1319="","",IFERROR(INDEX(Services!$C$2:$C$120,MATCH($B1319,Services!$D$2:$D$120,0)),""))</f>
        <v/>
      </c>
      <c r="F1319" s="19"/>
      <c r="G1319" s="9" t="str">
        <f t="shared" si="20"/>
        <v/>
      </c>
      <c r="H1319" s="15" t="str">
        <f>IF($B1319="","",IFERROR(INDEX(Services!$A$2:$A$120,MATCH($B1319,Services!$D$2:$D$120,0)),""))</f>
        <v/>
      </c>
      <c r="I1319" s="19"/>
      <c r="J1319" s="15" t="str">
        <f>IF($B1319="","",IFERROR(INDEX(Services!$E$2:$E$120,MATCH($B1319,Services!$D$2:$D$120,0)),""))</f>
        <v/>
      </c>
    </row>
    <row r="1320" spans="1:10" x14ac:dyDescent="0.3">
      <c r="A1320" s="18"/>
      <c r="B1320" s="6"/>
      <c r="C1320" s="6"/>
      <c r="D1320" s="6"/>
      <c r="E1320" s="16" t="str">
        <f>IF($B1320="","",IFERROR(INDEX(Services!$C$2:$C$120,MATCH($B1320,Services!$D$2:$D$120,0)),""))</f>
        <v/>
      </c>
      <c r="F1320" s="19"/>
      <c r="G1320" s="9" t="str">
        <f t="shared" si="20"/>
        <v/>
      </c>
      <c r="H1320" s="15" t="str">
        <f>IF($B1320="","",IFERROR(INDEX(Services!$A$2:$A$120,MATCH($B1320,Services!$D$2:$D$120,0)),""))</f>
        <v/>
      </c>
      <c r="I1320" s="19"/>
      <c r="J1320" s="15" t="str">
        <f>IF($B1320="","",IFERROR(INDEX(Services!$E$2:$E$120,MATCH($B1320,Services!$D$2:$D$120,0)),""))</f>
        <v/>
      </c>
    </row>
    <row r="1321" spans="1:10" x14ac:dyDescent="0.3">
      <c r="A1321" s="18"/>
      <c r="B1321" s="6"/>
      <c r="C1321" s="6"/>
      <c r="D1321" s="6"/>
      <c r="E1321" s="16" t="str">
        <f>IF($B1321="","",IFERROR(INDEX(Services!$C$2:$C$120,MATCH($B1321,Services!$D$2:$D$120,0)),""))</f>
        <v/>
      </c>
      <c r="F1321" s="19"/>
      <c r="G1321" s="9" t="str">
        <f t="shared" si="20"/>
        <v/>
      </c>
      <c r="H1321" s="15" t="str">
        <f>IF($B1321="","",IFERROR(INDEX(Services!$A$2:$A$120,MATCH($B1321,Services!$D$2:$D$120,0)),""))</f>
        <v/>
      </c>
      <c r="I1321" s="19"/>
      <c r="J1321" s="15" t="str">
        <f>IF($B1321="","",IFERROR(INDEX(Services!$E$2:$E$120,MATCH($B1321,Services!$D$2:$D$120,0)),""))</f>
        <v/>
      </c>
    </row>
    <row r="1322" spans="1:10" x14ac:dyDescent="0.3">
      <c r="A1322" s="18"/>
      <c r="B1322" s="6"/>
      <c r="C1322" s="6"/>
      <c r="D1322" s="6"/>
      <c r="E1322" s="16" t="str">
        <f>IF($B1322="","",IFERROR(INDEX(Services!$C$2:$C$120,MATCH($B1322,Services!$D$2:$D$120,0)),""))</f>
        <v/>
      </c>
      <c r="F1322" s="19"/>
      <c r="G1322" s="9" t="str">
        <f t="shared" si="20"/>
        <v/>
      </c>
      <c r="H1322" s="15" t="str">
        <f>IF($B1322="","",IFERROR(INDEX(Services!$A$2:$A$120,MATCH($B1322,Services!$D$2:$D$120,0)),""))</f>
        <v/>
      </c>
      <c r="I1322" s="19"/>
      <c r="J1322" s="15" t="str">
        <f>IF($B1322="","",IFERROR(INDEX(Services!$E$2:$E$120,MATCH($B1322,Services!$D$2:$D$120,0)),""))</f>
        <v/>
      </c>
    </row>
    <row r="1323" spans="1:10" x14ac:dyDescent="0.3">
      <c r="A1323" s="18"/>
      <c r="B1323" s="6"/>
      <c r="C1323" s="6"/>
      <c r="D1323" s="6"/>
      <c r="E1323" s="16" t="str">
        <f>IF($B1323="","",IFERROR(INDEX(Services!$C$2:$C$120,MATCH($B1323,Services!$D$2:$D$120,0)),""))</f>
        <v/>
      </c>
      <c r="F1323" s="19"/>
      <c r="G1323" s="9" t="str">
        <f t="shared" si="20"/>
        <v/>
      </c>
      <c r="H1323" s="15" t="str">
        <f>IF($B1323="","",IFERROR(INDEX(Services!$A$2:$A$120,MATCH($B1323,Services!$D$2:$D$120,0)),""))</f>
        <v/>
      </c>
      <c r="I1323" s="19"/>
      <c r="J1323" s="15" t="str">
        <f>IF($B1323="","",IFERROR(INDEX(Services!$E$2:$E$120,MATCH($B1323,Services!$D$2:$D$120,0)),""))</f>
        <v/>
      </c>
    </row>
    <row r="1324" spans="1:10" x14ac:dyDescent="0.3">
      <c r="A1324" s="18"/>
      <c r="B1324" s="6"/>
      <c r="C1324" s="6"/>
      <c r="D1324" s="6"/>
      <c r="E1324" s="16" t="str">
        <f>IF($B1324="","",IFERROR(INDEX(Services!$C$2:$C$120,MATCH($B1324,Services!$D$2:$D$120,0)),""))</f>
        <v/>
      </c>
      <c r="F1324" s="19"/>
      <c r="G1324" s="9" t="str">
        <f t="shared" si="20"/>
        <v/>
      </c>
      <c r="H1324" s="15" t="str">
        <f>IF($B1324="","",IFERROR(INDEX(Services!$A$2:$A$120,MATCH($B1324,Services!$D$2:$D$120,0)),""))</f>
        <v/>
      </c>
      <c r="I1324" s="19"/>
      <c r="J1324" s="15" t="str">
        <f>IF($B1324="","",IFERROR(INDEX(Services!$E$2:$E$120,MATCH($B1324,Services!$D$2:$D$120,0)),""))</f>
        <v/>
      </c>
    </row>
    <row r="1325" spans="1:10" x14ac:dyDescent="0.3">
      <c r="A1325" s="18"/>
      <c r="B1325" s="6"/>
      <c r="C1325" s="6"/>
      <c r="D1325" s="6"/>
      <c r="E1325" s="16" t="str">
        <f>IF($B1325="","",IFERROR(INDEX(Services!$C$2:$C$120,MATCH($B1325,Services!$D$2:$D$120,0)),""))</f>
        <v/>
      </c>
      <c r="F1325" s="19"/>
      <c r="G1325" s="9" t="str">
        <f t="shared" si="20"/>
        <v/>
      </c>
      <c r="H1325" s="15" t="str">
        <f>IF($B1325="","",IFERROR(INDEX(Services!$A$2:$A$120,MATCH($B1325,Services!$D$2:$D$120,0)),""))</f>
        <v/>
      </c>
      <c r="I1325" s="19"/>
      <c r="J1325" s="15" t="str">
        <f>IF($B1325="","",IFERROR(INDEX(Services!$E$2:$E$120,MATCH($B1325,Services!$D$2:$D$120,0)),""))</f>
        <v/>
      </c>
    </row>
    <row r="1326" spans="1:10" x14ac:dyDescent="0.3">
      <c r="A1326" s="18"/>
      <c r="B1326" s="6"/>
      <c r="C1326" s="6"/>
      <c r="D1326" s="6"/>
      <c r="E1326" s="16" t="str">
        <f>IF($B1326="","",IFERROR(INDEX(Services!$C$2:$C$120,MATCH($B1326,Services!$D$2:$D$120,0)),""))</f>
        <v/>
      </c>
      <c r="F1326" s="19"/>
      <c r="G1326" s="9" t="str">
        <f t="shared" si="20"/>
        <v/>
      </c>
      <c r="H1326" s="15" t="str">
        <f>IF($B1326="","",IFERROR(INDEX(Services!$A$2:$A$120,MATCH($B1326,Services!$D$2:$D$120,0)),""))</f>
        <v/>
      </c>
      <c r="I1326" s="19"/>
      <c r="J1326" s="15" t="str">
        <f>IF($B1326="","",IFERROR(INDEX(Services!$E$2:$E$120,MATCH($B1326,Services!$D$2:$D$120,0)),""))</f>
        <v/>
      </c>
    </row>
    <row r="1327" spans="1:10" x14ac:dyDescent="0.3">
      <c r="A1327" s="18"/>
      <c r="B1327" s="6"/>
      <c r="C1327" s="6"/>
      <c r="D1327" s="6"/>
      <c r="E1327" s="16" t="str">
        <f>IF($B1327="","",IFERROR(INDEX(Services!$C$2:$C$120,MATCH($B1327,Services!$D$2:$D$120,0)),""))</f>
        <v/>
      </c>
      <c r="F1327" s="19"/>
      <c r="G1327" s="9" t="str">
        <f t="shared" si="20"/>
        <v/>
      </c>
      <c r="H1327" s="15" t="str">
        <f>IF($B1327="","",IFERROR(INDEX(Services!$A$2:$A$120,MATCH($B1327,Services!$D$2:$D$120,0)),""))</f>
        <v/>
      </c>
      <c r="I1327" s="19"/>
      <c r="J1327" s="15" t="str">
        <f>IF($B1327="","",IFERROR(INDEX(Services!$E$2:$E$120,MATCH($B1327,Services!$D$2:$D$120,0)),""))</f>
        <v/>
      </c>
    </row>
    <row r="1328" spans="1:10" x14ac:dyDescent="0.3">
      <c r="A1328" s="18"/>
      <c r="B1328" s="6"/>
      <c r="C1328" s="6"/>
      <c r="D1328" s="6"/>
      <c r="E1328" s="16" t="str">
        <f>IF($B1328="","",IFERROR(INDEX(Services!$C$2:$C$120,MATCH($B1328,Services!$D$2:$D$120,0)),""))</f>
        <v/>
      </c>
      <c r="F1328" s="19"/>
      <c r="G1328" s="9" t="str">
        <f t="shared" si="20"/>
        <v/>
      </c>
      <c r="H1328" s="15" t="str">
        <f>IF($B1328="","",IFERROR(INDEX(Services!$A$2:$A$120,MATCH($B1328,Services!$D$2:$D$120,0)),""))</f>
        <v/>
      </c>
      <c r="I1328" s="19"/>
      <c r="J1328" s="15" t="str">
        <f>IF($B1328="","",IFERROR(INDEX(Services!$E$2:$E$120,MATCH($B1328,Services!$D$2:$D$120,0)),""))</f>
        <v/>
      </c>
    </row>
    <row r="1329" spans="1:10" x14ac:dyDescent="0.3">
      <c r="A1329" s="18"/>
      <c r="B1329" s="6"/>
      <c r="C1329" s="6"/>
      <c r="D1329" s="6"/>
      <c r="E1329" s="16" t="str">
        <f>IF($B1329="","",IFERROR(INDEX(Services!$C$2:$C$120,MATCH($B1329,Services!$D$2:$D$120,0)),""))</f>
        <v/>
      </c>
      <c r="F1329" s="19"/>
      <c r="G1329" s="9" t="str">
        <f t="shared" si="20"/>
        <v/>
      </c>
      <c r="H1329" s="15" t="str">
        <f>IF($B1329="","",IFERROR(INDEX(Services!$A$2:$A$120,MATCH($B1329,Services!$D$2:$D$120,0)),""))</f>
        <v/>
      </c>
      <c r="I1329" s="19"/>
      <c r="J1329" s="15" t="str">
        <f>IF($B1329="","",IFERROR(INDEX(Services!$E$2:$E$120,MATCH($B1329,Services!$D$2:$D$120,0)),""))</f>
        <v/>
      </c>
    </row>
    <row r="1330" spans="1:10" x14ac:dyDescent="0.3">
      <c r="A1330" s="18"/>
      <c r="B1330" s="6"/>
      <c r="C1330" s="6"/>
      <c r="D1330" s="6"/>
      <c r="E1330" s="16" t="str">
        <f>IF($B1330="","",IFERROR(INDEX(Services!$C$2:$C$120,MATCH($B1330,Services!$D$2:$D$120,0)),""))</f>
        <v/>
      </c>
      <c r="F1330" s="19"/>
      <c r="G1330" s="9" t="str">
        <f t="shared" si="20"/>
        <v/>
      </c>
      <c r="H1330" s="15" t="str">
        <f>IF($B1330="","",IFERROR(INDEX(Services!$A$2:$A$120,MATCH($B1330,Services!$D$2:$D$120,0)),""))</f>
        <v/>
      </c>
      <c r="I1330" s="19"/>
      <c r="J1330" s="15" t="str">
        <f>IF($B1330="","",IFERROR(INDEX(Services!$E$2:$E$120,MATCH($B1330,Services!$D$2:$D$120,0)),""))</f>
        <v/>
      </c>
    </row>
    <row r="1331" spans="1:10" x14ac:dyDescent="0.3">
      <c r="A1331" s="18"/>
      <c r="B1331" s="6"/>
      <c r="C1331" s="6"/>
      <c r="D1331" s="6"/>
      <c r="E1331" s="16" t="str">
        <f>IF($B1331="","",IFERROR(INDEX(Services!$C$2:$C$120,MATCH($B1331,Services!$D$2:$D$120,0)),""))</f>
        <v/>
      </c>
      <c r="F1331" s="19"/>
      <c r="G1331" s="9" t="str">
        <f t="shared" si="20"/>
        <v/>
      </c>
      <c r="H1331" s="15" t="str">
        <f>IF($B1331="","",IFERROR(INDEX(Services!$A$2:$A$120,MATCH($B1331,Services!$D$2:$D$120,0)),""))</f>
        <v/>
      </c>
      <c r="I1331" s="19"/>
      <c r="J1331" s="15" t="str">
        <f>IF($B1331="","",IFERROR(INDEX(Services!$E$2:$E$120,MATCH($B1331,Services!$D$2:$D$120,0)),""))</f>
        <v/>
      </c>
    </row>
    <row r="1332" spans="1:10" x14ac:dyDescent="0.3">
      <c r="A1332" s="18"/>
      <c r="B1332" s="6"/>
      <c r="C1332" s="6"/>
      <c r="D1332" s="6"/>
      <c r="E1332" s="16" t="str">
        <f>IF($B1332="","",IFERROR(INDEX(Services!$C$2:$C$120,MATCH($B1332,Services!$D$2:$D$120,0)),""))</f>
        <v/>
      </c>
      <c r="F1332" s="19"/>
      <c r="G1332" s="9" t="str">
        <f t="shared" si="20"/>
        <v/>
      </c>
      <c r="H1332" s="15" t="str">
        <f>IF($B1332="","",IFERROR(INDEX(Services!$A$2:$A$120,MATCH($B1332,Services!$D$2:$D$120,0)),""))</f>
        <v/>
      </c>
      <c r="I1332" s="19"/>
      <c r="J1332" s="15" t="str">
        <f>IF($B1332="","",IFERROR(INDEX(Services!$E$2:$E$120,MATCH($B1332,Services!$D$2:$D$120,0)),""))</f>
        <v/>
      </c>
    </row>
    <row r="1333" spans="1:10" x14ac:dyDescent="0.3">
      <c r="A1333" s="18"/>
      <c r="B1333" s="6"/>
      <c r="C1333" s="6"/>
      <c r="D1333" s="6"/>
      <c r="E1333" s="16" t="str">
        <f>IF($B1333="","",IFERROR(INDEX(Services!$C$2:$C$120,MATCH($B1333,Services!$D$2:$D$120,0)),""))</f>
        <v/>
      </c>
      <c r="F1333" s="19"/>
      <c r="G1333" s="9" t="str">
        <f t="shared" si="20"/>
        <v/>
      </c>
      <c r="H1333" s="15" t="str">
        <f>IF($B1333="","",IFERROR(INDEX(Services!$A$2:$A$120,MATCH($B1333,Services!$D$2:$D$120,0)),""))</f>
        <v/>
      </c>
      <c r="I1333" s="19"/>
      <c r="J1333" s="15" t="str">
        <f>IF($B1333="","",IFERROR(INDEX(Services!$E$2:$E$120,MATCH($B1333,Services!$D$2:$D$120,0)),""))</f>
        <v/>
      </c>
    </row>
    <row r="1334" spans="1:10" x14ac:dyDescent="0.3">
      <c r="A1334" s="18"/>
      <c r="B1334" s="6"/>
      <c r="C1334" s="6"/>
      <c r="D1334" s="6"/>
      <c r="E1334" s="16" t="str">
        <f>IF($B1334="","",IFERROR(INDEX(Services!$C$2:$C$120,MATCH($B1334,Services!$D$2:$D$120,0)),""))</f>
        <v/>
      </c>
      <c r="F1334" s="19"/>
      <c r="G1334" s="9" t="str">
        <f t="shared" si="20"/>
        <v/>
      </c>
      <c r="H1334" s="15" t="str">
        <f>IF($B1334="","",IFERROR(INDEX(Services!$A$2:$A$120,MATCH($B1334,Services!$D$2:$D$120,0)),""))</f>
        <v/>
      </c>
      <c r="I1334" s="19"/>
      <c r="J1334" s="15" t="str">
        <f>IF($B1334="","",IFERROR(INDEX(Services!$E$2:$E$120,MATCH($B1334,Services!$D$2:$D$120,0)),""))</f>
        <v/>
      </c>
    </row>
    <row r="1335" spans="1:10" x14ac:dyDescent="0.3">
      <c r="A1335" s="18"/>
      <c r="B1335" s="6"/>
      <c r="C1335" s="6"/>
      <c r="D1335" s="6"/>
      <c r="E1335" s="16" t="str">
        <f>IF($B1335="","",IFERROR(INDEX(Services!$C$2:$C$120,MATCH($B1335,Services!$D$2:$D$120,0)),""))</f>
        <v/>
      </c>
      <c r="F1335" s="19"/>
      <c r="G1335" s="9" t="str">
        <f t="shared" si="20"/>
        <v/>
      </c>
      <c r="H1335" s="15" t="str">
        <f>IF($B1335="","",IFERROR(INDEX(Services!$A$2:$A$120,MATCH($B1335,Services!$D$2:$D$120,0)),""))</f>
        <v/>
      </c>
      <c r="I1335" s="19"/>
      <c r="J1335" s="15" t="str">
        <f>IF($B1335="","",IFERROR(INDEX(Services!$E$2:$E$120,MATCH($B1335,Services!$D$2:$D$120,0)),""))</f>
        <v/>
      </c>
    </row>
    <row r="1336" spans="1:10" x14ac:dyDescent="0.3">
      <c r="A1336" s="18"/>
      <c r="B1336" s="6"/>
      <c r="C1336" s="6"/>
      <c r="D1336" s="6"/>
      <c r="E1336" s="16" t="str">
        <f>IF($B1336="","",IFERROR(INDEX(Services!$C$2:$C$120,MATCH($B1336,Services!$D$2:$D$120,0)),""))</f>
        <v/>
      </c>
      <c r="F1336" s="19"/>
      <c r="G1336" s="9" t="str">
        <f t="shared" si="20"/>
        <v/>
      </c>
      <c r="H1336" s="15" t="str">
        <f>IF($B1336="","",IFERROR(INDEX(Services!$A$2:$A$120,MATCH($B1336,Services!$D$2:$D$120,0)),""))</f>
        <v/>
      </c>
      <c r="I1336" s="19"/>
      <c r="J1336" s="15" t="str">
        <f>IF($B1336="","",IFERROR(INDEX(Services!$E$2:$E$120,MATCH($B1336,Services!$D$2:$D$120,0)),""))</f>
        <v/>
      </c>
    </row>
    <row r="1337" spans="1:10" x14ac:dyDescent="0.3">
      <c r="A1337" s="18"/>
      <c r="B1337" s="6"/>
      <c r="C1337" s="6"/>
      <c r="D1337" s="6"/>
      <c r="E1337" s="16" t="str">
        <f>IF($B1337="","",IFERROR(INDEX(Services!$C$2:$C$120,MATCH($B1337,Services!$D$2:$D$120,0)),""))</f>
        <v/>
      </c>
      <c r="F1337" s="19"/>
      <c r="G1337" s="9" t="str">
        <f t="shared" si="20"/>
        <v/>
      </c>
      <c r="H1337" s="15" t="str">
        <f>IF($B1337="","",IFERROR(INDEX(Services!$A$2:$A$120,MATCH($B1337,Services!$D$2:$D$120,0)),""))</f>
        <v/>
      </c>
      <c r="I1337" s="19"/>
      <c r="J1337" s="15" t="str">
        <f>IF($B1337="","",IFERROR(INDEX(Services!$E$2:$E$120,MATCH($B1337,Services!$D$2:$D$120,0)),""))</f>
        <v/>
      </c>
    </row>
    <row r="1338" spans="1:10" x14ac:dyDescent="0.3">
      <c r="A1338" s="18"/>
      <c r="B1338" s="6"/>
      <c r="C1338" s="6"/>
      <c r="D1338" s="6"/>
      <c r="E1338" s="16" t="str">
        <f>IF($B1338="","",IFERROR(INDEX(Services!$C$2:$C$120,MATCH($B1338,Services!$D$2:$D$120,0)),""))</f>
        <v/>
      </c>
      <c r="F1338" s="19"/>
      <c r="G1338" s="9" t="str">
        <f t="shared" si="20"/>
        <v/>
      </c>
      <c r="H1338" s="15" t="str">
        <f>IF($B1338="","",IFERROR(INDEX(Services!$A$2:$A$120,MATCH($B1338,Services!$D$2:$D$120,0)),""))</f>
        <v/>
      </c>
      <c r="I1338" s="19"/>
      <c r="J1338" s="15" t="str">
        <f>IF($B1338="","",IFERROR(INDEX(Services!$E$2:$E$120,MATCH($B1338,Services!$D$2:$D$120,0)),""))</f>
        <v/>
      </c>
    </row>
    <row r="1339" spans="1:10" x14ac:dyDescent="0.3">
      <c r="A1339" s="18"/>
      <c r="B1339" s="6"/>
      <c r="C1339" s="6"/>
      <c r="D1339" s="6"/>
      <c r="E1339" s="16" t="str">
        <f>IF($B1339="","",IFERROR(INDEX(Services!$C$2:$C$120,MATCH($B1339,Services!$D$2:$D$120,0)),""))</f>
        <v/>
      </c>
      <c r="F1339" s="19"/>
      <c r="G1339" s="9" t="str">
        <f t="shared" si="20"/>
        <v/>
      </c>
      <c r="H1339" s="15" t="str">
        <f>IF($B1339="","",IFERROR(INDEX(Services!$A$2:$A$120,MATCH($B1339,Services!$D$2:$D$120,0)),""))</f>
        <v/>
      </c>
      <c r="I1339" s="19"/>
      <c r="J1339" s="15" t="str">
        <f>IF($B1339="","",IFERROR(INDEX(Services!$E$2:$E$120,MATCH($B1339,Services!$D$2:$D$120,0)),""))</f>
        <v/>
      </c>
    </row>
    <row r="1340" spans="1:10" x14ac:dyDescent="0.3">
      <c r="A1340" s="18"/>
      <c r="B1340" s="6"/>
      <c r="C1340" s="6"/>
      <c r="D1340" s="6"/>
      <c r="E1340" s="16" t="str">
        <f>IF($B1340="","",IFERROR(INDEX(Services!$C$2:$C$120,MATCH($B1340,Services!$D$2:$D$120,0)),""))</f>
        <v/>
      </c>
      <c r="F1340" s="19"/>
      <c r="G1340" s="9" t="str">
        <f t="shared" si="20"/>
        <v/>
      </c>
      <c r="H1340" s="15" t="str">
        <f>IF($B1340="","",IFERROR(INDEX(Services!$A$2:$A$120,MATCH($B1340,Services!$D$2:$D$120,0)),""))</f>
        <v/>
      </c>
      <c r="I1340" s="19"/>
      <c r="J1340" s="15" t="str">
        <f>IF($B1340="","",IFERROR(INDEX(Services!$E$2:$E$120,MATCH($B1340,Services!$D$2:$D$120,0)),""))</f>
        <v/>
      </c>
    </row>
    <row r="1341" spans="1:10" x14ac:dyDescent="0.3">
      <c r="A1341" s="18"/>
      <c r="B1341" s="6"/>
      <c r="C1341" s="6"/>
      <c r="D1341" s="6"/>
      <c r="E1341" s="16" t="str">
        <f>IF($B1341="","",IFERROR(INDEX(Services!$C$2:$C$120,MATCH($B1341,Services!$D$2:$D$120,0)),""))</f>
        <v/>
      </c>
      <c r="F1341" s="19"/>
      <c r="G1341" s="9" t="str">
        <f t="shared" si="20"/>
        <v/>
      </c>
      <c r="H1341" s="15" t="str">
        <f>IF($B1341="","",IFERROR(INDEX(Services!$A$2:$A$120,MATCH($B1341,Services!$D$2:$D$120,0)),""))</f>
        <v/>
      </c>
      <c r="I1341" s="19"/>
      <c r="J1341" s="15" t="str">
        <f>IF($B1341="","",IFERROR(INDEX(Services!$E$2:$E$120,MATCH($B1341,Services!$D$2:$D$120,0)),""))</f>
        <v/>
      </c>
    </row>
    <row r="1342" spans="1:10" x14ac:dyDescent="0.3">
      <c r="A1342" s="18"/>
      <c r="B1342" s="6"/>
      <c r="C1342" s="6"/>
      <c r="D1342" s="6"/>
      <c r="E1342" s="16" t="str">
        <f>IF($B1342="","",IFERROR(INDEX(Services!$C$2:$C$120,MATCH($B1342,Services!$D$2:$D$120,0)),""))</f>
        <v/>
      </c>
      <c r="F1342" s="19"/>
      <c r="G1342" s="9" t="str">
        <f t="shared" si="20"/>
        <v/>
      </c>
      <c r="H1342" s="15" t="str">
        <f>IF($B1342="","",IFERROR(INDEX(Services!$A$2:$A$120,MATCH($B1342,Services!$D$2:$D$120,0)),""))</f>
        <v/>
      </c>
      <c r="I1342" s="19"/>
      <c r="J1342" s="15" t="str">
        <f>IF($B1342="","",IFERROR(INDEX(Services!$E$2:$E$120,MATCH($B1342,Services!$D$2:$D$120,0)),""))</f>
        <v/>
      </c>
    </row>
    <row r="1343" spans="1:10" x14ac:dyDescent="0.3">
      <c r="A1343" s="18"/>
      <c r="B1343" s="6"/>
      <c r="C1343" s="6"/>
      <c r="D1343" s="6"/>
      <c r="E1343" s="16" t="str">
        <f>IF($B1343="","",IFERROR(INDEX(Services!$C$2:$C$120,MATCH($B1343,Services!$D$2:$D$120,0)),""))</f>
        <v/>
      </c>
      <c r="F1343" s="19"/>
      <c r="G1343" s="9" t="str">
        <f t="shared" si="20"/>
        <v/>
      </c>
      <c r="H1343" s="15" t="str">
        <f>IF($B1343="","",IFERROR(INDEX(Services!$A$2:$A$120,MATCH($B1343,Services!$D$2:$D$120,0)),""))</f>
        <v/>
      </c>
      <c r="I1343" s="19"/>
      <c r="J1343" s="15" t="str">
        <f>IF($B1343="","",IFERROR(INDEX(Services!$E$2:$E$120,MATCH($B1343,Services!$D$2:$D$120,0)),""))</f>
        <v/>
      </c>
    </row>
    <row r="1344" spans="1:10" x14ac:dyDescent="0.3">
      <c r="A1344" s="18"/>
      <c r="B1344" s="6"/>
      <c r="C1344" s="6"/>
      <c r="D1344" s="6"/>
      <c r="E1344" s="16" t="str">
        <f>IF($B1344="","",IFERROR(INDEX(Services!$C$2:$C$120,MATCH($B1344,Services!$D$2:$D$120,0)),""))</f>
        <v/>
      </c>
      <c r="F1344" s="19"/>
      <c r="G1344" s="9" t="str">
        <f t="shared" si="20"/>
        <v/>
      </c>
      <c r="H1344" s="15" t="str">
        <f>IF($B1344="","",IFERROR(INDEX(Services!$A$2:$A$120,MATCH($B1344,Services!$D$2:$D$120,0)),""))</f>
        <v/>
      </c>
      <c r="I1344" s="19"/>
      <c r="J1344" s="15" t="str">
        <f>IF($B1344="","",IFERROR(INDEX(Services!$E$2:$E$120,MATCH($B1344,Services!$D$2:$D$120,0)),""))</f>
        <v/>
      </c>
    </row>
    <row r="1345" spans="1:10" x14ac:dyDescent="0.3">
      <c r="A1345" s="18"/>
      <c r="B1345" s="6"/>
      <c r="C1345" s="6"/>
      <c r="D1345" s="6"/>
      <c r="E1345" s="16" t="str">
        <f>IF($B1345="","",IFERROR(INDEX(Services!$C$2:$C$120,MATCH($B1345,Services!$D$2:$D$120,0)),""))</f>
        <v/>
      </c>
      <c r="F1345" s="19"/>
      <c r="G1345" s="9" t="str">
        <f t="shared" si="20"/>
        <v/>
      </c>
      <c r="H1345" s="15" t="str">
        <f>IF($B1345="","",IFERROR(INDEX(Services!$A$2:$A$120,MATCH($B1345,Services!$D$2:$D$120,0)),""))</f>
        <v/>
      </c>
      <c r="I1345" s="19"/>
      <c r="J1345" s="15" t="str">
        <f>IF($B1345="","",IFERROR(INDEX(Services!$E$2:$E$120,MATCH($B1345,Services!$D$2:$D$120,0)),""))</f>
        <v/>
      </c>
    </row>
    <row r="1346" spans="1:10" x14ac:dyDescent="0.3">
      <c r="A1346" s="18"/>
      <c r="B1346" s="6"/>
      <c r="C1346" s="6"/>
      <c r="D1346" s="6"/>
      <c r="E1346" s="16" t="str">
        <f>IF($B1346="","",IFERROR(INDEX(Services!$C$2:$C$120,MATCH($B1346,Services!$D$2:$D$120,0)),""))</f>
        <v/>
      </c>
      <c r="F1346" s="19"/>
      <c r="G1346" s="9" t="str">
        <f t="shared" ref="G1346:G1409" si="21">IF(OR($B1346="",NOT(ISNUMBER($E1346))),"",$E1346-IF($F1346="",0,$F1346))</f>
        <v/>
      </c>
      <c r="H1346" s="15" t="str">
        <f>IF($B1346="","",IFERROR(INDEX(Services!$A$2:$A$120,MATCH($B1346,Services!$D$2:$D$120,0)),""))</f>
        <v/>
      </c>
      <c r="I1346" s="19"/>
      <c r="J1346" s="15" t="str">
        <f>IF($B1346="","",IFERROR(INDEX(Services!$E$2:$E$120,MATCH($B1346,Services!$D$2:$D$120,0)),""))</f>
        <v/>
      </c>
    </row>
    <row r="1347" spans="1:10" x14ac:dyDescent="0.3">
      <c r="A1347" s="18"/>
      <c r="B1347" s="6"/>
      <c r="C1347" s="6"/>
      <c r="D1347" s="6"/>
      <c r="E1347" s="16" t="str">
        <f>IF($B1347="","",IFERROR(INDEX(Services!$C$2:$C$120,MATCH($B1347,Services!$D$2:$D$120,0)),""))</f>
        <v/>
      </c>
      <c r="F1347" s="19"/>
      <c r="G1347" s="9" t="str">
        <f t="shared" si="21"/>
        <v/>
      </c>
      <c r="H1347" s="15" t="str">
        <f>IF($B1347="","",IFERROR(INDEX(Services!$A$2:$A$120,MATCH($B1347,Services!$D$2:$D$120,0)),""))</f>
        <v/>
      </c>
      <c r="I1347" s="19"/>
      <c r="J1347" s="15" t="str">
        <f>IF($B1347="","",IFERROR(INDEX(Services!$E$2:$E$120,MATCH($B1347,Services!$D$2:$D$120,0)),""))</f>
        <v/>
      </c>
    </row>
    <row r="1348" spans="1:10" x14ac:dyDescent="0.3">
      <c r="A1348" s="18"/>
      <c r="B1348" s="6"/>
      <c r="C1348" s="6"/>
      <c r="D1348" s="6"/>
      <c r="E1348" s="16" t="str">
        <f>IF($B1348="","",IFERROR(INDEX(Services!$C$2:$C$120,MATCH($B1348,Services!$D$2:$D$120,0)),""))</f>
        <v/>
      </c>
      <c r="F1348" s="19"/>
      <c r="G1348" s="9" t="str">
        <f t="shared" si="21"/>
        <v/>
      </c>
      <c r="H1348" s="15" t="str">
        <f>IF($B1348="","",IFERROR(INDEX(Services!$A$2:$A$120,MATCH($B1348,Services!$D$2:$D$120,0)),""))</f>
        <v/>
      </c>
      <c r="I1348" s="19"/>
      <c r="J1348" s="15" t="str">
        <f>IF($B1348="","",IFERROR(INDEX(Services!$E$2:$E$120,MATCH($B1348,Services!$D$2:$D$120,0)),""))</f>
        <v/>
      </c>
    </row>
    <row r="1349" spans="1:10" x14ac:dyDescent="0.3">
      <c r="A1349" s="18"/>
      <c r="B1349" s="6"/>
      <c r="C1349" s="6"/>
      <c r="D1349" s="6"/>
      <c r="E1349" s="16" t="str">
        <f>IF($B1349="","",IFERROR(INDEX(Services!$C$2:$C$120,MATCH($B1349,Services!$D$2:$D$120,0)),""))</f>
        <v/>
      </c>
      <c r="F1349" s="19"/>
      <c r="G1349" s="9" t="str">
        <f t="shared" si="21"/>
        <v/>
      </c>
      <c r="H1349" s="15" t="str">
        <f>IF($B1349="","",IFERROR(INDEX(Services!$A$2:$A$120,MATCH($B1349,Services!$D$2:$D$120,0)),""))</f>
        <v/>
      </c>
      <c r="I1349" s="19"/>
      <c r="J1349" s="15" t="str">
        <f>IF($B1349="","",IFERROR(INDEX(Services!$E$2:$E$120,MATCH($B1349,Services!$D$2:$D$120,0)),""))</f>
        <v/>
      </c>
    </row>
    <row r="1350" spans="1:10" x14ac:dyDescent="0.3">
      <c r="A1350" s="18"/>
      <c r="B1350" s="6"/>
      <c r="C1350" s="6"/>
      <c r="D1350" s="6"/>
      <c r="E1350" s="16" t="str">
        <f>IF($B1350="","",IFERROR(INDEX(Services!$C$2:$C$120,MATCH($B1350,Services!$D$2:$D$120,0)),""))</f>
        <v/>
      </c>
      <c r="F1350" s="19"/>
      <c r="G1350" s="9" t="str">
        <f t="shared" si="21"/>
        <v/>
      </c>
      <c r="H1350" s="15" t="str">
        <f>IF($B1350="","",IFERROR(INDEX(Services!$A$2:$A$120,MATCH($B1350,Services!$D$2:$D$120,0)),""))</f>
        <v/>
      </c>
      <c r="I1350" s="19"/>
      <c r="J1350" s="15" t="str">
        <f>IF($B1350="","",IFERROR(INDEX(Services!$E$2:$E$120,MATCH($B1350,Services!$D$2:$D$120,0)),""))</f>
        <v/>
      </c>
    </row>
    <row r="1351" spans="1:10" x14ac:dyDescent="0.3">
      <c r="A1351" s="18"/>
      <c r="B1351" s="6"/>
      <c r="C1351" s="6"/>
      <c r="D1351" s="6"/>
      <c r="E1351" s="16" t="str">
        <f>IF($B1351="","",IFERROR(INDEX(Services!$C$2:$C$120,MATCH($B1351,Services!$D$2:$D$120,0)),""))</f>
        <v/>
      </c>
      <c r="F1351" s="19"/>
      <c r="G1351" s="9" t="str">
        <f t="shared" si="21"/>
        <v/>
      </c>
      <c r="H1351" s="15" t="str">
        <f>IF($B1351="","",IFERROR(INDEX(Services!$A$2:$A$120,MATCH($B1351,Services!$D$2:$D$120,0)),""))</f>
        <v/>
      </c>
      <c r="I1351" s="19"/>
      <c r="J1351" s="15" t="str">
        <f>IF($B1351="","",IFERROR(INDEX(Services!$E$2:$E$120,MATCH($B1351,Services!$D$2:$D$120,0)),""))</f>
        <v/>
      </c>
    </row>
    <row r="1352" spans="1:10" x14ac:dyDescent="0.3">
      <c r="A1352" s="18"/>
      <c r="B1352" s="6"/>
      <c r="C1352" s="6"/>
      <c r="D1352" s="6"/>
      <c r="E1352" s="16" t="str">
        <f>IF($B1352="","",IFERROR(INDEX(Services!$C$2:$C$120,MATCH($B1352,Services!$D$2:$D$120,0)),""))</f>
        <v/>
      </c>
      <c r="F1352" s="19"/>
      <c r="G1352" s="9" t="str">
        <f t="shared" si="21"/>
        <v/>
      </c>
      <c r="H1352" s="15" t="str">
        <f>IF($B1352="","",IFERROR(INDEX(Services!$A$2:$A$120,MATCH($B1352,Services!$D$2:$D$120,0)),""))</f>
        <v/>
      </c>
      <c r="I1352" s="19"/>
      <c r="J1352" s="15" t="str">
        <f>IF($B1352="","",IFERROR(INDEX(Services!$E$2:$E$120,MATCH($B1352,Services!$D$2:$D$120,0)),""))</f>
        <v/>
      </c>
    </row>
    <row r="1353" spans="1:10" x14ac:dyDescent="0.3">
      <c r="A1353" s="18"/>
      <c r="B1353" s="6"/>
      <c r="C1353" s="6"/>
      <c r="D1353" s="6"/>
      <c r="E1353" s="16" t="str">
        <f>IF($B1353="","",IFERROR(INDEX(Services!$C$2:$C$120,MATCH($B1353,Services!$D$2:$D$120,0)),""))</f>
        <v/>
      </c>
      <c r="F1353" s="19"/>
      <c r="G1353" s="9" t="str">
        <f t="shared" si="21"/>
        <v/>
      </c>
      <c r="H1353" s="15" t="str">
        <f>IF($B1353="","",IFERROR(INDEX(Services!$A$2:$A$120,MATCH($B1353,Services!$D$2:$D$120,0)),""))</f>
        <v/>
      </c>
      <c r="I1353" s="19"/>
      <c r="J1353" s="15" t="str">
        <f>IF($B1353="","",IFERROR(INDEX(Services!$E$2:$E$120,MATCH($B1353,Services!$D$2:$D$120,0)),""))</f>
        <v/>
      </c>
    </row>
    <row r="1354" spans="1:10" x14ac:dyDescent="0.3">
      <c r="A1354" s="18"/>
      <c r="B1354" s="6"/>
      <c r="C1354" s="6"/>
      <c r="D1354" s="6"/>
      <c r="E1354" s="16" t="str">
        <f>IF($B1354="","",IFERROR(INDEX(Services!$C$2:$C$120,MATCH($B1354,Services!$D$2:$D$120,0)),""))</f>
        <v/>
      </c>
      <c r="F1354" s="19"/>
      <c r="G1354" s="9" t="str">
        <f t="shared" si="21"/>
        <v/>
      </c>
      <c r="H1354" s="15" t="str">
        <f>IF($B1354="","",IFERROR(INDEX(Services!$A$2:$A$120,MATCH($B1354,Services!$D$2:$D$120,0)),""))</f>
        <v/>
      </c>
      <c r="I1354" s="19"/>
      <c r="J1354" s="15" t="str">
        <f>IF($B1354="","",IFERROR(INDEX(Services!$E$2:$E$120,MATCH($B1354,Services!$D$2:$D$120,0)),""))</f>
        <v/>
      </c>
    </row>
    <row r="1355" spans="1:10" x14ac:dyDescent="0.3">
      <c r="A1355" s="18"/>
      <c r="B1355" s="6"/>
      <c r="C1355" s="6"/>
      <c r="D1355" s="6"/>
      <c r="E1355" s="16" t="str">
        <f>IF($B1355="","",IFERROR(INDEX(Services!$C$2:$C$120,MATCH($B1355,Services!$D$2:$D$120,0)),""))</f>
        <v/>
      </c>
      <c r="F1355" s="19"/>
      <c r="G1355" s="9" t="str">
        <f t="shared" si="21"/>
        <v/>
      </c>
      <c r="H1355" s="15" t="str">
        <f>IF($B1355="","",IFERROR(INDEX(Services!$A$2:$A$120,MATCH($B1355,Services!$D$2:$D$120,0)),""))</f>
        <v/>
      </c>
      <c r="I1355" s="19"/>
      <c r="J1355" s="15" t="str">
        <f>IF($B1355="","",IFERROR(INDEX(Services!$E$2:$E$120,MATCH($B1355,Services!$D$2:$D$120,0)),""))</f>
        <v/>
      </c>
    </row>
    <row r="1356" spans="1:10" x14ac:dyDescent="0.3">
      <c r="A1356" s="18"/>
      <c r="B1356" s="6"/>
      <c r="C1356" s="6"/>
      <c r="D1356" s="6"/>
      <c r="E1356" s="16" t="str">
        <f>IF($B1356="","",IFERROR(INDEX(Services!$C$2:$C$120,MATCH($B1356,Services!$D$2:$D$120,0)),""))</f>
        <v/>
      </c>
      <c r="F1356" s="19"/>
      <c r="G1356" s="9" t="str">
        <f t="shared" si="21"/>
        <v/>
      </c>
      <c r="H1356" s="15" t="str">
        <f>IF($B1356="","",IFERROR(INDEX(Services!$A$2:$A$120,MATCH($B1356,Services!$D$2:$D$120,0)),""))</f>
        <v/>
      </c>
      <c r="I1356" s="19"/>
      <c r="J1356" s="15" t="str">
        <f>IF($B1356="","",IFERROR(INDEX(Services!$E$2:$E$120,MATCH($B1356,Services!$D$2:$D$120,0)),""))</f>
        <v/>
      </c>
    </row>
    <row r="1357" spans="1:10" x14ac:dyDescent="0.3">
      <c r="A1357" s="18"/>
      <c r="B1357" s="6"/>
      <c r="C1357" s="6"/>
      <c r="D1357" s="6"/>
      <c r="E1357" s="16" t="str">
        <f>IF($B1357="","",IFERROR(INDEX(Services!$C$2:$C$120,MATCH($B1357,Services!$D$2:$D$120,0)),""))</f>
        <v/>
      </c>
      <c r="F1357" s="19"/>
      <c r="G1357" s="9" t="str">
        <f t="shared" si="21"/>
        <v/>
      </c>
      <c r="H1357" s="15" t="str">
        <f>IF($B1357="","",IFERROR(INDEX(Services!$A$2:$A$120,MATCH($B1357,Services!$D$2:$D$120,0)),""))</f>
        <v/>
      </c>
      <c r="I1357" s="19"/>
      <c r="J1357" s="15" t="str">
        <f>IF($B1357="","",IFERROR(INDEX(Services!$E$2:$E$120,MATCH($B1357,Services!$D$2:$D$120,0)),""))</f>
        <v/>
      </c>
    </row>
    <row r="1358" spans="1:10" x14ac:dyDescent="0.3">
      <c r="A1358" s="18"/>
      <c r="B1358" s="6"/>
      <c r="C1358" s="6"/>
      <c r="D1358" s="6"/>
      <c r="E1358" s="16" t="str">
        <f>IF($B1358="","",IFERROR(INDEX(Services!$C$2:$C$120,MATCH($B1358,Services!$D$2:$D$120,0)),""))</f>
        <v/>
      </c>
      <c r="F1358" s="19"/>
      <c r="G1358" s="9" t="str">
        <f t="shared" si="21"/>
        <v/>
      </c>
      <c r="H1358" s="15" t="str">
        <f>IF($B1358="","",IFERROR(INDEX(Services!$A$2:$A$120,MATCH($B1358,Services!$D$2:$D$120,0)),""))</f>
        <v/>
      </c>
      <c r="I1358" s="19"/>
      <c r="J1358" s="15" t="str">
        <f>IF($B1358="","",IFERROR(INDEX(Services!$E$2:$E$120,MATCH($B1358,Services!$D$2:$D$120,0)),""))</f>
        <v/>
      </c>
    </row>
    <row r="1359" spans="1:10" x14ac:dyDescent="0.3">
      <c r="A1359" s="18"/>
      <c r="B1359" s="6"/>
      <c r="C1359" s="6"/>
      <c r="D1359" s="6"/>
      <c r="E1359" s="16" t="str">
        <f>IF($B1359="","",IFERROR(INDEX(Services!$C$2:$C$120,MATCH($B1359,Services!$D$2:$D$120,0)),""))</f>
        <v/>
      </c>
      <c r="F1359" s="19"/>
      <c r="G1359" s="9" t="str">
        <f t="shared" si="21"/>
        <v/>
      </c>
      <c r="H1359" s="15" t="str">
        <f>IF($B1359="","",IFERROR(INDEX(Services!$A$2:$A$120,MATCH($B1359,Services!$D$2:$D$120,0)),""))</f>
        <v/>
      </c>
      <c r="I1359" s="19"/>
      <c r="J1359" s="15" t="str">
        <f>IF($B1359="","",IFERROR(INDEX(Services!$E$2:$E$120,MATCH($B1359,Services!$D$2:$D$120,0)),""))</f>
        <v/>
      </c>
    </row>
    <row r="1360" spans="1:10" x14ac:dyDescent="0.3">
      <c r="A1360" s="18"/>
      <c r="B1360" s="6"/>
      <c r="C1360" s="6"/>
      <c r="D1360" s="6"/>
      <c r="E1360" s="16" t="str">
        <f>IF($B1360="","",IFERROR(INDEX(Services!$C$2:$C$120,MATCH($B1360,Services!$D$2:$D$120,0)),""))</f>
        <v/>
      </c>
      <c r="F1360" s="19"/>
      <c r="G1360" s="9" t="str">
        <f t="shared" si="21"/>
        <v/>
      </c>
      <c r="H1360" s="15" t="str">
        <f>IF($B1360="","",IFERROR(INDEX(Services!$A$2:$A$120,MATCH($B1360,Services!$D$2:$D$120,0)),""))</f>
        <v/>
      </c>
      <c r="I1360" s="19"/>
      <c r="J1360" s="15" t="str">
        <f>IF($B1360="","",IFERROR(INDEX(Services!$E$2:$E$120,MATCH($B1360,Services!$D$2:$D$120,0)),""))</f>
        <v/>
      </c>
    </row>
    <row r="1361" spans="1:10" x14ac:dyDescent="0.3">
      <c r="A1361" s="18"/>
      <c r="B1361" s="6"/>
      <c r="C1361" s="6"/>
      <c r="D1361" s="6"/>
      <c r="E1361" s="16" t="str">
        <f>IF($B1361="","",IFERROR(INDEX(Services!$C$2:$C$120,MATCH($B1361,Services!$D$2:$D$120,0)),""))</f>
        <v/>
      </c>
      <c r="F1361" s="19"/>
      <c r="G1361" s="9" t="str">
        <f t="shared" si="21"/>
        <v/>
      </c>
      <c r="H1361" s="15" t="str">
        <f>IF($B1361="","",IFERROR(INDEX(Services!$A$2:$A$120,MATCH($B1361,Services!$D$2:$D$120,0)),""))</f>
        <v/>
      </c>
      <c r="I1361" s="19"/>
      <c r="J1361" s="15" t="str">
        <f>IF($B1361="","",IFERROR(INDEX(Services!$E$2:$E$120,MATCH($B1361,Services!$D$2:$D$120,0)),""))</f>
        <v/>
      </c>
    </row>
    <row r="1362" spans="1:10" x14ac:dyDescent="0.3">
      <c r="A1362" s="18"/>
      <c r="B1362" s="6"/>
      <c r="C1362" s="6"/>
      <c r="D1362" s="6"/>
      <c r="E1362" s="16" t="str">
        <f>IF($B1362="","",IFERROR(INDEX(Services!$C$2:$C$120,MATCH($B1362,Services!$D$2:$D$120,0)),""))</f>
        <v/>
      </c>
      <c r="F1362" s="19"/>
      <c r="G1362" s="9" t="str">
        <f t="shared" si="21"/>
        <v/>
      </c>
      <c r="H1362" s="15" t="str">
        <f>IF($B1362="","",IFERROR(INDEX(Services!$A$2:$A$120,MATCH($B1362,Services!$D$2:$D$120,0)),""))</f>
        <v/>
      </c>
      <c r="I1362" s="19"/>
      <c r="J1362" s="15" t="str">
        <f>IF($B1362="","",IFERROR(INDEX(Services!$E$2:$E$120,MATCH($B1362,Services!$D$2:$D$120,0)),""))</f>
        <v/>
      </c>
    </row>
    <row r="1363" spans="1:10" x14ac:dyDescent="0.3">
      <c r="A1363" s="18"/>
      <c r="B1363" s="6"/>
      <c r="C1363" s="6"/>
      <c r="D1363" s="6"/>
      <c r="E1363" s="16" t="str">
        <f>IF($B1363="","",IFERROR(INDEX(Services!$C$2:$C$120,MATCH($B1363,Services!$D$2:$D$120,0)),""))</f>
        <v/>
      </c>
      <c r="F1363" s="19"/>
      <c r="G1363" s="9" t="str">
        <f t="shared" si="21"/>
        <v/>
      </c>
      <c r="H1363" s="15" t="str">
        <f>IF($B1363="","",IFERROR(INDEX(Services!$A$2:$A$120,MATCH($B1363,Services!$D$2:$D$120,0)),""))</f>
        <v/>
      </c>
      <c r="I1363" s="19"/>
      <c r="J1363" s="15" t="str">
        <f>IF($B1363="","",IFERROR(INDEX(Services!$E$2:$E$120,MATCH($B1363,Services!$D$2:$D$120,0)),""))</f>
        <v/>
      </c>
    </row>
    <row r="1364" spans="1:10" x14ac:dyDescent="0.3">
      <c r="A1364" s="18"/>
      <c r="B1364" s="6"/>
      <c r="C1364" s="6"/>
      <c r="D1364" s="6"/>
      <c r="E1364" s="16" t="str">
        <f>IF($B1364="","",IFERROR(INDEX(Services!$C$2:$C$120,MATCH($B1364,Services!$D$2:$D$120,0)),""))</f>
        <v/>
      </c>
      <c r="F1364" s="19"/>
      <c r="G1364" s="9" t="str">
        <f t="shared" si="21"/>
        <v/>
      </c>
      <c r="H1364" s="15" t="str">
        <f>IF($B1364="","",IFERROR(INDEX(Services!$A$2:$A$120,MATCH($B1364,Services!$D$2:$D$120,0)),""))</f>
        <v/>
      </c>
      <c r="I1364" s="19"/>
      <c r="J1364" s="15" t="str">
        <f>IF($B1364="","",IFERROR(INDEX(Services!$E$2:$E$120,MATCH($B1364,Services!$D$2:$D$120,0)),""))</f>
        <v/>
      </c>
    </row>
    <row r="1365" spans="1:10" x14ac:dyDescent="0.3">
      <c r="A1365" s="18"/>
      <c r="B1365" s="6"/>
      <c r="C1365" s="6"/>
      <c r="D1365" s="6"/>
      <c r="E1365" s="16" t="str">
        <f>IF($B1365="","",IFERROR(INDEX(Services!$C$2:$C$120,MATCH($B1365,Services!$D$2:$D$120,0)),""))</f>
        <v/>
      </c>
      <c r="F1365" s="19"/>
      <c r="G1365" s="9" t="str">
        <f t="shared" si="21"/>
        <v/>
      </c>
      <c r="H1365" s="15" t="str">
        <f>IF($B1365="","",IFERROR(INDEX(Services!$A$2:$A$120,MATCH($B1365,Services!$D$2:$D$120,0)),""))</f>
        <v/>
      </c>
      <c r="I1365" s="19"/>
      <c r="J1365" s="15" t="str">
        <f>IF($B1365="","",IFERROR(INDEX(Services!$E$2:$E$120,MATCH($B1365,Services!$D$2:$D$120,0)),""))</f>
        <v/>
      </c>
    </row>
    <row r="1366" spans="1:10" x14ac:dyDescent="0.3">
      <c r="A1366" s="18"/>
      <c r="B1366" s="6"/>
      <c r="C1366" s="6"/>
      <c r="D1366" s="6"/>
      <c r="E1366" s="16" t="str">
        <f>IF($B1366="","",IFERROR(INDEX(Services!$C$2:$C$120,MATCH($B1366,Services!$D$2:$D$120,0)),""))</f>
        <v/>
      </c>
      <c r="F1366" s="19"/>
      <c r="G1366" s="9" t="str">
        <f t="shared" si="21"/>
        <v/>
      </c>
      <c r="H1366" s="15" t="str">
        <f>IF($B1366="","",IFERROR(INDEX(Services!$A$2:$A$120,MATCH($B1366,Services!$D$2:$D$120,0)),""))</f>
        <v/>
      </c>
      <c r="I1366" s="19"/>
      <c r="J1366" s="15" t="str">
        <f>IF($B1366="","",IFERROR(INDEX(Services!$E$2:$E$120,MATCH($B1366,Services!$D$2:$D$120,0)),""))</f>
        <v/>
      </c>
    </row>
    <row r="1367" spans="1:10" x14ac:dyDescent="0.3">
      <c r="A1367" s="18"/>
      <c r="B1367" s="6"/>
      <c r="C1367" s="6"/>
      <c r="D1367" s="6"/>
      <c r="E1367" s="16" t="str">
        <f>IF($B1367="","",IFERROR(INDEX(Services!$C$2:$C$120,MATCH($B1367,Services!$D$2:$D$120,0)),""))</f>
        <v/>
      </c>
      <c r="F1367" s="19"/>
      <c r="G1367" s="9" t="str">
        <f t="shared" si="21"/>
        <v/>
      </c>
      <c r="H1367" s="15" t="str">
        <f>IF($B1367="","",IFERROR(INDEX(Services!$A$2:$A$120,MATCH($B1367,Services!$D$2:$D$120,0)),""))</f>
        <v/>
      </c>
      <c r="I1367" s="19"/>
      <c r="J1367" s="15" t="str">
        <f>IF($B1367="","",IFERROR(INDEX(Services!$E$2:$E$120,MATCH($B1367,Services!$D$2:$D$120,0)),""))</f>
        <v/>
      </c>
    </row>
    <row r="1368" spans="1:10" x14ac:dyDescent="0.3">
      <c r="A1368" s="18"/>
      <c r="B1368" s="6"/>
      <c r="C1368" s="6"/>
      <c r="D1368" s="6"/>
      <c r="E1368" s="16" t="str">
        <f>IF($B1368="","",IFERROR(INDEX(Services!$C$2:$C$120,MATCH($B1368,Services!$D$2:$D$120,0)),""))</f>
        <v/>
      </c>
      <c r="F1368" s="19"/>
      <c r="G1368" s="9" t="str">
        <f t="shared" si="21"/>
        <v/>
      </c>
      <c r="H1368" s="15" t="str">
        <f>IF($B1368="","",IFERROR(INDEX(Services!$A$2:$A$120,MATCH($B1368,Services!$D$2:$D$120,0)),""))</f>
        <v/>
      </c>
      <c r="I1368" s="19"/>
      <c r="J1368" s="15" t="str">
        <f>IF($B1368="","",IFERROR(INDEX(Services!$E$2:$E$120,MATCH($B1368,Services!$D$2:$D$120,0)),""))</f>
        <v/>
      </c>
    </row>
    <row r="1369" spans="1:10" x14ac:dyDescent="0.3">
      <c r="A1369" s="18"/>
      <c r="B1369" s="6"/>
      <c r="C1369" s="6"/>
      <c r="D1369" s="6"/>
      <c r="E1369" s="16" t="str">
        <f>IF($B1369="","",IFERROR(INDEX(Services!$C$2:$C$120,MATCH($B1369,Services!$D$2:$D$120,0)),""))</f>
        <v/>
      </c>
      <c r="F1369" s="19"/>
      <c r="G1369" s="9" t="str">
        <f t="shared" si="21"/>
        <v/>
      </c>
      <c r="H1369" s="15" t="str">
        <f>IF($B1369="","",IFERROR(INDEX(Services!$A$2:$A$120,MATCH($B1369,Services!$D$2:$D$120,0)),""))</f>
        <v/>
      </c>
      <c r="I1369" s="19"/>
      <c r="J1369" s="15" t="str">
        <f>IF($B1369="","",IFERROR(INDEX(Services!$E$2:$E$120,MATCH($B1369,Services!$D$2:$D$120,0)),""))</f>
        <v/>
      </c>
    </row>
    <row r="1370" spans="1:10" x14ac:dyDescent="0.3">
      <c r="A1370" s="18"/>
      <c r="B1370" s="6"/>
      <c r="C1370" s="6"/>
      <c r="D1370" s="6"/>
      <c r="E1370" s="16" t="str">
        <f>IF($B1370="","",IFERROR(INDEX(Services!$C$2:$C$120,MATCH($B1370,Services!$D$2:$D$120,0)),""))</f>
        <v/>
      </c>
      <c r="F1370" s="19"/>
      <c r="G1370" s="9" t="str">
        <f t="shared" si="21"/>
        <v/>
      </c>
      <c r="H1370" s="15" t="str">
        <f>IF($B1370="","",IFERROR(INDEX(Services!$A$2:$A$120,MATCH($B1370,Services!$D$2:$D$120,0)),""))</f>
        <v/>
      </c>
      <c r="I1370" s="19"/>
      <c r="J1370" s="15" t="str">
        <f>IF($B1370="","",IFERROR(INDEX(Services!$E$2:$E$120,MATCH($B1370,Services!$D$2:$D$120,0)),""))</f>
        <v/>
      </c>
    </row>
    <row r="1371" spans="1:10" x14ac:dyDescent="0.3">
      <c r="A1371" s="18"/>
      <c r="B1371" s="6"/>
      <c r="C1371" s="6"/>
      <c r="D1371" s="6"/>
      <c r="E1371" s="16" t="str">
        <f>IF($B1371="","",IFERROR(INDEX(Services!$C$2:$C$120,MATCH($B1371,Services!$D$2:$D$120,0)),""))</f>
        <v/>
      </c>
      <c r="F1371" s="19"/>
      <c r="G1371" s="9" t="str">
        <f t="shared" si="21"/>
        <v/>
      </c>
      <c r="H1371" s="15" t="str">
        <f>IF($B1371="","",IFERROR(INDEX(Services!$A$2:$A$120,MATCH($B1371,Services!$D$2:$D$120,0)),""))</f>
        <v/>
      </c>
      <c r="I1371" s="19"/>
      <c r="J1371" s="15" t="str">
        <f>IF($B1371="","",IFERROR(INDEX(Services!$E$2:$E$120,MATCH($B1371,Services!$D$2:$D$120,0)),""))</f>
        <v/>
      </c>
    </row>
    <row r="1372" spans="1:10" x14ac:dyDescent="0.3">
      <c r="A1372" s="18"/>
      <c r="B1372" s="6"/>
      <c r="C1372" s="6"/>
      <c r="D1372" s="6"/>
      <c r="E1372" s="16" t="str">
        <f>IF($B1372="","",IFERROR(INDEX(Services!$C$2:$C$120,MATCH($B1372,Services!$D$2:$D$120,0)),""))</f>
        <v/>
      </c>
      <c r="F1372" s="19"/>
      <c r="G1372" s="9" t="str">
        <f t="shared" si="21"/>
        <v/>
      </c>
      <c r="H1372" s="15" t="str">
        <f>IF($B1372="","",IFERROR(INDEX(Services!$A$2:$A$120,MATCH($B1372,Services!$D$2:$D$120,0)),""))</f>
        <v/>
      </c>
      <c r="I1372" s="19"/>
      <c r="J1372" s="15" t="str">
        <f>IF($B1372="","",IFERROR(INDEX(Services!$E$2:$E$120,MATCH($B1372,Services!$D$2:$D$120,0)),""))</f>
        <v/>
      </c>
    </row>
    <row r="1373" spans="1:10" x14ac:dyDescent="0.3">
      <c r="A1373" s="18"/>
      <c r="B1373" s="6"/>
      <c r="C1373" s="6"/>
      <c r="D1373" s="6"/>
      <c r="E1373" s="16" t="str">
        <f>IF($B1373="","",IFERROR(INDEX(Services!$C$2:$C$120,MATCH($B1373,Services!$D$2:$D$120,0)),""))</f>
        <v/>
      </c>
      <c r="F1373" s="19"/>
      <c r="G1373" s="9" t="str">
        <f t="shared" si="21"/>
        <v/>
      </c>
      <c r="H1373" s="15" t="str">
        <f>IF($B1373="","",IFERROR(INDEX(Services!$A$2:$A$120,MATCH($B1373,Services!$D$2:$D$120,0)),""))</f>
        <v/>
      </c>
      <c r="I1373" s="19"/>
      <c r="J1373" s="15" t="str">
        <f>IF($B1373="","",IFERROR(INDEX(Services!$E$2:$E$120,MATCH($B1373,Services!$D$2:$D$120,0)),""))</f>
        <v/>
      </c>
    </row>
    <row r="1374" spans="1:10" x14ac:dyDescent="0.3">
      <c r="A1374" s="18"/>
      <c r="B1374" s="6"/>
      <c r="C1374" s="6"/>
      <c r="D1374" s="6"/>
      <c r="E1374" s="16" t="str">
        <f>IF($B1374="","",IFERROR(INDEX(Services!$C$2:$C$120,MATCH($B1374,Services!$D$2:$D$120,0)),""))</f>
        <v/>
      </c>
      <c r="F1374" s="19"/>
      <c r="G1374" s="9" t="str">
        <f t="shared" si="21"/>
        <v/>
      </c>
      <c r="H1374" s="15" t="str">
        <f>IF($B1374="","",IFERROR(INDEX(Services!$A$2:$A$120,MATCH($B1374,Services!$D$2:$D$120,0)),""))</f>
        <v/>
      </c>
      <c r="I1374" s="19"/>
      <c r="J1374" s="15" t="str">
        <f>IF($B1374="","",IFERROR(INDEX(Services!$E$2:$E$120,MATCH($B1374,Services!$D$2:$D$120,0)),""))</f>
        <v/>
      </c>
    </row>
    <row r="1375" spans="1:10" x14ac:dyDescent="0.3">
      <c r="A1375" s="18"/>
      <c r="B1375" s="6"/>
      <c r="C1375" s="6"/>
      <c r="D1375" s="6"/>
      <c r="E1375" s="16" t="str">
        <f>IF($B1375="","",IFERROR(INDEX(Services!$C$2:$C$120,MATCH($B1375,Services!$D$2:$D$120,0)),""))</f>
        <v/>
      </c>
      <c r="F1375" s="19"/>
      <c r="G1375" s="9" t="str">
        <f t="shared" si="21"/>
        <v/>
      </c>
      <c r="H1375" s="15" t="str">
        <f>IF($B1375="","",IFERROR(INDEX(Services!$A$2:$A$120,MATCH($B1375,Services!$D$2:$D$120,0)),""))</f>
        <v/>
      </c>
      <c r="I1375" s="19"/>
      <c r="J1375" s="15" t="str">
        <f>IF($B1375="","",IFERROR(INDEX(Services!$E$2:$E$120,MATCH($B1375,Services!$D$2:$D$120,0)),""))</f>
        <v/>
      </c>
    </row>
    <row r="1376" spans="1:10" x14ac:dyDescent="0.3">
      <c r="A1376" s="18"/>
      <c r="B1376" s="6"/>
      <c r="C1376" s="6"/>
      <c r="D1376" s="6"/>
      <c r="E1376" s="16" t="str">
        <f>IF($B1376="","",IFERROR(INDEX(Services!$C$2:$C$120,MATCH($B1376,Services!$D$2:$D$120,0)),""))</f>
        <v/>
      </c>
      <c r="F1376" s="19"/>
      <c r="G1376" s="9" t="str">
        <f t="shared" si="21"/>
        <v/>
      </c>
      <c r="H1376" s="15" t="str">
        <f>IF($B1376="","",IFERROR(INDEX(Services!$A$2:$A$120,MATCH($B1376,Services!$D$2:$D$120,0)),""))</f>
        <v/>
      </c>
      <c r="I1376" s="19"/>
      <c r="J1376" s="15" t="str">
        <f>IF($B1376="","",IFERROR(INDEX(Services!$E$2:$E$120,MATCH($B1376,Services!$D$2:$D$120,0)),""))</f>
        <v/>
      </c>
    </row>
    <row r="1377" spans="1:10" x14ac:dyDescent="0.3">
      <c r="A1377" s="18"/>
      <c r="B1377" s="6"/>
      <c r="C1377" s="6"/>
      <c r="D1377" s="6"/>
      <c r="E1377" s="16" t="str">
        <f>IF($B1377="","",IFERROR(INDEX(Services!$C$2:$C$120,MATCH($B1377,Services!$D$2:$D$120,0)),""))</f>
        <v/>
      </c>
      <c r="F1377" s="19"/>
      <c r="G1377" s="9" t="str">
        <f t="shared" si="21"/>
        <v/>
      </c>
      <c r="H1377" s="15" t="str">
        <f>IF($B1377="","",IFERROR(INDEX(Services!$A$2:$A$120,MATCH($B1377,Services!$D$2:$D$120,0)),""))</f>
        <v/>
      </c>
      <c r="I1377" s="19"/>
      <c r="J1377" s="15" t="str">
        <f>IF($B1377="","",IFERROR(INDEX(Services!$E$2:$E$120,MATCH($B1377,Services!$D$2:$D$120,0)),""))</f>
        <v/>
      </c>
    </row>
    <row r="1378" spans="1:10" x14ac:dyDescent="0.3">
      <c r="A1378" s="18"/>
      <c r="B1378" s="6"/>
      <c r="C1378" s="6"/>
      <c r="D1378" s="6"/>
      <c r="E1378" s="16" t="str">
        <f>IF($B1378="","",IFERROR(INDEX(Services!$C$2:$C$120,MATCH($B1378,Services!$D$2:$D$120,0)),""))</f>
        <v/>
      </c>
      <c r="F1378" s="19"/>
      <c r="G1378" s="9" t="str">
        <f t="shared" si="21"/>
        <v/>
      </c>
      <c r="H1378" s="15" t="str">
        <f>IF($B1378="","",IFERROR(INDEX(Services!$A$2:$A$120,MATCH($B1378,Services!$D$2:$D$120,0)),""))</f>
        <v/>
      </c>
      <c r="I1378" s="19"/>
      <c r="J1378" s="15" t="str">
        <f>IF($B1378="","",IFERROR(INDEX(Services!$E$2:$E$120,MATCH($B1378,Services!$D$2:$D$120,0)),""))</f>
        <v/>
      </c>
    </row>
    <row r="1379" spans="1:10" x14ac:dyDescent="0.3">
      <c r="A1379" s="18"/>
      <c r="B1379" s="6"/>
      <c r="C1379" s="6"/>
      <c r="D1379" s="6"/>
      <c r="E1379" s="16" t="str">
        <f>IF($B1379="","",IFERROR(INDEX(Services!$C$2:$C$120,MATCH($B1379,Services!$D$2:$D$120,0)),""))</f>
        <v/>
      </c>
      <c r="F1379" s="19"/>
      <c r="G1379" s="9" t="str">
        <f t="shared" si="21"/>
        <v/>
      </c>
      <c r="H1379" s="15" t="str">
        <f>IF($B1379="","",IFERROR(INDEX(Services!$A$2:$A$120,MATCH($B1379,Services!$D$2:$D$120,0)),""))</f>
        <v/>
      </c>
      <c r="I1379" s="19"/>
      <c r="J1379" s="15" t="str">
        <f>IF($B1379="","",IFERROR(INDEX(Services!$E$2:$E$120,MATCH($B1379,Services!$D$2:$D$120,0)),""))</f>
        <v/>
      </c>
    </row>
    <row r="1380" spans="1:10" x14ac:dyDescent="0.3">
      <c r="A1380" s="18"/>
      <c r="B1380" s="6"/>
      <c r="C1380" s="6"/>
      <c r="D1380" s="6"/>
      <c r="E1380" s="16" t="str">
        <f>IF($B1380="","",IFERROR(INDEX(Services!$C$2:$C$120,MATCH($B1380,Services!$D$2:$D$120,0)),""))</f>
        <v/>
      </c>
      <c r="F1380" s="19"/>
      <c r="G1380" s="9" t="str">
        <f t="shared" si="21"/>
        <v/>
      </c>
      <c r="H1380" s="15" t="str">
        <f>IF($B1380="","",IFERROR(INDEX(Services!$A$2:$A$120,MATCH($B1380,Services!$D$2:$D$120,0)),""))</f>
        <v/>
      </c>
      <c r="I1380" s="19"/>
      <c r="J1380" s="15" t="str">
        <f>IF($B1380="","",IFERROR(INDEX(Services!$E$2:$E$120,MATCH($B1380,Services!$D$2:$D$120,0)),""))</f>
        <v/>
      </c>
    </row>
    <row r="1381" spans="1:10" x14ac:dyDescent="0.3">
      <c r="A1381" s="18"/>
      <c r="B1381" s="6"/>
      <c r="C1381" s="6"/>
      <c r="D1381" s="6"/>
      <c r="E1381" s="16" t="str">
        <f>IF($B1381="","",IFERROR(INDEX(Services!$C$2:$C$120,MATCH($B1381,Services!$D$2:$D$120,0)),""))</f>
        <v/>
      </c>
      <c r="F1381" s="19"/>
      <c r="G1381" s="9" t="str">
        <f t="shared" si="21"/>
        <v/>
      </c>
      <c r="H1381" s="15" t="str">
        <f>IF($B1381="","",IFERROR(INDEX(Services!$A$2:$A$120,MATCH($B1381,Services!$D$2:$D$120,0)),""))</f>
        <v/>
      </c>
      <c r="I1381" s="19"/>
      <c r="J1381" s="15" t="str">
        <f>IF($B1381="","",IFERROR(INDEX(Services!$E$2:$E$120,MATCH($B1381,Services!$D$2:$D$120,0)),""))</f>
        <v/>
      </c>
    </row>
    <row r="1382" spans="1:10" x14ac:dyDescent="0.3">
      <c r="A1382" s="18"/>
      <c r="B1382" s="6"/>
      <c r="C1382" s="6"/>
      <c r="D1382" s="6"/>
      <c r="E1382" s="16" t="str">
        <f>IF($B1382="","",IFERROR(INDEX(Services!$C$2:$C$120,MATCH($B1382,Services!$D$2:$D$120,0)),""))</f>
        <v/>
      </c>
      <c r="F1382" s="19"/>
      <c r="G1382" s="9" t="str">
        <f t="shared" si="21"/>
        <v/>
      </c>
      <c r="H1382" s="15" t="str">
        <f>IF($B1382="","",IFERROR(INDEX(Services!$A$2:$A$120,MATCH($B1382,Services!$D$2:$D$120,0)),""))</f>
        <v/>
      </c>
      <c r="I1382" s="19"/>
      <c r="J1382" s="15" t="str">
        <f>IF($B1382="","",IFERROR(INDEX(Services!$E$2:$E$120,MATCH($B1382,Services!$D$2:$D$120,0)),""))</f>
        <v/>
      </c>
    </row>
    <row r="1383" spans="1:10" x14ac:dyDescent="0.3">
      <c r="A1383" s="18"/>
      <c r="B1383" s="6"/>
      <c r="C1383" s="6"/>
      <c r="D1383" s="6"/>
      <c r="E1383" s="16" t="str">
        <f>IF($B1383="","",IFERROR(INDEX(Services!$C$2:$C$120,MATCH($B1383,Services!$D$2:$D$120,0)),""))</f>
        <v/>
      </c>
      <c r="F1383" s="19"/>
      <c r="G1383" s="9" t="str">
        <f t="shared" si="21"/>
        <v/>
      </c>
      <c r="H1383" s="15" t="str">
        <f>IF($B1383="","",IFERROR(INDEX(Services!$A$2:$A$120,MATCH($B1383,Services!$D$2:$D$120,0)),""))</f>
        <v/>
      </c>
      <c r="I1383" s="19"/>
      <c r="J1383" s="15" t="str">
        <f>IF($B1383="","",IFERROR(INDEX(Services!$E$2:$E$120,MATCH($B1383,Services!$D$2:$D$120,0)),""))</f>
        <v/>
      </c>
    </row>
    <row r="1384" spans="1:10" x14ac:dyDescent="0.3">
      <c r="A1384" s="18"/>
      <c r="B1384" s="6"/>
      <c r="C1384" s="6"/>
      <c r="D1384" s="6"/>
      <c r="E1384" s="16" t="str">
        <f>IF($B1384="","",IFERROR(INDEX(Services!$C$2:$C$120,MATCH($B1384,Services!$D$2:$D$120,0)),""))</f>
        <v/>
      </c>
      <c r="F1384" s="19"/>
      <c r="G1384" s="9" t="str">
        <f t="shared" si="21"/>
        <v/>
      </c>
      <c r="H1384" s="15" t="str">
        <f>IF($B1384="","",IFERROR(INDEX(Services!$A$2:$A$120,MATCH($B1384,Services!$D$2:$D$120,0)),""))</f>
        <v/>
      </c>
      <c r="I1384" s="19"/>
      <c r="J1384" s="15" t="str">
        <f>IF($B1384="","",IFERROR(INDEX(Services!$E$2:$E$120,MATCH($B1384,Services!$D$2:$D$120,0)),""))</f>
        <v/>
      </c>
    </row>
    <row r="1385" spans="1:10" x14ac:dyDescent="0.3">
      <c r="A1385" s="18"/>
      <c r="B1385" s="6"/>
      <c r="C1385" s="6"/>
      <c r="D1385" s="6"/>
      <c r="E1385" s="16" t="str">
        <f>IF($B1385="","",IFERROR(INDEX(Services!$C$2:$C$120,MATCH($B1385,Services!$D$2:$D$120,0)),""))</f>
        <v/>
      </c>
      <c r="F1385" s="19"/>
      <c r="G1385" s="9" t="str">
        <f t="shared" si="21"/>
        <v/>
      </c>
      <c r="H1385" s="15" t="str">
        <f>IF($B1385="","",IFERROR(INDEX(Services!$A$2:$A$120,MATCH($B1385,Services!$D$2:$D$120,0)),""))</f>
        <v/>
      </c>
      <c r="I1385" s="19"/>
      <c r="J1385" s="15" t="str">
        <f>IF($B1385="","",IFERROR(INDEX(Services!$E$2:$E$120,MATCH($B1385,Services!$D$2:$D$120,0)),""))</f>
        <v/>
      </c>
    </row>
    <row r="1386" spans="1:10" x14ac:dyDescent="0.3">
      <c r="A1386" s="18"/>
      <c r="B1386" s="6"/>
      <c r="C1386" s="6"/>
      <c r="D1386" s="6"/>
      <c r="E1386" s="16" t="str">
        <f>IF($B1386="","",IFERROR(INDEX(Services!$C$2:$C$120,MATCH($B1386,Services!$D$2:$D$120,0)),""))</f>
        <v/>
      </c>
      <c r="F1386" s="19"/>
      <c r="G1386" s="9" t="str">
        <f t="shared" si="21"/>
        <v/>
      </c>
      <c r="H1386" s="15" t="str">
        <f>IF($B1386="","",IFERROR(INDEX(Services!$A$2:$A$120,MATCH($B1386,Services!$D$2:$D$120,0)),""))</f>
        <v/>
      </c>
      <c r="I1386" s="19"/>
      <c r="J1386" s="15" t="str">
        <f>IF($B1386="","",IFERROR(INDEX(Services!$E$2:$E$120,MATCH($B1386,Services!$D$2:$D$120,0)),""))</f>
        <v/>
      </c>
    </row>
    <row r="1387" spans="1:10" x14ac:dyDescent="0.3">
      <c r="A1387" s="18"/>
      <c r="B1387" s="6"/>
      <c r="C1387" s="6"/>
      <c r="D1387" s="6"/>
      <c r="E1387" s="16" t="str">
        <f>IF($B1387="","",IFERROR(INDEX(Services!$C$2:$C$120,MATCH($B1387,Services!$D$2:$D$120,0)),""))</f>
        <v/>
      </c>
      <c r="F1387" s="19"/>
      <c r="G1387" s="9" t="str">
        <f t="shared" si="21"/>
        <v/>
      </c>
      <c r="H1387" s="15" t="str">
        <f>IF($B1387="","",IFERROR(INDEX(Services!$A$2:$A$120,MATCH($B1387,Services!$D$2:$D$120,0)),""))</f>
        <v/>
      </c>
      <c r="I1387" s="19"/>
      <c r="J1387" s="15" t="str">
        <f>IF($B1387="","",IFERROR(INDEX(Services!$E$2:$E$120,MATCH($B1387,Services!$D$2:$D$120,0)),""))</f>
        <v/>
      </c>
    </row>
    <row r="1388" spans="1:10" x14ac:dyDescent="0.3">
      <c r="A1388" s="18"/>
      <c r="B1388" s="6"/>
      <c r="C1388" s="6"/>
      <c r="D1388" s="6"/>
      <c r="E1388" s="16" t="str">
        <f>IF($B1388="","",IFERROR(INDEX(Services!$C$2:$C$120,MATCH($B1388,Services!$D$2:$D$120,0)),""))</f>
        <v/>
      </c>
      <c r="F1388" s="19"/>
      <c r="G1388" s="9" t="str">
        <f t="shared" si="21"/>
        <v/>
      </c>
      <c r="H1388" s="15" t="str">
        <f>IF($B1388="","",IFERROR(INDEX(Services!$A$2:$A$120,MATCH($B1388,Services!$D$2:$D$120,0)),""))</f>
        <v/>
      </c>
      <c r="I1388" s="19"/>
      <c r="J1388" s="15" t="str">
        <f>IF($B1388="","",IFERROR(INDEX(Services!$E$2:$E$120,MATCH($B1388,Services!$D$2:$D$120,0)),""))</f>
        <v/>
      </c>
    </row>
    <row r="1389" spans="1:10" x14ac:dyDescent="0.3">
      <c r="A1389" s="18"/>
      <c r="B1389" s="6"/>
      <c r="C1389" s="6"/>
      <c r="D1389" s="6"/>
      <c r="E1389" s="16" t="str">
        <f>IF($B1389="","",IFERROR(INDEX(Services!$C$2:$C$120,MATCH($B1389,Services!$D$2:$D$120,0)),""))</f>
        <v/>
      </c>
      <c r="F1389" s="19"/>
      <c r="G1389" s="9" t="str">
        <f t="shared" si="21"/>
        <v/>
      </c>
      <c r="H1389" s="15" t="str">
        <f>IF($B1389="","",IFERROR(INDEX(Services!$A$2:$A$120,MATCH($B1389,Services!$D$2:$D$120,0)),""))</f>
        <v/>
      </c>
      <c r="I1389" s="19"/>
      <c r="J1389" s="15" t="str">
        <f>IF($B1389="","",IFERROR(INDEX(Services!$E$2:$E$120,MATCH($B1389,Services!$D$2:$D$120,0)),""))</f>
        <v/>
      </c>
    </row>
    <row r="1390" spans="1:10" x14ac:dyDescent="0.3">
      <c r="A1390" s="18"/>
      <c r="B1390" s="6"/>
      <c r="C1390" s="6"/>
      <c r="D1390" s="6"/>
      <c r="E1390" s="16" t="str">
        <f>IF($B1390="","",IFERROR(INDEX(Services!$C$2:$C$120,MATCH($B1390,Services!$D$2:$D$120,0)),""))</f>
        <v/>
      </c>
      <c r="F1390" s="19"/>
      <c r="G1390" s="9" t="str">
        <f t="shared" si="21"/>
        <v/>
      </c>
      <c r="H1390" s="15" t="str">
        <f>IF($B1390="","",IFERROR(INDEX(Services!$A$2:$A$120,MATCH($B1390,Services!$D$2:$D$120,0)),""))</f>
        <v/>
      </c>
      <c r="I1390" s="19"/>
      <c r="J1390" s="15" t="str">
        <f>IF($B1390="","",IFERROR(INDEX(Services!$E$2:$E$120,MATCH($B1390,Services!$D$2:$D$120,0)),""))</f>
        <v/>
      </c>
    </row>
    <row r="1391" spans="1:10" x14ac:dyDescent="0.3">
      <c r="A1391" s="18"/>
      <c r="B1391" s="6"/>
      <c r="C1391" s="6"/>
      <c r="D1391" s="6"/>
      <c r="E1391" s="16" t="str">
        <f>IF($B1391="","",IFERROR(INDEX(Services!$C$2:$C$120,MATCH($B1391,Services!$D$2:$D$120,0)),""))</f>
        <v/>
      </c>
      <c r="F1391" s="19"/>
      <c r="G1391" s="9" t="str">
        <f t="shared" si="21"/>
        <v/>
      </c>
      <c r="H1391" s="15" t="str">
        <f>IF($B1391="","",IFERROR(INDEX(Services!$A$2:$A$120,MATCH($B1391,Services!$D$2:$D$120,0)),""))</f>
        <v/>
      </c>
      <c r="I1391" s="19"/>
      <c r="J1391" s="15" t="str">
        <f>IF($B1391="","",IFERROR(INDEX(Services!$E$2:$E$120,MATCH($B1391,Services!$D$2:$D$120,0)),""))</f>
        <v/>
      </c>
    </row>
    <row r="1392" spans="1:10" x14ac:dyDescent="0.3">
      <c r="A1392" s="18"/>
      <c r="B1392" s="6"/>
      <c r="C1392" s="6"/>
      <c r="D1392" s="6"/>
      <c r="E1392" s="16" t="str">
        <f>IF($B1392="","",IFERROR(INDEX(Services!$C$2:$C$120,MATCH($B1392,Services!$D$2:$D$120,0)),""))</f>
        <v/>
      </c>
      <c r="F1392" s="19"/>
      <c r="G1392" s="9" t="str">
        <f t="shared" si="21"/>
        <v/>
      </c>
      <c r="H1392" s="15" t="str">
        <f>IF($B1392="","",IFERROR(INDEX(Services!$A$2:$A$120,MATCH($B1392,Services!$D$2:$D$120,0)),""))</f>
        <v/>
      </c>
      <c r="I1392" s="19"/>
      <c r="J1392" s="15" t="str">
        <f>IF($B1392="","",IFERROR(INDEX(Services!$E$2:$E$120,MATCH($B1392,Services!$D$2:$D$120,0)),""))</f>
        <v/>
      </c>
    </row>
    <row r="1393" spans="1:10" x14ac:dyDescent="0.3">
      <c r="A1393" s="18"/>
      <c r="B1393" s="6"/>
      <c r="C1393" s="6"/>
      <c r="D1393" s="6"/>
      <c r="E1393" s="16" t="str">
        <f>IF($B1393="","",IFERROR(INDEX(Services!$C$2:$C$120,MATCH($B1393,Services!$D$2:$D$120,0)),""))</f>
        <v/>
      </c>
      <c r="F1393" s="19"/>
      <c r="G1393" s="9" t="str">
        <f t="shared" si="21"/>
        <v/>
      </c>
      <c r="H1393" s="15" t="str">
        <f>IF($B1393="","",IFERROR(INDEX(Services!$A$2:$A$120,MATCH($B1393,Services!$D$2:$D$120,0)),""))</f>
        <v/>
      </c>
      <c r="I1393" s="19"/>
      <c r="J1393" s="15" t="str">
        <f>IF($B1393="","",IFERROR(INDEX(Services!$E$2:$E$120,MATCH($B1393,Services!$D$2:$D$120,0)),""))</f>
        <v/>
      </c>
    </row>
    <row r="1394" spans="1:10" x14ac:dyDescent="0.3">
      <c r="A1394" s="18"/>
      <c r="B1394" s="6"/>
      <c r="C1394" s="6"/>
      <c r="D1394" s="6"/>
      <c r="E1394" s="16" t="str">
        <f>IF($B1394="","",IFERROR(INDEX(Services!$C$2:$C$120,MATCH($B1394,Services!$D$2:$D$120,0)),""))</f>
        <v/>
      </c>
      <c r="F1394" s="19"/>
      <c r="G1394" s="9" t="str">
        <f t="shared" si="21"/>
        <v/>
      </c>
      <c r="H1394" s="15" t="str">
        <f>IF($B1394="","",IFERROR(INDEX(Services!$A$2:$A$120,MATCH($B1394,Services!$D$2:$D$120,0)),""))</f>
        <v/>
      </c>
      <c r="I1394" s="19"/>
      <c r="J1394" s="15" t="str">
        <f>IF($B1394="","",IFERROR(INDEX(Services!$E$2:$E$120,MATCH($B1394,Services!$D$2:$D$120,0)),""))</f>
        <v/>
      </c>
    </row>
    <row r="1395" spans="1:10" x14ac:dyDescent="0.3">
      <c r="A1395" s="18"/>
      <c r="B1395" s="6"/>
      <c r="C1395" s="6"/>
      <c r="D1395" s="6"/>
      <c r="E1395" s="16" t="str">
        <f>IF($B1395="","",IFERROR(INDEX(Services!$C$2:$C$120,MATCH($B1395,Services!$D$2:$D$120,0)),""))</f>
        <v/>
      </c>
      <c r="F1395" s="19"/>
      <c r="G1395" s="9" t="str">
        <f t="shared" si="21"/>
        <v/>
      </c>
      <c r="H1395" s="15" t="str">
        <f>IF($B1395="","",IFERROR(INDEX(Services!$A$2:$A$120,MATCH($B1395,Services!$D$2:$D$120,0)),""))</f>
        <v/>
      </c>
      <c r="I1395" s="19"/>
      <c r="J1395" s="15" t="str">
        <f>IF($B1395="","",IFERROR(INDEX(Services!$E$2:$E$120,MATCH($B1395,Services!$D$2:$D$120,0)),""))</f>
        <v/>
      </c>
    </row>
    <row r="1396" spans="1:10" x14ac:dyDescent="0.3">
      <c r="A1396" s="18"/>
      <c r="B1396" s="6"/>
      <c r="C1396" s="6"/>
      <c r="D1396" s="6"/>
      <c r="E1396" s="16" t="str">
        <f>IF($B1396="","",IFERROR(INDEX(Services!$C$2:$C$120,MATCH($B1396,Services!$D$2:$D$120,0)),""))</f>
        <v/>
      </c>
      <c r="F1396" s="19"/>
      <c r="G1396" s="9" t="str">
        <f t="shared" si="21"/>
        <v/>
      </c>
      <c r="H1396" s="15" t="str">
        <f>IF($B1396="","",IFERROR(INDEX(Services!$A$2:$A$120,MATCH($B1396,Services!$D$2:$D$120,0)),""))</f>
        <v/>
      </c>
      <c r="I1396" s="19"/>
      <c r="J1396" s="15" t="str">
        <f>IF($B1396="","",IFERROR(INDEX(Services!$E$2:$E$120,MATCH($B1396,Services!$D$2:$D$120,0)),""))</f>
        <v/>
      </c>
    </row>
    <row r="1397" spans="1:10" x14ac:dyDescent="0.3">
      <c r="A1397" s="18"/>
      <c r="B1397" s="6"/>
      <c r="C1397" s="6"/>
      <c r="D1397" s="6"/>
      <c r="E1397" s="16" t="str">
        <f>IF($B1397="","",IFERROR(INDEX(Services!$C$2:$C$120,MATCH($B1397,Services!$D$2:$D$120,0)),""))</f>
        <v/>
      </c>
      <c r="F1397" s="19"/>
      <c r="G1397" s="9" t="str">
        <f t="shared" si="21"/>
        <v/>
      </c>
      <c r="H1397" s="15" t="str">
        <f>IF($B1397="","",IFERROR(INDEX(Services!$A$2:$A$120,MATCH($B1397,Services!$D$2:$D$120,0)),""))</f>
        <v/>
      </c>
      <c r="I1397" s="19"/>
      <c r="J1397" s="15" t="str">
        <f>IF($B1397="","",IFERROR(INDEX(Services!$E$2:$E$120,MATCH($B1397,Services!$D$2:$D$120,0)),""))</f>
        <v/>
      </c>
    </row>
    <row r="1398" spans="1:10" x14ac:dyDescent="0.3">
      <c r="A1398" s="18"/>
      <c r="B1398" s="6"/>
      <c r="C1398" s="6"/>
      <c r="D1398" s="6"/>
      <c r="E1398" s="16" t="str">
        <f>IF($B1398="","",IFERROR(INDEX(Services!$C$2:$C$120,MATCH($B1398,Services!$D$2:$D$120,0)),""))</f>
        <v/>
      </c>
      <c r="F1398" s="19"/>
      <c r="G1398" s="9" t="str">
        <f t="shared" si="21"/>
        <v/>
      </c>
      <c r="H1398" s="15" t="str">
        <f>IF($B1398="","",IFERROR(INDEX(Services!$A$2:$A$120,MATCH($B1398,Services!$D$2:$D$120,0)),""))</f>
        <v/>
      </c>
      <c r="I1398" s="19"/>
      <c r="J1398" s="15" t="str">
        <f>IF($B1398="","",IFERROR(INDEX(Services!$E$2:$E$120,MATCH($B1398,Services!$D$2:$D$120,0)),""))</f>
        <v/>
      </c>
    </row>
    <row r="1399" spans="1:10" x14ac:dyDescent="0.3">
      <c r="A1399" s="18"/>
      <c r="B1399" s="6"/>
      <c r="C1399" s="6"/>
      <c r="D1399" s="6"/>
      <c r="E1399" s="16" t="str">
        <f>IF($B1399="","",IFERROR(INDEX(Services!$C$2:$C$120,MATCH($B1399,Services!$D$2:$D$120,0)),""))</f>
        <v/>
      </c>
      <c r="F1399" s="19"/>
      <c r="G1399" s="9" t="str">
        <f t="shared" si="21"/>
        <v/>
      </c>
      <c r="H1399" s="15" t="str">
        <f>IF($B1399="","",IFERROR(INDEX(Services!$A$2:$A$120,MATCH($B1399,Services!$D$2:$D$120,0)),""))</f>
        <v/>
      </c>
      <c r="I1399" s="19"/>
      <c r="J1399" s="15" t="str">
        <f>IF($B1399="","",IFERROR(INDEX(Services!$E$2:$E$120,MATCH($B1399,Services!$D$2:$D$120,0)),""))</f>
        <v/>
      </c>
    </row>
    <row r="1400" spans="1:10" x14ac:dyDescent="0.3">
      <c r="A1400" s="18"/>
      <c r="B1400" s="6"/>
      <c r="C1400" s="6"/>
      <c r="D1400" s="6"/>
      <c r="E1400" s="16" t="str">
        <f>IF($B1400="","",IFERROR(INDEX(Services!$C$2:$C$120,MATCH($B1400,Services!$D$2:$D$120,0)),""))</f>
        <v/>
      </c>
      <c r="F1400" s="19"/>
      <c r="G1400" s="9" t="str">
        <f t="shared" si="21"/>
        <v/>
      </c>
      <c r="H1400" s="15" t="str">
        <f>IF($B1400="","",IFERROR(INDEX(Services!$A$2:$A$120,MATCH($B1400,Services!$D$2:$D$120,0)),""))</f>
        <v/>
      </c>
      <c r="I1400" s="19"/>
      <c r="J1400" s="15" t="str">
        <f>IF($B1400="","",IFERROR(INDEX(Services!$E$2:$E$120,MATCH($B1400,Services!$D$2:$D$120,0)),""))</f>
        <v/>
      </c>
    </row>
    <row r="1401" spans="1:10" x14ac:dyDescent="0.3">
      <c r="A1401" s="18"/>
      <c r="B1401" s="6"/>
      <c r="C1401" s="6"/>
      <c r="D1401" s="6"/>
      <c r="E1401" s="16" t="str">
        <f>IF($B1401="","",IFERROR(INDEX(Services!$C$2:$C$120,MATCH($B1401,Services!$D$2:$D$120,0)),""))</f>
        <v/>
      </c>
      <c r="F1401" s="19"/>
      <c r="G1401" s="9" t="str">
        <f t="shared" si="21"/>
        <v/>
      </c>
      <c r="H1401" s="15" t="str">
        <f>IF($B1401="","",IFERROR(INDEX(Services!$A$2:$A$120,MATCH($B1401,Services!$D$2:$D$120,0)),""))</f>
        <v/>
      </c>
      <c r="I1401" s="19"/>
      <c r="J1401" s="15" t="str">
        <f>IF($B1401="","",IFERROR(INDEX(Services!$E$2:$E$120,MATCH($B1401,Services!$D$2:$D$120,0)),""))</f>
        <v/>
      </c>
    </row>
    <row r="1402" spans="1:10" x14ac:dyDescent="0.3">
      <c r="A1402" s="18"/>
      <c r="B1402" s="6"/>
      <c r="C1402" s="6"/>
      <c r="D1402" s="6"/>
      <c r="E1402" s="16" t="str">
        <f>IF($B1402="","",IFERROR(INDEX(Services!$C$2:$C$120,MATCH($B1402,Services!$D$2:$D$120,0)),""))</f>
        <v/>
      </c>
      <c r="F1402" s="19"/>
      <c r="G1402" s="9" t="str">
        <f t="shared" si="21"/>
        <v/>
      </c>
      <c r="H1402" s="15" t="str">
        <f>IF($B1402="","",IFERROR(INDEX(Services!$A$2:$A$120,MATCH($B1402,Services!$D$2:$D$120,0)),""))</f>
        <v/>
      </c>
      <c r="I1402" s="19"/>
      <c r="J1402" s="15" t="str">
        <f>IF($B1402="","",IFERROR(INDEX(Services!$E$2:$E$120,MATCH($B1402,Services!$D$2:$D$120,0)),""))</f>
        <v/>
      </c>
    </row>
    <row r="1403" spans="1:10" x14ac:dyDescent="0.3">
      <c r="A1403" s="18"/>
      <c r="B1403" s="6"/>
      <c r="C1403" s="6"/>
      <c r="D1403" s="6"/>
      <c r="E1403" s="16" t="str">
        <f>IF($B1403="","",IFERROR(INDEX(Services!$C$2:$C$120,MATCH($B1403,Services!$D$2:$D$120,0)),""))</f>
        <v/>
      </c>
      <c r="F1403" s="19"/>
      <c r="G1403" s="9" t="str">
        <f t="shared" si="21"/>
        <v/>
      </c>
      <c r="H1403" s="15" t="str">
        <f>IF($B1403="","",IFERROR(INDEX(Services!$A$2:$A$120,MATCH($B1403,Services!$D$2:$D$120,0)),""))</f>
        <v/>
      </c>
      <c r="I1403" s="19"/>
      <c r="J1403" s="15" t="str">
        <f>IF($B1403="","",IFERROR(INDEX(Services!$E$2:$E$120,MATCH($B1403,Services!$D$2:$D$120,0)),""))</f>
        <v/>
      </c>
    </row>
    <row r="1404" spans="1:10" x14ac:dyDescent="0.3">
      <c r="A1404" s="18"/>
      <c r="B1404" s="6"/>
      <c r="C1404" s="6"/>
      <c r="D1404" s="6"/>
      <c r="E1404" s="16" t="str">
        <f>IF($B1404="","",IFERROR(INDEX(Services!$C$2:$C$120,MATCH($B1404,Services!$D$2:$D$120,0)),""))</f>
        <v/>
      </c>
      <c r="F1404" s="19"/>
      <c r="G1404" s="9" t="str">
        <f t="shared" si="21"/>
        <v/>
      </c>
      <c r="H1404" s="15" t="str">
        <f>IF($B1404="","",IFERROR(INDEX(Services!$A$2:$A$120,MATCH($B1404,Services!$D$2:$D$120,0)),""))</f>
        <v/>
      </c>
      <c r="I1404" s="19"/>
      <c r="J1404" s="15" t="str">
        <f>IF($B1404="","",IFERROR(INDEX(Services!$E$2:$E$120,MATCH($B1404,Services!$D$2:$D$120,0)),""))</f>
        <v/>
      </c>
    </row>
    <row r="1405" spans="1:10" x14ac:dyDescent="0.3">
      <c r="A1405" s="18"/>
      <c r="B1405" s="6"/>
      <c r="C1405" s="6"/>
      <c r="D1405" s="6"/>
      <c r="E1405" s="16" t="str">
        <f>IF($B1405="","",IFERROR(INDEX(Services!$C$2:$C$120,MATCH($B1405,Services!$D$2:$D$120,0)),""))</f>
        <v/>
      </c>
      <c r="F1405" s="19"/>
      <c r="G1405" s="9" t="str">
        <f t="shared" si="21"/>
        <v/>
      </c>
      <c r="H1405" s="15" t="str">
        <f>IF($B1405="","",IFERROR(INDEX(Services!$A$2:$A$120,MATCH($B1405,Services!$D$2:$D$120,0)),""))</f>
        <v/>
      </c>
      <c r="I1405" s="19"/>
      <c r="J1405" s="15" t="str">
        <f>IF($B1405="","",IFERROR(INDEX(Services!$E$2:$E$120,MATCH($B1405,Services!$D$2:$D$120,0)),""))</f>
        <v/>
      </c>
    </row>
    <row r="1406" spans="1:10" x14ac:dyDescent="0.3">
      <c r="A1406" s="18"/>
      <c r="B1406" s="6"/>
      <c r="C1406" s="6"/>
      <c r="D1406" s="6"/>
      <c r="E1406" s="16" t="str">
        <f>IF($B1406="","",IFERROR(INDEX(Services!$C$2:$C$120,MATCH($B1406,Services!$D$2:$D$120,0)),""))</f>
        <v/>
      </c>
      <c r="F1406" s="19"/>
      <c r="G1406" s="9" t="str">
        <f t="shared" si="21"/>
        <v/>
      </c>
      <c r="H1406" s="15" t="str">
        <f>IF($B1406="","",IFERROR(INDEX(Services!$A$2:$A$120,MATCH($B1406,Services!$D$2:$D$120,0)),""))</f>
        <v/>
      </c>
      <c r="I1406" s="19"/>
      <c r="J1406" s="15" t="str">
        <f>IF($B1406="","",IFERROR(INDEX(Services!$E$2:$E$120,MATCH($B1406,Services!$D$2:$D$120,0)),""))</f>
        <v/>
      </c>
    </row>
    <row r="1407" spans="1:10" x14ac:dyDescent="0.3">
      <c r="A1407" s="18"/>
      <c r="B1407" s="6"/>
      <c r="C1407" s="6"/>
      <c r="D1407" s="6"/>
      <c r="E1407" s="16" t="str">
        <f>IF($B1407="","",IFERROR(INDEX(Services!$C$2:$C$120,MATCH($B1407,Services!$D$2:$D$120,0)),""))</f>
        <v/>
      </c>
      <c r="F1407" s="19"/>
      <c r="G1407" s="9" t="str">
        <f t="shared" si="21"/>
        <v/>
      </c>
      <c r="H1407" s="15" t="str">
        <f>IF($B1407="","",IFERROR(INDEX(Services!$A$2:$A$120,MATCH($B1407,Services!$D$2:$D$120,0)),""))</f>
        <v/>
      </c>
      <c r="I1407" s="19"/>
      <c r="J1407" s="15" t="str">
        <f>IF($B1407="","",IFERROR(INDEX(Services!$E$2:$E$120,MATCH($B1407,Services!$D$2:$D$120,0)),""))</f>
        <v/>
      </c>
    </row>
    <row r="1408" spans="1:10" x14ac:dyDescent="0.3">
      <c r="A1408" s="18"/>
      <c r="B1408" s="6"/>
      <c r="C1408" s="6"/>
      <c r="D1408" s="6"/>
      <c r="E1408" s="16" t="str">
        <f>IF($B1408="","",IFERROR(INDEX(Services!$C$2:$C$120,MATCH($B1408,Services!$D$2:$D$120,0)),""))</f>
        <v/>
      </c>
      <c r="F1408" s="19"/>
      <c r="G1408" s="9" t="str">
        <f t="shared" si="21"/>
        <v/>
      </c>
      <c r="H1408" s="15" t="str">
        <f>IF($B1408="","",IFERROR(INDEX(Services!$A$2:$A$120,MATCH($B1408,Services!$D$2:$D$120,0)),""))</f>
        <v/>
      </c>
      <c r="I1408" s="19"/>
      <c r="J1408" s="15" t="str">
        <f>IF($B1408="","",IFERROR(INDEX(Services!$E$2:$E$120,MATCH($B1408,Services!$D$2:$D$120,0)),""))</f>
        <v/>
      </c>
    </row>
    <row r="1409" spans="1:10" x14ac:dyDescent="0.3">
      <c r="A1409" s="18"/>
      <c r="B1409" s="6"/>
      <c r="C1409" s="6"/>
      <c r="D1409" s="6"/>
      <c r="E1409" s="16" t="str">
        <f>IF($B1409="","",IFERROR(INDEX(Services!$C$2:$C$120,MATCH($B1409,Services!$D$2:$D$120,0)),""))</f>
        <v/>
      </c>
      <c r="F1409" s="19"/>
      <c r="G1409" s="9" t="str">
        <f t="shared" si="21"/>
        <v/>
      </c>
      <c r="H1409" s="15" t="str">
        <f>IF($B1409="","",IFERROR(INDEX(Services!$A$2:$A$120,MATCH($B1409,Services!$D$2:$D$120,0)),""))</f>
        <v/>
      </c>
      <c r="I1409" s="19"/>
      <c r="J1409" s="15" t="str">
        <f>IF($B1409="","",IFERROR(INDEX(Services!$E$2:$E$120,MATCH($B1409,Services!$D$2:$D$120,0)),""))</f>
        <v/>
      </c>
    </row>
    <row r="1410" spans="1:10" x14ac:dyDescent="0.3">
      <c r="A1410" s="18"/>
      <c r="B1410" s="6"/>
      <c r="C1410" s="6"/>
      <c r="D1410" s="6"/>
      <c r="E1410" s="16" t="str">
        <f>IF($B1410="","",IFERROR(INDEX(Services!$C$2:$C$120,MATCH($B1410,Services!$D$2:$D$120,0)),""))</f>
        <v/>
      </c>
      <c r="F1410" s="19"/>
      <c r="G1410" s="9" t="str">
        <f t="shared" ref="G1410:G1473" si="22">IF(OR($B1410="",NOT(ISNUMBER($E1410))),"",$E1410-IF($F1410="",0,$F1410))</f>
        <v/>
      </c>
      <c r="H1410" s="15" t="str">
        <f>IF($B1410="","",IFERROR(INDEX(Services!$A$2:$A$120,MATCH($B1410,Services!$D$2:$D$120,0)),""))</f>
        <v/>
      </c>
      <c r="I1410" s="19"/>
      <c r="J1410" s="15" t="str">
        <f>IF($B1410="","",IFERROR(INDEX(Services!$E$2:$E$120,MATCH($B1410,Services!$D$2:$D$120,0)),""))</f>
        <v/>
      </c>
    </row>
    <row r="1411" spans="1:10" x14ac:dyDescent="0.3">
      <c r="A1411" s="18"/>
      <c r="B1411" s="6"/>
      <c r="C1411" s="6"/>
      <c r="D1411" s="6"/>
      <c r="E1411" s="16" t="str">
        <f>IF($B1411="","",IFERROR(INDEX(Services!$C$2:$C$120,MATCH($B1411,Services!$D$2:$D$120,0)),""))</f>
        <v/>
      </c>
      <c r="F1411" s="19"/>
      <c r="G1411" s="9" t="str">
        <f t="shared" si="22"/>
        <v/>
      </c>
      <c r="H1411" s="15" t="str">
        <f>IF($B1411="","",IFERROR(INDEX(Services!$A$2:$A$120,MATCH($B1411,Services!$D$2:$D$120,0)),""))</f>
        <v/>
      </c>
      <c r="I1411" s="19"/>
      <c r="J1411" s="15" t="str">
        <f>IF($B1411="","",IFERROR(INDEX(Services!$E$2:$E$120,MATCH($B1411,Services!$D$2:$D$120,0)),""))</f>
        <v/>
      </c>
    </row>
    <row r="1412" spans="1:10" x14ac:dyDescent="0.3">
      <c r="A1412" s="18"/>
      <c r="B1412" s="6"/>
      <c r="C1412" s="6"/>
      <c r="D1412" s="6"/>
      <c r="E1412" s="16" t="str">
        <f>IF($B1412="","",IFERROR(INDEX(Services!$C$2:$C$120,MATCH($B1412,Services!$D$2:$D$120,0)),""))</f>
        <v/>
      </c>
      <c r="F1412" s="19"/>
      <c r="G1412" s="9" t="str">
        <f t="shared" si="22"/>
        <v/>
      </c>
      <c r="H1412" s="15" t="str">
        <f>IF($B1412="","",IFERROR(INDEX(Services!$A$2:$A$120,MATCH($B1412,Services!$D$2:$D$120,0)),""))</f>
        <v/>
      </c>
      <c r="I1412" s="19"/>
      <c r="J1412" s="15" t="str">
        <f>IF($B1412="","",IFERROR(INDEX(Services!$E$2:$E$120,MATCH($B1412,Services!$D$2:$D$120,0)),""))</f>
        <v/>
      </c>
    </row>
    <row r="1413" spans="1:10" x14ac:dyDescent="0.3">
      <c r="A1413" s="18"/>
      <c r="B1413" s="6"/>
      <c r="C1413" s="6"/>
      <c r="D1413" s="6"/>
      <c r="E1413" s="16" t="str">
        <f>IF($B1413="","",IFERROR(INDEX(Services!$C$2:$C$120,MATCH($B1413,Services!$D$2:$D$120,0)),""))</f>
        <v/>
      </c>
      <c r="F1413" s="19"/>
      <c r="G1413" s="9" t="str">
        <f t="shared" si="22"/>
        <v/>
      </c>
      <c r="H1413" s="15" t="str">
        <f>IF($B1413="","",IFERROR(INDEX(Services!$A$2:$A$120,MATCH($B1413,Services!$D$2:$D$120,0)),""))</f>
        <v/>
      </c>
      <c r="I1413" s="19"/>
      <c r="J1413" s="15" t="str">
        <f>IF($B1413="","",IFERROR(INDEX(Services!$E$2:$E$120,MATCH($B1413,Services!$D$2:$D$120,0)),""))</f>
        <v/>
      </c>
    </row>
    <row r="1414" spans="1:10" x14ac:dyDescent="0.3">
      <c r="A1414" s="18"/>
      <c r="B1414" s="6"/>
      <c r="C1414" s="6"/>
      <c r="D1414" s="6"/>
      <c r="E1414" s="16" t="str">
        <f>IF($B1414="","",IFERROR(INDEX(Services!$C$2:$C$120,MATCH($B1414,Services!$D$2:$D$120,0)),""))</f>
        <v/>
      </c>
      <c r="F1414" s="19"/>
      <c r="G1414" s="9" t="str">
        <f t="shared" si="22"/>
        <v/>
      </c>
      <c r="H1414" s="15" t="str">
        <f>IF($B1414="","",IFERROR(INDEX(Services!$A$2:$A$120,MATCH($B1414,Services!$D$2:$D$120,0)),""))</f>
        <v/>
      </c>
      <c r="I1414" s="19"/>
      <c r="J1414" s="15" t="str">
        <f>IF($B1414="","",IFERROR(INDEX(Services!$E$2:$E$120,MATCH($B1414,Services!$D$2:$D$120,0)),""))</f>
        <v/>
      </c>
    </row>
    <row r="1415" spans="1:10" x14ac:dyDescent="0.3">
      <c r="A1415" s="18"/>
      <c r="B1415" s="6"/>
      <c r="C1415" s="6"/>
      <c r="D1415" s="6"/>
      <c r="E1415" s="16" t="str">
        <f>IF($B1415="","",IFERROR(INDEX(Services!$C$2:$C$120,MATCH($B1415,Services!$D$2:$D$120,0)),""))</f>
        <v/>
      </c>
      <c r="F1415" s="19"/>
      <c r="G1415" s="9" t="str">
        <f t="shared" si="22"/>
        <v/>
      </c>
      <c r="H1415" s="15" t="str">
        <f>IF($B1415="","",IFERROR(INDEX(Services!$A$2:$A$120,MATCH($B1415,Services!$D$2:$D$120,0)),""))</f>
        <v/>
      </c>
      <c r="I1415" s="19"/>
      <c r="J1415" s="15" t="str">
        <f>IF($B1415="","",IFERROR(INDEX(Services!$E$2:$E$120,MATCH($B1415,Services!$D$2:$D$120,0)),""))</f>
        <v/>
      </c>
    </row>
    <row r="1416" spans="1:10" x14ac:dyDescent="0.3">
      <c r="A1416" s="18"/>
      <c r="B1416" s="6"/>
      <c r="C1416" s="6"/>
      <c r="D1416" s="6"/>
      <c r="E1416" s="16" t="str">
        <f>IF($B1416="","",IFERROR(INDEX(Services!$C$2:$C$120,MATCH($B1416,Services!$D$2:$D$120,0)),""))</f>
        <v/>
      </c>
      <c r="F1416" s="19"/>
      <c r="G1416" s="9" t="str">
        <f t="shared" si="22"/>
        <v/>
      </c>
      <c r="H1416" s="15" t="str">
        <f>IF($B1416="","",IFERROR(INDEX(Services!$A$2:$A$120,MATCH($B1416,Services!$D$2:$D$120,0)),""))</f>
        <v/>
      </c>
      <c r="I1416" s="19"/>
      <c r="J1416" s="15" t="str">
        <f>IF($B1416="","",IFERROR(INDEX(Services!$E$2:$E$120,MATCH($B1416,Services!$D$2:$D$120,0)),""))</f>
        <v/>
      </c>
    </row>
    <row r="1417" spans="1:10" x14ac:dyDescent="0.3">
      <c r="A1417" s="18"/>
      <c r="B1417" s="6"/>
      <c r="C1417" s="6"/>
      <c r="D1417" s="6"/>
      <c r="E1417" s="16" t="str">
        <f>IF($B1417="","",IFERROR(INDEX(Services!$C$2:$C$120,MATCH($B1417,Services!$D$2:$D$120,0)),""))</f>
        <v/>
      </c>
      <c r="F1417" s="19"/>
      <c r="G1417" s="9" t="str">
        <f t="shared" si="22"/>
        <v/>
      </c>
      <c r="H1417" s="15" t="str">
        <f>IF($B1417="","",IFERROR(INDEX(Services!$A$2:$A$120,MATCH($B1417,Services!$D$2:$D$120,0)),""))</f>
        <v/>
      </c>
      <c r="I1417" s="19"/>
      <c r="J1417" s="15" t="str">
        <f>IF($B1417="","",IFERROR(INDEX(Services!$E$2:$E$120,MATCH($B1417,Services!$D$2:$D$120,0)),""))</f>
        <v/>
      </c>
    </row>
    <row r="1418" spans="1:10" x14ac:dyDescent="0.3">
      <c r="A1418" s="18"/>
      <c r="B1418" s="6"/>
      <c r="C1418" s="6"/>
      <c r="D1418" s="6"/>
      <c r="E1418" s="16" t="str">
        <f>IF($B1418="","",IFERROR(INDEX(Services!$C$2:$C$120,MATCH($B1418,Services!$D$2:$D$120,0)),""))</f>
        <v/>
      </c>
      <c r="F1418" s="19"/>
      <c r="G1418" s="9" t="str">
        <f t="shared" si="22"/>
        <v/>
      </c>
      <c r="H1418" s="15" t="str">
        <f>IF($B1418="","",IFERROR(INDEX(Services!$A$2:$A$120,MATCH($B1418,Services!$D$2:$D$120,0)),""))</f>
        <v/>
      </c>
      <c r="I1418" s="19"/>
      <c r="J1418" s="15" t="str">
        <f>IF($B1418="","",IFERROR(INDEX(Services!$E$2:$E$120,MATCH($B1418,Services!$D$2:$D$120,0)),""))</f>
        <v/>
      </c>
    </row>
    <row r="1419" spans="1:10" x14ac:dyDescent="0.3">
      <c r="A1419" s="18"/>
      <c r="B1419" s="6"/>
      <c r="C1419" s="6"/>
      <c r="D1419" s="6"/>
      <c r="E1419" s="16" t="str">
        <f>IF($B1419="","",IFERROR(INDEX(Services!$C$2:$C$120,MATCH($B1419,Services!$D$2:$D$120,0)),""))</f>
        <v/>
      </c>
      <c r="F1419" s="19"/>
      <c r="G1419" s="9" t="str">
        <f t="shared" si="22"/>
        <v/>
      </c>
      <c r="H1419" s="15" t="str">
        <f>IF($B1419="","",IFERROR(INDEX(Services!$A$2:$A$120,MATCH($B1419,Services!$D$2:$D$120,0)),""))</f>
        <v/>
      </c>
      <c r="I1419" s="19"/>
      <c r="J1419" s="15" t="str">
        <f>IF($B1419="","",IFERROR(INDEX(Services!$E$2:$E$120,MATCH($B1419,Services!$D$2:$D$120,0)),""))</f>
        <v/>
      </c>
    </row>
    <row r="1420" spans="1:10" x14ac:dyDescent="0.3">
      <c r="A1420" s="18"/>
      <c r="B1420" s="6"/>
      <c r="C1420" s="6"/>
      <c r="D1420" s="6"/>
      <c r="E1420" s="16" t="str">
        <f>IF($B1420="","",IFERROR(INDEX(Services!$C$2:$C$120,MATCH($B1420,Services!$D$2:$D$120,0)),""))</f>
        <v/>
      </c>
      <c r="F1420" s="19"/>
      <c r="G1420" s="9" t="str">
        <f t="shared" si="22"/>
        <v/>
      </c>
      <c r="H1420" s="15" t="str">
        <f>IF($B1420="","",IFERROR(INDEX(Services!$A$2:$A$120,MATCH($B1420,Services!$D$2:$D$120,0)),""))</f>
        <v/>
      </c>
      <c r="I1420" s="19"/>
      <c r="J1420" s="15" t="str">
        <f>IF($B1420="","",IFERROR(INDEX(Services!$E$2:$E$120,MATCH($B1420,Services!$D$2:$D$120,0)),""))</f>
        <v/>
      </c>
    </row>
    <row r="1421" spans="1:10" x14ac:dyDescent="0.3">
      <c r="A1421" s="18"/>
      <c r="B1421" s="6"/>
      <c r="C1421" s="6"/>
      <c r="D1421" s="6"/>
      <c r="E1421" s="16" t="str">
        <f>IF($B1421="","",IFERROR(INDEX(Services!$C$2:$C$120,MATCH($B1421,Services!$D$2:$D$120,0)),""))</f>
        <v/>
      </c>
      <c r="F1421" s="19"/>
      <c r="G1421" s="9" t="str">
        <f t="shared" si="22"/>
        <v/>
      </c>
      <c r="H1421" s="15" t="str">
        <f>IF($B1421="","",IFERROR(INDEX(Services!$A$2:$A$120,MATCH($B1421,Services!$D$2:$D$120,0)),""))</f>
        <v/>
      </c>
      <c r="I1421" s="19"/>
      <c r="J1421" s="15" t="str">
        <f>IF($B1421="","",IFERROR(INDEX(Services!$E$2:$E$120,MATCH($B1421,Services!$D$2:$D$120,0)),""))</f>
        <v/>
      </c>
    </row>
    <row r="1422" spans="1:10" x14ac:dyDescent="0.3">
      <c r="A1422" s="18"/>
      <c r="B1422" s="6"/>
      <c r="C1422" s="6"/>
      <c r="D1422" s="6"/>
      <c r="E1422" s="16" t="str">
        <f>IF($B1422="","",IFERROR(INDEX(Services!$C$2:$C$120,MATCH($B1422,Services!$D$2:$D$120,0)),""))</f>
        <v/>
      </c>
      <c r="F1422" s="19"/>
      <c r="G1422" s="9" t="str">
        <f t="shared" si="22"/>
        <v/>
      </c>
      <c r="H1422" s="15" t="str">
        <f>IF($B1422="","",IFERROR(INDEX(Services!$A$2:$A$120,MATCH($B1422,Services!$D$2:$D$120,0)),""))</f>
        <v/>
      </c>
      <c r="I1422" s="19"/>
      <c r="J1422" s="15" t="str">
        <f>IF($B1422="","",IFERROR(INDEX(Services!$E$2:$E$120,MATCH($B1422,Services!$D$2:$D$120,0)),""))</f>
        <v/>
      </c>
    </row>
    <row r="1423" spans="1:10" x14ac:dyDescent="0.3">
      <c r="A1423" s="18"/>
      <c r="B1423" s="6"/>
      <c r="C1423" s="6"/>
      <c r="D1423" s="6"/>
      <c r="E1423" s="16" t="str">
        <f>IF($B1423="","",IFERROR(INDEX(Services!$C$2:$C$120,MATCH($B1423,Services!$D$2:$D$120,0)),""))</f>
        <v/>
      </c>
      <c r="F1423" s="19"/>
      <c r="G1423" s="9" t="str">
        <f t="shared" si="22"/>
        <v/>
      </c>
      <c r="H1423" s="15" t="str">
        <f>IF($B1423="","",IFERROR(INDEX(Services!$A$2:$A$120,MATCH($B1423,Services!$D$2:$D$120,0)),""))</f>
        <v/>
      </c>
      <c r="I1423" s="19"/>
      <c r="J1423" s="15" t="str">
        <f>IF($B1423="","",IFERROR(INDEX(Services!$E$2:$E$120,MATCH($B1423,Services!$D$2:$D$120,0)),""))</f>
        <v/>
      </c>
    </row>
    <row r="1424" spans="1:10" x14ac:dyDescent="0.3">
      <c r="A1424" s="18"/>
      <c r="B1424" s="6"/>
      <c r="C1424" s="6"/>
      <c r="D1424" s="6"/>
      <c r="E1424" s="16" t="str">
        <f>IF($B1424="","",IFERROR(INDEX(Services!$C$2:$C$120,MATCH($B1424,Services!$D$2:$D$120,0)),""))</f>
        <v/>
      </c>
      <c r="F1424" s="19"/>
      <c r="G1424" s="9" t="str">
        <f t="shared" si="22"/>
        <v/>
      </c>
      <c r="H1424" s="15" t="str">
        <f>IF($B1424="","",IFERROR(INDEX(Services!$A$2:$A$120,MATCH($B1424,Services!$D$2:$D$120,0)),""))</f>
        <v/>
      </c>
      <c r="I1424" s="19"/>
      <c r="J1424" s="15" t="str">
        <f>IF($B1424="","",IFERROR(INDEX(Services!$E$2:$E$120,MATCH($B1424,Services!$D$2:$D$120,0)),""))</f>
        <v/>
      </c>
    </row>
    <row r="1425" spans="1:10" x14ac:dyDescent="0.3">
      <c r="A1425" s="18"/>
      <c r="B1425" s="6"/>
      <c r="C1425" s="6"/>
      <c r="D1425" s="6"/>
      <c r="E1425" s="16" t="str">
        <f>IF($B1425="","",IFERROR(INDEX(Services!$C$2:$C$120,MATCH($B1425,Services!$D$2:$D$120,0)),""))</f>
        <v/>
      </c>
      <c r="F1425" s="19"/>
      <c r="G1425" s="9" t="str">
        <f t="shared" si="22"/>
        <v/>
      </c>
      <c r="H1425" s="15" t="str">
        <f>IF($B1425="","",IFERROR(INDEX(Services!$A$2:$A$120,MATCH($B1425,Services!$D$2:$D$120,0)),""))</f>
        <v/>
      </c>
      <c r="I1425" s="19"/>
      <c r="J1425" s="15" t="str">
        <f>IF($B1425="","",IFERROR(INDEX(Services!$E$2:$E$120,MATCH($B1425,Services!$D$2:$D$120,0)),""))</f>
        <v/>
      </c>
    </row>
    <row r="1426" spans="1:10" x14ac:dyDescent="0.3">
      <c r="A1426" s="18"/>
      <c r="B1426" s="6"/>
      <c r="C1426" s="6"/>
      <c r="D1426" s="6"/>
      <c r="E1426" s="16" t="str">
        <f>IF($B1426="","",IFERROR(INDEX(Services!$C$2:$C$120,MATCH($B1426,Services!$D$2:$D$120,0)),""))</f>
        <v/>
      </c>
      <c r="F1426" s="19"/>
      <c r="G1426" s="9" t="str">
        <f t="shared" si="22"/>
        <v/>
      </c>
      <c r="H1426" s="15" t="str">
        <f>IF($B1426="","",IFERROR(INDEX(Services!$A$2:$A$120,MATCH($B1426,Services!$D$2:$D$120,0)),""))</f>
        <v/>
      </c>
      <c r="I1426" s="19"/>
      <c r="J1426" s="15" t="str">
        <f>IF($B1426="","",IFERROR(INDEX(Services!$E$2:$E$120,MATCH($B1426,Services!$D$2:$D$120,0)),""))</f>
        <v/>
      </c>
    </row>
    <row r="1427" spans="1:10" x14ac:dyDescent="0.3">
      <c r="A1427" s="18"/>
      <c r="B1427" s="6"/>
      <c r="C1427" s="6"/>
      <c r="D1427" s="6"/>
      <c r="E1427" s="16" t="str">
        <f>IF($B1427="","",IFERROR(INDEX(Services!$C$2:$C$120,MATCH($B1427,Services!$D$2:$D$120,0)),""))</f>
        <v/>
      </c>
      <c r="F1427" s="19"/>
      <c r="G1427" s="9" t="str">
        <f t="shared" si="22"/>
        <v/>
      </c>
      <c r="H1427" s="15" t="str">
        <f>IF($B1427="","",IFERROR(INDEX(Services!$A$2:$A$120,MATCH($B1427,Services!$D$2:$D$120,0)),""))</f>
        <v/>
      </c>
      <c r="I1427" s="19"/>
      <c r="J1427" s="15" t="str">
        <f>IF($B1427="","",IFERROR(INDEX(Services!$E$2:$E$120,MATCH($B1427,Services!$D$2:$D$120,0)),""))</f>
        <v/>
      </c>
    </row>
    <row r="1428" spans="1:10" x14ac:dyDescent="0.3">
      <c r="A1428" s="18"/>
      <c r="B1428" s="6"/>
      <c r="C1428" s="6"/>
      <c r="D1428" s="6"/>
      <c r="E1428" s="16" t="str">
        <f>IF($B1428="","",IFERROR(INDEX(Services!$C$2:$C$120,MATCH($B1428,Services!$D$2:$D$120,0)),""))</f>
        <v/>
      </c>
      <c r="F1428" s="19"/>
      <c r="G1428" s="9" t="str">
        <f t="shared" si="22"/>
        <v/>
      </c>
      <c r="H1428" s="15" t="str">
        <f>IF($B1428="","",IFERROR(INDEX(Services!$A$2:$A$120,MATCH($B1428,Services!$D$2:$D$120,0)),""))</f>
        <v/>
      </c>
      <c r="I1428" s="19"/>
      <c r="J1428" s="15" t="str">
        <f>IF($B1428="","",IFERROR(INDEX(Services!$E$2:$E$120,MATCH($B1428,Services!$D$2:$D$120,0)),""))</f>
        <v/>
      </c>
    </row>
    <row r="1429" spans="1:10" x14ac:dyDescent="0.3">
      <c r="A1429" s="18"/>
      <c r="B1429" s="6"/>
      <c r="C1429" s="6"/>
      <c r="D1429" s="6"/>
      <c r="E1429" s="16" t="str">
        <f>IF($B1429="","",IFERROR(INDEX(Services!$C$2:$C$120,MATCH($B1429,Services!$D$2:$D$120,0)),""))</f>
        <v/>
      </c>
      <c r="F1429" s="19"/>
      <c r="G1429" s="9" t="str">
        <f t="shared" si="22"/>
        <v/>
      </c>
      <c r="H1429" s="15" t="str">
        <f>IF($B1429="","",IFERROR(INDEX(Services!$A$2:$A$120,MATCH($B1429,Services!$D$2:$D$120,0)),""))</f>
        <v/>
      </c>
      <c r="I1429" s="19"/>
      <c r="J1429" s="15" t="str">
        <f>IF($B1429="","",IFERROR(INDEX(Services!$E$2:$E$120,MATCH($B1429,Services!$D$2:$D$120,0)),""))</f>
        <v/>
      </c>
    </row>
    <row r="1430" spans="1:10" x14ac:dyDescent="0.3">
      <c r="A1430" s="18"/>
      <c r="B1430" s="6"/>
      <c r="C1430" s="6"/>
      <c r="D1430" s="6"/>
      <c r="E1430" s="16" t="str">
        <f>IF($B1430="","",IFERROR(INDEX(Services!$C$2:$C$120,MATCH($B1430,Services!$D$2:$D$120,0)),""))</f>
        <v/>
      </c>
      <c r="F1430" s="19"/>
      <c r="G1430" s="9" t="str">
        <f t="shared" si="22"/>
        <v/>
      </c>
      <c r="H1430" s="15" t="str">
        <f>IF($B1430="","",IFERROR(INDEX(Services!$A$2:$A$120,MATCH($B1430,Services!$D$2:$D$120,0)),""))</f>
        <v/>
      </c>
      <c r="I1430" s="19"/>
      <c r="J1430" s="15" t="str">
        <f>IF($B1430="","",IFERROR(INDEX(Services!$E$2:$E$120,MATCH($B1430,Services!$D$2:$D$120,0)),""))</f>
        <v/>
      </c>
    </row>
    <row r="1431" spans="1:10" x14ac:dyDescent="0.3">
      <c r="A1431" s="18"/>
      <c r="B1431" s="6"/>
      <c r="C1431" s="6"/>
      <c r="D1431" s="6"/>
      <c r="E1431" s="16" t="str">
        <f>IF($B1431="","",IFERROR(INDEX(Services!$C$2:$C$120,MATCH($B1431,Services!$D$2:$D$120,0)),""))</f>
        <v/>
      </c>
      <c r="F1431" s="19"/>
      <c r="G1431" s="9" t="str">
        <f t="shared" si="22"/>
        <v/>
      </c>
      <c r="H1431" s="15" t="str">
        <f>IF($B1431="","",IFERROR(INDEX(Services!$A$2:$A$120,MATCH($B1431,Services!$D$2:$D$120,0)),""))</f>
        <v/>
      </c>
      <c r="I1431" s="19"/>
      <c r="J1431" s="15" t="str">
        <f>IF($B1431="","",IFERROR(INDEX(Services!$E$2:$E$120,MATCH($B1431,Services!$D$2:$D$120,0)),""))</f>
        <v/>
      </c>
    </row>
    <row r="1432" spans="1:10" x14ac:dyDescent="0.3">
      <c r="A1432" s="18"/>
      <c r="B1432" s="6"/>
      <c r="C1432" s="6"/>
      <c r="D1432" s="6"/>
      <c r="E1432" s="16" t="str">
        <f>IF($B1432="","",IFERROR(INDEX(Services!$C$2:$C$120,MATCH($B1432,Services!$D$2:$D$120,0)),""))</f>
        <v/>
      </c>
      <c r="F1432" s="19"/>
      <c r="G1432" s="9" t="str">
        <f t="shared" si="22"/>
        <v/>
      </c>
      <c r="H1432" s="15" t="str">
        <f>IF($B1432="","",IFERROR(INDEX(Services!$A$2:$A$120,MATCH($B1432,Services!$D$2:$D$120,0)),""))</f>
        <v/>
      </c>
      <c r="I1432" s="19"/>
      <c r="J1432" s="15" t="str">
        <f>IF($B1432="","",IFERROR(INDEX(Services!$E$2:$E$120,MATCH($B1432,Services!$D$2:$D$120,0)),""))</f>
        <v/>
      </c>
    </row>
    <row r="1433" spans="1:10" x14ac:dyDescent="0.3">
      <c r="A1433" s="18"/>
      <c r="B1433" s="6"/>
      <c r="C1433" s="6"/>
      <c r="D1433" s="6"/>
      <c r="E1433" s="16" t="str">
        <f>IF($B1433="","",IFERROR(INDEX(Services!$C$2:$C$120,MATCH($B1433,Services!$D$2:$D$120,0)),""))</f>
        <v/>
      </c>
      <c r="F1433" s="19"/>
      <c r="G1433" s="9" t="str">
        <f t="shared" si="22"/>
        <v/>
      </c>
      <c r="H1433" s="15" t="str">
        <f>IF($B1433="","",IFERROR(INDEX(Services!$A$2:$A$120,MATCH($B1433,Services!$D$2:$D$120,0)),""))</f>
        <v/>
      </c>
      <c r="I1433" s="19"/>
      <c r="J1433" s="15" t="str">
        <f>IF($B1433="","",IFERROR(INDEX(Services!$E$2:$E$120,MATCH($B1433,Services!$D$2:$D$120,0)),""))</f>
        <v/>
      </c>
    </row>
    <row r="1434" spans="1:10" x14ac:dyDescent="0.3">
      <c r="A1434" s="18"/>
      <c r="B1434" s="6"/>
      <c r="C1434" s="6"/>
      <c r="D1434" s="6"/>
      <c r="E1434" s="16" t="str">
        <f>IF($B1434="","",IFERROR(INDEX(Services!$C$2:$C$120,MATCH($B1434,Services!$D$2:$D$120,0)),""))</f>
        <v/>
      </c>
      <c r="F1434" s="19"/>
      <c r="G1434" s="9" t="str">
        <f t="shared" si="22"/>
        <v/>
      </c>
      <c r="H1434" s="15" t="str">
        <f>IF($B1434="","",IFERROR(INDEX(Services!$A$2:$A$120,MATCH($B1434,Services!$D$2:$D$120,0)),""))</f>
        <v/>
      </c>
      <c r="I1434" s="19"/>
      <c r="J1434" s="15" t="str">
        <f>IF($B1434="","",IFERROR(INDEX(Services!$E$2:$E$120,MATCH($B1434,Services!$D$2:$D$120,0)),""))</f>
        <v/>
      </c>
    </row>
    <row r="1435" spans="1:10" x14ac:dyDescent="0.3">
      <c r="A1435" s="18"/>
      <c r="B1435" s="6"/>
      <c r="C1435" s="6"/>
      <c r="D1435" s="6"/>
      <c r="E1435" s="16" t="str">
        <f>IF($B1435="","",IFERROR(INDEX(Services!$C$2:$C$120,MATCH($B1435,Services!$D$2:$D$120,0)),""))</f>
        <v/>
      </c>
      <c r="F1435" s="19"/>
      <c r="G1435" s="9" t="str">
        <f t="shared" si="22"/>
        <v/>
      </c>
      <c r="H1435" s="15" t="str">
        <f>IF($B1435="","",IFERROR(INDEX(Services!$A$2:$A$120,MATCH($B1435,Services!$D$2:$D$120,0)),""))</f>
        <v/>
      </c>
      <c r="I1435" s="19"/>
      <c r="J1435" s="15" t="str">
        <f>IF($B1435="","",IFERROR(INDEX(Services!$E$2:$E$120,MATCH($B1435,Services!$D$2:$D$120,0)),""))</f>
        <v/>
      </c>
    </row>
    <row r="1436" spans="1:10" x14ac:dyDescent="0.3">
      <c r="A1436" s="18"/>
      <c r="B1436" s="6"/>
      <c r="C1436" s="6"/>
      <c r="D1436" s="6"/>
      <c r="E1436" s="16" t="str">
        <f>IF($B1436="","",IFERROR(INDEX(Services!$C$2:$C$120,MATCH($B1436,Services!$D$2:$D$120,0)),""))</f>
        <v/>
      </c>
      <c r="F1436" s="19"/>
      <c r="G1436" s="9" t="str">
        <f t="shared" si="22"/>
        <v/>
      </c>
      <c r="H1436" s="15" t="str">
        <f>IF($B1436="","",IFERROR(INDEX(Services!$A$2:$A$120,MATCH($B1436,Services!$D$2:$D$120,0)),""))</f>
        <v/>
      </c>
      <c r="I1436" s="19"/>
      <c r="J1436" s="15" t="str">
        <f>IF($B1436="","",IFERROR(INDEX(Services!$E$2:$E$120,MATCH($B1436,Services!$D$2:$D$120,0)),""))</f>
        <v/>
      </c>
    </row>
    <row r="1437" spans="1:10" x14ac:dyDescent="0.3">
      <c r="A1437" s="18"/>
      <c r="B1437" s="6"/>
      <c r="C1437" s="6"/>
      <c r="D1437" s="6"/>
      <c r="E1437" s="16" t="str">
        <f>IF($B1437="","",IFERROR(INDEX(Services!$C$2:$C$120,MATCH($B1437,Services!$D$2:$D$120,0)),""))</f>
        <v/>
      </c>
      <c r="F1437" s="19"/>
      <c r="G1437" s="9" t="str">
        <f t="shared" si="22"/>
        <v/>
      </c>
      <c r="H1437" s="15" t="str">
        <f>IF($B1437="","",IFERROR(INDEX(Services!$A$2:$A$120,MATCH($B1437,Services!$D$2:$D$120,0)),""))</f>
        <v/>
      </c>
      <c r="I1437" s="19"/>
      <c r="J1437" s="15" t="str">
        <f>IF($B1437="","",IFERROR(INDEX(Services!$E$2:$E$120,MATCH($B1437,Services!$D$2:$D$120,0)),""))</f>
        <v/>
      </c>
    </row>
    <row r="1438" spans="1:10" x14ac:dyDescent="0.3">
      <c r="A1438" s="18"/>
      <c r="B1438" s="6"/>
      <c r="C1438" s="6"/>
      <c r="D1438" s="6"/>
      <c r="E1438" s="16" t="str">
        <f>IF($B1438="","",IFERROR(INDEX(Services!$C$2:$C$120,MATCH($B1438,Services!$D$2:$D$120,0)),""))</f>
        <v/>
      </c>
      <c r="F1438" s="19"/>
      <c r="G1438" s="9" t="str">
        <f t="shared" si="22"/>
        <v/>
      </c>
      <c r="H1438" s="15" t="str">
        <f>IF($B1438="","",IFERROR(INDEX(Services!$A$2:$A$120,MATCH($B1438,Services!$D$2:$D$120,0)),""))</f>
        <v/>
      </c>
      <c r="I1438" s="19"/>
      <c r="J1438" s="15" t="str">
        <f>IF($B1438="","",IFERROR(INDEX(Services!$E$2:$E$120,MATCH($B1438,Services!$D$2:$D$120,0)),""))</f>
        <v/>
      </c>
    </row>
    <row r="1439" spans="1:10" x14ac:dyDescent="0.3">
      <c r="A1439" s="18"/>
      <c r="B1439" s="6"/>
      <c r="C1439" s="6"/>
      <c r="D1439" s="6"/>
      <c r="E1439" s="16" t="str">
        <f>IF($B1439="","",IFERROR(INDEX(Services!$C$2:$C$120,MATCH($B1439,Services!$D$2:$D$120,0)),""))</f>
        <v/>
      </c>
      <c r="F1439" s="19"/>
      <c r="G1439" s="9" t="str">
        <f t="shared" si="22"/>
        <v/>
      </c>
      <c r="H1439" s="15" t="str">
        <f>IF($B1439="","",IFERROR(INDEX(Services!$A$2:$A$120,MATCH($B1439,Services!$D$2:$D$120,0)),""))</f>
        <v/>
      </c>
      <c r="I1439" s="19"/>
      <c r="J1439" s="15" t="str">
        <f>IF($B1439="","",IFERROR(INDEX(Services!$E$2:$E$120,MATCH($B1439,Services!$D$2:$D$120,0)),""))</f>
        <v/>
      </c>
    </row>
    <row r="1440" spans="1:10" x14ac:dyDescent="0.3">
      <c r="A1440" s="18"/>
      <c r="B1440" s="6"/>
      <c r="C1440" s="6"/>
      <c r="D1440" s="6"/>
      <c r="E1440" s="16" t="str">
        <f>IF($B1440="","",IFERROR(INDEX(Services!$C$2:$C$120,MATCH($B1440,Services!$D$2:$D$120,0)),""))</f>
        <v/>
      </c>
      <c r="F1440" s="19"/>
      <c r="G1440" s="9" t="str">
        <f t="shared" si="22"/>
        <v/>
      </c>
      <c r="H1440" s="15" t="str">
        <f>IF($B1440="","",IFERROR(INDEX(Services!$A$2:$A$120,MATCH($B1440,Services!$D$2:$D$120,0)),""))</f>
        <v/>
      </c>
      <c r="I1440" s="19"/>
      <c r="J1440" s="15" t="str">
        <f>IF($B1440="","",IFERROR(INDEX(Services!$E$2:$E$120,MATCH($B1440,Services!$D$2:$D$120,0)),""))</f>
        <v/>
      </c>
    </row>
    <row r="1441" spans="1:10" x14ac:dyDescent="0.3">
      <c r="A1441" s="18"/>
      <c r="B1441" s="6"/>
      <c r="C1441" s="6"/>
      <c r="D1441" s="6"/>
      <c r="E1441" s="16" t="str">
        <f>IF($B1441="","",IFERROR(INDEX(Services!$C$2:$C$120,MATCH($B1441,Services!$D$2:$D$120,0)),""))</f>
        <v/>
      </c>
      <c r="F1441" s="19"/>
      <c r="G1441" s="9" t="str">
        <f t="shared" si="22"/>
        <v/>
      </c>
      <c r="H1441" s="15" t="str">
        <f>IF($B1441="","",IFERROR(INDEX(Services!$A$2:$A$120,MATCH($B1441,Services!$D$2:$D$120,0)),""))</f>
        <v/>
      </c>
      <c r="I1441" s="19"/>
      <c r="J1441" s="15" t="str">
        <f>IF($B1441="","",IFERROR(INDEX(Services!$E$2:$E$120,MATCH($B1441,Services!$D$2:$D$120,0)),""))</f>
        <v/>
      </c>
    </row>
    <row r="1442" spans="1:10" x14ac:dyDescent="0.3">
      <c r="A1442" s="18"/>
      <c r="B1442" s="6"/>
      <c r="C1442" s="6"/>
      <c r="D1442" s="6"/>
      <c r="E1442" s="16" t="str">
        <f>IF($B1442="","",IFERROR(INDEX(Services!$C$2:$C$120,MATCH($B1442,Services!$D$2:$D$120,0)),""))</f>
        <v/>
      </c>
      <c r="F1442" s="19"/>
      <c r="G1442" s="9" t="str">
        <f t="shared" si="22"/>
        <v/>
      </c>
      <c r="H1442" s="15" t="str">
        <f>IF($B1442="","",IFERROR(INDEX(Services!$A$2:$A$120,MATCH($B1442,Services!$D$2:$D$120,0)),""))</f>
        <v/>
      </c>
      <c r="I1442" s="19"/>
      <c r="J1442" s="15" t="str">
        <f>IF($B1442="","",IFERROR(INDEX(Services!$E$2:$E$120,MATCH($B1442,Services!$D$2:$D$120,0)),""))</f>
        <v/>
      </c>
    </row>
    <row r="1443" spans="1:10" x14ac:dyDescent="0.3">
      <c r="A1443" s="18"/>
      <c r="B1443" s="6"/>
      <c r="C1443" s="6"/>
      <c r="D1443" s="6"/>
      <c r="E1443" s="16" t="str">
        <f>IF($B1443="","",IFERROR(INDEX(Services!$C$2:$C$120,MATCH($B1443,Services!$D$2:$D$120,0)),""))</f>
        <v/>
      </c>
      <c r="F1443" s="19"/>
      <c r="G1443" s="9" t="str">
        <f t="shared" si="22"/>
        <v/>
      </c>
      <c r="H1443" s="15" t="str">
        <f>IF($B1443="","",IFERROR(INDEX(Services!$A$2:$A$120,MATCH($B1443,Services!$D$2:$D$120,0)),""))</f>
        <v/>
      </c>
      <c r="I1443" s="19"/>
      <c r="J1443" s="15" t="str">
        <f>IF($B1443="","",IFERROR(INDEX(Services!$E$2:$E$120,MATCH($B1443,Services!$D$2:$D$120,0)),""))</f>
        <v/>
      </c>
    </row>
    <row r="1444" spans="1:10" x14ac:dyDescent="0.3">
      <c r="A1444" s="18"/>
      <c r="B1444" s="6"/>
      <c r="C1444" s="6"/>
      <c r="D1444" s="6"/>
      <c r="E1444" s="16" t="str">
        <f>IF($B1444="","",IFERROR(INDEX(Services!$C$2:$C$120,MATCH($B1444,Services!$D$2:$D$120,0)),""))</f>
        <v/>
      </c>
      <c r="F1444" s="19"/>
      <c r="G1444" s="9" t="str">
        <f t="shared" si="22"/>
        <v/>
      </c>
      <c r="H1444" s="15" t="str">
        <f>IF($B1444="","",IFERROR(INDEX(Services!$A$2:$A$120,MATCH($B1444,Services!$D$2:$D$120,0)),""))</f>
        <v/>
      </c>
      <c r="I1444" s="19"/>
      <c r="J1444" s="15" t="str">
        <f>IF($B1444="","",IFERROR(INDEX(Services!$E$2:$E$120,MATCH($B1444,Services!$D$2:$D$120,0)),""))</f>
        <v/>
      </c>
    </row>
    <row r="1445" spans="1:10" x14ac:dyDescent="0.3">
      <c r="A1445" s="18"/>
      <c r="B1445" s="6"/>
      <c r="C1445" s="6"/>
      <c r="D1445" s="6"/>
      <c r="E1445" s="16" t="str">
        <f>IF($B1445="","",IFERROR(INDEX(Services!$C$2:$C$120,MATCH($B1445,Services!$D$2:$D$120,0)),""))</f>
        <v/>
      </c>
      <c r="F1445" s="19"/>
      <c r="G1445" s="9" t="str">
        <f t="shared" si="22"/>
        <v/>
      </c>
      <c r="H1445" s="15" t="str">
        <f>IF($B1445="","",IFERROR(INDEX(Services!$A$2:$A$120,MATCH($B1445,Services!$D$2:$D$120,0)),""))</f>
        <v/>
      </c>
      <c r="I1445" s="19"/>
      <c r="J1445" s="15" t="str">
        <f>IF($B1445="","",IFERROR(INDEX(Services!$E$2:$E$120,MATCH($B1445,Services!$D$2:$D$120,0)),""))</f>
        <v/>
      </c>
    </row>
    <row r="1446" spans="1:10" x14ac:dyDescent="0.3">
      <c r="A1446" s="18"/>
      <c r="B1446" s="6"/>
      <c r="C1446" s="6"/>
      <c r="D1446" s="6"/>
      <c r="E1446" s="16" t="str">
        <f>IF($B1446="","",IFERROR(INDEX(Services!$C$2:$C$120,MATCH($B1446,Services!$D$2:$D$120,0)),""))</f>
        <v/>
      </c>
      <c r="F1446" s="19"/>
      <c r="G1446" s="9" t="str">
        <f t="shared" si="22"/>
        <v/>
      </c>
      <c r="H1446" s="15" t="str">
        <f>IF($B1446="","",IFERROR(INDEX(Services!$A$2:$A$120,MATCH($B1446,Services!$D$2:$D$120,0)),""))</f>
        <v/>
      </c>
      <c r="I1446" s="19"/>
      <c r="J1446" s="15" t="str">
        <f>IF($B1446="","",IFERROR(INDEX(Services!$E$2:$E$120,MATCH($B1446,Services!$D$2:$D$120,0)),""))</f>
        <v/>
      </c>
    </row>
    <row r="1447" spans="1:10" x14ac:dyDescent="0.3">
      <c r="A1447" s="18"/>
      <c r="B1447" s="6"/>
      <c r="C1447" s="6"/>
      <c r="D1447" s="6"/>
      <c r="E1447" s="16" t="str">
        <f>IF($B1447="","",IFERROR(INDEX(Services!$C$2:$C$120,MATCH($B1447,Services!$D$2:$D$120,0)),""))</f>
        <v/>
      </c>
      <c r="F1447" s="19"/>
      <c r="G1447" s="9" t="str">
        <f t="shared" si="22"/>
        <v/>
      </c>
      <c r="H1447" s="15" t="str">
        <f>IF($B1447="","",IFERROR(INDEX(Services!$A$2:$A$120,MATCH($B1447,Services!$D$2:$D$120,0)),""))</f>
        <v/>
      </c>
      <c r="I1447" s="19"/>
      <c r="J1447" s="15" t="str">
        <f>IF($B1447="","",IFERROR(INDEX(Services!$E$2:$E$120,MATCH($B1447,Services!$D$2:$D$120,0)),""))</f>
        <v/>
      </c>
    </row>
    <row r="1448" spans="1:10" x14ac:dyDescent="0.3">
      <c r="A1448" s="18"/>
      <c r="B1448" s="6"/>
      <c r="C1448" s="6"/>
      <c r="D1448" s="6"/>
      <c r="E1448" s="16" t="str">
        <f>IF($B1448="","",IFERROR(INDEX(Services!$C$2:$C$120,MATCH($B1448,Services!$D$2:$D$120,0)),""))</f>
        <v/>
      </c>
      <c r="F1448" s="19"/>
      <c r="G1448" s="9" t="str">
        <f t="shared" si="22"/>
        <v/>
      </c>
      <c r="H1448" s="15" t="str">
        <f>IF($B1448="","",IFERROR(INDEX(Services!$A$2:$A$120,MATCH($B1448,Services!$D$2:$D$120,0)),""))</f>
        <v/>
      </c>
      <c r="I1448" s="19"/>
      <c r="J1448" s="15" t="str">
        <f>IF($B1448="","",IFERROR(INDEX(Services!$E$2:$E$120,MATCH($B1448,Services!$D$2:$D$120,0)),""))</f>
        <v/>
      </c>
    </row>
    <row r="1449" spans="1:10" x14ac:dyDescent="0.3">
      <c r="A1449" s="18"/>
      <c r="B1449" s="6"/>
      <c r="C1449" s="6"/>
      <c r="D1449" s="6"/>
      <c r="E1449" s="16" t="str">
        <f>IF($B1449="","",IFERROR(INDEX(Services!$C$2:$C$120,MATCH($B1449,Services!$D$2:$D$120,0)),""))</f>
        <v/>
      </c>
      <c r="F1449" s="19"/>
      <c r="G1449" s="9" t="str">
        <f t="shared" si="22"/>
        <v/>
      </c>
      <c r="H1449" s="15" t="str">
        <f>IF($B1449="","",IFERROR(INDEX(Services!$A$2:$A$120,MATCH($B1449,Services!$D$2:$D$120,0)),""))</f>
        <v/>
      </c>
      <c r="I1449" s="19"/>
      <c r="J1449" s="15" t="str">
        <f>IF($B1449="","",IFERROR(INDEX(Services!$E$2:$E$120,MATCH($B1449,Services!$D$2:$D$120,0)),""))</f>
        <v/>
      </c>
    </row>
    <row r="1450" spans="1:10" x14ac:dyDescent="0.3">
      <c r="A1450" s="18"/>
      <c r="B1450" s="6"/>
      <c r="C1450" s="6"/>
      <c r="D1450" s="6"/>
      <c r="E1450" s="16" t="str">
        <f>IF($B1450="","",IFERROR(INDEX(Services!$C$2:$C$120,MATCH($B1450,Services!$D$2:$D$120,0)),""))</f>
        <v/>
      </c>
      <c r="F1450" s="19"/>
      <c r="G1450" s="9" t="str">
        <f t="shared" si="22"/>
        <v/>
      </c>
      <c r="H1450" s="15" t="str">
        <f>IF($B1450="","",IFERROR(INDEX(Services!$A$2:$A$120,MATCH($B1450,Services!$D$2:$D$120,0)),""))</f>
        <v/>
      </c>
      <c r="I1450" s="19"/>
      <c r="J1450" s="15" t="str">
        <f>IF($B1450="","",IFERROR(INDEX(Services!$E$2:$E$120,MATCH($B1450,Services!$D$2:$D$120,0)),""))</f>
        <v/>
      </c>
    </row>
    <row r="1451" spans="1:10" x14ac:dyDescent="0.3">
      <c r="A1451" s="18"/>
      <c r="B1451" s="6"/>
      <c r="C1451" s="6"/>
      <c r="D1451" s="6"/>
      <c r="E1451" s="16" t="str">
        <f>IF($B1451="","",IFERROR(INDEX(Services!$C$2:$C$120,MATCH($B1451,Services!$D$2:$D$120,0)),""))</f>
        <v/>
      </c>
      <c r="F1451" s="19"/>
      <c r="G1451" s="9" t="str">
        <f t="shared" si="22"/>
        <v/>
      </c>
      <c r="H1451" s="15" t="str">
        <f>IF($B1451="","",IFERROR(INDEX(Services!$A$2:$A$120,MATCH($B1451,Services!$D$2:$D$120,0)),""))</f>
        <v/>
      </c>
      <c r="I1451" s="19"/>
      <c r="J1451" s="15" t="str">
        <f>IF($B1451="","",IFERROR(INDEX(Services!$E$2:$E$120,MATCH($B1451,Services!$D$2:$D$120,0)),""))</f>
        <v/>
      </c>
    </row>
    <row r="1452" spans="1:10" x14ac:dyDescent="0.3">
      <c r="A1452" s="18"/>
      <c r="B1452" s="6"/>
      <c r="C1452" s="6"/>
      <c r="D1452" s="6"/>
      <c r="E1452" s="16" t="str">
        <f>IF($B1452="","",IFERROR(INDEX(Services!$C$2:$C$120,MATCH($B1452,Services!$D$2:$D$120,0)),""))</f>
        <v/>
      </c>
      <c r="F1452" s="19"/>
      <c r="G1452" s="9" t="str">
        <f t="shared" si="22"/>
        <v/>
      </c>
      <c r="H1452" s="15" t="str">
        <f>IF($B1452="","",IFERROR(INDEX(Services!$A$2:$A$120,MATCH($B1452,Services!$D$2:$D$120,0)),""))</f>
        <v/>
      </c>
      <c r="I1452" s="19"/>
      <c r="J1452" s="15" t="str">
        <f>IF($B1452="","",IFERROR(INDEX(Services!$E$2:$E$120,MATCH($B1452,Services!$D$2:$D$120,0)),""))</f>
        <v/>
      </c>
    </row>
    <row r="1453" spans="1:10" x14ac:dyDescent="0.3">
      <c r="A1453" s="18"/>
      <c r="B1453" s="6"/>
      <c r="C1453" s="6"/>
      <c r="D1453" s="6"/>
      <c r="E1453" s="16" t="str">
        <f>IF($B1453="","",IFERROR(INDEX(Services!$C$2:$C$120,MATCH($B1453,Services!$D$2:$D$120,0)),""))</f>
        <v/>
      </c>
      <c r="F1453" s="19"/>
      <c r="G1453" s="9" t="str">
        <f t="shared" si="22"/>
        <v/>
      </c>
      <c r="H1453" s="15" t="str">
        <f>IF($B1453="","",IFERROR(INDEX(Services!$A$2:$A$120,MATCH($B1453,Services!$D$2:$D$120,0)),""))</f>
        <v/>
      </c>
      <c r="I1453" s="19"/>
      <c r="J1453" s="15" t="str">
        <f>IF($B1453="","",IFERROR(INDEX(Services!$E$2:$E$120,MATCH($B1453,Services!$D$2:$D$120,0)),""))</f>
        <v/>
      </c>
    </row>
    <row r="1454" spans="1:10" x14ac:dyDescent="0.3">
      <c r="A1454" s="18"/>
      <c r="B1454" s="6"/>
      <c r="C1454" s="6"/>
      <c r="D1454" s="6"/>
      <c r="E1454" s="16" t="str">
        <f>IF($B1454="","",IFERROR(INDEX(Services!$C$2:$C$120,MATCH($B1454,Services!$D$2:$D$120,0)),""))</f>
        <v/>
      </c>
      <c r="F1454" s="19"/>
      <c r="G1454" s="9" t="str">
        <f t="shared" si="22"/>
        <v/>
      </c>
      <c r="H1454" s="15" t="str">
        <f>IF($B1454="","",IFERROR(INDEX(Services!$A$2:$A$120,MATCH($B1454,Services!$D$2:$D$120,0)),""))</f>
        <v/>
      </c>
      <c r="I1454" s="19"/>
      <c r="J1454" s="15" t="str">
        <f>IF($B1454="","",IFERROR(INDEX(Services!$E$2:$E$120,MATCH($B1454,Services!$D$2:$D$120,0)),""))</f>
        <v/>
      </c>
    </row>
    <row r="1455" spans="1:10" x14ac:dyDescent="0.3">
      <c r="A1455" s="18"/>
      <c r="B1455" s="6"/>
      <c r="C1455" s="6"/>
      <c r="D1455" s="6"/>
      <c r="E1455" s="16" t="str">
        <f>IF($B1455="","",IFERROR(INDEX(Services!$C$2:$C$120,MATCH($B1455,Services!$D$2:$D$120,0)),""))</f>
        <v/>
      </c>
      <c r="F1455" s="19"/>
      <c r="G1455" s="9" t="str">
        <f t="shared" si="22"/>
        <v/>
      </c>
      <c r="H1455" s="15" t="str">
        <f>IF($B1455="","",IFERROR(INDEX(Services!$A$2:$A$120,MATCH($B1455,Services!$D$2:$D$120,0)),""))</f>
        <v/>
      </c>
      <c r="I1455" s="19"/>
      <c r="J1455" s="15" t="str">
        <f>IF($B1455="","",IFERROR(INDEX(Services!$E$2:$E$120,MATCH($B1455,Services!$D$2:$D$120,0)),""))</f>
        <v/>
      </c>
    </row>
    <row r="1456" spans="1:10" x14ac:dyDescent="0.3">
      <c r="A1456" s="18"/>
      <c r="B1456" s="6"/>
      <c r="C1456" s="6"/>
      <c r="D1456" s="6"/>
      <c r="E1456" s="16" t="str">
        <f>IF($B1456="","",IFERROR(INDEX(Services!$C$2:$C$120,MATCH($B1456,Services!$D$2:$D$120,0)),""))</f>
        <v/>
      </c>
      <c r="F1456" s="19"/>
      <c r="G1456" s="9" t="str">
        <f t="shared" si="22"/>
        <v/>
      </c>
      <c r="H1456" s="15" t="str">
        <f>IF($B1456="","",IFERROR(INDEX(Services!$A$2:$A$120,MATCH($B1456,Services!$D$2:$D$120,0)),""))</f>
        <v/>
      </c>
      <c r="I1456" s="19"/>
      <c r="J1456" s="15" t="str">
        <f>IF($B1456="","",IFERROR(INDEX(Services!$E$2:$E$120,MATCH($B1456,Services!$D$2:$D$120,0)),""))</f>
        <v/>
      </c>
    </row>
    <row r="1457" spans="1:10" x14ac:dyDescent="0.3">
      <c r="A1457" s="18"/>
      <c r="B1457" s="6"/>
      <c r="C1457" s="6"/>
      <c r="D1457" s="6"/>
      <c r="E1457" s="16" t="str">
        <f>IF($B1457="","",IFERROR(INDEX(Services!$C$2:$C$120,MATCH($B1457,Services!$D$2:$D$120,0)),""))</f>
        <v/>
      </c>
      <c r="F1457" s="19"/>
      <c r="G1457" s="9" t="str">
        <f t="shared" si="22"/>
        <v/>
      </c>
      <c r="H1457" s="15" t="str">
        <f>IF($B1457="","",IFERROR(INDEX(Services!$A$2:$A$120,MATCH($B1457,Services!$D$2:$D$120,0)),""))</f>
        <v/>
      </c>
      <c r="I1457" s="19"/>
      <c r="J1457" s="15" t="str">
        <f>IF($B1457="","",IFERROR(INDEX(Services!$E$2:$E$120,MATCH($B1457,Services!$D$2:$D$120,0)),""))</f>
        <v/>
      </c>
    </row>
    <row r="1458" spans="1:10" x14ac:dyDescent="0.3">
      <c r="A1458" s="18"/>
      <c r="B1458" s="6"/>
      <c r="C1458" s="6"/>
      <c r="D1458" s="6"/>
      <c r="E1458" s="16" t="str">
        <f>IF($B1458="","",IFERROR(INDEX(Services!$C$2:$C$120,MATCH($B1458,Services!$D$2:$D$120,0)),""))</f>
        <v/>
      </c>
      <c r="F1458" s="19"/>
      <c r="G1458" s="9" t="str">
        <f t="shared" si="22"/>
        <v/>
      </c>
      <c r="H1458" s="15" t="str">
        <f>IF($B1458="","",IFERROR(INDEX(Services!$A$2:$A$120,MATCH($B1458,Services!$D$2:$D$120,0)),""))</f>
        <v/>
      </c>
      <c r="I1458" s="19"/>
      <c r="J1458" s="15" t="str">
        <f>IF($B1458="","",IFERROR(INDEX(Services!$E$2:$E$120,MATCH($B1458,Services!$D$2:$D$120,0)),""))</f>
        <v/>
      </c>
    </row>
    <row r="1459" spans="1:10" x14ac:dyDescent="0.3">
      <c r="A1459" s="18"/>
      <c r="B1459" s="6"/>
      <c r="C1459" s="6"/>
      <c r="D1459" s="6"/>
      <c r="E1459" s="16" t="str">
        <f>IF($B1459="","",IFERROR(INDEX(Services!$C$2:$C$120,MATCH($B1459,Services!$D$2:$D$120,0)),""))</f>
        <v/>
      </c>
      <c r="F1459" s="19"/>
      <c r="G1459" s="9" t="str">
        <f t="shared" si="22"/>
        <v/>
      </c>
      <c r="H1459" s="15" t="str">
        <f>IF($B1459="","",IFERROR(INDEX(Services!$A$2:$A$120,MATCH($B1459,Services!$D$2:$D$120,0)),""))</f>
        <v/>
      </c>
      <c r="I1459" s="19"/>
      <c r="J1459" s="15" t="str">
        <f>IF($B1459="","",IFERROR(INDEX(Services!$E$2:$E$120,MATCH($B1459,Services!$D$2:$D$120,0)),""))</f>
        <v/>
      </c>
    </row>
    <row r="1460" spans="1:10" x14ac:dyDescent="0.3">
      <c r="A1460" s="18"/>
      <c r="B1460" s="6"/>
      <c r="C1460" s="6"/>
      <c r="D1460" s="6"/>
      <c r="E1460" s="16" t="str">
        <f>IF($B1460="","",IFERROR(INDEX(Services!$C$2:$C$120,MATCH($B1460,Services!$D$2:$D$120,0)),""))</f>
        <v/>
      </c>
      <c r="F1460" s="19"/>
      <c r="G1460" s="9" t="str">
        <f t="shared" si="22"/>
        <v/>
      </c>
      <c r="H1460" s="15" t="str">
        <f>IF($B1460="","",IFERROR(INDEX(Services!$A$2:$A$120,MATCH($B1460,Services!$D$2:$D$120,0)),""))</f>
        <v/>
      </c>
      <c r="I1460" s="19"/>
      <c r="J1460" s="15" t="str">
        <f>IF($B1460="","",IFERROR(INDEX(Services!$E$2:$E$120,MATCH($B1460,Services!$D$2:$D$120,0)),""))</f>
        <v/>
      </c>
    </row>
    <row r="1461" spans="1:10" x14ac:dyDescent="0.3">
      <c r="A1461" s="18"/>
      <c r="B1461" s="6"/>
      <c r="C1461" s="6"/>
      <c r="D1461" s="6"/>
      <c r="E1461" s="16" t="str">
        <f>IF($B1461="","",IFERROR(INDEX(Services!$C$2:$C$120,MATCH($B1461,Services!$D$2:$D$120,0)),""))</f>
        <v/>
      </c>
      <c r="F1461" s="19"/>
      <c r="G1461" s="9" t="str">
        <f t="shared" si="22"/>
        <v/>
      </c>
      <c r="H1461" s="15" t="str">
        <f>IF($B1461="","",IFERROR(INDEX(Services!$A$2:$A$120,MATCH($B1461,Services!$D$2:$D$120,0)),""))</f>
        <v/>
      </c>
      <c r="I1461" s="19"/>
      <c r="J1461" s="15" t="str">
        <f>IF($B1461="","",IFERROR(INDEX(Services!$E$2:$E$120,MATCH($B1461,Services!$D$2:$D$120,0)),""))</f>
        <v/>
      </c>
    </row>
    <row r="1462" spans="1:10" x14ac:dyDescent="0.3">
      <c r="A1462" s="18"/>
      <c r="B1462" s="6"/>
      <c r="C1462" s="6"/>
      <c r="D1462" s="6"/>
      <c r="E1462" s="16" t="str">
        <f>IF($B1462="","",IFERROR(INDEX(Services!$C$2:$C$120,MATCH($B1462,Services!$D$2:$D$120,0)),""))</f>
        <v/>
      </c>
      <c r="F1462" s="19"/>
      <c r="G1462" s="9" t="str">
        <f t="shared" si="22"/>
        <v/>
      </c>
      <c r="H1462" s="15" t="str">
        <f>IF($B1462="","",IFERROR(INDEX(Services!$A$2:$A$120,MATCH($B1462,Services!$D$2:$D$120,0)),""))</f>
        <v/>
      </c>
      <c r="I1462" s="19"/>
      <c r="J1462" s="15" t="str">
        <f>IF($B1462="","",IFERROR(INDEX(Services!$E$2:$E$120,MATCH($B1462,Services!$D$2:$D$120,0)),""))</f>
        <v/>
      </c>
    </row>
    <row r="1463" spans="1:10" x14ac:dyDescent="0.3">
      <c r="A1463" s="18"/>
      <c r="B1463" s="6"/>
      <c r="C1463" s="6"/>
      <c r="D1463" s="6"/>
      <c r="E1463" s="16" t="str">
        <f>IF($B1463="","",IFERROR(INDEX(Services!$C$2:$C$120,MATCH($B1463,Services!$D$2:$D$120,0)),""))</f>
        <v/>
      </c>
      <c r="F1463" s="19"/>
      <c r="G1463" s="9" t="str">
        <f t="shared" si="22"/>
        <v/>
      </c>
      <c r="H1463" s="15" t="str">
        <f>IF($B1463="","",IFERROR(INDEX(Services!$A$2:$A$120,MATCH($B1463,Services!$D$2:$D$120,0)),""))</f>
        <v/>
      </c>
      <c r="I1463" s="19"/>
      <c r="J1463" s="15" t="str">
        <f>IF($B1463="","",IFERROR(INDEX(Services!$E$2:$E$120,MATCH($B1463,Services!$D$2:$D$120,0)),""))</f>
        <v/>
      </c>
    </row>
    <row r="1464" spans="1:10" x14ac:dyDescent="0.3">
      <c r="A1464" s="18"/>
      <c r="B1464" s="6"/>
      <c r="C1464" s="6"/>
      <c r="D1464" s="6"/>
      <c r="E1464" s="16" t="str">
        <f>IF($B1464="","",IFERROR(INDEX(Services!$C$2:$C$120,MATCH($B1464,Services!$D$2:$D$120,0)),""))</f>
        <v/>
      </c>
      <c r="F1464" s="19"/>
      <c r="G1464" s="9" t="str">
        <f t="shared" si="22"/>
        <v/>
      </c>
      <c r="H1464" s="15" t="str">
        <f>IF($B1464="","",IFERROR(INDEX(Services!$A$2:$A$120,MATCH($B1464,Services!$D$2:$D$120,0)),""))</f>
        <v/>
      </c>
      <c r="I1464" s="19"/>
      <c r="J1464" s="15" t="str">
        <f>IF($B1464="","",IFERROR(INDEX(Services!$E$2:$E$120,MATCH($B1464,Services!$D$2:$D$120,0)),""))</f>
        <v/>
      </c>
    </row>
    <row r="1465" spans="1:10" x14ac:dyDescent="0.3">
      <c r="A1465" s="18"/>
      <c r="B1465" s="6"/>
      <c r="C1465" s="6"/>
      <c r="D1465" s="6"/>
      <c r="E1465" s="16" t="str">
        <f>IF($B1465="","",IFERROR(INDEX(Services!$C$2:$C$120,MATCH($B1465,Services!$D$2:$D$120,0)),""))</f>
        <v/>
      </c>
      <c r="F1465" s="19"/>
      <c r="G1465" s="9" t="str">
        <f t="shared" si="22"/>
        <v/>
      </c>
      <c r="H1465" s="15" t="str">
        <f>IF($B1465="","",IFERROR(INDEX(Services!$A$2:$A$120,MATCH($B1465,Services!$D$2:$D$120,0)),""))</f>
        <v/>
      </c>
      <c r="I1465" s="19"/>
      <c r="J1465" s="15" t="str">
        <f>IF($B1465="","",IFERROR(INDEX(Services!$E$2:$E$120,MATCH($B1465,Services!$D$2:$D$120,0)),""))</f>
        <v/>
      </c>
    </row>
    <row r="1466" spans="1:10" x14ac:dyDescent="0.3">
      <c r="A1466" s="18"/>
      <c r="B1466" s="6"/>
      <c r="C1466" s="6"/>
      <c r="D1466" s="6"/>
      <c r="E1466" s="16" t="str">
        <f>IF($B1466="","",IFERROR(INDEX(Services!$C$2:$C$120,MATCH($B1466,Services!$D$2:$D$120,0)),""))</f>
        <v/>
      </c>
      <c r="F1466" s="19"/>
      <c r="G1466" s="9" t="str">
        <f t="shared" si="22"/>
        <v/>
      </c>
      <c r="H1466" s="15" t="str">
        <f>IF($B1466="","",IFERROR(INDEX(Services!$A$2:$A$120,MATCH($B1466,Services!$D$2:$D$120,0)),""))</f>
        <v/>
      </c>
      <c r="I1466" s="19"/>
      <c r="J1466" s="15" t="str">
        <f>IF($B1466="","",IFERROR(INDEX(Services!$E$2:$E$120,MATCH($B1466,Services!$D$2:$D$120,0)),""))</f>
        <v/>
      </c>
    </row>
    <row r="1467" spans="1:10" x14ac:dyDescent="0.3">
      <c r="A1467" s="18"/>
      <c r="B1467" s="6"/>
      <c r="C1467" s="6"/>
      <c r="D1467" s="6"/>
      <c r="E1467" s="16" t="str">
        <f>IF($B1467="","",IFERROR(INDEX(Services!$C$2:$C$120,MATCH($B1467,Services!$D$2:$D$120,0)),""))</f>
        <v/>
      </c>
      <c r="F1467" s="19"/>
      <c r="G1467" s="9" t="str">
        <f t="shared" si="22"/>
        <v/>
      </c>
      <c r="H1467" s="15" t="str">
        <f>IF($B1467="","",IFERROR(INDEX(Services!$A$2:$A$120,MATCH($B1467,Services!$D$2:$D$120,0)),""))</f>
        <v/>
      </c>
      <c r="I1467" s="19"/>
      <c r="J1467" s="15" t="str">
        <f>IF($B1467="","",IFERROR(INDEX(Services!$E$2:$E$120,MATCH($B1467,Services!$D$2:$D$120,0)),""))</f>
        <v/>
      </c>
    </row>
    <row r="1468" spans="1:10" x14ac:dyDescent="0.3">
      <c r="A1468" s="18"/>
      <c r="B1468" s="6"/>
      <c r="C1468" s="6"/>
      <c r="D1468" s="6"/>
      <c r="E1468" s="16" t="str">
        <f>IF($B1468="","",IFERROR(INDEX(Services!$C$2:$C$120,MATCH($B1468,Services!$D$2:$D$120,0)),""))</f>
        <v/>
      </c>
      <c r="F1468" s="19"/>
      <c r="G1468" s="9" t="str">
        <f t="shared" si="22"/>
        <v/>
      </c>
      <c r="H1468" s="15" t="str">
        <f>IF($B1468="","",IFERROR(INDEX(Services!$A$2:$A$120,MATCH($B1468,Services!$D$2:$D$120,0)),""))</f>
        <v/>
      </c>
      <c r="I1468" s="19"/>
      <c r="J1468" s="15" t="str">
        <f>IF($B1468="","",IFERROR(INDEX(Services!$E$2:$E$120,MATCH($B1468,Services!$D$2:$D$120,0)),""))</f>
        <v/>
      </c>
    </row>
    <row r="1469" spans="1:10" x14ac:dyDescent="0.3">
      <c r="A1469" s="18"/>
      <c r="B1469" s="6"/>
      <c r="C1469" s="6"/>
      <c r="D1469" s="6"/>
      <c r="E1469" s="16" t="str">
        <f>IF($B1469="","",IFERROR(INDEX(Services!$C$2:$C$120,MATCH($B1469,Services!$D$2:$D$120,0)),""))</f>
        <v/>
      </c>
      <c r="F1469" s="19"/>
      <c r="G1469" s="9" t="str">
        <f t="shared" si="22"/>
        <v/>
      </c>
      <c r="H1469" s="15" t="str">
        <f>IF($B1469="","",IFERROR(INDEX(Services!$A$2:$A$120,MATCH($B1469,Services!$D$2:$D$120,0)),""))</f>
        <v/>
      </c>
      <c r="I1469" s="19"/>
      <c r="J1469" s="15" t="str">
        <f>IF($B1469="","",IFERROR(INDEX(Services!$E$2:$E$120,MATCH($B1469,Services!$D$2:$D$120,0)),""))</f>
        <v/>
      </c>
    </row>
    <row r="1470" spans="1:10" x14ac:dyDescent="0.3">
      <c r="A1470" s="18"/>
      <c r="B1470" s="6"/>
      <c r="C1470" s="6"/>
      <c r="D1470" s="6"/>
      <c r="E1470" s="16" t="str">
        <f>IF($B1470="","",IFERROR(INDEX(Services!$C$2:$C$120,MATCH($B1470,Services!$D$2:$D$120,0)),""))</f>
        <v/>
      </c>
      <c r="F1470" s="19"/>
      <c r="G1470" s="9" t="str">
        <f t="shared" si="22"/>
        <v/>
      </c>
      <c r="H1470" s="15" t="str">
        <f>IF($B1470="","",IFERROR(INDEX(Services!$A$2:$A$120,MATCH($B1470,Services!$D$2:$D$120,0)),""))</f>
        <v/>
      </c>
      <c r="I1470" s="19"/>
      <c r="J1470" s="15" t="str">
        <f>IF($B1470="","",IFERROR(INDEX(Services!$E$2:$E$120,MATCH($B1470,Services!$D$2:$D$120,0)),""))</f>
        <v/>
      </c>
    </row>
    <row r="1471" spans="1:10" x14ac:dyDescent="0.3">
      <c r="A1471" s="18"/>
      <c r="B1471" s="6"/>
      <c r="C1471" s="6"/>
      <c r="D1471" s="6"/>
      <c r="E1471" s="16" t="str">
        <f>IF($B1471="","",IFERROR(INDEX(Services!$C$2:$C$120,MATCH($B1471,Services!$D$2:$D$120,0)),""))</f>
        <v/>
      </c>
      <c r="F1471" s="19"/>
      <c r="G1471" s="9" t="str">
        <f t="shared" si="22"/>
        <v/>
      </c>
      <c r="H1471" s="15" t="str">
        <f>IF($B1471="","",IFERROR(INDEX(Services!$A$2:$A$120,MATCH($B1471,Services!$D$2:$D$120,0)),""))</f>
        <v/>
      </c>
      <c r="I1471" s="19"/>
      <c r="J1471" s="15" t="str">
        <f>IF($B1471="","",IFERROR(INDEX(Services!$E$2:$E$120,MATCH($B1471,Services!$D$2:$D$120,0)),""))</f>
        <v/>
      </c>
    </row>
    <row r="1472" spans="1:10" x14ac:dyDescent="0.3">
      <c r="A1472" s="18"/>
      <c r="B1472" s="6"/>
      <c r="C1472" s="6"/>
      <c r="D1472" s="6"/>
      <c r="E1472" s="16" t="str">
        <f>IF($B1472="","",IFERROR(INDEX(Services!$C$2:$C$120,MATCH($B1472,Services!$D$2:$D$120,0)),""))</f>
        <v/>
      </c>
      <c r="F1472" s="19"/>
      <c r="G1472" s="9" t="str">
        <f t="shared" si="22"/>
        <v/>
      </c>
      <c r="H1472" s="15" t="str">
        <f>IF($B1472="","",IFERROR(INDEX(Services!$A$2:$A$120,MATCH($B1472,Services!$D$2:$D$120,0)),""))</f>
        <v/>
      </c>
      <c r="I1472" s="19"/>
      <c r="J1472" s="15" t="str">
        <f>IF($B1472="","",IFERROR(INDEX(Services!$E$2:$E$120,MATCH($B1472,Services!$D$2:$D$120,0)),""))</f>
        <v/>
      </c>
    </row>
    <row r="1473" spans="1:10" x14ac:dyDescent="0.3">
      <c r="A1473" s="18"/>
      <c r="B1473" s="6"/>
      <c r="C1473" s="6"/>
      <c r="D1473" s="6"/>
      <c r="E1473" s="16" t="str">
        <f>IF($B1473="","",IFERROR(INDEX(Services!$C$2:$C$120,MATCH($B1473,Services!$D$2:$D$120,0)),""))</f>
        <v/>
      </c>
      <c r="F1473" s="19"/>
      <c r="G1473" s="9" t="str">
        <f t="shared" si="22"/>
        <v/>
      </c>
      <c r="H1473" s="15" t="str">
        <f>IF($B1473="","",IFERROR(INDEX(Services!$A$2:$A$120,MATCH($B1473,Services!$D$2:$D$120,0)),""))</f>
        <v/>
      </c>
      <c r="I1473" s="19"/>
      <c r="J1473" s="15" t="str">
        <f>IF($B1473="","",IFERROR(INDEX(Services!$E$2:$E$120,MATCH($B1473,Services!$D$2:$D$120,0)),""))</f>
        <v/>
      </c>
    </row>
    <row r="1474" spans="1:10" x14ac:dyDescent="0.3">
      <c r="A1474" s="18"/>
      <c r="B1474" s="6"/>
      <c r="C1474" s="6"/>
      <c r="D1474" s="6"/>
      <c r="E1474" s="16" t="str">
        <f>IF($B1474="","",IFERROR(INDEX(Services!$C$2:$C$120,MATCH($B1474,Services!$D$2:$D$120,0)),""))</f>
        <v/>
      </c>
      <c r="F1474" s="19"/>
      <c r="G1474" s="9" t="str">
        <f t="shared" ref="G1474:G1537" si="23">IF(OR($B1474="",NOT(ISNUMBER($E1474))),"",$E1474-IF($F1474="",0,$F1474))</f>
        <v/>
      </c>
      <c r="H1474" s="15" t="str">
        <f>IF($B1474="","",IFERROR(INDEX(Services!$A$2:$A$120,MATCH($B1474,Services!$D$2:$D$120,0)),""))</f>
        <v/>
      </c>
      <c r="I1474" s="19"/>
      <c r="J1474" s="15" t="str">
        <f>IF($B1474="","",IFERROR(INDEX(Services!$E$2:$E$120,MATCH($B1474,Services!$D$2:$D$120,0)),""))</f>
        <v/>
      </c>
    </row>
    <row r="1475" spans="1:10" x14ac:dyDescent="0.3">
      <c r="A1475" s="18"/>
      <c r="B1475" s="6"/>
      <c r="C1475" s="6"/>
      <c r="D1475" s="6"/>
      <c r="E1475" s="16" t="str">
        <f>IF($B1475="","",IFERROR(INDEX(Services!$C$2:$C$120,MATCH($B1475,Services!$D$2:$D$120,0)),""))</f>
        <v/>
      </c>
      <c r="F1475" s="19"/>
      <c r="G1475" s="9" t="str">
        <f t="shared" si="23"/>
        <v/>
      </c>
      <c r="H1475" s="15" t="str">
        <f>IF($B1475="","",IFERROR(INDEX(Services!$A$2:$A$120,MATCH($B1475,Services!$D$2:$D$120,0)),""))</f>
        <v/>
      </c>
      <c r="I1475" s="19"/>
      <c r="J1475" s="15" t="str">
        <f>IF($B1475="","",IFERROR(INDEX(Services!$E$2:$E$120,MATCH($B1475,Services!$D$2:$D$120,0)),""))</f>
        <v/>
      </c>
    </row>
    <row r="1476" spans="1:10" x14ac:dyDescent="0.3">
      <c r="A1476" s="18"/>
      <c r="B1476" s="6"/>
      <c r="C1476" s="6"/>
      <c r="D1476" s="6"/>
      <c r="E1476" s="16" t="str">
        <f>IF($B1476="","",IFERROR(INDEX(Services!$C$2:$C$120,MATCH($B1476,Services!$D$2:$D$120,0)),""))</f>
        <v/>
      </c>
      <c r="F1476" s="19"/>
      <c r="G1476" s="9" t="str">
        <f t="shared" si="23"/>
        <v/>
      </c>
      <c r="H1476" s="15" t="str">
        <f>IF($B1476="","",IFERROR(INDEX(Services!$A$2:$A$120,MATCH($B1476,Services!$D$2:$D$120,0)),""))</f>
        <v/>
      </c>
      <c r="I1476" s="19"/>
      <c r="J1476" s="15" t="str">
        <f>IF($B1476="","",IFERROR(INDEX(Services!$E$2:$E$120,MATCH($B1476,Services!$D$2:$D$120,0)),""))</f>
        <v/>
      </c>
    </row>
    <row r="1477" spans="1:10" x14ac:dyDescent="0.3">
      <c r="A1477" s="18"/>
      <c r="B1477" s="6"/>
      <c r="C1477" s="6"/>
      <c r="D1477" s="6"/>
      <c r="E1477" s="16" t="str">
        <f>IF($B1477="","",IFERROR(INDEX(Services!$C$2:$C$120,MATCH($B1477,Services!$D$2:$D$120,0)),""))</f>
        <v/>
      </c>
      <c r="F1477" s="19"/>
      <c r="G1477" s="9" t="str">
        <f t="shared" si="23"/>
        <v/>
      </c>
      <c r="H1477" s="15" t="str">
        <f>IF($B1477="","",IFERROR(INDEX(Services!$A$2:$A$120,MATCH($B1477,Services!$D$2:$D$120,0)),""))</f>
        <v/>
      </c>
      <c r="I1477" s="19"/>
      <c r="J1477" s="15" t="str">
        <f>IF($B1477="","",IFERROR(INDEX(Services!$E$2:$E$120,MATCH($B1477,Services!$D$2:$D$120,0)),""))</f>
        <v/>
      </c>
    </row>
    <row r="1478" spans="1:10" x14ac:dyDescent="0.3">
      <c r="A1478" s="18"/>
      <c r="B1478" s="6"/>
      <c r="C1478" s="6"/>
      <c r="D1478" s="6"/>
      <c r="E1478" s="16" t="str">
        <f>IF($B1478="","",IFERROR(INDEX(Services!$C$2:$C$120,MATCH($B1478,Services!$D$2:$D$120,0)),""))</f>
        <v/>
      </c>
      <c r="F1478" s="19"/>
      <c r="G1478" s="9" t="str">
        <f t="shared" si="23"/>
        <v/>
      </c>
      <c r="H1478" s="15" t="str">
        <f>IF($B1478="","",IFERROR(INDEX(Services!$A$2:$A$120,MATCH($B1478,Services!$D$2:$D$120,0)),""))</f>
        <v/>
      </c>
      <c r="I1478" s="19"/>
      <c r="J1478" s="15" t="str">
        <f>IF($B1478="","",IFERROR(INDEX(Services!$E$2:$E$120,MATCH($B1478,Services!$D$2:$D$120,0)),""))</f>
        <v/>
      </c>
    </row>
    <row r="1479" spans="1:10" x14ac:dyDescent="0.3">
      <c r="A1479" s="18"/>
      <c r="B1479" s="6"/>
      <c r="C1479" s="6"/>
      <c r="D1479" s="6"/>
      <c r="E1479" s="16" t="str">
        <f>IF($B1479="","",IFERROR(INDEX(Services!$C$2:$C$120,MATCH($B1479,Services!$D$2:$D$120,0)),""))</f>
        <v/>
      </c>
      <c r="F1479" s="19"/>
      <c r="G1479" s="9" t="str">
        <f t="shared" si="23"/>
        <v/>
      </c>
      <c r="H1479" s="15" t="str">
        <f>IF($B1479="","",IFERROR(INDEX(Services!$A$2:$A$120,MATCH($B1479,Services!$D$2:$D$120,0)),""))</f>
        <v/>
      </c>
      <c r="I1479" s="19"/>
      <c r="J1479" s="15" t="str">
        <f>IF($B1479="","",IFERROR(INDEX(Services!$E$2:$E$120,MATCH($B1479,Services!$D$2:$D$120,0)),""))</f>
        <v/>
      </c>
    </row>
    <row r="1480" spans="1:10" x14ac:dyDescent="0.3">
      <c r="A1480" s="18"/>
      <c r="B1480" s="6"/>
      <c r="C1480" s="6"/>
      <c r="D1480" s="6"/>
      <c r="E1480" s="16" t="str">
        <f>IF($B1480="","",IFERROR(INDEX(Services!$C$2:$C$120,MATCH($B1480,Services!$D$2:$D$120,0)),""))</f>
        <v/>
      </c>
      <c r="F1480" s="19"/>
      <c r="G1480" s="9" t="str">
        <f t="shared" si="23"/>
        <v/>
      </c>
      <c r="H1480" s="15" t="str">
        <f>IF($B1480="","",IFERROR(INDEX(Services!$A$2:$A$120,MATCH($B1480,Services!$D$2:$D$120,0)),""))</f>
        <v/>
      </c>
      <c r="I1480" s="19"/>
      <c r="J1480" s="15" t="str">
        <f>IF($B1480="","",IFERROR(INDEX(Services!$E$2:$E$120,MATCH($B1480,Services!$D$2:$D$120,0)),""))</f>
        <v/>
      </c>
    </row>
    <row r="1481" spans="1:10" x14ac:dyDescent="0.3">
      <c r="A1481" s="18"/>
      <c r="B1481" s="6"/>
      <c r="C1481" s="6"/>
      <c r="D1481" s="6"/>
      <c r="E1481" s="16" t="str">
        <f>IF($B1481="","",IFERROR(INDEX(Services!$C$2:$C$120,MATCH($B1481,Services!$D$2:$D$120,0)),""))</f>
        <v/>
      </c>
      <c r="F1481" s="19"/>
      <c r="G1481" s="9" t="str">
        <f t="shared" si="23"/>
        <v/>
      </c>
      <c r="H1481" s="15" t="str">
        <f>IF($B1481="","",IFERROR(INDEX(Services!$A$2:$A$120,MATCH($B1481,Services!$D$2:$D$120,0)),""))</f>
        <v/>
      </c>
      <c r="I1481" s="19"/>
      <c r="J1481" s="15" t="str">
        <f>IF($B1481="","",IFERROR(INDEX(Services!$E$2:$E$120,MATCH($B1481,Services!$D$2:$D$120,0)),""))</f>
        <v/>
      </c>
    </row>
    <row r="1482" spans="1:10" x14ac:dyDescent="0.3">
      <c r="A1482" s="18"/>
      <c r="B1482" s="6"/>
      <c r="C1482" s="6"/>
      <c r="D1482" s="6"/>
      <c r="E1482" s="16" t="str">
        <f>IF($B1482="","",IFERROR(INDEX(Services!$C$2:$C$120,MATCH($B1482,Services!$D$2:$D$120,0)),""))</f>
        <v/>
      </c>
      <c r="F1482" s="19"/>
      <c r="G1482" s="9" t="str">
        <f t="shared" si="23"/>
        <v/>
      </c>
      <c r="H1482" s="15" t="str">
        <f>IF($B1482="","",IFERROR(INDEX(Services!$A$2:$A$120,MATCH($B1482,Services!$D$2:$D$120,0)),""))</f>
        <v/>
      </c>
      <c r="I1482" s="19"/>
      <c r="J1482" s="15" t="str">
        <f>IF($B1482="","",IFERROR(INDEX(Services!$E$2:$E$120,MATCH($B1482,Services!$D$2:$D$120,0)),""))</f>
        <v/>
      </c>
    </row>
    <row r="1483" spans="1:10" x14ac:dyDescent="0.3">
      <c r="A1483" s="18"/>
      <c r="B1483" s="6"/>
      <c r="C1483" s="6"/>
      <c r="D1483" s="6"/>
      <c r="E1483" s="16" t="str">
        <f>IF($B1483="","",IFERROR(INDEX(Services!$C$2:$C$120,MATCH($B1483,Services!$D$2:$D$120,0)),""))</f>
        <v/>
      </c>
      <c r="F1483" s="19"/>
      <c r="G1483" s="9" t="str">
        <f t="shared" si="23"/>
        <v/>
      </c>
      <c r="H1483" s="15" t="str">
        <f>IF($B1483="","",IFERROR(INDEX(Services!$A$2:$A$120,MATCH($B1483,Services!$D$2:$D$120,0)),""))</f>
        <v/>
      </c>
      <c r="I1483" s="19"/>
      <c r="J1483" s="15" t="str">
        <f>IF($B1483="","",IFERROR(INDEX(Services!$E$2:$E$120,MATCH($B1483,Services!$D$2:$D$120,0)),""))</f>
        <v/>
      </c>
    </row>
    <row r="1484" spans="1:10" x14ac:dyDescent="0.3">
      <c r="A1484" s="18"/>
      <c r="B1484" s="6"/>
      <c r="C1484" s="6"/>
      <c r="D1484" s="6"/>
      <c r="E1484" s="16" t="str">
        <f>IF($B1484="","",IFERROR(INDEX(Services!$C$2:$C$120,MATCH($B1484,Services!$D$2:$D$120,0)),""))</f>
        <v/>
      </c>
      <c r="F1484" s="19"/>
      <c r="G1484" s="9" t="str">
        <f t="shared" si="23"/>
        <v/>
      </c>
      <c r="H1484" s="15" t="str">
        <f>IF($B1484="","",IFERROR(INDEX(Services!$A$2:$A$120,MATCH($B1484,Services!$D$2:$D$120,0)),""))</f>
        <v/>
      </c>
      <c r="I1484" s="19"/>
      <c r="J1484" s="15" t="str">
        <f>IF($B1484="","",IFERROR(INDEX(Services!$E$2:$E$120,MATCH($B1484,Services!$D$2:$D$120,0)),""))</f>
        <v/>
      </c>
    </row>
    <row r="1485" spans="1:10" x14ac:dyDescent="0.3">
      <c r="A1485" s="18"/>
      <c r="B1485" s="6"/>
      <c r="C1485" s="6"/>
      <c r="D1485" s="6"/>
      <c r="E1485" s="16" t="str">
        <f>IF($B1485="","",IFERROR(INDEX(Services!$C$2:$C$120,MATCH($B1485,Services!$D$2:$D$120,0)),""))</f>
        <v/>
      </c>
      <c r="F1485" s="19"/>
      <c r="G1485" s="9" t="str">
        <f t="shared" si="23"/>
        <v/>
      </c>
      <c r="H1485" s="15" t="str">
        <f>IF($B1485="","",IFERROR(INDEX(Services!$A$2:$A$120,MATCH($B1485,Services!$D$2:$D$120,0)),""))</f>
        <v/>
      </c>
      <c r="I1485" s="19"/>
      <c r="J1485" s="15" t="str">
        <f>IF($B1485="","",IFERROR(INDEX(Services!$E$2:$E$120,MATCH($B1485,Services!$D$2:$D$120,0)),""))</f>
        <v/>
      </c>
    </row>
    <row r="1486" spans="1:10" x14ac:dyDescent="0.3">
      <c r="A1486" s="18"/>
      <c r="B1486" s="6"/>
      <c r="C1486" s="6"/>
      <c r="D1486" s="6"/>
      <c r="E1486" s="16" t="str">
        <f>IF($B1486="","",IFERROR(INDEX(Services!$C$2:$C$120,MATCH($B1486,Services!$D$2:$D$120,0)),""))</f>
        <v/>
      </c>
      <c r="F1486" s="19"/>
      <c r="G1486" s="9" t="str">
        <f t="shared" si="23"/>
        <v/>
      </c>
      <c r="H1486" s="15" t="str">
        <f>IF($B1486="","",IFERROR(INDEX(Services!$A$2:$A$120,MATCH($B1486,Services!$D$2:$D$120,0)),""))</f>
        <v/>
      </c>
      <c r="I1486" s="19"/>
      <c r="J1486" s="15" t="str">
        <f>IF($B1486="","",IFERROR(INDEX(Services!$E$2:$E$120,MATCH($B1486,Services!$D$2:$D$120,0)),""))</f>
        <v/>
      </c>
    </row>
    <row r="1487" spans="1:10" x14ac:dyDescent="0.3">
      <c r="A1487" s="18"/>
      <c r="B1487" s="6"/>
      <c r="C1487" s="6"/>
      <c r="D1487" s="6"/>
      <c r="E1487" s="16" t="str">
        <f>IF($B1487="","",IFERROR(INDEX(Services!$C$2:$C$120,MATCH($B1487,Services!$D$2:$D$120,0)),""))</f>
        <v/>
      </c>
      <c r="F1487" s="19"/>
      <c r="G1487" s="9" t="str">
        <f t="shared" si="23"/>
        <v/>
      </c>
      <c r="H1487" s="15" t="str">
        <f>IF($B1487="","",IFERROR(INDEX(Services!$A$2:$A$120,MATCH($B1487,Services!$D$2:$D$120,0)),""))</f>
        <v/>
      </c>
      <c r="I1487" s="19"/>
      <c r="J1487" s="15" t="str">
        <f>IF($B1487="","",IFERROR(INDEX(Services!$E$2:$E$120,MATCH($B1487,Services!$D$2:$D$120,0)),""))</f>
        <v/>
      </c>
    </row>
    <row r="1488" spans="1:10" x14ac:dyDescent="0.3">
      <c r="A1488" s="18"/>
      <c r="B1488" s="6"/>
      <c r="C1488" s="6"/>
      <c r="D1488" s="6"/>
      <c r="E1488" s="16" t="str">
        <f>IF($B1488="","",IFERROR(INDEX(Services!$C$2:$C$120,MATCH($B1488,Services!$D$2:$D$120,0)),""))</f>
        <v/>
      </c>
      <c r="F1488" s="19"/>
      <c r="G1488" s="9" t="str">
        <f t="shared" si="23"/>
        <v/>
      </c>
      <c r="H1488" s="15" t="str">
        <f>IF($B1488="","",IFERROR(INDEX(Services!$A$2:$A$120,MATCH($B1488,Services!$D$2:$D$120,0)),""))</f>
        <v/>
      </c>
      <c r="I1488" s="19"/>
      <c r="J1488" s="15" t="str">
        <f>IF($B1488="","",IFERROR(INDEX(Services!$E$2:$E$120,MATCH($B1488,Services!$D$2:$D$120,0)),""))</f>
        <v/>
      </c>
    </row>
    <row r="1489" spans="1:10" x14ac:dyDescent="0.3">
      <c r="A1489" s="18"/>
      <c r="B1489" s="6"/>
      <c r="C1489" s="6"/>
      <c r="D1489" s="6"/>
      <c r="E1489" s="16" t="str">
        <f>IF($B1489="","",IFERROR(INDEX(Services!$C$2:$C$120,MATCH($B1489,Services!$D$2:$D$120,0)),""))</f>
        <v/>
      </c>
      <c r="F1489" s="19"/>
      <c r="G1489" s="9" t="str">
        <f t="shared" si="23"/>
        <v/>
      </c>
      <c r="H1489" s="15" t="str">
        <f>IF($B1489="","",IFERROR(INDEX(Services!$A$2:$A$120,MATCH($B1489,Services!$D$2:$D$120,0)),""))</f>
        <v/>
      </c>
      <c r="I1489" s="19"/>
      <c r="J1489" s="15" t="str">
        <f>IF($B1489="","",IFERROR(INDEX(Services!$E$2:$E$120,MATCH($B1489,Services!$D$2:$D$120,0)),""))</f>
        <v/>
      </c>
    </row>
    <row r="1490" spans="1:10" x14ac:dyDescent="0.3">
      <c r="A1490" s="18"/>
      <c r="B1490" s="6"/>
      <c r="C1490" s="6"/>
      <c r="D1490" s="6"/>
      <c r="E1490" s="16" t="str">
        <f>IF($B1490="","",IFERROR(INDEX(Services!$C$2:$C$120,MATCH($B1490,Services!$D$2:$D$120,0)),""))</f>
        <v/>
      </c>
      <c r="F1490" s="19"/>
      <c r="G1490" s="9" t="str">
        <f t="shared" si="23"/>
        <v/>
      </c>
      <c r="H1490" s="15" t="str">
        <f>IF($B1490="","",IFERROR(INDEX(Services!$A$2:$A$120,MATCH($B1490,Services!$D$2:$D$120,0)),""))</f>
        <v/>
      </c>
      <c r="I1490" s="19"/>
      <c r="J1490" s="15" t="str">
        <f>IF($B1490="","",IFERROR(INDEX(Services!$E$2:$E$120,MATCH($B1490,Services!$D$2:$D$120,0)),""))</f>
        <v/>
      </c>
    </row>
    <row r="1491" spans="1:10" x14ac:dyDescent="0.3">
      <c r="A1491" s="18"/>
      <c r="B1491" s="6"/>
      <c r="C1491" s="6"/>
      <c r="D1491" s="6"/>
      <c r="E1491" s="16" t="str">
        <f>IF($B1491="","",IFERROR(INDEX(Services!$C$2:$C$120,MATCH($B1491,Services!$D$2:$D$120,0)),""))</f>
        <v/>
      </c>
      <c r="F1491" s="19"/>
      <c r="G1491" s="9" t="str">
        <f t="shared" si="23"/>
        <v/>
      </c>
      <c r="H1491" s="15" t="str">
        <f>IF($B1491="","",IFERROR(INDEX(Services!$A$2:$A$120,MATCH($B1491,Services!$D$2:$D$120,0)),""))</f>
        <v/>
      </c>
      <c r="I1491" s="19"/>
      <c r="J1491" s="15" t="str">
        <f>IF($B1491="","",IFERROR(INDEX(Services!$E$2:$E$120,MATCH($B1491,Services!$D$2:$D$120,0)),""))</f>
        <v/>
      </c>
    </row>
    <row r="1492" spans="1:10" x14ac:dyDescent="0.3">
      <c r="A1492" s="18"/>
      <c r="B1492" s="6"/>
      <c r="C1492" s="6"/>
      <c r="D1492" s="6"/>
      <c r="E1492" s="16" t="str">
        <f>IF($B1492="","",IFERROR(INDEX(Services!$C$2:$C$120,MATCH($B1492,Services!$D$2:$D$120,0)),""))</f>
        <v/>
      </c>
      <c r="F1492" s="19"/>
      <c r="G1492" s="9" t="str">
        <f t="shared" si="23"/>
        <v/>
      </c>
      <c r="H1492" s="15" t="str">
        <f>IF($B1492="","",IFERROR(INDEX(Services!$A$2:$A$120,MATCH($B1492,Services!$D$2:$D$120,0)),""))</f>
        <v/>
      </c>
      <c r="I1492" s="19"/>
      <c r="J1492" s="15" t="str">
        <f>IF($B1492="","",IFERROR(INDEX(Services!$E$2:$E$120,MATCH($B1492,Services!$D$2:$D$120,0)),""))</f>
        <v/>
      </c>
    </row>
    <row r="1493" spans="1:10" x14ac:dyDescent="0.3">
      <c r="A1493" s="18"/>
      <c r="B1493" s="6"/>
      <c r="C1493" s="6"/>
      <c r="D1493" s="6"/>
      <c r="E1493" s="16" t="str">
        <f>IF($B1493="","",IFERROR(INDEX(Services!$C$2:$C$120,MATCH($B1493,Services!$D$2:$D$120,0)),""))</f>
        <v/>
      </c>
      <c r="F1493" s="19"/>
      <c r="G1493" s="9" t="str">
        <f t="shared" si="23"/>
        <v/>
      </c>
      <c r="H1493" s="15" t="str">
        <f>IF($B1493="","",IFERROR(INDEX(Services!$A$2:$A$120,MATCH($B1493,Services!$D$2:$D$120,0)),""))</f>
        <v/>
      </c>
      <c r="I1493" s="19"/>
      <c r="J1493" s="15" t="str">
        <f>IF($B1493="","",IFERROR(INDEX(Services!$E$2:$E$120,MATCH($B1493,Services!$D$2:$D$120,0)),""))</f>
        <v/>
      </c>
    </row>
    <row r="1494" spans="1:10" x14ac:dyDescent="0.3">
      <c r="A1494" s="18"/>
      <c r="B1494" s="6"/>
      <c r="C1494" s="6"/>
      <c r="D1494" s="6"/>
      <c r="E1494" s="16" t="str">
        <f>IF($B1494="","",IFERROR(INDEX(Services!$C$2:$C$120,MATCH($B1494,Services!$D$2:$D$120,0)),""))</f>
        <v/>
      </c>
      <c r="F1494" s="19"/>
      <c r="G1494" s="9" t="str">
        <f t="shared" si="23"/>
        <v/>
      </c>
      <c r="H1494" s="15" t="str">
        <f>IF($B1494="","",IFERROR(INDEX(Services!$A$2:$A$120,MATCH($B1494,Services!$D$2:$D$120,0)),""))</f>
        <v/>
      </c>
      <c r="I1494" s="19"/>
      <c r="J1494" s="15" t="str">
        <f>IF($B1494="","",IFERROR(INDEX(Services!$E$2:$E$120,MATCH($B1494,Services!$D$2:$D$120,0)),""))</f>
        <v/>
      </c>
    </row>
    <row r="1495" spans="1:10" x14ac:dyDescent="0.3">
      <c r="A1495" s="18"/>
      <c r="B1495" s="6"/>
      <c r="C1495" s="6"/>
      <c r="D1495" s="6"/>
      <c r="E1495" s="16" t="str">
        <f>IF($B1495="","",IFERROR(INDEX(Services!$C$2:$C$120,MATCH($B1495,Services!$D$2:$D$120,0)),""))</f>
        <v/>
      </c>
      <c r="F1495" s="19"/>
      <c r="G1495" s="9" t="str">
        <f t="shared" si="23"/>
        <v/>
      </c>
      <c r="H1495" s="15" t="str">
        <f>IF($B1495="","",IFERROR(INDEX(Services!$A$2:$A$120,MATCH($B1495,Services!$D$2:$D$120,0)),""))</f>
        <v/>
      </c>
      <c r="I1495" s="19"/>
      <c r="J1495" s="15" t="str">
        <f>IF($B1495="","",IFERROR(INDEX(Services!$E$2:$E$120,MATCH($B1495,Services!$D$2:$D$120,0)),""))</f>
        <v/>
      </c>
    </row>
    <row r="1496" spans="1:10" x14ac:dyDescent="0.3">
      <c r="A1496" s="18"/>
      <c r="B1496" s="6"/>
      <c r="C1496" s="6"/>
      <c r="D1496" s="6"/>
      <c r="E1496" s="16" t="str">
        <f>IF($B1496="","",IFERROR(INDEX(Services!$C$2:$C$120,MATCH($B1496,Services!$D$2:$D$120,0)),""))</f>
        <v/>
      </c>
      <c r="F1496" s="19"/>
      <c r="G1496" s="9" t="str">
        <f t="shared" si="23"/>
        <v/>
      </c>
      <c r="H1496" s="15" t="str">
        <f>IF($B1496="","",IFERROR(INDEX(Services!$A$2:$A$120,MATCH($B1496,Services!$D$2:$D$120,0)),""))</f>
        <v/>
      </c>
      <c r="I1496" s="19"/>
      <c r="J1496" s="15" t="str">
        <f>IF($B1496="","",IFERROR(INDEX(Services!$E$2:$E$120,MATCH($B1496,Services!$D$2:$D$120,0)),""))</f>
        <v/>
      </c>
    </row>
    <row r="1497" spans="1:10" x14ac:dyDescent="0.3">
      <c r="A1497" s="18"/>
      <c r="B1497" s="6"/>
      <c r="C1497" s="6"/>
      <c r="D1497" s="6"/>
      <c r="E1497" s="16" t="str">
        <f>IF($B1497="","",IFERROR(INDEX(Services!$C$2:$C$120,MATCH($B1497,Services!$D$2:$D$120,0)),""))</f>
        <v/>
      </c>
      <c r="F1497" s="19"/>
      <c r="G1497" s="9" t="str">
        <f t="shared" si="23"/>
        <v/>
      </c>
      <c r="H1497" s="15" t="str">
        <f>IF($B1497="","",IFERROR(INDEX(Services!$A$2:$A$120,MATCH($B1497,Services!$D$2:$D$120,0)),""))</f>
        <v/>
      </c>
      <c r="I1497" s="19"/>
      <c r="J1497" s="15" t="str">
        <f>IF($B1497="","",IFERROR(INDEX(Services!$E$2:$E$120,MATCH($B1497,Services!$D$2:$D$120,0)),""))</f>
        <v/>
      </c>
    </row>
    <row r="1498" spans="1:10" x14ac:dyDescent="0.3">
      <c r="A1498" s="18"/>
      <c r="B1498" s="6"/>
      <c r="C1498" s="6"/>
      <c r="D1498" s="6"/>
      <c r="E1498" s="16" t="str">
        <f>IF($B1498="","",IFERROR(INDEX(Services!$C$2:$C$120,MATCH($B1498,Services!$D$2:$D$120,0)),""))</f>
        <v/>
      </c>
      <c r="F1498" s="19"/>
      <c r="G1498" s="9" t="str">
        <f t="shared" si="23"/>
        <v/>
      </c>
      <c r="H1498" s="15" t="str">
        <f>IF($B1498="","",IFERROR(INDEX(Services!$A$2:$A$120,MATCH($B1498,Services!$D$2:$D$120,0)),""))</f>
        <v/>
      </c>
      <c r="I1498" s="19"/>
      <c r="J1498" s="15" t="str">
        <f>IF($B1498="","",IFERROR(INDEX(Services!$E$2:$E$120,MATCH($B1498,Services!$D$2:$D$120,0)),""))</f>
        <v/>
      </c>
    </row>
    <row r="1499" spans="1:10" x14ac:dyDescent="0.3">
      <c r="A1499" s="18"/>
      <c r="B1499" s="6"/>
      <c r="C1499" s="6"/>
      <c r="D1499" s="6"/>
      <c r="E1499" s="16" t="str">
        <f>IF($B1499="","",IFERROR(INDEX(Services!$C$2:$C$120,MATCH($B1499,Services!$D$2:$D$120,0)),""))</f>
        <v/>
      </c>
      <c r="F1499" s="19"/>
      <c r="G1499" s="9" t="str">
        <f t="shared" si="23"/>
        <v/>
      </c>
      <c r="H1499" s="15" t="str">
        <f>IF($B1499="","",IFERROR(INDEX(Services!$A$2:$A$120,MATCH($B1499,Services!$D$2:$D$120,0)),""))</f>
        <v/>
      </c>
      <c r="I1499" s="19"/>
      <c r="J1499" s="15" t="str">
        <f>IF($B1499="","",IFERROR(INDEX(Services!$E$2:$E$120,MATCH($B1499,Services!$D$2:$D$120,0)),""))</f>
        <v/>
      </c>
    </row>
    <row r="1500" spans="1:10" x14ac:dyDescent="0.3">
      <c r="A1500" s="18"/>
      <c r="B1500" s="6"/>
      <c r="C1500" s="6"/>
      <c r="D1500" s="6"/>
      <c r="E1500" s="16" t="str">
        <f>IF($B1500="","",IFERROR(INDEX(Services!$C$2:$C$120,MATCH($B1500,Services!$D$2:$D$120,0)),""))</f>
        <v/>
      </c>
      <c r="F1500" s="19"/>
      <c r="G1500" s="9" t="str">
        <f t="shared" si="23"/>
        <v/>
      </c>
      <c r="H1500" s="15" t="str">
        <f>IF($B1500="","",IFERROR(INDEX(Services!$A$2:$A$120,MATCH($B1500,Services!$D$2:$D$120,0)),""))</f>
        <v/>
      </c>
      <c r="I1500" s="19"/>
      <c r="J1500" s="15" t="str">
        <f>IF($B1500="","",IFERROR(INDEX(Services!$E$2:$E$120,MATCH($B1500,Services!$D$2:$D$120,0)),""))</f>
        <v/>
      </c>
    </row>
    <row r="1501" spans="1:10" x14ac:dyDescent="0.3">
      <c r="A1501" s="18"/>
      <c r="B1501" s="6"/>
      <c r="C1501" s="6"/>
      <c r="D1501" s="6"/>
      <c r="E1501" s="16" t="str">
        <f>IF($B1501="","",IFERROR(INDEX(Services!$C$2:$C$120,MATCH($B1501,Services!$D$2:$D$120,0)),""))</f>
        <v/>
      </c>
      <c r="F1501" s="19"/>
      <c r="G1501" s="9" t="str">
        <f t="shared" si="23"/>
        <v/>
      </c>
      <c r="H1501" s="15" t="str">
        <f>IF($B1501="","",IFERROR(INDEX(Services!$A$2:$A$120,MATCH($B1501,Services!$D$2:$D$120,0)),""))</f>
        <v/>
      </c>
      <c r="I1501" s="19"/>
      <c r="J1501" s="15" t="str">
        <f>IF($B1501="","",IFERROR(INDEX(Services!$E$2:$E$120,MATCH($B1501,Services!$D$2:$D$120,0)),""))</f>
        <v/>
      </c>
    </row>
    <row r="1502" spans="1:10" x14ac:dyDescent="0.3">
      <c r="A1502" s="18"/>
      <c r="B1502" s="6"/>
      <c r="C1502" s="6"/>
      <c r="D1502" s="6"/>
      <c r="E1502" s="16" t="str">
        <f>IF($B1502="","",IFERROR(INDEX(Services!$C$2:$C$120,MATCH($B1502,Services!$D$2:$D$120,0)),""))</f>
        <v/>
      </c>
      <c r="F1502" s="19"/>
      <c r="G1502" s="9" t="str">
        <f t="shared" si="23"/>
        <v/>
      </c>
      <c r="H1502" s="15" t="str">
        <f>IF($B1502="","",IFERROR(INDEX(Services!$A$2:$A$120,MATCH($B1502,Services!$D$2:$D$120,0)),""))</f>
        <v/>
      </c>
      <c r="I1502" s="19"/>
      <c r="J1502" s="15" t="str">
        <f>IF($B1502="","",IFERROR(INDEX(Services!$E$2:$E$120,MATCH($B1502,Services!$D$2:$D$120,0)),""))</f>
        <v/>
      </c>
    </row>
    <row r="1503" spans="1:10" x14ac:dyDescent="0.3">
      <c r="A1503" s="18"/>
      <c r="B1503" s="6"/>
      <c r="C1503" s="6"/>
      <c r="D1503" s="6"/>
      <c r="E1503" s="16" t="str">
        <f>IF($B1503="","",IFERROR(INDEX(Services!$C$2:$C$120,MATCH($B1503,Services!$D$2:$D$120,0)),""))</f>
        <v/>
      </c>
      <c r="F1503" s="19"/>
      <c r="G1503" s="9" t="str">
        <f t="shared" si="23"/>
        <v/>
      </c>
      <c r="H1503" s="15" t="str">
        <f>IF($B1503="","",IFERROR(INDEX(Services!$A$2:$A$120,MATCH($B1503,Services!$D$2:$D$120,0)),""))</f>
        <v/>
      </c>
      <c r="I1503" s="19"/>
      <c r="J1503" s="15" t="str">
        <f>IF($B1503="","",IFERROR(INDEX(Services!$E$2:$E$120,MATCH($B1503,Services!$D$2:$D$120,0)),""))</f>
        <v/>
      </c>
    </row>
    <row r="1504" spans="1:10" x14ac:dyDescent="0.3">
      <c r="A1504" s="18"/>
      <c r="B1504" s="6"/>
      <c r="C1504" s="6"/>
      <c r="D1504" s="6"/>
      <c r="E1504" s="16" t="str">
        <f>IF($B1504="","",IFERROR(INDEX(Services!$C$2:$C$120,MATCH($B1504,Services!$D$2:$D$120,0)),""))</f>
        <v/>
      </c>
      <c r="F1504" s="19"/>
      <c r="G1504" s="9" t="str">
        <f t="shared" si="23"/>
        <v/>
      </c>
      <c r="H1504" s="15" t="str">
        <f>IF($B1504="","",IFERROR(INDEX(Services!$A$2:$A$120,MATCH($B1504,Services!$D$2:$D$120,0)),""))</f>
        <v/>
      </c>
      <c r="I1504" s="19"/>
      <c r="J1504" s="15" t="str">
        <f>IF($B1504="","",IFERROR(INDEX(Services!$E$2:$E$120,MATCH($B1504,Services!$D$2:$D$120,0)),""))</f>
        <v/>
      </c>
    </row>
    <row r="1505" spans="1:10" x14ac:dyDescent="0.3">
      <c r="A1505" s="18"/>
      <c r="B1505" s="6"/>
      <c r="C1505" s="6"/>
      <c r="D1505" s="6"/>
      <c r="E1505" s="16" t="str">
        <f>IF($B1505="","",IFERROR(INDEX(Services!$C$2:$C$120,MATCH($B1505,Services!$D$2:$D$120,0)),""))</f>
        <v/>
      </c>
      <c r="F1505" s="19"/>
      <c r="G1505" s="9" t="str">
        <f t="shared" si="23"/>
        <v/>
      </c>
      <c r="H1505" s="15" t="str">
        <f>IF($B1505="","",IFERROR(INDEX(Services!$A$2:$A$120,MATCH($B1505,Services!$D$2:$D$120,0)),""))</f>
        <v/>
      </c>
      <c r="I1505" s="19"/>
      <c r="J1505" s="15" t="str">
        <f>IF($B1505="","",IFERROR(INDEX(Services!$E$2:$E$120,MATCH($B1505,Services!$D$2:$D$120,0)),""))</f>
        <v/>
      </c>
    </row>
    <row r="1506" spans="1:10" x14ac:dyDescent="0.3">
      <c r="A1506" s="18"/>
      <c r="B1506" s="6"/>
      <c r="C1506" s="6"/>
      <c r="D1506" s="6"/>
      <c r="E1506" s="16" t="str">
        <f>IF($B1506="","",IFERROR(INDEX(Services!$C$2:$C$120,MATCH($B1506,Services!$D$2:$D$120,0)),""))</f>
        <v/>
      </c>
      <c r="F1506" s="19"/>
      <c r="G1506" s="9" t="str">
        <f t="shared" si="23"/>
        <v/>
      </c>
      <c r="H1506" s="15" t="str">
        <f>IF($B1506="","",IFERROR(INDEX(Services!$A$2:$A$120,MATCH($B1506,Services!$D$2:$D$120,0)),""))</f>
        <v/>
      </c>
      <c r="I1506" s="19"/>
      <c r="J1506" s="15" t="str">
        <f>IF($B1506="","",IFERROR(INDEX(Services!$E$2:$E$120,MATCH($B1506,Services!$D$2:$D$120,0)),""))</f>
        <v/>
      </c>
    </row>
    <row r="1507" spans="1:10" x14ac:dyDescent="0.3">
      <c r="A1507" s="18"/>
      <c r="B1507" s="6"/>
      <c r="C1507" s="6"/>
      <c r="D1507" s="6"/>
      <c r="E1507" s="16" t="str">
        <f>IF($B1507="","",IFERROR(INDEX(Services!$C$2:$C$120,MATCH($B1507,Services!$D$2:$D$120,0)),""))</f>
        <v/>
      </c>
      <c r="F1507" s="19"/>
      <c r="G1507" s="9" t="str">
        <f t="shared" si="23"/>
        <v/>
      </c>
      <c r="H1507" s="15" t="str">
        <f>IF($B1507="","",IFERROR(INDEX(Services!$A$2:$A$120,MATCH($B1507,Services!$D$2:$D$120,0)),""))</f>
        <v/>
      </c>
      <c r="I1507" s="19"/>
      <c r="J1507" s="15" t="str">
        <f>IF($B1507="","",IFERROR(INDEX(Services!$E$2:$E$120,MATCH($B1507,Services!$D$2:$D$120,0)),""))</f>
        <v/>
      </c>
    </row>
    <row r="1508" spans="1:10" x14ac:dyDescent="0.3">
      <c r="A1508" s="18"/>
      <c r="B1508" s="6"/>
      <c r="C1508" s="6"/>
      <c r="D1508" s="6"/>
      <c r="E1508" s="16" t="str">
        <f>IF($B1508="","",IFERROR(INDEX(Services!$C$2:$C$120,MATCH($B1508,Services!$D$2:$D$120,0)),""))</f>
        <v/>
      </c>
      <c r="F1508" s="19"/>
      <c r="G1508" s="9" t="str">
        <f t="shared" si="23"/>
        <v/>
      </c>
      <c r="H1508" s="15" t="str">
        <f>IF($B1508="","",IFERROR(INDEX(Services!$A$2:$A$120,MATCH($B1508,Services!$D$2:$D$120,0)),""))</f>
        <v/>
      </c>
      <c r="I1508" s="19"/>
      <c r="J1508" s="15" t="str">
        <f>IF($B1508="","",IFERROR(INDEX(Services!$E$2:$E$120,MATCH($B1508,Services!$D$2:$D$120,0)),""))</f>
        <v/>
      </c>
    </row>
    <row r="1509" spans="1:10" x14ac:dyDescent="0.3">
      <c r="A1509" s="18"/>
      <c r="B1509" s="6"/>
      <c r="C1509" s="6"/>
      <c r="D1509" s="6"/>
      <c r="E1509" s="16" t="str">
        <f>IF($B1509="","",IFERROR(INDEX(Services!$C$2:$C$120,MATCH($B1509,Services!$D$2:$D$120,0)),""))</f>
        <v/>
      </c>
      <c r="F1509" s="19"/>
      <c r="G1509" s="9" t="str">
        <f t="shared" si="23"/>
        <v/>
      </c>
      <c r="H1509" s="15" t="str">
        <f>IF($B1509="","",IFERROR(INDEX(Services!$A$2:$A$120,MATCH($B1509,Services!$D$2:$D$120,0)),""))</f>
        <v/>
      </c>
      <c r="I1509" s="19"/>
      <c r="J1509" s="15" t="str">
        <f>IF($B1509="","",IFERROR(INDEX(Services!$E$2:$E$120,MATCH($B1509,Services!$D$2:$D$120,0)),""))</f>
        <v/>
      </c>
    </row>
    <row r="1510" spans="1:10" x14ac:dyDescent="0.3">
      <c r="A1510" s="18"/>
      <c r="B1510" s="6"/>
      <c r="C1510" s="6"/>
      <c r="D1510" s="6"/>
      <c r="E1510" s="16" t="str">
        <f>IF($B1510="","",IFERROR(INDEX(Services!$C$2:$C$120,MATCH($B1510,Services!$D$2:$D$120,0)),""))</f>
        <v/>
      </c>
      <c r="F1510" s="19"/>
      <c r="G1510" s="9" t="str">
        <f t="shared" si="23"/>
        <v/>
      </c>
      <c r="H1510" s="15" t="str">
        <f>IF($B1510="","",IFERROR(INDEX(Services!$A$2:$A$120,MATCH($B1510,Services!$D$2:$D$120,0)),""))</f>
        <v/>
      </c>
      <c r="I1510" s="19"/>
      <c r="J1510" s="15" t="str">
        <f>IF($B1510="","",IFERROR(INDEX(Services!$E$2:$E$120,MATCH($B1510,Services!$D$2:$D$120,0)),""))</f>
        <v/>
      </c>
    </row>
    <row r="1511" spans="1:10" x14ac:dyDescent="0.3">
      <c r="A1511" s="18"/>
      <c r="B1511" s="6"/>
      <c r="C1511" s="6"/>
      <c r="D1511" s="6"/>
      <c r="E1511" s="16" t="str">
        <f>IF($B1511="","",IFERROR(INDEX(Services!$C$2:$C$120,MATCH($B1511,Services!$D$2:$D$120,0)),""))</f>
        <v/>
      </c>
      <c r="F1511" s="19"/>
      <c r="G1511" s="9" t="str">
        <f t="shared" si="23"/>
        <v/>
      </c>
      <c r="H1511" s="15" t="str">
        <f>IF($B1511="","",IFERROR(INDEX(Services!$A$2:$A$120,MATCH($B1511,Services!$D$2:$D$120,0)),""))</f>
        <v/>
      </c>
      <c r="I1511" s="19"/>
      <c r="J1511" s="15" t="str">
        <f>IF($B1511="","",IFERROR(INDEX(Services!$E$2:$E$120,MATCH($B1511,Services!$D$2:$D$120,0)),""))</f>
        <v/>
      </c>
    </row>
    <row r="1512" spans="1:10" x14ac:dyDescent="0.3">
      <c r="A1512" s="18"/>
      <c r="B1512" s="6"/>
      <c r="C1512" s="6"/>
      <c r="D1512" s="6"/>
      <c r="E1512" s="16" t="str">
        <f>IF($B1512="","",IFERROR(INDEX(Services!$C$2:$C$120,MATCH($B1512,Services!$D$2:$D$120,0)),""))</f>
        <v/>
      </c>
      <c r="F1512" s="19"/>
      <c r="G1512" s="9" t="str">
        <f t="shared" si="23"/>
        <v/>
      </c>
      <c r="H1512" s="15" t="str">
        <f>IF($B1512="","",IFERROR(INDEX(Services!$A$2:$A$120,MATCH($B1512,Services!$D$2:$D$120,0)),""))</f>
        <v/>
      </c>
      <c r="I1512" s="19"/>
      <c r="J1512" s="15" t="str">
        <f>IF($B1512="","",IFERROR(INDEX(Services!$E$2:$E$120,MATCH($B1512,Services!$D$2:$D$120,0)),""))</f>
        <v/>
      </c>
    </row>
    <row r="1513" spans="1:10" x14ac:dyDescent="0.3">
      <c r="A1513" s="18"/>
      <c r="B1513" s="6"/>
      <c r="C1513" s="6"/>
      <c r="D1513" s="6"/>
      <c r="E1513" s="16" t="str">
        <f>IF($B1513="","",IFERROR(INDEX(Services!$C$2:$C$120,MATCH($B1513,Services!$D$2:$D$120,0)),""))</f>
        <v/>
      </c>
      <c r="F1513" s="19"/>
      <c r="G1513" s="9" t="str">
        <f t="shared" si="23"/>
        <v/>
      </c>
      <c r="H1513" s="15" t="str">
        <f>IF($B1513="","",IFERROR(INDEX(Services!$A$2:$A$120,MATCH($B1513,Services!$D$2:$D$120,0)),""))</f>
        <v/>
      </c>
      <c r="I1513" s="19"/>
      <c r="J1513" s="15" t="str">
        <f>IF($B1513="","",IFERROR(INDEX(Services!$E$2:$E$120,MATCH($B1513,Services!$D$2:$D$120,0)),""))</f>
        <v/>
      </c>
    </row>
    <row r="1514" spans="1:10" x14ac:dyDescent="0.3">
      <c r="A1514" s="18"/>
      <c r="B1514" s="6"/>
      <c r="C1514" s="6"/>
      <c r="D1514" s="6"/>
      <c r="E1514" s="16" t="str">
        <f>IF($B1514="","",IFERROR(INDEX(Services!$C$2:$C$120,MATCH($B1514,Services!$D$2:$D$120,0)),""))</f>
        <v/>
      </c>
      <c r="F1514" s="19"/>
      <c r="G1514" s="9" t="str">
        <f t="shared" si="23"/>
        <v/>
      </c>
      <c r="H1514" s="15" t="str">
        <f>IF($B1514="","",IFERROR(INDEX(Services!$A$2:$A$120,MATCH($B1514,Services!$D$2:$D$120,0)),""))</f>
        <v/>
      </c>
      <c r="I1514" s="19"/>
      <c r="J1514" s="15" t="str">
        <f>IF($B1514="","",IFERROR(INDEX(Services!$E$2:$E$120,MATCH($B1514,Services!$D$2:$D$120,0)),""))</f>
        <v/>
      </c>
    </row>
    <row r="1515" spans="1:10" x14ac:dyDescent="0.3">
      <c r="A1515" s="18"/>
      <c r="B1515" s="6"/>
      <c r="C1515" s="6"/>
      <c r="D1515" s="6"/>
      <c r="E1515" s="16" t="str">
        <f>IF($B1515="","",IFERROR(INDEX(Services!$C$2:$C$120,MATCH($B1515,Services!$D$2:$D$120,0)),""))</f>
        <v/>
      </c>
      <c r="F1515" s="19"/>
      <c r="G1515" s="9" t="str">
        <f t="shared" si="23"/>
        <v/>
      </c>
      <c r="H1515" s="15" t="str">
        <f>IF($B1515="","",IFERROR(INDEX(Services!$A$2:$A$120,MATCH($B1515,Services!$D$2:$D$120,0)),""))</f>
        <v/>
      </c>
      <c r="I1515" s="19"/>
      <c r="J1515" s="15" t="str">
        <f>IF($B1515="","",IFERROR(INDEX(Services!$E$2:$E$120,MATCH($B1515,Services!$D$2:$D$120,0)),""))</f>
        <v/>
      </c>
    </row>
    <row r="1516" spans="1:10" x14ac:dyDescent="0.3">
      <c r="A1516" s="18"/>
      <c r="B1516" s="6"/>
      <c r="C1516" s="6"/>
      <c r="D1516" s="6"/>
      <c r="E1516" s="16" t="str">
        <f>IF($B1516="","",IFERROR(INDEX(Services!$C$2:$C$120,MATCH($B1516,Services!$D$2:$D$120,0)),""))</f>
        <v/>
      </c>
      <c r="F1516" s="19"/>
      <c r="G1516" s="9" t="str">
        <f t="shared" si="23"/>
        <v/>
      </c>
      <c r="H1516" s="15" t="str">
        <f>IF($B1516="","",IFERROR(INDEX(Services!$A$2:$A$120,MATCH($B1516,Services!$D$2:$D$120,0)),""))</f>
        <v/>
      </c>
      <c r="I1516" s="19"/>
      <c r="J1516" s="15" t="str">
        <f>IF($B1516="","",IFERROR(INDEX(Services!$E$2:$E$120,MATCH($B1516,Services!$D$2:$D$120,0)),""))</f>
        <v/>
      </c>
    </row>
    <row r="1517" spans="1:10" x14ac:dyDescent="0.3">
      <c r="A1517" s="18"/>
      <c r="B1517" s="6"/>
      <c r="C1517" s="6"/>
      <c r="D1517" s="6"/>
      <c r="E1517" s="16" t="str">
        <f>IF($B1517="","",IFERROR(INDEX(Services!$C$2:$C$120,MATCH($B1517,Services!$D$2:$D$120,0)),""))</f>
        <v/>
      </c>
      <c r="F1517" s="19"/>
      <c r="G1517" s="9" t="str">
        <f t="shared" si="23"/>
        <v/>
      </c>
      <c r="H1517" s="15" t="str">
        <f>IF($B1517="","",IFERROR(INDEX(Services!$A$2:$A$120,MATCH($B1517,Services!$D$2:$D$120,0)),""))</f>
        <v/>
      </c>
      <c r="I1517" s="19"/>
      <c r="J1517" s="15" t="str">
        <f>IF($B1517="","",IFERROR(INDEX(Services!$E$2:$E$120,MATCH($B1517,Services!$D$2:$D$120,0)),""))</f>
        <v/>
      </c>
    </row>
    <row r="1518" spans="1:10" x14ac:dyDescent="0.3">
      <c r="A1518" s="18"/>
      <c r="B1518" s="6"/>
      <c r="C1518" s="6"/>
      <c r="D1518" s="6"/>
      <c r="E1518" s="16" t="str">
        <f>IF($B1518="","",IFERROR(INDEX(Services!$C$2:$C$120,MATCH($B1518,Services!$D$2:$D$120,0)),""))</f>
        <v/>
      </c>
      <c r="F1518" s="19"/>
      <c r="G1518" s="9" t="str">
        <f t="shared" si="23"/>
        <v/>
      </c>
      <c r="H1518" s="15" t="str">
        <f>IF($B1518="","",IFERROR(INDEX(Services!$A$2:$A$120,MATCH($B1518,Services!$D$2:$D$120,0)),""))</f>
        <v/>
      </c>
      <c r="I1518" s="19"/>
      <c r="J1518" s="15" t="str">
        <f>IF($B1518="","",IFERROR(INDEX(Services!$E$2:$E$120,MATCH($B1518,Services!$D$2:$D$120,0)),""))</f>
        <v/>
      </c>
    </row>
    <row r="1519" spans="1:10" x14ac:dyDescent="0.3">
      <c r="A1519" s="18"/>
      <c r="B1519" s="6"/>
      <c r="C1519" s="6"/>
      <c r="D1519" s="6"/>
      <c r="E1519" s="16" t="str">
        <f>IF($B1519="","",IFERROR(INDEX(Services!$C$2:$C$120,MATCH($B1519,Services!$D$2:$D$120,0)),""))</f>
        <v/>
      </c>
      <c r="F1519" s="19"/>
      <c r="G1519" s="9" t="str">
        <f t="shared" si="23"/>
        <v/>
      </c>
      <c r="H1519" s="15" t="str">
        <f>IF($B1519="","",IFERROR(INDEX(Services!$A$2:$A$120,MATCH($B1519,Services!$D$2:$D$120,0)),""))</f>
        <v/>
      </c>
      <c r="I1519" s="19"/>
      <c r="J1519" s="15" t="str">
        <f>IF($B1519="","",IFERROR(INDEX(Services!$E$2:$E$120,MATCH($B1519,Services!$D$2:$D$120,0)),""))</f>
        <v/>
      </c>
    </row>
    <row r="1520" spans="1:10" x14ac:dyDescent="0.3">
      <c r="A1520" s="18"/>
      <c r="B1520" s="6"/>
      <c r="C1520" s="6"/>
      <c r="D1520" s="6"/>
      <c r="E1520" s="16" t="str">
        <f>IF($B1520="","",IFERROR(INDEX(Services!$C$2:$C$120,MATCH($B1520,Services!$D$2:$D$120,0)),""))</f>
        <v/>
      </c>
      <c r="F1520" s="19"/>
      <c r="G1520" s="9" t="str">
        <f t="shared" si="23"/>
        <v/>
      </c>
      <c r="H1520" s="15" t="str">
        <f>IF($B1520="","",IFERROR(INDEX(Services!$A$2:$A$120,MATCH($B1520,Services!$D$2:$D$120,0)),""))</f>
        <v/>
      </c>
      <c r="I1520" s="19"/>
      <c r="J1520" s="15" t="str">
        <f>IF($B1520="","",IFERROR(INDEX(Services!$E$2:$E$120,MATCH($B1520,Services!$D$2:$D$120,0)),""))</f>
        <v/>
      </c>
    </row>
    <row r="1521" spans="1:10" x14ac:dyDescent="0.3">
      <c r="A1521" s="18"/>
      <c r="B1521" s="6"/>
      <c r="C1521" s="6"/>
      <c r="D1521" s="6"/>
      <c r="E1521" s="16" t="str">
        <f>IF($B1521="","",IFERROR(INDEX(Services!$C$2:$C$120,MATCH($B1521,Services!$D$2:$D$120,0)),""))</f>
        <v/>
      </c>
      <c r="F1521" s="19"/>
      <c r="G1521" s="9" t="str">
        <f t="shared" si="23"/>
        <v/>
      </c>
      <c r="H1521" s="15" t="str">
        <f>IF($B1521="","",IFERROR(INDEX(Services!$A$2:$A$120,MATCH($B1521,Services!$D$2:$D$120,0)),""))</f>
        <v/>
      </c>
      <c r="I1521" s="19"/>
      <c r="J1521" s="15" t="str">
        <f>IF($B1521="","",IFERROR(INDEX(Services!$E$2:$E$120,MATCH($B1521,Services!$D$2:$D$120,0)),""))</f>
        <v/>
      </c>
    </row>
    <row r="1522" spans="1:10" x14ac:dyDescent="0.3">
      <c r="A1522" s="18"/>
      <c r="B1522" s="6"/>
      <c r="C1522" s="6"/>
      <c r="D1522" s="6"/>
      <c r="E1522" s="16" t="str">
        <f>IF($B1522="","",IFERROR(INDEX(Services!$C$2:$C$120,MATCH($B1522,Services!$D$2:$D$120,0)),""))</f>
        <v/>
      </c>
      <c r="F1522" s="19"/>
      <c r="G1522" s="9" t="str">
        <f t="shared" si="23"/>
        <v/>
      </c>
      <c r="H1522" s="15" t="str">
        <f>IF($B1522="","",IFERROR(INDEX(Services!$A$2:$A$120,MATCH($B1522,Services!$D$2:$D$120,0)),""))</f>
        <v/>
      </c>
      <c r="I1522" s="19"/>
      <c r="J1522" s="15" t="str">
        <f>IF($B1522="","",IFERROR(INDEX(Services!$E$2:$E$120,MATCH($B1522,Services!$D$2:$D$120,0)),""))</f>
        <v/>
      </c>
    </row>
    <row r="1523" spans="1:10" x14ac:dyDescent="0.3">
      <c r="A1523" s="18"/>
      <c r="B1523" s="6"/>
      <c r="C1523" s="6"/>
      <c r="D1523" s="6"/>
      <c r="E1523" s="16" t="str">
        <f>IF($B1523="","",IFERROR(INDEX(Services!$C$2:$C$120,MATCH($B1523,Services!$D$2:$D$120,0)),""))</f>
        <v/>
      </c>
      <c r="F1523" s="19"/>
      <c r="G1523" s="9" t="str">
        <f t="shared" si="23"/>
        <v/>
      </c>
      <c r="H1523" s="15" t="str">
        <f>IF($B1523="","",IFERROR(INDEX(Services!$A$2:$A$120,MATCH($B1523,Services!$D$2:$D$120,0)),""))</f>
        <v/>
      </c>
      <c r="I1523" s="19"/>
      <c r="J1523" s="15" t="str">
        <f>IF($B1523="","",IFERROR(INDEX(Services!$E$2:$E$120,MATCH($B1523,Services!$D$2:$D$120,0)),""))</f>
        <v/>
      </c>
    </row>
    <row r="1524" spans="1:10" x14ac:dyDescent="0.3">
      <c r="A1524" s="18"/>
      <c r="B1524" s="6"/>
      <c r="C1524" s="6"/>
      <c r="D1524" s="6"/>
      <c r="E1524" s="16" t="str">
        <f>IF($B1524="","",IFERROR(INDEX(Services!$C$2:$C$120,MATCH($B1524,Services!$D$2:$D$120,0)),""))</f>
        <v/>
      </c>
      <c r="F1524" s="19"/>
      <c r="G1524" s="9" t="str">
        <f t="shared" si="23"/>
        <v/>
      </c>
      <c r="H1524" s="15" t="str">
        <f>IF($B1524="","",IFERROR(INDEX(Services!$A$2:$A$120,MATCH($B1524,Services!$D$2:$D$120,0)),""))</f>
        <v/>
      </c>
      <c r="I1524" s="19"/>
      <c r="J1524" s="15" t="str">
        <f>IF($B1524="","",IFERROR(INDEX(Services!$E$2:$E$120,MATCH($B1524,Services!$D$2:$D$120,0)),""))</f>
        <v/>
      </c>
    </row>
    <row r="1525" spans="1:10" x14ac:dyDescent="0.3">
      <c r="A1525" s="18"/>
      <c r="B1525" s="6"/>
      <c r="C1525" s="6"/>
      <c r="D1525" s="6"/>
      <c r="E1525" s="16" t="str">
        <f>IF($B1525="","",IFERROR(INDEX(Services!$C$2:$C$120,MATCH($B1525,Services!$D$2:$D$120,0)),""))</f>
        <v/>
      </c>
      <c r="F1525" s="19"/>
      <c r="G1525" s="9" t="str">
        <f t="shared" si="23"/>
        <v/>
      </c>
      <c r="H1525" s="15" t="str">
        <f>IF($B1525="","",IFERROR(INDEX(Services!$A$2:$A$120,MATCH($B1525,Services!$D$2:$D$120,0)),""))</f>
        <v/>
      </c>
      <c r="I1525" s="19"/>
      <c r="J1525" s="15" t="str">
        <f>IF($B1525="","",IFERROR(INDEX(Services!$E$2:$E$120,MATCH($B1525,Services!$D$2:$D$120,0)),""))</f>
        <v/>
      </c>
    </row>
    <row r="1526" spans="1:10" x14ac:dyDescent="0.3">
      <c r="A1526" s="18"/>
      <c r="B1526" s="6"/>
      <c r="C1526" s="6"/>
      <c r="D1526" s="6"/>
      <c r="E1526" s="16" t="str">
        <f>IF($B1526="","",IFERROR(INDEX(Services!$C$2:$C$120,MATCH($B1526,Services!$D$2:$D$120,0)),""))</f>
        <v/>
      </c>
      <c r="F1526" s="19"/>
      <c r="G1526" s="9" t="str">
        <f t="shared" si="23"/>
        <v/>
      </c>
      <c r="H1526" s="15" t="str">
        <f>IF($B1526="","",IFERROR(INDEX(Services!$A$2:$A$120,MATCH($B1526,Services!$D$2:$D$120,0)),""))</f>
        <v/>
      </c>
      <c r="I1526" s="19"/>
      <c r="J1526" s="15" t="str">
        <f>IF($B1526="","",IFERROR(INDEX(Services!$E$2:$E$120,MATCH($B1526,Services!$D$2:$D$120,0)),""))</f>
        <v/>
      </c>
    </row>
    <row r="1527" spans="1:10" x14ac:dyDescent="0.3">
      <c r="A1527" s="18"/>
      <c r="B1527" s="6"/>
      <c r="C1527" s="6"/>
      <c r="D1527" s="6"/>
      <c r="E1527" s="16" t="str">
        <f>IF($B1527="","",IFERROR(INDEX(Services!$C$2:$C$120,MATCH($B1527,Services!$D$2:$D$120,0)),""))</f>
        <v/>
      </c>
      <c r="F1527" s="19"/>
      <c r="G1527" s="9" t="str">
        <f t="shared" si="23"/>
        <v/>
      </c>
      <c r="H1527" s="15" t="str">
        <f>IF($B1527="","",IFERROR(INDEX(Services!$A$2:$A$120,MATCH($B1527,Services!$D$2:$D$120,0)),""))</f>
        <v/>
      </c>
      <c r="I1527" s="19"/>
      <c r="J1527" s="15" t="str">
        <f>IF($B1527="","",IFERROR(INDEX(Services!$E$2:$E$120,MATCH($B1527,Services!$D$2:$D$120,0)),""))</f>
        <v/>
      </c>
    </row>
    <row r="1528" spans="1:10" x14ac:dyDescent="0.3">
      <c r="A1528" s="18"/>
      <c r="B1528" s="6"/>
      <c r="C1528" s="6"/>
      <c r="D1528" s="6"/>
      <c r="E1528" s="16" t="str">
        <f>IF($B1528="","",IFERROR(INDEX(Services!$C$2:$C$120,MATCH($B1528,Services!$D$2:$D$120,0)),""))</f>
        <v/>
      </c>
      <c r="F1528" s="19"/>
      <c r="G1528" s="9" t="str">
        <f t="shared" si="23"/>
        <v/>
      </c>
      <c r="H1528" s="15" t="str">
        <f>IF($B1528="","",IFERROR(INDEX(Services!$A$2:$A$120,MATCH($B1528,Services!$D$2:$D$120,0)),""))</f>
        <v/>
      </c>
      <c r="I1528" s="19"/>
      <c r="J1528" s="15" t="str">
        <f>IF($B1528="","",IFERROR(INDEX(Services!$E$2:$E$120,MATCH($B1528,Services!$D$2:$D$120,0)),""))</f>
        <v/>
      </c>
    </row>
    <row r="1529" spans="1:10" x14ac:dyDescent="0.3">
      <c r="A1529" s="18"/>
      <c r="B1529" s="6"/>
      <c r="C1529" s="6"/>
      <c r="D1529" s="6"/>
      <c r="E1529" s="16" t="str">
        <f>IF($B1529="","",IFERROR(INDEX(Services!$C$2:$C$120,MATCH($B1529,Services!$D$2:$D$120,0)),""))</f>
        <v/>
      </c>
      <c r="F1529" s="19"/>
      <c r="G1529" s="9" t="str">
        <f t="shared" si="23"/>
        <v/>
      </c>
      <c r="H1529" s="15" t="str">
        <f>IF($B1529="","",IFERROR(INDEX(Services!$A$2:$A$120,MATCH($B1529,Services!$D$2:$D$120,0)),""))</f>
        <v/>
      </c>
      <c r="I1529" s="19"/>
      <c r="J1529" s="15" t="str">
        <f>IF($B1529="","",IFERROR(INDEX(Services!$E$2:$E$120,MATCH($B1529,Services!$D$2:$D$120,0)),""))</f>
        <v/>
      </c>
    </row>
    <row r="1530" spans="1:10" x14ac:dyDescent="0.3">
      <c r="A1530" s="18"/>
      <c r="B1530" s="6"/>
      <c r="C1530" s="6"/>
      <c r="D1530" s="6"/>
      <c r="E1530" s="16" t="str">
        <f>IF($B1530="","",IFERROR(INDEX(Services!$C$2:$C$120,MATCH($B1530,Services!$D$2:$D$120,0)),""))</f>
        <v/>
      </c>
      <c r="F1530" s="19"/>
      <c r="G1530" s="9" t="str">
        <f t="shared" si="23"/>
        <v/>
      </c>
      <c r="H1530" s="15" t="str">
        <f>IF($B1530="","",IFERROR(INDEX(Services!$A$2:$A$120,MATCH($B1530,Services!$D$2:$D$120,0)),""))</f>
        <v/>
      </c>
      <c r="I1530" s="19"/>
      <c r="J1530" s="15" t="str">
        <f>IF($B1530="","",IFERROR(INDEX(Services!$E$2:$E$120,MATCH($B1530,Services!$D$2:$D$120,0)),""))</f>
        <v/>
      </c>
    </row>
    <row r="1531" spans="1:10" x14ac:dyDescent="0.3">
      <c r="A1531" s="18"/>
      <c r="B1531" s="6"/>
      <c r="C1531" s="6"/>
      <c r="D1531" s="6"/>
      <c r="E1531" s="16" t="str">
        <f>IF($B1531="","",IFERROR(INDEX(Services!$C$2:$C$120,MATCH($B1531,Services!$D$2:$D$120,0)),""))</f>
        <v/>
      </c>
      <c r="F1531" s="19"/>
      <c r="G1531" s="9" t="str">
        <f t="shared" si="23"/>
        <v/>
      </c>
      <c r="H1531" s="15" t="str">
        <f>IF($B1531="","",IFERROR(INDEX(Services!$A$2:$A$120,MATCH($B1531,Services!$D$2:$D$120,0)),""))</f>
        <v/>
      </c>
      <c r="I1531" s="19"/>
      <c r="J1531" s="15" t="str">
        <f>IF($B1531="","",IFERROR(INDEX(Services!$E$2:$E$120,MATCH($B1531,Services!$D$2:$D$120,0)),""))</f>
        <v/>
      </c>
    </row>
    <row r="1532" spans="1:10" x14ac:dyDescent="0.3">
      <c r="A1532" s="18"/>
      <c r="B1532" s="6"/>
      <c r="C1532" s="6"/>
      <c r="D1532" s="6"/>
      <c r="E1532" s="16" t="str">
        <f>IF($B1532="","",IFERROR(INDEX(Services!$C$2:$C$120,MATCH($B1532,Services!$D$2:$D$120,0)),""))</f>
        <v/>
      </c>
      <c r="F1532" s="19"/>
      <c r="G1532" s="9" t="str">
        <f t="shared" si="23"/>
        <v/>
      </c>
      <c r="H1532" s="15" t="str">
        <f>IF($B1532="","",IFERROR(INDEX(Services!$A$2:$A$120,MATCH($B1532,Services!$D$2:$D$120,0)),""))</f>
        <v/>
      </c>
      <c r="I1532" s="19"/>
      <c r="J1532" s="15" t="str">
        <f>IF($B1532="","",IFERROR(INDEX(Services!$E$2:$E$120,MATCH($B1532,Services!$D$2:$D$120,0)),""))</f>
        <v/>
      </c>
    </row>
    <row r="1533" spans="1:10" x14ac:dyDescent="0.3">
      <c r="A1533" s="18"/>
      <c r="B1533" s="6"/>
      <c r="C1533" s="6"/>
      <c r="D1533" s="6"/>
      <c r="E1533" s="16" t="str">
        <f>IF($B1533="","",IFERROR(INDEX(Services!$C$2:$C$120,MATCH($B1533,Services!$D$2:$D$120,0)),""))</f>
        <v/>
      </c>
      <c r="F1533" s="19"/>
      <c r="G1533" s="9" t="str">
        <f t="shared" si="23"/>
        <v/>
      </c>
      <c r="H1533" s="15" t="str">
        <f>IF($B1533="","",IFERROR(INDEX(Services!$A$2:$A$120,MATCH($B1533,Services!$D$2:$D$120,0)),""))</f>
        <v/>
      </c>
      <c r="I1533" s="19"/>
      <c r="J1533" s="15" t="str">
        <f>IF($B1533="","",IFERROR(INDEX(Services!$E$2:$E$120,MATCH($B1533,Services!$D$2:$D$120,0)),""))</f>
        <v/>
      </c>
    </row>
    <row r="1534" spans="1:10" x14ac:dyDescent="0.3">
      <c r="A1534" s="18"/>
      <c r="B1534" s="6"/>
      <c r="C1534" s="6"/>
      <c r="D1534" s="6"/>
      <c r="E1534" s="16" t="str">
        <f>IF($B1534="","",IFERROR(INDEX(Services!$C$2:$C$120,MATCH($B1534,Services!$D$2:$D$120,0)),""))</f>
        <v/>
      </c>
      <c r="F1534" s="19"/>
      <c r="G1534" s="9" t="str">
        <f t="shared" si="23"/>
        <v/>
      </c>
      <c r="H1534" s="15" t="str">
        <f>IF($B1534="","",IFERROR(INDEX(Services!$A$2:$A$120,MATCH($B1534,Services!$D$2:$D$120,0)),""))</f>
        <v/>
      </c>
      <c r="I1534" s="19"/>
      <c r="J1534" s="15" t="str">
        <f>IF($B1534="","",IFERROR(INDEX(Services!$E$2:$E$120,MATCH($B1534,Services!$D$2:$D$120,0)),""))</f>
        <v/>
      </c>
    </row>
    <row r="1535" spans="1:10" x14ac:dyDescent="0.3">
      <c r="A1535" s="18"/>
      <c r="B1535" s="6"/>
      <c r="C1535" s="6"/>
      <c r="D1535" s="6"/>
      <c r="E1535" s="16" t="str">
        <f>IF($B1535="","",IFERROR(INDEX(Services!$C$2:$C$120,MATCH($B1535,Services!$D$2:$D$120,0)),""))</f>
        <v/>
      </c>
      <c r="F1535" s="19"/>
      <c r="G1535" s="9" t="str">
        <f t="shared" si="23"/>
        <v/>
      </c>
      <c r="H1535" s="15" t="str">
        <f>IF($B1535="","",IFERROR(INDEX(Services!$A$2:$A$120,MATCH($B1535,Services!$D$2:$D$120,0)),""))</f>
        <v/>
      </c>
      <c r="I1535" s="19"/>
      <c r="J1535" s="15" t="str">
        <f>IF($B1535="","",IFERROR(INDEX(Services!$E$2:$E$120,MATCH($B1535,Services!$D$2:$D$120,0)),""))</f>
        <v/>
      </c>
    </row>
    <row r="1536" spans="1:10" x14ac:dyDescent="0.3">
      <c r="A1536" s="18"/>
      <c r="B1536" s="6"/>
      <c r="C1536" s="6"/>
      <c r="D1536" s="6"/>
      <c r="E1536" s="16" t="str">
        <f>IF($B1536="","",IFERROR(INDEX(Services!$C$2:$C$120,MATCH($B1536,Services!$D$2:$D$120,0)),""))</f>
        <v/>
      </c>
      <c r="F1536" s="19"/>
      <c r="G1536" s="9" t="str">
        <f t="shared" si="23"/>
        <v/>
      </c>
      <c r="H1536" s="15" t="str">
        <f>IF($B1536="","",IFERROR(INDEX(Services!$A$2:$A$120,MATCH($B1536,Services!$D$2:$D$120,0)),""))</f>
        <v/>
      </c>
      <c r="I1536" s="19"/>
      <c r="J1536" s="15" t="str">
        <f>IF($B1536="","",IFERROR(INDEX(Services!$E$2:$E$120,MATCH($B1536,Services!$D$2:$D$120,0)),""))</f>
        <v/>
      </c>
    </row>
    <row r="1537" spans="1:10" x14ac:dyDescent="0.3">
      <c r="A1537" s="18"/>
      <c r="B1537" s="6"/>
      <c r="C1537" s="6"/>
      <c r="D1537" s="6"/>
      <c r="E1537" s="16" t="str">
        <f>IF($B1537="","",IFERROR(INDEX(Services!$C$2:$C$120,MATCH($B1537,Services!$D$2:$D$120,0)),""))</f>
        <v/>
      </c>
      <c r="F1537" s="19"/>
      <c r="G1537" s="9" t="str">
        <f t="shared" si="23"/>
        <v/>
      </c>
      <c r="H1537" s="15" t="str">
        <f>IF($B1537="","",IFERROR(INDEX(Services!$A$2:$A$120,MATCH($B1537,Services!$D$2:$D$120,0)),""))</f>
        <v/>
      </c>
      <c r="I1537" s="19"/>
      <c r="J1537" s="15" t="str">
        <f>IF($B1537="","",IFERROR(INDEX(Services!$E$2:$E$120,MATCH($B1537,Services!$D$2:$D$120,0)),""))</f>
        <v/>
      </c>
    </row>
    <row r="1538" spans="1:10" x14ac:dyDescent="0.3">
      <c r="A1538" s="18"/>
      <c r="B1538" s="6"/>
      <c r="C1538" s="6"/>
      <c r="D1538" s="6"/>
      <c r="E1538" s="16" t="str">
        <f>IF($B1538="","",IFERROR(INDEX(Services!$C$2:$C$120,MATCH($B1538,Services!$D$2:$D$120,0)),""))</f>
        <v/>
      </c>
      <c r="F1538" s="19"/>
      <c r="G1538" s="9" t="str">
        <f t="shared" ref="G1538:G1601" si="24">IF(OR($B1538="",NOT(ISNUMBER($E1538))),"",$E1538-IF($F1538="",0,$F1538))</f>
        <v/>
      </c>
      <c r="H1538" s="15" t="str">
        <f>IF($B1538="","",IFERROR(INDEX(Services!$A$2:$A$120,MATCH($B1538,Services!$D$2:$D$120,0)),""))</f>
        <v/>
      </c>
      <c r="I1538" s="19"/>
      <c r="J1538" s="15" t="str">
        <f>IF($B1538="","",IFERROR(INDEX(Services!$E$2:$E$120,MATCH($B1538,Services!$D$2:$D$120,0)),""))</f>
        <v/>
      </c>
    </row>
    <row r="1539" spans="1:10" x14ac:dyDescent="0.3">
      <c r="A1539" s="18"/>
      <c r="B1539" s="6"/>
      <c r="C1539" s="6"/>
      <c r="D1539" s="6"/>
      <c r="E1539" s="16" t="str">
        <f>IF($B1539="","",IFERROR(INDEX(Services!$C$2:$C$120,MATCH($B1539,Services!$D$2:$D$120,0)),""))</f>
        <v/>
      </c>
      <c r="F1539" s="19"/>
      <c r="G1539" s="9" t="str">
        <f t="shared" si="24"/>
        <v/>
      </c>
      <c r="H1539" s="15" t="str">
        <f>IF($B1539="","",IFERROR(INDEX(Services!$A$2:$A$120,MATCH($B1539,Services!$D$2:$D$120,0)),""))</f>
        <v/>
      </c>
      <c r="I1539" s="19"/>
      <c r="J1539" s="15" t="str">
        <f>IF($B1539="","",IFERROR(INDEX(Services!$E$2:$E$120,MATCH($B1539,Services!$D$2:$D$120,0)),""))</f>
        <v/>
      </c>
    </row>
    <row r="1540" spans="1:10" x14ac:dyDescent="0.3">
      <c r="A1540" s="18"/>
      <c r="B1540" s="6"/>
      <c r="C1540" s="6"/>
      <c r="D1540" s="6"/>
      <c r="E1540" s="16" t="str">
        <f>IF($B1540="","",IFERROR(INDEX(Services!$C$2:$C$120,MATCH($B1540,Services!$D$2:$D$120,0)),""))</f>
        <v/>
      </c>
      <c r="F1540" s="19"/>
      <c r="G1540" s="9" t="str">
        <f t="shared" si="24"/>
        <v/>
      </c>
      <c r="H1540" s="15" t="str">
        <f>IF($B1540="","",IFERROR(INDEX(Services!$A$2:$A$120,MATCH($B1540,Services!$D$2:$D$120,0)),""))</f>
        <v/>
      </c>
      <c r="I1540" s="19"/>
      <c r="J1540" s="15" t="str">
        <f>IF($B1540="","",IFERROR(INDEX(Services!$E$2:$E$120,MATCH($B1540,Services!$D$2:$D$120,0)),""))</f>
        <v/>
      </c>
    </row>
    <row r="1541" spans="1:10" x14ac:dyDescent="0.3">
      <c r="A1541" s="18"/>
      <c r="B1541" s="6"/>
      <c r="C1541" s="6"/>
      <c r="D1541" s="6"/>
      <c r="E1541" s="16" t="str">
        <f>IF($B1541="","",IFERROR(INDEX(Services!$C$2:$C$120,MATCH($B1541,Services!$D$2:$D$120,0)),""))</f>
        <v/>
      </c>
      <c r="F1541" s="19"/>
      <c r="G1541" s="9" t="str">
        <f t="shared" si="24"/>
        <v/>
      </c>
      <c r="H1541" s="15" t="str">
        <f>IF($B1541="","",IFERROR(INDEX(Services!$A$2:$A$120,MATCH($B1541,Services!$D$2:$D$120,0)),""))</f>
        <v/>
      </c>
      <c r="I1541" s="19"/>
      <c r="J1541" s="15" t="str">
        <f>IF($B1541="","",IFERROR(INDEX(Services!$E$2:$E$120,MATCH($B1541,Services!$D$2:$D$120,0)),""))</f>
        <v/>
      </c>
    </row>
    <row r="1542" spans="1:10" x14ac:dyDescent="0.3">
      <c r="A1542" s="18"/>
      <c r="B1542" s="6"/>
      <c r="C1542" s="6"/>
      <c r="D1542" s="6"/>
      <c r="E1542" s="16" t="str">
        <f>IF($B1542="","",IFERROR(INDEX(Services!$C$2:$C$120,MATCH($B1542,Services!$D$2:$D$120,0)),""))</f>
        <v/>
      </c>
      <c r="F1542" s="19"/>
      <c r="G1542" s="9" t="str">
        <f t="shared" si="24"/>
        <v/>
      </c>
      <c r="H1542" s="15" t="str">
        <f>IF($B1542="","",IFERROR(INDEX(Services!$A$2:$A$120,MATCH($B1542,Services!$D$2:$D$120,0)),""))</f>
        <v/>
      </c>
      <c r="I1542" s="19"/>
      <c r="J1542" s="15" t="str">
        <f>IF($B1542="","",IFERROR(INDEX(Services!$E$2:$E$120,MATCH($B1542,Services!$D$2:$D$120,0)),""))</f>
        <v/>
      </c>
    </row>
    <row r="1543" spans="1:10" x14ac:dyDescent="0.3">
      <c r="A1543" s="18"/>
      <c r="B1543" s="6"/>
      <c r="C1543" s="6"/>
      <c r="D1543" s="6"/>
      <c r="E1543" s="16" t="str">
        <f>IF($B1543="","",IFERROR(INDEX(Services!$C$2:$C$120,MATCH($B1543,Services!$D$2:$D$120,0)),""))</f>
        <v/>
      </c>
      <c r="F1543" s="19"/>
      <c r="G1543" s="9" t="str">
        <f t="shared" si="24"/>
        <v/>
      </c>
      <c r="H1543" s="15" t="str">
        <f>IF($B1543="","",IFERROR(INDEX(Services!$A$2:$A$120,MATCH($B1543,Services!$D$2:$D$120,0)),""))</f>
        <v/>
      </c>
      <c r="I1543" s="19"/>
      <c r="J1543" s="15" t="str">
        <f>IF($B1543="","",IFERROR(INDEX(Services!$E$2:$E$120,MATCH($B1543,Services!$D$2:$D$120,0)),""))</f>
        <v/>
      </c>
    </row>
    <row r="1544" spans="1:10" x14ac:dyDescent="0.3">
      <c r="A1544" s="18"/>
      <c r="B1544" s="6"/>
      <c r="C1544" s="6"/>
      <c r="D1544" s="6"/>
      <c r="E1544" s="16" t="str">
        <f>IF($B1544="","",IFERROR(INDEX(Services!$C$2:$C$120,MATCH($B1544,Services!$D$2:$D$120,0)),""))</f>
        <v/>
      </c>
      <c r="F1544" s="19"/>
      <c r="G1544" s="9" t="str">
        <f t="shared" si="24"/>
        <v/>
      </c>
      <c r="H1544" s="15" t="str">
        <f>IF($B1544="","",IFERROR(INDEX(Services!$A$2:$A$120,MATCH($B1544,Services!$D$2:$D$120,0)),""))</f>
        <v/>
      </c>
      <c r="I1544" s="19"/>
      <c r="J1544" s="15" t="str">
        <f>IF($B1544="","",IFERROR(INDEX(Services!$E$2:$E$120,MATCH($B1544,Services!$D$2:$D$120,0)),""))</f>
        <v/>
      </c>
    </row>
    <row r="1545" spans="1:10" x14ac:dyDescent="0.3">
      <c r="A1545" s="18"/>
      <c r="B1545" s="6"/>
      <c r="C1545" s="6"/>
      <c r="D1545" s="6"/>
      <c r="E1545" s="16" t="str">
        <f>IF($B1545="","",IFERROR(INDEX(Services!$C$2:$C$120,MATCH($B1545,Services!$D$2:$D$120,0)),""))</f>
        <v/>
      </c>
      <c r="F1545" s="19"/>
      <c r="G1545" s="9" t="str">
        <f t="shared" si="24"/>
        <v/>
      </c>
      <c r="H1545" s="15" t="str">
        <f>IF($B1545="","",IFERROR(INDEX(Services!$A$2:$A$120,MATCH($B1545,Services!$D$2:$D$120,0)),""))</f>
        <v/>
      </c>
      <c r="I1545" s="19"/>
      <c r="J1545" s="15" t="str">
        <f>IF($B1545="","",IFERROR(INDEX(Services!$E$2:$E$120,MATCH($B1545,Services!$D$2:$D$120,0)),""))</f>
        <v/>
      </c>
    </row>
    <row r="1546" spans="1:10" x14ac:dyDescent="0.3">
      <c r="A1546" s="18"/>
      <c r="B1546" s="6"/>
      <c r="C1546" s="6"/>
      <c r="D1546" s="6"/>
      <c r="E1546" s="16" t="str">
        <f>IF($B1546="","",IFERROR(INDEX(Services!$C$2:$C$120,MATCH($B1546,Services!$D$2:$D$120,0)),""))</f>
        <v/>
      </c>
      <c r="F1546" s="19"/>
      <c r="G1546" s="9" t="str">
        <f t="shared" si="24"/>
        <v/>
      </c>
      <c r="H1546" s="15" t="str">
        <f>IF($B1546="","",IFERROR(INDEX(Services!$A$2:$A$120,MATCH($B1546,Services!$D$2:$D$120,0)),""))</f>
        <v/>
      </c>
      <c r="I1546" s="19"/>
      <c r="J1546" s="15" t="str">
        <f>IF($B1546="","",IFERROR(INDEX(Services!$E$2:$E$120,MATCH($B1546,Services!$D$2:$D$120,0)),""))</f>
        <v/>
      </c>
    </row>
    <row r="1547" spans="1:10" x14ac:dyDescent="0.3">
      <c r="A1547" s="18"/>
      <c r="B1547" s="6"/>
      <c r="C1547" s="6"/>
      <c r="D1547" s="6"/>
      <c r="E1547" s="16" t="str">
        <f>IF($B1547="","",IFERROR(INDEX(Services!$C$2:$C$120,MATCH($B1547,Services!$D$2:$D$120,0)),""))</f>
        <v/>
      </c>
      <c r="F1547" s="19"/>
      <c r="G1547" s="9" t="str">
        <f t="shared" si="24"/>
        <v/>
      </c>
      <c r="H1547" s="15" t="str">
        <f>IF($B1547="","",IFERROR(INDEX(Services!$A$2:$A$120,MATCH($B1547,Services!$D$2:$D$120,0)),""))</f>
        <v/>
      </c>
      <c r="I1547" s="19"/>
      <c r="J1547" s="15" t="str">
        <f>IF($B1547="","",IFERROR(INDEX(Services!$E$2:$E$120,MATCH($B1547,Services!$D$2:$D$120,0)),""))</f>
        <v/>
      </c>
    </row>
    <row r="1548" spans="1:10" x14ac:dyDescent="0.3">
      <c r="A1548" s="18"/>
      <c r="B1548" s="6"/>
      <c r="C1548" s="6"/>
      <c r="D1548" s="6"/>
      <c r="E1548" s="16" t="str">
        <f>IF($B1548="","",IFERROR(INDEX(Services!$C$2:$C$120,MATCH($B1548,Services!$D$2:$D$120,0)),""))</f>
        <v/>
      </c>
      <c r="F1548" s="19"/>
      <c r="G1548" s="9" t="str">
        <f t="shared" si="24"/>
        <v/>
      </c>
      <c r="H1548" s="15" t="str">
        <f>IF($B1548="","",IFERROR(INDEX(Services!$A$2:$A$120,MATCH($B1548,Services!$D$2:$D$120,0)),""))</f>
        <v/>
      </c>
      <c r="I1548" s="19"/>
      <c r="J1548" s="15" t="str">
        <f>IF($B1548="","",IFERROR(INDEX(Services!$E$2:$E$120,MATCH($B1548,Services!$D$2:$D$120,0)),""))</f>
        <v/>
      </c>
    </row>
    <row r="1549" spans="1:10" x14ac:dyDescent="0.3">
      <c r="A1549" s="18"/>
      <c r="B1549" s="6"/>
      <c r="C1549" s="6"/>
      <c r="D1549" s="6"/>
      <c r="E1549" s="16" t="str">
        <f>IF($B1549="","",IFERROR(INDEX(Services!$C$2:$C$120,MATCH($B1549,Services!$D$2:$D$120,0)),""))</f>
        <v/>
      </c>
      <c r="F1549" s="19"/>
      <c r="G1549" s="9" t="str">
        <f t="shared" si="24"/>
        <v/>
      </c>
      <c r="H1549" s="15" t="str">
        <f>IF($B1549="","",IFERROR(INDEX(Services!$A$2:$A$120,MATCH($B1549,Services!$D$2:$D$120,0)),""))</f>
        <v/>
      </c>
      <c r="I1549" s="19"/>
      <c r="J1549" s="15" t="str">
        <f>IF($B1549="","",IFERROR(INDEX(Services!$E$2:$E$120,MATCH($B1549,Services!$D$2:$D$120,0)),""))</f>
        <v/>
      </c>
    </row>
    <row r="1550" spans="1:10" x14ac:dyDescent="0.3">
      <c r="A1550" s="18"/>
      <c r="B1550" s="6"/>
      <c r="C1550" s="6"/>
      <c r="D1550" s="6"/>
      <c r="E1550" s="16" t="str">
        <f>IF($B1550="","",IFERROR(INDEX(Services!$C$2:$C$120,MATCH($B1550,Services!$D$2:$D$120,0)),""))</f>
        <v/>
      </c>
      <c r="F1550" s="19"/>
      <c r="G1550" s="9" t="str">
        <f t="shared" si="24"/>
        <v/>
      </c>
      <c r="H1550" s="15" t="str">
        <f>IF($B1550="","",IFERROR(INDEX(Services!$A$2:$A$120,MATCH($B1550,Services!$D$2:$D$120,0)),""))</f>
        <v/>
      </c>
      <c r="I1550" s="19"/>
      <c r="J1550" s="15" t="str">
        <f>IF($B1550="","",IFERROR(INDEX(Services!$E$2:$E$120,MATCH($B1550,Services!$D$2:$D$120,0)),""))</f>
        <v/>
      </c>
    </row>
    <row r="1551" spans="1:10" x14ac:dyDescent="0.3">
      <c r="A1551" s="18"/>
      <c r="B1551" s="6"/>
      <c r="C1551" s="6"/>
      <c r="D1551" s="6"/>
      <c r="E1551" s="16" t="str">
        <f>IF($B1551="","",IFERROR(INDEX(Services!$C$2:$C$120,MATCH($B1551,Services!$D$2:$D$120,0)),""))</f>
        <v/>
      </c>
      <c r="F1551" s="19"/>
      <c r="G1551" s="9" t="str">
        <f t="shared" si="24"/>
        <v/>
      </c>
      <c r="H1551" s="15" t="str">
        <f>IF($B1551="","",IFERROR(INDEX(Services!$A$2:$A$120,MATCH($B1551,Services!$D$2:$D$120,0)),""))</f>
        <v/>
      </c>
      <c r="I1551" s="19"/>
      <c r="J1551" s="15" t="str">
        <f>IF($B1551="","",IFERROR(INDEX(Services!$E$2:$E$120,MATCH($B1551,Services!$D$2:$D$120,0)),""))</f>
        <v/>
      </c>
    </row>
    <row r="1552" spans="1:10" x14ac:dyDescent="0.3">
      <c r="A1552" s="18"/>
      <c r="B1552" s="6"/>
      <c r="C1552" s="6"/>
      <c r="D1552" s="6"/>
      <c r="E1552" s="16" t="str">
        <f>IF($B1552="","",IFERROR(INDEX(Services!$C$2:$C$120,MATCH($B1552,Services!$D$2:$D$120,0)),""))</f>
        <v/>
      </c>
      <c r="F1552" s="19"/>
      <c r="G1552" s="9" t="str">
        <f t="shared" si="24"/>
        <v/>
      </c>
      <c r="H1552" s="15" t="str">
        <f>IF($B1552="","",IFERROR(INDEX(Services!$A$2:$A$120,MATCH($B1552,Services!$D$2:$D$120,0)),""))</f>
        <v/>
      </c>
      <c r="I1552" s="19"/>
      <c r="J1552" s="15" t="str">
        <f>IF($B1552="","",IFERROR(INDEX(Services!$E$2:$E$120,MATCH($B1552,Services!$D$2:$D$120,0)),""))</f>
        <v/>
      </c>
    </row>
    <row r="1553" spans="1:10" x14ac:dyDescent="0.3">
      <c r="A1553" s="18"/>
      <c r="B1553" s="6"/>
      <c r="C1553" s="6"/>
      <c r="D1553" s="6"/>
      <c r="E1553" s="16" t="str">
        <f>IF($B1553="","",IFERROR(INDEX(Services!$C$2:$C$120,MATCH($B1553,Services!$D$2:$D$120,0)),""))</f>
        <v/>
      </c>
      <c r="F1553" s="19"/>
      <c r="G1553" s="9" t="str">
        <f t="shared" si="24"/>
        <v/>
      </c>
      <c r="H1553" s="15" t="str">
        <f>IF($B1553="","",IFERROR(INDEX(Services!$A$2:$A$120,MATCH($B1553,Services!$D$2:$D$120,0)),""))</f>
        <v/>
      </c>
      <c r="I1553" s="19"/>
      <c r="J1553" s="15" t="str">
        <f>IF($B1553="","",IFERROR(INDEX(Services!$E$2:$E$120,MATCH($B1553,Services!$D$2:$D$120,0)),""))</f>
        <v/>
      </c>
    </row>
    <row r="1554" spans="1:10" x14ac:dyDescent="0.3">
      <c r="A1554" s="18"/>
      <c r="B1554" s="6"/>
      <c r="C1554" s="6"/>
      <c r="D1554" s="6"/>
      <c r="E1554" s="16" t="str">
        <f>IF($B1554="","",IFERROR(INDEX(Services!$C$2:$C$120,MATCH($B1554,Services!$D$2:$D$120,0)),""))</f>
        <v/>
      </c>
      <c r="F1554" s="19"/>
      <c r="G1554" s="9" t="str">
        <f t="shared" si="24"/>
        <v/>
      </c>
      <c r="H1554" s="15" t="str">
        <f>IF($B1554="","",IFERROR(INDEX(Services!$A$2:$A$120,MATCH($B1554,Services!$D$2:$D$120,0)),""))</f>
        <v/>
      </c>
      <c r="I1554" s="19"/>
      <c r="J1554" s="15" t="str">
        <f>IF($B1554="","",IFERROR(INDEX(Services!$E$2:$E$120,MATCH($B1554,Services!$D$2:$D$120,0)),""))</f>
        <v/>
      </c>
    </row>
    <row r="1555" spans="1:10" x14ac:dyDescent="0.3">
      <c r="A1555" s="18"/>
      <c r="B1555" s="6"/>
      <c r="C1555" s="6"/>
      <c r="D1555" s="6"/>
      <c r="E1555" s="16" t="str">
        <f>IF($B1555="","",IFERROR(INDEX(Services!$C$2:$C$120,MATCH($B1555,Services!$D$2:$D$120,0)),""))</f>
        <v/>
      </c>
      <c r="F1555" s="19"/>
      <c r="G1555" s="9" t="str">
        <f t="shared" si="24"/>
        <v/>
      </c>
      <c r="H1555" s="15" t="str">
        <f>IF($B1555="","",IFERROR(INDEX(Services!$A$2:$A$120,MATCH($B1555,Services!$D$2:$D$120,0)),""))</f>
        <v/>
      </c>
      <c r="I1555" s="19"/>
      <c r="J1555" s="15" t="str">
        <f>IF($B1555="","",IFERROR(INDEX(Services!$E$2:$E$120,MATCH($B1555,Services!$D$2:$D$120,0)),""))</f>
        <v/>
      </c>
    </row>
    <row r="1556" spans="1:10" x14ac:dyDescent="0.3">
      <c r="A1556" s="18"/>
      <c r="B1556" s="6"/>
      <c r="C1556" s="6"/>
      <c r="D1556" s="6"/>
      <c r="E1556" s="16" t="str">
        <f>IF($B1556="","",IFERROR(INDEX(Services!$C$2:$C$120,MATCH($B1556,Services!$D$2:$D$120,0)),""))</f>
        <v/>
      </c>
      <c r="F1556" s="19"/>
      <c r="G1556" s="9" t="str">
        <f t="shared" si="24"/>
        <v/>
      </c>
      <c r="H1556" s="15" t="str">
        <f>IF($B1556="","",IFERROR(INDEX(Services!$A$2:$A$120,MATCH($B1556,Services!$D$2:$D$120,0)),""))</f>
        <v/>
      </c>
      <c r="I1556" s="19"/>
      <c r="J1556" s="15" t="str">
        <f>IF($B1556="","",IFERROR(INDEX(Services!$E$2:$E$120,MATCH($B1556,Services!$D$2:$D$120,0)),""))</f>
        <v/>
      </c>
    </row>
    <row r="1557" spans="1:10" x14ac:dyDescent="0.3">
      <c r="A1557" s="18"/>
      <c r="B1557" s="6"/>
      <c r="C1557" s="6"/>
      <c r="D1557" s="6"/>
      <c r="E1557" s="16" t="str">
        <f>IF($B1557="","",IFERROR(INDEX(Services!$C$2:$C$120,MATCH($B1557,Services!$D$2:$D$120,0)),""))</f>
        <v/>
      </c>
      <c r="F1557" s="19"/>
      <c r="G1557" s="9" t="str">
        <f t="shared" si="24"/>
        <v/>
      </c>
      <c r="H1557" s="15" t="str">
        <f>IF($B1557="","",IFERROR(INDEX(Services!$A$2:$A$120,MATCH($B1557,Services!$D$2:$D$120,0)),""))</f>
        <v/>
      </c>
      <c r="I1557" s="19"/>
      <c r="J1557" s="15" t="str">
        <f>IF($B1557="","",IFERROR(INDEX(Services!$E$2:$E$120,MATCH($B1557,Services!$D$2:$D$120,0)),""))</f>
        <v/>
      </c>
    </row>
    <row r="1558" spans="1:10" x14ac:dyDescent="0.3">
      <c r="A1558" s="18"/>
      <c r="B1558" s="6"/>
      <c r="C1558" s="6"/>
      <c r="D1558" s="6"/>
      <c r="E1558" s="16" t="str">
        <f>IF($B1558="","",IFERROR(INDEX(Services!$C$2:$C$120,MATCH($B1558,Services!$D$2:$D$120,0)),""))</f>
        <v/>
      </c>
      <c r="F1558" s="19"/>
      <c r="G1558" s="9" t="str">
        <f t="shared" si="24"/>
        <v/>
      </c>
      <c r="H1558" s="15" t="str">
        <f>IF($B1558="","",IFERROR(INDEX(Services!$A$2:$A$120,MATCH($B1558,Services!$D$2:$D$120,0)),""))</f>
        <v/>
      </c>
      <c r="I1558" s="19"/>
      <c r="J1558" s="15" t="str">
        <f>IF($B1558="","",IFERROR(INDEX(Services!$E$2:$E$120,MATCH($B1558,Services!$D$2:$D$120,0)),""))</f>
        <v/>
      </c>
    </row>
    <row r="1559" spans="1:10" x14ac:dyDescent="0.3">
      <c r="A1559" s="18"/>
      <c r="B1559" s="6"/>
      <c r="C1559" s="6"/>
      <c r="D1559" s="6"/>
      <c r="E1559" s="16" t="str">
        <f>IF($B1559="","",IFERROR(INDEX(Services!$C$2:$C$120,MATCH($B1559,Services!$D$2:$D$120,0)),""))</f>
        <v/>
      </c>
      <c r="F1559" s="19"/>
      <c r="G1559" s="9" t="str">
        <f t="shared" si="24"/>
        <v/>
      </c>
      <c r="H1559" s="15" t="str">
        <f>IF($B1559="","",IFERROR(INDEX(Services!$A$2:$A$120,MATCH($B1559,Services!$D$2:$D$120,0)),""))</f>
        <v/>
      </c>
      <c r="I1559" s="19"/>
      <c r="J1559" s="15" t="str">
        <f>IF($B1559="","",IFERROR(INDEX(Services!$E$2:$E$120,MATCH($B1559,Services!$D$2:$D$120,0)),""))</f>
        <v/>
      </c>
    </row>
    <row r="1560" spans="1:10" x14ac:dyDescent="0.3">
      <c r="A1560" s="18"/>
      <c r="B1560" s="6"/>
      <c r="C1560" s="6"/>
      <c r="D1560" s="6"/>
      <c r="E1560" s="16" t="str">
        <f>IF($B1560="","",IFERROR(INDEX(Services!$C$2:$C$120,MATCH($B1560,Services!$D$2:$D$120,0)),""))</f>
        <v/>
      </c>
      <c r="F1560" s="19"/>
      <c r="G1560" s="9" t="str">
        <f t="shared" si="24"/>
        <v/>
      </c>
      <c r="H1560" s="15" t="str">
        <f>IF($B1560="","",IFERROR(INDEX(Services!$A$2:$A$120,MATCH($B1560,Services!$D$2:$D$120,0)),""))</f>
        <v/>
      </c>
      <c r="I1560" s="19"/>
      <c r="J1560" s="15" t="str">
        <f>IF($B1560="","",IFERROR(INDEX(Services!$E$2:$E$120,MATCH($B1560,Services!$D$2:$D$120,0)),""))</f>
        <v/>
      </c>
    </row>
    <row r="1561" spans="1:10" x14ac:dyDescent="0.3">
      <c r="A1561" s="18"/>
      <c r="B1561" s="6"/>
      <c r="C1561" s="6"/>
      <c r="D1561" s="6"/>
      <c r="E1561" s="16" t="str">
        <f>IF($B1561="","",IFERROR(INDEX(Services!$C$2:$C$120,MATCH($B1561,Services!$D$2:$D$120,0)),""))</f>
        <v/>
      </c>
      <c r="F1561" s="19"/>
      <c r="G1561" s="9" t="str">
        <f t="shared" si="24"/>
        <v/>
      </c>
      <c r="H1561" s="15" t="str">
        <f>IF($B1561="","",IFERROR(INDEX(Services!$A$2:$A$120,MATCH($B1561,Services!$D$2:$D$120,0)),""))</f>
        <v/>
      </c>
      <c r="I1561" s="19"/>
      <c r="J1561" s="15" t="str">
        <f>IF($B1561="","",IFERROR(INDEX(Services!$E$2:$E$120,MATCH($B1561,Services!$D$2:$D$120,0)),""))</f>
        <v/>
      </c>
    </row>
    <row r="1562" spans="1:10" x14ac:dyDescent="0.3">
      <c r="A1562" s="18"/>
      <c r="B1562" s="6"/>
      <c r="C1562" s="6"/>
      <c r="D1562" s="6"/>
      <c r="E1562" s="16" t="str">
        <f>IF($B1562="","",IFERROR(INDEX(Services!$C$2:$C$120,MATCH($B1562,Services!$D$2:$D$120,0)),""))</f>
        <v/>
      </c>
      <c r="F1562" s="19"/>
      <c r="G1562" s="9" t="str">
        <f t="shared" si="24"/>
        <v/>
      </c>
      <c r="H1562" s="15" t="str">
        <f>IF($B1562="","",IFERROR(INDEX(Services!$A$2:$A$120,MATCH($B1562,Services!$D$2:$D$120,0)),""))</f>
        <v/>
      </c>
      <c r="I1562" s="19"/>
      <c r="J1562" s="15" t="str">
        <f>IF($B1562="","",IFERROR(INDEX(Services!$E$2:$E$120,MATCH($B1562,Services!$D$2:$D$120,0)),""))</f>
        <v/>
      </c>
    </row>
    <row r="1563" spans="1:10" x14ac:dyDescent="0.3">
      <c r="A1563" s="18"/>
      <c r="B1563" s="6"/>
      <c r="C1563" s="6"/>
      <c r="D1563" s="6"/>
      <c r="E1563" s="16" t="str">
        <f>IF($B1563="","",IFERROR(INDEX(Services!$C$2:$C$120,MATCH($B1563,Services!$D$2:$D$120,0)),""))</f>
        <v/>
      </c>
      <c r="F1563" s="19"/>
      <c r="G1563" s="9" t="str">
        <f t="shared" si="24"/>
        <v/>
      </c>
      <c r="H1563" s="15" t="str">
        <f>IF($B1563="","",IFERROR(INDEX(Services!$A$2:$A$120,MATCH($B1563,Services!$D$2:$D$120,0)),""))</f>
        <v/>
      </c>
      <c r="I1563" s="19"/>
      <c r="J1563" s="15" t="str">
        <f>IF($B1563="","",IFERROR(INDEX(Services!$E$2:$E$120,MATCH($B1563,Services!$D$2:$D$120,0)),""))</f>
        <v/>
      </c>
    </row>
    <row r="1564" spans="1:10" x14ac:dyDescent="0.3">
      <c r="A1564" s="18"/>
      <c r="B1564" s="6"/>
      <c r="C1564" s="6"/>
      <c r="D1564" s="6"/>
      <c r="E1564" s="16" t="str">
        <f>IF($B1564="","",IFERROR(INDEX(Services!$C$2:$C$120,MATCH($B1564,Services!$D$2:$D$120,0)),""))</f>
        <v/>
      </c>
      <c r="F1564" s="19"/>
      <c r="G1564" s="9" t="str">
        <f t="shared" si="24"/>
        <v/>
      </c>
      <c r="H1564" s="15" t="str">
        <f>IF($B1564="","",IFERROR(INDEX(Services!$A$2:$A$120,MATCH($B1564,Services!$D$2:$D$120,0)),""))</f>
        <v/>
      </c>
      <c r="I1564" s="19"/>
      <c r="J1564" s="15" t="str">
        <f>IF($B1564="","",IFERROR(INDEX(Services!$E$2:$E$120,MATCH($B1564,Services!$D$2:$D$120,0)),""))</f>
        <v/>
      </c>
    </row>
    <row r="1565" spans="1:10" x14ac:dyDescent="0.3">
      <c r="A1565" s="18"/>
      <c r="B1565" s="6"/>
      <c r="C1565" s="6"/>
      <c r="D1565" s="6"/>
      <c r="E1565" s="16" t="str">
        <f>IF($B1565="","",IFERROR(INDEX(Services!$C$2:$C$120,MATCH($B1565,Services!$D$2:$D$120,0)),""))</f>
        <v/>
      </c>
      <c r="F1565" s="19"/>
      <c r="G1565" s="9" t="str">
        <f t="shared" si="24"/>
        <v/>
      </c>
      <c r="H1565" s="15" t="str">
        <f>IF($B1565="","",IFERROR(INDEX(Services!$A$2:$A$120,MATCH($B1565,Services!$D$2:$D$120,0)),""))</f>
        <v/>
      </c>
      <c r="I1565" s="19"/>
      <c r="J1565" s="15" t="str">
        <f>IF($B1565="","",IFERROR(INDEX(Services!$E$2:$E$120,MATCH($B1565,Services!$D$2:$D$120,0)),""))</f>
        <v/>
      </c>
    </row>
    <row r="1566" spans="1:10" x14ac:dyDescent="0.3">
      <c r="A1566" s="18"/>
      <c r="B1566" s="6"/>
      <c r="C1566" s="6"/>
      <c r="D1566" s="6"/>
      <c r="E1566" s="16" t="str">
        <f>IF($B1566="","",IFERROR(INDEX(Services!$C$2:$C$120,MATCH($B1566,Services!$D$2:$D$120,0)),""))</f>
        <v/>
      </c>
      <c r="F1566" s="19"/>
      <c r="G1566" s="9" t="str">
        <f t="shared" si="24"/>
        <v/>
      </c>
      <c r="H1566" s="15" t="str">
        <f>IF($B1566="","",IFERROR(INDEX(Services!$A$2:$A$120,MATCH($B1566,Services!$D$2:$D$120,0)),""))</f>
        <v/>
      </c>
      <c r="I1566" s="19"/>
      <c r="J1566" s="15" t="str">
        <f>IF($B1566="","",IFERROR(INDEX(Services!$E$2:$E$120,MATCH($B1566,Services!$D$2:$D$120,0)),""))</f>
        <v/>
      </c>
    </row>
    <row r="1567" spans="1:10" x14ac:dyDescent="0.3">
      <c r="A1567" s="18"/>
      <c r="B1567" s="6"/>
      <c r="C1567" s="6"/>
      <c r="D1567" s="6"/>
      <c r="E1567" s="16" t="str">
        <f>IF($B1567="","",IFERROR(INDEX(Services!$C$2:$C$120,MATCH($B1567,Services!$D$2:$D$120,0)),""))</f>
        <v/>
      </c>
      <c r="F1567" s="19"/>
      <c r="G1567" s="9" t="str">
        <f t="shared" si="24"/>
        <v/>
      </c>
      <c r="H1567" s="15" t="str">
        <f>IF($B1567="","",IFERROR(INDEX(Services!$A$2:$A$120,MATCH($B1567,Services!$D$2:$D$120,0)),""))</f>
        <v/>
      </c>
      <c r="I1567" s="19"/>
      <c r="J1567" s="15" t="str">
        <f>IF($B1567="","",IFERROR(INDEX(Services!$E$2:$E$120,MATCH($B1567,Services!$D$2:$D$120,0)),""))</f>
        <v/>
      </c>
    </row>
    <row r="1568" spans="1:10" x14ac:dyDescent="0.3">
      <c r="A1568" s="18"/>
      <c r="B1568" s="6"/>
      <c r="C1568" s="6"/>
      <c r="D1568" s="6"/>
      <c r="E1568" s="16" t="str">
        <f>IF($B1568="","",IFERROR(INDEX(Services!$C$2:$C$120,MATCH($B1568,Services!$D$2:$D$120,0)),""))</f>
        <v/>
      </c>
      <c r="F1568" s="19"/>
      <c r="G1568" s="9" t="str">
        <f t="shared" si="24"/>
        <v/>
      </c>
      <c r="H1568" s="15" t="str">
        <f>IF($B1568="","",IFERROR(INDEX(Services!$A$2:$A$120,MATCH($B1568,Services!$D$2:$D$120,0)),""))</f>
        <v/>
      </c>
      <c r="I1568" s="19"/>
      <c r="J1568" s="15" t="str">
        <f>IF($B1568="","",IFERROR(INDEX(Services!$E$2:$E$120,MATCH($B1568,Services!$D$2:$D$120,0)),""))</f>
        <v/>
      </c>
    </row>
    <row r="1569" spans="1:10" x14ac:dyDescent="0.3">
      <c r="A1569" s="18"/>
      <c r="B1569" s="6"/>
      <c r="C1569" s="6"/>
      <c r="D1569" s="6"/>
      <c r="E1569" s="16" t="str">
        <f>IF($B1569="","",IFERROR(INDEX(Services!$C$2:$C$120,MATCH($B1569,Services!$D$2:$D$120,0)),""))</f>
        <v/>
      </c>
      <c r="F1569" s="19"/>
      <c r="G1569" s="9" t="str">
        <f t="shared" si="24"/>
        <v/>
      </c>
      <c r="H1569" s="15" t="str">
        <f>IF($B1569="","",IFERROR(INDEX(Services!$A$2:$A$120,MATCH($B1569,Services!$D$2:$D$120,0)),""))</f>
        <v/>
      </c>
      <c r="I1569" s="19"/>
      <c r="J1569" s="15" t="str">
        <f>IF($B1569="","",IFERROR(INDEX(Services!$E$2:$E$120,MATCH($B1569,Services!$D$2:$D$120,0)),""))</f>
        <v/>
      </c>
    </row>
    <row r="1570" spans="1:10" x14ac:dyDescent="0.3">
      <c r="A1570" s="18"/>
      <c r="B1570" s="6"/>
      <c r="C1570" s="6"/>
      <c r="D1570" s="6"/>
      <c r="E1570" s="16" t="str">
        <f>IF($B1570="","",IFERROR(INDEX(Services!$C$2:$C$120,MATCH($B1570,Services!$D$2:$D$120,0)),""))</f>
        <v/>
      </c>
      <c r="F1570" s="19"/>
      <c r="G1570" s="9" t="str">
        <f t="shared" si="24"/>
        <v/>
      </c>
      <c r="H1570" s="15" t="str">
        <f>IF($B1570="","",IFERROR(INDEX(Services!$A$2:$A$120,MATCH($B1570,Services!$D$2:$D$120,0)),""))</f>
        <v/>
      </c>
      <c r="I1570" s="19"/>
      <c r="J1570" s="15" t="str">
        <f>IF($B1570="","",IFERROR(INDEX(Services!$E$2:$E$120,MATCH($B1570,Services!$D$2:$D$120,0)),""))</f>
        <v/>
      </c>
    </row>
    <row r="1571" spans="1:10" x14ac:dyDescent="0.3">
      <c r="A1571" s="18"/>
      <c r="B1571" s="6"/>
      <c r="C1571" s="6"/>
      <c r="D1571" s="6"/>
      <c r="E1571" s="16" t="str">
        <f>IF($B1571="","",IFERROR(INDEX(Services!$C$2:$C$120,MATCH($B1571,Services!$D$2:$D$120,0)),""))</f>
        <v/>
      </c>
      <c r="F1571" s="19"/>
      <c r="G1571" s="9" t="str">
        <f t="shared" si="24"/>
        <v/>
      </c>
      <c r="H1571" s="15" t="str">
        <f>IF($B1571="","",IFERROR(INDEX(Services!$A$2:$A$120,MATCH($B1571,Services!$D$2:$D$120,0)),""))</f>
        <v/>
      </c>
      <c r="I1571" s="19"/>
      <c r="J1571" s="15" t="str">
        <f>IF($B1571="","",IFERROR(INDEX(Services!$E$2:$E$120,MATCH($B1571,Services!$D$2:$D$120,0)),""))</f>
        <v/>
      </c>
    </row>
    <row r="1572" spans="1:10" x14ac:dyDescent="0.3">
      <c r="A1572" s="18"/>
      <c r="B1572" s="6"/>
      <c r="C1572" s="6"/>
      <c r="D1572" s="6"/>
      <c r="E1572" s="16" t="str">
        <f>IF($B1572="","",IFERROR(INDEX(Services!$C$2:$C$120,MATCH($B1572,Services!$D$2:$D$120,0)),""))</f>
        <v/>
      </c>
      <c r="F1572" s="19"/>
      <c r="G1572" s="9" t="str">
        <f t="shared" si="24"/>
        <v/>
      </c>
      <c r="H1572" s="15" t="str">
        <f>IF($B1572="","",IFERROR(INDEX(Services!$A$2:$A$120,MATCH($B1572,Services!$D$2:$D$120,0)),""))</f>
        <v/>
      </c>
      <c r="I1572" s="19"/>
      <c r="J1572" s="15" t="str">
        <f>IF($B1572="","",IFERROR(INDEX(Services!$E$2:$E$120,MATCH($B1572,Services!$D$2:$D$120,0)),""))</f>
        <v/>
      </c>
    </row>
    <row r="1573" spans="1:10" x14ac:dyDescent="0.3">
      <c r="A1573" s="18"/>
      <c r="B1573" s="6"/>
      <c r="C1573" s="6"/>
      <c r="D1573" s="6"/>
      <c r="E1573" s="16" t="str">
        <f>IF($B1573="","",IFERROR(INDEX(Services!$C$2:$C$120,MATCH($B1573,Services!$D$2:$D$120,0)),""))</f>
        <v/>
      </c>
      <c r="F1573" s="19"/>
      <c r="G1573" s="9" t="str">
        <f t="shared" si="24"/>
        <v/>
      </c>
      <c r="H1573" s="15" t="str">
        <f>IF($B1573="","",IFERROR(INDEX(Services!$A$2:$A$120,MATCH($B1573,Services!$D$2:$D$120,0)),""))</f>
        <v/>
      </c>
      <c r="I1573" s="19"/>
      <c r="J1573" s="15" t="str">
        <f>IF($B1573="","",IFERROR(INDEX(Services!$E$2:$E$120,MATCH($B1573,Services!$D$2:$D$120,0)),""))</f>
        <v/>
      </c>
    </row>
    <row r="1574" spans="1:10" x14ac:dyDescent="0.3">
      <c r="A1574" s="18"/>
      <c r="B1574" s="6"/>
      <c r="C1574" s="6"/>
      <c r="D1574" s="6"/>
      <c r="E1574" s="16" t="str">
        <f>IF($B1574="","",IFERROR(INDEX(Services!$C$2:$C$120,MATCH($B1574,Services!$D$2:$D$120,0)),""))</f>
        <v/>
      </c>
      <c r="F1574" s="19"/>
      <c r="G1574" s="9" t="str">
        <f t="shared" si="24"/>
        <v/>
      </c>
      <c r="H1574" s="15" t="str">
        <f>IF($B1574="","",IFERROR(INDEX(Services!$A$2:$A$120,MATCH($B1574,Services!$D$2:$D$120,0)),""))</f>
        <v/>
      </c>
      <c r="I1574" s="19"/>
      <c r="J1574" s="15" t="str">
        <f>IF($B1574="","",IFERROR(INDEX(Services!$E$2:$E$120,MATCH($B1574,Services!$D$2:$D$120,0)),""))</f>
        <v/>
      </c>
    </row>
    <row r="1575" spans="1:10" x14ac:dyDescent="0.3">
      <c r="A1575" s="18"/>
      <c r="B1575" s="6"/>
      <c r="C1575" s="6"/>
      <c r="D1575" s="6"/>
      <c r="E1575" s="16" t="str">
        <f>IF($B1575="","",IFERROR(INDEX(Services!$C$2:$C$120,MATCH($B1575,Services!$D$2:$D$120,0)),""))</f>
        <v/>
      </c>
      <c r="F1575" s="19"/>
      <c r="G1575" s="9" t="str">
        <f t="shared" si="24"/>
        <v/>
      </c>
      <c r="H1575" s="15" t="str">
        <f>IF($B1575="","",IFERROR(INDEX(Services!$A$2:$A$120,MATCH($B1575,Services!$D$2:$D$120,0)),""))</f>
        <v/>
      </c>
      <c r="I1575" s="19"/>
      <c r="J1575" s="15" t="str">
        <f>IF($B1575="","",IFERROR(INDEX(Services!$E$2:$E$120,MATCH($B1575,Services!$D$2:$D$120,0)),""))</f>
        <v/>
      </c>
    </row>
    <row r="1576" spans="1:10" x14ac:dyDescent="0.3">
      <c r="A1576" s="18"/>
      <c r="B1576" s="6"/>
      <c r="C1576" s="6"/>
      <c r="D1576" s="6"/>
      <c r="E1576" s="16" t="str">
        <f>IF($B1576="","",IFERROR(INDEX(Services!$C$2:$C$120,MATCH($B1576,Services!$D$2:$D$120,0)),""))</f>
        <v/>
      </c>
      <c r="F1576" s="19"/>
      <c r="G1576" s="9" t="str">
        <f t="shared" si="24"/>
        <v/>
      </c>
      <c r="H1576" s="15" t="str">
        <f>IF($B1576="","",IFERROR(INDEX(Services!$A$2:$A$120,MATCH($B1576,Services!$D$2:$D$120,0)),""))</f>
        <v/>
      </c>
      <c r="I1576" s="19"/>
      <c r="J1576" s="15" t="str">
        <f>IF($B1576="","",IFERROR(INDEX(Services!$E$2:$E$120,MATCH($B1576,Services!$D$2:$D$120,0)),""))</f>
        <v/>
      </c>
    </row>
    <row r="1577" spans="1:10" x14ac:dyDescent="0.3">
      <c r="A1577" s="18"/>
      <c r="B1577" s="6"/>
      <c r="C1577" s="6"/>
      <c r="D1577" s="6"/>
      <c r="E1577" s="16" t="str">
        <f>IF($B1577="","",IFERROR(INDEX(Services!$C$2:$C$120,MATCH($B1577,Services!$D$2:$D$120,0)),""))</f>
        <v/>
      </c>
      <c r="F1577" s="19"/>
      <c r="G1577" s="9" t="str">
        <f t="shared" si="24"/>
        <v/>
      </c>
      <c r="H1577" s="15" t="str">
        <f>IF($B1577="","",IFERROR(INDEX(Services!$A$2:$A$120,MATCH($B1577,Services!$D$2:$D$120,0)),""))</f>
        <v/>
      </c>
      <c r="I1577" s="19"/>
      <c r="J1577" s="15" t="str">
        <f>IF($B1577="","",IFERROR(INDEX(Services!$E$2:$E$120,MATCH($B1577,Services!$D$2:$D$120,0)),""))</f>
        <v/>
      </c>
    </row>
    <row r="1578" spans="1:10" x14ac:dyDescent="0.3">
      <c r="A1578" s="18"/>
      <c r="B1578" s="6"/>
      <c r="C1578" s="6"/>
      <c r="D1578" s="6"/>
      <c r="E1578" s="16" t="str">
        <f>IF($B1578="","",IFERROR(INDEX(Services!$C$2:$C$120,MATCH($B1578,Services!$D$2:$D$120,0)),""))</f>
        <v/>
      </c>
      <c r="F1578" s="19"/>
      <c r="G1578" s="9" t="str">
        <f t="shared" si="24"/>
        <v/>
      </c>
      <c r="H1578" s="15" t="str">
        <f>IF($B1578="","",IFERROR(INDEX(Services!$A$2:$A$120,MATCH($B1578,Services!$D$2:$D$120,0)),""))</f>
        <v/>
      </c>
      <c r="I1578" s="19"/>
      <c r="J1578" s="15" t="str">
        <f>IF($B1578="","",IFERROR(INDEX(Services!$E$2:$E$120,MATCH($B1578,Services!$D$2:$D$120,0)),""))</f>
        <v/>
      </c>
    </row>
    <row r="1579" spans="1:10" x14ac:dyDescent="0.3">
      <c r="A1579" s="18"/>
      <c r="B1579" s="6"/>
      <c r="C1579" s="6"/>
      <c r="D1579" s="6"/>
      <c r="E1579" s="16" t="str">
        <f>IF($B1579="","",IFERROR(INDEX(Services!$C$2:$C$120,MATCH($B1579,Services!$D$2:$D$120,0)),""))</f>
        <v/>
      </c>
      <c r="F1579" s="19"/>
      <c r="G1579" s="9" t="str">
        <f t="shared" si="24"/>
        <v/>
      </c>
      <c r="H1579" s="15" t="str">
        <f>IF($B1579="","",IFERROR(INDEX(Services!$A$2:$A$120,MATCH($B1579,Services!$D$2:$D$120,0)),""))</f>
        <v/>
      </c>
      <c r="I1579" s="19"/>
      <c r="J1579" s="15" t="str">
        <f>IF($B1579="","",IFERROR(INDEX(Services!$E$2:$E$120,MATCH($B1579,Services!$D$2:$D$120,0)),""))</f>
        <v/>
      </c>
    </row>
    <row r="1580" spans="1:10" x14ac:dyDescent="0.3">
      <c r="A1580" s="18"/>
      <c r="B1580" s="6"/>
      <c r="C1580" s="6"/>
      <c r="D1580" s="6"/>
      <c r="E1580" s="16" t="str">
        <f>IF($B1580="","",IFERROR(INDEX(Services!$C$2:$C$120,MATCH($B1580,Services!$D$2:$D$120,0)),""))</f>
        <v/>
      </c>
      <c r="F1580" s="19"/>
      <c r="G1580" s="9" t="str">
        <f t="shared" si="24"/>
        <v/>
      </c>
      <c r="H1580" s="15" t="str">
        <f>IF($B1580="","",IFERROR(INDEX(Services!$A$2:$A$120,MATCH($B1580,Services!$D$2:$D$120,0)),""))</f>
        <v/>
      </c>
      <c r="I1580" s="19"/>
      <c r="J1580" s="15" t="str">
        <f>IF($B1580="","",IFERROR(INDEX(Services!$E$2:$E$120,MATCH($B1580,Services!$D$2:$D$120,0)),""))</f>
        <v/>
      </c>
    </row>
    <row r="1581" spans="1:10" x14ac:dyDescent="0.3">
      <c r="A1581" s="18"/>
      <c r="B1581" s="6"/>
      <c r="C1581" s="6"/>
      <c r="D1581" s="6"/>
      <c r="E1581" s="16" t="str">
        <f>IF($B1581="","",IFERROR(INDEX(Services!$C$2:$C$120,MATCH($B1581,Services!$D$2:$D$120,0)),""))</f>
        <v/>
      </c>
      <c r="F1581" s="19"/>
      <c r="G1581" s="9" t="str">
        <f t="shared" si="24"/>
        <v/>
      </c>
      <c r="H1581" s="15" t="str">
        <f>IF($B1581="","",IFERROR(INDEX(Services!$A$2:$A$120,MATCH($B1581,Services!$D$2:$D$120,0)),""))</f>
        <v/>
      </c>
      <c r="I1581" s="19"/>
      <c r="J1581" s="15" t="str">
        <f>IF($B1581="","",IFERROR(INDEX(Services!$E$2:$E$120,MATCH($B1581,Services!$D$2:$D$120,0)),""))</f>
        <v/>
      </c>
    </row>
    <row r="1582" spans="1:10" x14ac:dyDescent="0.3">
      <c r="A1582" s="18"/>
      <c r="B1582" s="6"/>
      <c r="C1582" s="6"/>
      <c r="D1582" s="6"/>
      <c r="E1582" s="16" t="str">
        <f>IF($B1582="","",IFERROR(INDEX(Services!$C$2:$C$120,MATCH($B1582,Services!$D$2:$D$120,0)),""))</f>
        <v/>
      </c>
      <c r="F1582" s="19"/>
      <c r="G1582" s="9" t="str">
        <f t="shared" si="24"/>
        <v/>
      </c>
      <c r="H1582" s="15" t="str">
        <f>IF($B1582="","",IFERROR(INDEX(Services!$A$2:$A$120,MATCH($B1582,Services!$D$2:$D$120,0)),""))</f>
        <v/>
      </c>
      <c r="I1582" s="19"/>
      <c r="J1582" s="15" t="str">
        <f>IF($B1582="","",IFERROR(INDEX(Services!$E$2:$E$120,MATCH($B1582,Services!$D$2:$D$120,0)),""))</f>
        <v/>
      </c>
    </row>
    <row r="1583" spans="1:10" x14ac:dyDescent="0.3">
      <c r="A1583" s="18"/>
      <c r="B1583" s="6"/>
      <c r="C1583" s="6"/>
      <c r="D1583" s="6"/>
      <c r="E1583" s="16" t="str">
        <f>IF($B1583="","",IFERROR(INDEX(Services!$C$2:$C$120,MATCH($B1583,Services!$D$2:$D$120,0)),""))</f>
        <v/>
      </c>
      <c r="F1583" s="19"/>
      <c r="G1583" s="9" t="str">
        <f t="shared" si="24"/>
        <v/>
      </c>
      <c r="H1583" s="15" t="str">
        <f>IF($B1583="","",IFERROR(INDEX(Services!$A$2:$A$120,MATCH($B1583,Services!$D$2:$D$120,0)),""))</f>
        <v/>
      </c>
      <c r="I1583" s="19"/>
      <c r="J1583" s="15" t="str">
        <f>IF($B1583="","",IFERROR(INDEX(Services!$E$2:$E$120,MATCH($B1583,Services!$D$2:$D$120,0)),""))</f>
        <v/>
      </c>
    </row>
    <row r="1584" spans="1:10" x14ac:dyDescent="0.3">
      <c r="A1584" s="18"/>
      <c r="B1584" s="6"/>
      <c r="C1584" s="6"/>
      <c r="D1584" s="6"/>
      <c r="E1584" s="16" t="str">
        <f>IF($B1584="","",IFERROR(INDEX(Services!$C$2:$C$120,MATCH($B1584,Services!$D$2:$D$120,0)),""))</f>
        <v/>
      </c>
      <c r="F1584" s="19"/>
      <c r="G1584" s="9" t="str">
        <f t="shared" si="24"/>
        <v/>
      </c>
      <c r="H1584" s="15" t="str">
        <f>IF($B1584="","",IFERROR(INDEX(Services!$A$2:$A$120,MATCH($B1584,Services!$D$2:$D$120,0)),""))</f>
        <v/>
      </c>
      <c r="I1584" s="19"/>
      <c r="J1584" s="15" t="str">
        <f>IF($B1584="","",IFERROR(INDEX(Services!$E$2:$E$120,MATCH($B1584,Services!$D$2:$D$120,0)),""))</f>
        <v/>
      </c>
    </row>
    <row r="1585" spans="1:10" x14ac:dyDescent="0.3">
      <c r="A1585" s="18"/>
      <c r="B1585" s="6"/>
      <c r="C1585" s="6"/>
      <c r="D1585" s="6"/>
      <c r="E1585" s="16" t="str">
        <f>IF($B1585="","",IFERROR(INDEX(Services!$C$2:$C$120,MATCH($B1585,Services!$D$2:$D$120,0)),""))</f>
        <v/>
      </c>
      <c r="F1585" s="19"/>
      <c r="G1585" s="9" t="str">
        <f t="shared" si="24"/>
        <v/>
      </c>
      <c r="H1585" s="15" t="str">
        <f>IF($B1585="","",IFERROR(INDEX(Services!$A$2:$A$120,MATCH($B1585,Services!$D$2:$D$120,0)),""))</f>
        <v/>
      </c>
      <c r="I1585" s="19"/>
      <c r="J1585" s="15" t="str">
        <f>IF($B1585="","",IFERROR(INDEX(Services!$E$2:$E$120,MATCH($B1585,Services!$D$2:$D$120,0)),""))</f>
        <v/>
      </c>
    </row>
    <row r="1586" spans="1:10" x14ac:dyDescent="0.3">
      <c r="A1586" s="18"/>
      <c r="B1586" s="6"/>
      <c r="C1586" s="6"/>
      <c r="D1586" s="6"/>
      <c r="E1586" s="16" t="str">
        <f>IF($B1586="","",IFERROR(INDEX(Services!$C$2:$C$120,MATCH($B1586,Services!$D$2:$D$120,0)),""))</f>
        <v/>
      </c>
      <c r="F1586" s="19"/>
      <c r="G1586" s="9" t="str">
        <f t="shared" si="24"/>
        <v/>
      </c>
      <c r="H1586" s="15" t="str">
        <f>IF($B1586="","",IFERROR(INDEX(Services!$A$2:$A$120,MATCH($B1586,Services!$D$2:$D$120,0)),""))</f>
        <v/>
      </c>
      <c r="I1586" s="19"/>
      <c r="J1586" s="15" t="str">
        <f>IF($B1586="","",IFERROR(INDEX(Services!$E$2:$E$120,MATCH($B1586,Services!$D$2:$D$120,0)),""))</f>
        <v/>
      </c>
    </row>
    <row r="1587" spans="1:10" x14ac:dyDescent="0.3">
      <c r="A1587" s="18"/>
      <c r="B1587" s="6"/>
      <c r="C1587" s="6"/>
      <c r="D1587" s="6"/>
      <c r="E1587" s="16" t="str">
        <f>IF($B1587="","",IFERROR(INDEX(Services!$C$2:$C$120,MATCH($B1587,Services!$D$2:$D$120,0)),""))</f>
        <v/>
      </c>
      <c r="F1587" s="19"/>
      <c r="G1587" s="9" t="str">
        <f t="shared" si="24"/>
        <v/>
      </c>
      <c r="H1587" s="15" t="str">
        <f>IF($B1587="","",IFERROR(INDEX(Services!$A$2:$A$120,MATCH($B1587,Services!$D$2:$D$120,0)),""))</f>
        <v/>
      </c>
      <c r="I1587" s="19"/>
      <c r="J1587" s="15" t="str">
        <f>IF($B1587="","",IFERROR(INDEX(Services!$E$2:$E$120,MATCH($B1587,Services!$D$2:$D$120,0)),""))</f>
        <v/>
      </c>
    </row>
    <row r="1588" spans="1:10" x14ac:dyDescent="0.3">
      <c r="A1588" s="18"/>
      <c r="B1588" s="6"/>
      <c r="C1588" s="6"/>
      <c r="D1588" s="6"/>
      <c r="E1588" s="16" t="str">
        <f>IF($B1588="","",IFERROR(INDEX(Services!$C$2:$C$120,MATCH($B1588,Services!$D$2:$D$120,0)),""))</f>
        <v/>
      </c>
      <c r="F1588" s="19"/>
      <c r="G1588" s="9" t="str">
        <f t="shared" si="24"/>
        <v/>
      </c>
      <c r="H1588" s="15" t="str">
        <f>IF($B1588="","",IFERROR(INDEX(Services!$A$2:$A$120,MATCH($B1588,Services!$D$2:$D$120,0)),""))</f>
        <v/>
      </c>
      <c r="I1588" s="19"/>
      <c r="J1588" s="15" t="str">
        <f>IF($B1588="","",IFERROR(INDEX(Services!$E$2:$E$120,MATCH($B1588,Services!$D$2:$D$120,0)),""))</f>
        <v/>
      </c>
    </row>
    <row r="1589" spans="1:10" x14ac:dyDescent="0.3">
      <c r="A1589" s="18"/>
      <c r="B1589" s="6"/>
      <c r="C1589" s="6"/>
      <c r="D1589" s="6"/>
      <c r="E1589" s="16" t="str">
        <f>IF($B1589="","",IFERROR(INDEX(Services!$C$2:$C$120,MATCH($B1589,Services!$D$2:$D$120,0)),""))</f>
        <v/>
      </c>
      <c r="F1589" s="19"/>
      <c r="G1589" s="9" t="str">
        <f t="shared" si="24"/>
        <v/>
      </c>
      <c r="H1589" s="15" t="str">
        <f>IF($B1589="","",IFERROR(INDEX(Services!$A$2:$A$120,MATCH($B1589,Services!$D$2:$D$120,0)),""))</f>
        <v/>
      </c>
      <c r="I1589" s="19"/>
      <c r="J1589" s="15" t="str">
        <f>IF($B1589="","",IFERROR(INDEX(Services!$E$2:$E$120,MATCH($B1589,Services!$D$2:$D$120,0)),""))</f>
        <v/>
      </c>
    </row>
    <row r="1590" spans="1:10" x14ac:dyDescent="0.3">
      <c r="A1590" s="18"/>
      <c r="B1590" s="6"/>
      <c r="C1590" s="6"/>
      <c r="D1590" s="6"/>
      <c r="E1590" s="16" t="str">
        <f>IF($B1590="","",IFERROR(INDEX(Services!$C$2:$C$120,MATCH($B1590,Services!$D$2:$D$120,0)),""))</f>
        <v/>
      </c>
      <c r="F1590" s="19"/>
      <c r="G1590" s="9" t="str">
        <f t="shared" si="24"/>
        <v/>
      </c>
      <c r="H1590" s="15" t="str">
        <f>IF($B1590="","",IFERROR(INDEX(Services!$A$2:$A$120,MATCH($B1590,Services!$D$2:$D$120,0)),""))</f>
        <v/>
      </c>
      <c r="I1590" s="19"/>
      <c r="J1590" s="15" t="str">
        <f>IF($B1590="","",IFERROR(INDEX(Services!$E$2:$E$120,MATCH($B1590,Services!$D$2:$D$120,0)),""))</f>
        <v/>
      </c>
    </row>
    <row r="1591" spans="1:10" x14ac:dyDescent="0.3">
      <c r="A1591" s="18"/>
      <c r="B1591" s="6"/>
      <c r="C1591" s="6"/>
      <c r="D1591" s="6"/>
      <c r="E1591" s="16" t="str">
        <f>IF($B1591="","",IFERROR(INDEX(Services!$C$2:$C$120,MATCH($B1591,Services!$D$2:$D$120,0)),""))</f>
        <v/>
      </c>
      <c r="F1591" s="19"/>
      <c r="G1591" s="9" t="str">
        <f t="shared" si="24"/>
        <v/>
      </c>
      <c r="H1591" s="15" t="str">
        <f>IF($B1591="","",IFERROR(INDEX(Services!$A$2:$A$120,MATCH($B1591,Services!$D$2:$D$120,0)),""))</f>
        <v/>
      </c>
      <c r="I1591" s="19"/>
      <c r="J1591" s="15" t="str">
        <f>IF($B1591="","",IFERROR(INDEX(Services!$E$2:$E$120,MATCH($B1591,Services!$D$2:$D$120,0)),""))</f>
        <v/>
      </c>
    </row>
    <row r="1592" spans="1:10" x14ac:dyDescent="0.3">
      <c r="A1592" s="18"/>
      <c r="B1592" s="6"/>
      <c r="C1592" s="6"/>
      <c r="D1592" s="6"/>
      <c r="E1592" s="16" t="str">
        <f>IF($B1592="","",IFERROR(INDEX(Services!$C$2:$C$120,MATCH($B1592,Services!$D$2:$D$120,0)),""))</f>
        <v/>
      </c>
      <c r="F1592" s="19"/>
      <c r="G1592" s="9" t="str">
        <f t="shared" si="24"/>
        <v/>
      </c>
      <c r="H1592" s="15" t="str">
        <f>IF($B1592="","",IFERROR(INDEX(Services!$A$2:$A$120,MATCH($B1592,Services!$D$2:$D$120,0)),""))</f>
        <v/>
      </c>
      <c r="I1592" s="19"/>
      <c r="J1592" s="15" t="str">
        <f>IF($B1592="","",IFERROR(INDEX(Services!$E$2:$E$120,MATCH($B1592,Services!$D$2:$D$120,0)),""))</f>
        <v/>
      </c>
    </row>
    <row r="1593" spans="1:10" x14ac:dyDescent="0.3">
      <c r="A1593" s="18"/>
      <c r="B1593" s="6"/>
      <c r="C1593" s="6"/>
      <c r="D1593" s="6"/>
      <c r="E1593" s="16" t="str">
        <f>IF($B1593="","",IFERROR(INDEX(Services!$C$2:$C$120,MATCH($B1593,Services!$D$2:$D$120,0)),""))</f>
        <v/>
      </c>
      <c r="F1593" s="19"/>
      <c r="G1593" s="9" t="str">
        <f t="shared" si="24"/>
        <v/>
      </c>
      <c r="H1593" s="15" t="str">
        <f>IF($B1593="","",IFERROR(INDEX(Services!$A$2:$A$120,MATCH($B1593,Services!$D$2:$D$120,0)),""))</f>
        <v/>
      </c>
      <c r="I1593" s="19"/>
      <c r="J1593" s="15" t="str">
        <f>IF($B1593="","",IFERROR(INDEX(Services!$E$2:$E$120,MATCH($B1593,Services!$D$2:$D$120,0)),""))</f>
        <v/>
      </c>
    </row>
    <row r="1594" spans="1:10" x14ac:dyDescent="0.3">
      <c r="A1594" s="18"/>
      <c r="B1594" s="6"/>
      <c r="C1594" s="6"/>
      <c r="D1594" s="6"/>
      <c r="E1594" s="16" t="str">
        <f>IF($B1594="","",IFERROR(INDEX(Services!$C$2:$C$120,MATCH($B1594,Services!$D$2:$D$120,0)),""))</f>
        <v/>
      </c>
      <c r="F1594" s="19"/>
      <c r="G1594" s="9" t="str">
        <f t="shared" si="24"/>
        <v/>
      </c>
      <c r="H1594" s="15" t="str">
        <f>IF($B1594="","",IFERROR(INDEX(Services!$A$2:$A$120,MATCH($B1594,Services!$D$2:$D$120,0)),""))</f>
        <v/>
      </c>
      <c r="I1594" s="19"/>
      <c r="J1594" s="15" t="str">
        <f>IF($B1594="","",IFERROR(INDEX(Services!$E$2:$E$120,MATCH($B1594,Services!$D$2:$D$120,0)),""))</f>
        <v/>
      </c>
    </row>
    <row r="1595" spans="1:10" x14ac:dyDescent="0.3">
      <c r="A1595" s="18"/>
      <c r="B1595" s="6"/>
      <c r="C1595" s="6"/>
      <c r="D1595" s="6"/>
      <c r="E1595" s="16" t="str">
        <f>IF($B1595="","",IFERROR(INDEX(Services!$C$2:$C$120,MATCH($B1595,Services!$D$2:$D$120,0)),""))</f>
        <v/>
      </c>
      <c r="F1595" s="19"/>
      <c r="G1595" s="9" t="str">
        <f t="shared" si="24"/>
        <v/>
      </c>
      <c r="H1595" s="15" t="str">
        <f>IF($B1595="","",IFERROR(INDEX(Services!$A$2:$A$120,MATCH($B1595,Services!$D$2:$D$120,0)),""))</f>
        <v/>
      </c>
      <c r="I1595" s="19"/>
      <c r="J1595" s="15" t="str">
        <f>IF($B1595="","",IFERROR(INDEX(Services!$E$2:$E$120,MATCH($B1595,Services!$D$2:$D$120,0)),""))</f>
        <v/>
      </c>
    </row>
    <row r="1596" spans="1:10" x14ac:dyDescent="0.3">
      <c r="A1596" s="18"/>
      <c r="B1596" s="6"/>
      <c r="C1596" s="6"/>
      <c r="D1596" s="6"/>
      <c r="E1596" s="16" t="str">
        <f>IF($B1596="","",IFERROR(INDEX(Services!$C$2:$C$120,MATCH($B1596,Services!$D$2:$D$120,0)),""))</f>
        <v/>
      </c>
      <c r="F1596" s="19"/>
      <c r="G1596" s="9" t="str">
        <f t="shared" si="24"/>
        <v/>
      </c>
      <c r="H1596" s="15" t="str">
        <f>IF($B1596="","",IFERROR(INDEX(Services!$A$2:$A$120,MATCH($B1596,Services!$D$2:$D$120,0)),""))</f>
        <v/>
      </c>
      <c r="I1596" s="19"/>
      <c r="J1596" s="15" t="str">
        <f>IF($B1596="","",IFERROR(INDEX(Services!$E$2:$E$120,MATCH($B1596,Services!$D$2:$D$120,0)),""))</f>
        <v/>
      </c>
    </row>
    <row r="1597" spans="1:10" x14ac:dyDescent="0.3">
      <c r="A1597" s="18"/>
      <c r="B1597" s="6"/>
      <c r="C1597" s="6"/>
      <c r="D1597" s="6"/>
      <c r="E1597" s="16" t="str">
        <f>IF($B1597="","",IFERROR(INDEX(Services!$C$2:$C$120,MATCH($B1597,Services!$D$2:$D$120,0)),""))</f>
        <v/>
      </c>
      <c r="F1597" s="19"/>
      <c r="G1597" s="9" t="str">
        <f t="shared" si="24"/>
        <v/>
      </c>
      <c r="H1597" s="15" t="str">
        <f>IF($B1597="","",IFERROR(INDEX(Services!$A$2:$A$120,MATCH($B1597,Services!$D$2:$D$120,0)),""))</f>
        <v/>
      </c>
      <c r="I1597" s="19"/>
      <c r="J1597" s="15" t="str">
        <f>IF($B1597="","",IFERROR(INDEX(Services!$E$2:$E$120,MATCH($B1597,Services!$D$2:$D$120,0)),""))</f>
        <v/>
      </c>
    </row>
    <row r="1598" spans="1:10" x14ac:dyDescent="0.3">
      <c r="A1598" s="18"/>
      <c r="B1598" s="6"/>
      <c r="C1598" s="6"/>
      <c r="D1598" s="6"/>
      <c r="E1598" s="16" t="str">
        <f>IF($B1598="","",IFERROR(INDEX(Services!$C$2:$C$120,MATCH($B1598,Services!$D$2:$D$120,0)),""))</f>
        <v/>
      </c>
      <c r="F1598" s="19"/>
      <c r="G1598" s="9" t="str">
        <f t="shared" si="24"/>
        <v/>
      </c>
      <c r="H1598" s="15" t="str">
        <f>IF($B1598="","",IFERROR(INDEX(Services!$A$2:$A$120,MATCH($B1598,Services!$D$2:$D$120,0)),""))</f>
        <v/>
      </c>
      <c r="I1598" s="19"/>
      <c r="J1598" s="15" t="str">
        <f>IF($B1598="","",IFERROR(INDEX(Services!$E$2:$E$120,MATCH($B1598,Services!$D$2:$D$120,0)),""))</f>
        <v/>
      </c>
    </row>
    <row r="1599" spans="1:10" x14ac:dyDescent="0.3">
      <c r="A1599" s="18"/>
      <c r="B1599" s="6"/>
      <c r="C1599" s="6"/>
      <c r="D1599" s="6"/>
      <c r="E1599" s="16" t="str">
        <f>IF($B1599="","",IFERROR(INDEX(Services!$C$2:$C$120,MATCH($B1599,Services!$D$2:$D$120,0)),""))</f>
        <v/>
      </c>
      <c r="F1599" s="19"/>
      <c r="G1599" s="9" t="str">
        <f t="shared" si="24"/>
        <v/>
      </c>
      <c r="H1599" s="15" t="str">
        <f>IF($B1599="","",IFERROR(INDEX(Services!$A$2:$A$120,MATCH($B1599,Services!$D$2:$D$120,0)),""))</f>
        <v/>
      </c>
      <c r="I1599" s="19"/>
      <c r="J1599" s="15" t="str">
        <f>IF($B1599="","",IFERROR(INDEX(Services!$E$2:$E$120,MATCH($B1599,Services!$D$2:$D$120,0)),""))</f>
        <v/>
      </c>
    </row>
    <row r="1600" spans="1:10" x14ac:dyDescent="0.3">
      <c r="A1600" s="18"/>
      <c r="B1600" s="6"/>
      <c r="C1600" s="6"/>
      <c r="D1600" s="6"/>
      <c r="E1600" s="16" t="str">
        <f>IF($B1600="","",IFERROR(INDEX(Services!$C$2:$C$120,MATCH($B1600,Services!$D$2:$D$120,0)),""))</f>
        <v/>
      </c>
      <c r="F1600" s="19"/>
      <c r="G1600" s="9" t="str">
        <f t="shared" si="24"/>
        <v/>
      </c>
      <c r="H1600" s="15" t="str">
        <f>IF($B1600="","",IFERROR(INDEX(Services!$A$2:$A$120,MATCH($B1600,Services!$D$2:$D$120,0)),""))</f>
        <v/>
      </c>
      <c r="I1600" s="19"/>
      <c r="J1600" s="15" t="str">
        <f>IF($B1600="","",IFERROR(INDEX(Services!$E$2:$E$120,MATCH($B1600,Services!$D$2:$D$120,0)),""))</f>
        <v/>
      </c>
    </row>
    <row r="1601" spans="1:10" x14ac:dyDescent="0.3">
      <c r="A1601" s="18"/>
      <c r="B1601" s="6"/>
      <c r="C1601" s="6"/>
      <c r="D1601" s="6"/>
      <c r="E1601" s="16" t="str">
        <f>IF($B1601="","",IFERROR(INDEX(Services!$C$2:$C$120,MATCH($B1601,Services!$D$2:$D$120,0)),""))</f>
        <v/>
      </c>
      <c r="F1601" s="19"/>
      <c r="G1601" s="9" t="str">
        <f t="shared" si="24"/>
        <v/>
      </c>
      <c r="H1601" s="15" t="str">
        <f>IF($B1601="","",IFERROR(INDEX(Services!$A$2:$A$120,MATCH($B1601,Services!$D$2:$D$120,0)),""))</f>
        <v/>
      </c>
      <c r="I1601" s="19"/>
      <c r="J1601" s="15" t="str">
        <f>IF($B1601="","",IFERROR(INDEX(Services!$E$2:$E$120,MATCH($B1601,Services!$D$2:$D$120,0)),""))</f>
        <v/>
      </c>
    </row>
    <row r="1602" spans="1:10" x14ac:dyDescent="0.3">
      <c r="A1602" s="18"/>
      <c r="B1602" s="6"/>
      <c r="C1602" s="6"/>
      <c r="D1602" s="6"/>
      <c r="E1602" s="16" t="str">
        <f>IF($B1602="","",IFERROR(INDEX(Services!$C$2:$C$120,MATCH($B1602,Services!$D$2:$D$120,0)),""))</f>
        <v/>
      </c>
      <c r="F1602" s="19"/>
      <c r="G1602" s="9" t="str">
        <f t="shared" ref="G1602:G1665" si="25">IF(OR($B1602="",NOT(ISNUMBER($E1602))),"",$E1602-IF($F1602="",0,$F1602))</f>
        <v/>
      </c>
      <c r="H1602" s="15" t="str">
        <f>IF($B1602="","",IFERROR(INDEX(Services!$A$2:$A$120,MATCH($B1602,Services!$D$2:$D$120,0)),""))</f>
        <v/>
      </c>
      <c r="I1602" s="19"/>
      <c r="J1602" s="15" t="str">
        <f>IF($B1602="","",IFERROR(INDEX(Services!$E$2:$E$120,MATCH($B1602,Services!$D$2:$D$120,0)),""))</f>
        <v/>
      </c>
    </row>
    <row r="1603" spans="1:10" x14ac:dyDescent="0.3">
      <c r="A1603" s="18"/>
      <c r="B1603" s="6"/>
      <c r="C1603" s="6"/>
      <c r="D1603" s="6"/>
      <c r="E1603" s="16" t="str">
        <f>IF($B1603="","",IFERROR(INDEX(Services!$C$2:$C$120,MATCH($B1603,Services!$D$2:$D$120,0)),""))</f>
        <v/>
      </c>
      <c r="F1603" s="19"/>
      <c r="G1603" s="9" t="str">
        <f t="shared" si="25"/>
        <v/>
      </c>
      <c r="H1603" s="15" t="str">
        <f>IF($B1603="","",IFERROR(INDEX(Services!$A$2:$A$120,MATCH($B1603,Services!$D$2:$D$120,0)),""))</f>
        <v/>
      </c>
      <c r="I1603" s="19"/>
      <c r="J1603" s="15" t="str">
        <f>IF($B1603="","",IFERROR(INDEX(Services!$E$2:$E$120,MATCH($B1603,Services!$D$2:$D$120,0)),""))</f>
        <v/>
      </c>
    </row>
    <row r="1604" spans="1:10" x14ac:dyDescent="0.3">
      <c r="A1604" s="18"/>
      <c r="B1604" s="6"/>
      <c r="C1604" s="6"/>
      <c r="D1604" s="6"/>
      <c r="E1604" s="16" t="str">
        <f>IF($B1604="","",IFERROR(INDEX(Services!$C$2:$C$120,MATCH($B1604,Services!$D$2:$D$120,0)),""))</f>
        <v/>
      </c>
      <c r="F1604" s="19"/>
      <c r="G1604" s="9" t="str">
        <f t="shared" si="25"/>
        <v/>
      </c>
      <c r="H1604" s="15" t="str">
        <f>IF($B1604="","",IFERROR(INDEX(Services!$A$2:$A$120,MATCH($B1604,Services!$D$2:$D$120,0)),""))</f>
        <v/>
      </c>
      <c r="I1604" s="19"/>
      <c r="J1604" s="15" t="str">
        <f>IF($B1604="","",IFERROR(INDEX(Services!$E$2:$E$120,MATCH($B1604,Services!$D$2:$D$120,0)),""))</f>
        <v/>
      </c>
    </row>
    <row r="1605" spans="1:10" x14ac:dyDescent="0.3">
      <c r="A1605" s="18"/>
      <c r="B1605" s="6"/>
      <c r="C1605" s="6"/>
      <c r="D1605" s="6"/>
      <c r="E1605" s="16" t="str">
        <f>IF($B1605="","",IFERROR(INDEX(Services!$C$2:$C$120,MATCH($B1605,Services!$D$2:$D$120,0)),""))</f>
        <v/>
      </c>
      <c r="F1605" s="19"/>
      <c r="G1605" s="9" t="str">
        <f t="shared" si="25"/>
        <v/>
      </c>
      <c r="H1605" s="15" t="str">
        <f>IF($B1605="","",IFERROR(INDEX(Services!$A$2:$A$120,MATCH($B1605,Services!$D$2:$D$120,0)),""))</f>
        <v/>
      </c>
      <c r="I1605" s="19"/>
      <c r="J1605" s="15" t="str">
        <f>IF($B1605="","",IFERROR(INDEX(Services!$E$2:$E$120,MATCH($B1605,Services!$D$2:$D$120,0)),""))</f>
        <v/>
      </c>
    </row>
    <row r="1606" spans="1:10" x14ac:dyDescent="0.3">
      <c r="A1606" s="18"/>
      <c r="B1606" s="6"/>
      <c r="C1606" s="6"/>
      <c r="D1606" s="6"/>
      <c r="E1606" s="16" t="str">
        <f>IF($B1606="","",IFERROR(INDEX(Services!$C$2:$C$120,MATCH($B1606,Services!$D$2:$D$120,0)),""))</f>
        <v/>
      </c>
      <c r="F1606" s="19"/>
      <c r="G1606" s="9" t="str">
        <f t="shared" si="25"/>
        <v/>
      </c>
      <c r="H1606" s="15" t="str">
        <f>IF($B1606="","",IFERROR(INDEX(Services!$A$2:$A$120,MATCH($B1606,Services!$D$2:$D$120,0)),""))</f>
        <v/>
      </c>
      <c r="I1606" s="19"/>
      <c r="J1606" s="15" t="str">
        <f>IF($B1606="","",IFERROR(INDEX(Services!$E$2:$E$120,MATCH($B1606,Services!$D$2:$D$120,0)),""))</f>
        <v/>
      </c>
    </row>
    <row r="1607" spans="1:10" x14ac:dyDescent="0.3">
      <c r="A1607" s="18"/>
      <c r="B1607" s="6"/>
      <c r="C1607" s="6"/>
      <c r="D1607" s="6"/>
      <c r="E1607" s="16" t="str">
        <f>IF($B1607="","",IFERROR(INDEX(Services!$C$2:$C$120,MATCH($B1607,Services!$D$2:$D$120,0)),""))</f>
        <v/>
      </c>
      <c r="F1607" s="19"/>
      <c r="G1607" s="9" t="str">
        <f t="shared" si="25"/>
        <v/>
      </c>
      <c r="H1607" s="15" t="str">
        <f>IF($B1607="","",IFERROR(INDEX(Services!$A$2:$A$120,MATCH($B1607,Services!$D$2:$D$120,0)),""))</f>
        <v/>
      </c>
      <c r="I1607" s="19"/>
      <c r="J1607" s="15" t="str">
        <f>IF($B1607="","",IFERROR(INDEX(Services!$E$2:$E$120,MATCH($B1607,Services!$D$2:$D$120,0)),""))</f>
        <v/>
      </c>
    </row>
    <row r="1608" spans="1:10" x14ac:dyDescent="0.3">
      <c r="A1608" s="18"/>
      <c r="B1608" s="6"/>
      <c r="C1608" s="6"/>
      <c r="D1608" s="6"/>
      <c r="E1608" s="16" t="str">
        <f>IF($B1608="","",IFERROR(INDEX(Services!$C$2:$C$120,MATCH($B1608,Services!$D$2:$D$120,0)),""))</f>
        <v/>
      </c>
      <c r="F1608" s="19"/>
      <c r="G1608" s="9" t="str">
        <f t="shared" si="25"/>
        <v/>
      </c>
      <c r="H1608" s="15" t="str">
        <f>IF($B1608="","",IFERROR(INDEX(Services!$A$2:$A$120,MATCH($B1608,Services!$D$2:$D$120,0)),""))</f>
        <v/>
      </c>
      <c r="I1608" s="19"/>
      <c r="J1608" s="15" t="str">
        <f>IF($B1608="","",IFERROR(INDEX(Services!$E$2:$E$120,MATCH($B1608,Services!$D$2:$D$120,0)),""))</f>
        <v/>
      </c>
    </row>
    <row r="1609" spans="1:10" x14ac:dyDescent="0.3">
      <c r="A1609" s="18"/>
      <c r="B1609" s="6"/>
      <c r="C1609" s="6"/>
      <c r="D1609" s="6"/>
      <c r="E1609" s="16" t="str">
        <f>IF($B1609="","",IFERROR(INDEX(Services!$C$2:$C$120,MATCH($B1609,Services!$D$2:$D$120,0)),""))</f>
        <v/>
      </c>
      <c r="F1609" s="19"/>
      <c r="G1609" s="9" t="str">
        <f t="shared" si="25"/>
        <v/>
      </c>
      <c r="H1609" s="15" t="str">
        <f>IF($B1609="","",IFERROR(INDEX(Services!$A$2:$A$120,MATCH($B1609,Services!$D$2:$D$120,0)),""))</f>
        <v/>
      </c>
      <c r="I1609" s="19"/>
      <c r="J1609" s="15" t="str">
        <f>IF($B1609="","",IFERROR(INDEX(Services!$E$2:$E$120,MATCH($B1609,Services!$D$2:$D$120,0)),""))</f>
        <v/>
      </c>
    </row>
    <row r="1610" spans="1:10" x14ac:dyDescent="0.3">
      <c r="A1610" s="18"/>
      <c r="B1610" s="6"/>
      <c r="C1610" s="6"/>
      <c r="D1610" s="6"/>
      <c r="E1610" s="16" t="str">
        <f>IF($B1610="","",IFERROR(INDEX(Services!$C$2:$C$120,MATCH($B1610,Services!$D$2:$D$120,0)),""))</f>
        <v/>
      </c>
      <c r="F1610" s="19"/>
      <c r="G1610" s="9" t="str">
        <f t="shared" si="25"/>
        <v/>
      </c>
      <c r="H1610" s="15" t="str">
        <f>IF($B1610="","",IFERROR(INDEX(Services!$A$2:$A$120,MATCH($B1610,Services!$D$2:$D$120,0)),""))</f>
        <v/>
      </c>
      <c r="I1610" s="19"/>
      <c r="J1610" s="15" t="str">
        <f>IF($B1610="","",IFERROR(INDEX(Services!$E$2:$E$120,MATCH($B1610,Services!$D$2:$D$120,0)),""))</f>
        <v/>
      </c>
    </row>
    <row r="1611" spans="1:10" x14ac:dyDescent="0.3">
      <c r="A1611" s="18"/>
      <c r="B1611" s="6"/>
      <c r="C1611" s="6"/>
      <c r="D1611" s="6"/>
      <c r="E1611" s="16" t="str">
        <f>IF($B1611="","",IFERROR(INDEX(Services!$C$2:$C$120,MATCH($B1611,Services!$D$2:$D$120,0)),""))</f>
        <v/>
      </c>
      <c r="F1611" s="19"/>
      <c r="G1611" s="9" t="str">
        <f t="shared" si="25"/>
        <v/>
      </c>
      <c r="H1611" s="15" t="str">
        <f>IF($B1611="","",IFERROR(INDEX(Services!$A$2:$A$120,MATCH($B1611,Services!$D$2:$D$120,0)),""))</f>
        <v/>
      </c>
      <c r="I1611" s="19"/>
      <c r="J1611" s="15" t="str">
        <f>IF($B1611="","",IFERROR(INDEX(Services!$E$2:$E$120,MATCH($B1611,Services!$D$2:$D$120,0)),""))</f>
        <v/>
      </c>
    </row>
    <row r="1612" spans="1:10" x14ac:dyDescent="0.3">
      <c r="A1612" s="18"/>
      <c r="B1612" s="6"/>
      <c r="C1612" s="6"/>
      <c r="D1612" s="6"/>
      <c r="E1612" s="16" t="str">
        <f>IF($B1612="","",IFERROR(INDEX(Services!$C$2:$C$120,MATCH($B1612,Services!$D$2:$D$120,0)),""))</f>
        <v/>
      </c>
      <c r="F1612" s="19"/>
      <c r="G1612" s="9" t="str">
        <f t="shared" si="25"/>
        <v/>
      </c>
      <c r="H1612" s="15" t="str">
        <f>IF($B1612="","",IFERROR(INDEX(Services!$A$2:$A$120,MATCH($B1612,Services!$D$2:$D$120,0)),""))</f>
        <v/>
      </c>
      <c r="I1612" s="19"/>
      <c r="J1612" s="15" t="str">
        <f>IF($B1612="","",IFERROR(INDEX(Services!$E$2:$E$120,MATCH($B1612,Services!$D$2:$D$120,0)),""))</f>
        <v/>
      </c>
    </row>
    <row r="1613" spans="1:10" x14ac:dyDescent="0.3">
      <c r="A1613" s="18"/>
      <c r="B1613" s="6"/>
      <c r="C1613" s="6"/>
      <c r="D1613" s="6"/>
      <c r="E1613" s="16" t="str">
        <f>IF($B1613="","",IFERROR(INDEX(Services!$C$2:$C$120,MATCH($B1613,Services!$D$2:$D$120,0)),""))</f>
        <v/>
      </c>
      <c r="F1613" s="19"/>
      <c r="G1613" s="9" t="str">
        <f t="shared" si="25"/>
        <v/>
      </c>
      <c r="H1613" s="15" t="str">
        <f>IF($B1613="","",IFERROR(INDEX(Services!$A$2:$A$120,MATCH($B1613,Services!$D$2:$D$120,0)),""))</f>
        <v/>
      </c>
      <c r="I1613" s="19"/>
      <c r="J1613" s="15" t="str">
        <f>IF($B1613="","",IFERROR(INDEX(Services!$E$2:$E$120,MATCH($B1613,Services!$D$2:$D$120,0)),""))</f>
        <v/>
      </c>
    </row>
    <row r="1614" spans="1:10" x14ac:dyDescent="0.3">
      <c r="A1614" s="18"/>
      <c r="B1614" s="6"/>
      <c r="C1614" s="6"/>
      <c r="D1614" s="6"/>
      <c r="E1614" s="16" t="str">
        <f>IF($B1614="","",IFERROR(INDEX(Services!$C$2:$C$120,MATCH($B1614,Services!$D$2:$D$120,0)),""))</f>
        <v/>
      </c>
      <c r="F1614" s="19"/>
      <c r="G1614" s="9" t="str">
        <f t="shared" si="25"/>
        <v/>
      </c>
      <c r="H1614" s="15" t="str">
        <f>IF($B1614="","",IFERROR(INDEX(Services!$A$2:$A$120,MATCH($B1614,Services!$D$2:$D$120,0)),""))</f>
        <v/>
      </c>
      <c r="I1614" s="19"/>
      <c r="J1614" s="15" t="str">
        <f>IF($B1614="","",IFERROR(INDEX(Services!$E$2:$E$120,MATCH($B1614,Services!$D$2:$D$120,0)),""))</f>
        <v/>
      </c>
    </row>
    <row r="1615" spans="1:10" x14ac:dyDescent="0.3">
      <c r="A1615" s="18"/>
      <c r="B1615" s="6"/>
      <c r="C1615" s="6"/>
      <c r="D1615" s="6"/>
      <c r="E1615" s="16" t="str">
        <f>IF($B1615="","",IFERROR(INDEX(Services!$C$2:$C$120,MATCH($B1615,Services!$D$2:$D$120,0)),""))</f>
        <v/>
      </c>
      <c r="F1615" s="19"/>
      <c r="G1615" s="9" t="str">
        <f t="shared" si="25"/>
        <v/>
      </c>
      <c r="H1615" s="15" t="str">
        <f>IF($B1615="","",IFERROR(INDEX(Services!$A$2:$A$120,MATCH($B1615,Services!$D$2:$D$120,0)),""))</f>
        <v/>
      </c>
      <c r="I1615" s="19"/>
      <c r="J1615" s="15" t="str">
        <f>IF($B1615="","",IFERROR(INDEX(Services!$E$2:$E$120,MATCH($B1615,Services!$D$2:$D$120,0)),""))</f>
        <v/>
      </c>
    </row>
    <row r="1616" spans="1:10" x14ac:dyDescent="0.3">
      <c r="A1616" s="18"/>
      <c r="B1616" s="6"/>
      <c r="C1616" s="6"/>
      <c r="D1616" s="6"/>
      <c r="E1616" s="16" t="str">
        <f>IF($B1616="","",IFERROR(INDEX(Services!$C$2:$C$120,MATCH($B1616,Services!$D$2:$D$120,0)),""))</f>
        <v/>
      </c>
      <c r="F1616" s="19"/>
      <c r="G1616" s="9" t="str">
        <f t="shared" si="25"/>
        <v/>
      </c>
      <c r="H1616" s="15" t="str">
        <f>IF($B1616="","",IFERROR(INDEX(Services!$A$2:$A$120,MATCH($B1616,Services!$D$2:$D$120,0)),""))</f>
        <v/>
      </c>
      <c r="I1616" s="19"/>
      <c r="J1616" s="15" t="str">
        <f>IF($B1616="","",IFERROR(INDEX(Services!$E$2:$E$120,MATCH($B1616,Services!$D$2:$D$120,0)),""))</f>
        <v/>
      </c>
    </row>
    <row r="1617" spans="1:10" x14ac:dyDescent="0.3">
      <c r="A1617" s="18"/>
      <c r="B1617" s="6"/>
      <c r="C1617" s="6"/>
      <c r="D1617" s="6"/>
      <c r="E1617" s="16" t="str">
        <f>IF($B1617="","",IFERROR(INDEX(Services!$C$2:$C$120,MATCH($B1617,Services!$D$2:$D$120,0)),""))</f>
        <v/>
      </c>
      <c r="F1617" s="19"/>
      <c r="G1617" s="9" t="str">
        <f t="shared" si="25"/>
        <v/>
      </c>
      <c r="H1617" s="15" t="str">
        <f>IF($B1617="","",IFERROR(INDEX(Services!$A$2:$A$120,MATCH($B1617,Services!$D$2:$D$120,0)),""))</f>
        <v/>
      </c>
      <c r="I1617" s="19"/>
      <c r="J1617" s="15" t="str">
        <f>IF($B1617="","",IFERROR(INDEX(Services!$E$2:$E$120,MATCH($B1617,Services!$D$2:$D$120,0)),""))</f>
        <v/>
      </c>
    </row>
    <row r="1618" spans="1:10" x14ac:dyDescent="0.3">
      <c r="A1618" s="18"/>
      <c r="B1618" s="6"/>
      <c r="C1618" s="6"/>
      <c r="D1618" s="6"/>
      <c r="E1618" s="16" t="str">
        <f>IF($B1618="","",IFERROR(INDEX(Services!$C$2:$C$120,MATCH($B1618,Services!$D$2:$D$120,0)),""))</f>
        <v/>
      </c>
      <c r="F1618" s="19"/>
      <c r="G1618" s="9" t="str">
        <f t="shared" si="25"/>
        <v/>
      </c>
      <c r="H1618" s="15" t="str">
        <f>IF($B1618="","",IFERROR(INDEX(Services!$A$2:$A$120,MATCH($B1618,Services!$D$2:$D$120,0)),""))</f>
        <v/>
      </c>
      <c r="I1618" s="19"/>
      <c r="J1618" s="15" t="str">
        <f>IF($B1618="","",IFERROR(INDEX(Services!$E$2:$E$120,MATCH($B1618,Services!$D$2:$D$120,0)),""))</f>
        <v/>
      </c>
    </row>
    <row r="1619" spans="1:10" x14ac:dyDescent="0.3">
      <c r="A1619" s="18"/>
      <c r="B1619" s="6"/>
      <c r="C1619" s="6"/>
      <c r="D1619" s="6"/>
      <c r="E1619" s="16" t="str">
        <f>IF($B1619="","",IFERROR(INDEX(Services!$C$2:$C$120,MATCH($B1619,Services!$D$2:$D$120,0)),""))</f>
        <v/>
      </c>
      <c r="F1619" s="19"/>
      <c r="G1619" s="9" t="str">
        <f t="shared" si="25"/>
        <v/>
      </c>
      <c r="H1619" s="15" t="str">
        <f>IF($B1619="","",IFERROR(INDEX(Services!$A$2:$A$120,MATCH($B1619,Services!$D$2:$D$120,0)),""))</f>
        <v/>
      </c>
      <c r="I1619" s="19"/>
      <c r="J1619" s="15" t="str">
        <f>IF($B1619="","",IFERROR(INDEX(Services!$E$2:$E$120,MATCH($B1619,Services!$D$2:$D$120,0)),""))</f>
        <v/>
      </c>
    </row>
    <row r="1620" spans="1:10" x14ac:dyDescent="0.3">
      <c r="A1620" s="18"/>
      <c r="B1620" s="6"/>
      <c r="C1620" s="6"/>
      <c r="D1620" s="6"/>
      <c r="E1620" s="16" t="str">
        <f>IF($B1620="","",IFERROR(INDEX(Services!$C$2:$C$120,MATCH($B1620,Services!$D$2:$D$120,0)),""))</f>
        <v/>
      </c>
      <c r="F1620" s="19"/>
      <c r="G1620" s="9" t="str">
        <f t="shared" si="25"/>
        <v/>
      </c>
      <c r="H1620" s="15" t="str">
        <f>IF($B1620="","",IFERROR(INDEX(Services!$A$2:$A$120,MATCH($B1620,Services!$D$2:$D$120,0)),""))</f>
        <v/>
      </c>
      <c r="I1620" s="19"/>
      <c r="J1620" s="15" t="str">
        <f>IF($B1620="","",IFERROR(INDEX(Services!$E$2:$E$120,MATCH($B1620,Services!$D$2:$D$120,0)),""))</f>
        <v/>
      </c>
    </row>
    <row r="1621" spans="1:10" x14ac:dyDescent="0.3">
      <c r="A1621" s="18"/>
      <c r="B1621" s="6"/>
      <c r="C1621" s="6"/>
      <c r="D1621" s="6"/>
      <c r="E1621" s="16" t="str">
        <f>IF($B1621="","",IFERROR(INDEX(Services!$C$2:$C$120,MATCH($B1621,Services!$D$2:$D$120,0)),""))</f>
        <v/>
      </c>
      <c r="F1621" s="19"/>
      <c r="G1621" s="9" t="str">
        <f t="shared" si="25"/>
        <v/>
      </c>
      <c r="H1621" s="15" t="str">
        <f>IF($B1621="","",IFERROR(INDEX(Services!$A$2:$A$120,MATCH($B1621,Services!$D$2:$D$120,0)),""))</f>
        <v/>
      </c>
      <c r="I1621" s="19"/>
      <c r="J1621" s="15" t="str">
        <f>IF($B1621="","",IFERROR(INDEX(Services!$E$2:$E$120,MATCH($B1621,Services!$D$2:$D$120,0)),""))</f>
        <v/>
      </c>
    </row>
    <row r="1622" spans="1:10" x14ac:dyDescent="0.3">
      <c r="A1622" s="18"/>
      <c r="B1622" s="6"/>
      <c r="C1622" s="6"/>
      <c r="D1622" s="6"/>
      <c r="E1622" s="16" t="str">
        <f>IF($B1622="","",IFERROR(INDEX(Services!$C$2:$C$120,MATCH($B1622,Services!$D$2:$D$120,0)),""))</f>
        <v/>
      </c>
      <c r="F1622" s="19"/>
      <c r="G1622" s="9" t="str">
        <f t="shared" si="25"/>
        <v/>
      </c>
      <c r="H1622" s="15" t="str">
        <f>IF($B1622="","",IFERROR(INDEX(Services!$A$2:$A$120,MATCH($B1622,Services!$D$2:$D$120,0)),""))</f>
        <v/>
      </c>
      <c r="I1622" s="19"/>
      <c r="J1622" s="15" t="str">
        <f>IF($B1622="","",IFERROR(INDEX(Services!$E$2:$E$120,MATCH($B1622,Services!$D$2:$D$120,0)),""))</f>
        <v/>
      </c>
    </row>
    <row r="1623" spans="1:10" x14ac:dyDescent="0.3">
      <c r="A1623" s="18"/>
      <c r="B1623" s="6"/>
      <c r="C1623" s="6"/>
      <c r="D1623" s="6"/>
      <c r="E1623" s="16" t="str">
        <f>IF($B1623="","",IFERROR(INDEX(Services!$C$2:$C$120,MATCH($B1623,Services!$D$2:$D$120,0)),""))</f>
        <v/>
      </c>
      <c r="F1623" s="19"/>
      <c r="G1623" s="9" t="str">
        <f t="shared" si="25"/>
        <v/>
      </c>
      <c r="H1623" s="15" t="str">
        <f>IF($B1623="","",IFERROR(INDEX(Services!$A$2:$A$120,MATCH($B1623,Services!$D$2:$D$120,0)),""))</f>
        <v/>
      </c>
      <c r="I1623" s="19"/>
      <c r="J1623" s="15" t="str">
        <f>IF($B1623="","",IFERROR(INDEX(Services!$E$2:$E$120,MATCH($B1623,Services!$D$2:$D$120,0)),""))</f>
        <v/>
      </c>
    </row>
    <row r="1624" spans="1:10" x14ac:dyDescent="0.3">
      <c r="A1624" s="18"/>
      <c r="B1624" s="6"/>
      <c r="C1624" s="6"/>
      <c r="D1624" s="6"/>
      <c r="E1624" s="16" t="str">
        <f>IF($B1624="","",IFERROR(INDEX(Services!$C$2:$C$120,MATCH($B1624,Services!$D$2:$D$120,0)),""))</f>
        <v/>
      </c>
      <c r="F1624" s="19"/>
      <c r="G1624" s="9" t="str">
        <f t="shared" si="25"/>
        <v/>
      </c>
      <c r="H1624" s="15" t="str">
        <f>IF($B1624="","",IFERROR(INDEX(Services!$A$2:$A$120,MATCH($B1624,Services!$D$2:$D$120,0)),""))</f>
        <v/>
      </c>
      <c r="I1624" s="19"/>
      <c r="J1624" s="15" t="str">
        <f>IF($B1624="","",IFERROR(INDEX(Services!$E$2:$E$120,MATCH($B1624,Services!$D$2:$D$120,0)),""))</f>
        <v/>
      </c>
    </row>
    <row r="1625" spans="1:10" x14ac:dyDescent="0.3">
      <c r="A1625" s="18"/>
      <c r="B1625" s="6"/>
      <c r="C1625" s="6"/>
      <c r="D1625" s="6"/>
      <c r="E1625" s="16" t="str">
        <f>IF($B1625="","",IFERROR(INDEX(Services!$C$2:$C$120,MATCH($B1625,Services!$D$2:$D$120,0)),""))</f>
        <v/>
      </c>
      <c r="F1625" s="19"/>
      <c r="G1625" s="9" t="str">
        <f t="shared" si="25"/>
        <v/>
      </c>
      <c r="H1625" s="15" t="str">
        <f>IF($B1625="","",IFERROR(INDEX(Services!$A$2:$A$120,MATCH($B1625,Services!$D$2:$D$120,0)),""))</f>
        <v/>
      </c>
      <c r="I1625" s="19"/>
      <c r="J1625" s="15" t="str">
        <f>IF($B1625="","",IFERROR(INDEX(Services!$E$2:$E$120,MATCH($B1625,Services!$D$2:$D$120,0)),""))</f>
        <v/>
      </c>
    </row>
    <row r="1626" spans="1:10" x14ac:dyDescent="0.3">
      <c r="A1626" s="18"/>
      <c r="B1626" s="6"/>
      <c r="C1626" s="6"/>
      <c r="D1626" s="6"/>
      <c r="E1626" s="16" t="str">
        <f>IF($B1626="","",IFERROR(INDEX(Services!$C$2:$C$120,MATCH($B1626,Services!$D$2:$D$120,0)),""))</f>
        <v/>
      </c>
      <c r="F1626" s="19"/>
      <c r="G1626" s="9" t="str">
        <f t="shared" si="25"/>
        <v/>
      </c>
      <c r="H1626" s="15" t="str">
        <f>IF($B1626="","",IFERROR(INDEX(Services!$A$2:$A$120,MATCH($B1626,Services!$D$2:$D$120,0)),""))</f>
        <v/>
      </c>
      <c r="I1626" s="19"/>
      <c r="J1626" s="15" t="str">
        <f>IF($B1626="","",IFERROR(INDEX(Services!$E$2:$E$120,MATCH($B1626,Services!$D$2:$D$120,0)),""))</f>
        <v/>
      </c>
    </row>
    <row r="1627" spans="1:10" x14ac:dyDescent="0.3">
      <c r="A1627" s="18"/>
      <c r="B1627" s="6"/>
      <c r="C1627" s="6"/>
      <c r="D1627" s="6"/>
      <c r="E1627" s="16" t="str">
        <f>IF($B1627="","",IFERROR(INDEX(Services!$C$2:$C$120,MATCH($B1627,Services!$D$2:$D$120,0)),""))</f>
        <v/>
      </c>
      <c r="F1627" s="19"/>
      <c r="G1627" s="9" t="str">
        <f t="shared" si="25"/>
        <v/>
      </c>
      <c r="H1627" s="15" t="str">
        <f>IF($B1627="","",IFERROR(INDEX(Services!$A$2:$A$120,MATCH($B1627,Services!$D$2:$D$120,0)),""))</f>
        <v/>
      </c>
      <c r="I1627" s="19"/>
      <c r="J1627" s="15" t="str">
        <f>IF($B1627="","",IFERROR(INDEX(Services!$E$2:$E$120,MATCH($B1627,Services!$D$2:$D$120,0)),""))</f>
        <v/>
      </c>
    </row>
    <row r="1628" spans="1:10" x14ac:dyDescent="0.3">
      <c r="A1628" s="18"/>
      <c r="B1628" s="6"/>
      <c r="C1628" s="6"/>
      <c r="D1628" s="6"/>
      <c r="E1628" s="16" t="str">
        <f>IF($B1628="","",IFERROR(INDEX(Services!$C$2:$C$120,MATCH($B1628,Services!$D$2:$D$120,0)),""))</f>
        <v/>
      </c>
      <c r="F1628" s="19"/>
      <c r="G1628" s="9" t="str">
        <f t="shared" si="25"/>
        <v/>
      </c>
      <c r="H1628" s="15" t="str">
        <f>IF($B1628="","",IFERROR(INDEX(Services!$A$2:$A$120,MATCH($B1628,Services!$D$2:$D$120,0)),""))</f>
        <v/>
      </c>
      <c r="I1628" s="19"/>
      <c r="J1628" s="15" t="str">
        <f>IF($B1628="","",IFERROR(INDEX(Services!$E$2:$E$120,MATCH($B1628,Services!$D$2:$D$120,0)),""))</f>
        <v/>
      </c>
    </row>
    <row r="1629" spans="1:10" x14ac:dyDescent="0.3">
      <c r="A1629" s="18"/>
      <c r="B1629" s="6"/>
      <c r="C1629" s="6"/>
      <c r="D1629" s="6"/>
      <c r="E1629" s="16" t="str">
        <f>IF($B1629="","",IFERROR(INDEX(Services!$C$2:$C$120,MATCH($B1629,Services!$D$2:$D$120,0)),""))</f>
        <v/>
      </c>
      <c r="F1629" s="19"/>
      <c r="G1629" s="9" t="str">
        <f t="shared" si="25"/>
        <v/>
      </c>
      <c r="H1629" s="15" t="str">
        <f>IF($B1629="","",IFERROR(INDEX(Services!$A$2:$A$120,MATCH($B1629,Services!$D$2:$D$120,0)),""))</f>
        <v/>
      </c>
      <c r="I1629" s="19"/>
      <c r="J1629" s="15" t="str">
        <f>IF($B1629="","",IFERROR(INDEX(Services!$E$2:$E$120,MATCH($B1629,Services!$D$2:$D$120,0)),""))</f>
        <v/>
      </c>
    </row>
    <row r="1630" spans="1:10" x14ac:dyDescent="0.3">
      <c r="A1630" s="18"/>
      <c r="B1630" s="6"/>
      <c r="C1630" s="6"/>
      <c r="D1630" s="6"/>
      <c r="E1630" s="16" t="str">
        <f>IF($B1630="","",IFERROR(INDEX(Services!$C$2:$C$120,MATCH($B1630,Services!$D$2:$D$120,0)),""))</f>
        <v/>
      </c>
      <c r="F1630" s="19"/>
      <c r="G1630" s="9" t="str">
        <f t="shared" si="25"/>
        <v/>
      </c>
      <c r="H1630" s="15" t="str">
        <f>IF($B1630="","",IFERROR(INDEX(Services!$A$2:$A$120,MATCH($B1630,Services!$D$2:$D$120,0)),""))</f>
        <v/>
      </c>
      <c r="I1630" s="19"/>
      <c r="J1630" s="15" t="str">
        <f>IF($B1630="","",IFERROR(INDEX(Services!$E$2:$E$120,MATCH($B1630,Services!$D$2:$D$120,0)),""))</f>
        <v/>
      </c>
    </row>
    <row r="1631" spans="1:10" x14ac:dyDescent="0.3">
      <c r="A1631" s="18"/>
      <c r="B1631" s="6"/>
      <c r="C1631" s="6"/>
      <c r="D1631" s="6"/>
      <c r="E1631" s="16" t="str">
        <f>IF($B1631="","",IFERROR(INDEX(Services!$C$2:$C$120,MATCH($B1631,Services!$D$2:$D$120,0)),""))</f>
        <v/>
      </c>
      <c r="F1631" s="19"/>
      <c r="G1631" s="9" t="str">
        <f t="shared" si="25"/>
        <v/>
      </c>
      <c r="H1631" s="15" t="str">
        <f>IF($B1631="","",IFERROR(INDEX(Services!$A$2:$A$120,MATCH($B1631,Services!$D$2:$D$120,0)),""))</f>
        <v/>
      </c>
      <c r="I1631" s="19"/>
      <c r="J1631" s="15" t="str">
        <f>IF($B1631="","",IFERROR(INDEX(Services!$E$2:$E$120,MATCH($B1631,Services!$D$2:$D$120,0)),""))</f>
        <v/>
      </c>
    </row>
    <row r="1632" spans="1:10" x14ac:dyDescent="0.3">
      <c r="A1632" s="18"/>
      <c r="B1632" s="6"/>
      <c r="C1632" s="6"/>
      <c r="D1632" s="6"/>
      <c r="E1632" s="16" t="str">
        <f>IF($B1632="","",IFERROR(INDEX(Services!$C$2:$C$120,MATCH($B1632,Services!$D$2:$D$120,0)),""))</f>
        <v/>
      </c>
      <c r="F1632" s="19"/>
      <c r="G1632" s="9" t="str">
        <f t="shared" si="25"/>
        <v/>
      </c>
      <c r="H1632" s="15" t="str">
        <f>IF($B1632="","",IFERROR(INDEX(Services!$A$2:$A$120,MATCH($B1632,Services!$D$2:$D$120,0)),""))</f>
        <v/>
      </c>
      <c r="I1632" s="19"/>
      <c r="J1632" s="15" t="str">
        <f>IF($B1632="","",IFERROR(INDEX(Services!$E$2:$E$120,MATCH($B1632,Services!$D$2:$D$120,0)),""))</f>
        <v/>
      </c>
    </row>
    <row r="1633" spans="1:10" x14ac:dyDescent="0.3">
      <c r="A1633" s="18"/>
      <c r="B1633" s="6"/>
      <c r="C1633" s="6"/>
      <c r="D1633" s="6"/>
      <c r="E1633" s="16" t="str">
        <f>IF($B1633="","",IFERROR(INDEX(Services!$C$2:$C$120,MATCH($B1633,Services!$D$2:$D$120,0)),""))</f>
        <v/>
      </c>
      <c r="F1633" s="19"/>
      <c r="G1633" s="9" t="str">
        <f t="shared" si="25"/>
        <v/>
      </c>
      <c r="H1633" s="15" t="str">
        <f>IF($B1633="","",IFERROR(INDEX(Services!$A$2:$A$120,MATCH($B1633,Services!$D$2:$D$120,0)),""))</f>
        <v/>
      </c>
      <c r="I1633" s="19"/>
      <c r="J1633" s="15" t="str">
        <f>IF($B1633="","",IFERROR(INDEX(Services!$E$2:$E$120,MATCH($B1633,Services!$D$2:$D$120,0)),""))</f>
        <v/>
      </c>
    </row>
    <row r="1634" spans="1:10" x14ac:dyDescent="0.3">
      <c r="A1634" s="18"/>
      <c r="B1634" s="6"/>
      <c r="C1634" s="6"/>
      <c r="D1634" s="6"/>
      <c r="E1634" s="16" t="str">
        <f>IF($B1634="","",IFERROR(INDEX(Services!$C$2:$C$120,MATCH($B1634,Services!$D$2:$D$120,0)),""))</f>
        <v/>
      </c>
      <c r="F1634" s="19"/>
      <c r="G1634" s="9" t="str">
        <f t="shared" si="25"/>
        <v/>
      </c>
      <c r="H1634" s="15" t="str">
        <f>IF($B1634="","",IFERROR(INDEX(Services!$A$2:$A$120,MATCH($B1634,Services!$D$2:$D$120,0)),""))</f>
        <v/>
      </c>
      <c r="I1634" s="19"/>
      <c r="J1634" s="15" t="str">
        <f>IF($B1634="","",IFERROR(INDEX(Services!$E$2:$E$120,MATCH($B1634,Services!$D$2:$D$120,0)),""))</f>
        <v/>
      </c>
    </row>
    <row r="1635" spans="1:10" x14ac:dyDescent="0.3">
      <c r="A1635" s="18"/>
      <c r="B1635" s="6"/>
      <c r="C1635" s="6"/>
      <c r="D1635" s="6"/>
      <c r="E1635" s="16" t="str">
        <f>IF($B1635="","",IFERROR(INDEX(Services!$C$2:$C$120,MATCH($B1635,Services!$D$2:$D$120,0)),""))</f>
        <v/>
      </c>
      <c r="F1635" s="19"/>
      <c r="G1635" s="9" t="str">
        <f t="shared" si="25"/>
        <v/>
      </c>
      <c r="H1635" s="15" t="str">
        <f>IF($B1635="","",IFERROR(INDEX(Services!$A$2:$A$120,MATCH($B1635,Services!$D$2:$D$120,0)),""))</f>
        <v/>
      </c>
      <c r="I1635" s="19"/>
      <c r="J1635" s="15" t="str">
        <f>IF($B1635="","",IFERROR(INDEX(Services!$E$2:$E$120,MATCH($B1635,Services!$D$2:$D$120,0)),""))</f>
        <v/>
      </c>
    </row>
    <row r="1636" spans="1:10" x14ac:dyDescent="0.3">
      <c r="A1636" s="18"/>
      <c r="B1636" s="6"/>
      <c r="C1636" s="6"/>
      <c r="D1636" s="6"/>
      <c r="E1636" s="16" t="str">
        <f>IF($B1636="","",IFERROR(INDEX(Services!$C$2:$C$120,MATCH($B1636,Services!$D$2:$D$120,0)),""))</f>
        <v/>
      </c>
      <c r="F1636" s="19"/>
      <c r="G1636" s="9" t="str">
        <f t="shared" si="25"/>
        <v/>
      </c>
      <c r="H1636" s="15" t="str">
        <f>IF($B1636="","",IFERROR(INDEX(Services!$A$2:$A$120,MATCH($B1636,Services!$D$2:$D$120,0)),""))</f>
        <v/>
      </c>
      <c r="I1636" s="19"/>
      <c r="J1636" s="15" t="str">
        <f>IF($B1636="","",IFERROR(INDEX(Services!$E$2:$E$120,MATCH($B1636,Services!$D$2:$D$120,0)),""))</f>
        <v/>
      </c>
    </row>
    <row r="1637" spans="1:10" x14ac:dyDescent="0.3">
      <c r="A1637" s="18"/>
      <c r="B1637" s="6"/>
      <c r="C1637" s="6"/>
      <c r="D1637" s="6"/>
      <c r="E1637" s="16" t="str">
        <f>IF($B1637="","",IFERROR(INDEX(Services!$C$2:$C$120,MATCH($B1637,Services!$D$2:$D$120,0)),""))</f>
        <v/>
      </c>
      <c r="F1637" s="19"/>
      <c r="G1637" s="9" t="str">
        <f t="shared" si="25"/>
        <v/>
      </c>
      <c r="H1637" s="15" t="str">
        <f>IF($B1637="","",IFERROR(INDEX(Services!$A$2:$A$120,MATCH($B1637,Services!$D$2:$D$120,0)),""))</f>
        <v/>
      </c>
      <c r="I1637" s="19"/>
      <c r="J1637" s="15" t="str">
        <f>IF($B1637="","",IFERROR(INDEX(Services!$E$2:$E$120,MATCH($B1637,Services!$D$2:$D$120,0)),""))</f>
        <v/>
      </c>
    </row>
    <row r="1638" spans="1:10" x14ac:dyDescent="0.3">
      <c r="A1638" s="18"/>
      <c r="B1638" s="6"/>
      <c r="C1638" s="6"/>
      <c r="D1638" s="6"/>
      <c r="E1638" s="16" t="str">
        <f>IF($B1638="","",IFERROR(INDEX(Services!$C$2:$C$120,MATCH($B1638,Services!$D$2:$D$120,0)),""))</f>
        <v/>
      </c>
      <c r="F1638" s="19"/>
      <c r="G1638" s="9" t="str">
        <f t="shared" si="25"/>
        <v/>
      </c>
      <c r="H1638" s="15" t="str">
        <f>IF($B1638="","",IFERROR(INDEX(Services!$A$2:$A$120,MATCH($B1638,Services!$D$2:$D$120,0)),""))</f>
        <v/>
      </c>
      <c r="I1638" s="19"/>
      <c r="J1638" s="15" t="str">
        <f>IF($B1638="","",IFERROR(INDEX(Services!$E$2:$E$120,MATCH($B1638,Services!$D$2:$D$120,0)),""))</f>
        <v/>
      </c>
    </row>
    <row r="1639" spans="1:10" x14ac:dyDescent="0.3">
      <c r="A1639" s="18"/>
      <c r="B1639" s="6"/>
      <c r="C1639" s="6"/>
      <c r="D1639" s="6"/>
      <c r="E1639" s="16" t="str">
        <f>IF($B1639="","",IFERROR(INDEX(Services!$C$2:$C$120,MATCH($B1639,Services!$D$2:$D$120,0)),""))</f>
        <v/>
      </c>
      <c r="F1639" s="19"/>
      <c r="G1639" s="9" t="str">
        <f t="shared" si="25"/>
        <v/>
      </c>
      <c r="H1639" s="15" t="str">
        <f>IF($B1639="","",IFERROR(INDEX(Services!$A$2:$A$120,MATCH($B1639,Services!$D$2:$D$120,0)),""))</f>
        <v/>
      </c>
      <c r="I1639" s="19"/>
      <c r="J1639" s="15" t="str">
        <f>IF($B1639="","",IFERROR(INDEX(Services!$E$2:$E$120,MATCH($B1639,Services!$D$2:$D$120,0)),""))</f>
        <v/>
      </c>
    </row>
    <row r="1640" spans="1:10" x14ac:dyDescent="0.3">
      <c r="A1640" s="18"/>
      <c r="B1640" s="6"/>
      <c r="C1640" s="6"/>
      <c r="D1640" s="6"/>
      <c r="E1640" s="16" t="str">
        <f>IF($B1640="","",IFERROR(INDEX(Services!$C$2:$C$120,MATCH($B1640,Services!$D$2:$D$120,0)),""))</f>
        <v/>
      </c>
      <c r="F1640" s="19"/>
      <c r="G1640" s="9" t="str">
        <f t="shared" si="25"/>
        <v/>
      </c>
      <c r="H1640" s="15" t="str">
        <f>IF($B1640="","",IFERROR(INDEX(Services!$A$2:$A$120,MATCH($B1640,Services!$D$2:$D$120,0)),""))</f>
        <v/>
      </c>
      <c r="I1640" s="19"/>
      <c r="J1640" s="15" t="str">
        <f>IF($B1640="","",IFERROR(INDEX(Services!$E$2:$E$120,MATCH($B1640,Services!$D$2:$D$120,0)),""))</f>
        <v/>
      </c>
    </row>
    <row r="1641" spans="1:10" x14ac:dyDescent="0.3">
      <c r="A1641" s="18"/>
      <c r="B1641" s="6"/>
      <c r="C1641" s="6"/>
      <c r="D1641" s="6"/>
      <c r="E1641" s="16" t="str">
        <f>IF($B1641="","",IFERROR(INDEX(Services!$C$2:$C$120,MATCH($B1641,Services!$D$2:$D$120,0)),""))</f>
        <v/>
      </c>
      <c r="F1641" s="19"/>
      <c r="G1641" s="9" t="str">
        <f t="shared" si="25"/>
        <v/>
      </c>
      <c r="H1641" s="15" t="str">
        <f>IF($B1641="","",IFERROR(INDEX(Services!$A$2:$A$120,MATCH($B1641,Services!$D$2:$D$120,0)),""))</f>
        <v/>
      </c>
      <c r="I1641" s="19"/>
      <c r="J1641" s="15" t="str">
        <f>IF($B1641="","",IFERROR(INDEX(Services!$E$2:$E$120,MATCH($B1641,Services!$D$2:$D$120,0)),""))</f>
        <v/>
      </c>
    </row>
    <row r="1642" spans="1:10" x14ac:dyDescent="0.3">
      <c r="A1642" s="18"/>
      <c r="B1642" s="6"/>
      <c r="C1642" s="6"/>
      <c r="D1642" s="6"/>
      <c r="E1642" s="16" t="str">
        <f>IF($B1642="","",IFERROR(INDEX(Services!$C$2:$C$120,MATCH($B1642,Services!$D$2:$D$120,0)),""))</f>
        <v/>
      </c>
      <c r="F1642" s="19"/>
      <c r="G1642" s="9" t="str">
        <f t="shared" si="25"/>
        <v/>
      </c>
      <c r="H1642" s="15" t="str">
        <f>IF($B1642="","",IFERROR(INDEX(Services!$A$2:$A$120,MATCH($B1642,Services!$D$2:$D$120,0)),""))</f>
        <v/>
      </c>
      <c r="I1642" s="19"/>
      <c r="J1642" s="15" t="str">
        <f>IF($B1642="","",IFERROR(INDEX(Services!$E$2:$E$120,MATCH($B1642,Services!$D$2:$D$120,0)),""))</f>
        <v/>
      </c>
    </row>
    <row r="1643" spans="1:10" x14ac:dyDescent="0.3">
      <c r="A1643" s="18"/>
      <c r="B1643" s="6"/>
      <c r="C1643" s="6"/>
      <c r="D1643" s="6"/>
      <c r="E1643" s="16" t="str">
        <f>IF($B1643="","",IFERROR(INDEX(Services!$C$2:$C$120,MATCH($B1643,Services!$D$2:$D$120,0)),""))</f>
        <v/>
      </c>
      <c r="F1643" s="19"/>
      <c r="G1643" s="9" t="str">
        <f t="shared" si="25"/>
        <v/>
      </c>
      <c r="H1643" s="15" t="str">
        <f>IF($B1643="","",IFERROR(INDEX(Services!$A$2:$A$120,MATCH($B1643,Services!$D$2:$D$120,0)),""))</f>
        <v/>
      </c>
      <c r="I1643" s="19"/>
      <c r="J1643" s="15" t="str">
        <f>IF($B1643="","",IFERROR(INDEX(Services!$E$2:$E$120,MATCH($B1643,Services!$D$2:$D$120,0)),""))</f>
        <v/>
      </c>
    </row>
    <row r="1644" spans="1:10" x14ac:dyDescent="0.3">
      <c r="A1644" s="18"/>
      <c r="B1644" s="6"/>
      <c r="C1644" s="6"/>
      <c r="D1644" s="6"/>
      <c r="E1644" s="16" t="str">
        <f>IF($B1644="","",IFERROR(INDEX(Services!$C$2:$C$120,MATCH($B1644,Services!$D$2:$D$120,0)),""))</f>
        <v/>
      </c>
      <c r="F1644" s="19"/>
      <c r="G1644" s="9" t="str">
        <f t="shared" si="25"/>
        <v/>
      </c>
      <c r="H1644" s="15" t="str">
        <f>IF($B1644="","",IFERROR(INDEX(Services!$A$2:$A$120,MATCH($B1644,Services!$D$2:$D$120,0)),""))</f>
        <v/>
      </c>
      <c r="I1644" s="19"/>
      <c r="J1644" s="15" t="str">
        <f>IF($B1644="","",IFERROR(INDEX(Services!$E$2:$E$120,MATCH($B1644,Services!$D$2:$D$120,0)),""))</f>
        <v/>
      </c>
    </row>
    <row r="1645" spans="1:10" x14ac:dyDescent="0.3">
      <c r="A1645" s="18"/>
      <c r="B1645" s="6"/>
      <c r="C1645" s="6"/>
      <c r="D1645" s="6"/>
      <c r="E1645" s="16" t="str">
        <f>IF($B1645="","",IFERROR(INDEX(Services!$C$2:$C$120,MATCH($B1645,Services!$D$2:$D$120,0)),""))</f>
        <v/>
      </c>
      <c r="F1645" s="19"/>
      <c r="G1645" s="9" t="str">
        <f t="shared" si="25"/>
        <v/>
      </c>
      <c r="H1645" s="15" t="str">
        <f>IF($B1645="","",IFERROR(INDEX(Services!$A$2:$A$120,MATCH($B1645,Services!$D$2:$D$120,0)),""))</f>
        <v/>
      </c>
      <c r="I1645" s="19"/>
      <c r="J1645" s="15" t="str">
        <f>IF($B1645="","",IFERROR(INDEX(Services!$E$2:$E$120,MATCH($B1645,Services!$D$2:$D$120,0)),""))</f>
        <v/>
      </c>
    </row>
    <row r="1646" spans="1:10" x14ac:dyDescent="0.3">
      <c r="A1646" s="18"/>
      <c r="B1646" s="6"/>
      <c r="C1646" s="6"/>
      <c r="D1646" s="6"/>
      <c r="E1646" s="16" t="str">
        <f>IF($B1646="","",IFERROR(INDEX(Services!$C$2:$C$120,MATCH($B1646,Services!$D$2:$D$120,0)),""))</f>
        <v/>
      </c>
      <c r="F1646" s="19"/>
      <c r="G1646" s="9" t="str">
        <f t="shared" si="25"/>
        <v/>
      </c>
      <c r="H1646" s="15" t="str">
        <f>IF($B1646="","",IFERROR(INDEX(Services!$A$2:$A$120,MATCH($B1646,Services!$D$2:$D$120,0)),""))</f>
        <v/>
      </c>
      <c r="I1646" s="19"/>
      <c r="J1646" s="15" t="str">
        <f>IF($B1646="","",IFERROR(INDEX(Services!$E$2:$E$120,MATCH($B1646,Services!$D$2:$D$120,0)),""))</f>
        <v/>
      </c>
    </row>
    <row r="1647" spans="1:10" x14ac:dyDescent="0.3">
      <c r="A1647" s="18"/>
      <c r="B1647" s="6"/>
      <c r="C1647" s="6"/>
      <c r="D1647" s="6"/>
      <c r="E1647" s="16" t="str">
        <f>IF($B1647="","",IFERROR(INDEX(Services!$C$2:$C$120,MATCH($B1647,Services!$D$2:$D$120,0)),""))</f>
        <v/>
      </c>
      <c r="F1647" s="19"/>
      <c r="G1647" s="9" t="str">
        <f t="shared" si="25"/>
        <v/>
      </c>
      <c r="H1647" s="15" t="str">
        <f>IF($B1647="","",IFERROR(INDEX(Services!$A$2:$A$120,MATCH($B1647,Services!$D$2:$D$120,0)),""))</f>
        <v/>
      </c>
      <c r="I1647" s="19"/>
      <c r="J1647" s="15" t="str">
        <f>IF($B1647="","",IFERROR(INDEX(Services!$E$2:$E$120,MATCH($B1647,Services!$D$2:$D$120,0)),""))</f>
        <v/>
      </c>
    </row>
    <row r="1648" spans="1:10" x14ac:dyDescent="0.3">
      <c r="A1648" s="18"/>
      <c r="B1648" s="6"/>
      <c r="C1648" s="6"/>
      <c r="D1648" s="6"/>
      <c r="E1648" s="16" t="str">
        <f>IF($B1648="","",IFERROR(INDEX(Services!$C$2:$C$120,MATCH($B1648,Services!$D$2:$D$120,0)),""))</f>
        <v/>
      </c>
      <c r="F1648" s="19"/>
      <c r="G1648" s="9" t="str">
        <f t="shared" si="25"/>
        <v/>
      </c>
      <c r="H1648" s="15" t="str">
        <f>IF($B1648="","",IFERROR(INDEX(Services!$A$2:$A$120,MATCH($B1648,Services!$D$2:$D$120,0)),""))</f>
        <v/>
      </c>
      <c r="I1648" s="19"/>
      <c r="J1648" s="15" t="str">
        <f>IF($B1648="","",IFERROR(INDEX(Services!$E$2:$E$120,MATCH($B1648,Services!$D$2:$D$120,0)),""))</f>
        <v/>
      </c>
    </row>
    <row r="1649" spans="1:10" x14ac:dyDescent="0.3">
      <c r="A1649" s="18"/>
      <c r="B1649" s="6"/>
      <c r="C1649" s="6"/>
      <c r="D1649" s="6"/>
      <c r="E1649" s="16" t="str">
        <f>IF($B1649="","",IFERROR(INDEX(Services!$C$2:$C$120,MATCH($B1649,Services!$D$2:$D$120,0)),""))</f>
        <v/>
      </c>
      <c r="F1649" s="19"/>
      <c r="G1649" s="9" t="str">
        <f t="shared" si="25"/>
        <v/>
      </c>
      <c r="H1649" s="15" t="str">
        <f>IF($B1649="","",IFERROR(INDEX(Services!$A$2:$A$120,MATCH($B1649,Services!$D$2:$D$120,0)),""))</f>
        <v/>
      </c>
      <c r="I1649" s="19"/>
      <c r="J1649" s="15" t="str">
        <f>IF($B1649="","",IFERROR(INDEX(Services!$E$2:$E$120,MATCH($B1649,Services!$D$2:$D$120,0)),""))</f>
        <v/>
      </c>
    </row>
    <row r="1650" spans="1:10" x14ac:dyDescent="0.3">
      <c r="A1650" s="18"/>
      <c r="B1650" s="6"/>
      <c r="C1650" s="6"/>
      <c r="D1650" s="6"/>
      <c r="E1650" s="16" t="str">
        <f>IF($B1650="","",IFERROR(INDEX(Services!$C$2:$C$120,MATCH($B1650,Services!$D$2:$D$120,0)),""))</f>
        <v/>
      </c>
      <c r="F1650" s="19"/>
      <c r="G1650" s="9" t="str">
        <f t="shared" si="25"/>
        <v/>
      </c>
      <c r="H1650" s="15" t="str">
        <f>IF($B1650="","",IFERROR(INDEX(Services!$A$2:$A$120,MATCH($B1650,Services!$D$2:$D$120,0)),""))</f>
        <v/>
      </c>
      <c r="I1650" s="19"/>
      <c r="J1650" s="15" t="str">
        <f>IF($B1650="","",IFERROR(INDEX(Services!$E$2:$E$120,MATCH($B1650,Services!$D$2:$D$120,0)),""))</f>
        <v/>
      </c>
    </row>
    <row r="1651" spans="1:10" x14ac:dyDescent="0.3">
      <c r="A1651" s="18"/>
      <c r="B1651" s="6"/>
      <c r="C1651" s="6"/>
      <c r="D1651" s="6"/>
      <c r="E1651" s="16" t="str">
        <f>IF($B1651="","",IFERROR(INDEX(Services!$C$2:$C$120,MATCH($B1651,Services!$D$2:$D$120,0)),""))</f>
        <v/>
      </c>
      <c r="F1651" s="19"/>
      <c r="G1651" s="9" t="str">
        <f t="shared" si="25"/>
        <v/>
      </c>
      <c r="H1651" s="15" t="str">
        <f>IF($B1651="","",IFERROR(INDEX(Services!$A$2:$A$120,MATCH($B1651,Services!$D$2:$D$120,0)),""))</f>
        <v/>
      </c>
      <c r="I1651" s="19"/>
      <c r="J1651" s="15" t="str">
        <f>IF($B1651="","",IFERROR(INDEX(Services!$E$2:$E$120,MATCH($B1651,Services!$D$2:$D$120,0)),""))</f>
        <v/>
      </c>
    </row>
    <row r="1652" spans="1:10" x14ac:dyDescent="0.3">
      <c r="A1652" s="18"/>
      <c r="B1652" s="6"/>
      <c r="C1652" s="6"/>
      <c r="D1652" s="6"/>
      <c r="E1652" s="16" t="str">
        <f>IF($B1652="","",IFERROR(INDEX(Services!$C$2:$C$120,MATCH($B1652,Services!$D$2:$D$120,0)),""))</f>
        <v/>
      </c>
      <c r="F1652" s="19"/>
      <c r="G1652" s="9" t="str">
        <f t="shared" si="25"/>
        <v/>
      </c>
      <c r="H1652" s="15" t="str">
        <f>IF($B1652="","",IFERROR(INDEX(Services!$A$2:$A$120,MATCH($B1652,Services!$D$2:$D$120,0)),""))</f>
        <v/>
      </c>
      <c r="I1652" s="19"/>
      <c r="J1652" s="15" t="str">
        <f>IF($B1652="","",IFERROR(INDEX(Services!$E$2:$E$120,MATCH($B1652,Services!$D$2:$D$120,0)),""))</f>
        <v/>
      </c>
    </row>
    <row r="1653" spans="1:10" x14ac:dyDescent="0.3">
      <c r="A1653" s="18"/>
      <c r="B1653" s="6"/>
      <c r="C1653" s="6"/>
      <c r="D1653" s="6"/>
      <c r="E1653" s="16" t="str">
        <f>IF($B1653="","",IFERROR(INDEX(Services!$C$2:$C$120,MATCH($B1653,Services!$D$2:$D$120,0)),""))</f>
        <v/>
      </c>
      <c r="F1653" s="19"/>
      <c r="G1653" s="9" t="str">
        <f t="shared" si="25"/>
        <v/>
      </c>
      <c r="H1653" s="15" t="str">
        <f>IF($B1653="","",IFERROR(INDEX(Services!$A$2:$A$120,MATCH($B1653,Services!$D$2:$D$120,0)),""))</f>
        <v/>
      </c>
      <c r="I1653" s="19"/>
      <c r="J1653" s="15" t="str">
        <f>IF($B1653="","",IFERROR(INDEX(Services!$E$2:$E$120,MATCH($B1653,Services!$D$2:$D$120,0)),""))</f>
        <v/>
      </c>
    </row>
    <row r="1654" spans="1:10" x14ac:dyDescent="0.3">
      <c r="A1654" s="18"/>
      <c r="B1654" s="6"/>
      <c r="C1654" s="6"/>
      <c r="D1654" s="6"/>
      <c r="E1654" s="16" t="str">
        <f>IF($B1654="","",IFERROR(INDEX(Services!$C$2:$C$120,MATCH($B1654,Services!$D$2:$D$120,0)),""))</f>
        <v/>
      </c>
      <c r="F1654" s="19"/>
      <c r="G1654" s="9" t="str">
        <f t="shared" si="25"/>
        <v/>
      </c>
      <c r="H1654" s="15" t="str">
        <f>IF($B1654="","",IFERROR(INDEX(Services!$A$2:$A$120,MATCH($B1654,Services!$D$2:$D$120,0)),""))</f>
        <v/>
      </c>
      <c r="I1654" s="19"/>
      <c r="J1654" s="15" t="str">
        <f>IF($B1654="","",IFERROR(INDEX(Services!$E$2:$E$120,MATCH($B1654,Services!$D$2:$D$120,0)),""))</f>
        <v/>
      </c>
    </row>
    <row r="1655" spans="1:10" x14ac:dyDescent="0.3">
      <c r="A1655" s="18"/>
      <c r="B1655" s="6"/>
      <c r="C1655" s="6"/>
      <c r="D1655" s="6"/>
      <c r="E1655" s="16" t="str">
        <f>IF($B1655="","",IFERROR(INDEX(Services!$C$2:$C$120,MATCH($B1655,Services!$D$2:$D$120,0)),""))</f>
        <v/>
      </c>
      <c r="F1655" s="19"/>
      <c r="G1655" s="9" t="str">
        <f t="shared" si="25"/>
        <v/>
      </c>
      <c r="H1655" s="15" t="str">
        <f>IF($B1655="","",IFERROR(INDEX(Services!$A$2:$A$120,MATCH($B1655,Services!$D$2:$D$120,0)),""))</f>
        <v/>
      </c>
      <c r="I1655" s="19"/>
      <c r="J1655" s="15" t="str">
        <f>IF($B1655="","",IFERROR(INDEX(Services!$E$2:$E$120,MATCH($B1655,Services!$D$2:$D$120,0)),""))</f>
        <v/>
      </c>
    </row>
    <row r="1656" spans="1:10" x14ac:dyDescent="0.3">
      <c r="A1656" s="18"/>
      <c r="B1656" s="6"/>
      <c r="C1656" s="6"/>
      <c r="D1656" s="6"/>
      <c r="E1656" s="16" t="str">
        <f>IF($B1656="","",IFERROR(INDEX(Services!$C$2:$C$120,MATCH($B1656,Services!$D$2:$D$120,0)),""))</f>
        <v/>
      </c>
      <c r="F1656" s="19"/>
      <c r="G1656" s="9" t="str">
        <f t="shared" si="25"/>
        <v/>
      </c>
      <c r="H1656" s="15" t="str">
        <f>IF($B1656="","",IFERROR(INDEX(Services!$A$2:$A$120,MATCH($B1656,Services!$D$2:$D$120,0)),""))</f>
        <v/>
      </c>
      <c r="I1656" s="19"/>
      <c r="J1656" s="15" t="str">
        <f>IF($B1656="","",IFERROR(INDEX(Services!$E$2:$E$120,MATCH($B1656,Services!$D$2:$D$120,0)),""))</f>
        <v/>
      </c>
    </row>
    <row r="1657" spans="1:10" x14ac:dyDescent="0.3">
      <c r="A1657" s="18"/>
      <c r="B1657" s="6"/>
      <c r="C1657" s="6"/>
      <c r="D1657" s="6"/>
      <c r="E1657" s="16" t="str">
        <f>IF($B1657="","",IFERROR(INDEX(Services!$C$2:$C$120,MATCH($B1657,Services!$D$2:$D$120,0)),""))</f>
        <v/>
      </c>
      <c r="F1657" s="19"/>
      <c r="G1657" s="9" t="str">
        <f t="shared" si="25"/>
        <v/>
      </c>
      <c r="H1657" s="15" t="str">
        <f>IF($B1657="","",IFERROR(INDEX(Services!$A$2:$A$120,MATCH($B1657,Services!$D$2:$D$120,0)),""))</f>
        <v/>
      </c>
      <c r="I1657" s="19"/>
      <c r="J1657" s="15" t="str">
        <f>IF($B1657="","",IFERROR(INDEX(Services!$E$2:$E$120,MATCH($B1657,Services!$D$2:$D$120,0)),""))</f>
        <v/>
      </c>
    </row>
    <row r="1658" spans="1:10" x14ac:dyDescent="0.3">
      <c r="A1658" s="18"/>
      <c r="B1658" s="6"/>
      <c r="C1658" s="6"/>
      <c r="D1658" s="6"/>
      <c r="E1658" s="16" t="str">
        <f>IF($B1658="","",IFERROR(INDEX(Services!$C$2:$C$120,MATCH($B1658,Services!$D$2:$D$120,0)),""))</f>
        <v/>
      </c>
      <c r="F1658" s="19"/>
      <c r="G1658" s="9" t="str">
        <f t="shared" si="25"/>
        <v/>
      </c>
      <c r="H1658" s="15" t="str">
        <f>IF($B1658="","",IFERROR(INDEX(Services!$A$2:$A$120,MATCH($B1658,Services!$D$2:$D$120,0)),""))</f>
        <v/>
      </c>
      <c r="I1658" s="19"/>
      <c r="J1658" s="15" t="str">
        <f>IF($B1658="","",IFERROR(INDEX(Services!$E$2:$E$120,MATCH($B1658,Services!$D$2:$D$120,0)),""))</f>
        <v/>
      </c>
    </row>
    <row r="1659" spans="1:10" x14ac:dyDescent="0.3">
      <c r="A1659" s="18"/>
      <c r="B1659" s="6"/>
      <c r="C1659" s="6"/>
      <c r="D1659" s="6"/>
      <c r="E1659" s="16" t="str">
        <f>IF($B1659="","",IFERROR(INDEX(Services!$C$2:$C$120,MATCH($B1659,Services!$D$2:$D$120,0)),""))</f>
        <v/>
      </c>
      <c r="F1659" s="19"/>
      <c r="G1659" s="9" t="str">
        <f t="shared" si="25"/>
        <v/>
      </c>
      <c r="H1659" s="15" t="str">
        <f>IF($B1659="","",IFERROR(INDEX(Services!$A$2:$A$120,MATCH($B1659,Services!$D$2:$D$120,0)),""))</f>
        <v/>
      </c>
      <c r="I1659" s="19"/>
      <c r="J1659" s="15" t="str">
        <f>IF($B1659="","",IFERROR(INDEX(Services!$E$2:$E$120,MATCH($B1659,Services!$D$2:$D$120,0)),""))</f>
        <v/>
      </c>
    </row>
    <row r="1660" spans="1:10" x14ac:dyDescent="0.3">
      <c r="A1660" s="18"/>
      <c r="B1660" s="6"/>
      <c r="C1660" s="6"/>
      <c r="D1660" s="6"/>
      <c r="E1660" s="16" t="str">
        <f>IF($B1660="","",IFERROR(INDEX(Services!$C$2:$C$120,MATCH($B1660,Services!$D$2:$D$120,0)),""))</f>
        <v/>
      </c>
      <c r="F1660" s="19"/>
      <c r="G1660" s="9" t="str">
        <f t="shared" si="25"/>
        <v/>
      </c>
      <c r="H1660" s="15" t="str">
        <f>IF($B1660="","",IFERROR(INDEX(Services!$A$2:$A$120,MATCH($B1660,Services!$D$2:$D$120,0)),""))</f>
        <v/>
      </c>
      <c r="I1660" s="19"/>
      <c r="J1660" s="15" t="str">
        <f>IF($B1660="","",IFERROR(INDEX(Services!$E$2:$E$120,MATCH($B1660,Services!$D$2:$D$120,0)),""))</f>
        <v/>
      </c>
    </row>
    <row r="1661" spans="1:10" x14ac:dyDescent="0.3">
      <c r="A1661" s="18"/>
      <c r="B1661" s="6"/>
      <c r="C1661" s="6"/>
      <c r="D1661" s="6"/>
      <c r="E1661" s="16" t="str">
        <f>IF($B1661="","",IFERROR(INDEX(Services!$C$2:$C$120,MATCH($B1661,Services!$D$2:$D$120,0)),""))</f>
        <v/>
      </c>
      <c r="F1661" s="19"/>
      <c r="G1661" s="9" t="str">
        <f t="shared" si="25"/>
        <v/>
      </c>
      <c r="H1661" s="15" t="str">
        <f>IF($B1661="","",IFERROR(INDEX(Services!$A$2:$A$120,MATCH($B1661,Services!$D$2:$D$120,0)),""))</f>
        <v/>
      </c>
      <c r="I1661" s="19"/>
      <c r="J1661" s="15" t="str">
        <f>IF($B1661="","",IFERROR(INDEX(Services!$E$2:$E$120,MATCH($B1661,Services!$D$2:$D$120,0)),""))</f>
        <v/>
      </c>
    </row>
    <row r="1662" spans="1:10" x14ac:dyDescent="0.3">
      <c r="A1662" s="18"/>
      <c r="B1662" s="6"/>
      <c r="C1662" s="6"/>
      <c r="D1662" s="6"/>
      <c r="E1662" s="16" t="str">
        <f>IF($B1662="","",IFERROR(INDEX(Services!$C$2:$C$120,MATCH($B1662,Services!$D$2:$D$120,0)),""))</f>
        <v/>
      </c>
      <c r="F1662" s="19"/>
      <c r="G1662" s="9" t="str">
        <f t="shared" si="25"/>
        <v/>
      </c>
      <c r="H1662" s="15" t="str">
        <f>IF($B1662="","",IFERROR(INDEX(Services!$A$2:$A$120,MATCH($B1662,Services!$D$2:$D$120,0)),""))</f>
        <v/>
      </c>
      <c r="I1662" s="19"/>
      <c r="J1662" s="15" t="str">
        <f>IF($B1662="","",IFERROR(INDEX(Services!$E$2:$E$120,MATCH($B1662,Services!$D$2:$D$120,0)),""))</f>
        <v/>
      </c>
    </row>
    <row r="1663" spans="1:10" x14ac:dyDescent="0.3">
      <c r="A1663" s="18"/>
      <c r="B1663" s="6"/>
      <c r="C1663" s="6"/>
      <c r="D1663" s="6"/>
      <c r="E1663" s="16" t="str">
        <f>IF($B1663="","",IFERROR(INDEX(Services!$C$2:$C$120,MATCH($B1663,Services!$D$2:$D$120,0)),""))</f>
        <v/>
      </c>
      <c r="F1663" s="19"/>
      <c r="G1663" s="9" t="str">
        <f t="shared" si="25"/>
        <v/>
      </c>
      <c r="H1663" s="15" t="str">
        <f>IF($B1663="","",IFERROR(INDEX(Services!$A$2:$A$120,MATCH($B1663,Services!$D$2:$D$120,0)),""))</f>
        <v/>
      </c>
      <c r="I1663" s="19"/>
      <c r="J1663" s="15" t="str">
        <f>IF($B1663="","",IFERROR(INDEX(Services!$E$2:$E$120,MATCH($B1663,Services!$D$2:$D$120,0)),""))</f>
        <v/>
      </c>
    </row>
    <row r="1664" spans="1:10" x14ac:dyDescent="0.3">
      <c r="A1664" s="18"/>
      <c r="B1664" s="6"/>
      <c r="C1664" s="6"/>
      <c r="D1664" s="6"/>
      <c r="E1664" s="16" t="str">
        <f>IF($B1664="","",IFERROR(INDEX(Services!$C$2:$C$120,MATCH($B1664,Services!$D$2:$D$120,0)),""))</f>
        <v/>
      </c>
      <c r="F1664" s="19"/>
      <c r="G1664" s="9" t="str">
        <f t="shared" si="25"/>
        <v/>
      </c>
      <c r="H1664" s="15" t="str">
        <f>IF($B1664="","",IFERROR(INDEX(Services!$A$2:$A$120,MATCH($B1664,Services!$D$2:$D$120,0)),""))</f>
        <v/>
      </c>
      <c r="I1664" s="19"/>
      <c r="J1664" s="15" t="str">
        <f>IF($B1664="","",IFERROR(INDEX(Services!$E$2:$E$120,MATCH($B1664,Services!$D$2:$D$120,0)),""))</f>
        <v/>
      </c>
    </row>
    <row r="1665" spans="1:10" x14ac:dyDescent="0.3">
      <c r="A1665" s="18"/>
      <c r="B1665" s="6"/>
      <c r="C1665" s="6"/>
      <c r="D1665" s="6"/>
      <c r="E1665" s="16" t="str">
        <f>IF($B1665="","",IFERROR(INDEX(Services!$C$2:$C$120,MATCH($B1665,Services!$D$2:$D$120,0)),""))</f>
        <v/>
      </c>
      <c r="F1665" s="19"/>
      <c r="G1665" s="9" t="str">
        <f t="shared" si="25"/>
        <v/>
      </c>
      <c r="H1665" s="15" t="str">
        <f>IF($B1665="","",IFERROR(INDEX(Services!$A$2:$A$120,MATCH($B1665,Services!$D$2:$D$120,0)),""))</f>
        <v/>
      </c>
      <c r="I1665" s="19"/>
      <c r="J1665" s="15" t="str">
        <f>IF($B1665="","",IFERROR(INDEX(Services!$E$2:$E$120,MATCH($B1665,Services!$D$2:$D$120,0)),""))</f>
        <v/>
      </c>
    </row>
    <row r="1666" spans="1:10" x14ac:dyDescent="0.3">
      <c r="A1666" s="18"/>
      <c r="B1666" s="6"/>
      <c r="C1666" s="6"/>
      <c r="D1666" s="6"/>
      <c r="E1666" s="16" t="str">
        <f>IF($B1666="","",IFERROR(INDEX(Services!$C$2:$C$120,MATCH($B1666,Services!$D$2:$D$120,0)),""))</f>
        <v/>
      </c>
      <c r="F1666" s="19"/>
      <c r="G1666" s="9" t="str">
        <f t="shared" ref="G1666:G1729" si="26">IF(OR($B1666="",NOT(ISNUMBER($E1666))),"",$E1666-IF($F1666="",0,$F1666))</f>
        <v/>
      </c>
      <c r="H1666" s="15" t="str">
        <f>IF($B1666="","",IFERROR(INDEX(Services!$A$2:$A$120,MATCH($B1666,Services!$D$2:$D$120,0)),""))</f>
        <v/>
      </c>
      <c r="I1666" s="19"/>
      <c r="J1666" s="15" t="str">
        <f>IF($B1666="","",IFERROR(INDEX(Services!$E$2:$E$120,MATCH($B1666,Services!$D$2:$D$120,0)),""))</f>
        <v/>
      </c>
    </row>
    <row r="1667" spans="1:10" x14ac:dyDescent="0.3">
      <c r="A1667" s="18"/>
      <c r="B1667" s="6"/>
      <c r="C1667" s="6"/>
      <c r="D1667" s="6"/>
      <c r="E1667" s="16" t="str">
        <f>IF($B1667="","",IFERROR(INDEX(Services!$C$2:$C$120,MATCH($B1667,Services!$D$2:$D$120,0)),""))</f>
        <v/>
      </c>
      <c r="F1667" s="19"/>
      <c r="G1667" s="9" t="str">
        <f t="shared" si="26"/>
        <v/>
      </c>
      <c r="H1667" s="15" t="str">
        <f>IF($B1667="","",IFERROR(INDEX(Services!$A$2:$A$120,MATCH($B1667,Services!$D$2:$D$120,0)),""))</f>
        <v/>
      </c>
      <c r="I1667" s="19"/>
      <c r="J1667" s="15" t="str">
        <f>IF($B1667="","",IFERROR(INDEX(Services!$E$2:$E$120,MATCH($B1667,Services!$D$2:$D$120,0)),""))</f>
        <v/>
      </c>
    </row>
    <row r="1668" spans="1:10" x14ac:dyDescent="0.3">
      <c r="A1668" s="18"/>
      <c r="B1668" s="6"/>
      <c r="C1668" s="6"/>
      <c r="D1668" s="6"/>
      <c r="E1668" s="16" t="str">
        <f>IF($B1668="","",IFERROR(INDEX(Services!$C$2:$C$120,MATCH($B1668,Services!$D$2:$D$120,0)),""))</f>
        <v/>
      </c>
      <c r="F1668" s="19"/>
      <c r="G1668" s="9" t="str">
        <f t="shared" si="26"/>
        <v/>
      </c>
      <c r="H1668" s="15" t="str">
        <f>IF($B1668="","",IFERROR(INDEX(Services!$A$2:$A$120,MATCH($B1668,Services!$D$2:$D$120,0)),""))</f>
        <v/>
      </c>
      <c r="I1668" s="19"/>
      <c r="J1668" s="15" t="str">
        <f>IF($B1668="","",IFERROR(INDEX(Services!$E$2:$E$120,MATCH($B1668,Services!$D$2:$D$120,0)),""))</f>
        <v/>
      </c>
    </row>
    <row r="1669" spans="1:10" x14ac:dyDescent="0.3">
      <c r="A1669" s="18"/>
      <c r="B1669" s="6"/>
      <c r="C1669" s="6"/>
      <c r="D1669" s="6"/>
      <c r="E1669" s="16" t="str">
        <f>IF($B1669="","",IFERROR(INDEX(Services!$C$2:$C$120,MATCH($B1669,Services!$D$2:$D$120,0)),""))</f>
        <v/>
      </c>
      <c r="F1669" s="19"/>
      <c r="G1669" s="9" t="str">
        <f t="shared" si="26"/>
        <v/>
      </c>
      <c r="H1669" s="15" t="str">
        <f>IF($B1669="","",IFERROR(INDEX(Services!$A$2:$A$120,MATCH($B1669,Services!$D$2:$D$120,0)),""))</f>
        <v/>
      </c>
      <c r="I1669" s="19"/>
      <c r="J1669" s="15" t="str">
        <f>IF($B1669="","",IFERROR(INDEX(Services!$E$2:$E$120,MATCH($B1669,Services!$D$2:$D$120,0)),""))</f>
        <v/>
      </c>
    </row>
    <row r="1670" spans="1:10" x14ac:dyDescent="0.3">
      <c r="A1670" s="18"/>
      <c r="B1670" s="6"/>
      <c r="C1670" s="6"/>
      <c r="D1670" s="6"/>
      <c r="E1670" s="16" t="str">
        <f>IF($B1670="","",IFERROR(INDEX(Services!$C$2:$C$120,MATCH($B1670,Services!$D$2:$D$120,0)),""))</f>
        <v/>
      </c>
      <c r="F1670" s="19"/>
      <c r="G1670" s="9" t="str">
        <f t="shared" si="26"/>
        <v/>
      </c>
      <c r="H1670" s="15" t="str">
        <f>IF($B1670="","",IFERROR(INDEX(Services!$A$2:$A$120,MATCH($B1670,Services!$D$2:$D$120,0)),""))</f>
        <v/>
      </c>
      <c r="I1670" s="19"/>
      <c r="J1670" s="15" t="str">
        <f>IF($B1670="","",IFERROR(INDEX(Services!$E$2:$E$120,MATCH($B1670,Services!$D$2:$D$120,0)),""))</f>
        <v/>
      </c>
    </row>
    <row r="1671" spans="1:10" x14ac:dyDescent="0.3">
      <c r="A1671" s="18"/>
      <c r="B1671" s="6"/>
      <c r="C1671" s="6"/>
      <c r="D1671" s="6"/>
      <c r="E1671" s="16" t="str">
        <f>IF($B1671="","",IFERROR(INDEX(Services!$C$2:$C$120,MATCH($B1671,Services!$D$2:$D$120,0)),""))</f>
        <v/>
      </c>
      <c r="F1671" s="19"/>
      <c r="G1671" s="9" t="str">
        <f t="shared" si="26"/>
        <v/>
      </c>
      <c r="H1671" s="15" t="str">
        <f>IF($B1671="","",IFERROR(INDEX(Services!$A$2:$A$120,MATCH($B1671,Services!$D$2:$D$120,0)),""))</f>
        <v/>
      </c>
      <c r="I1671" s="19"/>
      <c r="J1671" s="15" t="str">
        <f>IF($B1671="","",IFERROR(INDEX(Services!$E$2:$E$120,MATCH($B1671,Services!$D$2:$D$120,0)),""))</f>
        <v/>
      </c>
    </row>
    <row r="1672" spans="1:10" x14ac:dyDescent="0.3">
      <c r="A1672" s="18"/>
      <c r="B1672" s="6"/>
      <c r="C1672" s="6"/>
      <c r="D1672" s="6"/>
      <c r="E1672" s="16" t="str">
        <f>IF($B1672="","",IFERROR(INDEX(Services!$C$2:$C$120,MATCH($B1672,Services!$D$2:$D$120,0)),""))</f>
        <v/>
      </c>
      <c r="F1672" s="19"/>
      <c r="G1672" s="9" t="str">
        <f t="shared" si="26"/>
        <v/>
      </c>
      <c r="H1672" s="15" t="str">
        <f>IF($B1672="","",IFERROR(INDEX(Services!$A$2:$A$120,MATCH($B1672,Services!$D$2:$D$120,0)),""))</f>
        <v/>
      </c>
      <c r="I1672" s="19"/>
      <c r="J1672" s="15" t="str">
        <f>IF($B1672="","",IFERROR(INDEX(Services!$E$2:$E$120,MATCH($B1672,Services!$D$2:$D$120,0)),""))</f>
        <v/>
      </c>
    </row>
    <row r="1673" spans="1:10" x14ac:dyDescent="0.3">
      <c r="A1673" s="18"/>
      <c r="B1673" s="6"/>
      <c r="C1673" s="6"/>
      <c r="D1673" s="6"/>
      <c r="E1673" s="16" t="str">
        <f>IF($B1673="","",IFERROR(INDEX(Services!$C$2:$C$120,MATCH($B1673,Services!$D$2:$D$120,0)),""))</f>
        <v/>
      </c>
      <c r="F1673" s="19"/>
      <c r="G1673" s="9" t="str">
        <f t="shared" si="26"/>
        <v/>
      </c>
      <c r="H1673" s="15" t="str">
        <f>IF($B1673="","",IFERROR(INDEX(Services!$A$2:$A$120,MATCH($B1673,Services!$D$2:$D$120,0)),""))</f>
        <v/>
      </c>
      <c r="I1673" s="19"/>
      <c r="J1673" s="15" t="str">
        <f>IF($B1673="","",IFERROR(INDEX(Services!$E$2:$E$120,MATCH($B1673,Services!$D$2:$D$120,0)),""))</f>
        <v/>
      </c>
    </row>
    <row r="1674" spans="1:10" x14ac:dyDescent="0.3">
      <c r="A1674" s="18"/>
      <c r="B1674" s="6"/>
      <c r="C1674" s="6"/>
      <c r="D1674" s="6"/>
      <c r="E1674" s="16" t="str">
        <f>IF($B1674="","",IFERROR(INDEX(Services!$C$2:$C$120,MATCH($B1674,Services!$D$2:$D$120,0)),""))</f>
        <v/>
      </c>
      <c r="F1674" s="19"/>
      <c r="G1674" s="9" t="str">
        <f t="shared" si="26"/>
        <v/>
      </c>
      <c r="H1674" s="15" t="str">
        <f>IF($B1674="","",IFERROR(INDEX(Services!$A$2:$A$120,MATCH($B1674,Services!$D$2:$D$120,0)),""))</f>
        <v/>
      </c>
      <c r="I1674" s="19"/>
      <c r="J1674" s="15" t="str">
        <f>IF($B1674="","",IFERROR(INDEX(Services!$E$2:$E$120,MATCH($B1674,Services!$D$2:$D$120,0)),""))</f>
        <v/>
      </c>
    </row>
    <row r="1675" spans="1:10" x14ac:dyDescent="0.3">
      <c r="A1675" s="18"/>
      <c r="B1675" s="6"/>
      <c r="C1675" s="6"/>
      <c r="D1675" s="6"/>
      <c r="E1675" s="16" t="str">
        <f>IF($B1675="","",IFERROR(INDEX(Services!$C$2:$C$120,MATCH($B1675,Services!$D$2:$D$120,0)),""))</f>
        <v/>
      </c>
      <c r="F1675" s="19"/>
      <c r="G1675" s="9" t="str">
        <f t="shared" si="26"/>
        <v/>
      </c>
      <c r="H1675" s="15" t="str">
        <f>IF($B1675="","",IFERROR(INDEX(Services!$A$2:$A$120,MATCH($B1675,Services!$D$2:$D$120,0)),""))</f>
        <v/>
      </c>
      <c r="I1675" s="19"/>
      <c r="J1675" s="15" t="str">
        <f>IF($B1675="","",IFERROR(INDEX(Services!$E$2:$E$120,MATCH($B1675,Services!$D$2:$D$120,0)),""))</f>
        <v/>
      </c>
    </row>
    <row r="1676" spans="1:10" x14ac:dyDescent="0.3">
      <c r="A1676" s="18"/>
      <c r="B1676" s="6"/>
      <c r="C1676" s="6"/>
      <c r="D1676" s="6"/>
      <c r="E1676" s="16" t="str">
        <f>IF($B1676="","",IFERROR(INDEX(Services!$C$2:$C$120,MATCH($B1676,Services!$D$2:$D$120,0)),""))</f>
        <v/>
      </c>
      <c r="F1676" s="19"/>
      <c r="G1676" s="9" t="str">
        <f t="shared" si="26"/>
        <v/>
      </c>
      <c r="H1676" s="15" t="str">
        <f>IF($B1676="","",IFERROR(INDEX(Services!$A$2:$A$120,MATCH($B1676,Services!$D$2:$D$120,0)),""))</f>
        <v/>
      </c>
      <c r="I1676" s="19"/>
      <c r="J1676" s="15" t="str">
        <f>IF($B1676="","",IFERROR(INDEX(Services!$E$2:$E$120,MATCH($B1676,Services!$D$2:$D$120,0)),""))</f>
        <v/>
      </c>
    </row>
    <row r="1677" spans="1:10" x14ac:dyDescent="0.3">
      <c r="A1677" s="18"/>
      <c r="B1677" s="6"/>
      <c r="C1677" s="6"/>
      <c r="D1677" s="6"/>
      <c r="E1677" s="16" t="str">
        <f>IF($B1677="","",IFERROR(INDEX(Services!$C$2:$C$120,MATCH($B1677,Services!$D$2:$D$120,0)),""))</f>
        <v/>
      </c>
      <c r="F1677" s="19"/>
      <c r="G1677" s="9" t="str">
        <f t="shared" si="26"/>
        <v/>
      </c>
      <c r="H1677" s="15" t="str">
        <f>IF($B1677="","",IFERROR(INDEX(Services!$A$2:$A$120,MATCH($B1677,Services!$D$2:$D$120,0)),""))</f>
        <v/>
      </c>
      <c r="I1677" s="19"/>
      <c r="J1677" s="15" t="str">
        <f>IF($B1677="","",IFERROR(INDEX(Services!$E$2:$E$120,MATCH($B1677,Services!$D$2:$D$120,0)),""))</f>
        <v/>
      </c>
    </row>
    <row r="1678" spans="1:10" x14ac:dyDescent="0.3">
      <c r="A1678" s="18"/>
      <c r="B1678" s="6"/>
      <c r="C1678" s="6"/>
      <c r="D1678" s="6"/>
      <c r="E1678" s="16" t="str">
        <f>IF($B1678="","",IFERROR(INDEX(Services!$C$2:$C$120,MATCH($B1678,Services!$D$2:$D$120,0)),""))</f>
        <v/>
      </c>
      <c r="F1678" s="19"/>
      <c r="G1678" s="9" t="str">
        <f t="shared" si="26"/>
        <v/>
      </c>
      <c r="H1678" s="15" t="str">
        <f>IF($B1678="","",IFERROR(INDEX(Services!$A$2:$A$120,MATCH($B1678,Services!$D$2:$D$120,0)),""))</f>
        <v/>
      </c>
      <c r="I1678" s="19"/>
      <c r="J1678" s="15" t="str">
        <f>IF($B1678="","",IFERROR(INDEX(Services!$E$2:$E$120,MATCH($B1678,Services!$D$2:$D$120,0)),""))</f>
        <v/>
      </c>
    </row>
    <row r="1679" spans="1:10" x14ac:dyDescent="0.3">
      <c r="A1679" s="18"/>
      <c r="B1679" s="6"/>
      <c r="C1679" s="6"/>
      <c r="D1679" s="6"/>
      <c r="E1679" s="16" t="str">
        <f>IF($B1679="","",IFERROR(INDEX(Services!$C$2:$C$120,MATCH($B1679,Services!$D$2:$D$120,0)),""))</f>
        <v/>
      </c>
      <c r="F1679" s="19"/>
      <c r="G1679" s="9" t="str">
        <f t="shared" si="26"/>
        <v/>
      </c>
      <c r="H1679" s="15" t="str">
        <f>IF($B1679="","",IFERROR(INDEX(Services!$A$2:$A$120,MATCH($B1679,Services!$D$2:$D$120,0)),""))</f>
        <v/>
      </c>
      <c r="I1679" s="19"/>
      <c r="J1679" s="15" t="str">
        <f>IF($B1679="","",IFERROR(INDEX(Services!$E$2:$E$120,MATCH($B1679,Services!$D$2:$D$120,0)),""))</f>
        <v/>
      </c>
    </row>
    <row r="1680" spans="1:10" x14ac:dyDescent="0.3">
      <c r="A1680" s="18"/>
      <c r="B1680" s="6"/>
      <c r="C1680" s="6"/>
      <c r="D1680" s="6"/>
      <c r="E1680" s="16" t="str">
        <f>IF($B1680="","",IFERROR(INDEX(Services!$C$2:$C$120,MATCH($B1680,Services!$D$2:$D$120,0)),""))</f>
        <v/>
      </c>
      <c r="F1680" s="19"/>
      <c r="G1680" s="9" t="str">
        <f t="shared" si="26"/>
        <v/>
      </c>
      <c r="H1680" s="15" t="str">
        <f>IF($B1680="","",IFERROR(INDEX(Services!$A$2:$A$120,MATCH($B1680,Services!$D$2:$D$120,0)),""))</f>
        <v/>
      </c>
      <c r="I1680" s="19"/>
      <c r="J1680" s="15" t="str">
        <f>IF($B1680="","",IFERROR(INDEX(Services!$E$2:$E$120,MATCH($B1680,Services!$D$2:$D$120,0)),""))</f>
        <v/>
      </c>
    </row>
    <row r="1681" spans="1:10" x14ac:dyDescent="0.3">
      <c r="A1681" s="18"/>
      <c r="B1681" s="6"/>
      <c r="C1681" s="6"/>
      <c r="D1681" s="6"/>
      <c r="E1681" s="16" t="str">
        <f>IF($B1681="","",IFERROR(INDEX(Services!$C$2:$C$120,MATCH($B1681,Services!$D$2:$D$120,0)),""))</f>
        <v/>
      </c>
      <c r="F1681" s="19"/>
      <c r="G1681" s="9" t="str">
        <f t="shared" si="26"/>
        <v/>
      </c>
      <c r="H1681" s="15" t="str">
        <f>IF($B1681="","",IFERROR(INDEX(Services!$A$2:$A$120,MATCH($B1681,Services!$D$2:$D$120,0)),""))</f>
        <v/>
      </c>
      <c r="I1681" s="19"/>
      <c r="J1681" s="15" t="str">
        <f>IF($B1681="","",IFERROR(INDEX(Services!$E$2:$E$120,MATCH($B1681,Services!$D$2:$D$120,0)),""))</f>
        <v/>
      </c>
    </row>
    <row r="1682" spans="1:10" x14ac:dyDescent="0.3">
      <c r="A1682" s="18"/>
      <c r="B1682" s="6"/>
      <c r="C1682" s="6"/>
      <c r="D1682" s="6"/>
      <c r="E1682" s="16" t="str">
        <f>IF($B1682="","",IFERROR(INDEX(Services!$C$2:$C$120,MATCH($B1682,Services!$D$2:$D$120,0)),""))</f>
        <v/>
      </c>
      <c r="F1682" s="19"/>
      <c r="G1682" s="9" t="str">
        <f t="shared" si="26"/>
        <v/>
      </c>
      <c r="H1682" s="15" t="str">
        <f>IF($B1682="","",IFERROR(INDEX(Services!$A$2:$A$120,MATCH($B1682,Services!$D$2:$D$120,0)),""))</f>
        <v/>
      </c>
      <c r="I1682" s="19"/>
      <c r="J1682" s="15" t="str">
        <f>IF($B1682="","",IFERROR(INDEX(Services!$E$2:$E$120,MATCH($B1682,Services!$D$2:$D$120,0)),""))</f>
        <v/>
      </c>
    </row>
    <row r="1683" spans="1:10" x14ac:dyDescent="0.3">
      <c r="A1683" s="18"/>
      <c r="B1683" s="6"/>
      <c r="C1683" s="6"/>
      <c r="D1683" s="6"/>
      <c r="E1683" s="16" t="str">
        <f>IF($B1683="","",IFERROR(INDEX(Services!$C$2:$C$120,MATCH($B1683,Services!$D$2:$D$120,0)),""))</f>
        <v/>
      </c>
      <c r="F1683" s="19"/>
      <c r="G1683" s="9" t="str">
        <f t="shared" si="26"/>
        <v/>
      </c>
      <c r="H1683" s="15" t="str">
        <f>IF($B1683="","",IFERROR(INDEX(Services!$A$2:$A$120,MATCH($B1683,Services!$D$2:$D$120,0)),""))</f>
        <v/>
      </c>
      <c r="I1683" s="19"/>
      <c r="J1683" s="15" t="str">
        <f>IF($B1683="","",IFERROR(INDEX(Services!$E$2:$E$120,MATCH($B1683,Services!$D$2:$D$120,0)),""))</f>
        <v/>
      </c>
    </row>
    <row r="1684" spans="1:10" x14ac:dyDescent="0.3">
      <c r="A1684" s="18"/>
      <c r="B1684" s="6"/>
      <c r="C1684" s="6"/>
      <c r="D1684" s="6"/>
      <c r="E1684" s="16" t="str">
        <f>IF($B1684="","",IFERROR(INDEX(Services!$C$2:$C$120,MATCH($B1684,Services!$D$2:$D$120,0)),""))</f>
        <v/>
      </c>
      <c r="F1684" s="19"/>
      <c r="G1684" s="9" t="str">
        <f t="shared" si="26"/>
        <v/>
      </c>
      <c r="H1684" s="15" t="str">
        <f>IF($B1684="","",IFERROR(INDEX(Services!$A$2:$A$120,MATCH($B1684,Services!$D$2:$D$120,0)),""))</f>
        <v/>
      </c>
      <c r="I1684" s="19"/>
      <c r="J1684" s="15" t="str">
        <f>IF($B1684="","",IFERROR(INDEX(Services!$E$2:$E$120,MATCH($B1684,Services!$D$2:$D$120,0)),""))</f>
        <v/>
      </c>
    </row>
    <row r="1685" spans="1:10" x14ac:dyDescent="0.3">
      <c r="A1685" s="18"/>
      <c r="B1685" s="6"/>
      <c r="C1685" s="6"/>
      <c r="D1685" s="6"/>
      <c r="E1685" s="16" t="str">
        <f>IF($B1685="","",IFERROR(INDEX(Services!$C$2:$C$120,MATCH($B1685,Services!$D$2:$D$120,0)),""))</f>
        <v/>
      </c>
      <c r="F1685" s="19"/>
      <c r="G1685" s="9" t="str">
        <f t="shared" si="26"/>
        <v/>
      </c>
      <c r="H1685" s="15" t="str">
        <f>IF($B1685="","",IFERROR(INDEX(Services!$A$2:$A$120,MATCH($B1685,Services!$D$2:$D$120,0)),""))</f>
        <v/>
      </c>
      <c r="I1685" s="19"/>
      <c r="J1685" s="15" t="str">
        <f>IF($B1685="","",IFERROR(INDEX(Services!$E$2:$E$120,MATCH($B1685,Services!$D$2:$D$120,0)),""))</f>
        <v/>
      </c>
    </row>
    <row r="1686" spans="1:10" x14ac:dyDescent="0.3">
      <c r="A1686" s="18"/>
      <c r="B1686" s="6"/>
      <c r="C1686" s="6"/>
      <c r="D1686" s="6"/>
      <c r="E1686" s="16" t="str">
        <f>IF($B1686="","",IFERROR(INDEX(Services!$C$2:$C$120,MATCH($B1686,Services!$D$2:$D$120,0)),""))</f>
        <v/>
      </c>
      <c r="F1686" s="19"/>
      <c r="G1686" s="9" t="str">
        <f t="shared" si="26"/>
        <v/>
      </c>
      <c r="H1686" s="15" t="str">
        <f>IF($B1686="","",IFERROR(INDEX(Services!$A$2:$A$120,MATCH($B1686,Services!$D$2:$D$120,0)),""))</f>
        <v/>
      </c>
      <c r="I1686" s="19"/>
      <c r="J1686" s="15" t="str">
        <f>IF($B1686="","",IFERROR(INDEX(Services!$E$2:$E$120,MATCH($B1686,Services!$D$2:$D$120,0)),""))</f>
        <v/>
      </c>
    </row>
    <row r="1687" spans="1:10" x14ac:dyDescent="0.3">
      <c r="A1687" s="18"/>
      <c r="B1687" s="6"/>
      <c r="C1687" s="6"/>
      <c r="D1687" s="6"/>
      <c r="E1687" s="16" t="str">
        <f>IF($B1687="","",IFERROR(INDEX(Services!$C$2:$C$120,MATCH($B1687,Services!$D$2:$D$120,0)),""))</f>
        <v/>
      </c>
      <c r="F1687" s="19"/>
      <c r="G1687" s="9" t="str">
        <f t="shared" si="26"/>
        <v/>
      </c>
      <c r="H1687" s="15" t="str">
        <f>IF($B1687="","",IFERROR(INDEX(Services!$A$2:$A$120,MATCH($B1687,Services!$D$2:$D$120,0)),""))</f>
        <v/>
      </c>
      <c r="I1687" s="19"/>
      <c r="J1687" s="15" t="str">
        <f>IF($B1687="","",IFERROR(INDEX(Services!$E$2:$E$120,MATCH($B1687,Services!$D$2:$D$120,0)),""))</f>
        <v/>
      </c>
    </row>
    <row r="1688" spans="1:10" x14ac:dyDescent="0.3">
      <c r="A1688" s="18"/>
      <c r="B1688" s="6"/>
      <c r="C1688" s="6"/>
      <c r="D1688" s="6"/>
      <c r="E1688" s="16" t="str">
        <f>IF($B1688="","",IFERROR(INDEX(Services!$C$2:$C$120,MATCH($B1688,Services!$D$2:$D$120,0)),""))</f>
        <v/>
      </c>
      <c r="F1688" s="19"/>
      <c r="G1688" s="9" t="str">
        <f t="shared" si="26"/>
        <v/>
      </c>
      <c r="H1688" s="15" t="str">
        <f>IF($B1688="","",IFERROR(INDEX(Services!$A$2:$A$120,MATCH($B1688,Services!$D$2:$D$120,0)),""))</f>
        <v/>
      </c>
      <c r="I1688" s="19"/>
      <c r="J1688" s="15" t="str">
        <f>IF($B1688="","",IFERROR(INDEX(Services!$E$2:$E$120,MATCH($B1688,Services!$D$2:$D$120,0)),""))</f>
        <v/>
      </c>
    </row>
    <row r="1689" spans="1:10" x14ac:dyDescent="0.3">
      <c r="A1689" s="18"/>
      <c r="B1689" s="6"/>
      <c r="C1689" s="6"/>
      <c r="D1689" s="6"/>
      <c r="E1689" s="16" t="str">
        <f>IF($B1689="","",IFERROR(INDEX(Services!$C$2:$C$120,MATCH($B1689,Services!$D$2:$D$120,0)),""))</f>
        <v/>
      </c>
      <c r="F1689" s="19"/>
      <c r="G1689" s="9" t="str">
        <f t="shared" si="26"/>
        <v/>
      </c>
      <c r="H1689" s="15" t="str">
        <f>IF($B1689="","",IFERROR(INDEX(Services!$A$2:$A$120,MATCH($B1689,Services!$D$2:$D$120,0)),""))</f>
        <v/>
      </c>
      <c r="I1689" s="19"/>
      <c r="J1689" s="15" t="str">
        <f>IF($B1689="","",IFERROR(INDEX(Services!$E$2:$E$120,MATCH($B1689,Services!$D$2:$D$120,0)),""))</f>
        <v/>
      </c>
    </row>
    <row r="1690" spans="1:10" x14ac:dyDescent="0.3">
      <c r="A1690" s="18"/>
      <c r="B1690" s="6"/>
      <c r="C1690" s="6"/>
      <c r="D1690" s="6"/>
      <c r="E1690" s="16" t="str">
        <f>IF($B1690="","",IFERROR(INDEX(Services!$C$2:$C$120,MATCH($B1690,Services!$D$2:$D$120,0)),""))</f>
        <v/>
      </c>
      <c r="F1690" s="19"/>
      <c r="G1690" s="9" t="str">
        <f t="shared" si="26"/>
        <v/>
      </c>
      <c r="H1690" s="15" t="str">
        <f>IF($B1690="","",IFERROR(INDEX(Services!$A$2:$A$120,MATCH($B1690,Services!$D$2:$D$120,0)),""))</f>
        <v/>
      </c>
      <c r="I1690" s="19"/>
      <c r="J1690" s="15" t="str">
        <f>IF($B1690="","",IFERROR(INDEX(Services!$E$2:$E$120,MATCH($B1690,Services!$D$2:$D$120,0)),""))</f>
        <v/>
      </c>
    </row>
    <row r="1691" spans="1:10" x14ac:dyDescent="0.3">
      <c r="A1691" s="18"/>
      <c r="B1691" s="6"/>
      <c r="C1691" s="6"/>
      <c r="D1691" s="6"/>
      <c r="E1691" s="16" t="str">
        <f>IF($B1691="","",IFERROR(INDEX(Services!$C$2:$C$120,MATCH($B1691,Services!$D$2:$D$120,0)),""))</f>
        <v/>
      </c>
      <c r="F1691" s="19"/>
      <c r="G1691" s="9" t="str">
        <f t="shared" si="26"/>
        <v/>
      </c>
      <c r="H1691" s="15" t="str">
        <f>IF($B1691="","",IFERROR(INDEX(Services!$A$2:$A$120,MATCH($B1691,Services!$D$2:$D$120,0)),""))</f>
        <v/>
      </c>
      <c r="I1691" s="19"/>
      <c r="J1691" s="15" t="str">
        <f>IF($B1691="","",IFERROR(INDEX(Services!$E$2:$E$120,MATCH($B1691,Services!$D$2:$D$120,0)),""))</f>
        <v/>
      </c>
    </row>
    <row r="1692" spans="1:10" x14ac:dyDescent="0.3">
      <c r="A1692" s="18"/>
      <c r="B1692" s="6"/>
      <c r="C1692" s="6"/>
      <c r="D1692" s="6"/>
      <c r="E1692" s="16" t="str">
        <f>IF($B1692="","",IFERROR(INDEX(Services!$C$2:$C$120,MATCH($B1692,Services!$D$2:$D$120,0)),""))</f>
        <v/>
      </c>
      <c r="F1692" s="19"/>
      <c r="G1692" s="9" t="str">
        <f t="shared" si="26"/>
        <v/>
      </c>
      <c r="H1692" s="15" t="str">
        <f>IF($B1692="","",IFERROR(INDEX(Services!$A$2:$A$120,MATCH($B1692,Services!$D$2:$D$120,0)),""))</f>
        <v/>
      </c>
      <c r="I1692" s="19"/>
      <c r="J1692" s="15" t="str">
        <f>IF($B1692="","",IFERROR(INDEX(Services!$E$2:$E$120,MATCH($B1692,Services!$D$2:$D$120,0)),""))</f>
        <v/>
      </c>
    </row>
    <row r="1693" spans="1:10" x14ac:dyDescent="0.3">
      <c r="A1693" s="18"/>
      <c r="B1693" s="6"/>
      <c r="C1693" s="6"/>
      <c r="D1693" s="6"/>
      <c r="E1693" s="16" t="str">
        <f>IF($B1693="","",IFERROR(INDEX(Services!$C$2:$C$120,MATCH($B1693,Services!$D$2:$D$120,0)),""))</f>
        <v/>
      </c>
      <c r="F1693" s="19"/>
      <c r="G1693" s="9" t="str">
        <f t="shared" si="26"/>
        <v/>
      </c>
      <c r="H1693" s="15" t="str">
        <f>IF($B1693="","",IFERROR(INDEX(Services!$A$2:$A$120,MATCH($B1693,Services!$D$2:$D$120,0)),""))</f>
        <v/>
      </c>
      <c r="I1693" s="19"/>
      <c r="J1693" s="15" t="str">
        <f>IF($B1693="","",IFERROR(INDEX(Services!$E$2:$E$120,MATCH($B1693,Services!$D$2:$D$120,0)),""))</f>
        <v/>
      </c>
    </row>
    <row r="1694" spans="1:10" x14ac:dyDescent="0.3">
      <c r="A1694" s="18"/>
      <c r="B1694" s="6"/>
      <c r="C1694" s="6"/>
      <c r="D1694" s="6"/>
      <c r="E1694" s="16" t="str">
        <f>IF($B1694="","",IFERROR(INDEX(Services!$C$2:$C$120,MATCH($B1694,Services!$D$2:$D$120,0)),""))</f>
        <v/>
      </c>
      <c r="F1694" s="19"/>
      <c r="G1694" s="9" t="str">
        <f t="shared" si="26"/>
        <v/>
      </c>
      <c r="H1694" s="15" t="str">
        <f>IF($B1694="","",IFERROR(INDEX(Services!$A$2:$A$120,MATCH($B1694,Services!$D$2:$D$120,0)),""))</f>
        <v/>
      </c>
      <c r="I1694" s="19"/>
      <c r="J1694" s="15" t="str">
        <f>IF($B1694="","",IFERROR(INDEX(Services!$E$2:$E$120,MATCH($B1694,Services!$D$2:$D$120,0)),""))</f>
        <v/>
      </c>
    </row>
    <row r="1695" spans="1:10" x14ac:dyDescent="0.3">
      <c r="A1695" s="18"/>
      <c r="B1695" s="6"/>
      <c r="C1695" s="6"/>
      <c r="D1695" s="6"/>
      <c r="E1695" s="16" t="str">
        <f>IF($B1695="","",IFERROR(INDEX(Services!$C$2:$C$120,MATCH($B1695,Services!$D$2:$D$120,0)),""))</f>
        <v/>
      </c>
      <c r="F1695" s="19"/>
      <c r="G1695" s="9" t="str">
        <f t="shared" si="26"/>
        <v/>
      </c>
      <c r="H1695" s="15" t="str">
        <f>IF($B1695="","",IFERROR(INDEX(Services!$A$2:$A$120,MATCH($B1695,Services!$D$2:$D$120,0)),""))</f>
        <v/>
      </c>
      <c r="I1695" s="19"/>
      <c r="J1695" s="15" t="str">
        <f>IF($B1695="","",IFERROR(INDEX(Services!$E$2:$E$120,MATCH($B1695,Services!$D$2:$D$120,0)),""))</f>
        <v/>
      </c>
    </row>
    <row r="1696" spans="1:10" x14ac:dyDescent="0.3">
      <c r="A1696" s="18"/>
      <c r="B1696" s="6"/>
      <c r="C1696" s="6"/>
      <c r="D1696" s="6"/>
      <c r="E1696" s="16" t="str">
        <f>IF($B1696="","",IFERROR(INDEX(Services!$C$2:$C$120,MATCH($B1696,Services!$D$2:$D$120,0)),""))</f>
        <v/>
      </c>
      <c r="F1696" s="19"/>
      <c r="G1696" s="9" t="str">
        <f t="shared" si="26"/>
        <v/>
      </c>
      <c r="H1696" s="15" t="str">
        <f>IF($B1696="","",IFERROR(INDEX(Services!$A$2:$A$120,MATCH($B1696,Services!$D$2:$D$120,0)),""))</f>
        <v/>
      </c>
      <c r="I1696" s="19"/>
      <c r="J1696" s="15" t="str">
        <f>IF($B1696="","",IFERROR(INDEX(Services!$E$2:$E$120,MATCH($B1696,Services!$D$2:$D$120,0)),""))</f>
        <v/>
      </c>
    </row>
    <row r="1697" spans="1:10" x14ac:dyDescent="0.3">
      <c r="A1697" s="18"/>
      <c r="B1697" s="6"/>
      <c r="C1697" s="6"/>
      <c r="D1697" s="6"/>
      <c r="E1697" s="16" t="str">
        <f>IF($B1697="","",IFERROR(INDEX(Services!$C$2:$C$120,MATCH($B1697,Services!$D$2:$D$120,0)),""))</f>
        <v/>
      </c>
      <c r="F1697" s="19"/>
      <c r="G1697" s="9" t="str">
        <f t="shared" si="26"/>
        <v/>
      </c>
      <c r="H1697" s="15" t="str">
        <f>IF($B1697="","",IFERROR(INDEX(Services!$A$2:$A$120,MATCH($B1697,Services!$D$2:$D$120,0)),""))</f>
        <v/>
      </c>
      <c r="I1697" s="19"/>
      <c r="J1697" s="15" t="str">
        <f>IF($B1697="","",IFERROR(INDEX(Services!$E$2:$E$120,MATCH($B1697,Services!$D$2:$D$120,0)),""))</f>
        <v/>
      </c>
    </row>
    <row r="1698" spans="1:10" x14ac:dyDescent="0.3">
      <c r="A1698" s="18"/>
      <c r="B1698" s="6"/>
      <c r="C1698" s="6"/>
      <c r="D1698" s="6"/>
      <c r="E1698" s="16" t="str">
        <f>IF($B1698="","",IFERROR(INDEX(Services!$C$2:$C$120,MATCH($B1698,Services!$D$2:$D$120,0)),""))</f>
        <v/>
      </c>
      <c r="F1698" s="19"/>
      <c r="G1698" s="9" t="str">
        <f t="shared" si="26"/>
        <v/>
      </c>
      <c r="H1698" s="15" t="str">
        <f>IF($B1698="","",IFERROR(INDEX(Services!$A$2:$A$120,MATCH($B1698,Services!$D$2:$D$120,0)),""))</f>
        <v/>
      </c>
      <c r="I1698" s="19"/>
      <c r="J1698" s="15" t="str">
        <f>IF($B1698="","",IFERROR(INDEX(Services!$E$2:$E$120,MATCH($B1698,Services!$D$2:$D$120,0)),""))</f>
        <v/>
      </c>
    </row>
    <row r="1699" spans="1:10" x14ac:dyDescent="0.3">
      <c r="A1699" s="18"/>
      <c r="B1699" s="6"/>
      <c r="C1699" s="6"/>
      <c r="D1699" s="6"/>
      <c r="E1699" s="16" t="str">
        <f>IF($B1699="","",IFERROR(INDEX(Services!$C$2:$C$120,MATCH($B1699,Services!$D$2:$D$120,0)),""))</f>
        <v/>
      </c>
      <c r="F1699" s="19"/>
      <c r="G1699" s="9" t="str">
        <f t="shared" si="26"/>
        <v/>
      </c>
      <c r="H1699" s="15" t="str">
        <f>IF($B1699="","",IFERROR(INDEX(Services!$A$2:$A$120,MATCH($B1699,Services!$D$2:$D$120,0)),""))</f>
        <v/>
      </c>
      <c r="I1699" s="19"/>
      <c r="J1699" s="15" t="str">
        <f>IF($B1699="","",IFERROR(INDEX(Services!$E$2:$E$120,MATCH($B1699,Services!$D$2:$D$120,0)),""))</f>
        <v/>
      </c>
    </row>
    <row r="1700" spans="1:10" x14ac:dyDescent="0.3">
      <c r="A1700" s="18"/>
      <c r="B1700" s="6"/>
      <c r="C1700" s="6"/>
      <c r="D1700" s="6"/>
      <c r="E1700" s="16" t="str">
        <f>IF($B1700="","",IFERROR(INDEX(Services!$C$2:$C$120,MATCH($B1700,Services!$D$2:$D$120,0)),""))</f>
        <v/>
      </c>
      <c r="F1700" s="19"/>
      <c r="G1700" s="9" t="str">
        <f t="shared" si="26"/>
        <v/>
      </c>
      <c r="H1700" s="15" t="str">
        <f>IF($B1700="","",IFERROR(INDEX(Services!$A$2:$A$120,MATCH($B1700,Services!$D$2:$D$120,0)),""))</f>
        <v/>
      </c>
      <c r="I1700" s="19"/>
      <c r="J1700" s="15" t="str">
        <f>IF($B1700="","",IFERROR(INDEX(Services!$E$2:$E$120,MATCH($B1700,Services!$D$2:$D$120,0)),""))</f>
        <v/>
      </c>
    </row>
    <row r="1701" spans="1:10" x14ac:dyDescent="0.3">
      <c r="A1701" s="18"/>
      <c r="B1701" s="6"/>
      <c r="C1701" s="6"/>
      <c r="D1701" s="6"/>
      <c r="E1701" s="16" t="str">
        <f>IF($B1701="","",IFERROR(INDEX(Services!$C$2:$C$120,MATCH($B1701,Services!$D$2:$D$120,0)),""))</f>
        <v/>
      </c>
      <c r="F1701" s="19"/>
      <c r="G1701" s="9" t="str">
        <f t="shared" si="26"/>
        <v/>
      </c>
      <c r="H1701" s="15" t="str">
        <f>IF($B1701="","",IFERROR(INDEX(Services!$A$2:$A$120,MATCH($B1701,Services!$D$2:$D$120,0)),""))</f>
        <v/>
      </c>
      <c r="I1701" s="19"/>
      <c r="J1701" s="15" t="str">
        <f>IF($B1701="","",IFERROR(INDEX(Services!$E$2:$E$120,MATCH($B1701,Services!$D$2:$D$120,0)),""))</f>
        <v/>
      </c>
    </row>
    <row r="1702" spans="1:10" x14ac:dyDescent="0.3">
      <c r="A1702" s="18"/>
      <c r="B1702" s="6"/>
      <c r="C1702" s="6"/>
      <c r="D1702" s="6"/>
      <c r="E1702" s="16" t="str">
        <f>IF($B1702="","",IFERROR(INDEX(Services!$C$2:$C$120,MATCH($B1702,Services!$D$2:$D$120,0)),""))</f>
        <v/>
      </c>
      <c r="F1702" s="19"/>
      <c r="G1702" s="9" t="str">
        <f t="shared" si="26"/>
        <v/>
      </c>
      <c r="H1702" s="15" t="str">
        <f>IF($B1702="","",IFERROR(INDEX(Services!$A$2:$A$120,MATCH($B1702,Services!$D$2:$D$120,0)),""))</f>
        <v/>
      </c>
      <c r="I1702" s="19"/>
      <c r="J1702" s="15" t="str">
        <f>IF($B1702="","",IFERROR(INDEX(Services!$E$2:$E$120,MATCH($B1702,Services!$D$2:$D$120,0)),""))</f>
        <v/>
      </c>
    </row>
    <row r="1703" spans="1:10" x14ac:dyDescent="0.3">
      <c r="A1703" s="18"/>
      <c r="B1703" s="6"/>
      <c r="C1703" s="6"/>
      <c r="D1703" s="6"/>
      <c r="E1703" s="16" t="str">
        <f>IF($B1703="","",IFERROR(INDEX(Services!$C$2:$C$120,MATCH($B1703,Services!$D$2:$D$120,0)),""))</f>
        <v/>
      </c>
      <c r="F1703" s="19"/>
      <c r="G1703" s="9" t="str">
        <f t="shared" si="26"/>
        <v/>
      </c>
      <c r="H1703" s="15" t="str">
        <f>IF($B1703="","",IFERROR(INDEX(Services!$A$2:$A$120,MATCH($B1703,Services!$D$2:$D$120,0)),""))</f>
        <v/>
      </c>
      <c r="I1703" s="19"/>
      <c r="J1703" s="15" t="str">
        <f>IF($B1703="","",IFERROR(INDEX(Services!$E$2:$E$120,MATCH($B1703,Services!$D$2:$D$120,0)),""))</f>
        <v/>
      </c>
    </row>
    <row r="1704" spans="1:10" x14ac:dyDescent="0.3">
      <c r="A1704" s="18"/>
      <c r="B1704" s="6"/>
      <c r="C1704" s="6"/>
      <c r="D1704" s="6"/>
      <c r="E1704" s="16" t="str">
        <f>IF($B1704="","",IFERROR(INDEX(Services!$C$2:$C$120,MATCH($B1704,Services!$D$2:$D$120,0)),""))</f>
        <v/>
      </c>
      <c r="F1704" s="19"/>
      <c r="G1704" s="9" t="str">
        <f t="shared" si="26"/>
        <v/>
      </c>
      <c r="H1704" s="15" t="str">
        <f>IF($B1704="","",IFERROR(INDEX(Services!$A$2:$A$120,MATCH($B1704,Services!$D$2:$D$120,0)),""))</f>
        <v/>
      </c>
      <c r="I1704" s="19"/>
      <c r="J1704" s="15" t="str">
        <f>IF($B1704="","",IFERROR(INDEX(Services!$E$2:$E$120,MATCH($B1704,Services!$D$2:$D$120,0)),""))</f>
        <v/>
      </c>
    </row>
    <row r="1705" spans="1:10" x14ac:dyDescent="0.3">
      <c r="A1705" s="18"/>
      <c r="B1705" s="6"/>
      <c r="C1705" s="6"/>
      <c r="D1705" s="6"/>
      <c r="E1705" s="16" t="str">
        <f>IF($B1705="","",IFERROR(INDEX(Services!$C$2:$C$120,MATCH($B1705,Services!$D$2:$D$120,0)),""))</f>
        <v/>
      </c>
      <c r="F1705" s="19"/>
      <c r="G1705" s="9" t="str">
        <f t="shared" si="26"/>
        <v/>
      </c>
      <c r="H1705" s="15" t="str">
        <f>IF($B1705="","",IFERROR(INDEX(Services!$A$2:$A$120,MATCH($B1705,Services!$D$2:$D$120,0)),""))</f>
        <v/>
      </c>
      <c r="I1705" s="19"/>
      <c r="J1705" s="15" t="str">
        <f>IF($B1705="","",IFERROR(INDEX(Services!$E$2:$E$120,MATCH($B1705,Services!$D$2:$D$120,0)),""))</f>
        <v/>
      </c>
    </row>
    <row r="1706" spans="1:10" x14ac:dyDescent="0.3">
      <c r="A1706" s="18"/>
      <c r="B1706" s="6"/>
      <c r="C1706" s="6"/>
      <c r="D1706" s="6"/>
      <c r="E1706" s="16" t="str">
        <f>IF($B1706="","",IFERROR(INDEX(Services!$C$2:$C$120,MATCH($B1706,Services!$D$2:$D$120,0)),""))</f>
        <v/>
      </c>
      <c r="F1706" s="19"/>
      <c r="G1706" s="9" t="str">
        <f t="shared" si="26"/>
        <v/>
      </c>
      <c r="H1706" s="15" t="str">
        <f>IF($B1706="","",IFERROR(INDEX(Services!$A$2:$A$120,MATCH($B1706,Services!$D$2:$D$120,0)),""))</f>
        <v/>
      </c>
      <c r="I1706" s="19"/>
      <c r="J1706" s="15" t="str">
        <f>IF($B1706="","",IFERROR(INDEX(Services!$E$2:$E$120,MATCH($B1706,Services!$D$2:$D$120,0)),""))</f>
        <v/>
      </c>
    </row>
    <row r="1707" spans="1:10" x14ac:dyDescent="0.3">
      <c r="A1707" s="18"/>
      <c r="B1707" s="6"/>
      <c r="C1707" s="6"/>
      <c r="D1707" s="6"/>
      <c r="E1707" s="16" t="str">
        <f>IF($B1707="","",IFERROR(INDEX(Services!$C$2:$C$120,MATCH($B1707,Services!$D$2:$D$120,0)),""))</f>
        <v/>
      </c>
      <c r="F1707" s="19"/>
      <c r="G1707" s="9" t="str">
        <f t="shared" si="26"/>
        <v/>
      </c>
      <c r="H1707" s="15" t="str">
        <f>IF($B1707="","",IFERROR(INDEX(Services!$A$2:$A$120,MATCH($B1707,Services!$D$2:$D$120,0)),""))</f>
        <v/>
      </c>
      <c r="I1707" s="19"/>
      <c r="J1707" s="15" t="str">
        <f>IF($B1707="","",IFERROR(INDEX(Services!$E$2:$E$120,MATCH($B1707,Services!$D$2:$D$120,0)),""))</f>
        <v/>
      </c>
    </row>
    <row r="1708" spans="1:10" x14ac:dyDescent="0.3">
      <c r="A1708" s="18"/>
      <c r="B1708" s="6"/>
      <c r="C1708" s="6"/>
      <c r="D1708" s="6"/>
      <c r="E1708" s="16" t="str">
        <f>IF($B1708="","",IFERROR(INDEX(Services!$C$2:$C$120,MATCH($B1708,Services!$D$2:$D$120,0)),""))</f>
        <v/>
      </c>
      <c r="F1708" s="19"/>
      <c r="G1708" s="9" t="str">
        <f t="shared" si="26"/>
        <v/>
      </c>
      <c r="H1708" s="15" t="str">
        <f>IF($B1708="","",IFERROR(INDEX(Services!$A$2:$A$120,MATCH($B1708,Services!$D$2:$D$120,0)),""))</f>
        <v/>
      </c>
      <c r="I1708" s="19"/>
      <c r="J1708" s="15" t="str">
        <f>IF($B1708="","",IFERROR(INDEX(Services!$E$2:$E$120,MATCH($B1708,Services!$D$2:$D$120,0)),""))</f>
        <v/>
      </c>
    </row>
    <row r="1709" spans="1:10" x14ac:dyDescent="0.3">
      <c r="A1709" s="18"/>
      <c r="B1709" s="6"/>
      <c r="C1709" s="6"/>
      <c r="D1709" s="6"/>
      <c r="E1709" s="16" t="str">
        <f>IF($B1709="","",IFERROR(INDEX(Services!$C$2:$C$120,MATCH($B1709,Services!$D$2:$D$120,0)),""))</f>
        <v/>
      </c>
      <c r="F1709" s="19"/>
      <c r="G1709" s="9" t="str">
        <f t="shared" si="26"/>
        <v/>
      </c>
      <c r="H1709" s="15" t="str">
        <f>IF($B1709="","",IFERROR(INDEX(Services!$A$2:$A$120,MATCH($B1709,Services!$D$2:$D$120,0)),""))</f>
        <v/>
      </c>
      <c r="I1709" s="19"/>
      <c r="J1709" s="15" t="str">
        <f>IF($B1709="","",IFERROR(INDEX(Services!$E$2:$E$120,MATCH($B1709,Services!$D$2:$D$120,0)),""))</f>
        <v/>
      </c>
    </row>
    <row r="1710" spans="1:10" x14ac:dyDescent="0.3">
      <c r="A1710" s="18"/>
      <c r="B1710" s="6"/>
      <c r="C1710" s="6"/>
      <c r="D1710" s="6"/>
      <c r="E1710" s="16" t="str">
        <f>IF($B1710="","",IFERROR(INDEX(Services!$C$2:$C$120,MATCH($B1710,Services!$D$2:$D$120,0)),""))</f>
        <v/>
      </c>
      <c r="F1710" s="19"/>
      <c r="G1710" s="9" t="str">
        <f t="shared" si="26"/>
        <v/>
      </c>
      <c r="H1710" s="15" t="str">
        <f>IF($B1710="","",IFERROR(INDEX(Services!$A$2:$A$120,MATCH($B1710,Services!$D$2:$D$120,0)),""))</f>
        <v/>
      </c>
      <c r="I1710" s="19"/>
      <c r="J1710" s="15" t="str">
        <f>IF($B1710="","",IFERROR(INDEX(Services!$E$2:$E$120,MATCH($B1710,Services!$D$2:$D$120,0)),""))</f>
        <v/>
      </c>
    </row>
    <row r="1711" spans="1:10" x14ac:dyDescent="0.3">
      <c r="A1711" s="18"/>
      <c r="B1711" s="6"/>
      <c r="C1711" s="6"/>
      <c r="D1711" s="6"/>
      <c r="E1711" s="16" t="str">
        <f>IF($B1711="","",IFERROR(INDEX(Services!$C$2:$C$120,MATCH($B1711,Services!$D$2:$D$120,0)),""))</f>
        <v/>
      </c>
      <c r="F1711" s="19"/>
      <c r="G1711" s="9" t="str">
        <f t="shared" si="26"/>
        <v/>
      </c>
      <c r="H1711" s="15" t="str">
        <f>IF($B1711="","",IFERROR(INDEX(Services!$A$2:$A$120,MATCH($B1711,Services!$D$2:$D$120,0)),""))</f>
        <v/>
      </c>
      <c r="I1711" s="19"/>
      <c r="J1711" s="15" t="str">
        <f>IF($B1711="","",IFERROR(INDEX(Services!$E$2:$E$120,MATCH($B1711,Services!$D$2:$D$120,0)),""))</f>
        <v/>
      </c>
    </row>
    <row r="1712" spans="1:10" x14ac:dyDescent="0.3">
      <c r="A1712" s="18"/>
      <c r="B1712" s="6"/>
      <c r="C1712" s="6"/>
      <c r="D1712" s="6"/>
      <c r="E1712" s="16" t="str">
        <f>IF($B1712="","",IFERROR(INDEX(Services!$C$2:$C$120,MATCH($B1712,Services!$D$2:$D$120,0)),""))</f>
        <v/>
      </c>
      <c r="F1712" s="19"/>
      <c r="G1712" s="9" t="str">
        <f t="shared" si="26"/>
        <v/>
      </c>
      <c r="H1712" s="15" t="str">
        <f>IF($B1712="","",IFERROR(INDEX(Services!$A$2:$A$120,MATCH($B1712,Services!$D$2:$D$120,0)),""))</f>
        <v/>
      </c>
      <c r="I1712" s="19"/>
      <c r="J1712" s="15" t="str">
        <f>IF($B1712="","",IFERROR(INDEX(Services!$E$2:$E$120,MATCH($B1712,Services!$D$2:$D$120,0)),""))</f>
        <v/>
      </c>
    </row>
    <row r="1713" spans="1:10" x14ac:dyDescent="0.3">
      <c r="A1713" s="18"/>
      <c r="B1713" s="6"/>
      <c r="C1713" s="6"/>
      <c r="D1713" s="6"/>
      <c r="E1713" s="16" t="str">
        <f>IF($B1713="","",IFERROR(INDEX(Services!$C$2:$C$120,MATCH($B1713,Services!$D$2:$D$120,0)),""))</f>
        <v/>
      </c>
      <c r="F1713" s="19"/>
      <c r="G1713" s="9" t="str">
        <f t="shared" si="26"/>
        <v/>
      </c>
      <c r="H1713" s="15" t="str">
        <f>IF($B1713="","",IFERROR(INDEX(Services!$A$2:$A$120,MATCH($B1713,Services!$D$2:$D$120,0)),""))</f>
        <v/>
      </c>
      <c r="I1713" s="19"/>
      <c r="J1713" s="15" t="str">
        <f>IF($B1713="","",IFERROR(INDEX(Services!$E$2:$E$120,MATCH($B1713,Services!$D$2:$D$120,0)),""))</f>
        <v/>
      </c>
    </row>
    <row r="1714" spans="1:10" x14ac:dyDescent="0.3">
      <c r="A1714" s="18"/>
      <c r="B1714" s="6"/>
      <c r="C1714" s="6"/>
      <c r="D1714" s="6"/>
      <c r="E1714" s="16" t="str">
        <f>IF($B1714="","",IFERROR(INDEX(Services!$C$2:$C$120,MATCH($B1714,Services!$D$2:$D$120,0)),""))</f>
        <v/>
      </c>
      <c r="F1714" s="19"/>
      <c r="G1714" s="9" t="str">
        <f t="shared" si="26"/>
        <v/>
      </c>
      <c r="H1714" s="15" t="str">
        <f>IF($B1714="","",IFERROR(INDEX(Services!$A$2:$A$120,MATCH($B1714,Services!$D$2:$D$120,0)),""))</f>
        <v/>
      </c>
      <c r="I1714" s="19"/>
      <c r="J1714" s="15" t="str">
        <f>IF($B1714="","",IFERROR(INDEX(Services!$E$2:$E$120,MATCH($B1714,Services!$D$2:$D$120,0)),""))</f>
        <v/>
      </c>
    </row>
    <row r="1715" spans="1:10" x14ac:dyDescent="0.3">
      <c r="A1715" s="18"/>
      <c r="B1715" s="6"/>
      <c r="C1715" s="6"/>
      <c r="D1715" s="6"/>
      <c r="E1715" s="16" t="str">
        <f>IF($B1715="","",IFERROR(INDEX(Services!$C$2:$C$120,MATCH($B1715,Services!$D$2:$D$120,0)),""))</f>
        <v/>
      </c>
      <c r="F1715" s="19"/>
      <c r="G1715" s="9" t="str">
        <f t="shared" si="26"/>
        <v/>
      </c>
      <c r="H1715" s="15" t="str">
        <f>IF($B1715="","",IFERROR(INDEX(Services!$A$2:$A$120,MATCH($B1715,Services!$D$2:$D$120,0)),""))</f>
        <v/>
      </c>
      <c r="I1715" s="19"/>
      <c r="J1715" s="15" t="str">
        <f>IF($B1715="","",IFERROR(INDEX(Services!$E$2:$E$120,MATCH($B1715,Services!$D$2:$D$120,0)),""))</f>
        <v/>
      </c>
    </row>
    <row r="1716" spans="1:10" x14ac:dyDescent="0.3">
      <c r="A1716" s="18"/>
      <c r="B1716" s="6"/>
      <c r="C1716" s="6"/>
      <c r="D1716" s="6"/>
      <c r="E1716" s="16" t="str">
        <f>IF($B1716="","",IFERROR(INDEX(Services!$C$2:$C$120,MATCH($B1716,Services!$D$2:$D$120,0)),""))</f>
        <v/>
      </c>
      <c r="F1716" s="19"/>
      <c r="G1716" s="9" t="str">
        <f t="shared" si="26"/>
        <v/>
      </c>
      <c r="H1716" s="15" t="str">
        <f>IF($B1716="","",IFERROR(INDEX(Services!$A$2:$A$120,MATCH($B1716,Services!$D$2:$D$120,0)),""))</f>
        <v/>
      </c>
      <c r="I1716" s="19"/>
      <c r="J1716" s="15" t="str">
        <f>IF($B1716="","",IFERROR(INDEX(Services!$E$2:$E$120,MATCH($B1716,Services!$D$2:$D$120,0)),""))</f>
        <v/>
      </c>
    </row>
    <row r="1717" spans="1:10" x14ac:dyDescent="0.3">
      <c r="A1717" s="18"/>
      <c r="B1717" s="6"/>
      <c r="C1717" s="6"/>
      <c r="D1717" s="6"/>
      <c r="E1717" s="16" t="str">
        <f>IF($B1717="","",IFERROR(INDEX(Services!$C$2:$C$120,MATCH($B1717,Services!$D$2:$D$120,0)),""))</f>
        <v/>
      </c>
      <c r="F1717" s="19"/>
      <c r="G1717" s="9" t="str">
        <f t="shared" si="26"/>
        <v/>
      </c>
      <c r="H1717" s="15" t="str">
        <f>IF($B1717="","",IFERROR(INDEX(Services!$A$2:$A$120,MATCH($B1717,Services!$D$2:$D$120,0)),""))</f>
        <v/>
      </c>
      <c r="I1717" s="19"/>
      <c r="J1717" s="15" t="str">
        <f>IF($B1717="","",IFERROR(INDEX(Services!$E$2:$E$120,MATCH($B1717,Services!$D$2:$D$120,0)),""))</f>
        <v/>
      </c>
    </row>
    <row r="1718" spans="1:10" x14ac:dyDescent="0.3">
      <c r="A1718" s="18"/>
      <c r="B1718" s="6"/>
      <c r="C1718" s="6"/>
      <c r="D1718" s="6"/>
      <c r="E1718" s="16" t="str">
        <f>IF($B1718="","",IFERROR(INDEX(Services!$C$2:$C$120,MATCH($B1718,Services!$D$2:$D$120,0)),""))</f>
        <v/>
      </c>
      <c r="F1718" s="19"/>
      <c r="G1718" s="9" t="str">
        <f t="shared" si="26"/>
        <v/>
      </c>
      <c r="H1718" s="15" t="str">
        <f>IF($B1718="","",IFERROR(INDEX(Services!$A$2:$A$120,MATCH($B1718,Services!$D$2:$D$120,0)),""))</f>
        <v/>
      </c>
      <c r="I1718" s="19"/>
      <c r="J1718" s="15" t="str">
        <f>IF($B1718="","",IFERROR(INDEX(Services!$E$2:$E$120,MATCH($B1718,Services!$D$2:$D$120,0)),""))</f>
        <v/>
      </c>
    </row>
    <row r="1719" spans="1:10" x14ac:dyDescent="0.3">
      <c r="A1719" s="18"/>
      <c r="B1719" s="6"/>
      <c r="C1719" s="6"/>
      <c r="D1719" s="6"/>
      <c r="E1719" s="16" t="str">
        <f>IF($B1719="","",IFERROR(INDEX(Services!$C$2:$C$120,MATCH($B1719,Services!$D$2:$D$120,0)),""))</f>
        <v/>
      </c>
      <c r="F1719" s="19"/>
      <c r="G1719" s="9" t="str">
        <f t="shared" si="26"/>
        <v/>
      </c>
      <c r="H1719" s="15" t="str">
        <f>IF($B1719="","",IFERROR(INDEX(Services!$A$2:$A$120,MATCH($B1719,Services!$D$2:$D$120,0)),""))</f>
        <v/>
      </c>
      <c r="I1719" s="19"/>
      <c r="J1719" s="15" t="str">
        <f>IF($B1719="","",IFERROR(INDEX(Services!$E$2:$E$120,MATCH($B1719,Services!$D$2:$D$120,0)),""))</f>
        <v/>
      </c>
    </row>
    <row r="1720" spans="1:10" x14ac:dyDescent="0.3">
      <c r="A1720" s="18"/>
      <c r="B1720" s="6"/>
      <c r="C1720" s="6"/>
      <c r="D1720" s="6"/>
      <c r="E1720" s="16" t="str">
        <f>IF($B1720="","",IFERROR(INDEX(Services!$C$2:$C$120,MATCH($B1720,Services!$D$2:$D$120,0)),""))</f>
        <v/>
      </c>
      <c r="F1720" s="19"/>
      <c r="G1720" s="9" t="str">
        <f t="shared" si="26"/>
        <v/>
      </c>
      <c r="H1720" s="15" t="str">
        <f>IF($B1720="","",IFERROR(INDEX(Services!$A$2:$A$120,MATCH($B1720,Services!$D$2:$D$120,0)),""))</f>
        <v/>
      </c>
      <c r="I1720" s="19"/>
      <c r="J1720" s="15" t="str">
        <f>IF($B1720="","",IFERROR(INDEX(Services!$E$2:$E$120,MATCH($B1720,Services!$D$2:$D$120,0)),""))</f>
        <v/>
      </c>
    </row>
    <row r="1721" spans="1:10" x14ac:dyDescent="0.3">
      <c r="A1721" s="18"/>
      <c r="B1721" s="6"/>
      <c r="C1721" s="6"/>
      <c r="D1721" s="6"/>
      <c r="E1721" s="16" t="str">
        <f>IF($B1721="","",IFERROR(INDEX(Services!$C$2:$C$120,MATCH($B1721,Services!$D$2:$D$120,0)),""))</f>
        <v/>
      </c>
      <c r="F1721" s="19"/>
      <c r="G1721" s="9" t="str">
        <f t="shared" si="26"/>
        <v/>
      </c>
      <c r="H1721" s="15" t="str">
        <f>IF($B1721="","",IFERROR(INDEX(Services!$A$2:$A$120,MATCH($B1721,Services!$D$2:$D$120,0)),""))</f>
        <v/>
      </c>
      <c r="I1721" s="19"/>
      <c r="J1721" s="15" t="str">
        <f>IF($B1721="","",IFERROR(INDEX(Services!$E$2:$E$120,MATCH($B1721,Services!$D$2:$D$120,0)),""))</f>
        <v/>
      </c>
    </row>
    <row r="1722" spans="1:10" x14ac:dyDescent="0.3">
      <c r="A1722" s="18"/>
      <c r="B1722" s="6"/>
      <c r="C1722" s="6"/>
      <c r="D1722" s="6"/>
      <c r="E1722" s="16" t="str">
        <f>IF($B1722="","",IFERROR(INDEX(Services!$C$2:$C$120,MATCH($B1722,Services!$D$2:$D$120,0)),""))</f>
        <v/>
      </c>
      <c r="F1722" s="19"/>
      <c r="G1722" s="9" t="str">
        <f t="shared" si="26"/>
        <v/>
      </c>
      <c r="H1722" s="15" t="str">
        <f>IF($B1722="","",IFERROR(INDEX(Services!$A$2:$A$120,MATCH($B1722,Services!$D$2:$D$120,0)),""))</f>
        <v/>
      </c>
      <c r="I1722" s="19"/>
      <c r="J1722" s="15" t="str">
        <f>IF($B1722="","",IFERROR(INDEX(Services!$E$2:$E$120,MATCH($B1722,Services!$D$2:$D$120,0)),""))</f>
        <v/>
      </c>
    </row>
    <row r="1723" spans="1:10" x14ac:dyDescent="0.3">
      <c r="A1723" s="18"/>
      <c r="B1723" s="6"/>
      <c r="C1723" s="6"/>
      <c r="D1723" s="6"/>
      <c r="E1723" s="16" t="str">
        <f>IF($B1723="","",IFERROR(INDEX(Services!$C$2:$C$120,MATCH($B1723,Services!$D$2:$D$120,0)),""))</f>
        <v/>
      </c>
      <c r="F1723" s="19"/>
      <c r="G1723" s="9" t="str">
        <f t="shared" si="26"/>
        <v/>
      </c>
      <c r="H1723" s="15" t="str">
        <f>IF($B1723="","",IFERROR(INDEX(Services!$A$2:$A$120,MATCH($B1723,Services!$D$2:$D$120,0)),""))</f>
        <v/>
      </c>
      <c r="I1723" s="19"/>
      <c r="J1723" s="15" t="str">
        <f>IF($B1723="","",IFERROR(INDEX(Services!$E$2:$E$120,MATCH($B1723,Services!$D$2:$D$120,0)),""))</f>
        <v/>
      </c>
    </row>
    <row r="1724" spans="1:10" x14ac:dyDescent="0.3">
      <c r="A1724" s="18"/>
      <c r="B1724" s="6"/>
      <c r="C1724" s="6"/>
      <c r="D1724" s="6"/>
      <c r="E1724" s="16" t="str">
        <f>IF($B1724="","",IFERROR(INDEX(Services!$C$2:$C$120,MATCH($B1724,Services!$D$2:$D$120,0)),""))</f>
        <v/>
      </c>
      <c r="F1724" s="19"/>
      <c r="G1724" s="9" t="str">
        <f t="shared" si="26"/>
        <v/>
      </c>
      <c r="H1724" s="15" t="str">
        <f>IF($B1724="","",IFERROR(INDEX(Services!$A$2:$A$120,MATCH($B1724,Services!$D$2:$D$120,0)),""))</f>
        <v/>
      </c>
      <c r="I1724" s="19"/>
      <c r="J1724" s="15" t="str">
        <f>IF($B1724="","",IFERROR(INDEX(Services!$E$2:$E$120,MATCH($B1724,Services!$D$2:$D$120,0)),""))</f>
        <v/>
      </c>
    </row>
    <row r="1725" spans="1:10" x14ac:dyDescent="0.3">
      <c r="A1725" s="18"/>
      <c r="B1725" s="6"/>
      <c r="C1725" s="6"/>
      <c r="D1725" s="6"/>
      <c r="E1725" s="16" t="str">
        <f>IF($B1725="","",IFERROR(INDEX(Services!$C$2:$C$120,MATCH($B1725,Services!$D$2:$D$120,0)),""))</f>
        <v/>
      </c>
      <c r="F1725" s="19"/>
      <c r="G1725" s="9" t="str">
        <f t="shared" si="26"/>
        <v/>
      </c>
      <c r="H1725" s="15" t="str">
        <f>IF($B1725="","",IFERROR(INDEX(Services!$A$2:$A$120,MATCH($B1725,Services!$D$2:$D$120,0)),""))</f>
        <v/>
      </c>
      <c r="I1725" s="19"/>
      <c r="J1725" s="15" t="str">
        <f>IF($B1725="","",IFERROR(INDEX(Services!$E$2:$E$120,MATCH($B1725,Services!$D$2:$D$120,0)),""))</f>
        <v/>
      </c>
    </row>
    <row r="1726" spans="1:10" x14ac:dyDescent="0.3">
      <c r="A1726" s="18"/>
      <c r="B1726" s="6"/>
      <c r="C1726" s="6"/>
      <c r="D1726" s="6"/>
      <c r="E1726" s="16" t="str">
        <f>IF($B1726="","",IFERROR(INDEX(Services!$C$2:$C$120,MATCH($B1726,Services!$D$2:$D$120,0)),""))</f>
        <v/>
      </c>
      <c r="F1726" s="19"/>
      <c r="G1726" s="9" t="str">
        <f t="shared" si="26"/>
        <v/>
      </c>
      <c r="H1726" s="15" t="str">
        <f>IF($B1726="","",IFERROR(INDEX(Services!$A$2:$A$120,MATCH($B1726,Services!$D$2:$D$120,0)),""))</f>
        <v/>
      </c>
      <c r="I1726" s="19"/>
      <c r="J1726" s="15" t="str">
        <f>IF($B1726="","",IFERROR(INDEX(Services!$E$2:$E$120,MATCH($B1726,Services!$D$2:$D$120,0)),""))</f>
        <v/>
      </c>
    </row>
    <row r="1727" spans="1:10" x14ac:dyDescent="0.3">
      <c r="A1727" s="18"/>
      <c r="B1727" s="6"/>
      <c r="C1727" s="6"/>
      <c r="D1727" s="6"/>
      <c r="E1727" s="16" t="str">
        <f>IF($B1727="","",IFERROR(INDEX(Services!$C$2:$C$120,MATCH($B1727,Services!$D$2:$D$120,0)),""))</f>
        <v/>
      </c>
      <c r="F1727" s="19"/>
      <c r="G1727" s="9" t="str">
        <f t="shared" si="26"/>
        <v/>
      </c>
      <c r="H1727" s="15" t="str">
        <f>IF($B1727="","",IFERROR(INDEX(Services!$A$2:$A$120,MATCH($B1727,Services!$D$2:$D$120,0)),""))</f>
        <v/>
      </c>
      <c r="I1727" s="19"/>
      <c r="J1727" s="15" t="str">
        <f>IF($B1727="","",IFERROR(INDEX(Services!$E$2:$E$120,MATCH($B1727,Services!$D$2:$D$120,0)),""))</f>
        <v/>
      </c>
    </row>
    <row r="1728" spans="1:10" x14ac:dyDescent="0.3">
      <c r="A1728" s="18"/>
      <c r="B1728" s="6"/>
      <c r="C1728" s="6"/>
      <c r="D1728" s="6"/>
      <c r="E1728" s="16" t="str">
        <f>IF($B1728="","",IFERROR(INDEX(Services!$C$2:$C$120,MATCH($B1728,Services!$D$2:$D$120,0)),""))</f>
        <v/>
      </c>
      <c r="F1728" s="19"/>
      <c r="G1728" s="9" t="str">
        <f t="shared" si="26"/>
        <v/>
      </c>
      <c r="H1728" s="15" t="str">
        <f>IF($B1728="","",IFERROR(INDEX(Services!$A$2:$A$120,MATCH($B1728,Services!$D$2:$D$120,0)),""))</f>
        <v/>
      </c>
      <c r="I1728" s="19"/>
      <c r="J1728" s="15" t="str">
        <f>IF($B1728="","",IFERROR(INDEX(Services!$E$2:$E$120,MATCH($B1728,Services!$D$2:$D$120,0)),""))</f>
        <v/>
      </c>
    </row>
    <row r="1729" spans="1:10" x14ac:dyDescent="0.3">
      <c r="A1729" s="18"/>
      <c r="B1729" s="6"/>
      <c r="C1729" s="6"/>
      <c r="D1729" s="6"/>
      <c r="E1729" s="16" t="str">
        <f>IF($B1729="","",IFERROR(INDEX(Services!$C$2:$C$120,MATCH($B1729,Services!$D$2:$D$120,0)),""))</f>
        <v/>
      </c>
      <c r="F1729" s="19"/>
      <c r="G1729" s="9" t="str">
        <f t="shared" si="26"/>
        <v/>
      </c>
      <c r="H1729" s="15" t="str">
        <f>IF($B1729="","",IFERROR(INDEX(Services!$A$2:$A$120,MATCH($B1729,Services!$D$2:$D$120,0)),""))</f>
        <v/>
      </c>
      <c r="I1729" s="19"/>
      <c r="J1729" s="15" t="str">
        <f>IF($B1729="","",IFERROR(INDEX(Services!$E$2:$E$120,MATCH($B1729,Services!$D$2:$D$120,0)),""))</f>
        <v/>
      </c>
    </row>
    <row r="1730" spans="1:10" x14ac:dyDescent="0.3">
      <c r="A1730" s="18"/>
      <c r="B1730" s="6"/>
      <c r="C1730" s="6"/>
      <c r="D1730" s="6"/>
      <c r="E1730" s="16" t="str">
        <f>IF($B1730="","",IFERROR(INDEX(Services!$C$2:$C$120,MATCH($B1730,Services!$D$2:$D$120,0)),""))</f>
        <v/>
      </c>
      <c r="F1730" s="19"/>
      <c r="G1730" s="9" t="str">
        <f t="shared" ref="G1730:G1793" si="27">IF(OR($B1730="",NOT(ISNUMBER($E1730))),"",$E1730-IF($F1730="",0,$F1730))</f>
        <v/>
      </c>
      <c r="H1730" s="15" t="str">
        <f>IF($B1730="","",IFERROR(INDEX(Services!$A$2:$A$120,MATCH($B1730,Services!$D$2:$D$120,0)),""))</f>
        <v/>
      </c>
      <c r="I1730" s="19"/>
      <c r="J1730" s="15" t="str">
        <f>IF($B1730="","",IFERROR(INDEX(Services!$E$2:$E$120,MATCH($B1730,Services!$D$2:$D$120,0)),""))</f>
        <v/>
      </c>
    </row>
    <row r="1731" spans="1:10" x14ac:dyDescent="0.3">
      <c r="A1731" s="18"/>
      <c r="B1731" s="6"/>
      <c r="C1731" s="6"/>
      <c r="D1731" s="6"/>
      <c r="E1731" s="16" t="str">
        <f>IF($B1731="","",IFERROR(INDEX(Services!$C$2:$C$120,MATCH($B1731,Services!$D$2:$D$120,0)),""))</f>
        <v/>
      </c>
      <c r="F1731" s="19"/>
      <c r="G1731" s="9" t="str">
        <f t="shared" si="27"/>
        <v/>
      </c>
      <c r="H1731" s="15" t="str">
        <f>IF($B1731="","",IFERROR(INDEX(Services!$A$2:$A$120,MATCH($B1731,Services!$D$2:$D$120,0)),""))</f>
        <v/>
      </c>
      <c r="I1731" s="19"/>
      <c r="J1731" s="15" t="str">
        <f>IF($B1731="","",IFERROR(INDEX(Services!$E$2:$E$120,MATCH($B1731,Services!$D$2:$D$120,0)),""))</f>
        <v/>
      </c>
    </row>
    <row r="1732" spans="1:10" x14ac:dyDescent="0.3">
      <c r="A1732" s="18"/>
      <c r="B1732" s="6"/>
      <c r="C1732" s="6"/>
      <c r="D1732" s="6"/>
      <c r="E1732" s="16" t="str">
        <f>IF($B1732="","",IFERROR(INDEX(Services!$C$2:$C$120,MATCH($B1732,Services!$D$2:$D$120,0)),""))</f>
        <v/>
      </c>
      <c r="F1732" s="19"/>
      <c r="G1732" s="9" t="str">
        <f t="shared" si="27"/>
        <v/>
      </c>
      <c r="H1732" s="15" t="str">
        <f>IF($B1732="","",IFERROR(INDEX(Services!$A$2:$A$120,MATCH($B1732,Services!$D$2:$D$120,0)),""))</f>
        <v/>
      </c>
      <c r="I1732" s="19"/>
      <c r="J1732" s="15" t="str">
        <f>IF($B1732="","",IFERROR(INDEX(Services!$E$2:$E$120,MATCH($B1732,Services!$D$2:$D$120,0)),""))</f>
        <v/>
      </c>
    </row>
    <row r="1733" spans="1:10" x14ac:dyDescent="0.3">
      <c r="A1733" s="18"/>
      <c r="B1733" s="6"/>
      <c r="C1733" s="6"/>
      <c r="D1733" s="6"/>
      <c r="E1733" s="16" t="str">
        <f>IF($B1733="","",IFERROR(INDEX(Services!$C$2:$C$120,MATCH($B1733,Services!$D$2:$D$120,0)),""))</f>
        <v/>
      </c>
      <c r="F1733" s="19"/>
      <c r="G1733" s="9" t="str">
        <f t="shared" si="27"/>
        <v/>
      </c>
      <c r="H1733" s="15" t="str">
        <f>IF($B1733="","",IFERROR(INDEX(Services!$A$2:$A$120,MATCH($B1733,Services!$D$2:$D$120,0)),""))</f>
        <v/>
      </c>
      <c r="I1733" s="19"/>
      <c r="J1733" s="15" t="str">
        <f>IF($B1733="","",IFERROR(INDEX(Services!$E$2:$E$120,MATCH($B1733,Services!$D$2:$D$120,0)),""))</f>
        <v/>
      </c>
    </row>
    <row r="1734" spans="1:10" x14ac:dyDescent="0.3">
      <c r="A1734" s="18"/>
      <c r="B1734" s="6"/>
      <c r="C1734" s="6"/>
      <c r="D1734" s="6"/>
      <c r="E1734" s="16" t="str">
        <f>IF($B1734="","",IFERROR(INDEX(Services!$C$2:$C$120,MATCH($B1734,Services!$D$2:$D$120,0)),""))</f>
        <v/>
      </c>
      <c r="F1734" s="19"/>
      <c r="G1734" s="9" t="str">
        <f t="shared" si="27"/>
        <v/>
      </c>
      <c r="H1734" s="15" t="str">
        <f>IF($B1734="","",IFERROR(INDEX(Services!$A$2:$A$120,MATCH($B1734,Services!$D$2:$D$120,0)),""))</f>
        <v/>
      </c>
      <c r="I1734" s="19"/>
      <c r="J1734" s="15" t="str">
        <f>IF($B1734="","",IFERROR(INDEX(Services!$E$2:$E$120,MATCH($B1734,Services!$D$2:$D$120,0)),""))</f>
        <v/>
      </c>
    </row>
    <row r="1735" spans="1:10" x14ac:dyDescent="0.3">
      <c r="A1735" s="18"/>
      <c r="B1735" s="6"/>
      <c r="C1735" s="6"/>
      <c r="D1735" s="6"/>
      <c r="E1735" s="16" t="str">
        <f>IF($B1735="","",IFERROR(INDEX(Services!$C$2:$C$120,MATCH($B1735,Services!$D$2:$D$120,0)),""))</f>
        <v/>
      </c>
      <c r="F1735" s="19"/>
      <c r="G1735" s="9" t="str">
        <f t="shared" si="27"/>
        <v/>
      </c>
      <c r="H1735" s="15" t="str">
        <f>IF($B1735="","",IFERROR(INDEX(Services!$A$2:$A$120,MATCH($B1735,Services!$D$2:$D$120,0)),""))</f>
        <v/>
      </c>
      <c r="I1735" s="19"/>
      <c r="J1735" s="15" t="str">
        <f>IF($B1735="","",IFERROR(INDEX(Services!$E$2:$E$120,MATCH($B1735,Services!$D$2:$D$120,0)),""))</f>
        <v/>
      </c>
    </row>
    <row r="1736" spans="1:10" x14ac:dyDescent="0.3">
      <c r="A1736" s="18"/>
      <c r="B1736" s="6"/>
      <c r="C1736" s="6"/>
      <c r="D1736" s="6"/>
      <c r="E1736" s="16" t="str">
        <f>IF($B1736="","",IFERROR(INDEX(Services!$C$2:$C$120,MATCH($B1736,Services!$D$2:$D$120,0)),""))</f>
        <v/>
      </c>
      <c r="F1736" s="19"/>
      <c r="G1736" s="9" t="str">
        <f t="shared" si="27"/>
        <v/>
      </c>
      <c r="H1736" s="15" t="str">
        <f>IF($B1736="","",IFERROR(INDEX(Services!$A$2:$A$120,MATCH($B1736,Services!$D$2:$D$120,0)),""))</f>
        <v/>
      </c>
      <c r="I1736" s="19"/>
      <c r="J1736" s="15" t="str">
        <f>IF($B1736="","",IFERROR(INDEX(Services!$E$2:$E$120,MATCH($B1736,Services!$D$2:$D$120,0)),""))</f>
        <v/>
      </c>
    </row>
    <row r="1737" spans="1:10" x14ac:dyDescent="0.3">
      <c r="A1737" s="18"/>
      <c r="B1737" s="6"/>
      <c r="C1737" s="6"/>
      <c r="D1737" s="6"/>
      <c r="E1737" s="16" t="str">
        <f>IF($B1737="","",IFERROR(INDEX(Services!$C$2:$C$120,MATCH($B1737,Services!$D$2:$D$120,0)),""))</f>
        <v/>
      </c>
      <c r="F1737" s="19"/>
      <c r="G1737" s="9" t="str">
        <f t="shared" si="27"/>
        <v/>
      </c>
      <c r="H1737" s="15" t="str">
        <f>IF($B1737="","",IFERROR(INDEX(Services!$A$2:$A$120,MATCH($B1737,Services!$D$2:$D$120,0)),""))</f>
        <v/>
      </c>
      <c r="I1737" s="19"/>
      <c r="J1737" s="15" t="str">
        <f>IF($B1737="","",IFERROR(INDEX(Services!$E$2:$E$120,MATCH($B1737,Services!$D$2:$D$120,0)),""))</f>
        <v/>
      </c>
    </row>
    <row r="1738" spans="1:10" x14ac:dyDescent="0.3">
      <c r="A1738" s="18"/>
      <c r="B1738" s="6"/>
      <c r="C1738" s="6"/>
      <c r="D1738" s="6"/>
      <c r="E1738" s="16" t="str">
        <f>IF($B1738="","",IFERROR(INDEX(Services!$C$2:$C$120,MATCH($B1738,Services!$D$2:$D$120,0)),""))</f>
        <v/>
      </c>
      <c r="F1738" s="19"/>
      <c r="G1738" s="9" t="str">
        <f t="shared" si="27"/>
        <v/>
      </c>
      <c r="H1738" s="15" t="str">
        <f>IF($B1738="","",IFERROR(INDEX(Services!$A$2:$A$120,MATCH($B1738,Services!$D$2:$D$120,0)),""))</f>
        <v/>
      </c>
      <c r="I1738" s="19"/>
      <c r="J1738" s="15" t="str">
        <f>IF($B1738="","",IFERROR(INDEX(Services!$E$2:$E$120,MATCH($B1738,Services!$D$2:$D$120,0)),""))</f>
        <v/>
      </c>
    </row>
    <row r="1739" spans="1:10" x14ac:dyDescent="0.3">
      <c r="A1739" s="18"/>
      <c r="B1739" s="6"/>
      <c r="C1739" s="6"/>
      <c r="D1739" s="6"/>
      <c r="E1739" s="16" t="str">
        <f>IF($B1739="","",IFERROR(INDEX(Services!$C$2:$C$120,MATCH($B1739,Services!$D$2:$D$120,0)),""))</f>
        <v/>
      </c>
      <c r="F1739" s="19"/>
      <c r="G1739" s="9" t="str">
        <f t="shared" si="27"/>
        <v/>
      </c>
      <c r="H1739" s="15" t="str">
        <f>IF($B1739="","",IFERROR(INDEX(Services!$A$2:$A$120,MATCH($B1739,Services!$D$2:$D$120,0)),""))</f>
        <v/>
      </c>
      <c r="I1739" s="19"/>
      <c r="J1739" s="15" t="str">
        <f>IF($B1739="","",IFERROR(INDEX(Services!$E$2:$E$120,MATCH($B1739,Services!$D$2:$D$120,0)),""))</f>
        <v/>
      </c>
    </row>
    <row r="1740" spans="1:10" x14ac:dyDescent="0.3">
      <c r="A1740" s="18"/>
      <c r="B1740" s="6"/>
      <c r="C1740" s="6"/>
      <c r="D1740" s="6"/>
      <c r="E1740" s="16" t="str">
        <f>IF($B1740="","",IFERROR(INDEX(Services!$C$2:$C$120,MATCH($B1740,Services!$D$2:$D$120,0)),""))</f>
        <v/>
      </c>
      <c r="F1740" s="19"/>
      <c r="G1740" s="9" t="str">
        <f t="shared" si="27"/>
        <v/>
      </c>
      <c r="H1740" s="15" t="str">
        <f>IF($B1740="","",IFERROR(INDEX(Services!$A$2:$A$120,MATCH($B1740,Services!$D$2:$D$120,0)),""))</f>
        <v/>
      </c>
      <c r="I1740" s="19"/>
      <c r="J1740" s="15" t="str">
        <f>IF($B1740="","",IFERROR(INDEX(Services!$E$2:$E$120,MATCH($B1740,Services!$D$2:$D$120,0)),""))</f>
        <v/>
      </c>
    </row>
    <row r="1741" spans="1:10" x14ac:dyDescent="0.3">
      <c r="A1741" s="18"/>
      <c r="B1741" s="6"/>
      <c r="C1741" s="6"/>
      <c r="D1741" s="6"/>
      <c r="E1741" s="16" t="str">
        <f>IF($B1741="","",IFERROR(INDEX(Services!$C$2:$C$120,MATCH($B1741,Services!$D$2:$D$120,0)),""))</f>
        <v/>
      </c>
      <c r="F1741" s="19"/>
      <c r="G1741" s="9" t="str">
        <f t="shared" si="27"/>
        <v/>
      </c>
      <c r="H1741" s="15" t="str">
        <f>IF($B1741="","",IFERROR(INDEX(Services!$A$2:$A$120,MATCH($B1741,Services!$D$2:$D$120,0)),""))</f>
        <v/>
      </c>
      <c r="I1741" s="19"/>
      <c r="J1741" s="15" t="str">
        <f>IF($B1741="","",IFERROR(INDEX(Services!$E$2:$E$120,MATCH($B1741,Services!$D$2:$D$120,0)),""))</f>
        <v/>
      </c>
    </row>
    <row r="1742" spans="1:10" x14ac:dyDescent="0.3">
      <c r="A1742" s="18"/>
      <c r="B1742" s="6"/>
      <c r="C1742" s="6"/>
      <c r="D1742" s="6"/>
      <c r="E1742" s="16" t="str">
        <f>IF($B1742="","",IFERROR(INDEX(Services!$C$2:$C$120,MATCH($B1742,Services!$D$2:$D$120,0)),""))</f>
        <v/>
      </c>
      <c r="F1742" s="19"/>
      <c r="G1742" s="9" t="str">
        <f t="shared" si="27"/>
        <v/>
      </c>
      <c r="H1742" s="15" t="str">
        <f>IF($B1742="","",IFERROR(INDEX(Services!$A$2:$A$120,MATCH($B1742,Services!$D$2:$D$120,0)),""))</f>
        <v/>
      </c>
      <c r="I1742" s="19"/>
      <c r="J1742" s="15" t="str">
        <f>IF($B1742="","",IFERROR(INDEX(Services!$E$2:$E$120,MATCH($B1742,Services!$D$2:$D$120,0)),""))</f>
        <v/>
      </c>
    </row>
    <row r="1743" spans="1:10" x14ac:dyDescent="0.3">
      <c r="A1743" s="18"/>
      <c r="B1743" s="6"/>
      <c r="C1743" s="6"/>
      <c r="D1743" s="6"/>
      <c r="E1743" s="16" t="str">
        <f>IF($B1743="","",IFERROR(INDEX(Services!$C$2:$C$120,MATCH($B1743,Services!$D$2:$D$120,0)),""))</f>
        <v/>
      </c>
      <c r="F1743" s="19"/>
      <c r="G1743" s="9" t="str">
        <f t="shared" si="27"/>
        <v/>
      </c>
      <c r="H1743" s="15" t="str">
        <f>IF($B1743="","",IFERROR(INDEX(Services!$A$2:$A$120,MATCH($B1743,Services!$D$2:$D$120,0)),""))</f>
        <v/>
      </c>
      <c r="I1743" s="19"/>
      <c r="J1743" s="15" t="str">
        <f>IF($B1743="","",IFERROR(INDEX(Services!$E$2:$E$120,MATCH($B1743,Services!$D$2:$D$120,0)),""))</f>
        <v/>
      </c>
    </row>
    <row r="1744" spans="1:10" x14ac:dyDescent="0.3">
      <c r="A1744" s="18"/>
      <c r="B1744" s="6"/>
      <c r="C1744" s="6"/>
      <c r="D1744" s="6"/>
      <c r="E1744" s="16" t="str">
        <f>IF($B1744="","",IFERROR(INDEX(Services!$C$2:$C$120,MATCH($B1744,Services!$D$2:$D$120,0)),""))</f>
        <v/>
      </c>
      <c r="F1744" s="19"/>
      <c r="G1744" s="9" t="str">
        <f t="shared" si="27"/>
        <v/>
      </c>
      <c r="H1744" s="15" t="str">
        <f>IF($B1744="","",IFERROR(INDEX(Services!$A$2:$A$120,MATCH($B1744,Services!$D$2:$D$120,0)),""))</f>
        <v/>
      </c>
      <c r="I1744" s="19"/>
      <c r="J1744" s="15" t="str">
        <f>IF($B1744="","",IFERROR(INDEX(Services!$E$2:$E$120,MATCH($B1744,Services!$D$2:$D$120,0)),""))</f>
        <v/>
      </c>
    </row>
    <row r="1745" spans="1:10" x14ac:dyDescent="0.3">
      <c r="A1745" s="18"/>
      <c r="B1745" s="6"/>
      <c r="C1745" s="6"/>
      <c r="D1745" s="6"/>
      <c r="E1745" s="16" t="str">
        <f>IF($B1745="","",IFERROR(INDEX(Services!$C$2:$C$120,MATCH($B1745,Services!$D$2:$D$120,0)),""))</f>
        <v/>
      </c>
      <c r="F1745" s="19"/>
      <c r="G1745" s="9" t="str">
        <f t="shared" si="27"/>
        <v/>
      </c>
      <c r="H1745" s="15" t="str">
        <f>IF($B1745="","",IFERROR(INDEX(Services!$A$2:$A$120,MATCH($B1745,Services!$D$2:$D$120,0)),""))</f>
        <v/>
      </c>
      <c r="I1745" s="19"/>
      <c r="J1745" s="15" t="str">
        <f>IF($B1745="","",IFERROR(INDEX(Services!$E$2:$E$120,MATCH($B1745,Services!$D$2:$D$120,0)),""))</f>
        <v/>
      </c>
    </row>
    <row r="1746" spans="1:10" x14ac:dyDescent="0.3">
      <c r="A1746" s="18"/>
      <c r="B1746" s="6"/>
      <c r="C1746" s="6"/>
      <c r="D1746" s="6"/>
      <c r="E1746" s="16" t="str">
        <f>IF($B1746="","",IFERROR(INDEX(Services!$C$2:$C$120,MATCH($B1746,Services!$D$2:$D$120,0)),""))</f>
        <v/>
      </c>
      <c r="F1746" s="19"/>
      <c r="G1746" s="9" t="str">
        <f t="shared" si="27"/>
        <v/>
      </c>
      <c r="H1746" s="15" t="str">
        <f>IF($B1746="","",IFERROR(INDEX(Services!$A$2:$A$120,MATCH($B1746,Services!$D$2:$D$120,0)),""))</f>
        <v/>
      </c>
      <c r="I1746" s="19"/>
      <c r="J1746" s="15" t="str">
        <f>IF($B1746="","",IFERROR(INDEX(Services!$E$2:$E$120,MATCH($B1746,Services!$D$2:$D$120,0)),""))</f>
        <v/>
      </c>
    </row>
    <row r="1747" spans="1:10" x14ac:dyDescent="0.3">
      <c r="A1747" s="18"/>
      <c r="B1747" s="6"/>
      <c r="C1747" s="6"/>
      <c r="D1747" s="6"/>
      <c r="E1747" s="16" t="str">
        <f>IF($B1747="","",IFERROR(INDEX(Services!$C$2:$C$120,MATCH($B1747,Services!$D$2:$D$120,0)),""))</f>
        <v/>
      </c>
      <c r="F1747" s="19"/>
      <c r="G1747" s="9" t="str">
        <f t="shared" si="27"/>
        <v/>
      </c>
      <c r="H1747" s="15" t="str">
        <f>IF($B1747="","",IFERROR(INDEX(Services!$A$2:$A$120,MATCH($B1747,Services!$D$2:$D$120,0)),""))</f>
        <v/>
      </c>
      <c r="I1747" s="19"/>
      <c r="J1747" s="15" t="str">
        <f>IF($B1747="","",IFERROR(INDEX(Services!$E$2:$E$120,MATCH($B1747,Services!$D$2:$D$120,0)),""))</f>
        <v/>
      </c>
    </row>
    <row r="1748" spans="1:10" x14ac:dyDescent="0.3">
      <c r="A1748" s="18"/>
      <c r="B1748" s="6"/>
      <c r="C1748" s="6"/>
      <c r="D1748" s="6"/>
      <c r="E1748" s="16" t="str">
        <f>IF($B1748="","",IFERROR(INDEX(Services!$C$2:$C$120,MATCH($B1748,Services!$D$2:$D$120,0)),""))</f>
        <v/>
      </c>
      <c r="F1748" s="19"/>
      <c r="G1748" s="9" t="str">
        <f t="shared" si="27"/>
        <v/>
      </c>
      <c r="H1748" s="15" t="str">
        <f>IF($B1748="","",IFERROR(INDEX(Services!$A$2:$A$120,MATCH($B1748,Services!$D$2:$D$120,0)),""))</f>
        <v/>
      </c>
      <c r="I1748" s="19"/>
      <c r="J1748" s="15" t="str">
        <f>IF($B1748="","",IFERROR(INDEX(Services!$E$2:$E$120,MATCH($B1748,Services!$D$2:$D$120,0)),""))</f>
        <v/>
      </c>
    </row>
    <row r="1749" spans="1:10" x14ac:dyDescent="0.3">
      <c r="A1749" s="18"/>
      <c r="B1749" s="6"/>
      <c r="C1749" s="6"/>
      <c r="D1749" s="6"/>
      <c r="E1749" s="16" t="str">
        <f>IF($B1749="","",IFERROR(INDEX(Services!$C$2:$C$120,MATCH($B1749,Services!$D$2:$D$120,0)),""))</f>
        <v/>
      </c>
      <c r="F1749" s="19"/>
      <c r="G1749" s="9" t="str">
        <f t="shared" si="27"/>
        <v/>
      </c>
      <c r="H1749" s="15" t="str">
        <f>IF($B1749="","",IFERROR(INDEX(Services!$A$2:$A$120,MATCH($B1749,Services!$D$2:$D$120,0)),""))</f>
        <v/>
      </c>
      <c r="I1749" s="19"/>
      <c r="J1749" s="15" t="str">
        <f>IF($B1749="","",IFERROR(INDEX(Services!$E$2:$E$120,MATCH($B1749,Services!$D$2:$D$120,0)),""))</f>
        <v/>
      </c>
    </row>
    <row r="1750" spans="1:10" x14ac:dyDescent="0.3">
      <c r="A1750" s="18"/>
      <c r="B1750" s="6"/>
      <c r="C1750" s="6"/>
      <c r="D1750" s="6"/>
      <c r="E1750" s="16" t="str">
        <f>IF($B1750="","",IFERROR(INDEX(Services!$C$2:$C$120,MATCH($B1750,Services!$D$2:$D$120,0)),""))</f>
        <v/>
      </c>
      <c r="F1750" s="19"/>
      <c r="G1750" s="9" t="str">
        <f t="shared" si="27"/>
        <v/>
      </c>
      <c r="H1750" s="15" t="str">
        <f>IF($B1750="","",IFERROR(INDEX(Services!$A$2:$A$120,MATCH($B1750,Services!$D$2:$D$120,0)),""))</f>
        <v/>
      </c>
      <c r="I1750" s="19"/>
      <c r="J1750" s="15" t="str">
        <f>IF($B1750="","",IFERROR(INDEX(Services!$E$2:$E$120,MATCH($B1750,Services!$D$2:$D$120,0)),""))</f>
        <v/>
      </c>
    </row>
    <row r="1751" spans="1:10" x14ac:dyDescent="0.3">
      <c r="A1751" s="18"/>
      <c r="B1751" s="6"/>
      <c r="C1751" s="6"/>
      <c r="D1751" s="6"/>
      <c r="E1751" s="16" t="str">
        <f>IF($B1751="","",IFERROR(INDEX(Services!$C$2:$C$120,MATCH($B1751,Services!$D$2:$D$120,0)),""))</f>
        <v/>
      </c>
      <c r="F1751" s="19"/>
      <c r="G1751" s="9" t="str">
        <f t="shared" si="27"/>
        <v/>
      </c>
      <c r="H1751" s="15" t="str">
        <f>IF($B1751="","",IFERROR(INDEX(Services!$A$2:$A$120,MATCH($B1751,Services!$D$2:$D$120,0)),""))</f>
        <v/>
      </c>
      <c r="I1751" s="19"/>
      <c r="J1751" s="15" t="str">
        <f>IF($B1751="","",IFERROR(INDEX(Services!$E$2:$E$120,MATCH($B1751,Services!$D$2:$D$120,0)),""))</f>
        <v/>
      </c>
    </row>
    <row r="1752" spans="1:10" x14ac:dyDescent="0.3">
      <c r="A1752" s="18"/>
      <c r="B1752" s="6"/>
      <c r="C1752" s="6"/>
      <c r="D1752" s="6"/>
      <c r="E1752" s="16" t="str">
        <f>IF($B1752="","",IFERROR(INDEX(Services!$C$2:$C$120,MATCH($B1752,Services!$D$2:$D$120,0)),""))</f>
        <v/>
      </c>
      <c r="F1752" s="19"/>
      <c r="G1752" s="9" t="str">
        <f t="shared" si="27"/>
        <v/>
      </c>
      <c r="H1752" s="15" t="str">
        <f>IF($B1752="","",IFERROR(INDEX(Services!$A$2:$A$120,MATCH($B1752,Services!$D$2:$D$120,0)),""))</f>
        <v/>
      </c>
      <c r="I1752" s="19"/>
      <c r="J1752" s="15" t="str">
        <f>IF($B1752="","",IFERROR(INDEX(Services!$E$2:$E$120,MATCH($B1752,Services!$D$2:$D$120,0)),""))</f>
        <v/>
      </c>
    </row>
    <row r="1753" spans="1:10" x14ac:dyDescent="0.3">
      <c r="A1753" s="18"/>
      <c r="B1753" s="6"/>
      <c r="C1753" s="6"/>
      <c r="D1753" s="6"/>
      <c r="E1753" s="16" t="str">
        <f>IF($B1753="","",IFERROR(INDEX(Services!$C$2:$C$120,MATCH($B1753,Services!$D$2:$D$120,0)),""))</f>
        <v/>
      </c>
      <c r="F1753" s="19"/>
      <c r="G1753" s="9" t="str">
        <f t="shared" si="27"/>
        <v/>
      </c>
      <c r="H1753" s="15" t="str">
        <f>IF($B1753="","",IFERROR(INDEX(Services!$A$2:$A$120,MATCH($B1753,Services!$D$2:$D$120,0)),""))</f>
        <v/>
      </c>
      <c r="I1753" s="19"/>
      <c r="J1753" s="15" t="str">
        <f>IF($B1753="","",IFERROR(INDEX(Services!$E$2:$E$120,MATCH($B1753,Services!$D$2:$D$120,0)),""))</f>
        <v/>
      </c>
    </row>
    <row r="1754" spans="1:10" x14ac:dyDescent="0.3">
      <c r="A1754" s="18"/>
      <c r="B1754" s="6"/>
      <c r="C1754" s="6"/>
      <c r="D1754" s="6"/>
      <c r="E1754" s="16" t="str">
        <f>IF($B1754="","",IFERROR(INDEX(Services!$C$2:$C$120,MATCH($B1754,Services!$D$2:$D$120,0)),""))</f>
        <v/>
      </c>
      <c r="F1754" s="19"/>
      <c r="G1754" s="9" t="str">
        <f t="shared" si="27"/>
        <v/>
      </c>
      <c r="H1754" s="15" t="str">
        <f>IF($B1754="","",IFERROR(INDEX(Services!$A$2:$A$120,MATCH($B1754,Services!$D$2:$D$120,0)),""))</f>
        <v/>
      </c>
      <c r="I1754" s="19"/>
      <c r="J1754" s="15" t="str">
        <f>IF($B1754="","",IFERROR(INDEX(Services!$E$2:$E$120,MATCH($B1754,Services!$D$2:$D$120,0)),""))</f>
        <v/>
      </c>
    </row>
    <row r="1755" spans="1:10" x14ac:dyDescent="0.3">
      <c r="A1755" s="18"/>
      <c r="B1755" s="6"/>
      <c r="C1755" s="6"/>
      <c r="D1755" s="6"/>
      <c r="E1755" s="16" t="str">
        <f>IF($B1755="","",IFERROR(INDEX(Services!$C$2:$C$120,MATCH($B1755,Services!$D$2:$D$120,0)),""))</f>
        <v/>
      </c>
      <c r="F1755" s="19"/>
      <c r="G1755" s="9" t="str">
        <f t="shared" si="27"/>
        <v/>
      </c>
      <c r="H1755" s="15" t="str">
        <f>IF($B1755="","",IFERROR(INDEX(Services!$A$2:$A$120,MATCH($B1755,Services!$D$2:$D$120,0)),""))</f>
        <v/>
      </c>
      <c r="I1755" s="19"/>
      <c r="J1755" s="15" t="str">
        <f>IF($B1755="","",IFERROR(INDEX(Services!$E$2:$E$120,MATCH($B1755,Services!$D$2:$D$120,0)),""))</f>
        <v/>
      </c>
    </row>
    <row r="1756" spans="1:10" x14ac:dyDescent="0.3">
      <c r="A1756" s="18"/>
      <c r="B1756" s="6"/>
      <c r="C1756" s="6"/>
      <c r="D1756" s="6"/>
      <c r="E1756" s="16" t="str">
        <f>IF($B1756="","",IFERROR(INDEX(Services!$C$2:$C$120,MATCH($B1756,Services!$D$2:$D$120,0)),""))</f>
        <v/>
      </c>
      <c r="F1756" s="19"/>
      <c r="G1756" s="9" t="str">
        <f t="shared" si="27"/>
        <v/>
      </c>
      <c r="H1756" s="15" t="str">
        <f>IF($B1756="","",IFERROR(INDEX(Services!$A$2:$A$120,MATCH($B1756,Services!$D$2:$D$120,0)),""))</f>
        <v/>
      </c>
      <c r="I1756" s="19"/>
      <c r="J1756" s="15" t="str">
        <f>IF($B1756="","",IFERROR(INDEX(Services!$E$2:$E$120,MATCH($B1756,Services!$D$2:$D$120,0)),""))</f>
        <v/>
      </c>
    </row>
    <row r="1757" spans="1:10" x14ac:dyDescent="0.3">
      <c r="A1757" s="18"/>
      <c r="B1757" s="6"/>
      <c r="C1757" s="6"/>
      <c r="D1757" s="6"/>
      <c r="E1757" s="16" t="str">
        <f>IF($B1757="","",IFERROR(INDEX(Services!$C$2:$C$120,MATCH($B1757,Services!$D$2:$D$120,0)),""))</f>
        <v/>
      </c>
      <c r="F1757" s="19"/>
      <c r="G1757" s="9" t="str">
        <f t="shared" si="27"/>
        <v/>
      </c>
      <c r="H1757" s="15" t="str">
        <f>IF($B1757="","",IFERROR(INDEX(Services!$A$2:$A$120,MATCH($B1757,Services!$D$2:$D$120,0)),""))</f>
        <v/>
      </c>
      <c r="I1757" s="19"/>
      <c r="J1757" s="15" t="str">
        <f>IF($B1757="","",IFERROR(INDEX(Services!$E$2:$E$120,MATCH($B1757,Services!$D$2:$D$120,0)),""))</f>
        <v/>
      </c>
    </row>
    <row r="1758" spans="1:10" x14ac:dyDescent="0.3">
      <c r="A1758" s="18"/>
      <c r="B1758" s="6"/>
      <c r="C1758" s="6"/>
      <c r="D1758" s="6"/>
      <c r="E1758" s="16" t="str">
        <f>IF($B1758="","",IFERROR(INDEX(Services!$C$2:$C$120,MATCH($B1758,Services!$D$2:$D$120,0)),""))</f>
        <v/>
      </c>
      <c r="F1758" s="19"/>
      <c r="G1758" s="9" t="str">
        <f t="shared" si="27"/>
        <v/>
      </c>
      <c r="H1758" s="15" t="str">
        <f>IF($B1758="","",IFERROR(INDEX(Services!$A$2:$A$120,MATCH($B1758,Services!$D$2:$D$120,0)),""))</f>
        <v/>
      </c>
      <c r="I1758" s="19"/>
      <c r="J1758" s="15" t="str">
        <f>IF($B1758="","",IFERROR(INDEX(Services!$E$2:$E$120,MATCH($B1758,Services!$D$2:$D$120,0)),""))</f>
        <v/>
      </c>
    </row>
    <row r="1759" spans="1:10" x14ac:dyDescent="0.3">
      <c r="A1759" s="18"/>
      <c r="B1759" s="6"/>
      <c r="C1759" s="6"/>
      <c r="D1759" s="6"/>
      <c r="E1759" s="16" t="str">
        <f>IF($B1759="","",IFERROR(INDEX(Services!$C$2:$C$120,MATCH($B1759,Services!$D$2:$D$120,0)),""))</f>
        <v/>
      </c>
      <c r="F1759" s="19"/>
      <c r="G1759" s="9" t="str">
        <f t="shared" si="27"/>
        <v/>
      </c>
      <c r="H1759" s="15" t="str">
        <f>IF($B1759="","",IFERROR(INDEX(Services!$A$2:$A$120,MATCH($B1759,Services!$D$2:$D$120,0)),""))</f>
        <v/>
      </c>
      <c r="I1759" s="19"/>
      <c r="J1759" s="15" t="str">
        <f>IF($B1759="","",IFERROR(INDEX(Services!$E$2:$E$120,MATCH($B1759,Services!$D$2:$D$120,0)),""))</f>
        <v/>
      </c>
    </row>
    <row r="1760" spans="1:10" x14ac:dyDescent="0.3">
      <c r="A1760" s="18"/>
      <c r="B1760" s="6"/>
      <c r="C1760" s="6"/>
      <c r="D1760" s="6"/>
      <c r="E1760" s="16" t="str">
        <f>IF($B1760="","",IFERROR(INDEX(Services!$C$2:$C$120,MATCH($B1760,Services!$D$2:$D$120,0)),""))</f>
        <v/>
      </c>
      <c r="F1760" s="19"/>
      <c r="G1760" s="9" t="str">
        <f t="shared" si="27"/>
        <v/>
      </c>
      <c r="H1760" s="15" t="str">
        <f>IF($B1760="","",IFERROR(INDEX(Services!$A$2:$A$120,MATCH($B1760,Services!$D$2:$D$120,0)),""))</f>
        <v/>
      </c>
      <c r="I1760" s="19"/>
      <c r="J1760" s="15" t="str">
        <f>IF($B1760="","",IFERROR(INDEX(Services!$E$2:$E$120,MATCH($B1760,Services!$D$2:$D$120,0)),""))</f>
        <v/>
      </c>
    </row>
    <row r="1761" spans="1:10" x14ac:dyDescent="0.3">
      <c r="A1761" s="18"/>
      <c r="B1761" s="6"/>
      <c r="C1761" s="6"/>
      <c r="D1761" s="6"/>
      <c r="E1761" s="16" t="str">
        <f>IF($B1761="","",IFERROR(INDEX(Services!$C$2:$C$120,MATCH($B1761,Services!$D$2:$D$120,0)),""))</f>
        <v/>
      </c>
      <c r="F1761" s="19"/>
      <c r="G1761" s="9" t="str">
        <f t="shared" si="27"/>
        <v/>
      </c>
      <c r="H1761" s="15" t="str">
        <f>IF($B1761="","",IFERROR(INDEX(Services!$A$2:$A$120,MATCH($B1761,Services!$D$2:$D$120,0)),""))</f>
        <v/>
      </c>
      <c r="I1761" s="19"/>
      <c r="J1761" s="15" t="str">
        <f>IF($B1761="","",IFERROR(INDEX(Services!$E$2:$E$120,MATCH($B1761,Services!$D$2:$D$120,0)),""))</f>
        <v/>
      </c>
    </row>
    <row r="1762" spans="1:10" x14ac:dyDescent="0.3">
      <c r="A1762" s="18"/>
      <c r="B1762" s="6"/>
      <c r="C1762" s="6"/>
      <c r="D1762" s="6"/>
      <c r="E1762" s="16" t="str">
        <f>IF($B1762="","",IFERROR(INDEX(Services!$C$2:$C$120,MATCH($B1762,Services!$D$2:$D$120,0)),""))</f>
        <v/>
      </c>
      <c r="F1762" s="19"/>
      <c r="G1762" s="9" t="str">
        <f t="shared" si="27"/>
        <v/>
      </c>
      <c r="H1762" s="15" t="str">
        <f>IF($B1762="","",IFERROR(INDEX(Services!$A$2:$A$120,MATCH($B1762,Services!$D$2:$D$120,0)),""))</f>
        <v/>
      </c>
      <c r="I1762" s="19"/>
      <c r="J1762" s="15" t="str">
        <f>IF($B1762="","",IFERROR(INDEX(Services!$E$2:$E$120,MATCH($B1762,Services!$D$2:$D$120,0)),""))</f>
        <v/>
      </c>
    </row>
    <row r="1763" spans="1:10" x14ac:dyDescent="0.3">
      <c r="A1763" s="18"/>
      <c r="B1763" s="6"/>
      <c r="C1763" s="6"/>
      <c r="D1763" s="6"/>
      <c r="E1763" s="16" t="str">
        <f>IF($B1763="","",IFERROR(INDEX(Services!$C$2:$C$120,MATCH($B1763,Services!$D$2:$D$120,0)),""))</f>
        <v/>
      </c>
      <c r="F1763" s="19"/>
      <c r="G1763" s="9" t="str">
        <f t="shared" si="27"/>
        <v/>
      </c>
      <c r="H1763" s="15" t="str">
        <f>IF($B1763="","",IFERROR(INDEX(Services!$A$2:$A$120,MATCH($B1763,Services!$D$2:$D$120,0)),""))</f>
        <v/>
      </c>
      <c r="I1763" s="19"/>
      <c r="J1763" s="15" t="str">
        <f>IF($B1763="","",IFERROR(INDEX(Services!$E$2:$E$120,MATCH($B1763,Services!$D$2:$D$120,0)),""))</f>
        <v/>
      </c>
    </row>
    <row r="1764" spans="1:10" x14ac:dyDescent="0.3">
      <c r="A1764" s="18"/>
      <c r="B1764" s="6"/>
      <c r="C1764" s="6"/>
      <c r="D1764" s="6"/>
      <c r="E1764" s="16" t="str">
        <f>IF($B1764="","",IFERROR(INDEX(Services!$C$2:$C$120,MATCH($B1764,Services!$D$2:$D$120,0)),""))</f>
        <v/>
      </c>
      <c r="F1764" s="19"/>
      <c r="G1764" s="9" t="str">
        <f t="shared" si="27"/>
        <v/>
      </c>
      <c r="H1764" s="15" t="str">
        <f>IF($B1764="","",IFERROR(INDEX(Services!$A$2:$A$120,MATCH($B1764,Services!$D$2:$D$120,0)),""))</f>
        <v/>
      </c>
      <c r="I1764" s="19"/>
      <c r="J1764" s="15" t="str">
        <f>IF($B1764="","",IFERROR(INDEX(Services!$E$2:$E$120,MATCH($B1764,Services!$D$2:$D$120,0)),""))</f>
        <v/>
      </c>
    </row>
    <row r="1765" spans="1:10" x14ac:dyDescent="0.3">
      <c r="A1765" s="18"/>
      <c r="B1765" s="6"/>
      <c r="C1765" s="6"/>
      <c r="D1765" s="6"/>
      <c r="E1765" s="16" t="str">
        <f>IF($B1765="","",IFERROR(INDEX(Services!$C$2:$C$120,MATCH($B1765,Services!$D$2:$D$120,0)),""))</f>
        <v/>
      </c>
      <c r="F1765" s="19"/>
      <c r="G1765" s="9" t="str">
        <f t="shared" si="27"/>
        <v/>
      </c>
      <c r="H1765" s="15" t="str">
        <f>IF($B1765="","",IFERROR(INDEX(Services!$A$2:$A$120,MATCH($B1765,Services!$D$2:$D$120,0)),""))</f>
        <v/>
      </c>
      <c r="I1765" s="19"/>
      <c r="J1765" s="15" t="str">
        <f>IF($B1765="","",IFERROR(INDEX(Services!$E$2:$E$120,MATCH($B1765,Services!$D$2:$D$120,0)),""))</f>
        <v/>
      </c>
    </row>
    <row r="1766" spans="1:10" x14ac:dyDescent="0.3">
      <c r="A1766" s="18"/>
      <c r="B1766" s="6"/>
      <c r="C1766" s="6"/>
      <c r="D1766" s="6"/>
      <c r="E1766" s="16" t="str">
        <f>IF($B1766="","",IFERROR(INDEX(Services!$C$2:$C$120,MATCH($B1766,Services!$D$2:$D$120,0)),""))</f>
        <v/>
      </c>
      <c r="F1766" s="19"/>
      <c r="G1766" s="9" t="str">
        <f t="shared" si="27"/>
        <v/>
      </c>
      <c r="H1766" s="15" t="str">
        <f>IF($B1766="","",IFERROR(INDEX(Services!$A$2:$A$120,MATCH($B1766,Services!$D$2:$D$120,0)),""))</f>
        <v/>
      </c>
      <c r="I1766" s="19"/>
      <c r="J1766" s="15" t="str">
        <f>IF($B1766="","",IFERROR(INDEX(Services!$E$2:$E$120,MATCH($B1766,Services!$D$2:$D$120,0)),""))</f>
        <v/>
      </c>
    </row>
    <row r="1767" spans="1:10" x14ac:dyDescent="0.3">
      <c r="A1767" s="18"/>
      <c r="B1767" s="6"/>
      <c r="C1767" s="6"/>
      <c r="D1767" s="6"/>
      <c r="E1767" s="16" t="str">
        <f>IF($B1767="","",IFERROR(INDEX(Services!$C$2:$C$120,MATCH($B1767,Services!$D$2:$D$120,0)),""))</f>
        <v/>
      </c>
      <c r="F1767" s="19"/>
      <c r="G1767" s="9" t="str">
        <f t="shared" si="27"/>
        <v/>
      </c>
      <c r="H1767" s="15" t="str">
        <f>IF($B1767="","",IFERROR(INDEX(Services!$A$2:$A$120,MATCH($B1767,Services!$D$2:$D$120,0)),""))</f>
        <v/>
      </c>
      <c r="I1767" s="19"/>
      <c r="J1767" s="15" t="str">
        <f>IF($B1767="","",IFERROR(INDEX(Services!$E$2:$E$120,MATCH($B1767,Services!$D$2:$D$120,0)),""))</f>
        <v/>
      </c>
    </row>
    <row r="1768" spans="1:10" x14ac:dyDescent="0.3">
      <c r="A1768" s="18"/>
      <c r="B1768" s="6"/>
      <c r="C1768" s="6"/>
      <c r="D1768" s="6"/>
      <c r="E1768" s="16" t="str">
        <f>IF($B1768="","",IFERROR(INDEX(Services!$C$2:$C$120,MATCH($B1768,Services!$D$2:$D$120,0)),""))</f>
        <v/>
      </c>
      <c r="F1768" s="19"/>
      <c r="G1768" s="9" t="str">
        <f t="shared" si="27"/>
        <v/>
      </c>
      <c r="H1768" s="15" t="str">
        <f>IF($B1768="","",IFERROR(INDEX(Services!$A$2:$A$120,MATCH($B1768,Services!$D$2:$D$120,0)),""))</f>
        <v/>
      </c>
      <c r="I1768" s="19"/>
      <c r="J1768" s="15" t="str">
        <f>IF($B1768="","",IFERROR(INDEX(Services!$E$2:$E$120,MATCH($B1768,Services!$D$2:$D$120,0)),""))</f>
        <v/>
      </c>
    </row>
    <row r="1769" spans="1:10" x14ac:dyDescent="0.3">
      <c r="A1769" s="18"/>
      <c r="B1769" s="6"/>
      <c r="C1769" s="6"/>
      <c r="D1769" s="6"/>
      <c r="E1769" s="16" t="str">
        <f>IF($B1769="","",IFERROR(INDEX(Services!$C$2:$C$120,MATCH($B1769,Services!$D$2:$D$120,0)),""))</f>
        <v/>
      </c>
      <c r="F1769" s="19"/>
      <c r="G1769" s="9" t="str">
        <f t="shared" si="27"/>
        <v/>
      </c>
      <c r="H1769" s="15" t="str">
        <f>IF($B1769="","",IFERROR(INDEX(Services!$A$2:$A$120,MATCH($B1769,Services!$D$2:$D$120,0)),""))</f>
        <v/>
      </c>
      <c r="I1769" s="19"/>
      <c r="J1769" s="15" t="str">
        <f>IF($B1769="","",IFERROR(INDEX(Services!$E$2:$E$120,MATCH($B1769,Services!$D$2:$D$120,0)),""))</f>
        <v/>
      </c>
    </row>
    <row r="1770" spans="1:10" x14ac:dyDescent="0.3">
      <c r="A1770" s="18"/>
      <c r="B1770" s="6"/>
      <c r="C1770" s="6"/>
      <c r="D1770" s="6"/>
      <c r="E1770" s="16" t="str">
        <f>IF($B1770="","",IFERROR(INDEX(Services!$C$2:$C$120,MATCH($B1770,Services!$D$2:$D$120,0)),""))</f>
        <v/>
      </c>
      <c r="F1770" s="19"/>
      <c r="G1770" s="9" t="str">
        <f t="shared" si="27"/>
        <v/>
      </c>
      <c r="H1770" s="15" t="str">
        <f>IF($B1770="","",IFERROR(INDEX(Services!$A$2:$A$120,MATCH($B1770,Services!$D$2:$D$120,0)),""))</f>
        <v/>
      </c>
      <c r="I1770" s="19"/>
      <c r="J1770" s="15" t="str">
        <f>IF($B1770="","",IFERROR(INDEX(Services!$E$2:$E$120,MATCH($B1770,Services!$D$2:$D$120,0)),""))</f>
        <v/>
      </c>
    </row>
    <row r="1771" spans="1:10" x14ac:dyDescent="0.3">
      <c r="A1771" s="18"/>
      <c r="B1771" s="6"/>
      <c r="C1771" s="6"/>
      <c r="D1771" s="6"/>
      <c r="E1771" s="16" t="str">
        <f>IF($B1771="","",IFERROR(INDEX(Services!$C$2:$C$120,MATCH($B1771,Services!$D$2:$D$120,0)),""))</f>
        <v/>
      </c>
      <c r="F1771" s="19"/>
      <c r="G1771" s="9" t="str">
        <f t="shared" si="27"/>
        <v/>
      </c>
      <c r="H1771" s="15" t="str">
        <f>IF($B1771="","",IFERROR(INDEX(Services!$A$2:$A$120,MATCH($B1771,Services!$D$2:$D$120,0)),""))</f>
        <v/>
      </c>
      <c r="I1771" s="19"/>
      <c r="J1771" s="15" t="str">
        <f>IF($B1771="","",IFERROR(INDEX(Services!$E$2:$E$120,MATCH($B1771,Services!$D$2:$D$120,0)),""))</f>
        <v/>
      </c>
    </row>
    <row r="1772" spans="1:10" x14ac:dyDescent="0.3">
      <c r="A1772" s="18"/>
      <c r="B1772" s="6"/>
      <c r="C1772" s="6"/>
      <c r="D1772" s="6"/>
      <c r="E1772" s="16" t="str">
        <f>IF($B1772="","",IFERROR(INDEX(Services!$C$2:$C$120,MATCH($B1772,Services!$D$2:$D$120,0)),""))</f>
        <v/>
      </c>
      <c r="F1772" s="19"/>
      <c r="G1772" s="9" t="str">
        <f t="shared" si="27"/>
        <v/>
      </c>
      <c r="H1772" s="15" t="str">
        <f>IF($B1772="","",IFERROR(INDEX(Services!$A$2:$A$120,MATCH($B1772,Services!$D$2:$D$120,0)),""))</f>
        <v/>
      </c>
      <c r="I1772" s="19"/>
      <c r="J1772" s="15" t="str">
        <f>IF($B1772="","",IFERROR(INDEX(Services!$E$2:$E$120,MATCH($B1772,Services!$D$2:$D$120,0)),""))</f>
        <v/>
      </c>
    </row>
    <row r="1773" spans="1:10" x14ac:dyDescent="0.3">
      <c r="A1773" s="18"/>
      <c r="B1773" s="6"/>
      <c r="C1773" s="6"/>
      <c r="D1773" s="6"/>
      <c r="E1773" s="16" t="str">
        <f>IF($B1773="","",IFERROR(INDEX(Services!$C$2:$C$120,MATCH($B1773,Services!$D$2:$D$120,0)),""))</f>
        <v/>
      </c>
      <c r="F1773" s="19"/>
      <c r="G1773" s="9" t="str">
        <f t="shared" si="27"/>
        <v/>
      </c>
      <c r="H1773" s="15" t="str">
        <f>IF($B1773="","",IFERROR(INDEX(Services!$A$2:$A$120,MATCH($B1773,Services!$D$2:$D$120,0)),""))</f>
        <v/>
      </c>
      <c r="I1773" s="19"/>
      <c r="J1773" s="15" t="str">
        <f>IF($B1773="","",IFERROR(INDEX(Services!$E$2:$E$120,MATCH($B1773,Services!$D$2:$D$120,0)),""))</f>
        <v/>
      </c>
    </row>
    <row r="1774" spans="1:10" x14ac:dyDescent="0.3">
      <c r="A1774" s="18"/>
      <c r="B1774" s="6"/>
      <c r="C1774" s="6"/>
      <c r="D1774" s="6"/>
      <c r="E1774" s="16" t="str">
        <f>IF($B1774="","",IFERROR(INDEX(Services!$C$2:$C$120,MATCH($B1774,Services!$D$2:$D$120,0)),""))</f>
        <v/>
      </c>
      <c r="F1774" s="19"/>
      <c r="G1774" s="9" t="str">
        <f t="shared" si="27"/>
        <v/>
      </c>
      <c r="H1774" s="15" t="str">
        <f>IF($B1774="","",IFERROR(INDEX(Services!$A$2:$A$120,MATCH($B1774,Services!$D$2:$D$120,0)),""))</f>
        <v/>
      </c>
      <c r="I1774" s="19"/>
      <c r="J1774" s="15" t="str">
        <f>IF($B1774="","",IFERROR(INDEX(Services!$E$2:$E$120,MATCH($B1774,Services!$D$2:$D$120,0)),""))</f>
        <v/>
      </c>
    </row>
    <row r="1775" spans="1:10" x14ac:dyDescent="0.3">
      <c r="A1775" s="18"/>
      <c r="B1775" s="6"/>
      <c r="C1775" s="6"/>
      <c r="D1775" s="6"/>
      <c r="E1775" s="16" t="str">
        <f>IF($B1775="","",IFERROR(INDEX(Services!$C$2:$C$120,MATCH($B1775,Services!$D$2:$D$120,0)),""))</f>
        <v/>
      </c>
      <c r="F1775" s="19"/>
      <c r="G1775" s="9" t="str">
        <f t="shared" si="27"/>
        <v/>
      </c>
      <c r="H1775" s="15" t="str">
        <f>IF($B1775="","",IFERROR(INDEX(Services!$A$2:$A$120,MATCH($B1775,Services!$D$2:$D$120,0)),""))</f>
        <v/>
      </c>
      <c r="I1775" s="19"/>
      <c r="J1775" s="15" t="str">
        <f>IF($B1775="","",IFERROR(INDEX(Services!$E$2:$E$120,MATCH($B1775,Services!$D$2:$D$120,0)),""))</f>
        <v/>
      </c>
    </row>
    <row r="1776" spans="1:10" x14ac:dyDescent="0.3">
      <c r="A1776" s="18"/>
      <c r="B1776" s="6"/>
      <c r="C1776" s="6"/>
      <c r="D1776" s="6"/>
      <c r="E1776" s="16" t="str">
        <f>IF($B1776="","",IFERROR(INDEX(Services!$C$2:$C$120,MATCH($B1776,Services!$D$2:$D$120,0)),""))</f>
        <v/>
      </c>
      <c r="F1776" s="19"/>
      <c r="G1776" s="9" t="str">
        <f t="shared" si="27"/>
        <v/>
      </c>
      <c r="H1776" s="15" t="str">
        <f>IF($B1776="","",IFERROR(INDEX(Services!$A$2:$A$120,MATCH($B1776,Services!$D$2:$D$120,0)),""))</f>
        <v/>
      </c>
      <c r="I1776" s="19"/>
      <c r="J1776" s="15" t="str">
        <f>IF($B1776="","",IFERROR(INDEX(Services!$E$2:$E$120,MATCH($B1776,Services!$D$2:$D$120,0)),""))</f>
        <v/>
      </c>
    </row>
    <row r="1777" spans="1:10" x14ac:dyDescent="0.3">
      <c r="A1777" s="18"/>
      <c r="B1777" s="6"/>
      <c r="C1777" s="6"/>
      <c r="D1777" s="6"/>
      <c r="E1777" s="16" t="str">
        <f>IF($B1777="","",IFERROR(INDEX(Services!$C$2:$C$120,MATCH($B1777,Services!$D$2:$D$120,0)),""))</f>
        <v/>
      </c>
      <c r="F1777" s="19"/>
      <c r="G1777" s="9" t="str">
        <f t="shared" si="27"/>
        <v/>
      </c>
      <c r="H1777" s="15" t="str">
        <f>IF($B1777="","",IFERROR(INDEX(Services!$A$2:$A$120,MATCH($B1777,Services!$D$2:$D$120,0)),""))</f>
        <v/>
      </c>
      <c r="I1777" s="19"/>
      <c r="J1777" s="15" t="str">
        <f>IF($B1777="","",IFERROR(INDEX(Services!$E$2:$E$120,MATCH($B1777,Services!$D$2:$D$120,0)),""))</f>
        <v/>
      </c>
    </row>
    <row r="1778" spans="1:10" x14ac:dyDescent="0.3">
      <c r="A1778" s="18"/>
      <c r="B1778" s="6"/>
      <c r="C1778" s="6"/>
      <c r="D1778" s="6"/>
      <c r="E1778" s="16" t="str">
        <f>IF($B1778="","",IFERROR(INDEX(Services!$C$2:$C$120,MATCH($B1778,Services!$D$2:$D$120,0)),""))</f>
        <v/>
      </c>
      <c r="F1778" s="19"/>
      <c r="G1778" s="9" t="str">
        <f t="shared" si="27"/>
        <v/>
      </c>
      <c r="H1778" s="15" t="str">
        <f>IF($B1778="","",IFERROR(INDEX(Services!$A$2:$A$120,MATCH($B1778,Services!$D$2:$D$120,0)),""))</f>
        <v/>
      </c>
      <c r="I1778" s="19"/>
      <c r="J1778" s="15" t="str">
        <f>IF($B1778="","",IFERROR(INDEX(Services!$E$2:$E$120,MATCH($B1778,Services!$D$2:$D$120,0)),""))</f>
        <v/>
      </c>
    </row>
    <row r="1779" spans="1:10" x14ac:dyDescent="0.3">
      <c r="A1779" s="18"/>
      <c r="B1779" s="6"/>
      <c r="C1779" s="6"/>
      <c r="D1779" s="6"/>
      <c r="E1779" s="16" t="str">
        <f>IF($B1779="","",IFERROR(INDEX(Services!$C$2:$C$120,MATCH($B1779,Services!$D$2:$D$120,0)),""))</f>
        <v/>
      </c>
      <c r="F1779" s="19"/>
      <c r="G1779" s="9" t="str">
        <f t="shared" si="27"/>
        <v/>
      </c>
      <c r="H1779" s="15" t="str">
        <f>IF($B1779="","",IFERROR(INDEX(Services!$A$2:$A$120,MATCH($B1779,Services!$D$2:$D$120,0)),""))</f>
        <v/>
      </c>
      <c r="I1779" s="19"/>
      <c r="J1779" s="15" t="str">
        <f>IF($B1779="","",IFERROR(INDEX(Services!$E$2:$E$120,MATCH($B1779,Services!$D$2:$D$120,0)),""))</f>
        <v/>
      </c>
    </row>
    <row r="1780" spans="1:10" x14ac:dyDescent="0.3">
      <c r="A1780" s="18"/>
      <c r="B1780" s="6"/>
      <c r="C1780" s="6"/>
      <c r="D1780" s="6"/>
      <c r="E1780" s="16" t="str">
        <f>IF($B1780="","",IFERROR(INDEX(Services!$C$2:$C$120,MATCH($B1780,Services!$D$2:$D$120,0)),""))</f>
        <v/>
      </c>
      <c r="F1780" s="19"/>
      <c r="G1780" s="9" t="str">
        <f t="shared" si="27"/>
        <v/>
      </c>
      <c r="H1780" s="15" t="str">
        <f>IF($B1780="","",IFERROR(INDEX(Services!$A$2:$A$120,MATCH($B1780,Services!$D$2:$D$120,0)),""))</f>
        <v/>
      </c>
      <c r="I1780" s="19"/>
      <c r="J1780" s="15" t="str">
        <f>IF($B1780="","",IFERROR(INDEX(Services!$E$2:$E$120,MATCH($B1780,Services!$D$2:$D$120,0)),""))</f>
        <v/>
      </c>
    </row>
    <row r="1781" spans="1:10" x14ac:dyDescent="0.3">
      <c r="A1781" s="18"/>
      <c r="B1781" s="6"/>
      <c r="C1781" s="6"/>
      <c r="D1781" s="6"/>
      <c r="E1781" s="16" t="str">
        <f>IF($B1781="","",IFERROR(INDEX(Services!$C$2:$C$120,MATCH($B1781,Services!$D$2:$D$120,0)),""))</f>
        <v/>
      </c>
      <c r="F1781" s="19"/>
      <c r="G1781" s="9" t="str">
        <f t="shared" si="27"/>
        <v/>
      </c>
      <c r="H1781" s="15" t="str">
        <f>IF($B1781="","",IFERROR(INDEX(Services!$A$2:$A$120,MATCH($B1781,Services!$D$2:$D$120,0)),""))</f>
        <v/>
      </c>
      <c r="I1781" s="19"/>
      <c r="J1781" s="15" t="str">
        <f>IF($B1781="","",IFERROR(INDEX(Services!$E$2:$E$120,MATCH($B1781,Services!$D$2:$D$120,0)),""))</f>
        <v/>
      </c>
    </row>
    <row r="1782" spans="1:10" x14ac:dyDescent="0.3">
      <c r="A1782" s="18"/>
      <c r="B1782" s="6"/>
      <c r="C1782" s="6"/>
      <c r="D1782" s="6"/>
      <c r="E1782" s="16" t="str">
        <f>IF($B1782="","",IFERROR(INDEX(Services!$C$2:$C$120,MATCH($B1782,Services!$D$2:$D$120,0)),""))</f>
        <v/>
      </c>
      <c r="F1782" s="19"/>
      <c r="G1782" s="9" t="str">
        <f t="shared" si="27"/>
        <v/>
      </c>
      <c r="H1782" s="15" t="str">
        <f>IF($B1782="","",IFERROR(INDEX(Services!$A$2:$A$120,MATCH($B1782,Services!$D$2:$D$120,0)),""))</f>
        <v/>
      </c>
      <c r="I1782" s="19"/>
      <c r="J1782" s="15" t="str">
        <f>IF($B1782="","",IFERROR(INDEX(Services!$E$2:$E$120,MATCH($B1782,Services!$D$2:$D$120,0)),""))</f>
        <v/>
      </c>
    </row>
    <row r="1783" spans="1:10" x14ac:dyDescent="0.3">
      <c r="A1783" s="18"/>
      <c r="B1783" s="6"/>
      <c r="C1783" s="6"/>
      <c r="D1783" s="6"/>
      <c r="E1783" s="16" t="str">
        <f>IF($B1783="","",IFERROR(INDEX(Services!$C$2:$C$120,MATCH($B1783,Services!$D$2:$D$120,0)),""))</f>
        <v/>
      </c>
      <c r="F1783" s="19"/>
      <c r="G1783" s="9" t="str">
        <f t="shared" si="27"/>
        <v/>
      </c>
      <c r="H1783" s="15" t="str">
        <f>IF($B1783="","",IFERROR(INDEX(Services!$A$2:$A$120,MATCH($B1783,Services!$D$2:$D$120,0)),""))</f>
        <v/>
      </c>
      <c r="I1783" s="19"/>
      <c r="J1783" s="15" t="str">
        <f>IF($B1783="","",IFERROR(INDEX(Services!$E$2:$E$120,MATCH($B1783,Services!$D$2:$D$120,0)),""))</f>
        <v/>
      </c>
    </row>
    <row r="1784" spans="1:10" x14ac:dyDescent="0.3">
      <c r="A1784" s="18"/>
      <c r="B1784" s="6"/>
      <c r="C1784" s="6"/>
      <c r="D1784" s="6"/>
      <c r="E1784" s="16" t="str">
        <f>IF($B1784="","",IFERROR(INDEX(Services!$C$2:$C$120,MATCH($B1784,Services!$D$2:$D$120,0)),""))</f>
        <v/>
      </c>
      <c r="F1784" s="19"/>
      <c r="G1784" s="9" t="str">
        <f t="shared" si="27"/>
        <v/>
      </c>
      <c r="H1784" s="15" t="str">
        <f>IF($B1784="","",IFERROR(INDEX(Services!$A$2:$A$120,MATCH($B1784,Services!$D$2:$D$120,0)),""))</f>
        <v/>
      </c>
      <c r="I1784" s="19"/>
      <c r="J1784" s="15" t="str">
        <f>IF($B1784="","",IFERROR(INDEX(Services!$E$2:$E$120,MATCH($B1784,Services!$D$2:$D$120,0)),""))</f>
        <v/>
      </c>
    </row>
    <row r="1785" spans="1:10" x14ac:dyDescent="0.3">
      <c r="A1785" s="18"/>
      <c r="B1785" s="6"/>
      <c r="C1785" s="6"/>
      <c r="D1785" s="6"/>
      <c r="E1785" s="16" t="str">
        <f>IF($B1785="","",IFERROR(INDEX(Services!$C$2:$C$120,MATCH($B1785,Services!$D$2:$D$120,0)),""))</f>
        <v/>
      </c>
      <c r="F1785" s="19"/>
      <c r="G1785" s="9" t="str">
        <f t="shared" si="27"/>
        <v/>
      </c>
      <c r="H1785" s="15" t="str">
        <f>IF($B1785="","",IFERROR(INDEX(Services!$A$2:$A$120,MATCH($B1785,Services!$D$2:$D$120,0)),""))</f>
        <v/>
      </c>
      <c r="I1785" s="19"/>
      <c r="J1785" s="15" t="str">
        <f>IF($B1785="","",IFERROR(INDEX(Services!$E$2:$E$120,MATCH($B1785,Services!$D$2:$D$120,0)),""))</f>
        <v/>
      </c>
    </row>
    <row r="1786" spans="1:10" x14ac:dyDescent="0.3">
      <c r="A1786" s="18"/>
      <c r="B1786" s="6"/>
      <c r="C1786" s="6"/>
      <c r="D1786" s="6"/>
      <c r="E1786" s="16" t="str">
        <f>IF($B1786="","",IFERROR(INDEX(Services!$C$2:$C$120,MATCH($B1786,Services!$D$2:$D$120,0)),""))</f>
        <v/>
      </c>
      <c r="F1786" s="19"/>
      <c r="G1786" s="9" t="str">
        <f t="shared" si="27"/>
        <v/>
      </c>
      <c r="H1786" s="15" t="str">
        <f>IF($B1786="","",IFERROR(INDEX(Services!$A$2:$A$120,MATCH($B1786,Services!$D$2:$D$120,0)),""))</f>
        <v/>
      </c>
      <c r="I1786" s="19"/>
      <c r="J1786" s="15" t="str">
        <f>IF($B1786="","",IFERROR(INDEX(Services!$E$2:$E$120,MATCH($B1786,Services!$D$2:$D$120,0)),""))</f>
        <v/>
      </c>
    </row>
    <row r="1787" spans="1:10" x14ac:dyDescent="0.3">
      <c r="A1787" s="18"/>
      <c r="B1787" s="6"/>
      <c r="C1787" s="6"/>
      <c r="D1787" s="6"/>
      <c r="E1787" s="16" t="str">
        <f>IF($B1787="","",IFERROR(INDEX(Services!$C$2:$C$120,MATCH($B1787,Services!$D$2:$D$120,0)),""))</f>
        <v/>
      </c>
      <c r="F1787" s="19"/>
      <c r="G1787" s="9" t="str">
        <f t="shared" si="27"/>
        <v/>
      </c>
      <c r="H1787" s="15" t="str">
        <f>IF($B1787="","",IFERROR(INDEX(Services!$A$2:$A$120,MATCH($B1787,Services!$D$2:$D$120,0)),""))</f>
        <v/>
      </c>
      <c r="I1787" s="19"/>
      <c r="J1787" s="15" t="str">
        <f>IF($B1787="","",IFERROR(INDEX(Services!$E$2:$E$120,MATCH($B1787,Services!$D$2:$D$120,0)),""))</f>
        <v/>
      </c>
    </row>
    <row r="1788" spans="1:10" x14ac:dyDescent="0.3">
      <c r="A1788" s="18"/>
      <c r="B1788" s="6"/>
      <c r="C1788" s="6"/>
      <c r="D1788" s="6"/>
      <c r="E1788" s="16" t="str">
        <f>IF($B1788="","",IFERROR(INDEX(Services!$C$2:$C$120,MATCH($B1788,Services!$D$2:$D$120,0)),""))</f>
        <v/>
      </c>
      <c r="F1788" s="19"/>
      <c r="G1788" s="9" t="str">
        <f t="shared" si="27"/>
        <v/>
      </c>
      <c r="H1788" s="15" t="str">
        <f>IF($B1788="","",IFERROR(INDEX(Services!$A$2:$A$120,MATCH($B1788,Services!$D$2:$D$120,0)),""))</f>
        <v/>
      </c>
      <c r="I1788" s="19"/>
      <c r="J1788" s="15" t="str">
        <f>IF($B1788="","",IFERROR(INDEX(Services!$E$2:$E$120,MATCH($B1788,Services!$D$2:$D$120,0)),""))</f>
        <v/>
      </c>
    </row>
    <row r="1789" spans="1:10" x14ac:dyDescent="0.3">
      <c r="A1789" s="18"/>
      <c r="B1789" s="6"/>
      <c r="C1789" s="6"/>
      <c r="D1789" s="6"/>
      <c r="E1789" s="16" t="str">
        <f>IF($B1789="","",IFERROR(INDEX(Services!$C$2:$C$120,MATCH($B1789,Services!$D$2:$D$120,0)),""))</f>
        <v/>
      </c>
      <c r="F1789" s="19"/>
      <c r="G1789" s="9" t="str">
        <f t="shared" si="27"/>
        <v/>
      </c>
      <c r="H1789" s="15" t="str">
        <f>IF($B1789="","",IFERROR(INDEX(Services!$A$2:$A$120,MATCH($B1789,Services!$D$2:$D$120,0)),""))</f>
        <v/>
      </c>
      <c r="I1789" s="19"/>
      <c r="J1789" s="15" t="str">
        <f>IF($B1789="","",IFERROR(INDEX(Services!$E$2:$E$120,MATCH($B1789,Services!$D$2:$D$120,0)),""))</f>
        <v/>
      </c>
    </row>
    <row r="1790" spans="1:10" x14ac:dyDescent="0.3">
      <c r="A1790" s="18"/>
      <c r="B1790" s="6"/>
      <c r="C1790" s="6"/>
      <c r="D1790" s="6"/>
      <c r="E1790" s="16" t="str">
        <f>IF($B1790="","",IFERROR(INDEX(Services!$C$2:$C$120,MATCH($B1790,Services!$D$2:$D$120,0)),""))</f>
        <v/>
      </c>
      <c r="F1790" s="19"/>
      <c r="G1790" s="9" t="str">
        <f t="shared" si="27"/>
        <v/>
      </c>
      <c r="H1790" s="15" t="str">
        <f>IF($B1790="","",IFERROR(INDEX(Services!$A$2:$A$120,MATCH($B1790,Services!$D$2:$D$120,0)),""))</f>
        <v/>
      </c>
      <c r="I1790" s="19"/>
      <c r="J1790" s="15" t="str">
        <f>IF($B1790="","",IFERROR(INDEX(Services!$E$2:$E$120,MATCH($B1790,Services!$D$2:$D$120,0)),""))</f>
        <v/>
      </c>
    </row>
    <row r="1791" spans="1:10" x14ac:dyDescent="0.3">
      <c r="A1791" s="18"/>
      <c r="B1791" s="6"/>
      <c r="C1791" s="6"/>
      <c r="D1791" s="6"/>
      <c r="E1791" s="16" t="str">
        <f>IF($B1791="","",IFERROR(INDEX(Services!$C$2:$C$120,MATCH($B1791,Services!$D$2:$D$120,0)),""))</f>
        <v/>
      </c>
      <c r="F1791" s="19"/>
      <c r="G1791" s="9" t="str">
        <f t="shared" si="27"/>
        <v/>
      </c>
      <c r="H1791" s="15" t="str">
        <f>IF($B1791="","",IFERROR(INDEX(Services!$A$2:$A$120,MATCH($B1791,Services!$D$2:$D$120,0)),""))</f>
        <v/>
      </c>
      <c r="I1791" s="19"/>
      <c r="J1791" s="15" t="str">
        <f>IF($B1791="","",IFERROR(INDEX(Services!$E$2:$E$120,MATCH($B1791,Services!$D$2:$D$120,0)),""))</f>
        <v/>
      </c>
    </row>
    <row r="1792" spans="1:10" x14ac:dyDescent="0.3">
      <c r="A1792" s="18"/>
      <c r="B1792" s="6"/>
      <c r="C1792" s="6"/>
      <c r="D1792" s="6"/>
      <c r="E1792" s="16" t="str">
        <f>IF($B1792="","",IFERROR(INDEX(Services!$C$2:$C$120,MATCH($B1792,Services!$D$2:$D$120,0)),""))</f>
        <v/>
      </c>
      <c r="F1792" s="19"/>
      <c r="G1792" s="9" t="str">
        <f t="shared" si="27"/>
        <v/>
      </c>
      <c r="H1792" s="15" t="str">
        <f>IF($B1792="","",IFERROR(INDEX(Services!$A$2:$A$120,MATCH($B1792,Services!$D$2:$D$120,0)),""))</f>
        <v/>
      </c>
      <c r="I1792" s="19"/>
      <c r="J1792" s="15" t="str">
        <f>IF($B1792="","",IFERROR(INDEX(Services!$E$2:$E$120,MATCH($B1792,Services!$D$2:$D$120,0)),""))</f>
        <v/>
      </c>
    </row>
    <row r="1793" spans="1:10" x14ac:dyDescent="0.3">
      <c r="A1793" s="18"/>
      <c r="B1793" s="6"/>
      <c r="C1793" s="6"/>
      <c r="D1793" s="6"/>
      <c r="E1793" s="16" t="str">
        <f>IF($B1793="","",IFERROR(INDEX(Services!$C$2:$C$120,MATCH($B1793,Services!$D$2:$D$120,0)),""))</f>
        <v/>
      </c>
      <c r="F1793" s="19"/>
      <c r="G1793" s="9" t="str">
        <f t="shared" si="27"/>
        <v/>
      </c>
      <c r="H1793" s="15" t="str">
        <f>IF($B1793="","",IFERROR(INDEX(Services!$A$2:$A$120,MATCH($B1793,Services!$D$2:$D$120,0)),""))</f>
        <v/>
      </c>
      <c r="I1793" s="19"/>
      <c r="J1793" s="15" t="str">
        <f>IF($B1793="","",IFERROR(INDEX(Services!$E$2:$E$120,MATCH($B1793,Services!$D$2:$D$120,0)),""))</f>
        <v/>
      </c>
    </row>
    <row r="1794" spans="1:10" x14ac:dyDescent="0.3">
      <c r="A1794" s="18"/>
      <c r="B1794" s="6"/>
      <c r="C1794" s="6"/>
      <c r="D1794" s="6"/>
      <c r="E1794" s="16" t="str">
        <f>IF($B1794="","",IFERROR(INDEX(Services!$C$2:$C$120,MATCH($B1794,Services!$D$2:$D$120,0)),""))</f>
        <v/>
      </c>
      <c r="F1794" s="19"/>
      <c r="G1794" s="9" t="str">
        <f t="shared" ref="G1794:G1857" si="28">IF(OR($B1794="",NOT(ISNUMBER($E1794))),"",$E1794-IF($F1794="",0,$F1794))</f>
        <v/>
      </c>
      <c r="H1794" s="15" t="str">
        <f>IF($B1794="","",IFERROR(INDEX(Services!$A$2:$A$120,MATCH($B1794,Services!$D$2:$D$120,0)),""))</f>
        <v/>
      </c>
      <c r="I1794" s="19"/>
      <c r="J1794" s="15" t="str">
        <f>IF($B1794="","",IFERROR(INDEX(Services!$E$2:$E$120,MATCH($B1794,Services!$D$2:$D$120,0)),""))</f>
        <v/>
      </c>
    </row>
    <row r="1795" spans="1:10" x14ac:dyDescent="0.3">
      <c r="A1795" s="18"/>
      <c r="B1795" s="6"/>
      <c r="C1795" s="6"/>
      <c r="D1795" s="6"/>
      <c r="E1795" s="16" t="str">
        <f>IF($B1795="","",IFERROR(INDEX(Services!$C$2:$C$120,MATCH($B1795,Services!$D$2:$D$120,0)),""))</f>
        <v/>
      </c>
      <c r="F1795" s="19"/>
      <c r="G1795" s="9" t="str">
        <f t="shared" si="28"/>
        <v/>
      </c>
      <c r="H1795" s="15" t="str">
        <f>IF($B1795="","",IFERROR(INDEX(Services!$A$2:$A$120,MATCH($B1795,Services!$D$2:$D$120,0)),""))</f>
        <v/>
      </c>
      <c r="I1795" s="19"/>
      <c r="J1795" s="15" t="str">
        <f>IF($B1795="","",IFERROR(INDEX(Services!$E$2:$E$120,MATCH($B1795,Services!$D$2:$D$120,0)),""))</f>
        <v/>
      </c>
    </row>
    <row r="1796" spans="1:10" x14ac:dyDescent="0.3">
      <c r="A1796" s="18"/>
      <c r="B1796" s="6"/>
      <c r="C1796" s="6"/>
      <c r="D1796" s="6"/>
      <c r="E1796" s="16" t="str">
        <f>IF($B1796="","",IFERROR(INDEX(Services!$C$2:$C$120,MATCH($B1796,Services!$D$2:$D$120,0)),""))</f>
        <v/>
      </c>
      <c r="F1796" s="19"/>
      <c r="G1796" s="9" t="str">
        <f t="shared" si="28"/>
        <v/>
      </c>
      <c r="H1796" s="15" t="str">
        <f>IF($B1796="","",IFERROR(INDEX(Services!$A$2:$A$120,MATCH($B1796,Services!$D$2:$D$120,0)),""))</f>
        <v/>
      </c>
      <c r="I1796" s="19"/>
      <c r="J1796" s="15" t="str">
        <f>IF($B1796="","",IFERROR(INDEX(Services!$E$2:$E$120,MATCH($B1796,Services!$D$2:$D$120,0)),""))</f>
        <v/>
      </c>
    </row>
    <row r="1797" spans="1:10" x14ac:dyDescent="0.3">
      <c r="A1797" s="18"/>
      <c r="B1797" s="6"/>
      <c r="C1797" s="6"/>
      <c r="D1797" s="6"/>
      <c r="E1797" s="16" t="str">
        <f>IF($B1797="","",IFERROR(INDEX(Services!$C$2:$C$120,MATCH($B1797,Services!$D$2:$D$120,0)),""))</f>
        <v/>
      </c>
      <c r="F1797" s="19"/>
      <c r="G1797" s="9" t="str">
        <f t="shared" si="28"/>
        <v/>
      </c>
      <c r="H1797" s="15" t="str">
        <f>IF($B1797="","",IFERROR(INDEX(Services!$A$2:$A$120,MATCH($B1797,Services!$D$2:$D$120,0)),""))</f>
        <v/>
      </c>
      <c r="I1797" s="19"/>
      <c r="J1797" s="15" t="str">
        <f>IF($B1797="","",IFERROR(INDEX(Services!$E$2:$E$120,MATCH($B1797,Services!$D$2:$D$120,0)),""))</f>
        <v/>
      </c>
    </row>
    <row r="1798" spans="1:10" x14ac:dyDescent="0.3">
      <c r="A1798" s="18"/>
      <c r="B1798" s="6"/>
      <c r="C1798" s="6"/>
      <c r="D1798" s="6"/>
      <c r="E1798" s="16" t="str">
        <f>IF($B1798="","",IFERROR(INDEX(Services!$C$2:$C$120,MATCH($B1798,Services!$D$2:$D$120,0)),""))</f>
        <v/>
      </c>
      <c r="F1798" s="19"/>
      <c r="G1798" s="9" t="str">
        <f t="shared" si="28"/>
        <v/>
      </c>
      <c r="H1798" s="15" t="str">
        <f>IF($B1798="","",IFERROR(INDEX(Services!$A$2:$A$120,MATCH($B1798,Services!$D$2:$D$120,0)),""))</f>
        <v/>
      </c>
      <c r="I1798" s="19"/>
      <c r="J1798" s="15" t="str">
        <f>IF($B1798="","",IFERROR(INDEX(Services!$E$2:$E$120,MATCH($B1798,Services!$D$2:$D$120,0)),""))</f>
        <v/>
      </c>
    </row>
    <row r="1799" spans="1:10" x14ac:dyDescent="0.3">
      <c r="A1799" s="18"/>
      <c r="B1799" s="6"/>
      <c r="C1799" s="6"/>
      <c r="D1799" s="6"/>
      <c r="E1799" s="16" t="str">
        <f>IF($B1799="","",IFERROR(INDEX(Services!$C$2:$C$120,MATCH($B1799,Services!$D$2:$D$120,0)),""))</f>
        <v/>
      </c>
      <c r="F1799" s="19"/>
      <c r="G1799" s="9" t="str">
        <f t="shared" si="28"/>
        <v/>
      </c>
      <c r="H1799" s="15" t="str">
        <f>IF($B1799="","",IFERROR(INDEX(Services!$A$2:$A$120,MATCH($B1799,Services!$D$2:$D$120,0)),""))</f>
        <v/>
      </c>
      <c r="I1799" s="19"/>
      <c r="J1799" s="15" t="str">
        <f>IF($B1799="","",IFERROR(INDEX(Services!$E$2:$E$120,MATCH($B1799,Services!$D$2:$D$120,0)),""))</f>
        <v/>
      </c>
    </row>
    <row r="1800" spans="1:10" x14ac:dyDescent="0.3">
      <c r="A1800" s="18"/>
      <c r="B1800" s="6"/>
      <c r="C1800" s="6"/>
      <c r="D1800" s="6"/>
      <c r="E1800" s="16" t="str">
        <f>IF($B1800="","",IFERROR(INDEX(Services!$C$2:$C$120,MATCH($B1800,Services!$D$2:$D$120,0)),""))</f>
        <v/>
      </c>
      <c r="F1800" s="19"/>
      <c r="G1800" s="9" t="str">
        <f t="shared" si="28"/>
        <v/>
      </c>
      <c r="H1800" s="15" t="str">
        <f>IF($B1800="","",IFERROR(INDEX(Services!$A$2:$A$120,MATCH($B1800,Services!$D$2:$D$120,0)),""))</f>
        <v/>
      </c>
      <c r="I1800" s="19"/>
      <c r="J1800" s="15" t="str">
        <f>IF($B1800="","",IFERROR(INDEX(Services!$E$2:$E$120,MATCH($B1800,Services!$D$2:$D$120,0)),""))</f>
        <v/>
      </c>
    </row>
    <row r="1801" spans="1:10" x14ac:dyDescent="0.3">
      <c r="A1801" s="18"/>
      <c r="B1801" s="6"/>
      <c r="C1801" s="6"/>
      <c r="D1801" s="6"/>
      <c r="E1801" s="16" t="str">
        <f>IF($B1801="","",IFERROR(INDEX(Services!$C$2:$C$120,MATCH($B1801,Services!$D$2:$D$120,0)),""))</f>
        <v/>
      </c>
      <c r="F1801" s="19"/>
      <c r="G1801" s="9" t="str">
        <f t="shared" si="28"/>
        <v/>
      </c>
      <c r="H1801" s="15" t="str">
        <f>IF($B1801="","",IFERROR(INDEX(Services!$A$2:$A$120,MATCH($B1801,Services!$D$2:$D$120,0)),""))</f>
        <v/>
      </c>
      <c r="I1801" s="19"/>
      <c r="J1801" s="15" t="str">
        <f>IF($B1801="","",IFERROR(INDEX(Services!$E$2:$E$120,MATCH($B1801,Services!$D$2:$D$120,0)),""))</f>
        <v/>
      </c>
    </row>
    <row r="1802" spans="1:10" x14ac:dyDescent="0.3">
      <c r="A1802" s="18"/>
      <c r="B1802" s="6"/>
      <c r="C1802" s="6"/>
      <c r="D1802" s="6"/>
      <c r="E1802" s="16" t="str">
        <f>IF($B1802="","",IFERROR(INDEX(Services!$C$2:$C$120,MATCH($B1802,Services!$D$2:$D$120,0)),""))</f>
        <v/>
      </c>
      <c r="F1802" s="19"/>
      <c r="G1802" s="9" t="str">
        <f t="shared" si="28"/>
        <v/>
      </c>
      <c r="H1802" s="15" t="str">
        <f>IF($B1802="","",IFERROR(INDEX(Services!$A$2:$A$120,MATCH($B1802,Services!$D$2:$D$120,0)),""))</f>
        <v/>
      </c>
      <c r="I1802" s="19"/>
      <c r="J1802" s="15" t="str">
        <f>IF($B1802="","",IFERROR(INDEX(Services!$E$2:$E$120,MATCH($B1802,Services!$D$2:$D$120,0)),""))</f>
        <v/>
      </c>
    </row>
    <row r="1803" spans="1:10" x14ac:dyDescent="0.3">
      <c r="A1803" s="18"/>
      <c r="B1803" s="6"/>
      <c r="C1803" s="6"/>
      <c r="D1803" s="6"/>
      <c r="E1803" s="16" t="str">
        <f>IF($B1803="","",IFERROR(INDEX(Services!$C$2:$C$120,MATCH($B1803,Services!$D$2:$D$120,0)),""))</f>
        <v/>
      </c>
      <c r="F1803" s="19"/>
      <c r="G1803" s="9" t="str">
        <f t="shared" si="28"/>
        <v/>
      </c>
      <c r="H1803" s="15" t="str">
        <f>IF($B1803="","",IFERROR(INDEX(Services!$A$2:$A$120,MATCH($B1803,Services!$D$2:$D$120,0)),""))</f>
        <v/>
      </c>
      <c r="I1803" s="19"/>
      <c r="J1803" s="15" t="str">
        <f>IF($B1803="","",IFERROR(INDEX(Services!$E$2:$E$120,MATCH($B1803,Services!$D$2:$D$120,0)),""))</f>
        <v/>
      </c>
    </row>
    <row r="1804" spans="1:10" x14ac:dyDescent="0.3">
      <c r="A1804" s="18"/>
      <c r="B1804" s="6"/>
      <c r="C1804" s="6"/>
      <c r="D1804" s="6"/>
      <c r="E1804" s="16" t="str">
        <f>IF($B1804="","",IFERROR(INDEX(Services!$C$2:$C$120,MATCH($B1804,Services!$D$2:$D$120,0)),""))</f>
        <v/>
      </c>
      <c r="F1804" s="19"/>
      <c r="G1804" s="9" t="str">
        <f t="shared" si="28"/>
        <v/>
      </c>
      <c r="H1804" s="15" t="str">
        <f>IF($B1804="","",IFERROR(INDEX(Services!$A$2:$A$120,MATCH($B1804,Services!$D$2:$D$120,0)),""))</f>
        <v/>
      </c>
      <c r="I1804" s="19"/>
      <c r="J1804" s="15" t="str">
        <f>IF($B1804="","",IFERROR(INDEX(Services!$E$2:$E$120,MATCH($B1804,Services!$D$2:$D$120,0)),""))</f>
        <v/>
      </c>
    </row>
    <row r="1805" spans="1:10" x14ac:dyDescent="0.3">
      <c r="A1805" s="18"/>
      <c r="B1805" s="6"/>
      <c r="C1805" s="6"/>
      <c r="D1805" s="6"/>
      <c r="E1805" s="16" t="str">
        <f>IF($B1805="","",IFERROR(INDEX(Services!$C$2:$C$120,MATCH($B1805,Services!$D$2:$D$120,0)),""))</f>
        <v/>
      </c>
      <c r="F1805" s="19"/>
      <c r="G1805" s="9" t="str">
        <f t="shared" si="28"/>
        <v/>
      </c>
      <c r="H1805" s="15" t="str">
        <f>IF($B1805="","",IFERROR(INDEX(Services!$A$2:$A$120,MATCH($B1805,Services!$D$2:$D$120,0)),""))</f>
        <v/>
      </c>
      <c r="I1805" s="19"/>
      <c r="J1805" s="15" t="str">
        <f>IF($B1805="","",IFERROR(INDEX(Services!$E$2:$E$120,MATCH($B1805,Services!$D$2:$D$120,0)),""))</f>
        <v/>
      </c>
    </row>
    <row r="1806" spans="1:10" x14ac:dyDescent="0.3">
      <c r="A1806" s="18"/>
      <c r="B1806" s="6"/>
      <c r="C1806" s="6"/>
      <c r="D1806" s="6"/>
      <c r="E1806" s="16" t="str">
        <f>IF($B1806="","",IFERROR(INDEX(Services!$C$2:$C$120,MATCH($B1806,Services!$D$2:$D$120,0)),""))</f>
        <v/>
      </c>
      <c r="F1806" s="19"/>
      <c r="G1806" s="9" t="str">
        <f t="shared" si="28"/>
        <v/>
      </c>
      <c r="H1806" s="15" t="str">
        <f>IF($B1806="","",IFERROR(INDEX(Services!$A$2:$A$120,MATCH($B1806,Services!$D$2:$D$120,0)),""))</f>
        <v/>
      </c>
      <c r="I1806" s="19"/>
      <c r="J1806" s="15" t="str">
        <f>IF($B1806="","",IFERROR(INDEX(Services!$E$2:$E$120,MATCH($B1806,Services!$D$2:$D$120,0)),""))</f>
        <v/>
      </c>
    </row>
    <row r="1807" spans="1:10" x14ac:dyDescent="0.3">
      <c r="A1807" s="18"/>
      <c r="B1807" s="6"/>
      <c r="C1807" s="6"/>
      <c r="D1807" s="6"/>
      <c r="E1807" s="16" t="str">
        <f>IF($B1807="","",IFERROR(INDEX(Services!$C$2:$C$120,MATCH($B1807,Services!$D$2:$D$120,0)),""))</f>
        <v/>
      </c>
      <c r="F1807" s="19"/>
      <c r="G1807" s="9" t="str">
        <f t="shared" si="28"/>
        <v/>
      </c>
      <c r="H1807" s="15" t="str">
        <f>IF($B1807="","",IFERROR(INDEX(Services!$A$2:$A$120,MATCH($B1807,Services!$D$2:$D$120,0)),""))</f>
        <v/>
      </c>
      <c r="I1807" s="19"/>
      <c r="J1807" s="15" t="str">
        <f>IF($B1807="","",IFERROR(INDEX(Services!$E$2:$E$120,MATCH($B1807,Services!$D$2:$D$120,0)),""))</f>
        <v/>
      </c>
    </row>
    <row r="1808" spans="1:10" x14ac:dyDescent="0.3">
      <c r="A1808" s="18"/>
      <c r="B1808" s="6"/>
      <c r="C1808" s="6"/>
      <c r="D1808" s="6"/>
      <c r="E1808" s="16" t="str">
        <f>IF($B1808="","",IFERROR(INDEX(Services!$C$2:$C$120,MATCH($B1808,Services!$D$2:$D$120,0)),""))</f>
        <v/>
      </c>
      <c r="F1808" s="19"/>
      <c r="G1808" s="9" t="str">
        <f t="shared" si="28"/>
        <v/>
      </c>
      <c r="H1808" s="15" t="str">
        <f>IF($B1808="","",IFERROR(INDEX(Services!$A$2:$A$120,MATCH($B1808,Services!$D$2:$D$120,0)),""))</f>
        <v/>
      </c>
      <c r="I1808" s="19"/>
      <c r="J1808" s="15" t="str">
        <f>IF($B1808="","",IFERROR(INDEX(Services!$E$2:$E$120,MATCH($B1808,Services!$D$2:$D$120,0)),""))</f>
        <v/>
      </c>
    </row>
    <row r="1809" spans="1:10" x14ac:dyDescent="0.3">
      <c r="A1809" s="18"/>
      <c r="B1809" s="6"/>
      <c r="C1809" s="6"/>
      <c r="D1809" s="6"/>
      <c r="E1809" s="16" t="str">
        <f>IF($B1809="","",IFERROR(INDEX(Services!$C$2:$C$120,MATCH($B1809,Services!$D$2:$D$120,0)),""))</f>
        <v/>
      </c>
      <c r="F1809" s="19"/>
      <c r="G1809" s="9" t="str">
        <f t="shared" si="28"/>
        <v/>
      </c>
      <c r="H1809" s="15" t="str">
        <f>IF($B1809="","",IFERROR(INDEX(Services!$A$2:$A$120,MATCH($B1809,Services!$D$2:$D$120,0)),""))</f>
        <v/>
      </c>
      <c r="I1809" s="19"/>
      <c r="J1809" s="15" t="str">
        <f>IF($B1809="","",IFERROR(INDEX(Services!$E$2:$E$120,MATCH($B1809,Services!$D$2:$D$120,0)),""))</f>
        <v/>
      </c>
    </row>
    <row r="1810" spans="1:10" x14ac:dyDescent="0.3">
      <c r="A1810" s="18"/>
      <c r="B1810" s="6"/>
      <c r="C1810" s="6"/>
      <c r="D1810" s="6"/>
      <c r="E1810" s="16" t="str">
        <f>IF($B1810="","",IFERROR(INDEX(Services!$C$2:$C$120,MATCH($B1810,Services!$D$2:$D$120,0)),""))</f>
        <v/>
      </c>
      <c r="F1810" s="19"/>
      <c r="G1810" s="9" t="str">
        <f t="shared" si="28"/>
        <v/>
      </c>
      <c r="H1810" s="15" t="str">
        <f>IF($B1810="","",IFERROR(INDEX(Services!$A$2:$A$120,MATCH($B1810,Services!$D$2:$D$120,0)),""))</f>
        <v/>
      </c>
      <c r="I1810" s="19"/>
      <c r="J1810" s="15" t="str">
        <f>IF($B1810="","",IFERROR(INDEX(Services!$E$2:$E$120,MATCH($B1810,Services!$D$2:$D$120,0)),""))</f>
        <v/>
      </c>
    </row>
    <row r="1811" spans="1:10" x14ac:dyDescent="0.3">
      <c r="A1811" s="18"/>
      <c r="B1811" s="6"/>
      <c r="C1811" s="6"/>
      <c r="D1811" s="6"/>
      <c r="E1811" s="16" t="str">
        <f>IF($B1811="","",IFERROR(INDEX(Services!$C$2:$C$120,MATCH($B1811,Services!$D$2:$D$120,0)),""))</f>
        <v/>
      </c>
      <c r="F1811" s="19"/>
      <c r="G1811" s="9" t="str">
        <f t="shared" si="28"/>
        <v/>
      </c>
      <c r="H1811" s="15" t="str">
        <f>IF($B1811="","",IFERROR(INDEX(Services!$A$2:$A$120,MATCH($B1811,Services!$D$2:$D$120,0)),""))</f>
        <v/>
      </c>
      <c r="I1811" s="19"/>
      <c r="J1811" s="15" t="str">
        <f>IF($B1811="","",IFERROR(INDEX(Services!$E$2:$E$120,MATCH($B1811,Services!$D$2:$D$120,0)),""))</f>
        <v/>
      </c>
    </row>
    <row r="1812" spans="1:10" x14ac:dyDescent="0.3">
      <c r="A1812" s="18"/>
      <c r="B1812" s="6"/>
      <c r="C1812" s="6"/>
      <c r="D1812" s="6"/>
      <c r="E1812" s="16" t="str">
        <f>IF($B1812="","",IFERROR(INDEX(Services!$C$2:$C$120,MATCH($B1812,Services!$D$2:$D$120,0)),""))</f>
        <v/>
      </c>
      <c r="F1812" s="19"/>
      <c r="G1812" s="9" t="str">
        <f t="shared" si="28"/>
        <v/>
      </c>
      <c r="H1812" s="15" t="str">
        <f>IF($B1812="","",IFERROR(INDEX(Services!$A$2:$A$120,MATCH($B1812,Services!$D$2:$D$120,0)),""))</f>
        <v/>
      </c>
      <c r="I1812" s="19"/>
      <c r="J1812" s="15" t="str">
        <f>IF($B1812="","",IFERROR(INDEX(Services!$E$2:$E$120,MATCH($B1812,Services!$D$2:$D$120,0)),""))</f>
        <v/>
      </c>
    </row>
    <row r="1813" spans="1:10" x14ac:dyDescent="0.3">
      <c r="A1813" s="18"/>
      <c r="B1813" s="6"/>
      <c r="C1813" s="6"/>
      <c r="D1813" s="6"/>
      <c r="E1813" s="16" t="str">
        <f>IF($B1813="","",IFERROR(INDEX(Services!$C$2:$C$120,MATCH($B1813,Services!$D$2:$D$120,0)),""))</f>
        <v/>
      </c>
      <c r="F1813" s="19"/>
      <c r="G1813" s="9" t="str">
        <f t="shared" si="28"/>
        <v/>
      </c>
      <c r="H1813" s="15" t="str">
        <f>IF($B1813="","",IFERROR(INDEX(Services!$A$2:$A$120,MATCH($B1813,Services!$D$2:$D$120,0)),""))</f>
        <v/>
      </c>
      <c r="I1813" s="19"/>
      <c r="J1813" s="15" t="str">
        <f>IF($B1813="","",IFERROR(INDEX(Services!$E$2:$E$120,MATCH($B1813,Services!$D$2:$D$120,0)),""))</f>
        <v/>
      </c>
    </row>
    <row r="1814" spans="1:10" x14ac:dyDescent="0.3">
      <c r="A1814" s="18"/>
      <c r="B1814" s="6"/>
      <c r="C1814" s="6"/>
      <c r="D1814" s="6"/>
      <c r="E1814" s="16" t="str">
        <f>IF($B1814="","",IFERROR(INDEX(Services!$C$2:$C$120,MATCH($B1814,Services!$D$2:$D$120,0)),""))</f>
        <v/>
      </c>
      <c r="F1814" s="19"/>
      <c r="G1814" s="9" t="str">
        <f t="shared" si="28"/>
        <v/>
      </c>
      <c r="H1814" s="15" t="str">
        <f>IF($B1814="","",IFERROR(INDEX(Services!$A$2:$A$120,MATCH($B1814,Services!$D$2:$D$120,0)),""))</f>
        <v/>
      </c>
      <c r="I1814" s="19"/>
      <c r="J1814" s="15" t="str">
        <f>IF($B1814="","",IFERROR(INDEX(Services!$E$2:$E$120,MATCH($B1814,Services!$D$2:$D$120,0)),""))</f>
        <v/>
      </c>
    </row>
    <row r="1815" spans="1:10" x14ac:dyDescent="0.3">
      <c r="A1815" s="18"/>
      <c r="B1815" s="6"/>
      <c r="C1815" s="6"/>
      <c r="D1815" s="6"/>
      <c r="E1815" s="16" t="str">
        <f>IF($B1815="","",IFERROR(INDEX(Services!$C$2:$C$120,MATCH($B1815,Services!$D$2:$D$120,0)),""))</f>
        <v/>
      </c>
      <c r="F1815" s="19"/>
      <c r="G1815" s="9" t="str">
        <f t="shared" si="28"/>
        <v/>
      </c>
      <c r="H1815" s="15" t="str">
        <f>IF($B1815="","",IFERROR(INDEX(Services!$A$2:$A$120,MATCH($B1815,Services!$D$2:$D$120,0)),""))</f>
        <v/>
      </c>
      <c r="I1815" s="19"/>
      <c r="J1815" s="15" t="str">
        <f>IF($B1815="","",IFERROR(INDEX(Services!$E$2:$E$120,MATCH($B1815,Services!$D$2:$D$120,0)),""))</f>
        <v/>
      </c>
    </row>
    <row r="1816" spans="1:10" x14ac:dyDescent="0.3">
      <c r="A1816" s="18"/>
      <c r="B1816" s="6"/>
      <c r="C1816" s="6"/>
      <c r="D1816" s="6"/>
      <c r="E1816" s="16" t="str">
        <f>IF($B1816="","",IFERROR(INDEX(Services!$C$2:$C$120,MATCH($B1816,Services!$D$2:$D$120,0)),""))</f>
        <v/>
      </c>
      <c r="F1816" s="19"/>
      <c r="G1816" s="9" t="str">
        <f t="shared" si="28"/>
        <v/>
      </c>
      <c r="H1816" s="15" t="str">
        <f>IF($B1816="","",IFERROR(INDEX(Services!$A$2:$A$120,MATCH($B1816,Services!$D$2:$D$120,0)),""))</f>
        <v/>
      </c>
      <c r="I1816" s="19"/>
      <c r="J1816" s="15" t="str">
        <f>IF($B1816="","",IFERROR(INDEX(Services!$E$2:$E$120,MATCH($B1816,Services!$D$2:$D$120,0)),""))</f>
        <v/>
      </c>
    </row>
    <row r="1817" spans="1:10" x14ac:dyDescent="0.3">
      <c r="A1817" s="18"/>
      <c r="B1817" s="6"/>
      <c r="C1817" s="6"/>
      <c r="D1817" s="6"/>
      <c r="E1817" s="16" t="str">
        <f>IF($B1817="","",IFERROR(INDEX(Services!$C$2:$C$120,MATCH($B1817,Services!$D$2:$D$120,0)),""))</f>
        <v/>
      </c>
      <c r="F1817" s="19"/>
      <c r="G1817" s="9" t="str">
        <f t="shared" si="28"/>
        <v/>
      </c>
      <c r="H1817" s="15" t="str">
        <f>IF($B1817="","",IFERROR(INDEX(Services!$A$2:$A$120,MATCH($B1817,Services!$D$2:$D$120,0)),""))</f>
        <v/>
      </c>
      <c r="I1817" s="19"/>
      <c r="J1817" s="15" t="str">
        <f>IF($B1817="","",IFERROR(INDEX(Services!$E$2:$E$120,MATCH($B1817,Services!$D$2:$D$120,0)),""))</f>
        <v/>
      </c>
    </row>
    <row r="1818" spans="1:10" x14ac:dyDescent="0.3">
      <c r="A1818" s="18"/>
      <c r="B1818" s="6"/>
      <c r="C1818" s="6"/>
      <c r="D1818" s="6"/>
      <c r="E1818" s="16" t="str">
        <f>IF($B1818="","",IFERROR(INDEX(Services!$C$2:$C$120,MATCH($B1818,Services!$D$2:$D$120,0)),""))</f>
        <v/>
      </c>
      <c r="F1818" s="19"/>
      <c r="G1818" s="9" t="str">
        <f t="shared" si="28"/>
        <v/>
      </c>
      <c r="H1818" s="15" t="str">
        <f>IF($B1818="","",IFERROR(INDEX(Services!$A$2:$A$120,MATCH($B1818,Services!$D$2:$D$120,0)),""))</f>
        <v/>
      </c>
      <c r="I1818" s="19"/>
      <c r="J1818" s="15" t="str">
        <f>IF($B1818="","",IFERROR(INDEX(Services!$E$2:$E$120,MATCH($B1818,Services!$D$2:$D$120,0)),""))</f>
        <v/>
      </c>
    </row>
    <row r="1819" spans="1:10" x14ac:dyDescent="0.3">
      <c r="A1819" s="18"/>
      <c r="B1819" s="6"/>
      <c r="C1819" s="6"/>
      <c r="D1819" s="6"/>
      <c r="E1819" s="16" t="str">
        <f>IF($B1819="","",IFERROR(INDEX(Services!$C$2:$C$120,MATCH($B1819,Services!$D$2:$D$120,0)),""))</f>
        <v/>
      </c>
      <c r="F1819" s="19"/>
      <c r="G1819" s="9" t="str">
        <f t="shared" si="28"/>
        <v/>
      </c>
      <c r="H1819" s="15" t="str">
        <f>IF($B1819="","",IFERROR(INDEX(Services!$A$2:$A$120,MATCH($B1819,Services!$D$2:$D$120,0)),""))</f>
        <v/>
      </c>
      <c r="I1819" s="19"/>
      <c r="J1819" s="15" t="str">
        <f>IF($B1819="","",IFERROR(INDEX(Services!$E$2:$E$120,MATCH($B1819,Services!$D$2:$D$120,0)),""))</f>
        <v/>
      </c>
    </row>
    <row r="1820" spans="1:10" x14ac:dyDescent="0.3">
      <c r="A1820" s="18"/>
      <c r="B1820" s="6"/>
      <c r="C1820" s="6"/>
      <c r="D1820" s="6"/>
      <c r="E1820" s="16" t="str">
        <f>IF($B1820="","",IFERROR(INDEX(Services!$C$2:$C$120,MATCH($B1820,Services!$D$2:$D$120,0)),""))</f>
        <v/>
      </c>
      <c r="F1820" s="19"/>
      <c r="G1820" s="9" t="str">
        <f t="shared" si="28"/>
        <v/>
      </c>
      <c r="H1820" s="15" t="str">
        <f>IF($B1820="","",IFERROR(INDEX(Services!$A$2:$A$120,MATCH($B1820,Services!$D$2:$D$120,0)),""))</f>
        <v/>
      </c>
      <c r="I1820" s="19"/>
      <c r="J1820" s="15" t="str">
        <f>IF($B1820="","",IFERROR(INDEX(Services!$E$2:$E$120,MATCH($B1820,Services!$D$2:$D$120,0)),""))</f>
        <v/>
      </c>
    </row>
    <row r="1821" spans="1:10" x14ac:dyDescent="0.3">
      <c r="A1821" s="18"/>
      <c r="B1821" s="6"/>
      <c r="C1821" s="6"/>
      <c r="D1821" s="6"/>
      <c r="E1821" s="16" t="str">
        <f>IF($B1821="","",IFERROR(INDEX(Services!$C$2:$C$120,MATCH($B1821,Services!$D$2:$D$120,0)),""))</f>
        <v/>
      </c>
      <c r="F1821" s="19"/>
      <c r="G1821" s="9" t="str">
        <f t="shared" si="28"/>
        <v/>
      </c>
      <c r="H1821" s="15" t="str">
        <f>IF($B1821="","",IFERROR(INDEX(Services!$A$2:$A$120,MATCH($B1821,Services!$D$2:$D$120,0)),""))</f>
        <v/>
      </c>
      <c r="I1821" s="19"/>
      <c r="J1821" s="15" t="str">
        <f>IF($B1821="","",IFERROR(INDEX(Services!$E$2:$E$120,MATCH($B1821,Services!$D$2:$D$120,0)),""))</f>
        <v/>
      </c>
    </row>
    <row r="1822" spans="1:10" x14ac:dyDescent="0.3">
      <c r="A1822" s="18"/>
      <c r="B1822" s="6"/>
      <c r="C1822" s="6"/>
      <c r="D1822" s="6"/>
      <c r="E1822" s="16" t="str">
        <f>IF($B1822="","",IFERROR(INDEX(Services!$C$2:$C$120,MATCH($B1822,Services!$D$2:$D$120,0)),""))</f>
        <v/>
      </c>
      <c r="F1822" s="19"/>
      <c r="G1822" s="9" t="str">
        <f t="shared" si="28"/>
        <v/>
      </c>
      <c r="H1822" s="15" t="str">
        <f>IF($B1822="","",IFERROR(INDEX(Services!$A$2:$A$120,MATCH($B1822,Services!$D$2:$D$120,0)),""))</f>
        <v/>
      </c>
      <c r="I1822" s="19"/>
      <c r="J1822" s="15" t="str">
        <f>IF($B1822="","",IFERROR(INDEX(Services!$E$2:$E$120,MATCH($B1822,Services!$D$2:$D$120,0)),""))</f>
        <v/>
      </c>
    </row>
    <row r="1823" spans="1:10" x14ac:dyDescent="0.3">
      <c r="A1823" s="18"/>
      <c r="B1823" s="6"/>
      <c r="C1823" s="6"/>
      <c r="D1823" s="6"/>
      <c r="E1823" s="16" t="str">
        <f>IF($B1823="","",IFERROR(INDEX(Services!$C$2:$C$120,MATCH($B1823,Services!$D$2:$D$120,0)),""))</f>
        <v/>
      </c>
      <c r="F1823" s="19"/>
      <c r="G1823" s="9" t="str">
        <f t="shared" si="28"/>
        <v/>
      </c>
      <c r="H1823" s="15" t="str">
        <f>IF($B1823="","",IFERROR(INDEX(Services!$A$2:$A$120,MATCH($B1823,Services!$D$2:$D$120,0)),""))</f>
        <v/>
      </c>
      <c r="I1823" s="19"/>
      <c r="J1823" s="15" t="str">
        <f>IF($B1823="","",IFERROR(INDEX(Services!$E$2:$E$120,MATCH($B1823,Services!$D$2:$D$120,0)),""))</f>
        <v/>
      </c>
    </row>
    <row r="1824" spans="1:10" x14ac:dyDescent="0.3">
      <c r="A1824" s="18"/>
      <c r="B1824" s="6"/>
      <c r="C1824" s="6"/>
      <c r="D1824" s="6"/>
      <c r="E1824" s="16" t="str">
        <f>IF($B1824="","",IFERROR(INDEX(Services!$C$2:$C$120,MATCH($B1824,Services!$D$2:$D$120,0)),""))</f>
        <v/>
      </c>
      <c r="F1824" s="19"/>
      <c r="G1824" s="9" t="str">
        <f t="shared" si="28"/>
        <v/>
      </c>
      <c r="H1824" s="15" t="str">
        <f>IF($B1824="","",IFERROR(INDEX(Services!$A$2:$A$120,MATCH($B1824,Services!$D$2:$D$120,0)),""))</f>
        <v/>
      </c>
      <c r="I1824" s="19"/>
      <c r="J1824" s="15" t="str">
        <f>IF($B1824="","",IFERROR(INDEX(Services!$E$2:$E$120,MATCH($B1824,Services!$D$2:$D$120,0)),""))</f>
        <v/>
      </c>
    </row>
    <row r="1825" spans="1:10" x14ac:dyDescent="0.3">
      <c r="A1825" s="18"/>
      <c r="B1825" s="6"/>
      <c r="C1825" s="6"/>
      <c r="D1825" s="6"/>
      <c r="E1825" s="16" t="str">
        <f>IF($B1825="","",IFERROR(INDEX(Services!$C$2:$C$120,MATCH($B1825,Services!$D$2:$D$120,0)),""))</f>
        <v/>
      </c>
      <c r="F1825" s="19"/>
      <c r="G1825" s="9" t="str">
        <f t="shared" si="28"/>
        <v/>
      </c>
      <c r="H1825" s="15" t="str">
        <f>IF($B1825="","",IFERROR(INDEX(Services!$A$2:$A$120,MATCH($B1825,Services!$D$2:$D$120,0)),""))</f>
        <v/>
      </c>
      <c r="I1825" s="19"/>
      <c r="J1825" s="15" t="str">
        <f>IF($B1825="","",IFERROR(INDEX(Services!$E$2:$E$120,MATCH($B1825,Services!$D$2:$D$120,0)),""))</f>
        <v/>
      </c>
    </row>
    <row r="1826" spans="1:10" x14ac:dyDescent="0.3">
      <c r="A1826" s="18"/>
      <c r="B1826" s="6"/>
      <c r="C1826" s="6"/>
      <c r="D1826" s="6"/>
      <c r="E1826" s="16" t="str">
        <f>IF($B1826="","",IFERROR(INDEX(Services!$C$2:$C$120,MATCH($B1826,Services!$D$2:$D$120,0)),""))</f>
        <v/>
      </c>
      <c r="F1826" s="19"/>
      <c r="G1826" s="9" t="str">
        <f t="shared" si="28"/>
        <v/>
      </c>
      <c r="H1826" s="15" t="str">
        <f>IF($B1826="","",IFERROR(INDEX(Services!$A$2:$A$120,MATCH($B1826,Services!$D$2:$D$120,0)),""))</f>
        <v/>
      </c>
      <c r="I1826" s="19"/>
      <c r="J1826" s="15" t="str">
        <f>IF($B1826="","",IFERROR(INDEX(Services!$E$2:$E$120,MATCH($B1826,Services!$D$2:$D$120,0)),""))</f>
        <v/>
      </c>
    </row>
    <row r="1827" spans="1:10" x14ac:dyDescent="0.3">
      <c r="A1827" s="18"/>
      <c r="B1827" s="6"/>
      <c r="C1827" s="6"/>
      <c r="D1827" s="6"/>
      <c r="E1827" s="16" t="str">
        <f>IF($B1827="","",IFERROR(INDEX(Services!$C$2:$C$120,MATCH($B1827,Services!$D$2:$D$120,0)),""))</f>
        <v/>
      </c>
      <c r="F1827" s="19"/>
      <c r="G1827" s="9" t="str">
        <f t="shared" si="28"/>
        <v/>
      </c>
      <c r="H1827" s="15" t="str">
        <f>IF($B1827="","",IFERROR(INDEX(Services!$A$2:$A$120,MATCH($B1827,Services!$D$2:$D$120,0)),""))</f>
        <v/>
      </c>
      <c r="I1827" s="19"/>
      <c r="J1827" s="15" t="str">
        <f>IF($B1827="","",IFERROR(INDEX(Services!$E$2:$E$120,MATCH($B1827,Services!$D$2:$D$120,0)),""))</f>
        <v/>
      </c>
    </row>
    <row r="1828" spans="1:10" x14ac:dyDescent="0.3">
      <c r="A1828" s="18"/>
      <c r="B1828" s="6"/>
      <c r="C1828" s="6"/>
      <c r="D1828" s="6"/>
      <c r="E1828" s="16" t="str">
        <f>IF($B1828="","",IFERROR(INDEX(Services!$C$2:$C$120,MATCH($B1828,Services!$D$2:$D$120,0)),""))</f>
        <v/>
      </c>
      <c r="F1828" s="19"/>
      <c r="G1828" s="9" t="str">
        <f t="shared" si="28"/>
        <v/>
      </c>
      <c r="H1828" s="15" t="str">
        <f>IF($B1828="","",IFERROR(INDEX(Services!$A$2:$A$120,MATCH($B1828,Services!$D$2:$D$120,0)),""))</f>
        <v/>
      </c>
      <c r="I1828" s="19"/>
      <c r="J1828" s="15" t="str">
        <f>IF($B1828="","",IFERROR(INDEX(Services!$E$2:$E$120,MATCH($B1828,Services!$D$2:$D$120,0)),""))</f>
        <v/>
      </c>
    </row>
    <row r="1829" spans="1:10" x14ac:dyDescent="0.3">
      <c r="A1829" s="18"/>
      <c r="B1829" s="6"/>
      <c r="C1829" s="6"/>
      <c r="D1829" s="6"/>
      <c r="E1829" s="16" t="str">
        <f>IF($B1829="","",IFERROR(INDEX(Services!$C$2:$C$120,MATCH($B1829,Services!$D$2:$D$120,0)),""))</f>
        <v/>
      </c>
      <c r="F1829" s="19"/>
      <c r="G1829" s="9" t="str">
        <f t="shared" si="28"/>
        <v/>
      </c>
      <c r="H1829" s="15" t="str">
        <f>IF($B1829="","",IFERROR(INDEX(Services!$A$2:$A$120,MATCH($B1829,Services!$D$2:$D$120,0)),""))</f>
        <v/>
      </c>
      <c r="I1829" s="19"/>
      <c r="J1829" s="15" t="str">
        <f>IF($B1829="","",IFERROR(INDEX(Services!$E$2:$E$120,MATCH($B1829,Services!$D$2:$D$120,0)),""))</f>
        <v/>
      </c>
    </row>
    <row r="1830" spans="1:10" x14ac:dyDescent="0.3">
      <c r="A1830" s="18"/>
      <c r="B1830" s="6"/>
      <c r="C1830" s="6"/>
      <c r="D1830" s="6"/>
      <c r="E1830" s="16" t="str">
        <f>IF($B1830="","",IFERROR(INDEX(Services!$C$2:$C$120,MATCH($B1830,Services!$D$2:$D$120,0)),""))</f>
        <v/>
      </c>
      <c r="F1830" s="19"/>
      <c r="G1830" s="9" t="str">
        <f t="shared" si="28"/>
        <v/>
      </c>
      <c r="H1830" s="15" t="str">
        <f>IF($B1830="","",IFERROR(INDEX(Services!$A$2:$A$120,MATCH($B1830,Services!$D$2:$D$120,0)),""))</f>
        <v/>
      </c>
      <c r="I1830" s="19"/>
      <c r="J1830" s="15" t="str">
        <f>IF($B1830="","",IFERROR(INDEX(Services!$E$2:$E$120,MATCH($B1830,Services!$D$2:$D$120,0)),""))</f>
        <v/>
      </c>
    </row>
    <row r="1831" spans="1:10" x14ac:dyDescent="0.3">
      <c r="A1831" s="18"/>
      <c r="B1831" s="6"/>
      <c r="C1831" s="6"/>
      <c r="D1831" s="6"/>
      <c r="E1831" s="16" t="str">
        <f>IF($B1831="","",IFERROR(INDEX(Services!$C$2:$C$120,MATCH($B1831,Services!$D$2:$D$120,0)),""))</f>
        <v/>
      </c>
      <c r="F1831" s="19"/>
      <c r="G1831" s="9" t="str">
        <f t="shared" si="28"/>
        <v/>
      </c>
      <c r="H1831" s="15" t="str">
        <f>IF($B1831="","",IFERROR(INDEX(Services!$A$2:$A$120,MATCH($B1831,Services!$D$2:$D$120,0)),""))</f>
        <v/>
      </c>
      <c r="I1831" s="19"/>
      <c r="J1831" s="15" t="str">
        <f>IF($B1831="","",IFERROR(INDEX(Services!$E$2:$E$120,MATCH($B1831,Services!$D$2:$D$120,0)),""))</f>
        <v/>
      </c>
    </row>
    <row r="1832" spans="1:10" x14ac:dyDescent="0.3">
      <c r="A1832" s="18"/>
      <c r="B1832" s="6"/>
      <c r="C1832" s="6"/>
      <c r="D1832" s="6"/>
      <c r="E1832" s="16" t="str">
        <f>IF($B1832="","",IFERROR(INDEX(Services!$C$2:$C$120,MATCH($B1832,Services!$D$2:$D$120,0)),""))</f>
        <v/>
      </c>
      <c r="F1832" s="19"/>
      <c r="G1832" s="9" t="str">
        <f t="shared" si="28"/>
        <v/>
      </c>
      <c r="H1832" s="15" t="str">
        <f>IF($B1832="","",IFERROR(INDEX(Services!$A$2:$A$120,MATCH($B1832,Services!$D$2:$D$120,0)),""))</f>
        <v/>
      </c>
      <c r="I1832" s="19"/>
      <c r="J1832" s="15" t="str">
        <f>IF($B1832="","",IFERROR(INDEX(Services!$E$2:$E$120,MATCH($B1832,Services!$D$2:$D$120,0)),""))</f>
        <v/>
      </c>
    </row>
    <row r="1833" spans="1:10" x14ac:dyDescent="0.3">
      <c r="A1833" s="18"/>
      <c r="B1833" s="6"/>
      <c r="C1833" s="6"/>
      <c r="D1833" s="6"/>
      <c r="E1833" s="16" t="str">
        <f>IF($B1833="","",IFERROR(INDEX(Services!$C$2:$C$120,MATCH($B1833,Services!$D$2:$D$120,0)),""))</f>
        <v/>
      </c>
      <c r="F1833" s="19"/>
      <c r="G1833" s="9" t="str">
        <f t="shared" si="28"/>
        <v/>
      </c>
      <c r="H1833" s="15" t="str">
        <f>IF($B1833="","",IFERROR(INDEX(Services!$A$2:$A$120,MATCH($B1833,Services!$D$2:$D$120,0)),""))</f>
        <v/>
      </c>
      <c r="I1833" s="19"/>
      <c r="J1833" s="15" t="str">
        <f>IF($B1833="","",IFERROR(INDEX(Services!$E$2:$E$120,MATCH($B1833,Services!$D$2:$D$120,0)),""))</f>
        <v/>
      </c>
    </row>
    <row r="1834" spans="1:10" x14ac:dyDescent="0.3">
      <c r="A1834" s="18"/>
      <c r="B1834" s="6"/>
      <c r="C1834" s="6"/>
      <c r="D1834" s="6"/>
      <c r="E1834" s="16" t="str">
        <f>IF($B1834="","",IFERROR(INDEX(Services!$C$2:$C$120,MATCH($B1834,Services!$D$2:$D$120,0)),""))</f>
        <v/>
      </c>
      <c r="F1834" s="19"/>
      <c r="G1834" s="9" t="str">
        <f t="shared" si="28"/>
        <v/>
      </c>
      <c r="H1834" s="15" t="str">
        <f>IF($B1834="","",IFERROR(INDEX(Services!$A$2:$A$120,MATCH($B1834,Services!$D$2:$D$120,0)),""))</f>
        <v/>
      </c>
      <c r="I1834" s="19"/>
      <c r="J1834" s="15" t="str">
        <f>IF($B1834="","",IFERROR(INDEX(Services!$E$2:$E$120,MATCH($B1834,Services!$D$2:$D$120,0)),""))</f>
        <v/>
      </c>
    </row>
    <row r="1835" spans="1:10" x14ac:dyDescent="0.3">
      <c r="A1835" s="18"/>
      <c r="B1835" s="6"/>
      <c r="C1835" s="6"/>
      <c r="D1835" s="6"/>
      <c r="E1835" s="16" t="str">
        <f>IF($B1835="","",IFERROR(INDEX(Services!$C$2:$C$120,MATCH($B1835,Services!$D$2:$D$120,0)),""))</f>
        <v/>
      </c>
      <c r="F1835" s="19"/>
      <c r="G1835" s="9" t="str">
        <f t="shared" si="28"/>
        <v/>
      </c>
      <c r="H1835" s="15" t="str">
        <f>IF($B1835="","",IFERROR(INDEX(Services!$A$2:$A$120,MATCH($B1835,Services!$D$2:$D$120,0)),""))</f>
        <v/>
      </c>
      <c r="I1835" s="19"/>
      <c r="J1835" s="15" t="str">
        <f>IF($B1835="","",IFERROR(INDEX(Services!$E$2:$E$120,MATCH($B1835,Services!$D$2:$D$120,0)),""))</f>
        <v/>
      </c>
    </row>
    <row r="1836" spans="1:10" x14ac:dyDescent="0.3">
      <c r="A1836" s="18"/>
      <c r="B1836" s="6"/>
      <c r="C1836" s="6"/>
      <c r="D1836" s="6"/>
      <c r="E1836" s="16" t="str">
        <f>IF($B1836="","",IFERROR(INDEX(Services!$C$2:$C$120,MATCH($B1836,Services!$D$2:$D$120,0)),""))</f>
        <v/>
      </c>
      <c r="F1836" s="19"/>
      <c r="G1836" s="9" t="str">
        <f t="shared" si="28"/>
        <v/>
      </c>
      <c r="H1836" s="15" t="str">
        <f>IF($B1836="","",IFERROR(INDEX(Services!$A$2:$A$120,MATCH($B1836,Services!$D$2:$D$120,0)),""))</f>
        <v/>
      </c>
      <c r="I1836" s="19"/>
      <c r="J1836" s="15" t="str">
        <f>IF($B1836="","",IFERROR(INDEX(Services!$E$2:$E$120,MATCH($B1836,Services!$D$2:$D$120,0)),""))</f>
        <v/>
      </c>
    </row>
    <row r="1837" spans="1:10" x14ac:dyDescent="0.3">
      <c r="A1837" s="18"/>
      <c r="B1837" s="6"/>
      <c r="C1837" s="6"/>
      <c r="D1837" s="6"/>
      <c r="E1837" s="16" t="str">
        <f>IF($B1837="","",IFERROR(INDEX(Services!$C$2:$C$120,MATCH($B1837,Services!$D$2:$D$120,0)),""))</f>
        <v/>
      </c>
      <c r="F1837" s="19"/>
      <c r="G1837" s="9" t="str">
        <f t="shared" si="28"/>
        <v/>
      </c>
      <c r="H1837" s="15" t="str">
        <f>IF($B1837="","",IFERROR(INDEX(Services!$A$2:$A$120,MATCH($B1837,Services!$D$2:$D$120,0)),""))</f>
        <v/>
      </c>
      <c r="I1837" s="19"/>
      <c r="J1837" s="15" t="str">
        <f>IF($B1837="","",IFERROR(INDEX(Services!$E$2:$E$120,MATCH($B1837,Services!$D$2:$D$120,0)),""))</f>
        <v/>
      </c>
    </row>
    <row r="1838" spans="1:10" x14ac:dyDescent="0.3">
      <c r="A1838" s="18"/>
      <c r="B1838" s="6"/>
      <c r="C1838" s="6"/>
      <c r="D1838" s="6"/>
      <c r="E1838" s="16" t="str">
        <f>IF($B1838="","",IFERROR(INDEX(Services!$C$2:$C$120,MATCH($B1838,Services!$D$2:$D$120,0)),""))</f>
        <v/>
      </c>
      <c r="F1838" s="19"/>
      <c r="G1838" s="9" t="str">
        <f t="shared" si="28"/>
        <v/>
      </c>
      <c r="H1838" s="15" t="str">
        <f>IF($B1838="","",IFERROR(INDEX(Services!$A$2:$A$120,MATCH($B1838,Services!$D$2:$D$120,0)),""))</f>
        <v/>
      </c>
      <c r="I1838" s="19"/>
      <c r="J1838" s="15" t="str">
        <f>IF($B1838="","",IFERROR(INDEX(Services!$E$2:$E$120,MATCH($B1838,Services!$D$2:$D$120,0)),""))</f>
        <v/>
      </c>
    </row>
    <row r="1839" spans="1:10" x14ac:dyDescent="0.3">
      <c r="A1839" s="18"/>
      <c r="B1839" s="6"/>
      <c r="C1839" s="6"/>
      <c r="D1839" s="6"/>
      <c r="E1839" s="16" t="str">
        <f>IF($B1839="","",IFERROR(INDEX(Services!$C$2:$C$120,MATCH($B1839,Services!$D$2:$D$120,0)),""))</f>
        <v/>
      </c>
      <c r="F1839" s="19"/>
      <c r="G1839" s="9" t="str">
        <f t="shared" si="28"/>
        <v/>
      </c>
      <c r="H1839" s="15" t="str">
        <f>IF($B1839="","",IFERROR(INDEX(Services!$A$2:$A$120,MATCH($B1839,Services!$D$2:$D$120,0)),""))</f>
        <v/>
      </c>
      <c r="I1839" s="19"/>
      <c r="J1839" s="15" t="str">
        <f>IF($B1839="","",IFERROR(INDEX(Services!$E$2:$E$120,MATCH($B1839,Services!$D$2:$D$120,0)),""))</f>
        <v/>
      </c>
    </row>
    <row r="1840" spans="1:10" x14ac:dyDescent="0.3">
      <c r="A1840" s="18"/>
      <c r="B1840" s="6"/>
      <c r="C1840" s="6"/>
      <c r="D1840" s="6"/>
      <c r="E1840" s="16" t="str">
        <f>IF($B1840="","",IFERROR(INDEX(Services!$C$2:$C$120,MATCH($B1840,Services!$D$2:$D$120,0)),""))</f>
        <v/>
      </c>
      <c r="F1840" s="19"/>
      <c r="G1840" s="9" t="str">
        <f t="shared" si="28"/>
        <v/>
      </c>
      <c r="H1840" s="15" t="str">
        <f>IF($B1840="","",IFERROR(INDEX(Services!$A$2:$A$120,MATCH($B1840,Services!$D$2:$D$120,0)),""))</f>
        <v/>
      </c>
      <c r="I1840" s="19"/>
      <c r="J1840" s="15" t="str">
        <f>IF($B1840="","",IFERROR(INDEX(Services!$E$2:$E$120,MATCH($B1840,Services!$D$2:$D$120,0)),""))</f>
        <v/>
      </c>
    </row>
    <row r="1841" spans="1:10" x14ac:dyDescent="0.3">
      <c r="A1841" s="18"/>
      <c r="B1841" s="6"/>
      <c r="C1841" s="6"/>
      <c r="D1841" s="6"/>
      <c r="E1841" s="16" t="str">
        <f>IF($B1841="","",IFERROR(INDEX(Services!$C$2:$C$120,MATCH($B1841,Services!$D$2:$D$120,0)),""))</f>
        <v/>
      </c>
      <c r="F1841" s="19"/>
      <c r="G1841" s="9" t="str">
        <f t="shared" si="28"/>
        <v/>
      </c>
      <c r="H1841" s="15" t="str">
        <f>IF($B1841="","",IFERROR(INDEX(Services!$A$2:$A$120,MATCH($B1841,Services!$D$2:$D$120,0)),""))</f>
        <v/>
      </c>
      <c r="I1841" s="19"/>
      <c r="J1841" s="15" t="str">
        <f>IF($B1841="","",IFERROR(INDEX(Services!$E$2:$E$120,MATCH($B1841,Services!$D$2:$D$120,0)),""))</f>
        <v/>
      </c>
    </row>
    <row r="1842" spans="1:10" x14ac:dyDescent="0.3">
      <c r="A1842" s="18"/>
      <c r="B1842" s="6"/>
      <c r="C1842" s="6"/>
      <c r="D1842" s="6"/>
      <c r="E1842" s="16" t="str">
        <f>IF($B1842="","",IFERROR(INDEX(Services!$C$2:$C$120,MATCH($B1842,Services!$D$2:$D$120,0)),""))</f>
        <v/>
      </c>
      <c r="F1842" s="19"/>
      <c r="G1842" s="9" t="str">
        <f t="shared" si="28"/>
        <v/>
      </c>
      <c r="H1842" s="15" t="str">
        <f>IF($B1842="","",IFERROR(INDEX(Services!$A$2:$A$120,MATCH($B1842,Services!$D$2:$D$120,0)),""))</f>
        <v/>
      </c>
      <c r="I1842" s="19"/>
      <c r="J1842" s="15" t="str">
        <f>IF($B1842="","",IFERROR(INDEX(Services!$E$2:$E$120,MATCH($B1842,Services!$D$2:$D$120,0)),""))</f>
        <v/>
      </c>
    </row>
    <row r="1843" spans="1:10" x14ac:dyDescent="0.3">
      <c r="A1843" s="18"/>
      <c r="B1843" s="6"/>
      <c r="C1843" s="6"/>
      <c r="D1843" s="6"/>
      <c r="E1843" s="16" t="str">
        <f>IF($B1843="","",IFERROR(INDEX(Services!$C$2:$C$120,MATCH($B1843,Services!$D$2:$D$120,0)),""))</f>
        <v/>
      </c>
      <c r="F1843" s="19"/>
      <c r="G1843" s="9" t="str">
        <f t="shared" si="28"/>
        <v/>
      </c>
      <c r="H1843" s="15" t="str">
        <f>IF($B1843="","",IFERROR(INDEX(Services!$A$2:$A$120,MATCH($B1843,Services!$D$2:$D$120,0)),""))</f>
        <v/>
      </c>
      <c r="I1843" s="19"/>
      <c r="J1843" s="15" t="str">
        <f>IF($B1843="","",IFERROR(INDEX(Services!$E$2:$E$120,MATCH($B1843,Services!$D$2:$D$120,0)),""))</f>
        <v/>
      </c>
    </row>
    <row r="1844" spans="1:10" x14ac:dyDescent="0.3">
      <c r="A1844" s="18"/>
      <c r="B1844" s="6"/>
      <c r="C1844" s="6"/>
      <c r="D1844" s="6"/>
      <c r="E1844" s="16" t="str">
        <f>IF($B1844="","",IFERROR(INDEX(Services!$C$2:$C$120,MATCH($B1844,Services!$D$2:$D$120,0)),""))</f>
        <v/>
      </c>
      <c r="F1844" s="19"/>
      <c r="G1844" s="9" t="str">
        <f t="shared" si="28"/>
        <v/>
      </c>
      <c r="H1844" s="15" t="str">
        <f>IF($B1844="","",IFERROR(INDEX(Services!$A$2:$A$120,MATCH($B1844,Services!$D$2:$D$120,0)),""))</f>
        <v/>
      </c>
      <c r="I1844" s="19"/>
      <c r="J1844" s="15" t="str">
        <f>IF($B1844="","",IFERROR(INDEX(Services!$E$2:$E$120,MATCH($B1844,Services!$D$2:$D$120,0)),""))</f>
        <v/>
      </c>
    </row>
    <row r="1845" spans="1:10" x14ac:dyDescent="0.3">
      <c r="A1845" s="18"/>
      <c r="B1845" s="6"/>
      <c r="C1845" s="6"/>
      <c r="D1845" s="6"/>
      <c r="E1845" s="16" t="str">
        <f>IF($B1845="","",IFERROR(INDEX(Services!$C$2:$C$120,MATCH($B1845,Services!$D$2:$D$120,0)),""))</f>
        <v/>
      </c>
      <c r="F1845" s="19"/>
      <c r="G1845" s="9" t="str">
        <f t="shared" si="28"/>
        <v/>
      </c>
      <c r="H1845" s="15" t="str">
        <f>IF($B1845="","",IFERROR(INDEX(Services!$A$2:$A$120,MATCH($B1845,Services!$D$2:$D$120,0)),""))</f>
        <v/>
      </c>
      <c r="I1845" s="19"/>
      <c r="J1845" s="15" t="str">
        <f>IF($B1845="","",IFERROR(INDEX(Services!$E$2:$E$120,MATCH($B1845,Services!$D$2:$D$120,0)),""))</f>
        <v/>
      </c>
    </row>
    <row r="1846" spans="1:10" x14ac:dyDescent="0.3">
      <c r="A1846" s="18"/>
      <c r="B1846" s="6"/>
      <c r="C1846" s="6"/>
      <c r="D1846" s="6"/>
      <c r="E1846" s="16" t="str">
        <f>IF($B1846="","",IFERROR(INDEX(Services!$C$2:$C$120,MATCH($B1846,Services!$D$2:$D$120,0)),""))</f>
        <v/>
      </c>
      <c r="F1846" s="19"/>
      <c r="G1846" s="9" t="str">
        <f t="shared" si="28"/>
        <v/>
      </c>
      <c r="H1846" s="15" t="str">
        <f>IF($B1846="","",IFERROR(INDEX(Services!$A$2:$A$120,MATCH($B1846,Services!$D$2:$D$120,0)),""))</f>
        <v/>
      </c>
      <c r="I1846" s="19"/>
      <c r="J1846" s="15" t="str">
        <f>IF($B1846="","",IFERROR(INDEX(Services!$E$2:$E$120,MATCH($B1846,Services!$D$2:$D$120,0)),""))</f>
        <v/>
      </c>
    </row>
    <row r="1847" spans="1:10" x14ac:dyDescent="0.3">
      <c r="A1847" s="18"/>
      <c r="B1847" s="6"/>
      <c r="C1847" s="6"/>
      <c r="D1847" s="6"/>
      <c r="E1847" s="16" t="str">
        <f>IF($B1847="","",IFERROR(INDEX(Services!$C$2:$C$120,MATCH($B1847,Services!$D$2:$D$120,0)),""))</f>
        <v/>
      </c>
      <c r="F1847" s="19"/>
      <c r="G1847" s="9" t="str">
        <f t="shared" si="28"/>
        <v/>
      </c>
      <c r="H1847" s="15" t="str">
        <f>IF($B1847="","",IFERROR(INDEX(Services!$A$2:$A$120,MATCH($B1847,Services!$D$2:$D$120,0)),""))</f>
        <v/>
      </c>
      <c r="I1847" s="19"/>
      <c r="J1847" s="15" t="str">
        <f>IF($B1847="","",IFERROR(INDEX(Services!$E$2:$E$120,MATCH($B1847,Services!$D$2:$D$120,0)),""))</f>
        <v/>
      </c>
    </row>
    <row r="1848" spans="1:10" x14ac:dyDescent="0.3">
      <c r="A1848" s="18"/>
      <c r="B1848" s="6"/>
      <c r="C1848" s="6"/>
      <c r="D1848" s="6"/>
      <c r="E1848" s="16" t="str">
        <f>IF($B1848="","",IFERROR(INDEX(Services!$C$2:$C$120,MATCH($B1848,Services!$D$2:$D$120,0)),""))</f>
        <v/>
      </c>
      <c r="F1848" s="19"/>
      <c r="G1848" s="9" t="str">
        <f t="shared" si="28"/>
        <v/>
      </c>
      <c r="H1848" s="15" t="str">
        <f>IF($B1848="","",IFERROR(INDEX(Services!$A$2:$A$120,MATCH($B1848,Services!$D$2:$D$120,0)),""))</f>
        <v/>
      </c>
      <c r="I1848" s="19"/>
      <c r="J1848" s="15" t="str">
        <f>IF($B1848="","",IFERROR(INDEX(Services!$E$2:$E$120,MATCH($B1848,Services!$D$2:$D$120,0)),""))</f>
        <v/>
      </c>
    </row>
    <row r="1849" spans="1:10" x14ac:dyDescent="0.3">
      <c r="A1849" s="18"/>
      <c r="B1849" s="6"/>
      <c r="C1849" s="6"/>
      <c r="D1849" s="6"/>
      <c r="E1849" s="16" t="str">
        <f>IF($B1849="","",IFERROR(INDEX(Services!$C$2:$C$120,MATCH($B1849,Services!$D$2:$D$120,0)),""))</f>
        <v/>
      </c>
      <c r="F1849" s="19"/>
      <c r="G1849" s="9" t="str">
        <f t="shared" si="28"/>
        <v/>
      </c>
      <c r="H1849" s="15" t="str">
        <f>IF($B1849="","",IFERROR(INDEX(Services!$A$2:$A$120,MATCH($B1849,Services!$D$2:$D$120,0)),""))</f>
        <v/>
      </c>
      <c r="I1849" s="19"/>
      <c r="J1849" s="15" t="str">
        <f>IF($B1849="","",IFERROR(INDEX(Services!$E$2:$E$120,MATCH($B1849,Services!$D$2:$D$120,0)),""))</f>
        <v/>
      </c>
    </row>
    <row r="1850" spans="1:10" x14ac:dyDescent="0.3">
      <c r="A1850" s="18"/>
      <c r="B1850" s="6"/>
      <c r="C1850" s="6"/>
      <c r="D1850" s="6"/>
      <c r="E1850" s="16" t="str">
        <f>IF($B1850="","",IFERROR(INDEX(Services!$C$2:$C$120,MATCH($B1850,Services!$D$2:$D$120,0)),""))</f>
        <v/>
      </c>
      <c r="F1850" s="19"/>
      <c r="G1850" s="9" t="str">
        <f t="shared" si="28"/>
        <v/>
      </c>
      <c r="H1850" s="15" t="str">
        <f>IF($B1850="","",IFERROR(INDEX(Services!$A$2:$A$120,MATCH($B1850,Services!$D$2:$D$120,0)),""))</f>
        <v/>
      </c>
      <c r="I1850" s="19"/>
      <c r="J1850" s="15" t="str">
        <f>IF($B1850="","",IFERROR(INDEX(Services!$E$2:$E$120,MATCH($B1850,Services!$D$2:$D$120,0)),""))</f>
        <v/>
      </c>
    </row>
    <row r="1851" spans="1:10" x14ac:dyDescent="0.3">
      <c r="A1851" s="18"/>
      <c r="B1851" s="6"/>
      <c r="C1851" s="6"/>
      <c r="D1851" s="6"/>
      <c r="E1851" s="16" t="str">
        <f>IF($B1851="","",IFERROR(INDEX(Services!$C$2:$C$120,MATCH($B1851,Services!$D$2:$D$120,0)),""))</f>
        <v/>
      </c>
      <c r="F1851" s="19"/>
      <c r="G1851" s="9" t="str">
        <f t="shared" si="28"/>
        <v/>
      </c>
      <c r="H1851" s="15" t="str">
        <f>IF($B1851="","",IFERROR(INDEX(Services!$A$2:$A$120,MATCH($B1851,Services!$D$2:$D$120,0)),""))</f>
        <v/>
      </c>
      <c r="I1851" s="19"/>
      <c r="J1851" s="15" t="str">
        <f>IF($B1851="","",IFERROR(INDEX(Services!$E$2:$E$120,MATCH($B1851,Services!$D$2:$D$120,0)),""))</f>
        <v/>
      </c>
    </row>
    <row r="1852" spans="1:10" x14ac:dyDescent="0.3">
      <c r="A1852" s="18"/>
      <c r="B1852" s="6"/>
      <c r="C1852" s="6"/>
      <c r="D1852" s="6"/>
      <c r="E1852" s="16" t="str">
        <f>IF($B1852="","",IFERROR(INDEX(Services!$C$2:$C$120,MATCH($B1852,Services!$D$2:$D$120,0)),""))</f>
        <v/>
      </c>
      <c r="F1852" s="19"/>
      <c r="G1852" s="9" t="str">
        <f t="shared" si="28"/>
        <v/>
      </c>
      <c r="H1852" s="15" t="str">
        <f>IF($B1852="","",IFERROR(INDEX(Services!$A$2:$A$120,MATCH($B1852,Services!$D$2:$D$120,0)),""))</f>
        <v/>
      </c>
      <c r="I1852" s="19"/>
      <c r="J1852" s="15" t="str">
        <f>IF($B1852="","",IFERROR(INDEX(Services!$E$2:$E$120,MATCH($B1852,Services!$D$2:$D$120,0)),""))</f>
        <v/>
      </c>
    </row>
    <row r="1853" spans="1:10" x14ac:dyDescent="0.3">
      <c r="A1853" s="18"/>
      <c r="B1853" s="6"/>
      <c r="C1853" s="6"/>
      <c r="D1853" s="6"/>
      <c r="E1853" s="16" t="str">
        <f>IF($B1853="","",IFERROR(INDEX(Services!$C$2:$C$120,MATCH($B1853,Services!$D$2:$D$120,0)),""))</f>
        <v/>
      </c>
      <c r="F1853" s="19"/>
      <c r="G1853" s="9" t="str">
        <f t="shared" si="28"/>
        <v/>
      </c>
      <c r="H1853" s="15" t="str">
        <f>IF($B1853="","",IFERROR(INDEX(Services!$A$2:$A$120,MATCH($B1853,Services!$D$2:$D$120,0)),""))</f>
        <v/>
      </c>
      <c r="I1853" s="19"/>
      <c r="J1853" s="15" t="str">
        <f>IF($B1853="","",IFERROR(INDEX(Services!$E$2:$E$120,MATCH($B1853,Services!$D$2:$D$120,0)),""))</f>
        <v/>
      </c>
    </row>
    <row r="1854" spans="1:10" x14ac:dyDescent="0.3">
      <c r="A1854" s="18"/>
      <c r="B1854" s="6"/>
      <c r="C1854" s="6"/>
      <c r="D1854" s="6"/>
      <c r="E1854" s="16" t="str">
        <f>IF($B1854="","",IFERROR(INDEX(Services!$C$2:$C$120,MATCH($B1854,Services!$D$2:$D$120,0)),""))</f>
        <v/>
      </c>
      <c r="F1854" s="19"/>
      <c r="G1854" s="9" t="str">
        <f t="shared" si="28"/>
        <v/>
      </c>
      <c r="H1854" s="15" t="str">
        <f>IF($B1854="","",IFERROR(INDEX(Services!$A$2:$A$120,MATCH($B1854,Services!$D$2:$D$120,0)),""))</f>
        <v/>
      </c>
      <c r="I1854" s="19"/>
      <c r="J1854" s="15" t="str">
        <f>IF($B1854="","",IFERROR(INDEX(Services!$E$2:$E$120,MATCH($B1854,Services!$D$2:$D$120,0)),""))</f>
        <v/>
      </c>
    </row>
    <row r="1855" spans="1:10" x14ac:dyDescent="0.3">
      <c r="A1855" s="18"/>
      <c r="B1855" s="6"/>
      <c r="C1855" s="6"/>
      <c r="D1855" s="6"/>
      <c r="E1855" s="16" t="str">
        <f>IF($B1855="","",IFERROR(INDEX(Services!$C$2:$C$120,MATCH($B1855,Services!$D$2:$D$120,0)),""))</f>
        <v/>
      </c>
      <c r="F1855" s="19"/>
      <c r="G1855" s="9" t="str">
        <f t="shared" si="28"/>
        <v/>
      </c>
      <c r="H1855" s="15" t="str">
        <f>IF($B1855="","",IFERROR(INDEX(Services!$A$2:$A$120,MATCH($B1855,Services!$D$2:$D$120,0)),""))</f>
        <v/>
      </c>
      <c r="I1855" s="19"/>
      <c r="J1855" s="15" t="str">
        <f>IF($B1855="","",IFERROR(INDEX(Services!$E$2:$E$120,MATCH($B1855,Services!$D$2:$D$120,0)),""))</f>
        <v/>
      </c>
    </row>
    <row r="1856" spans="1:10" x14ac:dyDescent="0.3">
      <c r="A1856" s="18"/>
      <c r="B1856" s="6"/>
      <c r="C1856" s="6"/>
      <c r="D1856" s="6"/>
      <c r="E1856" s="16" t="str">
        <f>IF($B1856="","",IFERROR(INDEX(Services!$C$2:$C$120,MATCH($B1856,Services!$D$2:$D$120,0)),""))</f>
        <v/>
      </c>
      <c r="F1856" s="19"/>
      <c r="G1856" s="9" t="str">
        <f t="shared" si="28"/>
        <v/>
      </c>
      <c r="H1856" s="15" t="str">
        <f>IF($B1856="","",IFERROR(INDEX(Services!$A$2:$A$120,MATCH($B1856,Services!$D$2:$D$120,0)),""))</f>
        <v/>
      </c>
      <c r="I1856" s="19"/>
      <c r="J1856" s="15" t="str">
        <f>IF($B1856="","",IFERROR(INDEX(Services!$E$2:$E$120,MATCH($B1856,Services!$D$2:$D$120,0)),""))</f>
        <v/>
      </c>
    </row>
    <row r="1857" spans="1:10" x14ac:dyDescent="0.3">
      <c r="A1857" s="18"/>
      <c r="B1857" s="6"/>
      <c r="C1857" s="6"/>
      <c r="D1857" s="6"/>
      <c r="E1857" s="16" t="str">
        <f>IF($B1857="","",IFERROR(INDEX(Services!$C$2:$C$120,MATCH($B1857,Services!$D$2:$D$120,0)),""))</f>
        <v/>
      </c>
      <c r="F1857" s="19"/>
      <c r="G1857" s="9" t="str">
        <f t="shared" si="28"/>
        <v/>
      </c>
      <c r="H1857" s="15" t="str">
        <f>IF($B1857="","",IFERROR(INDEX(Services!$A$2:$A$120,MATCH($B1857,Services!$D$2:$D$120,0)),""))</f>
        <v/>
      </c>
      <c r="I1857" s="19"/>
      <c r="J1857" s="15" t="str">
        <f>IF($B1857="","",IFERROR(INDEX(Services!$E$2:$E$120,MATCH($B1857,Services!$D$2:$D$120,0)),""))</f>
        <v/>
      </c>
    </row>
    <row r="1858" spans="1:10" x14ac:dyDescent="0.3">
      <c r="A1858" s="18"/>
      <c r="B1858" s="6"/>
      <c r="C1858" s="6"/>
      <c r="D1858" s="6"/>
      <c r="E1858" s="16" t="str">
        <f>IF($B1858="","",IFERROR(INDEX(Services!$C$2:$C$120,MATCH($B1858,Services!$D$2:$D$120,0)),""))</f>
        <v/>
      </c>
      <c r="F1858" s="19"/>
      <c r="G1858" s="9" t="str">
        <f t="shared" ref="G1858:G1921" si="29">IF(OR($B1858="",NOT(ISNUMBER($E1858))),"",$E1858-IF($F1858="",0,$F1858))</f>
        <v/>
      </c>
      <c r="H1858" s="15" t="str">
        <f>IF($B1858="","",IFERROR(INDEX(Services!$A$2:$A$120,MATCH($B1858,Services!$D$2:$D$120,0)),""))</f>
        <v/>
      </c>
      <c r="I1858" s="19"/>
      <c r="J1858" s="15" t="str">
        <f>IF($B1858="","",IFERROR(INDEX(Services!$E$2:$E$120,MATCH($B1858,Services!$D$2:$D$120,0)),""))</f>
        <v/>
      </c>
    </row>
    <row r="1859" spans="1:10" x14ac:dyDescent="0.3">
      <c r="A1859" s="18"/>
      <c r="B1859" s="6"/>
      <c r="C1859" s="6"/>
      <c r="D1859" s="6"/>
      <c r="E1859" s="16" t="str">
        <f>IF($B1859="","",IFERROR(INDEX(Services!$C$2:$C$120,MATCH($B1859,Services!$D$2:$D$120,0)),""))</f>
        <v/>
      </c>
      <c r="F1859" s="19"/>
      <c r="G1859" s="9" t="str">
        <f t="shared" si="29"/>
        <v/>
      </c>
      <c r="H1859" s="15" t="str">
        <f>IF($B1859="","",IFERROR(INDEX(Services!$A$2:$A$120,MATCH($B1859,Services!$D$2:$D$120,0)),""))</f>
        <v/>
      </c>
      <c r="I1859" s="19"/>
      <c r="J1859" s="15" t="str">
        <f>IF($B1859="","",IFERROR(INDEX(Services!$E$2:$E$120,MATCH($B1859,Services!$D$2:$D$120,0)),""))</f>
        <v/>
      </c>
    </row>
    <row r="1860" spans="1:10" x14ac:dyDescent="0.3">
      <c r="A1860" s="18"/>
      <c r="B1860" s="6"/>
      <c r="C1860" s="6"/>
      <c r="D1860" s="6"/>
      <c r="E1860" s="16" t="str">
        <f>IF($B1860="","",IFERROR(INDEX(Services!$C$2:$C$120,MATCH($B1860,Services!$D$2:$D$120,0)),""))</f>
        <v/>
      </c>
      <c r="F1860" s="19"/>
      <c r="G1860" s="9" t="str">
        <f t="shared" si="29"/>
        <v/>
      </c>
      <c r="H1860" s="15" t="str">
        <f>IF($B1860="","",IFERROR(INDEX(Services!$A$2:$A$120,MATCH($B1860,Services!$D$2:$D$120,0)),""))</f>
        <v/>
      </c>
      <c r="I1860" s="19"/>
      <c r="J1860" s="15" t="str">
        <f>IF($B1860="","",IFERROR(INDEX(Services!$E$2:$E$120,MATCH($B1860,Services!$D$2:$D$120,0)),""))</f>
        <v/>
      </c>
    </row>
    <row r="1861" spans="1:10" x14ac:dyDescent="0.3">
      <c r="A1861" s="18"/>
      <c r="B1861" s="6"/>
      <c r="C1861" s="6"/>
      <c r="D1861" s="6"/>
      <c r="E1861" s="16" t="str">
        <f>IF($B1861="","",IFERROR(INDEX(Services!$C$2:$C$120,MATCH($B1861,Services!$D$2:$D$120,0)),""))</f>
        <v/>
      </c>
      <c r="F1861" s="19"/>
      <c r="G1861" s="9" t="str">
        <f t="shared" si="29"/>
        <v/>
      </c>
      <c r="H1861" s="15" t="str">
        <f>IF($B1861="","",IFERROR(INDEX(Services!$A$2:$A$120,MATCH($B1861,Services!$D$2:$D$120,0)),""))</f>
        <v/>
      </c>
      <c r="I1861" s="19"/>
      <c r="J1861" s="15" t="str">
        <f>IF($B1861="","",IFERROR(INDEX(Services!$E$2:$E$120,MATCH($B1861,Services!$D$2:$D$120,0)),""))</f>
        <v/>
      </c>
    </row>
    <row r="1862" spans="1:10" x14ac:dyDescent="0.3">
      <c r="A1862" s="18"/>
      <c r="B1862" s="6"/>
      <c r="C1862" s="6"/>
      <c r="D1862" s="6"/>
      <c r="E1862" s="16" t="str">
        <f>IF($B1862="","",IFERROR(INDEX(Services!$C$2:$C$120,MATCH($B1862,Services!$D$2:$D$120,0)),""))</f>
        <v/>
      </c>
      <c r="F1862" s="19"/>
      <c r="G1862" s="9" t="str">
        <f t="shared" si="29"/>
        <v/>
      </c>
      <c r="H1862" s="15" t="str">
        <f>IF($B1862="","",IFERROR(INDEX(Services!$A$2:$A$120,MATCH($B1862,Services!$D$2:$D$120,0)),""))</f>
        <v/>
      </c>
      <c r="I1862" s="19"/>
      <c r="J1862" s="15" t="str">
        <f>IF($B1862="","",IFERROR(INDEX(Services!$E$2:$E$120,MATCH($B1862,Services!$D$2:$D$120,0)),""))</f>
        <v/>
      </c>
    </row>
    <row r="1863" spans="1:10" x14ac:dyDescent="0.3">
      <c r="A1863" s="18"/>
      <c r="B1863" s="6"/>
      <c r="C1863" s="6"/>
      <c r="D1863" s="6"/>
      <c r="E1863" s="16" t="str">
        <f>IF($B1863="","",IFERROR(INDEX(Services!$C$2:$C$120,MATCH($B1863,Services!$D$2:$D$120,0)),""))</f>
        <v/>
      </c>
      <c r="F1863" s="19"/>
      <c r="G1863" s="9" t="str">
        <f t="shared" si="29"/>
        <v/>
      </c>
      <c r="H1863" s="15" t="str">
        <f>IF($B1863="","",IFERROR(INDEX(Services!$A$2:$A$120,MATCH($B1863,Services!$D$2:$D$120,0)),""))</f>
        <v/>
      </c>
      <c r="I1863" s="19"/>
      <c r="J1863" s="15" t="str">
        <f>IF($B1863="","",IFERROR(INDEX(Services!$E$2:$E$120,MATCH($B1863,Services!$D$2:$D$120,0)),""))</f>
        <v/>
      </c>
    </row>
    <row r="1864" spans="1:10" x14ac:dyDescent="0.3">
      <c r="A1864" s="18"/>
      <c r="B1864" s="6"/>
      <c r="C1864" s="6"/>
      <c r="D1864" s="6"/>
      <c r="E1864" s="16" t="str">
        <f>IF($B1864="","",IFERROR(INDEX(Services!$C$2:$C$120,MATCH($B1864,Services!$D$2:$D$120,0)),""))</f>
        <v/>
      </c>
      <c r="F1864" s="19"/>
      <c r="G1864" s="9" t="str">
        <f t="shared" si="29"/>
        <v/>
      </c>
      <c r="H1864" s="15" t="str">
        <f>IF($B1864="","",IFERROR(INDEX(Services!$A$2:$A$120,MATCH($B1864,Services!$D$2:$D$120,0)),""))</f>
        <v/>
      </c>
      <c r="I1864" s="19"/>
      <c r="J1864" s="15" t="str">
        <f>IF($B1864="","",IFERROR(INDEX(Services!$E$2:$E$120,MATCH($B1864,Services!$D$2:$D$120,0)),""))</f>
        <v/>
      </c>
    </row>
    <row r="1865" spans="1:10" x14ac:dyDescent="0.3">
      <c r="A1865" s="18"/>
      <c r="B1865" s="6"/>
      <c r="C1865" s="6"/>
      <c r="D1865" s="6"/>
      <c r="E1865" s="16" t="str">
        <f>IF($B1865="","",IFERROR(INDEX(Services!$C$2:$C$120,MATCH($B1865,Services!$D$2:$D$120,0)),""))</f>
        <v/>
      </c>
      <c r="F1865" s="19"/>
      <c r="G1865" s="9" t="str">
        <f t="shared" si="29"/>
        <v/>
      </c>
      <c r="H1865" s="15" t="str">
        <f>IF($B1865="","",IFERROR(INDEX(Services!$A$2:$A$120,MATCH($B1865,Services!$D$2:$D$120,0)),""))</f>
        <v/>
      </c>
      <c r="I1865" s="19"/>
      <c r="J1865" s="15" t="str">
        <f>IF($B1865="","",IFERROR(INDEX(Services!$E$2:$E$120,MATCH($B1865,Services!$D$2:$D$120,0)),""))</f>
        <v/>
      </c>
    </row>
    <row r="1866" spans="1:10" x14ac:dyDescent="0.3">
      <c r="A1866" s="18"/>
      <c r="B1866" s="6"/>
      <c r="C1866" s="6"/>
      <c r="D1866" s="6"/>
      <c r="E1866" s="16" t="str">
        <f>IF($B1866="","",IFERROR(INDEX(Services!$C$2:$C$120,MATCH($B1866,Services!$D$2:$D$120,0)),""))</f>
        <v/>
      </c>
      <c r="F1866" s="19"/>
      <c r="G1866" s="9" t="str">
        <f t="shared" si="29"/>
        <v/>
      </c>
      <c r="H1866" s="15" t="str">
        <f>IF($B1866="","",IFERROR(INDEX(Services!$A$2:$A$120,MATCH($B1866,Services!$D$2:$D$120,0)),""))</f>
        <v/>
      </c>
      <c r="I1866" s="19"/>
      <c r="J1866" s="15" t="str">
        <f>IF($B1866="","",IFERROR(INDEX(Services!$E$2:$E$120,MATCH($B1866,Services!$D$2:$D$120,0)),""))</f>
        <v/>
      </c>
    </row>
    <row r="1867" spans="1:10" x14ac:dyDescent="0.3">
      <c r="A1867" s="18"/>
      <c r="B1867" s="6"/>
      <c r="C1867" s="6"/>
      <c r="D1867" s="6"/>
      <c r="E1867" s="16" t="str">
        <f>IF($B1867="","",IFERROR(INDEX(Services!$C$2:$C$120,MATCH($B1867,Services!$D$2:$D$120,0)),""))</f>
        <v/>
      </c>
      <c r="F1867" s="19"/>
      <c r="G1867" s="9" t="str">
        <f t="shared" si="29"/>
        <v/>
      </c>
      <c r="H1867" s="15" t="str">
        <f>IF($B1867="","",IFERROR(INDEX(Services!$A$2:$A$120,MATCH($B1867,Services!$D$2:$D$120,0)),""))</f>
        <v/>
      </c>
      <c r="I1867" s="19"/>
      <c r="J1867" s="15" t="str">
        <f>IF($B1867="","",IFERROR(INDEX(Services!$E$2:$E$120,MATCH($B1867,Services!$D$2:$D$120,0)),""))</f>
        <v/>
      </c>
    </row>
    <row r="1868" spans="1:10" x14ac:dyDescent="0.3">
      <c r="A1868" s="18"/>
      <c r="B1868" s="6"/>
      <c r="C1868" s="6"/>
      <c r="D1868" s="6"/>
      <c r="E1868" s="16" t="str">
        <f>IF($B1868="","",IFERROR(INDEX(Services!$C$2:$C$120,MATCH($B1868,Services!$D$2:$D$120,0)),""))</f>
        <v/>
      </c>
      <c r="F1868" s="19"/>
      <c r="G1868" s="9" t="str">
        <f t="shared" si="29"/>
        <v/>
      </c>
      <c r="H1868" s="15" t="str">
        <f>IF($B1868="","",IFERROR(INDEX(Services!$A$2:$A$120,MATCH($B1868,Services!$D$2:$D$120,0)),""))</f>
        <v/>
      </c>
      <c r="I1868" s="19"/>
      <c r="J1868" s="15" t="str">
        <f>IF($B1868="","",IFERROR(INDEX(Services!$E$2:$E$120,MATCH($B1868,Services!$D$2:$D$120,0)),""))</f>
        <v/>
      </c>
    </row>
    <row r="1869" spans="1:10" x14ac:dyDescent="0.3">
      <c r="A1869" s="18"/>
      <c r="B1869" s="6"/>
      <c r="C1869" s="6"/>
      <c r="D1869" s="6"/>
      <c r="E1869" s="16" t="str">
        <f>IF($B1869="","",IFERROR(INDEX(Services!$C$2:$C$120,MATCH($B1869,Services!$D$2:$D$120,0)),""))</f>
        <v/>
      </c>
      <c r="F1869" s="19"/>
      <c r="G1869" s="9" t="str">
        <f t="shared" si="29"/>
        <v/>
      </c>
      <c r="H1869" s="15" t="str">
        <f>IF($B1869="","",IFERROR(INDEX(Services!$A$2:$A$120,MATCH($B1869,Services!$D$2:$D$120,0)),""))</f>
        <v/>
      </c>
      <c r="I1869" s="19"/>
      <c r="J1869" s="15" t="str">
        <f>IF($B1869="","",IFERROR(INDEX(Services!$E$2:$E$120,MATCH($B1869,Services!$D$2:$D$120,0)),""))</f>
        <v/>
      </c>
    </row>
    <row r="1870" spans="1:10" x14ac:dyDescent="0.3">
      <c r="A1870" s="18"/>
      <c r="B1870" s="6"/>
      <c r="C1870" s="6"/>
      <c r="D1870" s="6"/>
      <c r="E1870" s="16" t="str">
        <f>IF($B1870="","",IFERROR(INDEX(Services!$C$2:$C$120,MATCH($B1870,Services!$D$2:$D$120,0)),""))</f>
        <v/>
      </c>
      <c r="F1870" s="19"/>
      <c r="G1870" s="9" t="str">
        <f t="shared" si="29"/>
        <v/>
      </c>
      <c r="H1870" s="15" t="str">
        <f>IF($B1870="","",IFERROR(INDEX(Services!$A$2:$A$120,MATCH($B1870,Services!$D$2:$D$120,0)),""))</f>
        <v/>
      </c>
      <c r="I1870" s="19"/>
      <c r="J1870" s="15" t="str">
        <f>IF($B1870="","",IFERROR(INDEX(Services!$E$2:$E$120,MATCH($B1870,Services!$D$2:$D$120,0)),""))</f>
        <v/>
      </c>
    </row>
    <row r="1871" spans="1:10" x14ac:dyDescent="0.3">
      <c r="A1871" s="18"/>
      <c r="B1871" s="6"/>
      <c r="C1871" s="6"/>
      <c r="D1871" s="6"/>
      <c r="E1871" s="16" t="str">
        <f>IF($B1871="","",IFERROR(INDEX(Services!$C$2:$C$120,MATCH($B1871,Services!$D$2:$D$120,0)),""))</f>
        <v/>
      </c>
      <c r="F1871" s="19"/>
      <c r="G1871" s="9" t="str">
        <f t="shared" si="29"/>
        <v/>
      </c>
      <c r="H1871" s="15" t="str">
        <f>IF($B1871="","",IFERROR(INDEX(Services!$A$2:$A$120,MATCH($B1871,Services!$D$2:$D$120,0)),""))</f>
        <v/>
      </c>
      <c r="I1871" s="19"/>
      <c r="J1871" s="15" t="str">
        <f>IF($B1871="","",IFERROR(INDEX(Services!$E$2:$E$120,MATCH($B1871,Services!$D$2:$D$120,0)),""))</f>
        <v/>
      </c>
    </row>
    <row r="1872" spans="1:10" x14ac:dyDescent="0.3">
      <c r="A1872" s="18"/>
      <c r="B1872" s="6"/>
      <c r="C1872" s="6"/>
      <c r="D1872" s="6"/>
      <c r="E1872" s="16" t="str">
        <f>IF($B1872="","",IFERROR(INDEX(Services!$C$2:$C$120,MATCH($B1872,Services!$D$2:$D$120,0)),""))</f>
        <v/>
      </c>
      <c r="F1872" s="19"/>
      <c r="G1872" s="9" t="str">
        <f t="shared" si="29"/>
        <v/>
      </c>
      <c r="H1872" s="15" t="str">
        <f>IF($B1872="","",IFERROR(INDEX(Services!$A$2:$A$120,MATCH($B1872,Services!$D$2:$D$120,0)),""))</f>
        <v/>
      </c>
      <c r="I1872" s="19"/>
      <c r="J1872" s="15" t="str">
        <f>IF($B1872="","",IFERROR(INDEX(Services!$E$2:$E$120,MATCH($B1872,Services!$D$2:$D$120,0)),""))</f>
        <v/>
      </c>
    </row>
    <row r="1873" spans="1:10" x14ac:dyDescent="0.3">
      <c r="A1873" s="18"/>
      <c r="B1873" s="6"/>
      <c r="C1873" s="6"/>
      <c r="D1873" s="6"/>
      <c r="E1873" s="16" t="str">
        <f>IF($B1873="","",IFERROR(INDEX(Services!$C$2:$C$120,MATCH($B1873,Services!$D$2:$D$120,0)),""))</f>
        <v/>
      </c>
      <c r="F1873" s="19"/>
      <c r="G1873" s="9" t="str">
        <f t="shared" si="29"/>
        <v/>
      </c>
      <c r="H1873" s="15" t="str">
        <f>IF($B1873="","",IFERROR(INDEX(Services!$A$2:$A$120,MATCH($B1873,Services!$D$2:$D$120,0)),""))</f>
        <v/>
      </c>
      <c r="I1873" s="19"/>
      <c r="J1873" s="15" t="str">
        <f>IF($B1873="","",IFERROR(INDEX(Services!$E$2:$E$120,MATCH($B1873,Services!$D$2:$D$120,0)),""))</f>
        <v/>
      </c>
    </row>
    <row r="1874" spans="1:10" x14ac:dyDescent="0.3">
      <c r="A1874" s="18"/>
      <c r="B1874" s="6"/>
      <c r="C1874" s="6"/>
      <c r="D1874" s="6"/>
      <c r="E1874" s="16" t="str">
        <f>IF($B1874="","",IFERROR(INDEX(Services!$C$2:$C$120,MATCH($B1874,Services!$D$2:$D$120,0)),""))</f>
        <v/>
      </c>
      <c r="F1874" s="19"/>
      <c r="G1874" s="9" t="str">
        <f t="shared" si="29"/>
        <v/>
      </c>
      <c r="H1874" s="15" t="str">
        <f>IF($B1874="","",IFERROR(INDEX(Services!$A$2:$A$120,MATCH($B1874,Services!$D$2:$D$120,0)),""))</f>
        <v/>
      </c>
      <c r="I1874" s="19"/>
      <c r="J1874" s="15" t="str">
        <f>IF($B1874="","",IFERROR(INDEX(Services!$E$2:$E$120,MATCH($B1874,Services!$D$2:$D$120,0)),""))</f>
        <v/>
      </c>
    </row>
    <row r="1875" spans="1:10" x14ac:dyDescent="0.3">
      <c r="A1875" s="18"/>
      <c r="B1875" s="6"/>
      <c r="C1875" s="6"/>
      <c r="D1875" s="6"/>
      <c r="E1875" s="16" t="str">
        <f>IF($B1875="","",IFERROR(INDEX(Services!$C$2:$C$120,MATCH($B1875,Services!$D$2:$D$120,0)),""))</f>
        <v/>
      </c>
      <c r="F1875" s="19"/>
      <c r="G1875" s="9" t="str">
        <f t="shared" si="29"/>
        <v/>
      </c>
      <c r="H1875" s="15" t="str">
        <f>IF($B1875="","",IFERROR(INDEX(Services!$A$2:$A$120,MATCH($B1875,Services!$D$2:$D$120,0)),""))</f>
        <v/>
      </c>
      <c r="I1875" s="19"/>
      <c r="J1875" s="15" t="str">
        <f>IF($B1875="","",IFERROR(INDEX(Services!$E$2:$E$120,MATCH($B1875,Services!$D$2:$D$120,0)),""))</f>
        <v/>
      </c>
    </row>
    <row r="1876" spans="1:10" x14ac:dyDescent="0.3">
      <c r="A1876" s="18"/>
      <c r="B1876" s="6"/>
      <c r="C1876" s="6"/>
      <c r="D1876" s="6"/>
      <c r="E1876" s="16" t="str">
        <f>IF($B1876="","",IFERROR(INDEX(Services!$C$2:$C$120,MATCH($B1876,Services!$D$2:$D$120,0)),""))</f>
        <v/>
      </c>
      <c r="F1876" s="19"/>
      <c r="G1876" s="9" t="str">
        <f t="shared" si="29"/>
        <v/>
      </c>
      <c r="H1876" s="15" t="str">
        <f>IF($B1876="","",IFERROR(INDEX(Services!$A$2:$A$120,MATCH($B1876,Services!$D$2:$D$120,0)),""))</f>
        <v/>
      </c>
      <c r="I1876" s="19"/>
      <c r="J1876" s="15" t="str">
        <f>IF($B1876="","",IFERROR(INDEX(Services!$E$2:$E$120,MATCH($B1876,Services!$D$2:$D$120,0)),""))</f>
        <v/>
      </c>
    </row>
    <row r="1877" spans="1:10" x14ac:dyDescent="0.3">
      <c r="A1877" s="18"/>
      <c r="B1877" s="6"/>
      <c r="C1877" s="6"/>
      <c r="D1877" s="6"/>
      <c r="E1877" s="16" t="str">
        <f>IF($B1877="","",IFERROR(INDEX(Services!$C$2:$C$120,MATCH($B1877,Services!$D$2:$D$120,0)),""))</f>
        <v/>
      </c>
      <c r="F1877" s="19"/>
      <c r="G1877" s="9" t="str">
        <f t="shared" si="29"/>
        <v/>
      </c>
      <c r="H1877" s="15" t="str">
        <f>IF($B1877="","",IFERROR(INDEX(Services!$A$2:$A$120,MATCH($B1877,Services!$D$2:$D$120,0)),""))</f>
        <v/>
      </c>
      <c r="I1877" s="19"/>
      <c r="J1877" s="15" t="str">
        <f>IF($B1877="","",IFERROR(INDEX(Services!$E$2:$E$120,MATCH($B1877,Services!$D$2:$D$120,0)),""))</f>
        <v/>
      </c>
    </row>
    <row r="1878" spans="1:10" x14ac:dyDescent="0.3">
      <c r="A1878" s="18"/>
      <c r="B1878" s="6"/>
      <c r="C1878" s="6"/>
      <c r="D1878" s="6"/>
      <c r="E1878" s="16" t="str">
        <f>IF($B1878="","",IFERROR(INDEX(Services!$C$2:$C$120,MATCH($B1878,Services!$D$2:$D$120,0)),""))</f>
        <v/>
      </c>
      <c r="F1878" s="19"/>
      <c r="G1878" s="9" t="str">
        <f t="shared" si="29"/>
        <v/>
      </c>
      <c r="H1878" s="15" t="str">
        <f>IF($B1878="","",IFERROR(INDEX(Services!$A$2:$A$120,MATCH($B1878,Services!$D$2:$D$120,0)),""))</f>
        <v/>
      </c>
      <c r="I1878" s="19"/>
      <c r="J1878" s="15" t="str">
        <f>IF($B1878="","",IFERROR(INDEX(Services!$E$2:$E$120,MATCH($B1878,Services!$D$2:$D$120,0)),""))</f>
        <v/>
      </c>
    </row>
    <row r="1879" spans="1:10" x14ac:dyDescent="0.3">
      <c r="A1879" s="18"/>
      <c r="B1879" s="6"/>
      <c r="C1879" s="6"/>
      <c r="D1879" s="6"/>
      <c r="E1879" s="16" t="str">
        <f>IF($B1879="","",IFERROR(INDEX(Services!$C$2:$C$120,MATCH($B1879,Services!$D$2:$D$120,0)),""))</f>
        <v/>
      </c>
      <c r="F1879" s="19"/>
      <c r="G1879" s="9" t="str">
        <f t="shared" si="29"/>
        <v/>
      </c>
      <c r="H1879" s="15" t="str">
        <f>IF($B1879="","",IFERROR(INDEX(Services!$A$2:$A$120,MATCH($B1879,Services!$D$2:$D$120,0)),""))</f>
        <v/>
      </c>
      <c r="I1879" s="19"/>
      <c r="J1879" s="15" t="str">
        <f>IF($B1879="","",IFERROR(INDEX(Services!$E$2:$E$120,MATCH($B1879,Services!$D$2:$D$120,0)),""))</f>
        <v/>
      </c>
    </row>
    <row r="1880" spans="1:10" x14ac:dyDescent="0.3">
      <c r="A1880" s="18"/>
      <c r="B1880" s="6"/>
      <c r="C1880" s="6"/>
      <c r="D1880" s="6"/>
      <c r="E1880" s="16" t="str">
        <f>IF($B1880="","",IFERROR(INDEX(Services!$C$2:$C$120,MATCH($B1880,Services!$D$2:$D$120,0)),""))</f>
        <v/>
      </c>
      <c r="F1880" s="19"/>
      <c r="G1880" s="9" t="str">
        <f t="shared" si="29"/>
        <v/>
      </c>
      <c r="H1880" s="15" t="str">
        <f>IF($B1880="","",IFERROR(INDEX(Services!$A$2:$A$120,MATCH($B1880,Services!$D$2:$D$120,0)),""))</f>
        <v/>
      </c>
      <c r="I1880" s="19"/>
      <c r="J1880" s="15" t="str">
        <f>IF($B1880="","",IFERROR(INDEX(Services!$E$2:$E$120,MATCH($B1880,Services!$D$2:$D$120,0)),""))</f>
        <v/>
      </c>
    </row>
    <row r="1881" spans="1:10" x14ac:dyDescent="0.3">
      <c r="A1881" s="18"/>
      <c r="B1881" s="6"/>
      <c r="C1881" s="6"/>
      <c r="D1881" s="6"/>
      <c r="E1881" s="16" t="str">
        <f>IF($B1881="","",IFERROR(INDEX(Services!$C$2:$C$120,MATCH($B1881,Services!$D$2:$D$120,0)),""))</f>
        <v/>
      </c>
      <c r="F1881" s="19"/>
      <c r="G1881" s="9" t="str">
        <f t="shared" si="29"/>
        <v/>
      </c>
      <c r="H1881" s="15" t="str">
        <f>IF($B1881="","",IFERROR(INDEX(Services!$A$2:$A$120,MATCH($B1881,Services!$D$2:$D$120,0)),""))</f>
        <v/>
      </c>
      <c r="I1881" s="19"/>
      <c r="J1881" s="15" t="str">
        <f>IF($B1881="","",IFERROR(INDEX(Services!$E$2:$E$120,MATCH($B1881,Services!$D$2:$D$120,0)),""))</f>
        <v/>
      </c>
    </row>
    <row r="1882" spans="1:10" x14ac:dyDescent="0.3">
      <c r="A1882" s="18"/>
      <c r="B1882" s="6"/>
      <c r="C1882" s="6"/>
      <c r="D1882" s="6"/>
      <c r="E1882" s="16" t="str">
        <f>IF($B1882="","",IFERROR(INDEX(Services!$C$2:$C$120,MATCH($B1882,Services!$D$2:$D$120,0)),""))</f>
        <v/>
      </c>
      <c r="F1882" s="19"/>
      <c r="G1882" s="9" t="str">
        <f t="shared" si="29"/>
        <v/>
      </c>
      <c r="H1882" s="15" t="str">
        <f>IF($B1882="","",IFERROR(INDEX(Services!$A$2:$A$120,MATCH($B1882,Services!$D$2:$D$120,0)),""))</f>
        <v/>
      </c>
      <c r="I1882" s="19"/>
      <c r="J1882" s="15" t="str">
        <f>IF($B1882="","",IFERROR(INDEX(Services!$E$2:$E$120,MATCH($B1882,Services!$D$2:$D$120,0)),""))</f>
        <v/>
      </c>
    </row>
    <row r="1883" spans="1:10" x14ac:dyDescent="0.3">
      <c r="A1883" s="18"/>
      <c r="B1883" s="6"/>
      <c r="C1883" s="6"/>
      <c r="D1883" s="6"/>
      <c r="E1883" s="16" t="str">
        <f>IF($B1883="","",IFERROR(INDEX(Services!$C$2:$C$120,MATCH($B1883,Services!$D$2:$D$120,0)),""))</f>
        <v/>
      </c>
      <c r="F1883" s="19"/>
      <c r="G1883" s="9" t="str">
        <f t="shared" si="29"/>
        <v/>
      </c>
      <c r="H1883" s="15" t="str">
        <f>IF($B1883="","",IFERROR(INDEX(Services!$A$2:$A$120,MATCH($B1883,Services!$D$2:$D$120,0)),""))</f>
        <v/>
      </c>
      <c r="I1883" s="19"/>
      <c r="J1883" s="15" t="str">
        <f>IF($B1883="","",IFERROR(INDEX(Services!$E$2:$E$120,MATCH($B1883,Services!$D$2:$D$120,0)),""))</f>
        <v/>
      </c>
    </row>
    <row r="1884" spans="1:10" x14ac:dyDescent="0.3">
      <c r="A1884" s="18"/>
      <c r="B1884" s="6"/>
      <c r="C1884" s="6"/>
      <c r="D1884" s="6"/>
      <c r="E1884" s="16" t="str">
        <f>IF($B1884="","",IFERROR(INDEX(Services!$C$2:$C$120,MATCH($B1884,Services!$D$2:$D$120,0)),""))</f>
        <v/>
      </c>
      <c r="F1884" s="19"/>
      <c r="G1884" s="9" t="str">
        <f t="shared" si="29"/>
        <v/>
      </c>
      <c r="H1884" s="15" t="str">
        <f>IF($B1884="","",IFERROR(INDEX(Services!$A$2:$A$120,MATCH($B1884,Services!$D$2:$D$120,0)),""))</f>
        <v/>
      </c>
      <c r="I1884" s="19"/>
      <c r="J1884" s="15" t="str">
        <f>IF($B1884="","",IFERROR(INDEX(Services!$E$2:$E$120,MATCH($B1884,Services!$D$2:$D$120,0)),""))</f>
        <v/>
      </c>
    </row>
    <row r="1885" spans="1:10" x14ac:dyDescent="0.3">
      <c r="A1885" s="18"/>
      <c r="B1885" s="6"/>
      <c r="C1885" s="6"/>
      <c r="D1885" s="6"/>
      <c r="E1885" s="16" t="str">
        <f>IF($B1885="","",IFERROR(INDEX(Services!$C$2:$C$120,MATCH($B1885,Services!$D$2:$D$120,0)),""))</f>
        <v/>
      </c>
      <c r="F1885" s="19"/>
      <c r="G1885" s="9" t="str">
        <f t="shared" si="29"/>
        <v/>
      </c>
      <c r="H1885" s="15" t="str">
        <f>IF($B1885="","",IFERROR(INDEX(Services!$A$2:$A$120,MATCH($B1885,Services!$D$2:$D$120,0)),""))</f>
        <v/>
      </c>
      <c r="I1885" s="19"/>
      <c r="J1885" s="15" t="str">
        <f>IF($B1885="","",IFERROR(INDEX(Services!$E$2:$E$120,MATCH($B1885,Services!$D$2:$D$120,0)),""))</f>
        <v/>
      </c>
    </row>
    <row r="1886" spans="1:10" x14ac:dyDescent="0.3">
      <c r="A1886" s="18"/>
      <c r="B1886" s="6"/>
      <c r="C1886" s="6"/>
      <c r="D1886" s="6"/>
      <c r="E1886" s="16" t="str">
        <f>IF($B1886="","",IFERROR(INDEX(Services!$C$2:$C$120,MATCH($B1886,Services!$D$2:$D$120,0)),""))</f>
        <v/>
      </c>
      <c r="F1886" s="19"/>
      <c r="G1886" s="9" t="str">
        <f t="shared" si="29"/>
        <v/>
      </c>
      <c r="H1886" s="15" t="str">
        <f>IF($B1886="","",IFERROR(INDEX(Services!$A$2:$A$120,MATCH($B1886,Services!$D$2:$D$120,0)),""))</f>
        <v/>
      </c>
      <c r="I1886" s="19"/>
      <c r="J1886" s="15" t="str">
        <f>IF($B1886="","",IFERROR(INDEX(Services!$E$2:$E$120,MATCH($B1886,Services!$D$2:$D$120,0)),""))</f>
        <v/>
      </c>
    </row>
    <row r="1887" spans="1:10" x14ac:dyDescent="0.3">
      <c r="A1887" s="18"/>
      <c r="B1887" s="6"/>
      <c r="C1887" s="6"/>
      <c r="D1887" s="6"/>
      <c r="E1887" s="16" t="str">
        <f>IF($B1887="","",IFERROR(INDEX(Services!$C$2:$C$120,MATCH($B1887,Services!$D$2:$D$120,0)),""))</f>
        <v/>
      </c>
      <c r="F1887" s="19"/>
      <c r="G1887" s="9" t="str">
        <f t="shared" si="29"/>
        <v/>
      </c>
      <c r="H1887" s="15" t="str">
        <f>IF($B1887="","",IFERROR(INDEX(Services!$A$2:$A$120,MATCH($B1887,Services!$D$2:$D$120,0)),""))</f>
        <v/>
      </c>
      <c r="I1887" s="19"/>
      <c r="J1887" s="15" t="str">
        <f>IF($B1887="","",IFERROR(INDEX(Services!$E$2:$E$120,MATCH($B1887,Services!$D$2:$D$120,0)),""))</f>
        <v/>
      </c>
    </row>
    <row r="1888" spans="1:10" x14ac:dyDescent="0.3">
      <c r="A1888" s="18"/>
      <c r="B1888" s="6"/>
      <c r="C1888" s="6"/>
      <c r="D1888" s="6"/>
      <c r="E1888" s="16" t="str">
        <f>IF($B1888="","",IFERROR(INDEX(Services!$C$2:$C$120,MATCH($B1888,Services!$D$2:$D$120,0)),""))</f>
        <v/>
      </c>
      <c r="F1888" s="19"/>
      <c r="G1888" s="9" t="str">
        <f t="shared" si="29"/>
        <v/>
      </c>
      <c r="H1888" s="15" t="str">
        <f>IF($B1888="","",IFERROR(INDEX(Services!$A$2:$A$120,MATCH($B1888,Services!$D$2:$D$120,0)),""))</f>
        <v/>
      </c>
      <c r="I1888" s="19"/>
      <c r="J1888" s="15" t="str">
        <f>IF($B1888="","",IFERROR(INDEX(Services!$E$2:$E$120,MATCH($B1888,Services!$D$2:$D$120,0)),""))</f>
        <v/>
      </c>
    </row>
    <row r="1889" spans="1:10" x14ac:dyDescent="0.3">
      <c r="A1889" s="18"/>
      <c r="B1889" s="6"/>
      <c r="C1889" s="6"/>
      <c r="D1889" s="6"/>
      <c r="E1889" s="16" t="str">
        <f>IF($B1889="","",IFERROR(INDEX(Services!$C$2:$C$120,MATCH($B1889,Services!$D$2:$D$120,0)),""))</f>
        <v/>
      </c>
      <c r="F1889" s="19"/>
      <c r="G1889" s="9" t="str">
        <f t="shared" si="29"/>
        <v/>
      </c>
      <c r="H1889" s="15" t="str">
        <f>IF($B1889="","",IFERROR(INDEX(Services!$A$2:$A$120,MATCH($B1889,Services!$D$2:$D$120,0)),""))</f>
        <v/>
      </c>
      <c r="I1889" s="19"/>
      <c r="J1889" s="15" t="str">
        <f>IF($B1889="","",IFERROR(INDEX(Services!$E$2:$E$120,MATCH($B1889,Services!$D$2:$D$120,0)),""))</f>
        <v/>
      </c>
    </row>
    <row r="1890" spans="1:10" x14ac:dyDescent="0.3">
      <c r="A1890" s="18"/>
      <c r="B1890" s="6"/>
      <c r="C1890" s="6"/>
      <c r="D1890" s="6"/>
      <c r="E1890" s="16" t="str">
        <f>IF($B1890="","",IFERROR(INDEX(Services!$C$2:$C$120,MATCH($B1890,Services!$D$2:$D$120,0)),""))</f>
        <v/>
      </c>
      <c r="F1890" s="19"/>
      <c r="G1890" s="9" t="str">
        <f t="shared" si="29"/>
        <v/>
      </c>
      <c r="H1890" s="15" t="str">
        <f>IF($B1890="","",IFERROR(INDEX(Services!$A$2:$A$120,MATCH($B1890,Services!$D$2:$D$120,0)),""))</f>
        <v/>
      </c>
      <c r="I1890" s="19"/>
      <c r="J1890" s="15" t="str">
        <f>IF($B1890="","",IFERROR(INDEX(Services!$E$2:$E$120,MATCH($B1890,Services!$D$2:$D$120,0)),""))</f>
        <v/>
      </c>
    </row>
    <row r="1891" spans="1:10" x14ac:dyDescent="0.3">
      <c r="A1891" s="18"/>
      <c r="B1891" s="6"/>
      <c r="C1891" s="6"/>
      <c r="D1891" s="6"/>
      <c r="E1891" s="16" t="str">
        <f>IF($B1891="","",IFERROR(INDEX(Services!$C$2:$C$120,MATCH($B1891,Services!$D$2:$D$120,0)),""))</f>
        <v/>
      </c>
      <c r="F1891" s="19"/>
      <c r="G1891" s="9" t="str">
        <f t="shared" si="29"/>
        <v/>
      </c>
      <c r="H1891" s="15" t="str">
        <f>IF($B1891="","",IFERROR(INDEX(Services!$A$2:$A$120,MATCH($B1891,Services!$D$2:$D$120,0)),""))</f>
        <v/>
      </c>
      <c r="I1891" s="19"/>
      <c r="J1891" s="15" t="str">
        <f>IF($B1891="","",IFERROR(INDEX(Services!$E$2:$E$120,MATCH($B1891,Services!$D$2:$D$120,0)),""))</f>
        <v/>
      </c>
    </row>
    <row r="1892" spans="1:10" x14ac:dyDescent="0.3">
      <c r="A1892" s="18"/>
      <c r="B1892" s="6"/>
      <c r="C1892" s="6"/>
      <c r="D1892" s="6"/>
      <c r="E1892" s="16" t="str">
        <f>IF($B1892="","",IFERROR(INDEX(Services!$C$2:$C$120,MATCH($B1892,Services!$D$2:$D$120,0)),""))</f>
        <v/>
      </c>
      <c r="F1892" s="19"/>
      <c r="G1892" s="9" t="str">
        <f t="shared" si="29"/>
        <v/>
      </c>
      <c r="H1892" s="15" t="str">
        <f>IF($B1892="","",IFERROR(INDEX(Services!$A$2:$A$120,MATCH($B1892,Services!$D$2:$D$120,0)),""))</f>
        <v/>
      </c>
      <c r="I1892" s="19"/>
      <c r="J1892" s="15" t="str">
        <f>IF($B1892="","",IFERROR(INDEX(Services!$E$2:$E$120,MATCH($B1892,Services!$D$2:$D$120,0)),""))</f>
        <v/>
      </c>
    </row>
    <row r="1893" spans="1:10" x14ac:dyDescent="0.3">
      <c r="A1893" s="18"/>
      <c r="B1893" s="6"/>
      <c r="C1893" s="6"/>
      <c r="D1893" s="6"/>
      <c r="E1893" s="16" t="str">
        <f>IF($B1893="","",IFERROR(INDEX(Services!$C$2:$C$120,MATCH($B1893,Services!$D$2:$D$120,0)),""))</f>
        <v/>
      </c>
      <c r="F1893" s="19"/>
      <c r="G1893" s="9" t="str">
        <f t="shared" si="29"/>
        <v/>
      </c>
      <c r="H1893" s="15" t="str">
        <f>IF($B1893="","",IFERROR(INDEX(Services!$A$2:$A$120,MATCH($B1893,Services!$D$2:$D$120,0)),""))</f>
        <v/>
      </c>
      <c r="I1893" s="19"/>
      <c r="J1893" s="15" t="str">
        <f>IF($B1893="","",IFERROR(INDEX(Services!$E$2:$E$120,MATCH($B1893,Services!$D$2:$D$120,0)),""))</f>
        <v/>
      </c>
    </row>
    <row r="1894" spans="1:10" x14ac:dyDescent="0.3">
      <c r="A1894" s="18"/>
      <c r="B1894" s="6"/>
      <c r="C1894" s="6"/>
      <c r="D1894" s="6"/>
      <c r="E1894" s="16" t="str">
        <f>IF($B1894="","",IFERROR(INDEX(Services!$C$2:$C$120,MATCH($B1894,Services!$D$2:$D$120,0)),""))</f>
        <v/>
      </c>
      <c r="F1894" s="19"/>
      <c r="G1894" s="9" t="str">
        <f t="shared" si="29"/>
        <v/>
      </c>
      <c r="H1894" s="15" t="str">
        <f>IF($B1894="","",IFERROR(INDEX(Services!$A$2:$A$120,MATCH($B1894,Services!$D$2:$D$120,0)),""))</f>
        <v/>
      </c>
      <c r="I1894" s="19"/>
      <c r="J1894" s="15" t="str">
        <f>IF($B1894="","",IFERROR(INDEX(Services!$E$2:$E$120,MATCH($B1894,Services!$D$2:$D$120,0)),""))</f>
        <v/>
      </c>
    </row>
    <row r="1895" spans="1:10" x14ac:dyDescent="0.3">
      <c r="A1895" s="18"/>
      <c r="B1895" s="6"/>
      <c r="C1895" s="6"/>
      <c r="D1895" s="6"/>
      <c r="E1895" s="16" t="str">
        <f>IF($B1895="","",IFERROR(INDEX(Services!$C$2:$C$120,MATCH($B1895,Services!$D$2:$D$120,0)),""))</f>
        <v/>
      </c>
      <c r="F1895" s="19"/>
      <c r="G1895" s="9" t="str">
        <f t="shared" si="29"/>
        <v/>
      </c>
      <c r="H1895" s="15" t="str">
        <f>IF($B1895="","",IFERROR(INDEX(Services!$A$2:$A$120,MATCH($B1895,Services!$D$2:$D$120,0)),""))</f>
        <v/>
      </c>
      <c r="I1895" s="19"/>
      <c r="J1895" s="15" t="str">
        <f>IF($B1895="","",IFERROR(INDEX(Services!$E$2:$E$120,MATCH($B1895,Services!$D$2:$D$120,0)),""))</f>
        <v/>
      </c>
    </row>
    <row r="1896" spans="1:10" x14ac:dyDescent="0.3">
      <c r="A1896" s="18"/>
      <c r="B1896" s="6"/>
      <c r="C1896" s="6"/>
      <c r="D1896" s="6"/>
      <c r="E1896" s="16" t="str">
        <f>IF($B1896="","",IFERROR(INDEX(Services!$C$2:$C$120,MATCH($B1896,Services!$D$2:$D$120,0)),""))</f>
        <v/>
      </c>
      <c r="F1896" s="19"/>
      <c r="G1896" s="9" t="str">
        <f t="shared" si="29"/>
        <v/>
      </c>
      <c r="H1896" s="15" t="str">
        <f>IF($B1896="","",IFERROR(INDEX(Services!$A$2:$A$120,MATCH($B1896,Services!$D$2:$D$120,0)),""))</f>
        <v/>
      </c>
      <c r="I1896" s="19"/>
      <c r="J1896" s="15" t="str">
        <f>IF($B1896="","",IFERROR(INDEX(Services!$E$2:$E$120,MATCH($B1896,Services!$D$2:$D$120,0)),""))</f>
        <v/>
      </c>
    </row>
    <row r="1897" spans="1:10" x14ac:dyDescent="0.3">
      <c r="A1897" s="18"/>
      <c r="B1897" s="6"/>
      <c r="C1897" s="6"/>
      <c r="D1897" s="6"/>
      <c r="E1897" s="16" t="str">
        <f>IF($B1897="","",IFERROR(INDEX(Services!$C$2:$C$120,MATCH($B1897,Services!$D$2:$D$120,0)),""))</f>
        <v/>
      </c>
      <c r="F1897" s="19"/>
      <c r="G1897" s="9" t="str">
        <f t="shared" si="29"/>
        <v/>
      </c>
      <c r="H1897" s="15" t="str">
        <f>IF($B1897="","",IFERROR(INDEX(Services!$A$2:$A$120,MATCH($B1897,Services!$D$2:$D$120,0)),""))</f>
        <v/>
      </c>
      <c r="I1897" s="19"/>
      <c r="J1897" s="15" t="str">
        <f>IF($B1897="","",IFERROR(INDEX(Services!$E$2:$E$120,MATCH($B1897,Services!$D$2:$D$120,0)),""))</f>
        <v/>
      </c>
    </row>
    <row r="1898" spans="1:10" x14ac:dyDescent="0.3">
      <c r="A1898" s="18"/>
      <c r="B1898" s="6"/>
      <c r="C1898" s="6"/>
      <c r="D1898" s="6"/>
      <c r="E1898" s="16" t="str">
        <f>IF($B1898="","",IFERROR(INDEX(Services!$C$2:$C$120,MATCH($B1898,Services!$D$2:$D$120,0)),""))</f>
        <v/>
      </c>
      <c r="F1898" s="19"/>
      <c r="G1898" s="9" t="str">
        <f t="shared" si="29"/>
        <v/>
      </c>
      <c r="H1898" s="15" t="str">
        <f>IF($B1898="","",IFERROR(INDEX(Services!$A$2:$A$120,MATCH($B1898,Services!$D$2:$D$120,0)),""))</f>
        <v/>
      </c>
      <c r="I1898" s="19"/>
      <c r="J1898" s="15" t="str">
        <f>IF($B1898="","",IFERROR(INDEX(Services!$E$2:$E$120,MATCH($B1898,Services!$D$2:$D$120,0)),""))</f>
        <v/>
      </c>
    </row>
    <row r="1899" spans="1:10" x14ac:dyDescent="0.3">
      <c r="A1899" s="18"/>
      <c r="B1899" s="6"/>
      <c r="C1899" s="6"/>
      <c r="D1899" s="6"/>
      <c r="E1899" s="16" t="str">
        <f>IF($B1899="","",IFERROR(INDEX(Services!$C$2:$C$120,MATCH($B1899,Services!$D$2:$D$120,0)),""))</f>
        <v/>
      </c>
      <c r="F1899" s="19"/>
      <c r="G1899" s="9" t="str">
        <f t="shared" si="29"/>
        <v/>
      </c>
      <c r="H1899" s="15" t="str">
        <f>IF($B1899="","",IFERROR(INDEX(Services!$A$2:$A$120,MATCH($B1899,Services!$D$2:$D$120,0)),""))</f>
        <v/>
      </c>
      <c r="I1899" s="19"/>
      <c r="J1899" s="15" t="str">
        <f>IF($B1899="","",IFERROR(INDEX(Services!$E$2:$E$120,MATCH($B1899,Services!$D$2:$D$120,0)),""))</f>
        <v/>
      </c>
    </row>
    <row r="1900" spans="1:10" x14ac:dyDescent="0.3">
      <c r="A1900" s="18"/>
      <c r="B1900" s="6"/>
      <c r="C1900" s="6"/>
      <c r="D1900" s="6"/>
      <c r="E1900" s="16" t="str">
        <f>IF($B1900="","",IFERROR(INDEX(Services!$C$2:$C$120,MATCH($B1900,Services!$D$2:$D$120,0)),""))</f>
        <v/>
      </c>
      <c r="F1900" s="19"/>
      <c r="G1900" s="9" t="str">
        <f t="shared" si="29"/>
        <v/>
      </c>
      <c r="H1900" s="15" t="str">
        <f>IF($B1900="","",IFERROR(INDEX(Services!$A$2:$A$120,MATCH($B1900,Services!$D$2:$D$120,0)),""))</f>
        <v/>
      </c>
      <c r="I1900" s="19"/>
      <c r="J1900" s="15" t="str">
        <f>IF($B1900="","",IFERROR(INDEX(Services!$E$2:$E$120,MATCH($B1900,Services!$D$2:$D$120,0)),""))</f>
        <v/>
      </c>
    </row>
    <row r="1901" spans="1:10" x14ac:dyDescent="0.3">
      <c r="A1901" s="18"/>
      <c r="B1901" s="6"/>
      <c r="C1901" s="6"/>
      <c r="D1901" s="6"/>
      <c r="E1901" s="16" t="str">
        <f>IF($B1901="","",IFERROR(INDEX(Services!$C$2:$C$120,MATCH($B1901,Services!$D$2:$D$120,0)),""))</f>
        <v/>
      </c>
      <c r="F1901" s="19"/>
      <c r="G1901" s="9" t="str">
        <f t="shared" si="29"/>
        <v/>
      </c>
      <c r="H1901" s="15" t="str">
        <f>IF($B1901="","",IFERROR(INDEX(Services!$A$2:$A$120,MATCH($B1901,Services!$D$2:$D$120,0)),""))</f>
        <v/>
      </c>
      <c r="I1901" s="19"/>
      <c r="J1901" s="15" t="str">
        <f>IF($B1901="","",IFERROR(INDEX(Services!$E$2:$E$120,MATCH($B1901,Services!$D$2:$D$120,0)),""))</f>
        <v/>
      </c>
    </row>
    <row r="1902" spans="1:10" x14ac:dyDescent="0.3">
      <c r="A1902" s="18"/>
      <c r="B1902" s="6"/>
      <c r="C1902" s="6"/>
      <c r="D1902" s="6"/>
      <c r="E1902" s="16" t="str">
        <f>IF($B1902="","",IFERROR(INDEX(Services!$C$2:$C$120,MATCH($B1902,Services!$D$2:$D$120,0)),""))</f>
        <v/>
      </c>
      <c r="F1902" s="19"/>
      <c r="G1902" s="9" t="str">
        <f t="shared" si="29"/>
        <v/>
      </c>
      <c r="H1902" s="15" t="str">
        <f>IF($B1902="","",IFERROR(INDEX(Services!$A$2:$A$120,MATCH($B1902,Services!$D$2:$D$120,0)),""))</f>
        <v/>
      </c>
      <c r="I1902" s="19"/>
      <c r="J1902" s="15" t="str">
        <f>IF($B1902="","",IFERROR(INDEX(Services!$E$2:$E$120,MATCH($B1902,Services!$D$2:$D$120,0)),""))</f>
        <v/>
      </c>
    </row>
    <row r="1903" spans="1:10" x14ac:dyDescent="0.3">
      <c r="A1903" s="18"/>
      <c r="B1903" s="6"/>
      <c r="C1903" s="6"/>
      <c r="D1903" s="6"/>
      <c r="E1903" s="16" t="str">
        <f>IF($B1903="","",IFERROR(INDEX(Services!$C$2:$C$120,MATCH($B1903,Services!$D$2:$D$120,0)),""))</f>
        <v/>
      </c>
      <c r="F1903" s="19"/>
      <c r="G1903" s="9" t="str">
        <f t="shared" si="29"/>
        <v/>
      </c>
      <c r="H1903" s="15" t="str">
        <f>IF($B1903="","",IFERROR(INDEX(Services!$A$2:$A$120,MATCH($B1903,Services!$D$2:$D$120,0)),""))</f>
        <v/>
      </c>
      <c r="I1903" s="19"/>
      <c r="J1903" s="15" t="str">
        <f>IF($B1903="","",IFERROR(INDEX(Services!$E$2:$E$120,MATCH($B1903,Services!$D$2:$D$120,0)),""))</f>
        <v/>
      </c>
    </row>
    <row r="1904" spans="1:10" x14ac:dyDescent="0.3">
      <c r="A1904" s="18"/>
      <c r="B1904" s="6"/>
      <c r="C1904" s="6"/>
      <c r="D1904" s="6"/>
      <c r="E1904" s="16" t="str">
        <f>IF($B1904="","",IFERROR(INDEX(Services!$C$2:$C$120,MATCH($B1904,Services!$D$2:$D$120,0)),""))</f>
        <v/>
      </c>
      <c r="F1904" s="19"/>
      <c r="G1904" s="9" t="str">
        <f t="shared" si="29"/>
        <v/>
      </c>
      <c r="H1904" s="15" t="str">
        <f>IF($B1904="","",IFERROR(INDEX(Services!$A$2:$A$120,MATCH($B1904,Services!$D$2:$D$120,0)),""))</f>
        <v/>
      </c>
      <c r="I1904" s="19"/>
      <c r="J1904" s="15" t="str">
        <f>IF($B1904="","",IFERROR(INDEX(Services!$E$2:$E$120,MATCH($B1904,Services!$D$2:$D$120,0)),""))</f>
        <v/>
      </c>
    </row>
    <row r="1905" spans="1:10" x14ac:dyDescent="0.3">
      <c r="A1905" s="18"/>
      <c r="B1905" s="6"/>
      <c r="C1905" s="6"/>
      <c r="D1905" s="6"/>
      <c r="E1905" s="16" t="str">
        <f>IF($B1905="","",IFERROR(INDEX(Services!$C$2:$C$120,MATCH($B1905,Services!$D$2:$D$120,0)),""))</f>
        <v/>
      </c>
      <c r="F1905" s="19"/>
      <c r="G1905" s="9" t="str">
        <f t="shared" si="29"/>
        <v/>
      </c>
      <c r="H1905" s="15" t="str">
        <f>IF($B1905="","",IFERROR(INDEX(Services!$A$2:$A$120,MATCH($B1905,Services!$D$2:$D$120,0)),""))</f>
        <v/>
      </c>
      <c r="I1905" s="19"/>
      <c r="J1905" s="15" t="str">
        <f>IF($B1905="","",IFERROR(INDEX(Services!$E$2:$E$120,MATCH($B1905,Services!$D$2:$D$120,0)),""))</f>
        <v/>
      </c>
    </row>
    <row r="1906" spans="1:10" x14ac:dyDescent="0.3">
      <c r="A1906" s="18"/>
      <c r="B1906" s="6"/>
      <c r="C1906" s="6"/>
      <c r="D1906" s="6"/>
      <c r="E1906" s="16" t="str">
        <f>IF($B1906="","",IFERROR(INDEX(Services!$C$2:$C$120,MATCH($B1906,Services!$D$2:$D$120,0)),""))</f>
        <v/>
      </c>
      <c r="F1906" s="19"/>
      <c r="G1906" s="9" t="str">
        <f t="shared" si="29"/>
        <v/>
      </c>
      <c r="H1906" s="15" t="str">
        <f>IF($B1906="","",IFERROR(INDEX(Services!$A$2:$A$120,MATCH($B1906,Services!$D$2:$D$120,0)),""))</f>
        <v/>
      </c>
      <c r="I1906" s="19"/>
      <c r="J1906" s="15" t="str">
        <f>IF($B1906="","",IFERROR(INDEX(Services!$E$2:$E$120,MATCH($B1906,Services!$D$2:$D$120,0)),""))</f>
        <v/>
      </c>
    </row>
    <row r="1907" spans="1:10" x14ac:dyDescent="0.3">
      <c r="A1907" s="18"/>
      <c r="B1907" s="6"/>
      <c r="C1907" s="6"/>
      <c r="D1907" s="6"/>
      <c r="E1907" s="16" t="str">
        <f>IF($B1907="","",IFERROR(INDEX(Services!$C$2:$C$120,MATCH($B1907,Services!$D$2:$D$120,0)),""))</f>
        <v/>
      </c>
      <c r="F1907" s="19"/>
      <c r="G1907" s="9" t="str">
        <f t="shared" si="29"/>
        <v/>
      </c>
      <c r="H1907" s="15" t="str">
        <f>IF($B1907="","",IFERROR(INDEX(Services!$A$2:$A$120,MATCH($B1907,Services!$D$2:$D$120,0)),""))</f>
        <v/>
      </c>
      <c r="I1907" s="19"/>
      <c r="J1907" s="15" t="str">
        <f>IF($B1907="","",IFERROR(INDEX(Services!$E$2:$E$120,MATCH($B1907,Services!$D$2:$D$120,0)),""))</f>
        <v/>
      </c>
    </row>
    <row r="1908" spans="1:10" x14ac:dyDescent="0.3">
      <c r="A1908" s="18"/>
      <c r="B1908" s="6"/>
      <c r="C1908" s="6"/>
      <c r="D1908" s="6"/>
      <c r="E1908" s="16" t="str">
        <f>IF($B1908="","",IFERROR(INDEX(Services!$C$2:$C$120,MATCH($B1908,Services!$D$2:$D$120,0)),""))</f>
        <v/>
      </c>
      <c r="F1908" s="19"/>
      <c r="G1908" s="9" t="str">
        <f t="shared" si="29"/>
        <v/>
      </c>
      <c r="H1908" s="15" t="str">
        <f>IF($B1908="","",IFERROR(INDEX(Services!$A$2:$A$120,MATCH($B1908,Services!$D$2:$D$120,0)),""))</f>
        <v/>
      </c>
      <c r="I1908" s="19"/>
      <c r="J1908" s="15" t="str">
        <f>IF($B1908="","",IFERROR(INDEX(Services!$E$2:$E$120,MATCH($B1908,Services!$D$2:$D$120,0)),""))</f>
        <v/>
      </c>
    </row>
    <row r="1909" spans="1:10" x14ac:dyDescent="0.3">
      <c r="A1909" s="18"/>
      <c r="B1909" s="6"/>
      <c r="C1909" s="6"/>
      <c r="D1909" s="6"/>
      <c r="E1909" s="16" t="str">
        <f>IF($B1909="","",IFERROR(INDEX(Services!$C$2:$C$120,MATCH($B1909,Services!$D$2:$D$120,0)),""))</f>
        <v/>
      </c>
      <c r="F1909" s="19"/>
      <c r="G1909" s="9" t="str">
        <f t="shared" si="29"/>
        <v/>
      </c>
      <c r="H1909" s="15" t="str">
        <f>IF($B1909="","",IFERROR(INDEX(Services!$A$2:$A$120,MATCH($B1909,Services!$D$2:$D$120,0)),""))</f>
        <v/>
      </c>
      <c r="I1909" s="19"/>
      <c r="J1909" s="15" t="str">
        <f>IF($B1909="","",IFERROR(INDEX(Services!$E$2:$E$120,MATCH($B1909,Services!$D$2:$D$120,0)),""))</f>
        <v/>
      </c>
    </row>
    <row r="1910" spans="1:10" x14ac:dyDescent="0.3">
      <c r="A1910" s="18"/>
      <c r="B1910" s="6"/>
      <c r="C1910" s="6"/>
      <c r="D1910" s="6"/>
      <c r="E1910" s="16" t="str">
        <f>IF($B1910="","",IFERROR(INDEX(Services!$C$2:$C$120,MATCH($B1910,Services!$D$2:$D$120,0)),""))</f>
        <v/>
      </c>
      <c r="F1910" s="19"/>
      <c r="G1910" s="9" t="str">
        <f t="shared" si="29"/>
        <v/>
      </c>
      <c r="H1910" s="15" t="str">
        <f>IF($B1910="","",IFERROR(INDEX(Services!$A$2:$A$120,MATCH($B1910,Services!$D$2:$D$120,0)),""))</f>
        <v/>
      </c>
      <c r="I1910" s="19"/>
      <c r="J1910" s="15" t="str">
        <f>IF($B1910="","",IFERROR(INDEX(Services!$E$2:$E$120,MATCH($B1910,Services!$D$2:$D$120,0)),""))</f>
        <v/>
      </c>
    </row>
    <row r="1911" spans="1:10" x14ac:dyDescent="0.3">
      <c r="A1911" s="18"/>
      <c r="B1911" s="6"/>
      <c r="C1911" s="6"/>
      <c r="D1911" s="6"/>
      <c r="E1911" s="16" t="str">
        <f>IF($B1911="","",IFERROR(INDEX(Services!$C$2:$C$120,MATCH($B1911,Services!$D$2:$D$120,0)),""))</f>
        <v/>
      </c>
      <c r="F1911" s="19"/>
      <c r="G1911" s="9" t="str">
        <f t="shared" si="29"/>
        <v/>
      </c>
      <c r="H1911" s="15" t="str">
        <f>IF($B1911="","",IFERROR(INDEX(Services!$A$2:$A$120,MATCH($B1911,Services!$D$2:$D$120,0)),""))</f>
        <v/>
      </c>
      <c r="I1911" s="19"/>
      <c r="J1911" s="15" t="str">
        <f>IF($B1911="","",IFERROR(INDEX(Services!$E$2:$E$120,MATCH($B1911,Services!$D$2:$D$120,0)),""))</f>
        <v/>
      </c>
    </row>
    <row r="1912" spans="1:10" x14ac:dyDescent="0.3">
      <c r="A1912" s="18"/>
      <c r="B1912" s="6"/>
      <c r="C1912" s="6"/>
      <c r="D1912" s="6"/>
      <c r="E1912" s="16" t="str">
        <f>IF($B1912="","",IFERROR(INDEX(Services!$C$2:$C$120,MATCH($B1912,Services!$D$2:$D$120,0)),""))</f>
        <v/>
      </c>
      <c r="F1912" s="19"/>
      <c r="G1912" s="9" t="str">
        <f t="shared" si="29"/>
        <v/>
      </c>
      <c r="H1912" s="15" t="str">
        <f>IF($B1912="","",IFERROR(INDEX(Services!$A$2:$A$120,MATCH($B1912,Services!$D$2:$D$120,0)),""))</f>
        <v/>
      </c>
      <c r="I1912" s="19"/>
      <c r="J1912" s="15" t="str">
        <f>IF($B1912="","",IFERROR(INDEX(Services!$E$2:$E$120,MATCH($B1912,Services!$D$2:$D$120,0)),""))</f>
        <v/>
      </c>
    </row>
    <row r="1913" spans="1:10" x14ac:dyDescent="0.3">
      <c r="A1913" s="18"/>
      <c r="B1913" s="6"/>
      <c r="C1913" s="6"/>
      <c r="D1913" s="6"/>
      <c r="E1913" s="16" t="str">
        <f>IF($B1913="","",IFERROR(INDEX(Services!$C$2:$C$120,MATCH($B1913,Services!$D$2:$D$120,0)),""))</f>
        <v/>
      </c>
      <c r="F1913" s="19"/>
      <c r="G1913" s="9" t="str">
        <f t="shared" si="29"/>
        <v/>
      </c>
      <c r="H1913" s="15" t="str">
        <f>IF($B1913="","",IFERROR(INDEX(Services!$A$2:$A$120,MATCH($B1913,Services!$D$2:$D$120,0)),""))</f>
        <v/>
      </c>
      <c r="I1913" s="19"/>
      <c r="J1913" s="15" t="str">
        <f>IF($B1913="","",IFERROR(INDEX(Services!$E$2:$E$120,MATCH($B1913,Services!$D$2:$D$120,0)),""))</f>
        <v/>
      </c>
    </row>
    <row r="1914" spans="1:10" x14ac:dyDescent="0.3">
      <c r="A1914" s="18"/>
      <c r="B1914" s="6"/>
      <c r="C1914" s="6"/>
      <c r="D1914" s="6"/>
      <c r="E1914" s="16" t="str">
        <f>IF($B1914="","",IFERROR(INDEX(Services!$C$2:$C$120,MATCH($B1914,Services!$D$2:$D$120,0)),""))</f>
        <v/>
      </c>
      <c r="F1914" s="19"/>
      <c r="G1914" s="9" t="str">
        <f t="shared" si="29"/>
        <v/>
      </c>
      <c r="H1914" s="15" t="str">
        <f>IF($B1914="","",IFERROR(INDEX(Services!$A$2:$A$120,MATCH($B1914,Services!$D$2:$D$120,0)),""))</f>
        <v/>
      </c>
      <c r="I1914" s="19"/>
      <c r="J1914" s="15" t="str">
        <f>IF($B1914="","",IFERROR(INDEX(Services!$E$2:$E$120,MATCH($B1914,Services!$D$2:$D$120,0)),""))</f>
        <v/>
      </c>
    </row>
    <row r="1915" spans="1:10" x14ac:dyDescent="0.3">
      <c r="A1915" s="18"/>
      <c r="B1915" s="6"/>
      <c r="C1915" s="6"/>
      <c r="D1915" s="6"/>
      <c r="E1915" s="16" t="str">
        <f>IF($B1915="","",IFERROR(INDEX(Services!$C$2:$C$120,MATCH($B1915,Services!$D$2:$D$120,0)),""))</f>
        <v/>
      </c>
      <c r="F1915" s="19"/>
      <c r="G1915" s="9" t="str">
        <f t="shared" si="29"/>
        <v/>
      </c>
      <c r="H1915" s="15" t="str">
        <f>IF($B1915="","",IFERROR(INDEX(Services!$A$2:$A$120,MATCH($B1915,Services!$D$2:$D$120,0)),""))</f>
        <v/>
      </c>
      <c r="I1915" s="19"/>
      <c r="J1915" s="15" t="str">
        <f>IF($B1915="","",IFERROR(INDEX(Services!$E$2:$E$120,MATCH($B1915,Services!$D$2:$D$120,0)),""))</f>
        <v/>
      </c>
    </row>
    <row r="1916" spans="1:10" x14ac:dyDescent="0.3">
      <c r="A1916" s="18"/>
      <c r="B1916" s="6"/>
      <c r="C1916" s="6"/>
      <c r="D1916" s="6"/>
      <c r="E1916" s="16" t="str">
        <f>IF($B1916="","",IFERROR(INDEX(Services!$C$2:$C$120,MATCH($B1916,Services!$D$2:$D$120,0)),""))</f>
        <v/>
      </c>
      <c r="F1916" s="19"/>
      <c r="G1916" s="9" t="str">
        <f t="shared" si="29"/>
        <v/>
      </c>
      <c r="H1916" s="15" t="str">
        <f>IF($B1916="","",IFERROR(INDEX(Services!$A$2:$A$120,MATCH($B1916,Services!$D$2:$D$120,0)),""))</f>
        <v/>
      </c>
      <c r="I1916" s="19"/>
      <c r="J1916" s="15" t="str">
        <f>IF($B1916="","",IFERROR(INDEX(Services!$E$2:$E$120,MATCH($B1916,Services!$D$2:$D$120,0)),""))</f>
        <v/>
      </c>
    </row>
    <row r="1917" spans="1:10" x14ac:dyDescent="0.3">
      <c r="A1917" s="18"/>
      <c r="B1917" s="6"/>
      <c r="C1917" s="6"/>
      <c r="D1917" s="6"/>
      <c r="E1917" s="16" t="str">
        <f>IF($B1917="","",IFERROR(INDEX(Services!$C$2:$C$120,MATCH($B1917,Services!$D$2:$D$120,0)),""))</f>
        <v/>
      </c>
      <c r="F1917" s="19"/>
      <c r="G1917" s="9" t="str">
        <f t="shared" si="29"/>
        <v/>
      </c>
      <c r="H1917" s="15" t="str">
        <f>IF($B1917="","",IFERROR(INDEX(Services!$A$2:$A$120,MATCH($B1917,Services!$D$2:$D$120,0)),""))</f>
        <v/>
      </c>
      <c r="I1917" s="19"/>
      <c r="J1917" s="15" t="str">
        <f>IF($B1917="","",IFERROR(INDEX(Services!$E$2:$E$120,MATCH($B1917,Services!$D$2:$D$120,0)),""))</f>
        <v/>
      </c>
    </row>
    <row r="1918" spans="1:10" x14ac:dyDescent="0.3">
      <c r="A1918" s="18"/>
      <c r="B1918" s="6"/>
      <c r="C1918" s="6"/>
      <c r="D1918" s="6"/>
      <c r="E1918" s="16" t="str">
        <f>IF($B1918="","",IFERROR(INDEX(Services!$C$2:$C$120,MATCH($B1918,Services!$D$2:$D$120,0)),""))</f>
        <v/>
      </c>
      <c r="F1918" s="19"/>
      <c r="G1918" s="9" t="str">
        <f t="shared" si="29"/>
        <v/>
      </c>
      <c r="H1918" s="15" t="str">
        <f>IF($B1918="","",IFERROR(INDEX(Services!$A$2:$A$120,MATCH($B1918,Services!$D$2:$D$120,0)),""))</f>
        <v/>
      </c>
      <c r="I1918" s="19"/>
      <c r="J1918" s="15" t="str">
        <f>IF($B1918="","",IFERROR(INDEX(Services!$E$2:$E$120,MATCH($B1918,Services!$D$2:$D$120,0)),""))</f>
        <v/>
      </c>
    </row>
    <row r="1919" spans="1:10" x14ac:dyDescent="0.3">
      <c r="A1919" s="18"/>
      <c r="B1919" s="6"/>
      <c r="C1919" s="6"/>
      <c r="D1919" s="6"/>
      <c r="E1919" s="16" t="str">
        <f>IF($B1919="","",IFERROR(INDEX(Services!$C$2:$C$120,MATCH($B1919,Services!$D$2:$D$120,0)),""))</f>
        <v/>
      </c>
      <c r="F1919" s="19"/>
      <c r="G1919" s="9" t="str">
        <f t="shared" si="29"/>
        <v/>
      </c>
      <c r="H1919" s="15" t="str">
        <f>IF($B1919="","",IFERROR(INDEX(Services!$A$2:$A$120,MATCH($B1919,Services!$D$2:$D$120,0)),""))</f>
        <v/>
      </c>
      <c r="I1919" s="19"/>
      <c r="J1919" s="15" t="str">
        <f>IF($B1919="","",IFERROR(INDEX(Services!$E$2:$E$120,MATCH($B1919,Services!$D$2:$D$120,0)),""))</f>
        <v/>
      </c>
    </row>
    <row r="1920" spans="1:10" x14ac:dyDescent="0.3">
      <c r="A1920" s="18"/>
      <c r="B1920" s="6"/>
      <c r="C1920" s="6"/>
      <c r="D1920" s="6"/>
      <c r="E1920" s="16" t="str">
        <f>IF($B1920="","",IFERROR(INDEX(Services!$C$2:$C$120,MATCH($B1920,Services!$D$2:$D$120,0)),""))</f>
        <v/>
      </c>
      <c r="F1920" s="19"/>
      <c r="G1920" s="9" t="str">
        <f t="shared" si="29"/>
        <v/>
      </c>
      <c r="H1920" s="15" t="str">
        <f>IF($B1920="","",IFERROR(INDEX(Services!$A$2:$A$120,MATCH($B1920,Services!$D$2:$D$120,0)),""))</f>
        <v/>
      </c>
      <c r="I1920" s="19"/>
      <c r="J1920" s="15" t="str">
        <f>IF($B1920="","",IFERROR(INDEX(Services!$E$2:$E$120,MATCH($B1920,Services!$D$2:$D$120,0)),""))</f>
        <v/>
      </c>
    </row>
    <row r="1921" spans="1:10" x14ac:dyDescent="0.3">
      <c r="A1921" s="18"/>
      <c r="B1921" s="6"/>
      <c r="C1921" s="6"/>
      <c r="D1921" s="6"/>
      <c r="E1921" s="16" t="str">
        <f>IF($B1921="","",IFERROR(INDEX(Services!$C$2:$C$120,MATCH($B1921,Services!$D$2:$D$120,0)),""))</f>
        <v/>
      </c>
      <c r="F1921" s="19"/>
      <c r="G1921" s="9" t="str">
        <f t="shared" si="29"/>
        <v/>
      </c>
      <c r="H1921" s="15" t="str">
        <f>IF($B1921="","",IFERROR(INDEX(Services!$A$2:$A$120,MATCH($B1921,Services!$D$2:$D$120,0)),""))</f>
        <v/>
      </c>
      <c r="I1921" s="19"/>
      <c r="J1921" s="15" t="str">
        <f>IF($B1921="","",IFERROR(INDEX(Services!$E$2:$E$120,MATCH($B1921,Services!$D$2:$D$120,0)),""))</f>
        <v/>
      </c>
    </row>
    <row r="1922" spans="1:10" x14ac:dyDescent="0.3">
      <c r="A1922" s="18"/>
      <c r="B1922" s="6"/>
      <c r="C1922" s="6"/>
      <c r="D1922" s="6"/>
      <c r="E1922" s="16" t="str">
        <f>IF($B1922="","",IFERROR(INDEX(Services!$C$2:$C$120,MATCH($B1922,Services!$D$2:$D$120,0)),""))</f>
        <v/>
      </c>
      <c r="F1922" s="19"/>
      <c r="G1922" s="9" t="str">
        <f t="shared" ref="G1922:G1985" si="30">IF(OR($B1922="",NOT(ISNUMBER($E1922))),"",$E1922-IF($F1922="",0,$F1922))</f>
        <v/>
      </c>
      <c r="H1922" s="15" t="str">
        <f>IF($B1922="","",IFERROR(INDEX(Services!$A$2:$A$120,MATCH($B1922,Services!$D$2:$D$120,0)),""))</f>
        <v/>
      </c>
      <c r="I1922" s="19"/>
      <c r="J1922" s="15" t="str">
        <f>IF($B1922="","",IFERROR(INDEX(Services!$E$2:$E$120,MATCH($B1922,Services!$D$2:$D$120,0)),""))</f>
        <v/>
      </c>
    </row>
    <row r="1923" spans="1:10" x14ac:dyDescent="0.3">
      <c r="A1923" s="18"/>
      <c r="B1923" s="6"/>
      <c r="C1923" s="6"/>
      <c r="D1923" s="6"/>
      <c r="E1923" s="16" t="str">
        <f>IF($B1923="","",IFERROR(INDEX(Services!$C$2:$C$120,MATCH($B1923,Services!$D$2:$D$120,0)),""))</f>
        <v/>
      </c>
      <c r="F1923" s="19"/>
      <c r="G1923" s="9" t="str">
        <f t="shared" si="30"/>
        <v/>
      </c>
      <c r="H1923" s="15" t="str">
        <f>IF($B1923="","",IFERROR(INDEX(Services!$A$2:$A$120,MATCH($B1923,Services!$D$2:$D$120,0)),""))</f>
        <v/>
      </c>
      <c r="I1923" s="19"/>
      <c r="J1923" s="15" t="str">
        <f>IF($B1923="","",IFERROR(INDEX(Services!$E$2:$E$120,MATCH($B1923,Services!$D$2:$D$120,0)),""))</f>
        <v/>
      </c>
    </row>
    <row r="1924" spans="1:10" x14ac:dyDescent="0.3">
      <c r="A1924" s="18"/>
      <c r="B1924" s="6"/>
      <c r="C1924" s="6"/>
      <c r="D1924" s="6"/>
      <c r="E1924" s="16" t="str">
        <f>IF($B1924="","",IFERROR(INDEX(Services!$C$2:$C$120,MATCH($B1924,Services!$D$2:$D$120,0)),""))</f>
        <v/>
      </c>
      <c r="F1924" s="19"/>
      <c r="G1924" s="9" t="str">
        <f t="shared" si="30"/>
        <v/>
      </c>
      <c r="H1924" s="15" t="str">
        <f>IF($B1924="","",IFERROR(INDEX(Services!$A$2:$A$120,MATCH($B1924,Services!$D$2:$D$120,0)),""))</f>
        <v/>
      </c>
      <c r="I1924" s="19"/>
      <c r="J1924" s="15" t="str">
        <f>IF($B1924="","",IFERROR(INDEX(Services!$E$2:$E$120,MATCH($B1924,Services!$D$2:$D$120,0)),""))</f>
        <v/>
      </c>
    </row>
    <row r="1925" spans="1:10" x14ac:dyDescent="0.3">
      <c r="A1925" s="18"/>
      <c r="B1925" s="6"/>
      <c r="C1925" s="6"/>
      <c r="D1925" s="6"/>
      <c r="E1925" s="16" t="str">
        <f>IF($B1925="","",IFERROR(INDEX(Services!$C$2:$C$120,MATCH($B1925,Services!$D$2:$D$120,0)),""))</f>
        <v/>
      </c>
      <c r="F1925" s="19"/>
      <c r="G1925" s="9" t="str">
        <f t="shared" si="30"/>
        <v/>
      </c>
      <c r="H1925" s="15" t="str">
        <f>IF($B1925="","",IFERROR(INDEX(Services!$A$2:$A$120,MATCH($B1925,Services!$D$2:$D$120,0)),""))</f>
        <v/>
      </c>
      <c r="I1925" s="19"/>
      <c r="J1925" s="15" t="str">
        <f>IF($B1925="","",IFERROR(INDEX(Services!$E$2:$E$120,MATCH($B1925,Services!$D$2:$D$120,0)),""))</f>
        <v/>
      </c>
    </row>
    <row r="1926" spans="1:10" x14ac:dyDescent="0.3">
      <c r="A1926" s="18"/>
      <c r="B1926" s="6"/>
      <c r="C1926" s="6"/>
      <c r="D1926" s="6"/>
      <c r="E1926" s="16" t="str">
        <f>IF($B1926="","",IFERROR(INDEX(Services!$C$2:$C$120,MATCH($B1926,Services!$D$2:$D$120,0)),""))</f>
        <v/>
      </c>
      <c r="F1926" s="19"/>
      <c r="G1926" s="9" t="str">
        <f t="shared" si="30"/>
        <v/>
      </c>
      <c r="H1926" s="15" t="str">
        <f>IF($B1926="","",IFERROR(INDEX(Services!$A$2:$A$120,MATCH($B1926,Services!$D$2:$D$120,0)),""))</f>
        <v/>
      </c>
      <c r="I1926" s="19"/>
      <c r="J1926" s="15" t="str">
        <f>IF($B1926="","",IFERROR(INDEX(Services!$E$2:$E$120,MATCH($B1926,Services!$D$2:$D$120,0)),""))</f>
        <v/>
      </c>
    </row>
    <row r="1927" spans="1:10" x14ac:dyDescent="0.3">
      <c r="A1927" s="18"/>
      <c r="B1927" s="6"/>
      <c r="C1927" s="6"/>
      <c r="D1927" s="6"/>
      <c r="E1927" s="16" t="str">
        <f>IF($B1927="","",IFERROR(INDEX(Services!$C$2:$C$120,MATCH($B1927,Services!$D$2:$D$120,0)),""))</f>
        <v/>
      </c>
      <c r="F1927" s="19"/>
      <c r="G1927" s="9" t="str">
        <f t="shared" si="30"/>
        <v/>
      </c>
      <c r="H1927" s="15" t="str">
        <f>IF($B1927="","",IFERROR(INDEX(Services!$A$2:$A$120,MATCH($B1927,Services!$D$2:$D$120,0)),""))</f>
        <v/>
      </c>
      <c r="I1927" s="19"/>
      <c r="J1927" s="15" t="str">
        <f>IF($B1927="","",IFERROR(INDEX(Services!$E$2:$E$120,MATCH($B1927,Services!$D$2:$D$120,0)),""))</f>
        <v/>
      </c>
    </row>
    <row r="1928" spans="1:10" x14ac:dyDescent="0.3">
      <c r="A1928" s="18"/>
      <c r="B1928" s="6"/>
      <c r="C1928" s="6"/>
      <c r="D1928" s="6"/>
      <c r="E1928" s="16" t="str">
        <f>IF($B1928="","",IFERROR(INDEX(Services!$C$2:$C$120,MATCH($B1928,Services!$D$2:$D$120,0)),""))</f>
        <v/>
      </c>
      <c r="F1928" s="19"/>
      <c r="G1928" s="9" t="str">
        <f t="shared" si="30"/>
        <v/>
      </c>
      <c r="H1928" s="15" t="str">
        <f>IF($B1928="","",IFERROR(INDEX(Services!$A$2:$A$120,MATCH($B1928,Services!$D$2:$D$120,0)),""))</f>
        <v/>
      </c>
      <c r="I1928" s="19"/>
      <c r="J1928" s="15" t="str">
        <f>IF($B1928="","",IFERROR(INDEX(Services!$E$2:$E$120,MATCH($B1928,Services!$D$2:$D$120,0)),""))</f>
        <v/>
      </c>
    </row>
    <row r="1929" spans="1:10" x14ac:dyDescent="0.3">
      <c r="A1929" s="18"/>
      <c r="B1929" s="6"/>
      <c r="C1929" s="6"/>
      <c r="D1929" s="6"/>
      <c r="E1929" s="16" t="str">
        <f>IF($B1929="","",IFERROR(INDEX(Services!$C$2:$C$120,MATCH($B1929,Services!$D$2:$D$120,0)),""))</f>
        <v/>
      </c>
      <c r="F1929" s="19"/>
      <c r="G1929" s="9" t="str">
        <f t="shared" si="30"/>
        <v/>
      </c>
      <c r="H1929" s="15" t="str">
        <f>IF($B1929="","",IFERROR(INDEX(Services!$A$2:$A$120,MATCH($B1929,Services!$D$2:$D$120,0)),""))</f>
        <v/>
      </c>
      <c r="I1929" s="19"/>
      <c r="J1929" s="15" t="str">
        <f>IF($B1929="","",IFERROR(INDEX(Services!$E$2:$E$120,MATCH($B1929,Services!$D$2:$D$120,0)),""))</f>
        <v/>
      </c>
    </row>
    <row r="1930" spans="1:10" x14ac:dyDescent="0.3">
      <c r="A1930" s="18"/>
      <c r="B1930" s="6"/>
      <c r="C1930" s="6"/>
      <c r="D1930" s="6"/>
      <c r="E1930" s="16" t="str">
        <f>IF($B1930="","",IFERROR(INDEX(Services!$C$2:$C$120,MATCH($B1930,Services!$D$2:$D$120,0)),""))</f>
        <v/>
      </c>
      <c r="F1930" s="19"/>
      <c r="G1930" s="9" t="str">
        <f t="shared" si="30"/>
        <v/>
      </c>
      <c r="H1930" s="15" t="str">
        <f>IF($B1930="","",IFERROR(INDEX(Services!$A$2:$A$120,MATCH($B1930,Services!$D$2:$D$120,0)),""))</f>
        <v/>
      </c>
      <c r="I1930" s="19"/>
      <c r="J1930" s="15" t="str">
        <f>IF($B1930="","",IFERROR(INDEX(Services!$E$2:$E$120,MATCH($B1930,Services!$D$2:$D$120,0)),""))</f>
        <v/>
      </c>
    </row>
    <row r="1931" spans="1:10" x14ac:dyDescent="0.3">
      <c r="A1931" s="18"/>
      <c r="B1931" s="6"/>
      <c r="C1931" s="6"/>
      <c r="D1931" s="6"/>
      <c r="E1931" s="16" t="str">
        <f>IF($B1931="","",IFERROR(INDEX(Services!$C$2:$C$120,MATCH($B1931,Services!$D$2:$D$120,0)),""))</f>
        <v/>
      </c>
      <c r="F1931" s="19"/>
      <c r="G1931" s="9" t="str">
        <f t="shared" si="30"/>
        <v/>
      </c>
      <c r="H1931" s="15" t="str">
        <f>IF($B1931="","",IFERROR(INDEX(Services!$A$2:$A$120,MATCH($B1931,Services!$D$2:$D$120,0)),""))</f>
        <v/>
      </c>
      <c r="I1931" s="19"/>
      <c r="J1931" s="15" t="str">
        <f>IF($B1931="","",IFERROR(INDEX(Services!$E$2:$E$120,MATCH($B1931,Services!$D$2:$D$120,0)),""))</f>
        <v/>
      </c>
    </row>
    <row r="1932" spans="1:10" x14ac:dyDescent="0.3">
      <c r="A1932" s="18"/>
      <c r="B1932" s="6"/>
      <c r="C1932" s="6"/>
      <c r="D1932" s="6"/>
      <c r="E1932" s="16" t="str">
        <f>IF($B1932="","",IFERROR(INDEX(Services!$C$2:$C$120,MATCH($B1932,Services!$D$2:$D$120,0)),""))</f>
        <v/>
      </c>
      <c r="F1932" s="19"/>
      <c r="G1932" s="9" t="str">
        <f t="shared" si="30"/>
        <v/>
      </c>
      <c r="H1932" s="15" t="str">
        <f>IF($B1932="","",IFERROR(INDEX(Services!$A$2:$A$120,MATCH($B1932,Services!$D$2:$D$120,0)),""))</f>
        <v/>
      </c>
      <c r="I1932" s="19"/>
      <c r="J1932" s="15" t="str">
        <f>IF($B1932="","",IFERROR(INDEX(Services!$E$2:$E$120,MATCH($B1932,Services!$D$2:$D$120,0)),""))</f>
        <v/>
      </c>
    </row>
    <row r="1933" spans="1:10" x14ac:dyDescent="0.3">
      <c r="A1933" s="18"/>
      <c r="B1933" s="6"/>
      <c r="C1933" s="6"/>
      <c r="D1933" s="6"/>
      <c r="E1933" s="16" t="str">
        <f>IF($B1933="","",IFERROR(INDEX(Services!$C$2:$C$120,MATCH($B1933,Services!$D$2:$D$120,0)),""))</f>
        <v/>
      </c>
      <c r="F1933" s="19"/>
      <c r="G1933" s="9" t="str">
        <f t="shared" si="30"/>
        <v/>
      </c>
      <c r="H1933" s="15" t="str">
        <f>IF($B1933="","",IFERROR(INDEX(Services!$A$2:$A$120,MATCH($B1933,Services!$D$2:$D$120,0)),""))</f>
        <v/>
      </c>
      <c r="I1933" s="19"/>
      <c r="J1933" s="15" t="str">
        <f>IF($B1933="","",IFERROR(INDEX(Services!$E$2:$E$120,MATCH($B1933,Services!$D$2:$D$120,0)),""))</f>
        <v/>
      </c>
    </row>
    <row r="1934" spans="1:10" x14ac:dyDescent="0.3">
      <c r="A1934" s="18"/>
      <c r="B1934" s="6"/>
      <c r="C1934" s="6"/>
      <c r="D1934" s="6"/>
      <c r="E1934" s="16" t="str">
        <f>IF($B1934="","",IFERROR(INDEX(Services!$C$2:$C$120,MATCH($B1934,Services!$D$2:$D$120,0)),""))</f>
        <v/>
      </c>
      <c r="F1934" s="19"/>
      <c r="G1934" s="9" t="str">
        <f t="shared" si="30"/>
        <v/>
      </c>
      <c r="H1934" s="15" t="str">
        <f>IF($B1934="","",IFERROR(INDEX(Services!$A$2:$A$120,MATCH($B1934,Services!$D$2:$D$120,0)),""))</f>
        <v/>
      </c>
      <c r="I1934" s="19"/>
      <c r="J1934" s="15" t="str">
        <f>IF($B1934="","",IFERROR(INDEX(Services!$E$2:$E$120,MATCH($B1934,Services!$D$2:$D$120,0)),""))</f>
        <v/>
      </c>
    </row>
    <row r="1935" spans="1:10" x14ac:dyDescent="0.3">
      <c r="A1935" s="18"/>
      <c r="B1935" s="6"/>
      <c r="C1935" s="6"/>
      <c r="D1935" s="6"/>
      <c r="E1935" s="16" t="str">
        <f>IF($B1935="","",IFERROR(INDEX(Services!$C$2:$C$120,MATCH($B1935,Services!$D$2:$D$120,0)),""))</f>
        <v/>
      </c>
      <c r="F1935" s="19"/>
      <c r="G1935" s="9" t="str">
        <f t="shared" si="30"/>
        <v/>
      </c>
      <c r="H1935" s="15" t="str">
        <f>IF($B1935="","",IFERROR(INDEX(Services!$A$2:$A$120,MATCH($B1935,Services!$D$2:$D$120,0)),""))</f>
        <v/>
      </c>
      <c r="I1935" s="19"/>
      <c r="J1935" s="15" t="str">
        <f>IF($B1935="","",IFERROR(INDEX(Services!$E$2:$E$120,MATCH($B1935,Services!$D$2:$D$120,0)),""))</f>
        <v/>
      </c>
    </row>
    <row r="1936" spans="1:10" x14ac:dyDescent="0.3">
      <c r="A1936" s="18"/>
      <c r="B1936" s="6"/>
      <c r="C1936" s="6"/>
      <c r="D1936" s="6"/>
      <c r="E1936" s="16" t="str">
        <f>IF($B1936="","",IFERROR(INDEX(Services!$C$2:$C$120,MATCH($B1936,Services!$D$2:$D$120,0)),""))</f>
        <v/>
      </c>
      <c r="F1936" s="19"/>
      <c r="G1936" s="9" t="str">
        <f t="shared" si="30"/>
        <v/>
      </c>
      <c r="H1936" s="15" t="str">
        <f>IF($B1936="","",IFERROR(INDEX(Services!$A$2:$A$120,MATCH($B1936,Services!$D$2:$D$120,0)),""))</f>
        <v/>
      </c>
      <c r="I1936" s="19"/>
      <c r="J1936" s="15" t="str">
        <f>IF($B1936="","",IFERROR(INDEX(Services!$E$2:$E$120,MATCH($B1936,Services!$D$2:$D$120,0)),""))</f>
        <v/>
      </c>
    </row>
    <row r="1937" spans="1:10" x14ac:dyDescent="0.3">
      <c r="A1937" s="18"/>
      <c r="B1937" s="6"/>
      <c r="C1937" s="6"/>
      <c r="D1937" s="6"/>
      <c r="E1937" s="16" t="str">
        <f>IF($B1937="","",IFERROR(INDEX(Services!$C$2:$C$120,MATCH($B1937,Services!$D$2:$D$120,0)),""))</f>
        <v/>
      </c>
      <c r="F1937" s="19"/>
      <c r="G1937" s="9" t="str">
        <f t="shared" si="30"/>
        <v/>
      </c>
      <c r="H1937" s="15" t="str">
        <f>IF($B1937="","",IFERROR(INDEX(Services!$A$2:$A$120,MATCH($B1937,Services!$D$2:$D$120,0)),""))</f>
        <v/>
      </c>
      <c r="I1937" s="19"/>
      <c r="J1937" s="15" t="str">
        <f>IF($B1937="","",IFERROR(INDEX(Services!$E$2:$E$120,MATCH($B1937,Services!$D$2:$D$120,0)),""))</f>
        <v/>
      </c>
    </row>
    <row r="1938" spans="1:10" x14ac:dyDescent="0.3">
      <c r="A1938" s="18"/>
      <c r="B1938" s="6"/>
      <c r="C1938" s="6"/>
      <c r="D1938" s="6"/>
      <c r="E1938" s="16" t="str">
        <f>IF($B1938="","",IFERROR(INDEX(Services!$C$2:$C$120,MATCH($B1938,Services!$D$2:$D$120,0)),""))</f>
        <v/>
      </c>
      <c r="F1938" s="19"/>
      <c r="G1938" s="9" t="str">
        <f t="shared" si="30"/>
        <v/>
      </c>
      <c r="H1938" s="15" t="str">
        <f>IF($B1938="","",IFERROR(INDEX(Services!$A$2:$A$120,MATCH($B1938,Services!$D$2:$D$120,0)),""))</f>
        <v/>
      </c>
      <c r="I1938" s="19"/>
      <c r="J1938" s="15" t="str">
        <f>IF($B1938="","",IFERROR(INDEX(Services!$E$2:$E$120,MATCH($B1938,Services!$D$2:$D$120,0)),""))</f>
        <v/>
      </c>
    </row>
    <row r="1939" spans="1:10" x14ac:dyDescent="0.3">
      <c r="A1939" s="18"/>
      <c r="B1939" s="6"/>
      <c r="C1939" s="6"/>
      <c r="D1939" s="6"/>
      <c r="E1939" s="16" t="str">
        <f>IF($B1939="","",IFERROR(INDEX(Services!$C$2:$C$120,MATCH($B1939,Services!$D$2:$D$120,0)),""))</f>
        <v/>
      </c>
      <c r="F1939" s="19"/>
      <c r="G1939" s="9" t="str">
        <f t="shared" si="30"/>
        <v/>
      </c>
      <c r="H1939" s="15" t="str">
        <f>IF($B1939="","",IFERROR(INDEX(Services!$A$2:$A$120,MATCH($B1939,Services!$D$2:$D$120,0)),""))</f>
        <v/>
      </c>
      <c r="I1939" s="19"/>
      <c r="J1939" s="15" t="str">
        <f>IF($B1939="","",IFERROR(INDEX(Services!$E$2:$E$120,MATCH($B1939,Services!$D$2:$D$120,0)),""))</f>
        <v/>
      </c>
    </row>
    <row r="1940" spans="1:10" x14ac:dyDescent="0.3">
      <c r="A1940" s="18"/>
      <c r="B1940" s="6"/>
      <c r="C1940" s="6"/>
      <c r="D1940" s="6"/>
      <c r="E1940" s="16" t="str">
        <f>IF($B1940="","",IFERROR(INDEX(Services!$C$2:$C$120,MATCH($B1940,Services!$D$2:$D$120,0)),""))</f>
        <v/>
      </c>
      <c r="F1940" s="19"/>
      <c r="G1940" s="9" t="str">
        <f t="shared" si="30"/>
        <v/>
      </c>
      <c r="H1940" s="15" t="str">
        <f>IF($B1940="","",IFERROR(INDEX(Services!$A$2:$A$120,MATCH($B1940,Services!$D$2:$D$120,0)),""))</f>
        <v/>
      </c>
      <c r="I1940" s="19"/>
      <c r="J1940" s="15" t="str">
        <f>IF($B1940="","",IFERROR(INDEX(Services!$E$2:$E$120,MATCH($B1940,Services!$D$2:$D$120,0)),""))</f>
        <v/>
      </c>
    </row>
    <row r="1941" spans="1:10" x14ac:dyDescent="0.3">
      <c r="A1941" s="18"/>
      <c r="B1941" s="6"/>
      <c r="C1941" s="6"/>
      <c r="D1941" s="6"/>
      <c r="E1941" s="16" t="str">
        <f>IF($B1941="","",IFERROR(INDEX(Services!$C$2:$C$120,MATCH($B1941,Services!$D$2:$D$120,0)),""))</f>
        <v/>
      </c>
      <c r="F1941" s="19"/>
      <c r="G1941" s="9" t="str">
        <f t="shared" si="30"/>
        <v/>
      </c>
      <c r="H1941" s="15" t="str">
        <f>IF($B1941="","",IFERROR(INDEX(Services!$A$2:$A$120,MATCH($B1941,Services!$D$2:$D$120,0)),""))</f>
        <v/>
      </c>
      <c r="I1941" s="19"/>
      <c r="J1941" s="15" t="str">
        <f>IF($B1941="","",IFERROR(INDEX(Services!$E$2:$E$120,MATCH($B1941,Services!$D$2:$D$120,0)),""))</f>
        <v/>
      </c>
    </row>
    <row r="1942" spans="1:10" x14ac:dyDescent="0.3">
      <c r="A1942" s="18"/>
      <c r="B1942" s="6"/>
      <c r="C1942" s="6"/>
      <c r="D1942" s="6"/>
      <c r="E1942" s="16" t="str">
        <f>IF($B1942="","",IFERROR(INDEX(Services!$C$2:$C$120,MATCH($B1942,Services!$D$2:$D$120,0)),""))</f>
        <v/>
      </c>
      <c r="F1942" s="19"/>
      <c r="G1942" s="9" t="str">
        <f t="shared" si="30"/>
        <v/>
      </c>
      <c r="H1942" s="15" t="str">
        <f>IF($B1942="","",IFERROR(INDEX(Services!$A$2:$A$120,MATCH($B1942,Services!$D$2:$D$120,0)),""))</f>
        <v/>
      </c>
      <c r="I1942" s="19"/>
      <c r="J1942" s="15" t="str">
        <f>IF($B1942="","",IFERROR(INDEX(Services!$E$2:$E$120,MATCH($B1942,Services!$D$2:$D$120,0)),""))</f>
        <v/>
      </c>
    </row>
    <row r="1943" spans="1:10" x14ac:dyDescent="0.3">
      <c r="A1943" s="18"/>
      <c r="B1943" s="6"/>
      <c r="C1943" s="6"/>
      <c r="D1943" s="6"/>
      <c r="E1943" s="16" t="str">
        <f>IF($B1943="","",IFERROR(INDEX(Services!$C$2:$C$120,MATCH($B1943,Services!$D$2:$D$120,0)),""))</f>
        <v/>
      </c>
      <c r="F1943" s="19"/>
      <c r="G1943" s="9" t="str">
        <f t="shared" si="30"/>
        <v/>
      </c>
      <c r="H1943" s="15" t="str">
        <f>IF($B1943="","",IFERROR(INDEX(Services!$A$2:$A$120,MATCH($B1943,Services!$D$2:$D$120,0)),""))</f>
        <v/>
      </c>
      <c r="I1943" s="19"/>
      <c r="J1943" s="15" t="str">
        <f>IF($B1943="","",IFERROR(INDEX(Services!$E$2:$E$120,MATCH($B1943,Services!$D$2:$D$120,0)),""))</f>
        <v/>
      </c>
    </row>
    <row r="1944" spans="1:10" x14ac:dyDescent="0.3">
      <c r="A1944" s="18"/>
      <c r="B1944" s="6"/>
      <c r="C1944" s="6"/>
      <c r="D1944" s="6"/>
      <c r="E1944" s="16" t="str">
        <f>IF($B1944="","",IFERROR(INDEX(Services!$C$2:$C$120,MATCH($B1944,Services!$D$2:$D$120,0)),""))</f>
        <v/>
      </c>
      <c r="F1944" s="19"/>
      <c r="G1944" s="9" t="str">
        <f t="shared" si="30"/>
        <v/>
      </c>
      <c r="H1944" s="15" t="str">
        <f>IF($B1944="","",IFERROR(INDEX(Services!$A$2:$A$120,MATCH($B1944,Services!$D$2:$D$120,0)),""))</f>
        <v/>
      </c>
      <c r="I1944" s="19"/>
      <c r="J1944" s="15" t="str">
        <f>IF($B1944="","",IFERROR(INDEX(Services!$E$2:$E$120,MATCH($B1944,Services!$D$2:$D$120,0)),""))</f>
        <v/>
      </c>
    </row>
    <row r="1945" spans="1:10" x14ac:dyDescent="0.3">
      <c r="A1945" s="18"/>
      <c r="B1945" s="6"/>
      <c r="C1945" s="6"/>
      <c r="D1945" s="6"/>
      <c r="E1945" s="16" t="str">
        <f>IF($B1945="","",IFERROR(INDEX(Services!$C$2:$C$120,MATCH($B1945,Services!$D$2:$D$120,0)),""))</f>
        <v/>
      </c>
      <c r="F1945" s="19"/>
      <c r="G1945" s="9" t="str">
        <f t="shared" si="30"/>
        <v/>
      </c>
      <c r="H1945" s="15" t="str">
        <f>IF($B1945="","",IFERROR(INDEX(Services!$A$2:$A$120,MATCH($B1945,Services!$D$2:$D$120,0)),""))</f>
        <v/>
      </c>
      <c r="I1945" s="19"/>
      <c r="J1945" s="15" t="str">
        <f>IF($B1945="","",IFERROR(INDEX(Services!$E$2:$E$120,MATCH($B1945,Services!$D$2:$D$120,0)),""))</f>
        <v/>
      </c>
    </row>
    <row r="1946" spans="1:10" x14ac:dyDescent="0.3">
      <c r="A1946" s="18"/>
      <c r="B1946" s="6"/>
      <c r="C1946" s="6"/>
      <c r="D1946" s="6"/>
      <c r="E1946" s="16" t="str">
        <f>IF($B1946="","",IFERROR(INDEX(Services!$C$2:$C$120,MATCH($B1946,Services!$D$2:$D$120,0)),""))</f>
        <v/>
      </c>
      <c r="F1946" s="19"/>
      <c r="G1946" s="9" t="str">
        <f t="shared" si="30"/>
        <v/>
      </c>
      <c r="H1946" s="15" t="str">
        <f>IF($B1946="","",IFERROR(INDEX(Services!$A$2:$A$120,MATCH($B1946,Services!$D$2:$D$120,0)),""))</f>
        <v/>
      </c>
      <c r="I1946" s="19"/>
      <c r="J1946" s="15" t="str">
        <f>IF($B1946="","",IFERROR(INDEX(Services!$E$2:$E$120,MATCH($B1946,Services!$D$2:$D$120,0)),""))</f>
        <v/>
      </c>
    </row>
    <row r="1947" spans="1:10" x14ac:dyDescent="0.3">
      <c r="A1947" s="18"/>
      <c r="B1947" s="6"/>
      <c r="C1947" s="6"/>
      <c r="D1947" s="6"/>
      <c r="E1947" s="16" t="str">
        <f>IF($B1947="","",IFERROR(INDEX(Services!$C$2:$C$120,MATCH($B1947,Services!$D$2:$D$120,0)),""))</f>
        <v/>
      </c>
      <c r="F1947" s="19"/>
      <c r="G1947" s="9" t="str">
        <f t="shared" si="30"/>
        <v/>
      </c>
      <c r="H1947" s="15" t="str">
        <f>IF($B1947="","",IFERROR(INDEX(Services!$A$2:$A$120,MATCH($B1947,Services!$D$2:$D$120,0)),""))</f>
        <v/>
      </c>
      <c r="I1947" s="19"/>
      <c r="J1947" s="15" t="str">
        <f>IF($B1947="","",IFERROR(INDEX(Services!$E$2:$E$120,MATCH($B1947,Services!$D$2:$D$120,0)),""))</f>
        <v/>
      </c>
    </row>
    <row r="1948" spans="1:10" x14ac:dyDescent="0.3">
      <c r="A1948" s="18"/>
      <c r="B1948" s="6"/>
      <c r="C1948" s="6"/>
      <c r="D1948" s="6"/>
      <c r="E1948" s="16" t="str">
        <f>IF($B1948="","",IFERROR(INDEX(Services!$C$2:$C$120,MATCH($B1948,Services!$D$2:$D$120,0)),""))</f>
        <v/>
      </c>
      <c r="F1948" s="19"/>
      <c r="G1948" s="9" t="str">
        <f t="shared" si="30"/>
        <v/>
      </c>
      <c r="H1948" s="15" t="str">
        <f>IF($B1948="","",IFERROR(INDEX(Services!$A$2:$A$120,MATCH($B1948,Services!$D$2:$D$120,0)),""))</f>
        <v/>
      </c>
      <c r="I1948" s="19"/>
      <c r="J1948" s="15" t="str">
        <f>IF($B1948="","",IFERROR(INDEX(Services!$E$2:$E$120,MATCH($B1948,Services!$D$2:$D$120,0)),""))</f>
        <v/>
      </c>
    </row>
    <row r="1949" spans="1:10" x14ac:dyDescent="0.3">
      <c r="A1949" s="18"/>
      <c r="B1949" s="6"/>
      <c r="C1949" s="6"/>
      <c r="D1949" s="6"/>
      <c r="E1949" s="16" t="str">
        <f>IF($B1949="","",IFERROR(INDEX(Services!$C$2:$C$120,MATCH($B1949,Services!$D$2:$D$120,0)),""))</f>
        <v/>
      </c>
      <c r="F1949" s="19"/>
      <c r="G1949" s="9" t="str">
        <f t="shared" si="30"/>
        <v/>
      </c>
      <c r="H1949" s="15" t="str">
        <f>IF($B1949="","",IFERROR(INDEX(Services!$A$2:$A$120,MATCH($B1949,Services!$D$2:$D$120,0)),""))</f>
        <v/>
      </c>
      <c r="I1949" s="19"/>
      <c r="J1949" s="15" t="str">
        <f>IF($B1949="","",IFERROR(INDEX(Services!$E$2:$E$120,MATCH($B1949,Services!$D$2:$D$120,0)),""))</f>
        <v/>
      </c>
    </row>
    <row r="1950" spans="1:10" x14ac:dyDescent="0.3">
      <c r="A1950" s="18"/>
      <c r="B1950" s="6"/>
      <c r="C1950" s="6"/>
      <c r="D1950" s="6"/>
      <c r="E1950" s="16" t="str">
        <f>IF($B1950="","",IFERROR(INDEX(Services!$C$2:$C$120,MATCH($B1950,Services!$D$2:$D$120,0)),""))</f>
        <v/>
      </c>
      <c r="F1950" s="19"/>
      <c r="G1950" s="9" t="str">
        <f t="shared" si="30"/>
        <v/>
      </c>
      <c r="H1950" s="15" t="str">
        <f>IF($B1950="","",IFERROR(INDEX(Services!$A$2:$A$120,MATCH($B1950,Services!$D$2:$D$120,0)),""))</f>
        <v/>
      </c>
      <c r="I1950" s="19"/>
      <c r="J1950" s="15" t="str">
        <f>IF($B1950="","",IFERROR(INDEX(Services!$E$2:$E$120,MATCH($B1950,Services!$D$2:$D$120,0)),""))</f>
        <v/>
      </c>
    </row>
    <row r="1951" spans="1:10" x14ac:dyDescent="0.3">
      <c r="A1951" s="18"/>
      <c r="B1951" s="6"/>
      <c r="C1951" s="6"/>
      <c r="D1951" s="6"/>
      <c r="E1951" s="16" t="str">
        <f>IF($B1951="","",IFERROR(INDEX(Services!$C$2:$C$120,MATCH($B1951,Services!$D$2:$D$120,0)),""))</f>
        <v/>
      </c>
      <c r="F1951" s="19"/>
      <c r="G1951" s="9" t="str">
        <f t="shared" si="30"/>
        <v/>
      </c>
      <c r="H1951" s="15" t="str">
        <f>IF($B1951="","",IFERROR(INDEX(Services!$A$2:$A$120,MATCH($B1951,Services!$D$2:$D$120,0)),""))</f>
        <v/>
      </c>
      <c r="I1951" s="19"/>
      <c r="J1951" s="15" t="str">
        <f>IF($B1951="","",IFERROR(INDEX(Services!$E$2:$E$120,MATCH($B1951,Services!$D$2:$D$120,0)),""))</f>
        <v/>
      </c>
    </row>
    <row r="1952" spans="1:10" x14ac:dyDescent="0.3">
      <c r="A1952" s="18"/>
      <c r="B1952" s="6"/>
      <c r="C1952" s="6"/>
      <c r="D1952" s="6"/>
      <c r="E1952" s="16" t="str">
        <f>IF($B1952="","",IFERROR(INDEX(Services!$C$2:$C$120,MATCH($B1952,Services!$D$2:$D$120,0)),""))</f>
        <v/>
      </c>
      <c r="F1952" s="19"/>
      <c r="G1952" s="9" t="str">
        <f t="shared" si="30"/>
        <v/>
      </c>
      <c r="H1952" s="15" t="str">
        <f>IF($B1952="","",IFERROR(INDEX(Services!$A$2:$A$120,MATCH($B1952,Services!$D$2:$D$120,0)),""))</f>
        <v/>
      </c>
      <c r="I1952" s="19"/>
      <c r="J1952" s="15" t="str">
        <f>IF($B1952="","",IFERROR(INDEX(Services!$E$2:$E$120,MATCH($B1952,Services!$D$2:$D$120,0)),""))</f>
        <v/>
      </c>
    </row>
    <row r="1953" spans="1:10" x14ac:dyDescent="0.3">
      <c r="A1953" s="18"/>
      <c r="B1953" s="6"/>
      <c r="C1953" s="6"/>
      <c r="D1953" s="6"/>
      <c r="E1953" s="16" t="str">
        <f>IF($B1953="","",IFERROR(INDEX(Services!$C$2:$C$120,MATCH($B1953,Services!$D$2:$D$120,0)),""))</f>
        <v/>
      </c>
      <c r="F1953" s="19"/>
      <c r="G1953" s="9" t="str">
        <f t="shared" si="30"/>
        <v/>
      </c>
      <c r="H1953" s="15" t="str">
        <f>IF($B1953="","",IFERROR(INDEX(Services!$A$2:$A$120,MATCH($B1953,Services!$D$2:$D$120,0)),""))</f>
        <v/>
      </c>
      <c r="I1953" s="19"/>
      <c r="J1953" s="15" t="str">
        <f>IF($B1953="","",IFERROR(INDEX(Services!$E$2:$E$120,MATCH($B1953,Services!$D$2:$D$120,0)),""))</f>
        <v/>
      </c>
    </row>
    <row r="1954" spans="1:10" x14ac:dyDescent="0.3">
      <c r="A1954" s="18"/>
      <c r="B1954" s="6"/>
      <c r="C1954" s="6"/>
      <c r="D1954" s="6"/>
      <c r="E1954" s="16" t="str">
        <f>IF($B1954="","",IFERROR(INDEX(Services!$C$2:$C$120,MATCH($B1954,Services!$D$2:$D$120,0)),""))</f>
        <v/>
      </c>
      <c r="F1954" s="19"/>
      <c r="G1954" s="9" t="str">
        <f t="shared" si="30"/>
        <v/>
      </c>
      <c r="H1954" s="15" t="str">
        <f>IF($B1954="","",IFERROR(INDEX(Services!$A$2:$A$120,MATCH($B1954,Services!$D$2:$D$120,0)),""))</f>
        <v/>
      </c>
      <c r="I1954" s="19"/>
      <c r="J1954" s="15" t="str">
        <f>IF($B1954="","",IFERROR(INDEX(Services!$E$2:$E$120,MATCH($B1954,Services!$D$2:$D$120,0)),""))</f>
        <v/>
      </c>
    </row>
    <row r="1955" spans="1:10" x14ac:dyDescent="0.3">
      <c r="A1955" s="18"/>
      <c r="B1955" s="6"/>
      <c r="C1955" s="6"/>
      <c r="D1955" s="6"/>
      <c r="E1955" s="16" t="str">
        <f>IF($B1955="","",IFERROR(INDEX(Services!$C$2:$C$120,MATCH($B1955,Services!$D$2:$D$120,0)),""))</f>
        <v/>
      </c>
      <c r="F1955" s="19"/>
      <c r="G1955" s="9" t="str">
        <f t="shared" si="30"/>
        <v/>
      </c>
      <c r="H1955" s="15" t="str">
        <f>IF($B1955="","",IFERROR(INDEX(Services!$A$2:$A$120,MATCH($B1955,Services!$D$2:$D$120,0)),""))</f>
        <v/>
      </c>
      <c r="I1955" s="19"/>
      <c r="J1955" s="15" t="str">
        <f>IF($B1955="","",IFERROR(INDEX(Services!$E$2:$E$120,MATCH($B1955,Services!$D$2:$D$120,0)),""))</f>
        <v/>
      </c>
    </row>
    <row r="1956" spans="1:10" x14ac:dyDescent="0.3">
      <c r="A1956" s="18"/>
      <c r="B1956" s="6"/>
      <c r="C1956" s="6"/>
      <c r="D1956" s="6"/>
      <c r="E1956" s="16" t="str">
        <f>IF($B1956="","",IFERROR(INDEX(Services!$C$2:$C$120,MATCH($B1956,Services!$D$2:$D$120,0)),""))</f>
        <v/>
      </c>
      <c r="F1956" s="19"/>
      <c r="G1956" s="9" t="str">
        <f t="shared" si="30"/>
        <v/>
      </c>
      <c r="H1956" s="15" t="str">
        <f>IF($B1956="","",IFERROR(INDEX(Services!$A$2:$A$120,MATCH($B1956,Services!$D$2:$D$120,0)),""))</f>
        <v/>
      </c>
      <c r="I1956" s="19"/>
      <c r="J1956" s="15" t="str">
        <f>IF($B1956="","",IFERROR(INDEX(Services!$E$2:$E$120,MATCH($B1956,Services!$D$2:$D$120,0)),""))</f>
        <v/>
      </c>
    </row>
    <row r="1957" spans="1:10" x14ac:dyDescent="0.3">
      <c r="A1957" s="18"/>
      <c r="B1957" s="6"/>
      <c r="C1957" s="6"/>
      <c r="D1957" s="6"/>
      <c r="E1957" s="16" t="str">
        <f>IF($B1957="","",IFERROR(INDEX(Services!$C$2:$C$120,MATCH($B1957,Services!$D$2:$D$120,0)),""))</f>
        <v/>
      </c>
      <c r="F1957" s="19"/>
      <c r="G1957" s="9" t="str">
        <f t="shared" si="30"/>
        <v/>
      </c>
      <c r="H1957" s="15" t="str">
        <f>IF($B1957="","",IFERROR(INDEX(Services!$A$2:$A$120,MATCH($B1957,Services!$D$2:$D$120,0)),""))</f>
        <v/>
      </c>
      <c r="I1957" s="19"/>
      <c r="J1957" s="15" t="str">
        <f>IF($B1957="","",IFERROR(INDEX(Services!$E$2:$E$120,MATCH($B1957,Services!$D$2:$D$120,0)),""))</f>
        <v/>
      </c>
    </row>
    <row r="1958" spans="1:10" x14ac:dyDescent="0.3">
      <c r="A1958" s="18"/>
      <c r="B1958" s="6"/>
      <c r="C1958" s="6"/>
      <c r="D1958" s="6"/>
      <c r="E1958" s="16" t="str">
        <f>IF($B1958="","",IFERROR(INDEX(Services!$C$2:$C$120,MATCH($B1958,Services!$D$2:$D$120,0)),""))</f>
        <v/>
      </c>
      <c r="F1958" s="19"/>
      <c r="G1958" s="9" t="str">
        <f t="shared" si="30"/>
        <v/>
      </c>
      <c r="H1958" s="15" t="str">
        <f>IF($B1958="","",IFERROR(INDEX(Services!$A$2:$A$120,MATCH($B1958,Services!$D$2:$D$120,0)),""))</f>
        <v/>
      </c>
      <c r="I1958" s="19"/>
      <c r="J1958" s="15" t="str">
        <f>IF($B1958="","",IFERROR(INDEX(Services!$E$2:$E$120,MATCH($B1958,Services!$D$2:$D$120,0)),""))</f>
        <v/>
      </c>
    </row>
    <row r="1959" spans="1:10" x14ac:dyDescent="0.3">
      <c r="A1959" s="18"/>
      <c r="B1959" s="6"/>
      <c r="C1959" s="6"/>
      <c r="D1959" s="6"/>
      <c r="E1959" s="16" t="str">
        <f>IF($B1959="","",IFERROR(INDEX(Services!$C$2:$C$120,MATCH($B1959,Services!$D$2:$D$120,0)),""))</f>
        <v/>
      </c>
      <c r="F1959" s="19"/>
      <c r="G1959" s="9" t="str">
        <f t="shared" si="30"/>
        <v/>
      </c>
      <c r="H1959" s="15" t="str">
        <f>IF($B1959="","",IFERROR(INDEX(Services!$A$2:$A$120,MATCH($B1959,Services!$D$2:$D$120,0)),""))</f>
        <v/>
      </c>
      <c r="I1959" s="19"/>
      <c r="J1959" s="15" t="str">
        <f>IF($B1959="","",IFERROR(INDEX(Services!$E$2:$E$120,MATCH($B1959,Services!$D$2:$D$120,0)),""))</f>
        <v/>
      </c>
    </row>
    <row r="1960" spans="1:10" x14ac:dyDescent="0.3">
      <c r="A1960" s="18"/>
      <c r="B1960" s="6"/>
      <c r="C1960" s="6"/>
      <c r="D1960" s="6"/>
      <c r="E1960" s="16" t="str">
        <f>IF($B1960="","",IFERROR(INDEX(Services!$C$2:$C$120,MATCH($B1960,Services!$D$2:$D$120,0)),""))</f>
        <v/>
      </c>
      <c r="F1960" s="19"/>
      <c r="G1960" s="9" t="str">
        <f t="shared" si="30"/>
        <v/>
      </c>
      <c r="H1960" s="15" t="str">
        <f>IF($B1960="","",IFERROR(INDEX(Services!$A$2:$A$120,MATCH($B1960,Services!$D$2:$D$120,0)),""))</f>
        <v/>
      </c>
      <c r="I1960" s="19"/>
      <c r="J1960" s="15" t="str">
        <f>IF($B1960="","",IFERROR(INDEX(Services!$E$2:$E$120,MATCH($B1960,Services!$D$2:$D$120,0)),""))</f>
        <v/>
      </c>
    </row>
    <row r="1961" spans="1:10" x14ac:dyDescent="0.3">
      <c r="A1961" s="18"/>
      <c r="B1961" s="6"/>
      <c r="C1961" s="6"/>
      <c r="D1961" s="6"/>
      <c r="E1961" s="16" t="str">
        <f>IF($B1961="","",IFERROR(INDEX(Services!$C$2:$C$120,MATCH($B1961,Services!$D$2:$D$120,0)),""))</f>
        <v/>
      </c>
      <c r="F1961" s="19"/>
      <c r="G1961" s="9" t="str">
        <f t="shared" si="30"/>
        <v/>
      </c>
      <c r="H1961" s="15" t="str">
        <f>IF($B1961="","",IFERROR(INDEX(Services!$A$2:$A$120,MATCH($B1961,Services!$D$2:$D$120,0)),""))</f>
        <v/>
      </c>
      <c r="I1961" s="19"/>
      <c r="J1961" s="15" t="str">
        <f>IF($B1961="","",IFERROR(INDEX(Services!$E$2:$E$120,MATCH($B1961,Services!$D$2:$D$120,0)),""))</f>
        <v/>
      </c>
    </row>
    <row r="1962" spans="1:10" x14ac:dyDescent="0.3">
      <c r="A1962" s="18"/>
      <c r="B1962" s="6"/>
      <c r="C1962" s="6"/>
      <c r="D1962" s="6"/>
      <c r="E1962" s="16" t="str">
        <f>IF($B1962="","",IFERROR(INDEX(Services!$C$2:$C$120,MATCH($B1962,Services!$D$2:$D$120,0)),""))</f>
        <v/>
      </c>
      <c r="F1962" s="19"/>
      <c r="G1962" s="9" t="str">
        <f t="shared" si="30"/>
        <v/>
      </c>
      <c r="H1962" s="15" t="str">
        <f>IF($B1962="","",IFERROR(INDEX(Services!$A$2:$A$120,MATCH($B1962,Services!$D$2:$D$120,0)),""))</f>
        <v/>
      </c>
      <c r="I1962" s="19"/>
      <c r="J1962" s="15" t="str">
        <f>IF($B1962="","",IFERROR(INDEX(Services!$E$2:$E$120,MATCH($B1962,Services!$D$2:$D$120,0)),""))</f>
        <v/>
      </c>
    </row>
    <row r="1963" spans="1:10" x14ac:dyDescent="0.3">
      <c r="A1963" s="18"/>
      <c r="B1963" s="6"/>
      <c r="C1963" s="6"/>
      <c r="D1963" s="6"/>
      <c r="E1963" s="16" t="str">
        <f>IF($B1963="","",IFERROR(INDEX(Services!$C$2:$C$120,MATCH($B1963,Services!$D$2:$D$120,0)),""))</f>
        <v/>
      </c>
      <c r="F1963" s="19"/>
      <c r="G1963" s="9" t="str">
        <f t="shared" si="30"/>
        <v/>
      </c>
      <c r="H1963" s="15" t="str">
        <f>IF($B1963="","",IFERROR(INDEX(Services!$A$2:$A$120,MATCH($B1963,Services!$D$2:$D$120,0)),""))</f>
        <v/>
      </c>
      <c r="I1963" s="19"/>
      <c r="J1963" s="15" t="str">
        <f>IF($B1963="","",IFERROR(INDEX(Services!$E$2:$E$120,MATCH($B1963,Services!$D$2:$D$120,0)),""))</f>
        <v/>
      </c>
    </row>
    <row r="1964" spans="1:10" x14ac:dyDescent="0.3">
      <c r="A1964" s="18"/>
      <c r="B1964" s="6"/>
      <c r="C1964" s="6"/>
      <c r="D1964" s="6"/>
      <c r="E1964" s="16" t="str">
        <f>IF($B1964="","",IFERROR(INDEX(Services!$C$2:$C$120,MATCH($B1964,Services!$D$2:$D$120,0)),""))</f>
        <v/>
      </c>
      <c r="F1964" s="19"/>
      <c r="G1964" s="9" t="str">
        <f t="shared" si="30"/>
        <v/>
      </c>
      <c r="H1964" s="15" t="str">
        <f>IF($B1964="","",IFERROR(INDEX(Services!$A$2:$A$120,MATCH($B1964,Services!$D$2:$D$120,0)),""))</f>
        <v/>
      </c>
      <c r="I1964" s="19"/>
      <c r="J1964" s="15" t="str">
        <f>IF($B1964="","",IFERROR(INDEX(Services!$E$2:$E$120,MATCH($B1964,Services!$D$2:$D$120,0)),""))</f>
        <v/>
      </c>
    </row>
    <row r="1965" spans="1:10" x14ac:dyDescent="0.3">
      <c r="A1965" s="18"/>
      <c r="B1965" s="6"/>
      <c r="C1965" s="6"/>
      <c r="D1965" s="6"/>
      <c r="E1965" s="16" t="str">
        <f>IF($B1965="","",IFERROR(INDEX(Services!$C$2:$C$120,MATCH($B1965,Services!$D$2:$D$120,0)),""))</f>
        <v/>
      </c>
      <c r="F1965" s="19"/>
      <c r="G1965" s="9" t="str">
        <f t="shared" si="30"/>
        <v/>
      </c>
      <c r="H1965" s="15" t="str">
        <f>IF($B1965="","",IFERROR(INDEX(Services!$A$2:$A$120,MATCH($B1965,Services!$D$2:$D$120,0)),""))</f>
        <v/>
      </c>
      <c r="I1965" s="19"/>
      <c r="J1965" s="15" t="str">
        <f>IF($B1965="","",IFERROR(INDEX(Services!$E$2:$E$120,MATCH($B1965,Services!$D$2:$D$120,0)),""))</f>
        <v/>
      </c>
    </row>
    <row r="1966" spans="1:10" x14ac:dyDescent="0.3">
      <c r="A1966" s="18"/>
      <c r="B1966" s="6"/>
      <c r="C1966" s="6"/>
      <c r="D1966" s="6"/>
      <c r="E1966" s="16" t="str">
        <f>IF($B1966="","",IFERROR(INDEX(Services!$C$2:$C$120,MATCH($B1966,Services!$D$2:$D$120,0)),""))</f>
        <v/>
      </c>
      <c r="F1966" s="19"/>
      <c r="G1966" s="9" t="str">
        <f t="shared" si="30"/>
        <v/>
      </c>
      <c r="H1966" s="15" t="str">
        <f>IF($B1966="","",IFERROR(INDEX(Services!$A$2:$A$120,MATCH($B1966,Services!$D$2:$D$120,0)),""))</f>
        <v/>
      </c>
      <c r="I1966" s="19"/>
      <c r="J1966" s="15" t="str">
        <f>IF($B1966="","",IFERROR(INDEX(Services!$E$2:$E$120,MATCH($B1966,Services!$D$2:$D$120,0)),""))</f>
        <v/>
      </c>
    </row>
    <row r="1967" spans="1:10" x14ac:dyDescent="0.3">
      <c r="A1967" s="18"/>
      <c r="B1967" s="6"/>
      <c r="C1967" s="6"/>
      <c r="D1967" s="6"/>
      <c r="E1967" s="16" t="str">
        <f>IF($B1967="","",IFERROR(INDEX(Services!$C$2:$C$120,MATCH($B1967,Services!$D$2:$D$120,0)),""))</f>
        <v/>
      </c>
      <c r="F1967" s="19"/>
      <c r="G1967" s="9" t="str">
        <f t="shared" si="30"/>
        <v/>
      </c>
      <c r="H1967" s="15" t="str">
        <f>IF($B1967="","",IFERROR(INDEX(Services!$A$2:$A$120,MATCH($B1967,Services!$D$2:$D$120,0)),""))</f>
        <v/>
      </c>
      <c r="I1967" s="19"/>
      <c r="J1967" s="15" t="str">
        <f>IF($B1967="","",IFERROR(INDEX(Services!$E$2:$E$120,MATCH($B1967,Services!$D$2:$D$120,0)),""))</f>
        <v/>
      </c>
    </row>
    <row r="1968" spans="1:10" x14ac:dyDescent="0.3">
      <c r="A1968" s="18"/>
      <c r="B1968" s="6"/>
      <c r="C1968" s="6"/>
      <c r="D1968" s="6"/>
      <c r="E1968" s="16" t="str">
        <f>IF($B1968="","",IFERROR(INDEX(Services!$C$2:$C$120,MATCH($B1968,Services!$D$2:$D$120,0)),""))</f>
        <v/>
      </c>
      <c r="F1968" s="19"/>
      <c r="G1968" s="9" t="str">
        <f t="shared" si="30"/>
        <v/>
      </c>
      <c r="H1968" s="15" t="str">
        <f>IF($B1968="","",IFERROR(INDEX(Services!$A$2:$A$120,MATCH($B1968,Services!$D$2:$D$120,0)),""))</f>
        <v/>
      </c>
      <c r="I1968" s="19"/>
      <c r="J1968" s="15" t="str">
        <f>IF($B1968="","",IFERROR(INDEX(Services!$E$2:$E$120,MATCH($B1968,Services!$D$2:$D$120,0)),""))</f>
        <v/>
      </c>
    </row>
    <row r="1969" spans="1:10" x14ac:dyDescent="0.3">
      <c r="A1969" s="18"/>
      <c r="B1969" s="6"/>
      <c r="C1969" s="6"/>
      <c r="D1969" s="6"/>
      <c r="E1969" s="16" t="str">
        <f>IF($B1969="","",IFERROR(INDEX(Services!$C$2:$C$120,MATCH($B1969,Services!$D$2:$D$120,0)),""))</f>
        <v/>
      </c>
      <c r="F1969" s="19"/>
      <c r="G1969" s="9" t="str">
        <f t="shared" si="30"/>
        <v/>
      </c>
      <c r="H1969" s="15" t="str">
        <f>IF($B1969="","",IFERROR(INDEX(Services!$A$2:$A$120,MATCH($B1969,Services!$D$2:$D$120,0)),""))</f>
        <v/>
      </c>
      <c r="I1969" s="19"/>
      <c r="J1969" s="15" t="str">
        <f>IF($B1969="","",IFERROR(INDEX(Services!$E$2:$E$120,MATCH($B1969,Services!$D$2:$D$120,0)),""))</f>
        <v/>
      </c>
    </row>
    <row r="1970" spans="1:10" x14ac:dyDescent="0.3">
      <c r="A1970" s="18"/>
      <c r="B1970" s="6"/>
      <c r="C1970" s="6"/>
      <c r="D1970" s="6"/>
      <c r="E1970" s="16" t="str">
        <f>IF($B1970="","",IFERROR(INDEX(Services!$C$2:$C$120,MATCH($B1970,Services!$D$2:$D$120,0)),""))</f>
        <v/>
      </c>
      <c r="F1970" s="19"/>
      <c r="G1970" s="9" t="str">
        <f t="shared" si="30"/>
        <v/>
      </c>
      <c r="H1970" s="15" t="str">
        <f>IF($B1970="","",IFERROR(INDEX(Services!$A$2:$A$120,MATCH($B1970,Services!$D$2:$D$120,0)),""))</f>
        <v/>
      </c>
      <c r="I1970" s="19"/>
      <c r="J1970" s="15" t="str">
        <f>IF($B1970="","",IFERROR(INDEX(Services!$E$2:$E$120,MATCH($B1970,Services!$D$2:$D$120,0)),""))</f>
        <v/>
      </c>
    </row>
    <row r="1971" spans="1:10" x14ac:dyDescent="0.3">
      <c r="A1971" s="18"/>
      <c r="B1971" s="6"/>
      <c r="C1971" s="6"/>
      <c r="D1971" s="6"/>
      <c r="E1971" s="16" t="str">
        <f>IF($B1971="","",IFERROR(INDEX(Services!$C$2:$C$120,MATCH($B1971,Services!$D$2:$D$120,0)),""))</f>
        <v/>
      </c>
      <c r="F1971" s="19"/>
      <c r="G1971" s="9" t="str">
        <f t="shared" si="30"/>
        <v/>
      </c>
      <c r="H1971" s="15" t="str">
        <f>IF($B1971="","",IFERROR(INDEX(Services!$A$2:$A$120,MATCH($B1971,Services!$D$2:$D$120,0)),""))</f>
        <v/>
      </c>
      <c r="I1971" s="19"/>
      <c r="J1971" s="15" t="str">
        <f>IF($B1971="","",IFERROR(INDEX(Services!$E$2:$E$120,MATCH($B1971,Services!$D$2:$D$120,0)),""))</f>
        <v/>
      </c>
    </row>
    <row r="1972" spans="1:10" x14ac:dyDescent="0.3">
      <c r="A1972" s="18"/>
      <c r="B1972" s="6"/>
      <c r="C1972" s="6"/>
      <c r="D1972" s="6"/>
      <c r="E1972" s="16" t="str">
        <f>IF($B1972="","",IFERROR(INDEX(Services!$C$2:$C$120,MATCH($B1972,Services!$D$2:$D$120,0)),""))</f>
        <v/>
      </c>
      <c r="F1972" s="19"/>
      <c r="G1972" s="9" t="str">
        <f t="shared" si="30"/>
        <v/>
      </c>
      <c r="H1972" s="15" t="str">
        <f>IF($B1972="","",IFERROR(INDEX(Services!$A$2:$A$120,MATCH($B1972,Services!$D$2:$D$120,0)),""))</f>
        <v/>
      </c>
      <c r="I1972" s="19"/>
      <c r="J1972" s="15" t="str">
        <f>IF($B1972="","",IFERROR(INDEX(Services!$E$2:$E$120,MATCH($B1972,Services!$D$2:$D$120,0)),""))</f>
        <v/>
      </c>
    </row>
    <row r="1973" spans="1:10" x14ac:dyDescent="0.3">
      <c r="A1973" s="18"/>
      <c r="B1973" s="6"/>
      <c r="C1973" s="6"/>
      <c r="D1973" s="6"/>
      <c r="E1973" s="16" t="str">
        <f>IF($B1973="","",IFERROR(INDEX(Services!$C$2:$C$120,MATCH($B1973,Services!$D$2:$D$120,0)),""))</f>
        <v/>
      </c>
      <c r="F1973" s="19"/>
      <c r="G1973" s="9" t="str">
        <f t="shared" si="30"/>
        <v/>
      </c>
      <c r="H1973" s="15" t="str">
        <f>IF($B1973="","",IFERROR(INDEX(Services!$A$2:$A$120,MATCH($B1973,Services!$D$2:$D$120,0)),""))</f>
        <v/>
      </c>
      <c r="I1973" s="19"/>
      <c r="J1973" s="15" t="str">
        <f>IF($B1973="","",IFERROR(INDEX(Services!$E$2:$E$120,MATCH($B1973,Services!$D$2:$D$120,0)),""))</f>
        <v/>
      </c>
    </row>
    <row r="1974" spans="1:10" x14ac:dyDescent="0.3">
      <c r="A1974" s="18"/>
      <c r="B1974" s="6"/>
      <c r="C1974" s="6"/>
      <c r="D1974" s="6"/>
      <c r="E1974" s="16" t="str">
        <f>IF($B1974="","",IFERROR(INDEX(Services!$C$2:$C$120,MATCH($B1974,Services!$D$2:$D$120,0)),""))</f>
        <v/>
      </c>
      <c r="F1974" s="19"/>
      <c r="G1974" s="9" t="str">
        <f t="shared" si="30"/>
        <v/>
      </c>
      <c r="H1974" s="15" t="str">
        <f>IF($B1974="","",IFERROR(INDEX(Services!$A$2:$A$120,MATCH($B1974,Services!$D$2:$D$120,0)),""))</f>
        <v/>
      </c>
      <c r="I1974" s="19"/>
      <c r="J1974" s="15" t="str">
        <f>IF($B1974="","",IFERROR(INDEX(Services!$E$2:$E$120,MATCH($B1974,Services!$D$2:$D$120,0)),""))</f>
        <v/>
      </c>
    </row>
    <row r="1975" spans="1:10" x14ac:dyDescent="0.3">
      <c r="A1975" s="18"/>
      <c r="B1975" s="6"/>
      <c r="C1975" s="6"/>
      <c r="D1975" s="6"/>
      <c r="E1975" s="16" t="str">
        <f>IF($B1975="","",IFERROR(INDEX(Services!$C$2:$C$120,MATCH($B1975,Services!$D$2:$D$120,0)),""))</f>
        <v/>
      </c>
      <c r="F1975" s="19"/>
      <c r="G1975" s="9" t="str">
        <f t="shared" si="30"/>
        <v/>
      </c>
      <c r="H1975" s="15" t="str">
        <f>IF($B1975="","",IFERROR(INDEX(Services!$A$2:$A$120,MATCH($B1975,Services!$D$2:$D$120,0)),""))</f>
        <v/>
      </c>
      <c r="I1975" s="19"/>
      <c r="J1975" s="15" t="str">
        <f>IF($B1975="","",IFERROR(INDEX(Services!$E$2:$E$120,MATCH($B1975,Services!$D$2:$D$120,0)),""))</f>
        <v/>
      </c>
    </row>
    <row r="1976" spans="1:10" x14ac:dyDescent="0.3">
      <c r="A1976" s="18"/>
      <c r="B1976" s="6"/>
      <c r="C1976" s="6"/>
      <c r="D1976" s="6"/>
      <c r="E1976" s="16" t="str">
        <f>IF($B1976="","",IFERROR(INDEX(Services!$C$2:$C$120,MATCH($B1976,Services!$D$2:$D$120,0)),""))</f>
        <v/>
      </c>
      <c r="F1976" s="19"/>
      <c r="G1976" s="9" t="str">
        <f t="shared" si="30"/>
        <v/>
      </c>
      <c r="H1976" s="15" t="str">
        <f>IF($B1976="","",IFERROR(INDEX(Services!$A$2:$A$120,MATCH($B1976,Services!$D$2:$D$120,0)),""))</f>
        <v/>
      </c>
      <c r="I1976" s="19"/>
      <c r="J1976" s="15" t="str">
        <f>IF($B1976="","",IFERROR(INDEX(Services!$E$2:$E$120,MATCH($B1976,Services!$D$2:$D$120,0)),""))</f>
        <v/>
      </c>
    </row>
    <row r="1977" spans="1:10" x14ac:dyDescent="0.3">
      <c r="A1977" s="18"/>
      <c r="B1977" s="6"/>
      <c r="C1977" s="6"/>
      <c r="D1977" s="6"/>
      <c r="E1977" s="16" t="str">
        <f>IF($B1977="","",IFERROR(INDEX(Services!$C$2:$C$120,MATCH($B1977,Services!$D$2:$D$120,0)),""))</f>
        <v/>
      </c>
      <c r="F1977" s="19"/>
      <c r="G1977" s="9" t="str">
        <f t="shared" si="30"/>
        <v/>
      </c>
      <c r="H1977" s="15" t="str">
        <f>IF($B1977="","",IFERROR(INDEX(Services!$A$2:$A$120,MATCH($B1977,Services!$D$2:$D$120,0)),""))</f>
        <v/>
      </c>
      <c r="I1977" s="19"/>
      <c r="J1977" s="15" t="str">
        <f>IF($B1977="","",IFERROR(INDEX(Services!$E$2:$E$120,MATCH($B1977,Services!$D$2:$D$120,0)),""))</f>
        <v/>
      </c>
    </row>
    <row r="1978" spans="1:10" x14ac:dyDescent="0.3">
      <c r="A1978" s="18"/>
      <c r="B1978" s="6"/>
      <c r="C1978" s="6"/>
      <c r="D1978" s="6"/>
      <c r="E1978" s="16" t="str">
        <f>IF($B1978="","",IFERROR(INDEX(Services!$C$2:$C$120,MATCH($B1978,Services!$D$2:$D$120,0)),""))</f>
        <v/>
      </c>
      <c r="F1978" s="19"/>
      <c r="G1978" s="9" t="str">
        <f t="shared" si="30"/>
        <v/>
      </c>
      <c r="H1978" s="15" t="str">
        <f>IF($B1978="","",IFERROR(INDEX(Services!$A$2:$A$120,MATCH($B1978,Services!$D$2:$D$120,0)),""))</f>
        <v/>
      </c>
      <c r="I1978" s="19"/>
      <c r="J1978" s="15" t="str">
        <f>IF($B1978="","",IFERROR(INDEX(Services!$E$2:$E$120,MATCH($B1978,Services!$D$2:$D$120,0)),""))</f>
        <v/>
      </c>
    </row>
    <row r="1979" spans="1:10" x14ac:dyDescent="0.3">
      <c r="A1979" s="18"/>
      <c r="B1979" s="6"/>
      <c r="C1979" s="6"/>
      <c r="D1979" s="6"/>
      <c r="E1979" s="16" t="str">
        <f>IF($B1979="","",IFERROR(INDEX(Services!$C$2:$C$120,MATCH($B1979,Services!$D$2:$D$120,0)),""))</f>
        <v/>
      </c>
      <c r="F1979" s="19"/>
      <c r="G1979" s="9" t="str">
        <f t="shared" si="30"/>
        <v/>
      </c>
      <c r="H1979" s="15" t="str">
        <f>IF($B1979="","",IFERROR(INDEX(Services!$A$2:$A$120,MATCH($B1979,Services!$D$2:$D$120,0)),""))</f>
        <v/>
      </c>
      <c r="I1979" s="19"/>
      <c r="J1979" s="15" t="str">
        <f>IF($B1979="","",IFERROR(INDEX(Services!$E$2:$E$120,MATCH($B1979,Services!$D$2:$D$120,0)),""))</f>
        <v/>
      </c>
    </row>
    <row r="1980" spans="1:10" x14ac:dyDescent="0.3">
      <c r="A1980" s="18"/>
      <c r="B1980" s="6"/>
      <c r="C1980" s="6"/>
      <c r="D1980" s="6"/>
      <c r="E1980" s="16" t="str">
        <f>IF($B1980="","",IFERROR(INDEX(Services!$C$2:$C$120,MATCH($B1980,Services!$D$2:$D$120,0)),""))</f>
        <v/>
      </c>
      <c r="F1980" s="19"/>
      <c r="G1980" s="9" t="str">
        <f t="shared" si="30"/>
        <v/>
      </c>
      <c r="H1980" s="15" t="str">
        <f>IF($B1980="","",IFERROR(INDEX(Services!$A$2:$A$120,MATCH($B1980,Services!$D$2:$D$120,0)),""))</f>
        <v/>
      </c>
      <c r="I1980" s="19"/>
      <c r="J1980" s="15" t="str">
        <f>IF($B1980="","",IFERROR(INDEX(Services!$E$2:$E$120,MATCH($B1980,Services!$D$2:$D$120,0)),""))</f>
        <v/>
      </c>
    </row>
    <row r="1981" spans="1:10" x14ac:dyDescent="0.3">
      <c r="A1981" s="18"/>
      <c r="B1981" s="6"/>
      <c r="C1981" s="6"/>
      <c r="D1981" s="6"/>
      <c r="E1981" s="16" t="str">
        <f>IF($B1981="","",IFERROR(INDEX(Services!$C$2:$C$120,MATCH($B1981,Services!$D$2:$D$120,0)),""))</f>
        <v/>
      </c>
      <c r="F1981" s="19"/>
      <c r="G1981" s="9" t="str">
        <f t="shared" si="30"/>
        <v/>
      </c>
      <c r="H1981" s="15" t="str">
        <f>IF($B1981="","",IFERROR(INDEX(Services!$A$2:$A$120,MATCH($B1981,Services!$D$2:$D$120,0)),""))</f>
        <v/>
      </c>
      <c r="I1981" s="19"/>
      <c r="J1981" s="15" t="str">
        <f>IF($B1981="","",IFERROR(INDEX(Services!$E$2:$E$120,MATCH($B1981,Services!$D$2:$D$120,0)),""))</f>
        <v/>
      </c>
    </row>
    <row r="1982" spans="1:10" x14ac:dyDescent="0.3">
      <c r="A1982" s="18"/>
      <c r="B1982" s="6"/>
      <c r="C1982" s="6"/>
      <c r="D1982" s="6"/>
      <c r="E1982" s="16" t="str">
        <f>IF($B1982="","",IFERROR(INDEX(Services!$C$2:$C$120,MATCH($B1982,Services!$D$2:$D$120,0)),""))</f>
        <v/>
      </c>
      <c r="F1982" s="19"/>
      <c r="G1982" s="9" t="str">
        <f t="shared" si="30"/>
        <v/>
      </c>
      <c r="H1982" s="15" t="str">
        <f>IF($B1982="","",IFERROR(INDEX(Services!$A$2:$A$120,MATCH($B1982,Services!$D$2:$D$120,0)),""))</f>
        <v/>
      </c>
      <c r="I1982" s="19"/>
      <c r="J1982" s="15" t="str">
        <f>IF($B1982="","",IFERROR(INDEX(Services!$E$2:$E$120,MATCH($B1982,Services!$D$2:$D$120,0)),""))</f>
        <v/>
      </c>
    </row>
    <row r="1983" spans="1:10" x14ac:dyDescent="0.3">
      <c r="A1983" s="18"/>
      <c r="B1983" s="6"/>
      <c r="C1983" s="6"/>
      <c r="D1983" s="6"/>
      <c r="E1983" s="16" t="str">
        <f>IF($B1983="","",IFERROR(INDEX(Services!$C$2:$C$120,MATCH($B1983,Services!$D$2:$D$120,0)),""))</f>
        <v/>
      </c>
      <c r="F1983" s="19"/>
      <c r="G1983" s="9" t="str">
        <f t="shared" si="30"/>
        <v/>
      </c>
      <c r="H1983" s="15" t="str">
        <f>IF($B1983="","",IFERROR(INDEX(Services!$A$2:$A$120,MATCH($B1983,Services!$D$2:$D$120,0)),""))</f>
        <v/>
      </c>
      <c r="I1983" s="19"/>
      <c r="J1983" s="15" t="str">
        <f>IF($B1983="","",IFERROR(INDEX(Services!$E$2:$E$120,MATCH($B1983,Services!$D$2:$D$120,0)),""))</f>
        <v/>
      </c>
    </row>
    <row r="1984" spans="1:10" x14ac:dyDescent="0.3">
      <c r="A1984" s="18"/>
      <c r="B1984" s="6"/>
      <c r="C1984" s="6"/>
      <c r="D1984" s="6"/>
      <c r="E1984" s="16" t="str">
        <f>IF($B1984="","",IFERROR(INDEX(Services!$C$2:$C$120,MATCH($B1984,Services!$D$2:$D$120,0)),""))</f>
        <v/>
      </c>
      <c r="F1984" s="19"/>
      <c r="G1984" s="9" t="str">
        <f t="shared" si="30"/>
        <v/>
      </c>
      <c r="H1984" s="15" t="str">
        <f>IF($B1984="","",IFERROR(INDEX(Services!$A$2:$A$120,MATCH($B1984,Services!$D$2:$D$120,0)),""))</f>
        <v/>
      </c>
      <c r="I1984" s="19"/>
      <c r="J1984" s="15" t="str">
        <f>IF($B1984="","",IFERROR(INDEX(Services!$E$2:$E$120,MATCH($B1984,Services!$D$2:$D$120,0)),""))</f>
        <v/>
      </c>
    </row>
    <row r="1985" spans="1:10" x14ac:dyDescent="0.3">
      <c r="A1985" s="18"/>
      <c r="B1985" s="6"/>
      <c r="C1985" s="6"/>
      <c r="D1985" s="6"/>
      <c r="E1985" s="16" t="str">
        <f>IF($B1985="","",IFERROR(INDEX(Services!$C$2:$C$120,MATCH($B1985,Services!$D$2:$D$120,0)),""))</f>
        <v/>
      </c>
      <c r="F1985" s="19"/>
      <c r="G1985" s="9" t="str">
        <f t="shared" si="30"/>
        <v/>
      </c>
      <c r="H1985" s="15" t="str">
        <f>IF($B1985="","",IFERROR(INDEX(Services!$A$2:$A$120,MATCH($B1985,Services!$D$2:$D$120,0)),""))</f>
        <v/>
      </c>
      <c r="I1985" s="19"/>
      <c r="J1985" s="15" t="str">
        <f>IF($B1985="","",IFERROR(INDEX(Services!$E$2:$E$120,MATCH($B1985,Services!$D$2:$D$120,0)),""))</f>
        <v/>
      </c>
    </row>
    <row r="1986" spans="1:10" x14ac:dyDescent="0.3">
      <c r="A1986" s="18"/>
      <c r="B1986" s="6"/>
      <c r="C1986" s="6"/>
      <c r="D1986" s="6"/>
      <c r="E1986" s="16" t="str">
        <f>IF($B1986="","",IFERROR(INDEX(Services!$C$2:$C$120,MATCH($B1986,Services!$D$2:$D$120,0)),""))</f>
        <v/>
      </c>
      <c r="F1986" s="19"/>
      <c r="G1986" s="9" t="str">
        <f t="shared" ref="G1986:G2001" si="31">IF(OR($B1986="",NOT(ISNUMBER($E1986))),"",$E1986-IF($F1986="",0,$F1986))</f>
        <v/>
      </c>
      <c r="H1986" s="15" t="str">
        <f>IF($B1986="","",IFERROR(INDEX(Services!$A$2:$A$120,MATCH($B1986,Services!$D$2:$D$120,0)),""))</f>
        <v/>
      </c>
      <c r="I1986" s="19"/>
      <c r="J1986" s="15" t="str">
        <f>IF($B1986="","",IFERROR(INDEX(Services!$E$2:$E$120,MATCH($B1986,Services!$D$2:$D$120,0)),""))</f>
        <v/>
      </c>
    </row>
    <row r="1987" spans="1:10" x14ac:dyDescent="0.3">
      <c r="A1987" s="18"/>
      <c r="B1987" s="6"/>
      <c r="C1987" s="6"/>
      <c r="D1987" s="6"/>
      <c r="E1987" s="16" t="str">
        <f>IF($B1987="","",IFERROR(INDEX(Services!$C$2:$C$120,MATCH($B1987,Services!$D$2:$D$120,0)),""))</f>
        <v/>
      </c>
      <c r="F1987" s="19"/>
      <c r="G1987" s="9" t="str">
        <f t="shared" si="31"/>
        <v/>
      </c>
      <c r="H1987" s="15" t="str">
        <f>IF($B1987="","",IFERROR(INDEX(Services!$A$2:$A$120,MATCH($B1987,Services!$D$2:$D$120,0)),""))</f>
        <v/>
      </c>
      <c r="I1987" s="19"/>
      <c r="J1987" s="15" t="str">
        <f>IF($B1987="","",IFERROR(INDEX(Services!$E$2:$E$120,MATCH($B1987,Services!$D$2:$D$120,0)),""))</f>
        <v/>
      </c>
    </row>
    <row r="1988" spans="1:10" x14ac:dyDescent="0.3">
      <c r="A1988" s="18"/>
      <c r="B1988" s="6"/>
      <c r="C1988" s="6"/>
      <c r="D1988" s="6"/>
      <c r="E1988" s="16" t="str">
        <f>IF($B1988="","",IFERROR(INDEX(Services!$C$2:$C$120,MATCH($B1988,Services!$D$2:$D$120,0)),""))</f>
        <v/>
      </c>
      <c r="F1988" s="19"/>
      <c r="G1988" s="9" t="str">
        <f t="shared" si="31"/>
        <v/>
      </c>
      <c r="H1988" s="15" t="str">
        <f>IF($B1988="","",IFERROR(INDEX(Services!$A$2:$A$120,MATCH($B1988,Services!$D$2:$D$120,0)),""))</f>
        <v/>
      </c>
      <c r="I1988" s="19"/>
      <c r="J1988" s="15" t="str">
        <f>IF($B1988="","",IFERROR(INDEX(Services!$E$2:$E$120,MATCH($B1988,Services!$D$2:$D$120,0)),""))</f>
        <v/>
      </c>
    </row>
    <row r="1989" spans="1:10" x14ac:dyDescent="0.3">
      <c r="A1989" s="18"/>
      <c r="B1989" s="6"/>
      <c r="C1989" s="6"/>
      <c r="D1989" s="6"/>
      <c r="E1989" s="16" t="str">
        <f>IF($B1989="","",IFERROR(INDEX(Services!$C$2:$C$120,MATCH($B1989,Services!$D$2:$D$120,0)),""))</f>
        <v/>
      </c>
      <c r="F1989" s="19"/>
      <c r="G1989" s="9" t="str">
        <f t="shared" si="31"/>
        <v/>
      </c>
      <c r="H1989" s="15" t="str">
        <f>IF($B1989="","",IFERROR(INDEX(Services!$A$2:$A$120,MATCH($B1989,Services!$D$2:$D$120,0)),""))</f>
        <v/>
      </c>
      <c r="I1989" s="19"/>
      <c r="J1989" s="15" t="str">
        <f>IF($B1989="","",IFERROR(INDEX(Services!$E$2:$E$120,MATCH($B1989,Services!$D$2:$D$120,0)),""))</f>
        <v/>
      </c>
    </row>
    <row r="1990" spans="1:10" x14ac:dyDescent="0.3">
      <c r="A1990" s="18"/>
      <c r="B1990" s="6"/>
      <c r="C1990" s="6"/>
      <c r="D1990" s="6"/>
      <c r="E1990" s="16" t="str">
        <f>IF($B1990="","",IFERROR(INDEX(Services!$C$2:$C$120,MATCH($B1990,Services!$D$2:$D$120,0)),""))</f>
        <v/>
      </c>
      <c r="F1990" s="19"/>
      <c r="G1990" s="9" t="str">
        <f t="shared" si="31"/>
        <v/>
      </c>
      <c r="H1990" s="15" t="str">
        <f>IF($B1990="","",IFERROR(INDEX(Services!$A$2:$A$120,MATCH($B1990,Services!$D$2:$D$120,0)),""))</f>
        <v/>
      </c>
      <c r="I1990" s="19"/>
      <c r="J1990" s="15" t="str">
        <f>IF($B1990="","",IFERROR(INDEX(Services!$E$2:$E$120,MATCH($B1990,Services!$D$2:$D$120,0)),""))</f>
        <v/>
      </c>
    </row>
    <row r="1991" spans="1:10" x14ac:dyDescent="0.3">
      <c r="A1991" s="18"/>
      <c r="B1991" s="6"/>
      <c r="C1991" s="6"/>
      <c r="D1991" s="6"/>
      <c r="E1991" s="16" t="str">
        <f>IF($B1991="","",IFERROR(INDEX(Services!$C$2:$C$120,MATCH($B1991,Services!$D$2:$D$120,0)),""))</f>
        <v/>
      </c>
      <c r="F1991" s="19"/>
      <c r="G1991" s="9" t="str">
        <f t="shared" si="31"/>
        <v/>
      </c>
      <c r="H1991" s="15" t="str">
        <f>IF($B1991="","",IFERROR(INDEX(Services!$A$2:$A$120,MATCH($B1991,Services!$D$2:$D$120,0)),""))</f>
        <v/>
      </c>
      <c r="I1991" s="19"/>
      <c r="J1991" s="15" t="str">
        <f>IF($B1991="","",IFERROR(INDEX(Services!$E$2:$E$120,MATCH($B1991,Services!$D$2:$D$120,0)),""))</f>
        <v/>
      </c>
    </row>
    <row r="1992" spans="1:10" x14ac:dyDescent="0.3">
      <c r="A1992" s="18"/>
      <c r="B1992" s="6"/>
      <c r="C1992" s="6"/>
      <c r="D1992" s="6"/>
      <c r="E1992" s="16" t="str">
        <f>IF($B1992="","",IFERROR(INDEX(Services!$C$2:$C$120,MATCH($B1992,Services!$D$2:$D$120,0)),""))</f>
        <v/>
      </c>
      <c r="F1992" s="19"/>
      <c r="G1992" s="9" t="str">
        <f t="shared" si="31"/>
        <v/>
      </c>
      <c r="H1992" s="15" t="str">
        <f>IF($B1992="","",IFERROR(INDEX(Services!$A$2:$A$120,MATCH($B1992,Services!$D$2:$D$120,0)),""))</f>
        <v/>
      </c>
      <c r="I1992" s="19"/>
      <c r="J1992" s="15" t="str">
        <f>IF($B1992="","",IFERROR(INDEX(Services!$E$2:$E$120,MATCH($B1992,Services!$D$2:$D$120,0)),""))</f>
        <v/>
      </c>
    </row>
    <row r="1993" spans="1:10" x14ac:dyDescent="0.3">
      <c r="A1993" s="18"/>
      <c r="B1993" s="6"/>
      <c r="C1993" s="6"/>
      <c r="D1993" s="6"/>
      <c r="E1993" s="16" t="str">
        <f>IF($B1993="","",IFERROR(INDEX(Services!$C$2:$C$120,MATCH($B1993,Services!$D$2:$D$120,0)),""))</f>
        <v/>
      </c>
      <c r="F1993" s="19"/>
      <c r="G1993" s="9" t="str">
        <f t="shared" si="31"/>
        <v/>
      </c>
      <c r="H1993" s="15" t="str">
        <f>IF($B1993="","",IFERROR(INDEX(Services!$A$2:$A$120,MATCH($B1993,Services!$D$2:$D$120,0)),""))</f>
        <v/>
      </c>
      <c r="I1993" s="19"/>
      <c r="J1993" s="15" t="str">
        <f>IF($B1993="","",IFERROR(INDEX(Services!$E$2:$E$120,MATCH($B1993,Services!$D$2:$D$120,0)),""))</f>
        <v/>
      </c>
    </row>
    <row r="1994" spans="1:10" x14ac:dyDescent="0.3">
      <c r="A1994" s="18"/>
      <c r="B1994" s="6"/>
      <c r="C1994" s="6"/>
      <c r="D1994" s="6"/>
      <c r="E1994" s="16" t="str">
        <f>IF($B1994="","",IFERROR(INDEX(Services!$C$2:$C$120,MATCH($B1994,Services!$D$2:$D$120,0)),""))</f>
        <v/>
      </c>
      <c r="F1994" s="19"/>
      <c r="G1994" s="9" t="str">
        <f t="shared" si="31"/>
        <v/>
      </c>
      <c r="H1994" s="15" t="str">
        <f>IF($B1994="","",IFERROR(INDEX(Services!$A$2:$A$120,MATCH($B1994,Services!$D$2:$D$120,0)),""))</f>
        <v/>
      </c>
      <c r="I1994" s="19"/>
      <c r="J1994" s="15" t="str">
        <f>IF($B1994="","",IFERROR(INDEX(Services!$E$2:$E$120,MATCH($B1994,Services!$D$2:$D$120,0)),""))</f>
        <v/>
      </c>
    </row>
    <row r="1995" spans="1:10" x14ac:dyDescent="0.3">
      <c r="A1995" s="18"/>
      <c r="B1995" s="6"/>
      <c r="C1995" s="6"/>
      <c r="D1995" s="6"/>
      <c r="E1995" s="16" t="str">
        <f>IF($B1995="","",IFERROR(INDEX(Services!$C$2:$C$120,MATCH($B1995,Services!$D$2:$D$120,0)),""))</f>
        <v/>
      </c>
      <c r="F1995" s="19"/>
      <c r="G1995" s="9" t="str">
        <f t="shared" si="31"/>
        <v/>
      </c>
      <c r="H1995" s="15" t="str">
        <f>IF($B1995="","",IFERROR(INDEX(Services!$A$2:$A$120,MATCH($B1995,Services!$D$2:$D$120,0)),""))</f>
        <v/>
      </c>
      <c r="I1995" s="19"/>
      <c r="J1995" s="15" t="str">
        <f>IF($B1995="","",IFERROR(INDEX(Services!$E$2:$E$120,MATCH($B1995,Services!$D$2:$D$120,0)),""))</f>
        <v/>
      </c>
    </row>
    <row r="1996" spans="1:10" x14ac:dyDescent="0.3">
      <c r="A1996" s="18"/>
      <c r="B1996" s="6"/>
      <c r="C1996" s="6"/>
      <c r="D1996" s="6"/>
      <c r="E1996" s="16" t="str">
        <f>IF($B1996="","",IFERROR(INDEX(Services!$C$2:$C$120,MATCH($B1996,Services!$D$2:$D$120,0)),""))</f>
        <v/>
      </c>
      <c r="F1996" s="19"/>
      <c r="G1996" s="9" t="str">
        <f t="shared" si="31"/>
        <v/>
      </c>
      <c r="H1996" s="15" t="str">
        <f>IF($B1996="","",IFERROR(INDEX(Services!$A$2:$A$120,MATCH($B1996,Services!$D$2:$D$120,0)),""))</f>
        <v/>
      </c>
      <c r="I1996" s="19"/>
      <c r="J1996" s="15" t="str">
        <f>IF($B1996="","",IFERROR(INDEX(Services!$E$2:$E$120,MATCH($B1996,Services!$D$2:$D$120,0)),""))</f>
        <v/>
      </c>
    </row>
    <row r="1997" spans="1:10" x14ac:dyDescent="0.3">
      <c r="A1997" s="18"/>
      <c r="B1997" s="6"/>
      <c r="C1997" s="6"/>
      <c r="D1997" s="6"/>
      <c r="E1997" s="16" t="str">
        <f>IF($B1997="","",IFERROR(INDEX(Services!$C$2:$C$120,MATCH($B1997,Services!$D$2:$D$120,0)),""))</f>
        <v/>
      </c>
      <c r="F1997" s="19"/>
      <c r="G1997" s="9" t="str">
        <f t="shared" si="31"/>
        <v/>
      </c>
      <c r="H1997" s="15" t="str">
        <f>IF($B1997="","",IFERROR(INDEX(Services!$A$2:$A$120,MATCH($B1997,Services!$D$2:$D$120,0)),""))</f>
        <v/>
      </c>
      <c r="I1997" s="19"/>
      <c r="J1997" s="15" t="str">
        <f>IF($B1997="","",IFERROR(INDEX(Services!$E$2:$E$120,MATCH($B1997,Services!$D$2:$D$120,0)),""))</f>
        <v/>
      </c>
    </row>
    <row r="1998" spans="1:10" x14ac:dyDescent="0.3">
      <c r="A1998" s="18"/>
      <c r="B1998" s="6"/>
      <c r="C1998" s="6"/>
      <c r="D1998" s="6"/>
      <c r="E1998" s="16" t="str">
        <f>IF($B1998="","",IFERROR(INDEX(Services!$C$2:$C$120,MATCH($B1998,Services!$D$2:$D$120,0)),""))</f>
        <v/>
      </c>
      <c r="F1998" s="19"/>
      <c r="G1998" s="9" t="str">
        <f t="shared" si="31"/>
        <v/>
      </c>
      <c r="H1998" s="15" t="str">
        <f>IF($B1998="","",IFERROR(INDEX(Services!$A$2:$A$120,MATCH($B1998,Services!$D$2:$D$120,0)),""))</f>
        <v/>
      </c>
      <c r="I1998" s="19"/>
      <c r="J1998" s="15" t="str">
        <f>IF($B1998="","",IFERROR(INDEX(Services!$E$2:$E$120,MATCH($B1998,Services!$D$2:$D$120,0)),""))</f>
        <v/>
      </c>
    </row>
    <row r="1999" spans="1:10" x14ac:dyDescent="0.3">
      <c r="A1999" s="18"/>
      <c r="B1999" s="6"/>
      <c r="C1999" s="6"/>
      <c r="D1999" s="6"/>
      <c r="E1999" s="16" t="str">
        <f>IF($B1999="","",IFERROR(INDEX(Services!$C$2:$C$120,MATCH($B1999,Services!$D$2:$D$120,0)),""))</f>
        <v/>
      </c>
      <c r="F1999" s="19"/>
      <c r="G1999" s="9" t="str">
        <f t="shared" si="31"/>
        <v/>
      </c>
      <c r="H1999" s="15" t="str">
        <f>IF($B1999="","",IFERROR(INDEX(Services!$A$2:$A$120,MATCH($B1999,Services!$D$2:$D$120,0)),""))</f>
        <v/>
      </c>
      <c r="I1999" s="19"/>
      <c r="J1999" s="15" t="str">
        <f>IF($B1999="","",IFERROR(INDEX(Services!$E$2:$E$120,MATCH($B1999,Services!$D$2:$D$120,0)),""))</f>
        <v/>
      </c>
    </row>
    <row r="2000" spans="1:10" x14ac:dyDescent="0.3">
      <c r="A2000" s="18"/>
      <c r="B2000" s="6"/>
      <c r="C2000" s="6"/>
      <c r="D2000" s="6"/>
      <c r="E2000" s="16" t="str">
        <f>IF($B2000="","",IFERROR(INDEX(Services!$C$2:$C$120,MATCH($B2000,Services!$D$2:$D$120,0)),""))</f>
        <v/>
      </c>
      <c r="F2000" s="19"/>
      <c r="G2000" s="9" t="str">
        <f t="shared" si="31"/>
        <v/>
      </c>
      <c r="H2000" s="15" t="str">
        <f>IF($B2000="","",IFERROR(INDEX(Services!$A$2:$A$120,MATCH($B2000,Services!$D$2:$D$120,0)),""))</f>
        <v/>
      </c>
      <c r="I2000" s="19"/>
      <c r="J2000" s="15" t="str">
        <f>IF($B2000="","",IFERROR(INDEX(Services!$E$2:$E$120,MATCH($B2000,Services!$D$2:$D$120,0)),""))</f>
        <v/>
      </c>
    </row>
    <row r="2001" spans="1:10" x14ac:dyDescent="0.3">
      <c r="A2001" s="18"/>
      <c r="B2001" s="6"/>
      <c r="C2001" s="6"/>
      <c r="D2001" s="6"/>
      <c r="E2001" s="16" t="str">
        <f>IF($B2001="","",IFERROR(INDEX(Services!$C$2:$C$120,MATCH($B2001,Services!$D$2:$D$120,0)),""))</f>
        <v/>
      </c>
      <c r="F2001" s="19"/>
      <c r="G2001" s="9" t="str">
        <f t="shared" si="31"/>
        <v/>
      </c>
      <c r="H2001" s="15" t="str">
        <f>IF($B2001="","",IFERROR(INDEX(Services!$A$2:$A$120,MATCH($B2001,Services!$D$2:$D$120,0)),""))</f>
        <v/>
      </c>
      <c r="I2001" s="19"/>
      <c r="J2001" s="15" t="str">
        <f>IF($B2001="","",IFERROR(INDEX(Services!$E$2:$E$120,MATCH($B2001,Services!$D$2:$D$120,0)),""))</f>
        <v/>
      </c>
    </row>
  </sheetData>
  <dataValidations count="4">
    <dataValidation type="list" allowBlank="1" showErrorMessage="1" sqref="B2:B2001" xr:uid="{00000000-0002-0000-0100-000000000000}">
      <formula1>ServiceKeys</formula1>
      <formula2>0</formula2>
    </dataValidation>
    <dataValidation type="list" allowBlank="1" showErrorMessage="1" sqref="C2:C2001" xr:uid="{00000000-0002-0000-0100-000001000000}">
      <formula1>EmpNames</formula1>
      <formula2>0</formula2>
    </dataValidation>
    <dataValidation type="list" allowBlank="1" showInputMessage="1" showErrorMessage="1" promptTitle="Pick from list" prompt="New customer? Add them on the Customer Database sheet first." sqref="D2:D2001" xr:uid="{00000000-0002-0000-0100-000002000000}">
      <formula1>CustNames</formula1>
      <formula2>0</formula2>
    </dataValidation>
    <dataValidation type="list" allowBlank="1" showErrorMessage="1" sqref="I2:I2001" xr:uid="{00000000-0002-0000-0100-000003000000}">
      <formula1>"Cash,UPI,Card"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1"/>
  <sheetViews>
    <sheetView topLeftCell="C1" zoomScaleNormal="100" workbookViewId="0">
      <pane ySplit="1" topLeftCell="A2" activePane="bottomLeft" state="frozen"/>
      <selection pane="bottomLeft" activeCell="R2" sqref="R2"/>
    </sheetView>
  </sheetViews>
  <sheetFormatPr defaultColWidth="8.5546875" defaultRowHeight="14.4" x14ac:dyDescent="0.3"/>
  <cols>
    <col min="1" max="1" width="22" customWidth="1"/>
    <col min="2" max="2" width="15" customWidth="1"/>
    <col min="3" max="3" width="9" customWidth="1"/>
    <col min="4" max="5" width="13" customWidth="1"/>
    <col min="6" max="6" width="11" customWidth="1"/>
    <col min="7" max="7" width="12" customWidth="1"/>
    <col min="8" max="8" width="11" customWidth="1"/>
    <col min="9" max="10" width="12" customWidth="1"/>
    <col min="11" max="11" width="9" customWidth="1"/>
    <col min="12" max="12" width="14" customWidth="1"/>
    <col min="13" max="13" width="12" customWidth="1"/>
    <col min="14" max="14" width="10" customWidth="1"/>
    <col min="15" max="15" width="12" customWidth="1"/>
    <col min="16" max="16" width="14" customWidth="1"/>
    <col min="17" max="17" width="12" customWidth="1"/>
    <col min="18" max="18" width="13" customWidth="1"/>
  </cols>
  <sheetData>
    <row r="1" spans="1:18" x14ac:dyDescent="0.3">
      <c r="A1" s="17" t="s">
        <v>64</v>
      </c>
      <c r="B1" s="17" t="s">
        <v>65</v>
      </c>
      <c r="C1" s="17" t="s">
        <v>66</v>
      </c>
      <c r="D1" s="17" t="s">
        <v>67</v>
      </c>
      <c r="E1" s="17" t="s">
        <v>68</v>
      </c>
      <c r="F1" s="17" t="s">
        <v>69</v>
      </c>
      <c r="G1" s="17" t="s">
        <v>70</v>
      </c>
      <c r="H1" s="17" t="s">
        <v>71</v>
      </c>
      <c r="I1" s="17" t="s">
        <v>72</v>
      </c>
      <c r="J1" s="17" t="s">
        <v>73</v>
      </c>
      <c r="K1" s="17" t="s">
        <v>74</v>
      </c>
      <c r="L1" s="17" t="s">
        <v>75</v>
      </c>
      <c r="M1" s="17" t="s">
        <v>76</v>
      </c>
      <c r="N1" s="17" t="s">
        <v>77</v>
      </c>
      <c r="O1" s="17" t="s">
        <v>78</v>
      </c>
      <c r="P1" s="17" t="s">
        <v>79</v>
      </c>
      <c r="Q1" s="17" t="s">
        <v>80</v>
      </c>
      <c r="R1" s="17" t="s">
        <v>81</v>
      </c>
    </row>
    <row r="2" spans="1:18" x14ac:dyDescent="0.3">
      <c r="A2" s="19"/>
      <c r="B2" s="19"/>
      <c r="C2" s="15" t="str">
        <f>IF($A2="","",COUNTIF('Daily tracking'!$D$2:$D$2001,$A2))</f>
        <v/>
      </c>
      <c r="D2" s="16" t="str">
        <f>IF($A2="","",SUMIF('Daily tracking'!$D$2:$D$2001,$A2,'Daily tracking'!$G$2:$G$2001))</f>
        <v/>
      </c>
      <c r="E2" s="18" t="str">
        <f>IF($A2="","",IF($C2=0,"",_xlfn.MAXIFS('Daily tracking'!$A$2:$A$2001,'Daily tracking'!$D$2:$D$2001,$A2)))</f>
        <v/>
      </c>
      <c r="F2" s="6" t="str">
        <f t="shared" ref="F2:F65" ca="1" si="0">IF(OR($A2="",$E2=""),"",TODAY()-$E2)</f>
        <v/>
      </c>
      <c r="G2" s="3" t="str">
        <f t="shared" ref="G2:G65" si="1">IF($A2="","",IF($C2=0,"No visits",IF($F2&gt;90,"Lapsed",IF($F2&gt;35,"At risk",IF($C2&gt;=4,"Loyal","Active")))))</f>
        <v/>
      </c>
      <c r="H2" s="9" t="str">
        <f t="shared" ref="H2:H65" si="2">IF(OR($A2="",$C2=0),"",$D2/$C2)</f>
        <v/>
      </c>
      <c r="I2" s="20"/>
      <c r="J2" s="20"/>
      <c r="K2" s="19"/>
      <c r="L2" s="19"/>
      <c r="M2" s="19"/>
      <c r="N2" s="15" t="str">
        <f t="shared" ref="N2:N65" si="3">IF($A2="","",IF($C2=0,0,(IF($F2&lt;=15,5,IF($F2&lt;=30,4,IF($F2&lt;=45,3,IF($F2&lt;=90,2,1))))+IF($C2&gt;=10,5,IF($C2&gt;=6,4,IF($C2&gt;=4,3,IF($C2&gt;=2,2,1))))+IF($D2&gt;=20000,5,IF($D2&gt;=10000,4,IF($D2&gt;=5000,3,IF($D2&gt;=2000,2,1)))))))</f>
        <v/>
      </c>
      <c r="O2" s="3" t="str">
        <f t="shared" ref="O2:O65" si="4">IF($A2="","",IF($C2=0,"No visits",IF($N2&gt;=13,"VIP",IF($N2&gt;=10,"High value",IF($N2&gt;=7,"Regular",IF($N2&gt;=4,"Occasional","Low"))))))</f>
        <v/>
      </c>
      <c r="P2" s="6" t="str">
        <f t="shared" ref="P2:P65" ca="1" si="5">IF(OR($A2="",$I2=""),"",IF(MONTH($I2)=MONTH(TODAY()),"Yes",""))</f>
        <v/>
      </c>
      <c r="Q2" s="21" t="str">
        <f>IF($A2="","",IF($C2=0,"",_xlfn.MINIFS('Daily tracking'!$A$2:$A$2001,'Daily tracking'!$D$2:$D$2001,$A2)))</f>
        <v/>
      </c>
      <c r="R2" s="6" t="str">
        <f t="shared" ref="R2:R65" si="6">IF(OR($A2="",$C2&lt;2),"",($E2-$Q2)/($C2-1))</f>
        <v/>
      </c>
    </row>
    <row r="3" spans="1:18" x14ac:dyDescent="0.3">
      <c r="A3" s="19"/>
      <c r="B3" s="19"/>
      <c r="C3" s="15" t="str">
        <f>IF($A3="","",COUNTIF('Daily tracking'!$D$2:$D$2001,$A3))</f>
        <v/>
      </c>
      <c r="D3" s="16" t="str">
        <f>IF($A3="","",SUMIF('Daily tracking'!$D$2:$D$2001,$A3,'Daily tracking'!$G$2:$G$2001))</f>
        <v/>
      </c>
      <c r="E3" s="18" t="str">
        <f>IF($A3="","",IF($C3=0,"",_xlfn.MAXIFS('Daily tracking'!$A$2:$A$2001,'Daily tracking'!$D$2:$D$2001,$A3)))</f>
        <v/>
      </c>
      <c r="F3" s="6" t="str">
        <f t="shared" ca="1" si="0"/>
        <v/>
      </c>
      <c r="G3" s="3" t="str">
        <f t="shared" si="1"/>
        <v/>
      </c>
      <c r="H3" s="9" t="str">
        <f t="shared" si="2"/>
        <v/>
      </c>
      <c r="I3" s="20"/>
      <c r="J3" s="20"/>
      <c r="K3" s="19"/>
      <c r="L3" s="19"/>
      <c r="M3" s="19"/>
      <c r="N3" s="15" t="str">
        <f t="shared" si="3"/>
        <v/>
      </c>
      <c r="O3" s="3" t="str">
        <f t="shared" si="4"/>
        <v/>
      </c>
      <c r="P3" s="6" t="str">
        <f t="shared" ca="1" si="5"/>
        <v/>
      </c>
      <c r="Q3" s="21" t="str">
        <f>IF($A3="","",IF($C3=0,"",_xlfn.MINIFS('Daily tracking'!$A$2:$A$2001,'Daily tracking'!$D$2:$D$2001,$A3)))</f>
        <v/>
      </c>
      <c r="R3" s="6" t="str">
        <f t="shared" si="6"/>
        <v/>
      </c>
    </row>
    <row r="4" spans="1:18" x14ac:dyDescent="0.3">
      <c r="A4" s="19"/>
      <c r="B4" s="19"/>
      <c r="C4" s="15" t="str">
        <f>IF($A4="","",COUNTIF('Daily tracking'!$D$2:$D$2001,$A4))</f>
        <v/>
      </c>
      <c r="D4" s="16" t="str">
        <f>IF($A4="","",SUMIF('Daily tracking'!$D$2:$D$2001,$A4,'Daily tracking'!$G$2:$G$2001))</f>
        <v/>
      </c>
      <c r="E4" s="18" t="str">
        <f>IF($A4="","",IF($C4=0,"",_xlfn.MAXIFS('Daily tracking'!$A$2:$A$2001,'Daily tracking'!$D$2:$D$2001,$A4)))</f>
        <v/>
      </c>
      <c r="F4" s="6" t="str">
        <f t="shared" ca="1" si="0"/>
        <v/>
      </c>
      <c r="G4" s="3" t="str">
        <f t="shared" si="1"/>
        <v/>
      </c>
      <c r="H4" s="9" t="str">
        <f t="shared" si="2"/>
        <v/>
      </c>
      <c r="I4" s="20"/>
      <c r="J4" s="20"/>
      <c r="K4" s="19"/>
      <c r="L4" s="19"/>
      <c r="M4" s="19"/>
      <c r="N4" s="15" t="str">
        <f t="shared" si="3"/>
        <v/>
      </c>
      <c r="O4" s="3" t="str">
        <f t="shared" si="4"/>
        <v/>
      </c>
      <c r="P4" s="6" t="str">
        <f t="shared" ca="1" si="5"/>
        <v/>
      </c>
      <c r="Q4" s="21" t="str">
        <f>IF($A4="","",IF($C4=0,"",_xlfn.MINIFS('Daily tracking'!$A$2:$A$2001,'Daily tracking'!$D$2:$D$2001,$A4)))</f>
        <v/>
      </c>
      <c r="R4" s="6" t="str">
        <f t="shared" si="6"/>
        <v/>
      </c>
    </row>
    <row r="5" spans="1:18" x14ac:dyDescent="0.3">
      <c r="A5" s="19"/>
      <c r="B5" s="19"/>
      <c r="C5" s="15" t="str">
        <f>IF($A5="","",COUNTIF('Daily tracking'!$D$2:$D$2001,$A5))</f>
        <v/>
      </c>
      <c r="D5" s="16" t="str">
        <f>IF($A5="","",SUMIF('Daily tracking'!$D$2:$D$2001,$A5,'Daily tracking'!$G$2:$G$2001))</f>
        <v/>
      </c>
      <c r="E5" s="18" t="str">
        <f>IF($A5="","",IF($C5=0,"",_xlfn.MAXIFS('Daily tracking'!$A$2:$A$2001,'Daily tracking'!$D$2:$D$2001,$A5)))</f>
        <v/>
      </c>
      <c r="F5" s="6" t="str">
        <f t="shared" ca="1" si="0"/>
        <v/>
      </c>
      <c r="G5" s="3" t="str">
        <f t="shared" si="1"/>
        <v/>
      </c>
      <c r="H5" s="9" t="str">
        <f t="shared" si="2"/>
        <v/>
      </c>
      <c r="I5" s="20"/>
      <c r="J5" s="20"/>
      <c r="K5" s="19"/>
      <c r="L5" s="19"/>
      <c r="M5" s="19"/>
      <c r="N5" s="15" t="str">
        <f t="shared" si="3"/>
        <v/>
      </c>
      <c r="O5" s="3" t="str">
        <f t="shared" si="4"/>
        <v/>
      </c>
      <c r="P5" s="6" t="str">
        <f t="shared" ca="1" si="5"/>
        <v/>
      </c>
      <c r="Q5" s="21" t="str">
        <f>IF($A5="","",IF($C5=0,"",_xlfn.MINIFS('Daily tracking'!$A$2:$A$2001,'Daily tracking'!$D$2:$D$2001,$A5)))</f>
        <v/>
      </c>
      <c r="R5" s="6" t="str">
        <f t="shared" si="6"/>
        <v/>
      </c>
    </row>
    <row r="6" spans="1:18" x14ac:dyDescent="0.3">
      <c r="A6" s="19"/>
      <c r="B6" s="19"/>
      <c r="C6" s="15" t="str">
        <f>IF($A6="","",COUNTIF('Daily tracking'!$D$2:$D$2001,$A6))</f>
        <v/>
      </c>
      <c r="D6" s="16" t="str">
        <f>IF($A6="","",SUMIF('Daily tracking'!$D$2:$D$2001,$A6,'Daily tracking'!$G$2:$G$2001))</f>
        <v/>
      </c>
      <c r="E6" s="18" t="str">
        <f>IF($A6="","",IF($C6=0,"",_xlfn.MAXIFS('Daily tracking'!$A$2:$A$2001,'Daily tracking'!$D$2:$D$2001,$A6)))</f>
        <v/>
      </c>
      <c r="F6" s="6" t="str">
        <f t="shared" ca="1" si="0"/>
        <v/>
      </c>
      <c r="G6" s="3" t="str">
        <f t="shared" si="1"/>
        <v/>
      </c>
      <c r="H6" s="9" t="str">
        <f t="shared" si="2"/>
        <v/>
      </c>
      <c r="I6" s="20"/>
      <c r="J6" s="20"/>
      <c r="K6" s="19"/>
      <c r="L6" s="19"/>
      <c r="M6" s="19"/>
      <c r="N6" s="15" t="str">
        <f t="shared" si="3"/>
        <v/>
      </c>
      <c r="O6" s="3" t="str">
        <f t="shared" si="4"/>
        <v/>
      </c>
      <c r="P6" s="6" t="str">
        <f t="shared" ca="1" si="5"/>
        <v/>
      </c>
      <c r="Q6" s="21" t="str">
        <f>IF($A6="","",IF($C6=0,"",_xlfn.MINIFS('Daily tracking'!$A$2:$A$2001,'Daily tracking'!$D$2:$D$2001,$A6)))</f>
        <v/>
      </c>
      <c r="R6" s="6" t="str">
        <f t="shared" si="6"/>
        <v/>
      </c>
    </row>
    <row r="7" spans="1:18" x14ac:dyDescent="0.3">
      <c r="A7" s="19"/>
      <c r="B7" s="19"/>
      <c r="C7" s="15" t="str">
        <f>IF($A7="","",COUNTIF('Daily tracking'!$D$2:$D$2001,$A7))</f>
        <v/>
      </c>
      <c r="D7" s="16" t="str">
        <f>IF($A7="","",SUMIF('Daily tracking'!$D$2:$D$2001,$A7,'Daily tracking'!$G$2:$G$2001))</f>
        <v/>
      </c>
      <c r="E7" s="18" t="str">
        <f>IF($A7="","",IF($C7=0,"",_xlfn.MAXIFS('Daily tracking'!$A$2:$A$2001,'Daily tracking'!$D$2:$D$2001,$A7)))</f>
        <v/>
      </c>
      <c r="F7" s="6" t="str">
        <f t="shared" ca="1" si="0"/>
        <v/>
      </c>
      <c r="G7" s="3" t="str">
        <f t="shared" si="1"/>
        <v/>
      </c>
      <c r="H7" s="9" t="str">
        <f t="shared" si="2"/>
        <v/>
      </c>
      <c r="I7" s="20"/>
      <c r="J7" s="20"/>
      <c r="K7" s="19"/>
      <c r="L7" s="19"/>
      <c r="M7" s="19"/>
      <c r="N7" s="15" t="str">
        <f t="shared" si="3"/>
        <v/>
      </c>
      <c r="O7" s="3" t="str">
        <f t="shared" si="4"/>
        <v/>
      </c>
      <c r="P7" s="6" t="str">
        <f t="shared" ca="1" si="5"/>
        <v/>
      </c>
      <c r="Q7" s="21" t="str">
        <f>IF($A7="","",IF($C7=0,"",_xlfn.MINIFS('Daily tracking'!$A$2:$A$2001,'Daily tracking'!$D$2:$D$2001,$A7)))</f>
        <v/>
      </c>
      <c r="R7" s="6" t="str">
        <f t="shared" si="6"/>
        <v/>
      </c>
    </row>
    <row r="8" spans="1:18" x14ac:dyDescent="0.3">
      <c r="A8" s="19"/>
      <c r="B8" s="19"/>
      <c r="C8" s="15" t="str">
        <f>IF($A8="","",COUNTIF('Daily tracking'!$D$2:$D$2001,$A8))</f>
        <v/>
      </c>
      <c r="D8" s="16" t="str">
        <f>IF($A8="","",SUMIF('Daily tracking'!$D$2:$D$2001,$A8,'Daily tracking'!$G$2:$G$2001))</f>
        <v/>
      </c>
      <c r="E8" s="18" t="str">
        <f>IF($A8="","",IF($C8=0,"",_xlfn.MAXIFS('Daily tracking'!$A$2:$A$2001,'Daily tracking'!$D$2:$D$2001,$A8)))</f>
        <v/>
      </c>
      <c r="F8" s="6" t="str">
        <f t="shared" ca="1" si="0"/>
        <v/>
      </c>
      <c r="G8" s="3" t="str">
        <f t="shared" si="1"/>
        <v/>
      </c>
      <c r="H8" s="9" t="str">
        <f t="shared" si="2"/>
        <v/>
      </c>
      <c r="I8" s="20"/>
      <c r="J8" s="20"/>
      <c r="K8" s="19"/>
      <c r="L8" s="19"/>
      <c r="M8" s="19"/>
      <c r="N8" s="15" t="str">
        <f t="shared" si="3"/>
        <v/>
      </c>
      <c r="O8" s="3" t="str">
        <f t="shared" si="4"/>
        <v/>
      </c>
      <c r="P8" s="6" t="str">
        <f t="shared" ca="1" si="5"/>
        <v/>
      </c>
      <c r="Q8" s="21" t="str">
        <f>IF($A8="","",IF($C8=0,"",_xlfn.MINIFS('Daily tracking'!$A$2:$A$2001,'Daily tracking'!$D$2:$D$2001,$A8)))</f>
        <v/>
      </c>
      <c r="R8" s="6" t="str">
        <f t="shared" si="6"/>
        <v/>
      </c>
    </row>
    <row r="9" spans="1:18" x14ac:dyDescent="0.3">
      <c r="A9" s="19"/>
      <c r="B9" s="19"/>
      <c r="C9" s="15" t="str">
        <f>IF($A9="","",COUNTIF('Daily tracking'!$D$2:$D$2001,$A9))</f>
        <v/>
      </c>
      <c r="D9" s="16" t="str">
        <f>IF($A9="","",SUMIF('Daily tracking'!$D$2:$D$2001,$A9,'Daily tracking'!$G$2:$G$2001))</f>
        <v/>
      </c>
      <c r="E9" s="18" t="str">
        <f>IF($A9="","",IF($C9=0,"",_xlfn.MAXIFS('Daily tracking'!$A$2:$A$2001,'Daily tracking'!$D$2:$D$2001,$A9)))</f>
        <v/>
      </c>
      <c r="F9" s="6" t="str">
        <f t="shared" ca="1" si="0"/>
        <v/>
      </c>
      <c r="G9" s="3" t="str">
        <f t="shared" si="1"/>
        <v/>
      </c>
      <c r="H9" s="9" t="str">
        <f t="shared" si="2"/>
        <v/>
      </c>
      <c r="I9" s="20"/>
      <c r="J9" s="20"/>
      <c r="K9" s="19"/>
      <c r="L9" s="19"/>
      <c r="M9" s="19"/>
      <c r="N9" s="15" t="str">
        <f t="shared" si="3"/>
        <v/>
      </c>
      <c r="O9" s="3" t="str">
        <f t="shared" si="4"/>
        <v/>
      </c>
      <c r="P9" s="6" t="str">
        <f t="shared" ca="1" si="5"/>
        <v/>
      </c>
      <c r="Q9" s="21" t="str">
        <f>IF($A9="","",IF($C9=0,"",_xlfn.MINIFS('Daily tracking'!$A$2:$A$2001,'Daily tracking'!$D$2:$D$2001,$A9)))</f>
        <v/>
      </c>
      <c r="R9" s="6" t="str">
        <f t="shared" si="6"/>
        <v/>
      </c>
    </row>
    <row r="10" spans="1:18" x14ac:dyDescent="0.3">
      <c r="A10" s="19"/>
      <c r="B10" s="19"/>
      <c r="C10" s="15" t="str">
        <f>IF($A10="","",COUNTIF('Daily tracking'!$D$2:$D$2001,$A10))</f>
        <v/>
      </c>
      <c r="D10" s="16" t="str">
        <f>IF($A10="","",SUMIF('Daily tracking'!$D$2:$D$2001,$A10,'Daily tracking'!$G$2:$G$2001))</f>
        <v/>
      </c>
      <c r="E10" s="18" t="str">
        <f>IF($A10="","",IF($C10=0,"",_xlfn.MAXIFS('Daily tracking'!$A$2:$A$2001,'Daily tracking'!$D$2:$D$2001,$A10)))</f>
        <v/>
      </c>
      <c r="F10" s="6" t="str">
        <f t="shared" ca="1" si="0"/>
        <v/>
      </c>
      <c r="G10" s="3" t="str">
        <f t="shared" si="1"/>
        <v/>
      </c>
      <c r="H10" s="9" t="str">
        <f t="shared" si="2"/>
        <v/>
      </c>
      <c r="I10" s="20"/>
      <c r="J10" s="20"/>
      <c r="K10" s="19"/>
      <c r="L10" s="19"/>
      <c r="M10" s="19"/>
      <c r="N10" s="15" t="str">
        <f t="shared" si="3"/>
        <v/>
      </c>
      <c r="O10" s="3" t="str">
        <f t="shared" si="4"/>
        <v/>
      </c>
      <c r="P10" s="6" t="str">
        <f t="shared" ca="1" si="5"/>
        <v/>
      </c>
      <c r="Q10" s="21" t="str">
        <f>IF($A10="","",IF($C10=0,"",_xlfn.MINIFS('Daily tracking'!$A$2:$A$2001,'Daily tracking'!$D$2:$D$2001,$A10)))</f>
        <v/>
      </c>
      <c r="R10" s="6" t="str">
        <f t="shared" si="6"/>
        <v/>
      </c>
    </row>
    <row r="11" spans="1:18" x14ac:dyDescent="0.3">
      <c r="A11" s="19"/>
      <c r="B11" s="19"/>
      <c r="C11" s="15" t="str">
        <f>IF($A11="","",COUNTIF('Daily tracking'!$D$2:$D$2001,$A11))</f>
        <v/>
      </c>
      <c r="D11" s="16" t="str">
        <f>IF($A11="","",SUMIF('Daily tracking'!$D$2:$D$2001,$A11,'Daily tracking'!$G$2:$G$2001))</f>
        <v/>
      </c>
      <c r="E11" s="18" t="str">
        <f>IF($A11="","",IF($C11=0,"",_xlfn.MAXIFS('Daily tracking'!$A$2:$A$2001,'Daily tracking'!$D$2:$D$2001,$A11)))</f>
        <v/>
      </c>
      <c r="F11" s="6" t="str">
        <f t="shared" ca="1" si="0"/>
        <v/>
      </c>
      <c r="G11" s="3" t="str">
        <f t="shared" si="1"/>
        <v/>
      </c>
      <c r="H11" s="9" t="str">
        <f t="shared" si="2"/>
        <v/>
      </c>
      <c r="I11" s="20"/>
      <c r="J11" s="20"/>
      <c r="K11" s="19"/>
      <c r="L11" s="19"/>
      <c r="M11" s="19"/>
      <c r="N11" s="15" t="str">
        <f t="shared" si="3"/>
        <v/>
      </c>
      <c r="O11" s="3" t="str">
        <f t="shared" si="4"/>
        <v/>
      </c>
      <c r="P11" s="6" t="str">
        <f t="shared" ca="1" si="5"/>
        <v/>
      </c>
      <c r="Q11" s="21" t="str">
        <f>IF($A11="","",IF($C11=0,"",_xlfn.MINIFS('Daily tracking'!$A$2:$A$2001,'Daily tracking'!$D$2:$D$2001,$A11)))</f>
        <v/>
      </c>
      <c r="R11" s="6" t="str">
        <f t="shared" si="6"/>
        <v/>
      </c>
    </row>
    <row r="12" spans="1:18" x14ac:dyDescent="0.3">
      <c r="A12" s="19"/>
      <c r="B12" s="19"/>
      <c r="C12" s="15" t="str">
        <f>IF($A12="","",COUNTIF('Daily tracking'!$D$2:$D$2001,$A12))</f>
        <v/>
      </c>
      <c r="D12" s="16" t="str">
        <f>IF($A12="","",SUMIF('Daily tracking'!$D$2:$D$2001,$A12,'Daily tracking'!$G$2:$G$2001))</f>
        <v/>
      </c>
      <c r="E12" s="18" t="str">
        <f>IF($A12="","",IF($C12=0,"",_xlfn.MAXIFS('Daily tracking'!$A$2:$A$2001,'Daily tracking'!$D$2:$D$2001,$A12)))</f>
        <v/>
      </c>
      <c r="F12" s="6" t="str">
        <f t="shared" ca="1" si="0"/>
        <v/>
      </c>
      <c r="G12" s="3" t="str">
        <f t="shared" si="1"/>
        <v/>
      </c>
      <c r="H12" s="9" t="str">
        <f t="shared" si="2"/>
        <v/>
      </c>
      <c r="I12" s="20"/>
      <c r="J12" s="20"/>
      <c r="K12" s="19"/>
      <c r="L12" s="19"/>
      <c r="M12" s="19"/>
      <c r="N12" s="15" t="str">
        <f t="shared" si="3"/>
        <v/>
      </c>
      <c r="O12" s="3" t="str">
        <f t="shared" si="4"/>
        <v/>
      </c>
      <c r="P12" s="6" t="str">
        <f t="shared" ca="1" si="5"/>
        <v/>
      </c>
      <c r="Q12" s="21" t="str">
        <f>IF($A12="","",IF($C12=0,"",_xlfn.MINIFS('Daily tracking'!$A$2:$A$2001,'Daily tracking'!$D$2:$D$2001,$A12)))</f>
        <v/>
      </c>
      <c r="R12" s="6" t="str">
        <f t="shared" si="6"/>
        <v/>
      </c>
    </row>
    <row r="13" spans="1:18" x14ac:dyDescent="0.3">
      <c r="A13" s="19"/>
      <c r="B13" s="19"/>
      <c r="C13" s="15" t="str">
        <f>IF($A13="","",COUNTIF('Daily tracking'!$D$2:$D$2001,$A13))</f>
        <v/>
      </c>
      <c r="D13" s="16" t="str">
        <f>IF($A13="","",SUMIF('Daily tracking'!$D$2:$D$2001,$A13,'Daily tracking'!$G$2:$G$2001))</f>
        <v/>
      </c>
      <c r="E13" s="18" t="str">
        <f>IF($A13="","",IF($C13=0,"",_xlfn.MAXIFS('Daily tracking'!$A$2:$A$2001,'Daily tracking'!$D$2:$D$2001,$A13)))</f>
        <v/>
      </c>
      <c r="F13" s="6" t="str">
        <f t="shared" ca="1" si="0"/>
        <v/>
      </c>
      <c r="G13" s="3" t="str">
        <f t="shared" si="1"/>
        <v/>
      </c>
      <c r="H13" s="9" t="str">
        <f t="shared" si="2"/>
        <v/>
      </c>
      <c r="I13" s="20"/>
      <c r="J13" s="20"/>
      <c r="K13" s="19"/>
      <c r="L13" s="19"/>
      <c r="M13" s="19"/>
      <c r="N13" s="15" t="str">
        <f t="shared" si="3"/>
        <v/>
      </c>
      <c r="O13" s="3" t="str">
        <f t="shared" si="4"/>
        <v/>
      </c>
      <c r="P13" s="6" t="str">
        <f t="shared" ca="1" si="5"/>
        <v/>
      </c>
      <c r="Q13" s="21" t="str">
        <f>IF($A13="","",IF($C13=0,"",_xlfn.MINIFS('Daily tracking'!$A$2:$A$2001,'Daily tracking'!$D$2:$D$2001,$A13)))</f>
        <v/>
      </c>
      <c r="R13" s="6" t="str">
        <f t="shared" si="6"/>
        <v/>
      </c>
    </row>
    <row r="14" spans="1:18" x14ac:dyDescent="0.3">
      <c r="A14" s="19"/>
      <c r="B14" s="19"/>
      <c r="C14" s="15" t="str">
        <f>IF($A14="","",COUNTIF('Daily tracking'!$D$2:$D$2001,$A14))</f>
        <v/>
      </c>
      <c r="D14" s="16" t="str">
        <f>IF($A14="","",SUMIF('Daily tracking'!$D$2:$D$2001,$A14,'Daily tracking'!$G$2:$G$2001))</f>
        <v/>
      </c>
      <c r="E14" s="18" t="str">
        <f>IF($A14="","",IF($C14=0,"",_xlfn.MAXIFS('Daily tracking'!$A$2:$A$2001,'Daily tracking'!$D$2:$D$2001,$A14)))</f>
        <v/>
      </c>
      <c r="F14" s="6" t="str">
        <f t="shared" ca="1" si="0"/>
        <v/>
      </c>
      <c r="G14" s="3" t="str">
        <f t="shared" si="1"/>
        <v/>
      </c>
      <c r="H14" s="9" t="str">
        <f t="shared" si="2"/>
        <v/>
      </c>
      <c r="I14" s="20"/>
      <c r="J14" s="20"/>
      <c r="K14" s="19"/>
      <c r="L14" s="19"/>
      <c r="M14" s="19"/>
      <c r="N14" s="15" t="str">
        <f t="shared" si="3"/>
        <v/>
      </c>
      <c r="O14" s="3" t="str">
        <f t="shared" si="4"/>
        <v/>
      </c>
      <c r="P14" s="6" t="str">
        <f t="shared" ca="1" si="5"/>
        <v/>
      </c>
      <c r="Q14" s="21" t="str">
        <f>IF($A14="","",IF($C14=0,"",_xlfn.MINIFS('Daily tracking'!$A$2:$A$2001,'Daily tracking'!$D$2:$D$2001,$A14)))</f>
        <v/>
      </c>
      <c r="R14" s="6" t="str">
        <f t="shared" si="6"/>
        <v/>
      </c>
    </row>
    <row r="15" spans="1:18" x14ac:dyDescent="0.3">
      <c r="A15" s="19"/>
      <c r="B15" s="19"/>
      <c r="C15" s="15" t="str">
        <f>IF($A15="","",COUNTIF('Daily tracking'!$D$2:$D$2001,$A15))</f>
        <v/>
      </c>
      <c r="D15" s="16" t="str">
        <f>IF($A15="","",SUMIF('Daily tracking'!$D$2:$D$2001,$A15,'Daily tracking'!$G$2:$G$2001))</f>
        <v/>
      </c>
      <c r="E15" s="18" t="str">
        <f>IF($A15="","",IF($C15=0,"",_xlfn.MAXIFS('Daily tracking'!$A$2:$A$2001,'Daily tracking'!$D$2:$D$2001,$A15)))</f>
        <v/>
      </c>
      <c r="F15" s="6" t="str">
        <f t="shared" ca="1" si="0"/>
        <v/>
      </c>
      <c r="G15" s="3" t="str">
        <f t="shared" si="1"/>
        <v/>
      </c>
      <c r="H15" s="9" t="str">
        <f t="shared" si="2"/>
        <v/>
      </c>
      <c r="I15" s="20"/>
      <c r="J15" s="20"/>
      <c r="K15" s="19"/>
      <c r="L15" s="19"/>
      <c r="M15" s="19"/>
      <c r="N15" s="15" t="str">
        <f t="shared" si="3"/>
        <v/>
      </c>
      <c r="O15" s="3" t="str">
        <f t="shared" si="4"/>
        <v/>
      </c>
      <c r="P15" s="6" t="str">
        <f t="shared" ca="1" si="5"/>
        <v/>
      </c>
      <c r="Q15" s="21" t="str">
        <f>IF($A15="","",IF($C15=0,"",_xlfn.MINIFS('Daily tracking'!$A$2:$A$2001,'Daily tracking'!$D$2:$D$2001,$A15)))</f>
        <v/>
      </c>
      <c r="R15" s="6" t="str">
        <f t="shared" si="6"/>
        <v/>
      </c>
    </row>
    <row r="16" spans="1:18" x14ac:dyDescent="0.3">
      <c r="A16" s="19"/>
      <c r="B16" s="19"/>
      <c r="C16" s="15" t="str">
        <f>IF($A16="","",COUNTIF('Daily tracking'!$D$2:$D$2001,$A16))</f>
        <v/>
      </c>
      <c r="D16" s="16" t="str">
        <f>IF($A16="","",SUMIF('Daily tracking'!$D$2:$D$2001,$A16,'Daily tracking'!$G$2:$G$2001))</f>
        <v/>
      </c>
      <c r="E16" s="18" t="str">
        <f>IF($A16="","",IF($C16=0,"",_xlfn.MAXIFS('Daily tracking'!$A$2:$A$2001,'Daily tracking'!$D$2:$D$2001,$A16)))</f>
        <v/>
      </c>
      <c r="F16" s="6" t="str">
        <f t="shared" ca="1" si="0"/>
        <v/>
      </c>
      <c r="G16" s="3" t="str">
        <f t="shared" si="1"/>
        <v/>
      </c>
      <c r="H16" s="9" t="str">
        <f t="shared" si="2"/>
        <v/>
      </c>
      <c r="I16" s="20"/>
      <c r="J16" s="20"/>
      <c r="K16" s="19"/>
      <c r="L16" s="19"/>
      <c r="M16" s="19"/>
      <c r="N16" s="15" t="str">
        <f t="shared" si="3"/>
        <v/>
      </c>
      <c r="O16" s="3" t="str">
        <f t="shared" si="4"/>
        <v/>
      </c>
      <c r="P16" s="6" t="str">
        <f t="shared" ca="1" si="5"/>
        <v/>
      </c>
      <c r="Q16" s="21" t="str">
        <f>IF($A16="","",IF($C16=0,"",_xlfn.MINIFS('Daily tracking'!$A$2:$A$2001,'Daily tracking'!$D$2:$D$2001,$A16)))</f>
        <v/>
      </c>
      <c r="R16" s="6" t="str">
        <f t="shared" si="6"/>
        <v/>
      </c>
    </row>
    <row r="17" spans="1:18" x14ac:dyDescent="0.3">
      <c r="A17" s="19"/>
      <c r="B17" s="19"/>
      <c r="C17" s="15" t="str">
        <f>IF($A17="","",COUNTIF('Daily tracking'!$D$2:$D$2001,$A17))</f>
        <v/>
      </c>
      <c r="D17" s="16" t="str">
        <f>IF($A17="","",SUMIF('Daily tracking'!$D$2:$D$2001,$A17,'Daily tracking'!$G$2:$G$2001))</f>
        <v/>
      </c>
      <c r="E17" s="18" t="str">
        <f>IF($A17="","",IF($C17=0,"",_xlfn.MAXIFS('Daily tracking'!$A$2:$A$2001,'Daily tracking'!$D$2:$D$2001,$A17)))</f>
        <v/>
      </c>
      <c r="F17" s="6" t="str">
        <f t="shared" ca="1" si="0"/>
        <v/>
      </c>
      <c r="G17" s="3" t="str">
        <f t="shared" si="1"/>
        <v/>
      </c>
      <c r="H17" s="9" t="str">
        <f t="shared" si="2"/>
        <v/>
      </c>
      <c r="I17" s="20"/>
      <c r="J17" s="20"/>
      <c r="K17" s="19"/>
      <c r="L17" s="19"/>
      <c r="M17" s="19"/>
      <c r="N17" s="15" t="str">
        <f t="shared" si="3"/>
        <v/>
      </c>
      <c r="O17" s="3" t="str">
        <f t="shared" si="4"/>
        <v/>
      </c>
      <c r="P17" s="6" t="str">
        <f t="shared" ca="1" si="5"/>
        <v/>
      </c>
      <c r="Q17" s="21" t="str">
        <f>IF($A17="","",IF($C17=0,"",_xlfn.MINIFS('Daily tracking'!$A$2:$A$2001,'Daily tracking'!$D$2:$D$2001,$A17)))</f>
        <v/>
      </c>
      <c r="R17" s="6" t="str">
        <f t="shared" si="6"/>
        <v/>
      </c>
    </row>
    <row r="18" spans="1:18" x14ac:dyDescent="0.3">
      <c r="A18" s="19"/>
      <c r="B18" s="19"/>
      <c r="C18" s="15" t="str">
        <f>IF($A18="","",COUNTIF('Daily tracking'!$D$2:$D$2001,$A18))</f>
        <v/>
      </c>
      <c r="D18" s="16" t="str">
        <f>IF($A18="","",SUMIF('Daily tracking'!$D$2:$D$2001,$A18,'Daily tracking'!$G$2:$G$2001))</f>
        <v/>
      </c>
      <c r="E18" s="18" t="str">
        <f>IF($A18="","",IF($C18=0,"",_xlfn.MAXIFS('Daily tracking'!$A$2:$A$2001,'Daily tracking'!$D$2:$D$2001,$A18)))</f>
        <v/>
      </c>
      <c r="F18" s="6" t="str">
        <f t="shared" ca="1" si="0"/>
        <v/>
      </c>
      <c r="G18" s="3" t="str">
        <f t="shared" si="1"/>
        <v/>
      </c>
      <c r="H18" s="9" t="str">
        <f t="shared" si="2"/>
        <v/>
      </c>
      <c r="I18" s="20"/>
      <c r="J18" s="20"/>
      <c r="K18" s="19"/>
      <c r="L18" s="19"/>
      <c r="M18" s="19"/>
      <c r="N18" s="15" t="str">
        <f t="shared" si="3"/>
        <v/>
      </c>
      <c r="O18" s="3" t="str">
        <f t="shared" si="4"/>
        <v/>
      </c>
      <c r="P18" s="6" t="str">
        <f t="shared" ca="1" si="5"/>
        <v/>
      </c>
      <c r="Q18" s="21" t="str">
        <f>IF($A18="","",IF($C18=0,"",_xlfn.MINIFS('Daily tracking'!$A$2:$A$2001,'Daily tracking'!$D$2:$D$2001,$A18)))</f>
        <v/>
      </c>
      <c r="R18" s="6" t="str">
        <f t="shared" si="6"/>
        <v/>
      </c>
    </row>
    <row r="19" spans="1:18" x14ac:dyDescent="0.3">
      <c r="A19" s="19"/>
      <c r="B19" s="19"/>
      <c r="C19" s="15" t="str">
        <f>IF($A19="","",COUNTIF('Daily tracking'!$D$2:$D$2001,$A19))</f>
        <v/>
      </c>
      <c r="D19" s="16" t="str">
        <f>IF($A19="","",SUMIF('Daily tracking'!$D$2:$D$2001,$A19,'Daily tracking'!$G$2:$G$2001))</f>
        <v/>
      </c>
      <c r="E19" s="18" t="str">
        <f>IF($A19="","",IF($C19=0,"",_xlfn.MAXIFS('Daily tracking'!$A$2:$A$2001,'Daily tracking'!$D$2:$D$2001,$A19)))</f>
        <v/>
      </c>
      <c r="F19" s="6" t="str">
        <f t="shared" ca="1" si="0"/>
        <v/>
      </c>
      <c r="G19" s="3" t="str">
        <f t="shared" si="1"/>
        <v/>
      </c>
      <c r="H19" s="9" t="str">
        <f t="shared" si="2"/>
        <v/>
      </c>
      <c r="I19" s="20"/>
      <c r="J19" s="20"/>
      <c r="K19" s="19"/>
      <c r="L19" s="19"/>
      <c r="M19" s="19"/>
      <c r="N19" s="15" t="str">
        <f t="shared" si="3"/>
        <v/>
      </c>
      <c r="O19" s="3" t="str">
        <f t="shared" si="4"/>
        <v/>
      </c>
      <c r="P19" s="6" t="str">
        <f t="shared" ca="1" si="5"/>
        <v/>
      </c>
      <c r="Q19" s="21" t="str">
        <f>IF($A19="","",IF($C19=0,"",_xlfn.MINIFS('Daily tracking'!$A$2:$A$2001,'Daily tracking'!$D$2:$D$2001,$A19)))</f>
        <v/>
      </c>
      <c r="R19" s="6" t="str">
        <f t="shared" si="6"/>
        <v/>
      </c>
    </row>
    <row r="20" spans="1:18" x14ac:dyDescent="0.3">
      <c r="A20" s="19"/>
      <c r="B20" s="19"/>
      <c r="C20" s="15" t="str">
        <f>IF($A20="","",COUNTIF('Daily tracking'!$D$2:$D$2001,$A20))</f>
        <v/>
      </c>
      <c r="D20" s="16" t="str">
        <f>IF($A20="","",SUMIF('Daily tracking'!$D$2:$D$2001,$A20,'Daily tracking'!$G$2:$G$2001))</f>
        <v/>
      </c>
      <c r="E20" s="18" t="str">
        <f>IF($A20="","",IF($C20=0,"",_xlfn.MAXIFS('Daily tracking'!$A$2:$A$2001,'Daily tracking'!$D$2:$D$2001,$A20)))</f>
        <v/>
      </c>
      <c r="F20" s="6" t="str">
        <f t="shared" ca="1" si="0"/>
        <v/>
      </c>
      <c r="G20" s="3" t="str">
        <f t="shared" si="1"/>
        <v/>
      </c>
      <c r="H20" s="9" t="str">
        <f t="shared" si="2"/>
        <v/>
      </c>
      <c r="I20" s="20"/>
      <c r="J20" s="20"/>
      <c r="K20" s="19"/>
      <c r="L20" s="19"/>
      <c r="M20" s="19"/>
      <c r="N20" s="15" t="str">
        <f t="shared" si="3"/>
        <v/>
      </c>
      <c r="O20" s="3" t="str">
        <f t="shared" si="4"/>
        <v/>
      </c>
      <c r="P20" s="6" t="str">
        <f t="shared" ca="1" si="5"/>
        <v/>
      </c>
      <c r="Q20" s="21" t="str">
        <f>IF($A20="","",IF($C20=0,"",_xlfn.MINIFS('Daily tracking'!$A$2:$A$2001,'Daily tracking'!$D$2:$D$2001,$A20)))</f>
        <v/>
      </c>
      <c r="R20" s="6" t="str">
        <f t="shared" si="6"/>
        <v/>
      </c>
    </row>
    <row r="21" spans="1:18" x14ac:dyDescent="0.3">
      <c r="A21" s="19"/>
      <c r="B21" s="19"/>
      <c r="C21" s="15" t="str">
        <f>IF($A21="","",COUNTIF('Daily tracking'!$D$2:$D$2001,$A21))</f>
        <v/>
      </c>
      <c r="D21" s="16" t="str">
        <f>IF($A21="","",SUMIF('Daily tracking'!$D$2:$D$2001,$A21,'Daily tracking'!$G$2:$G$2001))</f>
        <v/>
      </c>
      <c r="E21" s="18" t="str">
        <f>IF($A21="","",IF($C21=0,"",_xlfn.MAXIFS('Daily tracking'!$A$2:$A$2001,'Daily tracking'!$D$2:$D$2001,$A21)))</f>
        <v/>
      </c>
      <c r="F21" s="6" t="str">
        <f t="shared" ca="1" si="0"/>
        <v/>
      </c>
      <c r="G21" s="3" t="str">
        <f t="shared" si="1"/>
        <v/>
      </c>
      <c r="H21" s="9" t="str">
        <f t="shared" si="2"/>
        <v/>
      </c>
      <c r="I21" s="20"/>
      <c r="J21" s="20"/>
      <c r="K21" s="19"/>
      <c r="L21" s="19"/>
      <c r="M21" s="19"/>
      <c r="N21" s="15" t="str">
        <f t="shared" si="3"/>
        <v/>
      </c>
      <c r="O21" s="3" t="str">
        <f t="shared" si="4"/>
        <v/>
      </c>
      <c r="P21" s="6" t="str">
        <f t="shared" ca="1" si="5"/>
        <v/>
      </c>
      <c r="Q21" s="21" t="str">
        <f>IF($A21="","",IF($C21=0,"",_xlfn.MINIFS('Daily tracking'!$A$2:$A$2001,'Daily tracking'!$D$2:$D$2001,$A21)))</f>
        <v/>
      </c>
      <c r="R21" s="6" t="str">
        <f t="shared" si="6"/>
        <v/>
      </c>
    </row>
    <row r="22" spans="1:18" x14ac:dyDescent="0.3">
      <c r="A22" s="19"/>
      <c r="B22" s="19"/>
      <c r="C22" s="15" t="str">
        <f>IF($A22="","",COUNTIF('Daily tracking'!$D$2:$D$2001,$A22))</f>
        <v/>
      </c>
      <c r="D22" s="16" t="str">
        <f>IF($A22="","",SUMIF('Daily tracking'!$D$2:$D$2001,$A22,'Daily tracking'!$G$2:$G$2001))</f>
        <v/>
      </c>
      <c r="E22" s="18" t="str">
        <f>IF($A22="","",IF($C22=0,"",_xlfn.MAXIFS('Daily tracking'!$A$2:$A$2001,'Daily tracking'!$D$2:$D$2001,$A22)))</f>
        <v/>
      </c>
      <c r="F22" s="6" t="str">
        <f t="shared" ca="1" si="0"/>
        <v/>
      </c>
      <c r="G22" s="3" t="str">
        <f t="shared" si="1"/>
        <v/>
      </c>
      <c r="H22" s="9" t="str">
        <f t="shared" si="2"/>
        <v/>
      </c>
      <c r="I22" s="20"/>
      <c r="J22" s="20"/>
      <c r="K22" s="19"/>
      <c r="L22" s="19"/>
      <c r="M22" s="19"/>
      <c r="N22" s="15" t="str">
        <f t="shared" si="3"/>
        <v/>
      </c>
      <c r="O22" s="3" t="str">
        <f t="shared" si="4"/>
        <v/>
      </c>
      <c r="P22" s="6" t="str">
        <f t="shared" ca="1" si="5"/>
        <v/>
      </c>
      <c r="Q22" s="21" t="str">
        <f>IF($A22="","",IF($C22=0,"",_xlfn.MINIFS('Daily tracking'!$A$2:$A$2001,'Daily tracking'!$D$2:$D$2001,$A22)))</f>
        <v/>
      </c>
      <c r="R22" s="6" t="str">
        <f t="shared" si="6"/>
        <v/>
      </c>
    </row>
    <row r="23" spans="1:18" x14ac:dyDescent="0.3">
      <c r="A23" s="19"/>
      <c r="B23" s="19"/>
      <c r="C23" s="15" t="str">
        <f>IF($A23="","",COUNTIF('Daily tracking'!$D$2:$D$2001,$A23))</f>
        <v/>
      </c>
      <c r="D23" s="16" t="str">
        <f>IF($A23="","",SUMIF('Daily tracking'!$D$2:$D$2001,$A23,'Daily tracking'!$G$2:$G$2001))</f>
        <v/>
      </c>
      <c r="E23" s="18" t="str">
        <f>IF($A23="","",IF($C23=0,"",_xlfn.MAXIFS('Daily tracking'!$A$2:$A$2001,'Daily tracking'!$D$2:$D$2001,$A23)))</f>
        <v/>
      </c>
      <c r="F23" s="6" t="str">
        <f t="shared" ca="1" si="0"/>
        <v/>
      </c>
      <c r="G23" s="3" t="str">
        <f t="shared" si="1"/>
        <v/>
      </c>
      <c r="H23" s="9" t="str">
        <f t="shared" si="2"/>
        <v/>
      </c>
      <c r="I23" s="20"/>
      <c r="J23" s="20"/>
      <c r="K23" s="19"/>
      <c r="L23" s="19"/>
      <c r="M23" s="19"/>
      <c r="N23" s="15" t="str">
        <f t="shared" si="3"/>
        <v/>
      </c>
      <c r="O23" s="3" t="str">
        <f t="shared" si="4"/>
        <v/>
      </c>
      <c r="P23" s="6" t="str">
        <f t="shared" ca="1" si="5"/>
        <v/>
      </c>
      <c r="Q23" s="21" t="str">
        <f>IF($A23="","",IF($C23=0,"",_xlfn.MINIFS('Daily tracking'!$A$2:$A$2001,'Daily tracking'!$D$2:$D$2001,$A23)))</f>
        <v/>
      </c>
      <c r="R23" s="6" t="str">
        <f t="shared" si="6"/>
        <v/>
      </c>
    </row>
    <row r="24" spans="1:18" x14ac:dyDescent="0.3">
      <c r="A24" s="19"/>
      <c r="B24" s="19"/>
      <c r="C24" s="15" t="str">
        <f>IF($A24="","",COUNTIF('Daily tracking'!$D$2:$D$2001,$A24))</f>
        <v/>
      </c>
      <c r="D24" s="16" t="str">
        <f>IF($A24="","",SUMIF('Daily tracking'!$D$2:$D$2001,$A24,'Daily tracking'!$G$2:$G$2001))</f>
        <v/>
      </c>
      <c r="E24" s="18" t="str">
        <f>IF($A24="","",IF($C24=0,"",_xlfn.MAXIFS('Daily tracking'!$A$2:$A$2001,'Daily tracking'!$D$2:$D$2001,$A24)))</f>
        <v/>
      </c>
      <c r="F24" s="6" t="str">
        <f t="shared" ca="1" si="0"/>
        <v/>
      </c>
      <c r="G24" s="3" t="str">
        <f t="shared" si="1"/>
        <v/>
      </c>
      <c r="H24" s="9" t="str">
        <f t="shared" si="2"/>
        <v/>
      </c>
      <c r="I24" s="20"/>
      <c r="J24" s="20"/>
      <c r="K24" s="19"/>
      <c r="L24" s="19"/>
      <c r="M24" s="19"/>
      <c r="N24" s="15" t="str">
        <f t="shared" si="3"/>
        <v/>
      </c>
      <c r="O24" s="3" t="str">
        <f t="shared" si="4"/>
        <v/>
      </c>
      <c r="P24" s="6" t="str">
        <f t="shared" ca="1" si="5"/>
        <v/>
      </c>
      <c r="Q24" s="21" t="str">
        <f>IF($A24="","",IF($C24=0,"",_xlfn.MINIFS('Daily tracking'!$A$2:$A$2001,'Daily tracking'!$D$2:$D$2001,$A24)))</f>
        <v/>
      </c>
      <c r="R24" s="6" t="str">
        <f t="shared" si="6"/>
        <v/>
      </c>
    </row>
    <row r="25" spans="1:18" x14ac:dyDescent="0.3">
      <c r="A25" s="19"/>
      <c r="B25" s="19"/>
      <c r="C25" s="15" t="str">
        <f>IF($A25="","",COUNTIF('Daily tracking'!$D$2:$D$2001,$A25))</f>
        <v/>
      </c>
      <c r="D25" s="16" t="str">
        <f>IF($A25="","",SUMIF('Daily tracking'!$D$2:$D$2001,$A25,'Daily tracking'!$G$2:$G$2001))</f>
        <v/>
      </c>
      <c r="E25" s="18" t="str">
        <f>IF($A25="","",IF($C25=0,"",_xlfn.MAXIFS('Daily tracking'!$A$2:$A$2001,'Daily tracking'!$D$2:$D$2001,$A25)))</f>
        <v/>
      </c>
      <c r="F25" s="6" t="str">
        <f t="shared" ca="1" si="0"/>
        <v/>
      </c>
      <c r="G25" s="3" t="str">
        <f t="shared" si="1"/>
        <v/>
      </c>
      <c r="H25" s="9" t="str">
        <f t="shared" si="2"/>
        <v/>
      </c>
      <c r="I25" s="20"/>
      <c r="J25" s="20"/>
      <c r="K25" s="19"/>
      <c r="L25" s="19"/>
      <c r="M25" s="19"/>
      <c r="N25" s="15" t="str">
        <f t="shared" si="3"/>
        <v/>
      </c>
      <c r="O25" s="3" t="str">
        <f t="shared" si="4"/>
        <v/>
      </c>
      <c r="P25" s="6" t="str">
        <f t="shared" ca="1" si="5"/>
        <v/>
      </c>
      <c r="Q25" s="21" t="str">
        <f>IF($A25="","",IF($C25=0,"",_xlfn.MINIFS('Daily tracking'!$A$2:$A$2001,'Daily tracking'!$D$2:$D$2001,$A25)))</f>
        <v/>
      </c>
      <c r="R25" s="6" t="str">
        <f t="shared" si="6"/>
        <v/>
      </c>
    </row>
    <row r="26" spans="1:18" x14ac:dyDescent="0.3">
      <c r="A26" s="19"/>
      <c r="B26" s="19"/>
      <c r="C26" s="15" t="str">
        <f>IF($A26="","",COUNTIF('Daily tracking'!$D$2:$D$2001,$A26))</f>
        <v/>
      </c>
      <c r="D26" s="16" t="str">
        <f>IF($A26="","",SUMIF('Daily tracking'!$D$2:$D$2001,$A26,'Daily tracking'!$G$2:$G$2001))</f>
        <v/>
      </c>
      <c r="E26" s="18" t="str">
        <f>IF($A26="","",IF($C26=0,"",_xlfn.MAXIFS('Daily tracking'!$A$2:$A$2001,'Daily tracking'!$D$2:$D$2001,$A26)))</f>
        <v/>
      </c>
      <c r="F26" s="6" t="str">
        <f t="shared" ca="1" si="0"/>
        <v/>
      </c>
      <c r="G26" s="3" t="str">
        <f t="shared" si="1"/>
        <v/>
      </c>
      <c r="H26" s="9" t="str">
        <f t="shared" si="2"/>
        <v/>
      </c>
      <c r="I26" s="20"/>
      <c r="J26" s="20"/>
      <c r="K26" s="19"/>
      <c r="L26" s="19"/>
      <c r="M26" s="19"/>
      <c r="N26" s="15" t="str">
        <f t="shared" si="3"/>
        <v/>
      </c>
      <c r="O26" s="3" t="str">
        <f t="shared" si="4"/>
        <v/>
      </c>
      <c r="P26" s="6" t="str">
        <f t="shared" ca="1" si="5"/>
        <v/>
      </c>
      <c r="Q26" s="21" t="str">
        <f>IF($A26="","",IF($C26=0,"",_xlfn.MINIFS('Daily tracking'!$A$2:$A$2001,'Daily tracking'!$D$2:$D$2001,$A26)))</f>
        <v/>
      </c>
      <c r="R26" s="6" t="str">
        <f t="shared" si="6"/>
        <v/>
      </c>
    </row>
    <row r="27" spans="1:18" x14ac:dyDescent="0.3">
      <c r="A27" s="19"/>
      <c r="B27" s="19"/>
      <c r="C27" s="15" t="str">
        <f>IF($A27="","",COUNTIF('Daily tracking'!$D$2:$D$2001,$A27))</f>
        <v/>
      </c>
      <c r="D27" s="16" t="str">
        <f>IF($A27="","",SUMIF('Daily tracking'!$D$2:$D$2001,$A27,'Daily tracking'!$G$2:$G$2001))</f>
        <v/>
      </c>
      <c r="E27" s="18" t="str">
        <f>IF($A27="","",IF($C27=0,"",_xlfn.MAXIFS('Daily tracking'!$A$2:$A$2001,'Daily tracking'!$D$2:$D$2001,$A27)))</f>
        <v/>
      </c>
      <c r="F27" s="6" t="str">
        <f t="shared" ca="1" si="0"/>
        <v/>
      </c>
      <c r="G27" s="3" t="str">
        <f t="shared" si="1"/>
        <v/>
      </c>
      <c r="H27" s="9" t="str">
        <f t="shared" si="2"/>
        <v/>
      </c>
      <c r="I27" s="20"/>
      <c r="J27" s="20"/>
      <c r="K27" s="19"/>
      <c r="L27" s="19"/>
      <c r="M27" s="19"/>
      <c r="N27" s="15" t="str">
        <f t="shared" si="3"/>
        <v/>
      </c>
      <c r="O27" s="3" t="str">
        <f t="shared" si="4"/>
        <v/>
      </c>
      <c r="P27" s="6" t="str">
        <f t="shared" ca="1" si="5"/>
        <v/>
      </c>
      <c r="Q27" s="21" t="str">
        <f>IF($A27="","",IF($C27=0,"",_xlfn.MINIFS('Daily tracking'!$A$2:$A$2001,'Daily tracking'!$D$2:$D$2001,$A27)))</f>
        <v/>
      </c>
      <c r="R27" s="6" t="str">
        <f t="shared" si="6"/>
        <v/>
      </c>
    </row>
    <row r="28" spans="1:18" x14ac:dyDescent="0.3">
      <c r="A28" s="19"/>
      <c r="B28" s="19"/>
      <c r="C28" s="15" t="str">
        <f>IF($A28="","",COUNTIF('Daily tracking'!$D$2:$D$2001,$A28))</f>
        <v/>
      </c>
      <c r="D28" s="16" t="str">
        <f>IF($A28="","",SUMIF('Daily tracking'!$D$2:$D$2001,$A28,'Daily tracking'!$G$2:$G$2001))</f>
        <v/>
      </c>
      <c r="E28" s="18" t="str">
        <f>IF($A28="","",IF($C28=0,"",_xlfn.MAXIFS('Daily tracking'!$A$2:$A$2001,'Daily tracking'!$D$2:$D$2001,$A28)))</f>
        <v/>
      </c>
      <c r="F28" s="6" t="str">
        <f t="shared" ca="1" si="0"/>
        <v/>
      </c>
      <c r="G28" s="3" t="str">
        <f t="shared" si="1"/>
        <v/>
      </c>
      <c r="H28" s="9" t="str">
        <f t="shared" si="2"/>
        <v/>
      </c>
      <c r="I28" s="20"/>
      <c r="J28" s="20"/>
      <c r="K28" s="19"/>
      <c r="L28" s="19"/>
      <c r="M28" s="19"/>
      <c r="N28" s="15" t="str">
        <f t="shared" si="3"/>
        <v/>
      </c>
      <c r="O28" s="3" t="str">
        <f t="shared" si="4"/>
        <v/>
      </c>
      <c r="P28" s="6" t="str">
        <f t="shared" ca="1" si="5"/>
        <v/>
      </c>
      <c r="Q28" s="21" t="str">
        <f>IF($A28="","",IF($C28=0,"",_xlfn.MINIFS('Daily tracking'!$A$2:$A$2001,'Daily tracking'!$D$2:$D$2001,$A28)))</f>
        <v/>
      </c>
      <c r="R28" s="6" t="str">
        <f t="shared" si="6"/>
        <v/>
      </c>
    </row>
    <row r="29" spans="1:18" x14ac:dyDescent="0.3">
      <c r="A29" s="19"/>
      <c r="B29" s="19"/>
      <c r="C29" s="15" t="str">
        <f>IF($A29="","",COUNTIF('Daily tracking'!$D$2:$D$2001,$A29))</f>
        <v/>
      </c>
      <c r="D29" s="16" t="str">
        <f>IF($A29="","",SUMIF('Daily tracking'!$D$2:$D$2001,$A29,'Daily tracking'!$G$2:$G$2001))</f>
        <v/>
      </c>
      <c r="E29" s="18" t="str">
        <f>IF($A29="","",IF($C29=0,"",_xlfn.MAXIFS('Daily tracking'!$A$2:$A$2001,'Daily tracking'!$D$2:$D$2001,$A29)))</f>
        <v/>
      </c>
      <c r="F29" s="6" t="str">
        <f t="shared" ca="1" si="0"/>
        <v/>
      </c>
      <c r="G29" s="3" t="str">
        <f t="shared" si="1"/>
        <v/>
      </c>
      <c r="H29" s="9" t="str">
        <f t="shared" si="2"/>
        <v/>
      </c>
      <c r="I29" s="20"/>
      <c r="J29" s="20"/>
      <c r="K29" s="19"/>
      <c r="L29" s="19"/>
      <c r="M29" s="19"/>
      <c r="N29" s="15" t="str">
        <f t="shared" si="3"/>
        <v/>
      </c>
      <c r="O29" s="3" t="str">
        <f t="shared" si="4"/>
        <v/>
      </c>
      <c r="P29" s="6" t="str">
        <f t="shared" ca="1" si="5"/>
        <v/>
      </c>
      <c r="Q29" s="21" t="str">
        <f>IF($A29="","",IF($C29=0,"",_xlfn.MINIFS('Daily tracking'!$A$2:$A$2001,'Daily tracking'!$D$2:$D$2001,$A29)))</f>
        <v/>
      </c>
      <c r="R29" s="6" t="str">
        <f t="shared" si="6"/>
        <v/>
      </c>
    </row>
    <row r="30" spans="1:18" x14ac:dyDescent="0.3">
      <c r="A30" s="19"/>
      <c r="B30" s="19"/>
      <c r="C30" s="15" t="str">
        <f>IF($A30="","",COUNTIF('Daily tracking'!$D$2:$D$2001,$A30))</f>
        <v/>
      </c>
      <c r="D30" s="16" t="str">
        <f>IF($A30="","",SUMIF('Daily tracking'!$D$2:$D$2001,$A30,'Daily tracking'!$G$2:$G$2001))</f>
        <v/>
      </c>
      <c r="E30" s="18" t="str">
        <f>IF($A30="","",IF($C30=0,"",_xlfn.MAXIFS('Daily tracking'!$A$2:$A$2001,'Daily tracking'!$D$2:$D$2001,$A30)))</f>
        <v/>
      </c>
      <c r="F30" s="6" t="str">
        <f t="shared" ca="1" si="0"/>
        <v/>
      </c>
      <c r="G30" s="3" t="str">
        <f t="shared" si="1"/>
        <v/>
      </c>
      <c r="H30" s="9" t="str">
        <f t="shared" si="2"/>
        <v/>
      </c>
      <c r="I30" s="20"/>
      <c r="J30" s="20"/>
      <c r="K30" s="19"/>
      <c r="L30" s="19"/>
      <c r="M30" s="19"/>
      <c r="N30" s="15" t="str">
        <f t="shared" si="3"/>
        <v/>
      </c>
      <c r="O30" s="3" t="str">
        <f t="shared" si="4"/>
        <v/>
      </c>
      <c r="P30" s="6" t="str">
        <f t="shared" ca="1" si="5"/>
        <v/>
      </c>
      <c r="Q30" s="21" t="str">
        <f>IF($A30="","",IF($C30=0,"",_xlfn.MINIFS('Daily tracking'!$A$2:$A$2001,'Daily tracking'!$D$2:$D$2001,$A30)))</f>
        <v/>
      </c>
      <c r="R30" s="6" t="str">
        <f t="shared" si="6"/>
        <v/>
      </c>
    </row>
    <row r="31" spans="1:18" x14ac:dyDescent="0.3">
      <c r="A31" s="19"/>
      <c r="B31" s="19"/>
      <c r="C31" s="15" t="str">
        <f>IF($A31="","",COUNTIF('Daily tracking'!$D$2:$D$2001,$A31))</f>
        <v/>
      </c>
      <c r="D31" s="16" t="str">
        <f>IF($A31="","",SUMIF('Daily tracking'!$D$2:$D$2001,$A31,'Daily tracking'!$G$2:$G$2001))</f>
        <v/>
      </c>
      <c r="E31" s="18" t="str">
        <f>IF($A31="","",IF($C31=0,"",_xlfn.MAXIFS('Daily tracking'!$A$2:$A$2001,'Daily tracking'!$D$2:$D$2001,$A31)))</f>
        <v/>
      </c>
      <c r="F31" s="6" t="str">
        <f t="shared" ca="1" si="0"/>
        <v/>
      </c>
      <c r="G31" s="3" t="str">
        <f t="shared" si="1"/>
        <v/>
      </c>
      <c r="H31" s="9" t="str">
        <f t="shared" si="2"/>
        <v/>
      </c>
      <c r="I31" s="20"/>
      <c r="J31" s="20"/>
      <c r="K31" s="19"/>
      <c r="L31" s="19"/>
      <c r="M31" s="19"/>
      <c r="N31" s="15" t="str">
        <f t="shared" si="3"/>
        <v/>
      </c>
      <c r="O31" s="3" t="str">
        <f t="shared" si="4"/>
        <v/>
      </c>
      <c r="P31" s="6" t="str">
        <f t="shared" ca="1" si="5"/>
        <v/>
      </c>
      <c r="Q31" s="21" t="str">
        <f>IF($A31="","",IF($C31=0,"",_xlfn.MINIFS('Daily tracking'!$A$2:$A$2001,'Daily tracking'!$D$2:$D$2001,$A31)))</f>
        <v/>
      </c>
      <c r="R31" s="6" t="str">
        <f t="shared" si="6"/>
        <v/>
      </c>
    </row>
    <row r="32" spans="1:18" x14ac:dyDescent="0.3">
      <c r="A32" s="19"/>
      <c r="B32" s="19"/>
      <c r="C32" s="15" t="str">
        <f>IF($A32="","",COUNTIF('Daily tracking'!$D$2:$D$2001,$A32))</f>
        <v/>
      </c>
      <c r="D32" s="16" t="str">
        <f>IF($A32="","",SUMIF('Daily tracking'!$D$2:$D$2001,$A32,'Daily tracking'!$G$2:$G$2001))</f>
        <v/>
      </c>
      <c r="E32" s="18" t="str">
        <f>IF($A32="","",IF($C32=0,"",_xlfn.MAXIFS('Daily tracking'!$A$2:$A$2001,'Daily tracking'!$D$2:$D$2001,$A32)))</f>
        <v/>
      </c>
      <c r="F32" s="6" t="str">
        <f t="shared" ca="1" si="0"/>
        <v/>
      </c>
      <c r="G32" s="3" t="str">
        <f t="shared" si="1"/>
        <v/>
      </c>
      <c r="H32" s="9" t="str">
        <f t="shared" si="2"/>
        <v/>
      </c>
      <c r="I32" s="20"/>
      <c r="J32" s="20"/>
      <c r="K32" s="19"/>
      <c r="L32" s="19"/>
      <c r="M32" s="19"/>
      <c r="N32" s="15" t="str">
        <f t="shared" si="3"/>
        <v/>
      </c>
      <c r="O32" s="3" t="str">
        <f t="shared" si="4"/>
        <v/>
      </c>
      <c r="P32" s="6" t="str">
        <f t="shared" ca="1" si="5"/>
        <v/>
      </c>
      <c r="Q32" s="21" t="str">
        <f>IF($A32="","",IF($C32=0,"",_xlfn.MINIFS('Daily tracking'!$A$2:$A$2001,'Daily tracking'!$D$2:$D$2001,$A32)))</f>
        <v/>
      </c>
      <c r="R32" s="6" t="str">
        <f t="shared" si="6"/>
        <v/>
      </c>
    </row>
    <row r="33" spans="1:18" x14ac:dyDescent="0.3">
      <c r="A33" s="19"/>
      <c r="B33" s="19"/>
      <c r="C33" s="15" t="str">
        <f>IF($A33="","",COUNTIF('Daily tracking'!$D$2:$D$2001,$A33))</f>
        <v/>
      </c>
      <c r="D33" s="16" t="str">
        <f>IF($A33="","",SUMIF('Daily tracking'!$D$2:$D$2001,$A33,'Daily tracking'!$G$2:$G$2001))</f>
        <v/>
      </c>
      <c r="E33" s="18" t="str">
        <f>IF($A33="","",IF($C33=0,"",_xlfn.MAXIFS('Daily tracking'!$A$2:$A$2001,'Daily tracking'!$D$2:$D$2001,$A33)))</f>
        <v/>
      </c>
      <c r="F33" s="6" t="str">
        <f t="shared" ca="1" si="0"/>
        <v/>
      </c>
      <c r="G33" s="3" t="str">
        <f t="shared" si="1"/>
        <v/>
      </c>
      <c r="H33" s="9" t="str">
        <f t="shared" si="2"/>
        <v/>
      </c>
      <c r="I33" s="20"/>
      <c r="J33" s="20"/>
      <c r="K33" s="19"/>
      <c r="L33" s="19"/>
      <c r="M33" s="19"/>
      <c r="N33" s="15" t="str">
        <f t="shared" si="3"/>
        <v/>
      </c>
      <c r="O33" s="3" t="str">
        <f t="shared" si="4"/>
        <v/>
      </c>
      <c r="P33" s="6" t="str">
        <f t="shared" ca="1" si="5"/>
        <v/>
      </c>
      <c r="Q33" s="21" t="str">
        <f>IF($A33="","",IF($C33=0,"",_xlfn.MINIFS('Daily tracking'!$A$2:$A$2001,'Daily tracking'!$D$2:$D$2001,$A33)))</f>
        <v/>
      </c>
      <c r="R33" s="6" t="str">
        <f t="shared" si="6"/>
        <v/>
      </c>
    </row>
    <row r="34" spans="1:18" x14ac:dyDescent="0.3">
      <c r="A34" s="19"/>
      <c r="B34" s="19"/>
      <c r="C34" s="15" t="str">
        <f>IF($A34="","",COUNTIF('Daily tracking'!$D$2:$D$2001,$A34))</f>
        <v/>
      </c>
      <c r="D34" s="16" t="str">
        <f>IF($A34="","",SUMIF('Daily tracking'!$D$2:$D$2001,$A34,'Daily tracking'!$G$2:$G$2001))</f>
        <v/>
      </c>
      <c r="E34" s="18" t="str">
        <f>IF($A34="","",IF($C34=0,"",_xlfn.MAXIFS('Daily tracking'!$A$2:$A$2001,'Daily tracking'!$D$2:$D$2001,$A34)))</f>
        <v/>
      </c>
      <c r="F34" s="6" t="str">
        <f t="shared" ca="1" si="0"/>
        <v/>
      </c>
      <c r="G34" s="3" t="str">
        <f t="shared" si="1"/>
        <v/>
      </c>
      <c r="H34" s="9" t="str">
        <f t="shared" si="2"/>
        <v/>
      </c>
      <c r="I34" s="20"/>
      <c r="J34" s="20"/>
      <c r="K34" s="19"/>
      <c r="L34" s="19"/>
      <c r="M34" s="19"/>
      <c r="N34" s="15" t="str">
        <f t="shared" si="3"/>
        <v/>
      </c>
      <c r="O34" s="3" t="str">
        <f t="shared" si="4"/>
        <v/>
      </c>
      <c r="P34" s="6" t="str">
        <f t="shared" ca="1" si="5"/>
        <v/>
      </c>
      <c r="Q34" s="21" t="str">
        <f>IF($A34="","",IF($C34=0,"",_xlfn.MINIFS('Daily tracking'!$A$2:$A$2001,'Daily tracking'!$D$2:$D$2001,$A34)))</f>
        <v/>
      </c>
      <c r="R34" s="6" t="str">
        <f t="shared" si="6"/>
        <v/>
      </c>
    </row>
    <row r="35" spans="1:18" x14ac:dyDescent="0.3">
      <c r="A35" s="19"/>
      <c r="B35" s="19"/>
      <c r="C35" s="15" t="str">
        <f>IF($A35="","",COUNTIF('Daily tracking'!$D$2:$D$2001,$A35))</f>
        <v/>
      </c>
      <c r="D35" s="16" t="str">
        <f>IF($A35="","",SUMIF('Daily tracking'!$D$2:$D$2001,$A35,'Daily tracking'!$G$2:$G$2001))</f>
        <v/>
      </c>
      <c r="E35" s="18" t="str">
        <f>IF($A35="","",IF($C35=0,"",_xlfn.MAXIFS('Daily tracking'!$A$2:$A$2001,'Daily tracking'!$D$2:$D$2001,$A35)))</f>
        <v/>
      </c>
      <c r="F35" s="6" t="str">
        <f t="shared" ca="1" si="0"/>
        <v/>
      </c>
      <c r="G35" s="3" t="str">
        <f t="shared" si="1"/>
        <v/>
      </c>
      <c r="H35" s="9" t="str">
        <f t="shared" si="2"/>
        <v/>
      </c>
      <c r="I35" s="20"/>
      <c r="J35" s="20"/>
      <c r="K35" s="19"/>
      <c r="L35" s="19"/>
      <c r="M35" s="19"/>
      <c r="N35" s="15" t="str">
        <f t="shared" si="3"/>
        <v/>
      </c>
      <c r="O35" s="3" t="str">
        <f t="shared" si="4"/>
        <v/>
      </c>
      <c r="P35" s="6" t="str">
        <f t="shared" ca="1" si="5"/>
        <v/>
      </c>
      <c r="Q35" s="21" t="str">
        <f>IF($A35="","",IF($C35=0,"",_xlfn.MINIFS('Daily tracking'!$A$2:$A$2001,'Daily tracking'!$D$2:$D$2001,$A35)))</f>
        <v/>
      </c>
      <c r="R35" s="6" t="str">
        <f t="shared" si="6"/>
        <v/>
      </c>
    </row>
    <row r="36" spans="1:18" x14ac:dyDescent="0.3">
      <c r="A36" s="19"/>
      <c r="B36" s="19"/>
      <c r="C36" s="15" t="str">
        <f>IF($A36="","",COUNTIF('Daily tracking'!$D$2:$D$2001,$A36))</f>
        <v/>
      </c>
      <c r="D36" s="16" t="str">
        <f>IF($A36="","",SUMIF('Daily tracking'!$D$2:$D$2001,$A36,'Daily tracking'!$G$2:$G$2001))</f>
        <v/>
      </c>
      <c r="E36" s="18" t="str">
        <f>IF($A36="","",IF($C36=0,"",_xlfn.MAXIFS('Daily tracking'!$A$2:$A$2001,'Daily tracking'!$D$2:$D$2001,$A36)))</f>
        <v/>
      </c>
      <c r="F36" s="6" t="str">
        <f t="shared" ca="1" si="0"/>
        <v/>
      </c>
      <c r="G36" s="3" t="str">
        <f t="shared" si="1"/>
        <v/>
      </c>
      <c r="H36" s="9" t="str">
        <f t="shared" si="2"/>
        <v/>
      </c>
      <c r="I36" s="20"/>
      <c r="J36" s="20"/>
      <c r="K36" s="19"/>
      <c r="L36" s="19"/>
      <c r="M36" s="19"/>
      <c r="N36" s="15" t="str">
        <f t="shared" si="3"/>
        <v/>
      </c>
      <c r="O36" s="3" t="str">
        <f t="shared" si="4"/>
        <v/>
      </c>
      <c r="P36" s="6" t="str">
        <f t="shared" ca="1" si="5"/>
        <v/>
      </c>
      <c r="Q36" s="21" t="str">
        <f>IF($A36="","",IF($C36=0,"",_xlfn.MINIFS('Daily tracking'!$A$2:$A$2001,'Daily tracking'!$D$2:$D$2001,$A36)))</f>
        <v/>
      </c>
      <c r="R36" s="6" t="str">
        <f t="shared" si="6"/>
        <v/>
      </c>
    </row>
    <row r="37" spans="1:18" x14ac:dyDescent="0.3">
      <c r="A37" s="19"/>
      <c r="B37" s="19"/>
      <c r="C37" s="15" t="str">
        <f>IF($A37="","",COUNTIF('Daily tracking'!$D$2:$D$2001,$A37))</f>
        <v/>
      </c>
      <c r="D37" s="16" t="str">
        <f>IF($A37="","",SUMIF('Daily tracking'!$D$2:$D$2001,$A37,'Daily tracking'!$G$2:$G$2001))</f>
        <v/>
      </c>
      <c r="E37" s="18" t="str">
        <f>IF($A37="","",IF($C37=0,"",_xlfn.MAXIFS('Daily tracking'!$A$2:$A$2001,'Daily tracking'!$D$2:$D$2001,$A37)))</f>
        <v/>
      </c>
      <c r="F37" s="6" t="str">
        <f t="shared" ca="1" si="0"/>
        <v/>
      </c>
      <c r="G37" s="3" t="str">
        <f t="shared" si="1"/>
        <v/>
      </c>
      <c r="H37" s="9" t="str">
        <f t="shared" si="2"/>
        <v/>
      </c>
      <c r="I37" s="20"/>
      <c r="J37" s="20"/>
      <c r="K37" s="19"/>
      <c r="L37" s="19"/>
      <c r="M37" s="19"/>
      <c r="N37" s="15" t="str">
        <f t="shared" si="3"/>
        <v/>
      </c>
      <c r="O37" s="3" t="str">
        <f t="shared" si="4"/>
        <v/>
      </c>
      <c r="P37" s="6" t="str">
        <f t="shared" ca="1" si="5"/>
        <v/>
      </c>
      <c r="Q37" s="21" t="str">
        <f>IF($A37="","",IF($C37=0,"",_xlfn.MINIFS('Daily tracking'!$A$2:$A$2001,'Daily tracking'!$D$2:$D$2001,$A37)))</f>
        <v/>
      </c>
      <c r="R37" s="6" t="str">
        <f t="shared" si="6"/>
        <v/>
      </c>
    </row>
    <row r="38" spans="1:18" x14ac:dyDescent="0.3">
      <c r="A38" s="19"/>
      <c r="B38" s="19"/>
      <c r="C38" s="15" t="str">
        <f>IF($A38="","",COUNTIF('Daily tracking'!$D$2:$D$2001,$A38))</f>
        <v/>
      </c>
      <c r="D38" s="16" t="str">
        <f>IF($A38="","",SUMIF('Daily tracking'!$D$2:$D$2001,$A38,'Daily tracking'!$G$2:$G$2001))</f>
        <v/>
      </c>
      <c r="E38" s="18" t="str">
        <f>IF($A38="","",IF($C38=0,"",_xlfn.MAXIFS('Daily tracking'!$A$2:$A$2001,'Daily tracking'!$D$2:$D$2001,$A38)))</f>
        <v/>
      </c>
      <c r="F38" s="6" t="str">
        <f t="shared" ca="1" si="0"/>
        <v/>
      </c>
      <c r="G38" s="3" t="str">
        <f t="shared" si="1"/>
        <v/>
      </c>
      <c r="H38" s="9" t="str">
        <f t="shared" si="2"/>
        <v/>
      </c>
      <c r="I38" s="20"/>
      <c r="J38" s="20"/>
      <c r="K38" s="19"/>
      <c r="L38" s="19"/>
      <c r="M38" s="19"/>
      <c r="N38" s="15" t="str">
        <f t="shared" si="3"/>
        <v/>
      </c>
      <c r="O38" s="3" t="str">
        <f t="shared" si="4"/>
        <v/>
      </c>
      <c r="P38" s="6" t="str">
        <f t="shared" ca="1" si="5"/>
        <v/>
      </c>
      <c r="Q38" s="21" t="str">
        <f>IF($A38="","",IF($C38=0,"",_xlfn.MINIFS('Daily tracking'!$A$2:$A$2001,'Daily tracking'!$D$2:$D$2001,$A38)))</f>
        <v/>
      </c>
      <c r="R38" s="6" t="str">
        <f t="shared" si="6"/>
        <v/>
      </c>
    </row>
    <row r="39" spans="1:18" x14ac:dyDescent="0.3">
      <c r="A39" s="19"/>
      <c r="B39" s="19"/>
      <c r="C39" s="15" t="str">
        <f>IF($A39="","",COUNTIF('Daily tracking'!$D$2:$D$2001,$A39))</f>
        <v/>
      </c>
      <c r="D39" s="16" t="str">
        <f>IF($A39="","",SUMIF('Daily tracking'!$D$2:$D$2001,$A39,'Daily tracking'!$G$2:$G$2001))</f>
        <v/>
      </c>
      <c r="E39" s="18" t="str">
        <f>IF($A39="","",IF($C39=0,"",_xlfn.MAXIFS('Daily tracking'!$A$2:$A$2001,'Daily tracking'!$D$2:$D$2001,$A39)))</f>
        <v/>
      </c>
      <c r="F39" s="6" t="str">
        <f t="shared" ca="1" si="0"/>
        <v/>
      </c>
      <c r="G39" s="3" t="str">
        <f t="shared" si="1"/>
        <v/>
      </c>
      <c r="H39" s="9" t="str">
        <f t="shared" si="2"/>
        <v/>
      </c>
      <c r="I39" s="20"/>
      <c r="J39" s="20"/>
      <c r="K39" s="19"/>
      <c r="L39" s="19"/>
      <c r="M39" s="19"/>
      <c r="N39" s="15" t="str">
        <f t="shared" si="3"/>
        <v/>
      </c>
      <c r="O39" s="3" t="str">
        <f t="shared" si="4"/>
        <v/>
      </c>
      <c r="P39" s="6" t="str">
        <f t="shared" ca="1" si="5"/>
        <v/>
      </c>
      <c r="Q39" s="21" t="str">
        <f>IF($A39="","",IF($C39=0,"",_xlfn.MINIFS('Daily tracking'!$A$2:$A$2001,'Daily tracking'!$D$2:$D$2001,$A39)))</f>
        <v/>
      </c>
      <c r="R39" s="6" t="str">
        <f t="shared" si="6"/>
        <v/>
      </c>
    </row>
    <row r="40" spans="1:18" x14ac:dyDescent="0.3">
      <c r="A40" s="19"/>
      <c r="B40" s="19"/>
      <c r="C40" s="15" t="str">
        <f>IF($A40="","",COUNTIF('Daily tracking'!$D$2:$D$2001,$A40))</f>
        <v/>
      </c>
      <c r="D40" s="16" t="str">
        <f>IF($A40="","",SUMIF('Daily tracking'!$D$2:$D$2001,$A40,'Daily tracking'!$G$2:$G$2001))</f>
        <v/>
      </c>
      <c r="E40" s="18" t="str">
        <f>IF($A40="","",IF($C40=0,"",_xlfn.MAXIFS('Daily tracking'!$A$2:$A$2001,'Daily tracking'!$D$2:$D$2001,$A40)))</f>
        <v/>
      </c>
      <c r="F40" s="6" t="str">
        <f t="shared" ca="1" si="0"/>
        <v/>
      </c>
      <c r="G40" s="3" t="str">
        <f t="shared" si="1"/>
        <v/>
      </c>
      <c r="H40" s="9" t="str">
        <f t="shared" si="2"/>
        <v/>
      </c>
      <c r="I40" s="20"/>
      <c r="J40" s="20"/>
      <c r="K40" s="19"/>
      <c r="L40" s="19"/>
      <c r="M40" s="19"/>
      <c r="N40" s="15" t="str">
        <f t="shared" si="3"/>
        <v/>
      </c>
      <c r="O40" s="3" t="str">
        <f t="shared" si="4"/>
        <v/>
      </c>
      <c r="P40" s="6" t="str">
        <f t="shared" ca="1" si="5"/>
        <v/>
      </c>
      <c r="Q40" s="21" t="str">
        <f>IF($A40="","",IF($C40=0,"",_xlfn.MINIFS('Daily tracking'!$A$2:$A$2001,'Daily tracking'!$D$2:$D$2001,$A40)))</f>
        <v/>
      </c>
      <c r="R40" s="6" t="str">
        <f t="shared" si="6"/>
        <v/>
      </c>
    </row>
    <row r="41" spans="1:18" x14ac:dyDescent="0.3">
      <c r="A41" s="19"/>
      <c r="B41" s="19"/>
      <c r="C41" s="15" t="str">
        <f>IF($A41="","",COUNTIF('Daily tracking'!$D$2:$D$2001,$A41))</f>
        <v/>
      </c>
      <c r="D41" s="16" t="str">
        <f>IF($A41="","",SUMIF('Daily tracking'!$D$2:$D$2001,$A41,'Daily tracking'!$G$2:$G$2001))</f>
        <v/>
      </c>
      <c r="E41" s="18" t="str">
        <f>IF($A41="","",IF($C41=0,"",_xlfn.MAXIFS('Daily tracking'!$A$2:$A$2001,'Daily tracking'!$D$2:$D$2001,$A41)))</f>
        <v/>
      </c>
      <c r="F41" s="6" t="str">
        <f t="shared" ca="1" si="0"/>
        <v/>
      </c>
      <c r="G41" s="3" t="str">
        <f t="shared" si="1"/>
        <v/>
      </c>
      <c r="H41" s="9" t="str">
        <f t="shared" si="2"/>
        <v/>
      </c>
      <c r="I41" s="20"/>
      <c r="J41" s="20"/>
      <c r="K41" s="19"/>
      <c r="L41" s="19"/>
      <c r="M41" s="19"/>
      <c r="N41" s="15" t="str">
        <f t="shared" si="3"/>
        <v/>
      </c>
      <c r="O41" s="3" t="str">
        <f t="shared" si="4"/>
        <v/>
      </c>
      <c r="P41" s="6" t="str">
        <f t="shared" ca="1" si="5"/>
        <v/>
      </c>
      <c r="Q41" s="21" t="str">
        <f>IF($A41="","",IF($C41=0,"",_xlfn.MINIFS('Daily tracking'!$A$2:$A$2001,'Daily tracking'!$D$2:$D$2001,$A41)))</f>
        <v/>
      </c>
      <c r="R41" s="6" t="str">
        <f t="shared" si="6"/>
        <v/>
      </c>
    </row>
    <row r="42" spans="1:18" x14ac:dyDescent="0.3">
      <c r="A42" s="19"/>
      <c r="B42" s="19"/>
      <c r="C42" s="15" t="str">
        <f>IF($A42="","",COUNTIF('Daily tracking'!$D$2:$D$2001,$A42))</f>
        <v/>
      </c>
      <c r="D42" s="16" t="str">
        <f>IF($A42="","",SUMIF('Daily tracking'!$D$2:$D$2001,$A42,'Daily tracking'!$G$2:$G$2001))</f>
        <v/>
      </c>
      <c r="E42" s="18" t="str">
        <f>IF($A42="","",IF($C42=0,"",_xlfn.MAXIFS('Daily tracking'!$A$2:$A$2001,'Daily tracking'!$D$2:$D$2001,$A42)))</f>
        <v/>
      </c>
      <c r="F42" s="6" t="str">
        <f t="shared" ca="1" si="0"/>
        <v/>
      </c>
      <c r="G42" s="3" t="str">
        <f t="shared" si="1"/>
        <v/>
      </c>
      <c r="H42" s="9" t="str">
        <f t="shared" si="2"/>
        <v/>
      </c>
      <c r="I42" s="20"/>
      <c r="J42" s="20"/>
      <c r="K42" s="19"/>
      <c r="L42" s="19"/>
      <c r="M42" s="19"/>
      <c r="N42" s="15" t="str">
        <f t="shared" si="3"/>
        <v/>
      </c>
      <c r="O42" s="3" t="str">
        <f t="shared" si="4"/>
        <v/>
      </c>
      <c r="P42" s="6" t="str">
        <f t="shared" ca="1" si="5"/>
        <v/>
      </c>
      <c r="Q42" s="21" t="str">
        <f>IF($A42="","",IF($C42=0,"",_xlfn.MINIFS('Daily tracking'!$A$2:$A$2001,'Daily tracking'!$D$2:$D$2001,$A42)))</f>
        <v/>
      </c>
      <c r="R42" s="6" t="str">
        <f t="shared" si="6"/>
        <v/>
      </c>
    </row>
    <row r="43" spans="1:18" x14ac:dyDescent="0.3">
      <c r="A43" s="19"/>
      <c r="B43" s="19"/>
      <c r="C43" s="15" t="str">
        <f>IF($A43="","",COUNTIF('Daily tracking'!$D$2:$D$2001,$A43))</f>
        <v/>
      </c>
      <c r="D43" s="16" t="str">
        <f>IF($A43="","",SUMIF('Daily tracking'!$D$2:$D$2001,$A43,'Daily tracking'!$G$2:$G$2001))</f>
        <v/>
      </c>
      <c r="E43" s="18" t="str">
        <f>IF($A43="","",IF($C43=0,"",_xlfn.MAXIFS('Daily tracking'!$A$2:$A$2001,'Daily tracking'!$D$2:$D$2001,$A43)))</f>
        <v/>
      </c>
      <c r="F43" s="6" t="str">
        <f t="shared" ca="1" si="0"/>
        <v/>
      </c>
      <c r="G43" s="3" t="str">
        <f t="shared" si="1"/>
        <v/>
      </c>
      <c r="H43" s="9" t="str">
        <f t="shared" si="2"/>
        <v/>
      </c>
      <c r="I43" s="20"/>
      <c r="J43" s="20"/>
      <c r="K43" s="19"/>
      <c r="L43" s="19"/>
      <c r="M43" s="19"/>
      <c r="N43" s="15" t="str">
        <f t="shared" si="3"/>
        <v/>
      </c>
      <c r="O43" s="3" t="str">
        <f t="shared" si="4"/>
        <v/>
      </c>
      <c r="P43" s="6" t="str">
        <f t="shared" ca="1" si="5"/>
        <v/>
      </c>
      <c r="Q43" s="21" t="str">
        <f>IF($A43="","",IF($C43=0,"",_xlfn.MINIFS('Daily tracking'!$A$2:$A$2001,'Daily tracking'!$D$2:$D$2001,$A43)))</f>
        <v/>
      </c>
      <c r="R43" s="6" t="str">
        <f t="shared" si="6"/>
        <v/>
      </c>
    </row>
    <row r="44" spans="1:18" x14ac:dyDescent="0.3">
      <c r="A44" s="19"/>
      <c r="B44" s="19"/>
      <c r="C44" s="15" t="str">
        <f>IF($A44="","",COUNTIF('Daily tracking'!$D$2:$D$2001,$A44))</f>
        <v/>
      </c>
      <c r="D44" s="16" t="str">
        <f>IF($A44="","",SUMIF('Daily tracking'!$D$2:$D$2001,$A44,'Daily tracking'!$G$2:$G$2001))</f>
        <v/>
      </c>
      <c r="E44" s="18" t="str">
        <f>IF($A44="","",IF($C44=0,"",_xlfn.MAXIFS('Daily tracking'!$A$2:$A$2001,'Daily tracking'!$D$2:$D$2001,$A44)))</f>
        <v/>
      </c>
      <c r="F44" s="6" t="str">
        <f t="shared" ca="1" si="0"/>
        <v/>
      </c>
      <c r="G44" s="3" t="str">
        <f t="shared" si="1"/>
        <v/>
      </c>
      <c r="H44" s="9" t="str">
        <f t="shared" si="2"/>
        <v/>
      </c>
      <c r="I44" s="20"/>
      <c r="J44" s="20"/>
      <c r="K44" s="19"/>
      <c r="L44" s="19"/>
      <c r="M44" s="19"/>
      <c r="N44" s="15" t="str">
        <f t="shared" si="3"/>
        <v/>
      </c>
      <c r="O44" s="3" t="str">
        <f t="shared" si="4"/>
        <v/>
      </c>
      <c r="P44" s="6" t="str">
        <f t="shared" ca="1" si="5"/>
        <v/>
      </c>
      <c r="Q44" s="21" t="str">
        <f>IF($A44="","",IF($C44=0,"",_xlfn.MINIFS('Daily tracking'!$A$2:$A$2001,'Daily tracking'!$D$2:$D$2001,$A44)))</f>
        <v/>
      </c>
      <c r="R44" s="6" t="str">
        <f t="shared" si="6"/>
        <v/>
      </c>
    </row>
    <row r="45" spans="1:18" x14ac:dyDescent="0.3">
      <c r="A45" s="19"/>
      <c r="B45" s="19"/>
      <c r="C45" s="15" t="str">
        <f>IF($A45="","",COUNTIF('Daily tracking'!$D$2:$D$2001,$A45))</f>
        <v/>
      </c>
      <c r="D45" s="16" t="str">
        <f>IF($A45="","",SUMIF('Daily tracking'!$D$2:$D$2001,$A45,'Daily tracking'!$G$2:$G$2001))</f>
        <v/>
      </c>
      <c r="E45" s="18" t="str">
        <f>IF($A45="","",IF($C45=0,"",_xlfn.MAXIFS('Daily tracking'!$A$2:$A$2001,'Daily tracking'!$D$2:$D$2001,$A45)))</f>
        <v/>
      </c>
      <c r="F45" s="6" t="str">
        <f t="shared" ca="1" si="0"/>
        <v/>
      </c>
      <c r="G45" s="3" t="str">
        <f t="shared" si="1"/>
        <v/>
      </c>
      <c r="H45" s="9" t="str">
        <f t="shared" si="2"/>
        <v/>
      </c>
      <c r="I45" s="20"/>
      <c r="J45" s="20"/>
      <c r="K45" s="19"/>
      <c r="L45" s="19"/>
      <c r="M45" s="19"/>
      <c r="N45" s="15" t="str">
        <f t="shared" si="3"/>
        <v/>
      </c>
      <c r="O45" s="3" t="str">
        <f t="shared" si="4"/>
        <v/>
      </c>
      <c r="P45" s="6" t="str">
        <f t="shared" ca="1" si="5"/>
        <v/>
      </c>
      <c r="Q45" s="21" t="str">
        <f>IF($A45="","",IF($C45=0,"",_xlfn.MINIFS('Daily tracking'!$A$2:$A$2001,'Daily tracking'!$D$2:$D$2001,$A45)))</f>
        <v/>
      </c>
      <c r="R45" s="6" t="str">
        <f t="shared" si="6"/>
        <v/>
      </c>
    </row>
    <row r="46" spans="1:18" x14ac:dyDescent="0.3">
      <c r="A46" s="19"/>
      <c r="B46" s="19"/>
      <c r="C46" s="15" t="str">
        <f>IF($A46="","",COUNTIF('Daily tracking'!$D$2:$D$2001,$A46))</f>
        <v/>
      </c>
      <c r="D46" s="16" t="str">
        <f>IF($A46="","",SUMIF('Daily tracking'!$D$2:$D$2001,$A46,'Daily tracking'!$G$2:$G$2001))</f>
        <v/>
      </c>
      <c r="E46" s="18" t="str">
        <f>IF($A46="","",IF($C46=0,"",_xlfn.MAXIFS('Daily tracking'!$A$2:$A$2001,'Daily tracking'!$D$2:$D$2001,$A46)))</f>
        <v/>
      </c>
      <c r="F46" s="6" t="str">
        <f t="shared" ca="1" si="0"/>
        <v/>
      </c>
      <c r="G46" s="3" t="str">
        <f t="shared" si="1"/>
        <v/>
      </c>
      <c r="H46" s="9" t="str">
        <f t="shared" si="2"/>
        <v/>
      </c>
      <c r="I46" s="20"/>
      <c r="J46" s="20"/>
      <c r="K46" s="19"/>
      <c r="L46" s="19"/>
      <c r="M46" s="19"/>
      <c r="N46" s="15" t="str">
        <f t="shared" si="3"/>
        <v/>
      </c>
      <c r="O46" s="3" t="str">
        <f t="shared" si="4"/>
        <v/>
      </c>
      <c r="P46" s="6" t="str">
        <f t="shared" ca="1" si="5"/>
        <v/>
      </c>
      <c r="Q46" s="21" t="str">
        <f>IF($A46="","",IF($C46=0,"",_xlfn.MINIFS('Daily tracking'!$A$2:$A$2001,'Daily tracking'!$D$2:$D$2001,$A46)))</f>
        <v/>
      </c>
      <c r="R46" s="6" t="str">
        <f t="shared" si="6"/>
        <v/>
      </c>
    </row>
    <row r="47" spans="1:18" x14ac:dyDescent="0.3">
      <c r="A47" s="19"/>
      <c r="B47" s="19"/>
      <c r="C47" s="15" t="str">
        <f>IF($A47="","",COUNTIF('Daily tracking'!$D$2:$D$2001,$A47))</f>
        <v/>
      </c>
      <c r="D47" s="16" t="str">
        <f>IF($A47="","",SUMIF('Daily tracking'!$D$2:$D$2001,$A47,'Daily tracking'!$G$2:$G$2001))</f>
        <v/>
      </c>
      <c r="E47" s="18" t="str">
        <f>IF($A47="","",IF($C47=0,"",_xlfn.MAXIFS('Daily tracking'!$A$2:$A$2001,'Daily tracking'!$D$2:$D$2001,$A47)))</f>
        <v/>
      </c>
      <c r="F47" s="6" t="str">
        <f t="shared" ca="1" si="0"/>
        <v/>
      </c>
      <c r="G47" s="3" t="str">
        <f t="shared" si="1"/>
        <v/>
      </c>
      <c r="H47" s="9" t="str">
        <f t="shared" si="2"/>
        <v/>
      </c>
      <c r="I47" s="20"/>
      <c r="J47" s="20"/>
      <c r="K47" s="19"/>
      <c r="L47" s="19"/>
      <c r="M47" s="19"/>
      <c r="N47" s="15" t="str">
        <f t="shared" si="3"/>
        <v/>
      </c>
      <c r="O47" s="3" t="str">
        <f t="shared" si="4"/>
        <v/>
      </c>
      <c r="P47" s="6" t="str">
        <f t="shared" ca="1" si="5"/>
        <v/>
      </c>
      <c r="Q47" s="21" t="str">
        <f>IF($A47="","",IF($C47=0,"",_xlfn.MINIFS('Daily tracking'!$A$2:$A$2001,'Daily tracking'!$D$2:$D$2001,$A47)))</f>
        <v/>
      </c>
      <c r="R47" s="6" t="str">
        <f t="shared" si="6"/>
        <v/>
      </c>
    </row>
    <row r="48" spans="1:18" x14ac:dyDescent="0.3">
      <c r="A48" s="19"/>
      <c r="B48" s="19"/>
      <c r="C48" s="15" t="str">
        <f>IF($A48="","",COUNTIF('Daily tracking'!$D$2:$D$2001,$A48))</f>
        <v/>
      </c>
      <c r="D48" s="16" t="str">
        <f>IF($A48="","",SUMIF('Daily tracking'!$D$2:$D$2001,$A48,'Daily tracking'!$G$2:$G$2001))</f>
        <v/>
      </c>
      <c r="E48" s="18" t="str">
        <f>IF($A48="","",IF($C48=0,"",_xlfn.MAXIFS('Daily tracking'!$A$2:$A$2001,'Daily tracking'!$D$2:$D$2001,$A48)))</f>
        <v/>
      </c>
      <c r="F48" s="6" t="str">
        <f t="shared" ca="1" si="0"/>
        <v/>
      </c>
      <c r="G48" s="3" t="str">
        <f t="shared" si="1"/>
        <v/>
      </c>
      <c r="H48" s="9" t="str">
        <f t="shared" si="2"/>
        <v/>
      </c>
      <c r="I48" s="20"/>
      <c r="J48" s="20"/>
      <c r="K48" s="19"/>
      <c r="L48" s="19"/>
      <c r="M48" s="19"/>
      <c r="N48" s="15" t="str">
        <f t="shared" si="3"/>
        <v/>
      </c>
      <c r="O48" s="3" t="str">
        <f t="shared" si="4"/>
        <v/>
      </c>
      <c r="P48" s="6" t="str">
        <f t="shared" ca="1" si="5"/>
        <v/>
      </c>
      <c r="Q48" s="21" t="str">
        <f>IF($A48="","",IF($C48=0,"",_xlfn.MINIFS('Daily tracking'!$A$2:$A$2001,'Daily tracking'!$D$2:$D$2001,$A48)))</f>
        <v/>
      </c>
      <c r="R48" s="6" t="str">
        <f t="shared" si="6"/>
        <v/>
      </c>
    </row>
    <row r="49" spans="1:18" x14ac:dyDescent="0.3">
      <c r="A49" s="19"/>
      <c r="B49" s="19"/>
      <c r="C49" s="15" t="str">
        <f>IF($A49="","",COUNTIF('Daily tracking'!$D$2:$D$2001,$A49))</f>
        <v/>
      </c>
      <c r="D49" s="16" t="str">
        <f>IF($A49="","",SUMIF('Daily tracking'!$D$2:$D$2001,$A49,'Daily tracking'!$G$2:$G$2001))</f>
        <v/>
      </c>
      <c r="E49" s="18" t="str">
        <f>IF($A49="","",IF($C49=0,"",_xlfn.MAXIFS('Daily tracking'!$A$2:$A$2001,'Daily tracking'!$D$2:$D$2001,$A49)))</f>
        <v/>
      </c>
      <c r="F49" s="6" t="str">
        <f t="shared" ca="1" si="0"/>
        <v/>
      </c>
      <c r="G49" s="3" t="str">
        <f t="shared" si="1"/>
        <v/>
      </c>
      <c r="H49" s="9" t="str">
        <f t="shared" si="2"/>
        <v/>
      </c>
      <c r="I49" s="20"/>
      <c r="J49" s="20"/>
      <c r="K49" s="19"/>
      <c r="L49" s="19"/>
      <c r="M49" s="19"/>
      <c r="N49" s="15" t="str">
        <f t="shared" si="3"/>
        <v/>
      </c>
      <c r="O49" s="3" t="str">
        <f t="shared" si="4"/>
        <v/>
      </c>
      <c r="P49" s="6" t="str">
        <f t="shared" ca="1" si="5"/>
        <v/>
      </c>
      <c r="Q49" s="21" t="str">
        <f>IF($A49="","",IF($C49=0,"",_xlfn.MINIFS('Daily tracking'!$A$2:$A$2001,'Daily tracking'!$D$2:$D$2001,$A49)))</f>
        <v/>
      </c>
      <c r="R49" s="6" t="str">
        <f t="shared" si="6"/>
        <v/>
      </c>
    </row>
    <row r="50" spans="1:18" x14ac:dyDescent="0.3">
      <c r="A50" s="19"/>
      <c r="B50" s="19"/>
      <c r="C50" s="15" t="str">
        <f>IF($A50="","",COUNTIF('Daily tracking'!$D$2:$D$2001,$A50))</f>
        <v/>
      </c>
      <c r="D50" s="16" t="str">
        <f>IF($A50="","",SUMIF('Daily tracking'!$D$2:$D$2001,$A50,'Daily tracking'!$G$2:$G$2001))</f>
        <v/>
      </c>
      <c r="E50" s="18" t="str">
        <f>IF($A50="","",IF($C50=0,"",_xlfn.MAXIFS('Daily tracking'!$A$2:$A$2001,'Daily tracking'!$D$2:$D$2001,$A50)))</f>
        <v/>
      </c>
      <c r="F50" s="6" t="str">
        <f t="shared" ca="1" si="0"/>
        <v/>
      </c>
      <c r="G50" s="3" t="str">
        <f t="shared" si="1"/>
        <v/>
      </c>
      <c r="H50" s="9" t="str">
        <f t="shared" si="2"/>
        <v/>
      </c>
      <c r="I50" s="20"/>
      <c r="J50" s="20"/>
      <c r="K50" s="19"/>
      <c r="L50" s="19"/>
      <c r="M50" s="19"/>
      <c r="N50" s="15" t="str">
        <f t="shared" si="3"/>
        <v/>
      </c>
      <c r="O50" s="3" t="str">
        <f t="shared" si="4"/>
        <v/>
      </c>
      <c r="P50" s="6" t="str">
        <f t="shared" ca="1" si="5"/>
        <v/>
      </c>
      <c r="Q50" s="21" t="str">
        <f>IF($A50="","",IF($C50=0,"",_xlfn.MINIFS('Daily tracking'!$A$2:$A$2001,'Daily tracking'!$D$2:$D$2001,$A50)))</f>
        <v/>
      </c>
      <c r="R50" s="6" t="str">
        <f t="shared" si="6"/>
        <v/>
      </c>
    </row>
    <row r="51" spans="1:18" x14ac:dyDescent="0.3">
      <c r="A51" s="19"/>
      <c r="B51" s="19"/>
      <c r="C51" s="15" t="str">
        <f>IF($A51="","",COUNTIF('Daily tracking'!$D$2:$D$2001,$A51))</f>
        <v/>
      </c>
      <c r="D51" s="16" t="str">
        <f>IF($A51="","",SUMIF('Daily tracking'!$D$2:$D$2001,$A51,'Daily tracking'!$G$2:$G$2001))</f>
        <v/>
      </c>
      <c r="E51" s="18" t="str">
        <f>IF($A51="","",IF($C51=0,"",_xlfn.MAXIFS('Daily tracking'!$A$2:$A$2001,'Daily tracking'!$D$2:$D$2001,$A51)))</f>
        <v/>
      </c>
      <c r="F51" s="6" t="str">
        <f t="shared" ca="1" si="0"/>
        <v/>
      </c>
      <c r="G51" s="3" t="str">
        <f t="shared" si="1"/>
        <v/>
      </c>
      <c r="H51" s="9" t="str">
        <f t="shared" si="2"/>
        <v/>
      </c>
      <c r="I51" s="20"/>
      <c r="J51" s="20"/>
      <c r="K51" s="19"/>
      <c r="L51" s="19"/>
      <c r="M51" s="19"/>
      <c r="N51" s="15" t="str">
        <f t="shared" si="3"/>
        <v/>
      </c>
      <c r="O51" s="3" t="str">
        <f t="shared" si="4"/>
        <v/>
      </c>
      <c r="P51" s="6" t="str">
        <f t="shared" ca="1" si="5"/>
        <v/>
      </c>
      <c r="Q51" s="21" t="str">
        <f>IF($A51="","",IF($C51=0,"",_xlfn.MINIFS('Daily tracking'!$A$2:$A$2001,'Daily tracking'!$D$2:$D$2001,$A51)))</f>
        <v/>
      </c>
      <c r="R51" s="6" t="str">
        <f t="shared" si="6"/>
        <v/>
      </c>
    </row>
    <row r="52" spans="1:18" x14ac:dyDescent="0.3">
      <c r="A52" s="19"/>
      <c r="B52" s="19"/>
      <c r="C52" s="15" t="str">
        <f>IF($A52="","",COUNTIF('Daily tracking'!$D$2:$D$2001,$A52))</f>
        <v/>
      </c>
      <c r="D52" s="16" t="str">
        <f>IF($A52="","",SUMIF('Daily tracking'!$D$2:$D$2001,$A52,'Daily tracking'!$G$2:$G$2001))</f>
        <v/>
      </c>
      <c r="E52" s="18" t="str">
        <f>IF($A52="","",IF($C52=0,"",_xlfn.MAXIFS('Daily tracking'!$A$2:$A$2001,'Daily tracking'!$D$2:$D$2001,$A52)))</f>
        <v/>
      </c>
      <c r="F52" s="6" t="str">
        <f t="shared" ca="1" si="0"/>
        <v/>
      </c>
      <c r="G52" s="3" t="str">
        <f t="shared" si="1"/>
        <v/>
      </c>
      <c r="H52" s="9" t="str">
        <f t="shared" si="2"/>
        <v/>
      </c>
      <c r="I52" s="20"/>
      <c r="J52" s="20"/>
      <c r="K52" s="19"/>
      <c r="L52" s="19"/>
      <c r="M52" s="19"/>
      <c r="N52" s="15" t="str">
        <f t="shared" si="3"/>
        <v/>
      </c>
      <c r="O52" s="3" t="str">
        <f t="shared" si="4"/>
        <v/>
      </c>
      <c r="P52" s="6" t="str">
        <f t="shared" ca="1" si="5"/>
        <v/>
      </c>
      <c r="Q52" s="21" t="str">
        <f>IF($A52="","",IF($C52=0,"",_xlfn.MINIFS('Daily tracking'!$A$2:$A$2001,'Daily tracking'!$D$2:$D$2001,$A52)))</f>
        <v/>
      </c>
      <c r="R52" s="6" t="str">
        <f t="shared" si="6"/>
        <v/>
      </c>
    </row>
    <row r="53" spans="1:18" x14ac:dyDescent="0.3">
      <c r="A53" s="19"/>
      <c r="B53" s="19"/>
      <c r="C53" s="15" t="str">
        <f>IF($A53="","",COUNTIF('Daily tracking'!$D$2:$D$2001,$A53))</f>
        <v/>
      </c>
      <c r="D53" s="16" t="str">
        <f>IF($A53="","",SUMIF('Daily tracking'!$D$2:$D$2001,$A53,'Daily tracking'!$G$2:$G$2001))</f>
        <v/>
      </c>
      <c r="E53" s="18" t="str">
        <f>IF($A53="","",IF($C53=0,"",_xlfn.MAXIFS('Daily tracking'!$A$2:$A$2001,'Daily tracking'!$D$2:$D$2001,$A53)))</f>
        <v/>
      </c>
      <c r="F53" s="6" t="str">
        <f t="shared" ca="1" si="0"/>
        <v/>
      </c>
      <c r="G53" s="3" t="str">
        <f t="shared" si="1"/>
        <v/>
      </c>
      <c r="H53" s="9" t="str">
        <f t="shared" si="2"/>
        <v/>
      </c>
      <c r="I53" s="20"/>
      <c r="J53" s="20"/>
      <c r="K53" s="19"/>
      <c r="L53" s="19"/>
      <c r="M53" s="19"/>
      <c r="N53" s="15" t="str">
        <f t="shared" si="3"/>
        <v/>
      </c>
      <c r="O53" s="3" t="str">
        <f t="shared" si="4"/>
        <v/>
      </c>
      <c r="P53" s="6" t="str">
        <f t="shared" ca="1" si="5"/>
        <v/>
      </c>
      <c r="Q53" s="21" t="str">
        <f>IF($A53="","",IF($C53=0,"",_xlfn.MINIFS('Daily tracking'!$A$2:$A$2001,'Daily tracking'!$D$2:$D$2001,$A53)))</f>
        <v/>
      </c>
      <c r="R53" s="6" t="str">
        <f t="shared" si="6"/>
        <v/>
      </c>
    </row>
    <row r="54" spans="1:18" x14ac:dyDescent="0.3">
      <c r="A54" s="19"/>
      <c r="B54" s="19"/>
      <c r="C54" s="15" t="str">
        <f>IF($A54="","",COUNTIF('Daily tracking'!$D$2:$D$2001,$A54))</f>
        <v/>
      </c>
      <c r="D54" s="16" t="str">
        <f>IF($A54="","",SUMIF('Daily tracking'!$D$2:$D$2001,$A54,'Daily tracking'!$G$2:$G$2001))</f>
        <v/>
      </c>
      <c r="E54" s="18" t="str">
        <f>IF($A54="","",IF($C54=0,"",_xlfn.MAXIFS('Daily tracking'!$A$2:$A$2001,'Daily tracking'!$D$2:$D$2001,$A54)))</f>
        <v/>
      </c>
      <c r="F54" s="6" t="str">
        <f t="shared" ca="1" si="0"/>
        <v/>
      </c>
      <c r="G54" s="3" t="str">
        <f t="shared" si="1"/>
        <v/>
      </c>
      <c r="H54" s="9" t="str">
        <f t="shared" si="2"/>
        <v/>
      </c>
      <c r="I54" s="20"/>
      <c r="J54" s="20"/>
      <c r="K54" s="19"/>
      <c r="L54" s="19"/>
      <c r="M54" s="19"/>
      <c r="N54" s="15" t="str">
        <f t="shared" si="3"/>
        <v/>
      </c>
      <c r="O54" s="3" t="str">
        <f t="shared" si="4"/>
        <v/>
      </c>
      <c r="P54" s="6" t="str">
        <f t="shared" ca="1" si="5"/>
        <v/>
      </c>
      <c r="Q54" s="21" t="str">
        <f>IF($A54="","",IF($C54=0,"",_xlfn.MINIFS('Daily tracking'!$A$2:$A$2001,'Daily tracking'!$D$2:$D$2001,$A54)))</f>
        <v/>
      </c>
      <c r="R54" s="6" t="str">
        <f t="shared" si="6"/>
        <v/>
      </c>
    </row>
    <row r="55" spans="1:18" x14ac:dyDescent="0.3">
      <c r="A55" s="19"/>
      <c r="B55" s="19"/>
      <c r="C55" s="15" t="str">
        <f>IF($A55="","",COUNTIF('Daily tracking'!$D$2:$D$2001,$A55))</f>
        <v/>
      </c>
      <c r="D55" s="16" t="str">
        <f>IF($A55="","",SUMIF('Daily tracking'!$D$2:$D$2001,$A55,'Daily tracking'!$G$2:$G$2001))</f>
        <v/>
      </c>
      <c r="E55" s="18" t="str">
        <f>IF($A55="","",IF($C55=0,"",_xlfn.MAXIFS('Daily tracking'!$A$2:$A$2001,'Daily tracking'!$D$2:$D$2001,$A55)))</f>
        <v/>
      </c>
      <c r="F55" s="6" t="str">
        <f t="shared" ca="1" si="0"/>
        <v/>
      </c>
      <c r="G55" s="3" t="str">
        <f t="shared" si="1"/>
        <v/>
      </c>
      <c r="H55" s="9" t="str">
        <f t="shared" si="2"/>
        <v/>
      </c>
      <c r="I55" s="20"/>
      <c r="J55" s="20"/>
      <c r="K55" s="19"/>
      <c r="L55" s="19"/>
      <c r="M55" s="19"/>
      <c r="N55" s="15" t="str">
        <f t="shared" si="3"/>
        <v/>
      </c>
      <c r="O55" s="3" t="str">
        <f t="shared" si="4"/>
        <v/>
      </c>
      <c r="P55" s="6" t="str">
        <f t="shared" ca="1" si="5"/>
        <v/>
      </c>
      <c r="Q55" s="21" t="str">
        <f>IF($A55="","",IF($C55=0,"",_xlfn.MINIFS('Daily tracking'!$A$2:$A$2001,'Daily tracking'!$D$2:$D$2001,$A55)))</f>
        <v/>
      </c>
      <c r="R55" s="6" t="str">
        <f t="shared" si="6"/>
        <v/>
      </c>
    </row>
    <row r="56" spans="1:18" x14ac:dyDescent="0.3">
      <c r="A56" s="19"/>
      <c r="B56" s="19"/>
      <c r="C56" s="15" t="str">
        <f>IF($A56="","",COUNTIF('Daily tracking'!$D$2:$D$2001,$A56))</f>
        <v/>
      </c>
      <c r="D56" s="16" t="str">
        <f>IF($A56="","",SUMIF('Daily tracking'!$D$2:$D$2001,$A56,'Daily tracking'!$G$2:$G$2001))</f>
        <v/>
      </c>
      <c r="E56" s="18" t="str">
        <f>IF($A56="","",IF($C56=0,"",_xlfn.MAXIFS('Daily tracking'!$A$2:$A$2001,'Daily tracking'!$D$2:$D$2001,$A56)))</f>
        <v/>
      </c>
      <c r="F56" s="6" t="str">
        <f t="shared" ca="1" si="0"/>
        <v/>
      </c>
      <c r="G56" s="3" t="str">
        <f t="shared" si="1"/>
        <v/>
      </c>
      <c r="H56" s="9" t="str">
        <f t="shared" si="2"/>
        <v/>
      </c>
      <c r="I56" s="20"/>
      <c r="J56" s="20"/>
      <c r="K56" s="19"/>
      <c r="L56" s="19"/>
      <c r="M56" s="19"/>
      <c r="N56" s="15" t="str">
        <f t="shared" si="3"/>
        <v/>
      </c>
      <c r="O56" s="3" t="str">
        <f t="shared" si="4"/>
        <v/>
      </c>
      <c r="P56" s="6" t="str">
        <f t="shared" ca="1" si="5"/>
        <v/>
      </c>
      <c r="Q56" s="21" t="str">
        <f>IF($A56="","",IF($C56=0,"",_xlfn.MINIFS('Daily tracking'!$A$2:$A$2001,'Daily tracking'!$D$2:$D$2001,$A56)))</f>
        <v/>
      </c>
      <c r="R56" s="6" t="str">
        <f t="shared" si="6"/>
        <v/>
      </c>
    </row>
    <row r="57" spans="1:18" x14ac:dyDescent="0.3">
      <c r="A57" s="19"/>
      <c r="B57" s="19"/>
      <c r="C57" s="15" t="str">
        <f>IF($A57="","",COUNTIF('Daily tracking'!$D$2:$D$2001,$A57))</f>
        <v/>
      </c>
      <c r="D57" s="16" t="str">
        <f>IF($A57="","",SUMIF('Daily tracking'!$D$2:$D$2001,$A57,'Daily tracking'!$G$2:$G$2001))</f>
        <v/>
      </c>
      <c r="E57" s="18" t="str">
        <f>IF($A57="","",IF($C57=0,"",_xlfn.MAXIFS('Daily tracking'!$A$2:$A$2001,'Daily tracking'!$D$2:$D$2001,$A57)))</f>
        <v/>
      </c>
      <c r="F57" s="6" t="str">
        <f t="shared" ca="1" si="0"/>
        <v/>
      </c>
      <c r="G57" s="3" t="str">
        <f t="shared" si="1"/>
        <v/>
      </c>
      <c r="H57" s="9" t="str">
        <f t="shared" si="2"/>
        <v/>
      </c>
      <c r="I57" s="20"/>
      <c r="J57" s="20"/>
      <c r="K57" s="19"/>
      <c r="L57" s="19"/>
      <c r="M57" s="19"/>
      <c r="N57" s="15" t="str">
        <f t="shared" si="3"/>
        <v/>
      </c>
      <c r="O57" s="3" t="str">
        <f t="shared" si="4"/>
        <v/>
      </c>
      <c r="P57" s="6" t="str">
        <f t="shared" ca="1" si="5"/>
        <v/>
      </c>
      <c r="Q57" s="21" t="str">
        <f>IF($A57="","",IF($C57=0,"",_xlfn.MINIFS('Daily tracking'!$A$2:$A$2001,'Daily tracking'!$D$2:$D$2001,$A57)))</f>
        <v/>
      </c>
      <c r="R57" s="6" t="str">
        <f t="shared" si="6"/>
        <v/>
      </c>
    </row>
    <row r="58" spans="1:18" x14ac:dyDescent="0.3">
      <c r="A58" s="19"/>
      <c r="B58" s="19"/>
      <c r="C58" s="15" t="str">
        <f>IF($A58="","",COUNTIF('Daily tracking'!$D$2:$D$2001,$A58))</f>
        <v/>
      </c>
      <c r="D58" s="16" t="str">
        <f>IF($A58="","",SUMIF('Daily tracking'!$D$2:$D$2001,$A58,'Daily tracking'!$G$2:$G$2001))</f>
        <v/>
      </c>
      <c r="E58" s="18" t="str">
        <f>IF($A58="","",IF($C58=0,"",_xlfn.MAXIFS('Daily tracking'!$A$2:$A$2001,'Daily tracking'!$D$2:$D$2001,$A58)))</f>
        <v/>
      </c>
      <c r="F58" s="6" t="str">
        <f t="shared" ca="1" si="0"/>
        <v/>
      </c>
      <c r="G58" s="3" t="str">
        <f t="shared" si="1"/>
        <v/>
      </c>
      <c r="H58" s="9" t="str">
        <f t="shared" si="2"/>
        <v/>
      </c>
      <c r="I58" s="20"/>
      <c r="J58" s="20"/>
      <c r="K58" s="19"/>
      <c r="L58" s="19"/>
      <c r="M58" s="19"/>
      <c r="N58" s="15" t="str">
        <f t="shared" si="3"/>
        <v/>
      </c>
      <c r="O58" s="3" t="str">
        <f t="shared" si="4"/>
        <v/>
      </c>
      <c r="P58" s="6" t="str">
        <f t="shared" ca="1" si="5"/>
        <v/>
      </c>
      <c r="Q58" s="21" t="str">
        <f>IF($A58="","",IF($C58=0,"",_xlfn.MINIFS('Daily tracking'!$A$2:$A$2001,'Daily tracking'!$D$2:$D$2001,$A58)))</f>
        <v/>
      </c>
      <c r="R58" s="6" t="str">
        <f t="shared" si="6"/>
        <v/>
      </c>
    </row>
    <row r="59" spans="1:18" x14ac:dyDescent="0.3">
      <c r="A59" s="19"/>
      <c r="B59" s="19"/>
      <c r="C59" s="15" t="str">
        <f>IF($A59="","",COUNTIF('Daily tracking'!$D$2:$D$2001,$A59))</f>
        <v/>
      </c>
      <c r="D59" s="16" t="str">
        <f>IF($A59="","",SUMIF('Daily tracking'!$D$2:$D$2001,$A59,'Daily tracking'!$G$2:$G$2001))</f>
        <v/>
      </c>
      <c r="E59" s="18" t="str">
        <f>IF($A59="","",IF($C59=0,"",_xlfn.MAXIFS('Daily tracking'!$A$2:$A$2001,'Daily tracking'!$D$2:$D$2001,$A59)))</f>
        <v/>
      </c>
      <c r="F59" s="6" t="str">
        <f t="shared" ca="1" si="0"/>
        <v/>
      </c>
      <c r="G59" s="3" t="str">
        <f t="shared" si="1"/>
        <v/>
      </c>
      <c r="H59" s="9" t="str">
        <f t="shared" si="2"/>
        <v/>
      </c>
      <c r="I59" s="20"/>
      <c r="J59" s="20"/>
      <c r="K59" s="19"/>
      <c r="L59" s="19"/>
      <c r="M59" s="19"/>
      <c r="N59" s="15" t="str">
        <f t="shared" si="3"/>
        <v/>
      </c>
      <c r="O59" s="3" t="str">
        <f t="shared" si="4"/>
        <v/>
      </c>
      <c r="P59" s="6" t="str">
        <f t="shared" ca="1" si="5"/>
        <v/>
      </c>
      <c r="Q59" s="21" t="str">
        <f>IF($A59="","",IF($C59=0,"",_xlfn.MINIFS('Daily tracking'!$A$2:$A$2001,'Daily tracking'!$D$2:$D$2001,$A59)))</f>
        <v/>
      </c>
      <c r="R59" s="6" t="str">
        <f t="shared" si="6"/>
        <v/>
      </c>
    </row>
    <row r="60" spans="1:18" x14ac:dyDescent="0.3">
      <c r="A60" s="19"/>
      <c r="B60" s="19"/>
      <c r="C60" s="15" t="str">
        <f>IF($A60="","",COUNTIF('Daily tracking'!$D$2:$D$2001,$A60))</f>
        <v/>
      </c>
      <c r="D60" s="16" t="str">
        <f>IF($A60="","",SUMIF('Daily tracking'!$D$2:$D$2001,$A60,'Daily tracking'!$G$2:$G$2001))</f>
        <v/>
      </c>
      <c r="E60" s="18" t="str">
        <f>IF($A60="","",IF($C60=0,"",_xlfn.MAXIFS('Daily tracking'!$A$2:$A$2001,'Daily tracking'!$D$2:$D$2001,$A60)))</f>
        <v/>
      </c>
      <c r="F60" s="6" t="str">
        <f t="shared" ca="1" si="0"/>
        <v/>
      </c>
      <c r="G60" s="3" t="str">
        <f t="shared" si="1"/>
        <v/>
      </c>
      <c r="H60" s="9" t="str">
        <f t="shared" si="2"/>
        <v/>
      </c>
      <c r="I60" s="20"/>
      <c r="J60" s="20"/>
      <c r="K60" s="19"/>
      <c r="L60" s="19"/>
      <c r="M60" s="19"/>
      <c r="N60" s="15" t="str">
        <f t="shared" si="3"/>
        <v/>
      </c>
      <c r="O60" s="3" t="str">
        <f t="shared" si="4"/>
        <v/>
      </c>
      <c r="P60" s="6" t="str">
        <f t="shared" ca="1" si="5"/>
        <v/>
      </c>
      <c r="Q60" s="21" t="str">
        <f>IF($A60="","",IF($C60=0,"",_xlfn.MINIFS('Daily tracking'!$A$2:$A$2001,'Daily tracking'!$D$2:$D$2001,$A60)))</f>
        <v/>
      </c>
      <c r="R60" s="6" t="str">
        <f t="shared" si="6"/>
        <v/>
      </c>
    </row>
    <row r="61" spans="1:18" x14ac:dyDescent="0.3">
      <c r="A61" s="19"/>
      <c r="B61" s="19"/>
      <c r="C61" s="15" t="str">
        <f>IF($A61="","",COUNTIF('Daily tracking'!$D$2:$D$2001,$A61))</f>
        <v/>
      </c>
      <c r="D61" s="16" t="str">
        <f>IF($A61="","",SUMIF('Daily tracking'!$D$2:$D$2001,$A61,'Daily tracking'!$G$2:$G$2001))</f>
        <v/>
      </c>
      <c r="E61" s="18" t="str">
        <f>IF($A61="","",IF($C61=0,"",_xlfn.MAXIFS('Daily tracking'!$A$2:$A$2001,'Daily tracking'!$D$2:$D$2001,$A61)))</f>
        <v/>
      </c>
      <c r="F61" s="6" t="str">
        <f t="shared" ca="1" si="0"/>
        <v/>
      </c>
      <c r="G61" s="3" t="str">
        <f t="shared" si="1"/>
        <v/>
      </c>
      <c r="H61" s="9" t="str">
        <f t="shared" si="2"/>
        <v/>
      </c>
      <c r="I61" s="20"/>
      <c r="J61" s="20"/>
      <c r="K61" s="19"/>
      <c r="L61" s="19"/>
      <c r="M61" s="19"/>
      <c r="N61" s="15" t="str">
        <f t="shared" si="3"/>
        <v/>
      </c>
      <c r="O61" s="3" t="str">
        <f t="shared" si="4"/>
        <v/>
      </c>
      <c r="P61" s="6" t="str">
        <f t="shared" ca="1" si="5"/>
        <v/>
      </c>
      <c r="Q61" s="21" t="str">
        <f>IF($A61="","",IF($C61=0,"",_xlfn.MINIFS('Daily tracking'!$A$2:$A$2001,'Daily tracking'!$D$2:$D$2001,$A61)))</f>
        <v/>
      </c>
      <c r="R61" s="6" t="str">
        <f t="shared" si="6"/>
        <v/>
      </c>
    </row>
    <row r="62" spans="1:18" x14ac:dyDescent="0.3">
      <c r="A62" s="19"/>
      <c r="B62" s="19"/>
      <c r="C62" s="15" t="str">
        <f>IF($A62="","",COUNTIF('Daily tracking'!$D$2:$D$2001,$A62))</f>
        <v/>
      </c>
      <c r="D62" s="16" t="str">
        <f>IF($A62="","",SUMIF('Daily tracking'!$D$2:$D$2001,$A62,'Daily tracking'!$G$2:$G$2001))</f>
        <v/>
      </c>
      <c r="E62" s="18" t="str">
        <f>IF($A62="","",IF($C62=0,"",_xlfn.MAXIFS('Daily tracking'!$A$2:$A$2001,'Daily tracking'!$D$2:$D$2001,$A62)))</f>
        <v/>
      </c>
      <c r="F62" s="6" t="str">
        <f t="shared" ca="1" si="0"/>
        <v/>
      </c>
      <c r="G62" s="3" t="str">
        <f t="shared" si="1"/>
        <v/>
      </c>
      <c r="H62" s="9" t="str">
        <f t="shared" si="2"/>
        <v/>
      </c>
      <c r="I62" s="20"/>
      <c r="J62" s="20"/>
      <c r="K62" s="19"/>
      <c r="L62" s="19"/>
      <c r="M62" s="19"/>
      <c r="N62" s="15" t="str">
        <f t="shared" si="3"/>
        <v/>
      </c>
      <c r="O62" s="3" t="str">
        <f t="shared" si="4"/>
        <v/>
      </c>
      <c r="P62" s="6" t="str">
        <f t="shared" ca="1" si="5"/>
        <v/>
      </c>
      <c r="Q62" s="21" t="str">
        <f>IF($A62="","",IF($C62=0,"",_xlfn.MINIFS('Daily tracking'!$A$2:$A$2001,'Daily tracking'!$D$2:$D$2001,$A62)))</f>
        <v/>
      </c>
      <c r="R62" s="6" t="str">
        <f t="shared" si="6"/>
        <v/>
      </c>
    </row>
    <row r="63" spans="1:18" x14ac:dyDescent="0.3">
      <c r="A63" s="19"/>
      <c r="B63" s="19"/>
      <c r="C63" s="15" t="str">
        <f>IF($A63="","",COUNTIF('Daily tracking'!$D$2:$D$2001,$A63))</f>
        <v/>
      </c>
      <c r="D63" s="16" t="str">
        <f>IF($A63="","",SUMIF('Daily tracking'!$D$2:$D$2001,$A63,'Daily tracking'!$G$2:$G$2001))</f>
        <v/>
      </c>
      <c r="E63" s="18" t="str">
        <f>IF($A63="","",IF($C63=0,"",_xlfn.MAXIFS('Daily tracking'!$A$2:$A$2001,'Daily tracking'!$D$2:$D$2001,$A63)))</f>
        <v/>
      </c>
      <c r="F63" s="6" t="str">
        <f t="shared" ca="1" si="0"/>
        <v/>
      </c>
      <c r="G63" s="3" t="str">
        <f t="shared" si="1"/>
        <v/>
      </c>
      <c r="H63" s="9" t="str">
        <f t="shared" si="2"/>
        <v/>
      </c>
      <c r="I63" s="20"/>
      <c r="J63" s="20"/>
      <c r="K63" s="19"/>
      <c r="L63" s="19"/>
      <c r="M63" s="19"/>
      <c r="N63" s="15" t="str">
        <f t="shared" si="3"/>
        <v/>
      </c>
      <c r="O63" s="3" t="str">
        <f t="shared" si="4"/>
        <v/>
      </c>
      <c r="P63" s="6" t="str">
        <f t="shared" ca="1" si="5"/>
        <v/>
      </c>
      <c r="Q63" s="21" t="str">
        <f>IF($A63="","",IF($C63=0,"",_xlfn.MINIFS('Daily tracking'!$A$2:$A$2001,'Daily tracking'!$D$2:$D$2001,$A63)))</f>
        <v/>
      </c>
      <c r="R63" s="6" t="str">
        <f t="shared" si="6"/>
        <v/>
      </c>
    </row>
    <row r="64" spans="1:18" x14ac:dyDescent="0.3">
      <c r="A64" s="19"/>
      <c r="B64" s="19"/>
      <c r="C64" s="15" t="str">
        <f>IF($A64="","",COUNTIF('Daily tracking'!$D$2:$D$2001,$A64))</f>
        <v/>
      </c>
      <c r="D64" s="16" t="str">
        <f>IF($A64="","",SUMIF('Daily tracking'!$D$2:$D$2001,$A64,'Daily tracking'!$G$2:$G$2001))</f>
        <v/>
      </c>
      <c r="E64" s="18" t="str">
        <f>IF($A64="","",IF($C64=0,"",_xlfn.MAXIFS('Daily tracking'!$A$2:$A$2001,'Daily tracking'!$D$2:$D$2001,$A64)))</f>
        <v/>
      </c>
      <c r="F64" s="6" t="str">
        <f t="shared" ca="1" si="0"/>
        <v/>
      </c>
      <c r="G64" s="3" t="str">
        <f t="shared" si="1"/>
        <v/>
      </c>
      <c r="H64" s="9" t="str">
        <f t="shared" si="2"/>
        <v/>
      </c>
      <c r="I64" s="20"/>
      <c r="J64" s="20"/>
      <c r="K64" s="19"/>
      <c r="L64" s="19"/>
      <c r="M64" s="19"/>
      <c r="N64" s="15" t="str">
        <f t="shared" si="3"/>
        <v/>
      </c>
      <c r="O64" s="3" t="str">
        <f t="shared" si="4"/>
        <v/>
      </c>
      <c r="P64" s="6" t="str">
        <f t="shared" ca="1" si="5"/>
        <v/>
      </c>
      <c r="Q64" s="21" t="str">
        <f>IF($A64="","",IF($C64=0,"",_xlfn.MINIFS('Daily tracking'!$A$2:$A$2001,'Daily tracking'!$D$2:$D$2001,$A64)))</f>
        <v/>
      </c>
      <c r="R64" s="6" t="str">
        <f t="shared" si="6"/>
        <v/>
      </c>
    </row>
    <row r="65" spans="1:18" x14ac:dyDescent="0.3">
      <c r="A65" s="19"/>
      <c r="B65" s="19"/>
      <c r="C65" s="15" t="str">
        <f>IF($A65="","",COUNTIF('Daily tracking'!$D$2:$D$2001,$A65))</f>
        <v/>
      </c>
      <c r="D65" s="16" t="str">
        <f>IF($A65="","",SUMIF('Daily tracking'!$D$2:$D$2001,$A65,'Daily tracking'!$G$2:$G$2001))</f>
        <v/>
      </c>
      <c r="E65" s="18" t="str">
        <f>IF($A65="","",IF($C65=0,"",_xlfn.MAXIFS('Daily tracking'!$A$2:$A$2001,'Daily tracking'!$D$2:$D$2001,$A65)))</f>
        <v/>
      </c>
      <c r="F65" s="6" t="str">
        <f t="shared" ca="1" si="0"/>
        <v/>
      </c>
      <c r="G65" s="3" t="str">
        <f t="shared" si="1"/>
        <v/>
      </c>
      <c r="H65" s="9" t="str">
        <f t="shared" si="2"/>
        <v/>
      </c>
      <c r="I65" s="20"/>
      <c r="J65" s="20"/>
      <c r="K65" s="19"/>
      <c r="L65" s="19"/>
      <c r="M65" s="19"/>
      <c r="N65" s="15" t="str">
        <f t="shared" si="3"/>
        <v/>
      </c>
      <c r="O65" s="3" t="str">
        <f t="shared" si="4"/>
        <v/>
      </c>
      <c r="P65" s="6" t="str">
        <f t="shared" ca="1" si="5"/>
        <v/>
      </c>
      <c r="Q65" s="21" t="str">
        <f>IF($A65="","",IF($C65=0,"",_xlfn.MINIFS('Daily tracking'!$A$2:$A$2001,'Daily tracking'!$D$2:$D$2001,$A65)))</f>
        <v/>
      </c>
      <c r="R65" s="6" t="str">
        <f t="shared" si="6"/>
        <v/>
      </c>
    </row>
    <row r="66" spans="1:18" x14ac:dyDescent="0.3">
      <c r="A66" s="19"/>
      <c r="B66" s="19"/>
      <c r="C66" s="15" t="str">
        <f>IF($A66="","",COUNTIF('Daily tracking'!$D$2:$D$2001,$A66))</f>
        <v/>
      </c>
      <c r="D66" s="16" t="str">
        <f>IF($A66="","",SUMIF('Daily tracking'!$D$2:$D$2001,$A66,'Daily tracking'!$G$2:$G$2001))</f>
        <v/>
      </c>
      <c r="E66" s="18" t="str">
        <f>IF($A66="","",IF($C66=0,"",_xlfn.MAXIFS('Daily tracking'!$A$2:$A$2001,'Daily tracking'!$D$2:$D$2001,$A66)))</f>
        <v/>
      </c>
      <c r="F66" s="6" t="str">
        <f t="shared" ref="F66:F129" ca="1" si="7">IF(OR($A66="",$E66=""),"",TODAY()-$E66)</f>
        <v/>
      </c>
      <c r="G66" s="3" t="str">
        <f t="shared" ref="G66:G129" si="8">IF($A66="","",IF($C66=0,"No visits",IF($F66&gt;90,"Lapsed",IF($F66&gt;35,"At risk",IF($C66&gt;=4,"Loyal","Active")))))</f>
        <v/>
      </c>
      <c r="H66" s="9" t="str">
        <f t="shared" ref="H66:H129" si="9">IF(OR($A66="",$C66=0),"",$D66/$C66)</f>
        <v/>
      </c>
      <c r="I66" s="20"/>
      <c r="J66" s="20"/>
      <c r="K66" s="19"/>
      <c r="L66" s="19"/>
      <c r="M66" s="19"/>
      <c r="N66" s="15" t="str">
        <f t="shared" ref="N66:N129" si="10">IF($A66="","",IF($C66=0,0,(IF($F66&lt;=15,5,IF($F66&lt;=30,4,IF($F66&lt;=45,3,IF($F66&lt;=90,2,1))))+IF($C66&gt;=10,5,IF($C66&gt;=6,4,IF($C66&gt;=4,3,IF($C66&gt;=2,2,1))))+IF($D66&gt;=20000,5,IF($D66&gt;=10000,4,IF($D66&gt;=5000,3,IF($D66&gt;=2000,2,1)))))))</f>
        <v/>
      </c>
      <c r="O66" s="3" t="str">
        <f t="shared" ref="O66:O129" si="11">IF($A66="","",IF($C66=0,"No visits",IF($N66&gt;=13,"VIP",IF($N66&gt;=10,"High value",IF($N66&gt;=7,"Regular",IF($N66&gt;=4,"Occasional","Low"))))))</f>
        <v/>
      </c>
      <c r="P66" s="6" t="str">
        <f t="shared" ref="P66:P129" ca="1" si="12">IF(OR($A66="",$I66=""),"",IF(MONTH($I66)=MONTH(TODAY()),"Yes",""))</f>
        <v/>
      </c>
      <c r="Q66" s="21" t="str">
        <f>IF($A66="","",IF($C66=0,"",_xlfn.MINIFS('Daily tracking'!$A$2:$A$2001,'Daily tracking'!$D$2:$D$2001,$A66)))</f>
        <v/>
      </c>
      <c r="R66" s="6" t="str">
        <f t="shared" ref="R66:R129" si="13">IF(OR($A66="",$C66&lt;2),"",($E66-$Q66)/($C66-1))</f>
        <v/>
      </c>
    </row>
    <row r="67" spans="1:18" x14ac:dyDescent="0.3">
      <c r="A67" s="19"/>
      <c r="B67" s="19"/>
      <c r="C67" s="15" t="str">
        <f>IF($A67="","",COUNTIF('Daily tracking'!$D$2:$D$2001,$A67))</f>
        <v/>
      </c>
      <c r="D67" s="16" t="str">
        <f>IF($A67="","",SUMIF('Daily tracking'!$D$2:$D$2001,$A67,'Daily tracking'!$G$2:$G$2001))</f>
        <v/>
      </c>
      <c r="E67" s="18" t="str">
        <f>IF($A67="","",IF($C67=0,"",_xlfn.MAXIFS('Daily tracking'!$A$2:$A$2001,'Daily tracking'!$D$2:$D$2001,$A67)))</f>
        <v/>
      </c>
      <c r="F67" s="6" t="str">
        <f t="shared" ca="1" si="7"/>
        <v/>
      </c>
      <c r="G67" s="3" t="str">
        <f t="shared" si="8"/>
        <v/>
      </c>
      <c r="H67" s="9" t="str">
        <f t="shared" si="9"/>
        <v/>
      </c>
      <c r="I67" s="20"/>
      <c r="J67" s="20"/>
      <c r="K67" s="19"/>
      <c r="L67" s="19"/>
      <c r="M67" s="19"/>
      <c r="N67" s="15" t="str">
        <f t="shared" si="10"/>
        <v/>
      </c>
      <c r="O67" s="3" t="str">
        <f t="shared" si="11"/>
        <v/>
      </c>
      <c r="P67" s="6" t="str">
        <f t="shared" ca="1" si="12"/>
        <v/>
      </c>
      <c r="Q67" s="21" t="str">
        <f>IF($A67="","",IF($C67=0,"",_xlfn.MINIFS('Daily tracking'!$A$2:$A$2001,'Daily tracking'!$D$2:$D$2001,$A67)))</f>
        <v/>
      </c>
      <c r="R67" s="6" t="str">
        <f t="shared" si="13"/>
        <v/>
      </c>
    </row>
    <row r="68" spans="1:18" x14ac:dyDescent="0.3">
      <c r="A68" s="19"/>
      <c r="B68" s="19"/>
      <c r="C68" s="15" t="str">
        <f>IF($A68="","",COUNTIF('Daily tracking'!$D$2:$D$2001,$A68))</f>
        <v/>
      </c>
      <c r="D68" s="16" t="str">
        <f>IF($A68="","",SUMIF('Daily tracking'!$D$2:$D$2001,$A68,'Daily tracking'!$G$2:$G$2001))</f>
        <v/>
      </c>
      <c r="E68" s="18" t="str">
        <f>IF($A68="","",IF($C68=0,"",_xlfn.MAXIFS('Daily tracking'!$A$2:$A$2001,'Daily tracking'!$D$2:$D$2001,$A68)))</f>
        <v/>
      </c>
      <c r="F68" s="6" t="str">
        <f t="shared" ca="1" si="7"/>
        <v/>
      </c>
      <c r="G68" s="3" t="str">
        <f t="shared" si="8"/>
        <v/>
      </c>
      <c r="H68" s="9" t="str">
        <f t="shared" si="9"/>
        <v/>
      </c>
      <c r="I68" s="20"/>
      <c r="J68" s="20"/>
      <c r="K68" s="19"/>
      <c r="L68" s="19"/>
      <c r="M68" s="19"/>
      <c r="N68" s="15" t="str">
        <f t="shared" si="10"/>
        <v/>
      </c>
      <c r="O68" s="3" t="str">
        <f t="shared" si="11"/>
        <v/>
      </c>
      <c r="P68" s="6" t="str">
        <f t="shared" ca="1" si="12"/>
        <v/>
      </c>
      <c r="Q68" s="21" t="str">
        <f>IF($A68="","",IF($C68=0,"",_xlfn.MINIFS('Daily tracking'!$A$2:$A$2001,'Daily tracking'!$D$2:$D$2001,$A68)))</f>
        <v/>
      </c>
      <c r="R68" s="6" t="str">
        <f t="shared" si="13"/>
        <v/>
      </c>
    </row>
    <row r="69" spans="1:18" x14ac:dyDescent="0.3">
      <c r="A69" s="19"/>
      <c r="B69" s="19"/>
      <c r="C69" s="15" t="str">
        <f>IF($A69="","",COUNTIF('Daily tracking'!$D$2:$D$2001,$A69))</f>
        <v/>
      </c>
      <c r="D69" s="16" t="str">
        <f>IF($A69="","",SUMIF('Daily tracking'!$D$2:$D$2001,$A69,'Daily tracking'!$G$2:$G$2001))</f>
        <v/>
      </c>
      <c r="E69" s="18" t="str">
        <f>IF($A69="","",IF($C69=0,"",_xlfn.MAXIFS('Daily tracking'!$A$2:$A$2001,'Daily tracking'!$D$2:$D$2001,$A69)))</f>
        <v/>
      </c>
      <c r="F69" s="6" t="str">
        <f t="shared" ca="1" si="7"/>
        <v/>
      </c>
      <c r="G69" s="3" t="str">
        <f t="shared" si="8"/>
        <v/>
      </c>
      <c r="H69" s="9" t="str">
        <f t="shared" si="9"/>
        <v/>
      </c>
      <c r="I69" s="20"/>
      <c r="J69" s="20"/>
      <c r="K69" s="19"/>
      <c r="L69" s="19"/>
      <c r="M69" s="19"/>
      <c r="N69" s="15" t="str">
        <f t="shared" si="10"/>
        <v/>
      </c>
      <c r="O69" s="3" t="str">
        <f t="shared" si="11"/>
        <v/>
      </c>
      <c r="P69" s="6" t="str">
        <f t="shared" ca="1" si="12"/>
        <v/>
      </c>
      <c r="Q69" s="21" t="str">
        <f>IF($A69="","",IF($C69=0,"",_xlfn.MINIFS('Daily tracking'!$A$2:$A$2001,'Daily tracking'!$D$2:$D$2001,$A69)))</f>
        <v/>
      </c>
      <c r="R69" s="6" t="str">
        <f t="shared" si="13"/>
        <v/>
      </c>
    </row>
    <row r="70" spans="1:18" x14ac:dyDescent="0.3">
      <c r="A70" s="19"/>
      <c r="B70" s="19"/>
      <c r="C70" s="15" t="str">
        <f>IF($A70="","",COUNTIF('Daily tracking'!$D$2:$D$2001,$A70))</f>
        <v/>
      </c>
      <c r="D70" s="16" t="str">
        <f>IF($A70="","",SUMIF('Daily tracking'!$D$2:$D$2001,$A70,'Daily tracking'!$G$2:$G$2001))</f>
        <v/>
      </c>
      <c r="E70" s="18" t="str">
        <f>IF($A70="","",IF($C70=0,"",_xlfn.MAXIFS('Daily tracking'!$A$2:$A$2001,'Daily tracking'!$D$2:$D$2001,$A70)))</f>
        <v/>
      </c>
      <c r="F70" s="6" t="str">
        <f t="shared" ca="1" si="7"/>
        <v/>
      </c>
      <c r="G70" s="3" t="str">
        <f t="shared" si="8"/>
        <v/>
      </c>
      <c r="H70" s="9" t="str">
        <f t="shared" si="9"/>
        <v/>
      </c>
      <c r="I70" s="20"/>
      <c r="J70" s="20"/>
      <c r="K70" s="19"/>
      <c r="L70" s="19"/>
      <c r="M70" s="19"/>
      <c r="N70" s="15" t="str">
        <f t="shared" si="10"/>
        <v/>
      </c>
      <c r="O70" s="3" t="str">
        <f t="shared" si="11"/>
        <v/>
      </c>
      <c r="P70" s="6" t="str">
        <f t="shared" ca="1" si="12"/>
        <v/>
      </c>
      <c r="Q70" s="21" t="str">
        <f>IF($A70="","",IF($C70=0,"",_xlfn.MINIFS('Daily tracking'!$A$2:$A$2001,'Daily tracking'!$D$2:$D$2001,$A70)))</f>
        <v/>
      </c>
      <c r="R70" s="6" t="str">
        <f t="shared" si="13"/>
        <v/>
      </c>
    </row>
    <row r="71" spans="1:18" x14ac:dyDescent="0.3">
      <c r="A71" s="19"/>
      <c r="B71" s="19"/>
      <c r="C71" s="15" t="str">
        <f>IF($A71="","",COUNTIF('Daily tracking'!$D$2:$D$2001,$A71))</f>
        <v/>
      </c>
      <c r="D71" s="16" t="str">
        <f>IF($A71="","",SUMIF('Daily tracking'!$D$2:$D$2001,$A71,'Daily tracking'!$G$2:$G$2001))</f>
        <v/>
      </c>
      <c r="E71" s="18" t="str">
        <f>IF($A71="","",IF($C71=0,"",_xlfn.MAXIFS('Daily tracking'!$A$2:$A$2001,'Daily tracking'!$D$2:$D$2001,$A71)))</f>
        <v/>
      </c>
      <c r="F71" s="6" t="str">
        <f t="shared" ca="1" si="7"/>
        <v/>
      </c>
      <c r="G71" s="3" t="str">
        <f t="shared" si="8"/>
        <v/>
      </c>
      <c r="H71" s="9" t="str">
        <f t="shared" si="9"/>
        <v/>
      </c>
      <c r="I71" s="20"/>
      <c r="J71" s="20"/>
      <c r="K71" s="19"/>
      <c r="L71" s="19"/>
      <c r="M71" s="19"/>
      <c r="N71" s="15" t="str">
        <f t="shared" si="10"/>
        <v/>
      </c>
      <c r="O71" s="3" t="str">
        <f t="shared" si="11"/>
        <v/>
      </c>
      <c r="P71" s="6" t="str">
        <f t="shared" ca="1" si="12"/>
        <v/>
      </c>
      <c r="Q71" s="21" t="str">
        <f>IF($A71="","",IF($C71=0,"",_xlfn.MINIFS('Daily tracking'!$A$2:$A$2001,'Daily tracking'!$D$2:$D$2001,$A71)))</f>
        <v/>
      </c>
      <c r="R71" s="6" t="str">
        <f t="shared" si="13"/>
        <v/>
      </c>
    </row>
    <row r="72" spans="1:18" x14ac:dyDescent="0.3">
      <c r="A72" s="19"/>
      <c r="B72" s="19"/>
      <c r="C72" s="15" t="str">
        <f>IF($A72="","",COUNTIF('Daily tracking'!$D$2:$D$2001,$A72))</f>
        <v/>
      </c>
      <c r="D72" s="16" t="str">
        <f>IF($A72="","",SUMIF('Daily tracking'!$D$2:$D$2001,$A72,'Daily tracking'!$G$2:$G$2001))</f>
        <v/>
      </c>
      <c r="E72" s="18" t="str">
        <f>IF($A72="","",IF($C72=0,"",_xlfn.MAXIFS('Daily tracking'!$A$2:$A$2001,'Daily tracking'!$D$2:$D$2001,$A72)))</f>
        <v/>
      </c>
      <c r="F72" s="6" t="str">
        <f t="shared" ca="1" si="7"/>
        <v/>
      </c>
      <c r="G72" s="3" t="str">
        <f t="shared" si="8"/>
        <v/>
      </c>
      <c r="H72" s="9" t="str">
        <f t="shared" si="9"/>
        <v/>
      </c>
      <c r="I72" s="20"/>
      <c r="J72" s="20"/>
      <c r="K72" s="19"/>
      <c r="L72" s="19"/>
      <c r="M72" s="19"/>
      <c r="N72" s="15" t="str">
        <f t="shared" si="10"/>
        <v/>
      </c>
      <c r="O72" s="3" t="str">
        <f t="shared" si="11"/>
        <v/>
      </c>
      <c r="P72" s="6" t="str">
        <f t="shared" ca="1" si="12"/>
        <v/>
      </c>
      <c r="Q72" s="21" t="str">
        <f>IF($A72="","",IF($C72=0,"",_xlfn.MINIFS('Daily tracking'!$A$2:$A$2001,'Daily tracking'!$D$2:$D$2001,$A72)))</f>
        <v/>
      </c>
      <c r="R72" s="6" t="str">
        <f t="shared" si="13"/>
        <v/>
      </c>
    </row>
    <row r="73" spans="1:18" x14ac:dyDescent="0.3">
      <c r="A73" s="19"/>
      <c r="B73" s="19"/>
      <c r="C73" s="15" t="str">
        <f>IF($A73="","",COUNTIF('Daily tracking'!$D$2:$D$2001,$A73))</f>
        <v/>
      </c>
      <c r="D73" s="16" t="str">
        <f>IF($A73="","",SUMIF('Daily tracking'!$D$2:$D$2001,$A73,'Daily tracking'!$G$2:$G$2001))</f>
        <v/>
      </c>
      <c r="E73" s="18" t="str">
        <f>IF($A73="","",IF($C73=0,"",_xlfn.MAXIFS('Daily tracking'!$A$2:$A$2001,'Daily tracking'!$D$2:$D$2001,$A73)))</f>
        <v/>
      </c>
      <c r="F73" s="6" t="str">
        <f t="shared" ca="1" si="7"/>
        <v/>
      </c>
      <c r="G73" s="3" t="str">
        <f t="shared" si="8"/>
        <v/>
      </c>
      <c r="H73" s="9" t="str">
        <f t="shared" si="9"/>
        <v/>
      </c>
      <c r="I73" s="20"/>
      <c r="J73" s="20"/>
      <c r="K73" s="19"/>
      <c r="L73" s="19"/>
      <c r="M73" s="19"/>
      <c r="N73" s="15" t="str">
        <f t="shared" si="10"/>
        <v/>
      </c>
      <c r="O73" s="3" t="str">
        <f t="shared" si="11"/>
        <v/>
      </c>
      <c r="P73" s="6" t="str">
        <f t="shared" ca="1" si="12"/>
        <v/>
      </c>
      <c r="Q73" s="21" t="str">
        <f>IF($A73="","",IF($C73=0,"",_xlfn.MINIFS('Daily tracking'!$A$2:$A$2001,'Daily tracking'!$D$2:$D$2001,$A73)))</f>
        <v/>
      </c>
      <c r="R73" s="6" t="str">
        <f t="shared" si="13"/>
        <v/>
      </c>
    </row>
    <row r="74" spans="1:18" x14ac:dyDescent="0.3">
      <c r="A74" s="19"/>
      <c r="B74" s="19"/>
      <c r="C74" s="15" t="str">
        <f>IF($A74="","",COUNTIF('Daily tracking'!$D$2:$D$2001,$A74))</f>
        <v/>
      </c>
      <c r="D74" s="16" t="str">
        <f>IF($A74="","",SUMIF('Daily tracking'!$D$2:$D$2001,$A74,'Daily tracking'!$G$2:$G$2001))</f>
        <v/>
      </c>
      <c r="E74" s="18" t="str">
        <f>IF($A74="","",IF($C74=0,"",_xlfn.MAXIFS('Daily tracking'!$A$2:$A$2001,'Daily tracking'!$D$2:$D$2001,$A74)))</f>
        <v/>
      </c>
      <c r="F74" s="6" t="str">
        <f t="shared" ca="1" si="7"/>
        <v/>
      </c>
      <c r="G74" s="3" t="str">
        <f t="shared" si="8"/>
        <v/>
      </c>
      <c r="H74" s="9" t="str">
        <f t="shared" si="9"/>
        <v/>
      </c>
      <c r="I74" s="20"/>
      <c r="J74" s="20"/>
      <c r="K74" s="19"/>
      <c r="L74" s="19"/>
      <c r="M74" s="19"/>
      <c r="N74" s="15" t="str">
        <f t="shared" si="10"/>
        <v/>
      </c>
      <c r="O74" s="3" t="str">
        <f t="shared" si="11"/>
        <v/>
      </c>
      <c r="P74" s="6" t="str">
        <f t="shared" ca="1" si="12"/>
        <v/>
      </c>
      <c r="Q74" s="21" t="str">
        <f>IF($A74="","",IF($C74=0,"",_xlfn.MINIFS('Daily tracking'!$A$2:$A$2001,'Daily tracking'!$D$2:$D$2001,$A74)))</f>
        <v/>
      </c>
      <c r="R74" s="6" t="str">
        <f t="shared" si="13"/>
        <v/>
      </c>
    </row>
    <row r="75" spans="1:18" x14ac:dyDescent="0.3">
      <c r="A75" s="19"/>
      <c r="B75" s="19"/>
      <c r="C75" s="15" t="str">
        <f>IF($A75="","",COUNTIF('Daily tracking'!$D$2:$D$2001,$A75))</f>
        <v/>
      </c>
      <c r="D75" s="16" t="str">
        <f>IF($A75="","",SUMIF('Daily tracking'!$D$2:$D$2001,$A75,'Daily tracking'!$G$2:$G$2001))</f>
        <v/>
      </c>
      <c r="E75" s="18" t="str">
        <f>IF($A75="","",IF($C75=0,"",_xlfn.MAXIFS('Daily tracking'!$A$2:$A$2001,'Daily tracking'!$D$2:$D$2001,$A75)))</f>
        <v/>
      </c>
      <c r="F75" s="6" t="str">
        <f t="shared" ca="1" si="7"/>
        <v/>
      </c>
      <c r="G75" s="3" t="str">
        <f t="shared" si="8"/>
        <v/>
      </c>
      <c r="H75" s="9" t="str">
        <f t="shared" si="9"/>
        <v/>
      </c>
      <c r="I75" s="20"/>
      <c r="J75" s="20"/>
      <c r="K75" s="19"/>
      <c r="L75" s="19"/>
      <c r="M75" s="19"/>
      <c r="N75" s="15" t="str">
        <f t="shared" si="10"/>
        <v/>
      </c>
      <c r="O75" s="3" t="str">
        <f t="shared" si="11"/>
        <v/>
      </c>
      <c r="P75" s="6" t="str">
        <f t="shared" ca="1" si="12"/>
        <v/>
      </c>
      <c r="Q75" s="21" t="str">
        <f>IF($A75="","",IF($C75=0,"",_xlfn.MINIFS('Daily tracking'!$A$2:$A$2001,'Daily tracking'!$D$2:$D$2001,$A75)))</f>
        <v/>
      </c>
      <c r="R75" s="6" t="str">
        <f t="shared" si="13"/>
        <v/>
      </c>
    </row>
    <row r="76" spans="1:18" x14ac:dyDescent="0.3">
      <c r="A76" s="19"/>
      <c r="B76" s="19"/>
      <c r="C76" s="15" t="str">
        <f>IF($A76="","",COUNTIF('Daily tracking'!$D$2:$D$2001,$A76))</f>
        <v/>
      </c>
      <c r="D76" s="16" t="str">
        <f>IF($A76="","",SUMIF('Daily tracking'!$D$2:$D$2001,$A76,'Daily tracking'!$G$2:$G$2001))</f>
        <v/>
      </c>
      <c r="E76" s="18" t="str">
        <f>IF($A76="","",IF($C76=0,"",_xlfn.MAXIFS('Daily tracking'!$A$2:$A$2001,'Daily tracking'!$D$2:$D$2001,$A76)))</f>
        <v/>
      </c>
      <c r="F76" s="6" t="str">
        <f t="shared" ca="1" si="7"/>
        <v/>
      </c>
      <c r="G76" s="3" t="str">
        <f t="shared" si="8"/>
        <v/>
      </c>
      <c r="H76" s="9" t="str">
        <f t="shared" si="9"/>
        <v/>
      </c>
      <c r="I76" s="20"/>
      <c r="J76" s="20"/>
      <c r="K76" s="19"/>
      <c r="L76" s="19"/>
      <c r="M76" s="19"/>
      <c r="N76" s="15" t="str">
        <f t="shared" si="10"/>
        <v/>
      </c>
      <c r="O76" s="3" t="str">
        <f t="shared" si="11"/>
        <v/>
      </c>
      <c r="P76" s="6" t="str">
        <f t="shared" ca="1" si="12"/>
        <v/>
      </c>
      <c r="Q76" s="21" t="str">
        <f>IF($A76="","",IF($C76=0,"",_xlfn.MINIFS('Daily tracking'!$A$2:$A$2001,'Daily tracking'!$D$2:$D$2001,$A76)))</f>
        <v/>
      </c>
      <c r="R76" s="6" t="str">
        <f t="shared" si="13"/>
        <v/>
      </c>
    </row>
    <row r="77" spans="1:18" x14ac:dyDescent="0.3">
      <c r="A77" s="19"/>
      <c r="B77" s="19"/>
      <c r="C77" s="15" t="str">
        <f>IF($A77="","",COUNTIF('Daily tracking'!$D$2:$D$2001,$A77))</f>
        <v/>
      </c>
      <c r="D77" s="16" t="str">
        <f>IF($A77="","",SUMIF('Daily tracking'!$D$2:$D$2001,$A77,'Daily tracking'!$G$2:$G$2001))</f>
        <v/>
      </c>
      <c r="E77" s="18" t="str">
        <f>IF($A77="","",IF($C77=0,"",_xlfn.MAXIFS('Daily tracking'!$A$2:$A$2001,'Daily tracking'!$D$2:$D$2001,$A77)))</f>
        <v/>
      </c>
      <c r="F77" s="6" t="str">
        <f t="shared" ca="1" si="7"/>
        <v/>
      </c>
      <c r="G77" s="3" t="str">
        <f t="shared" si="8"/>
        <v/>
      </c>
      <c r="H77" s="9" t="str">
        <f t="shared" si="9"/>
        <v/>
      </c>
      <c r="I77" s="20"/>
      <c r="J77" s="20"/>
      <c r="K77" s="19"/>
      <c r="L77" s="19"/>
      <c r="M77" s="19"/>
      <c r="N77" s="15" t="str">
        <f t="shared" si="10"/>
        <v/>
      </c>
      <c r="O77" s="3" t="str">
        <f t="shared" si="11"/>
        <v/>
      </c>
      <c r="P77" s="6" t="str">
        <f t="shared" ca="1" si="12"/>
        <v/>
      </c>
      <c r="Q77" s="21" t="str">
        <f>IF($A77="","",IF($C77=0,"",_xlfn.MINIFS('Daily tracking'!$A$2:$A$2001,'Daily tracking'!$D$2:$D$2001,$A77)))</f>
        <v/>
      </c>
      <c r="R77" s="6" t="str">
        <f t="shared" si="13"/>
        <v/>
      </c>
    </row>
    <row r="78" spans="1:18" x14ac:dyDescent="0.3">
      <c r="A78" s="19"/>
      <c r="B78" s="19"/>
      <c r="C78" s="15" t="str">
        <f>IF($A78="","",COUNTIF('Daily tracking'!$D$2:$D$2001,$A78))</f>
        <v/>
      </c>
      <c r="D78" s="16" t="str">
        <f>IF($A78="","",SUMIF('Daily tracking'!$D$2:$D$2001,$A78,'Daily tracking'!$G$2:$G$2001))</f>
        <v/>
      </c>
      <c r="E78" s="18" t="str">
        <f>IF($A78="","",IF($C78=0,"",_xlfn.MAXIFS('Daily tracking'!$A$2:$A$2001,'Daily tracking'!$D$2:$D$2001,$A78)))</f>
        <v/>
      </c>
      <c r="F78" s="6" t="str">
        <f t="shared" ca="1" si="7"/>
        <v/>
      </c>
      <c r="G78" s="3" t="str">
        <f t="shared" si="8"/>
        <v/>
      </c>
      <c r="H78" s="9" t="str">
        <f t="shared" si="9"/>
        <v/>
      </c>
      <c r="I78" s="20"/>
      <c r="J78" s="20"/>
      <c r="K78" s="19"/>
      <c r="L78" s="19"/>
      <c r="M78" s="19"/>
      <c r="N78" s="15" t="str">
        <f t="shared" si="10"/>
        <v/>
      </c>
      <c r="O78" s="3" t="str">
        <f t="shared" si="11"/>
        <v/>
      </c>
      <c r="P78" s="6" t="str">
        <f t="shared" ca="1" si="12"/>
        <v/>
      </c>
      <c r="Q78" s="21" t="str">
        <f>IF($A78="","",IF($C78=0,"",_xlfn.MINIFS('Daily tracking'!$A$2:$A$2001,'Daily tracking'!$D$2:$D$2001,$A78)))</f>
        <v/>
      </c>
      <c r="R78" s="6" t="str">
        <f t="shared" si="13"/>
        <v/>
      </c>
    </row>
    <row r="79" spans="1:18" x14ac:dyDescent="0.3">
      <c r="A79" s="19"/>
      <c r="B79" s="19"/>
      <c r="C79" s="15" t="str">
        <f>IF($A79="","",COUNTIF('Daily tracking'!$D$2:$D$2001,$A79))</f>
        <v/>
      </c>
      <c r="D79" s="16" t="str">
        <f>IF($A79="","",SUMIF('Daily tracking'!$D$2:$D$2001,$A79,'Daily tracking'!$G$2:$G$2001))</f>
        <v/>
      </c>
      <c r="E79" s="18" t="str">
        <f>IF($A79="","",IF($C79=0,"",_xlfn.MAXIFS('Daily tracking'!$A$2:$A$2001,'Daily tracking'!$D$2:$D$2001,$A79)))</f>
        <v/>
      </c>
      <c r="F79" s="6" t="str">
        <f t="shared" ca="1" si="7"/>
        <v/>
      </c>
      <c r="G79" s="3" t="str">
        <f t="shared" si="8"/>
        <v/>
      </c>
      <c r="H79" s="9" t="str">
        <f t="shared" si="9"/>
        <v/>
      </c>
      <c r="I79" s="20"/>
      <c r="J79" s="20"/>
      <c r="K79" s="19"/>
      <c r="L79" s="19"/>
      <c r="M79" s="19"/>
      <c r="N79" s="15" t="str">
        <f t="shared" si="10"/>
        <v/>
      </c>
      <c r="O79" s="3" t="str">
        <f t="shared" si="11"/>
        <v/>
      </c>
      <c r="P79" s="6" t="str">
        <f t="shared" ca="1" si="12"/>
        <v/>
      </c>
      <c r="Q79" s="21" t="str">
        <f>IF($A79="","",IF($C79=0,"",_xlfn.MINIFS('Daily tracking'!$A$2:$A$2001,'Daily tracking'!$D$2:$D$2001,$A79)))</f>
        <v/>
      </c>
      <c r="R79" s="6" t="str">
        <f t="shared" si="13"/>
        <v/>
      </c>
    </row>
    <row r="80" spans="1:18" x14ac:dyDescent="0.3">
      <c r="A80" s="19"/>
      <c r="B80" s="19"/>
      <c r="C80" s="15" t="str">
        <f>IF($A80="","",COUNTIF('Daily tracking'!$D$2:$D$2001,$A80))</f>
        <v/>
      </c>
      <c r="D80" s="16" t="str">
        <f>IF($A80="","",SUMIF('Daily tracking'!$D$2:$D$2001,$A80,'Daily tracking'!$G$2:$G$2001))</f>
        <v/>
      </c>
      <c r="E80" s="18" t="str">
        <f>IF($A80="","",IF($C80=0,"",_xlfn.MAXIFS('Daily tracking'!$A$2:$A$2001,'Daily tracking'!$D$2:$D$2001,$A80)))</f>
        <v/>
      </c>
      <c r="F80" s="6" t="str">
        <f t="shared" ca="1" si="7"/>
        <v/>
      </c>
      <c r="G80" s="3" t="str">
        <f t="shared" si="8"/>
        <v/>
      </c>
      <c r="H80" s="9" t="str">
        <f t="shared" si="9"/>
        <v/>
      </c>
      <c r="I80" s="20"/>
      <c r="J80" s="20"/>
      <c r="K80" s="19"/>
      <c r="L80" s="19"/>
      <c r="M80" s="19"/>
      <c r="N80" s="15" t="str">
        <f t="shared" si="10"/>
        <v/>
      </c>
      <c r="O80" s="3" t="str">
        <f t="shared" si="11"/>
        <v/>
      </c>
      <c r="P80" s="6" t="str">
        <f t="shared" ca="1" si="12"/>
        <v/>
      </c>
      <c r="Q80" s="21" t="str">
        <f>IF($A80="","",IF($C80=0,"",_xlfn.MINIFS('Daily tracking'!$A$2:$A$2001,'Daily tracking'!$D$2:$D$2001,$A80)))</f>
        <v/>
      </c>
      <c r="R80" s="6" t="str">
        <f t="shared" si="13"/>
        <v/>
      </c>
    </row>
    <row r="81" spans="1:18" x14ac:dyDescent="0.3">
      <c r="A81" s="19"/>
      <c r="B81" s="19"/>
      <c r="C81" s="15" t="str">
        <f>IF($A81="","",COUNTIF('Daily tracking'!$D$2:$D$2001,$A81))</f>
        <v/>
      </c>
      <c r="D81" s="16" t="str">
        <f>IF($A81="","",SUMIF('Daily tracking'!$D$2:$D$2001,$A81,'Daily tracking'!$G$2:$G$2001))</f>
        <v/>
      </c>
      <c r="E81" s="18" t="str">
        <f>IF($A81="","",IF($C81=0,"",_xlfn.MAXIFS('Daily tracking'!$A$2:$A$2001,'Daily tracking'!$D$2:$D$2001,$A81)))</f>
        <v/>
      </c>
      <c r="F81" s="6" t="str">
        <f t="shared" ca="1" si="7"/>
        <v/>
      </c>
      <c r="G81" s="3" t="str">
        <f t="shared" si="8"/>
        <v/>
      </c>
      <c r="H81" s="9" t="str">
        <f t="shared" si="9"/>
        <v/>
      </c>
      <c r="I81" s="20"/>
      <c r="J81" s="20"/>
      <c r="K81" s="19"/>
      <c r="L81" s="19"/>
      <c r="M81" s="19"/>
      <c r="N81" s="15" t="str">
        <f t="shared" si="10"/>
        <v/>
      </c>
      <c r="O81" s="3" t="str">
        <f t="shared" si="11"/>
        <v/>
      </c>
      <c r="P81" s="6" t="str">
        <f t="shared" ca="1" si="12"/>
        <v/>
      </c>
      <c r="Q81" s="21" t="str">
        <f>IF($A81="","",IF($C81=0,"",_xlfn.MINIFS('Daily tracking'!$A$2:$A$2001,'Daily tracking'!$D$2:$D$2001,$A81)))</f>
        <v/>
      </c>
      <c r="R81" s="6" t="str">
        <f t="shared" si="13"/>
        <v/>
      </c>
    </row>
    <row r="82" spans="1:18" x14ac:dyDescent="0.3">
      <c r="A82" s="19"/>
      <c r="B82" s="19"/>
      <c r="C82" s="15" t="str">
        <f>IF($A82="","",COUNTIF('Daily tracking'!$D$2:$D$2001,$A82))</f>
        <v/>
      </c>
      <c r="D82" s="16" t="str">
        <f>IF($A82="","",SUMIF('Daily tracking'!$D$2:$D$2001,$A82,'Daily tracking'!$G$2:$G$2001))</f>
        <v/>
      </c>
      <c r="E82" s="18" t="str">
        <f>IF($A82="","",IF($C82=0,"",_xlfn.MAXIFS('Daily tracking'!$A$2:$A$2001,'Daily tracking'!$D$2:$D$2001,$A82)))</f>
        <v/>
      </c>
      <c r="F82" s="6" t="str">
        <f t="shared" ca="1" si="7"/>
        <v/>
      </c>
      <c r="G82" s="3" t="str">
        <f t="shared" si="8"/>
        <v/>
      </c>
      <c r="H82" s="9" t="str">
        <f t="shared" si="9"/>
        <v/>
      </c>
      <c r="I82" s="20"/>
      <c r="J82" s="20"/>
      <c r="K82" s="19"/>
      <c r="L82" s="19"/>
      <c r="M82" s="19"/>
      <c r="N82" s="15" t="str">
        <f t="shared" si="10"/>
        <v/>
      </c>
      <c r="O82" s="3" t="str">
        <f t="shared" si="11"/>
        <v/>
      </c>
      <c r="P82" s="6" t="str">
        <f t="shared" ca="1" si="12"/>
        <v/>
      </c>
      <c r="Q82" s="21" t="str">
        <f>IF($A82="","",IF($C82=0,"",_xlfn.MINIFS('Daily tracking'!$A$2:$A$2001,'Daily tracking'!$D$2:$D$2001,$A82)))</f>
        <v/>
      </c>
      <c r="R82" s="6" t="str">
        <f t="shared" si="13"/>
        <v/>
      </c>
    </row>
    <row r="83" spans="1:18" x14ac:dyDescent="0.3">
      <c r="A83" s="19"/>
      <c r="B83" s="19"/>
      <c r="C83" s="15" t="str">
        <f>IF($A83="","",COUNTIF('Daily tracking'!$D$2:$D$2001,$A83))</f>
        <v/>
      </c>
      <c r="D83" s="16" t="str">
        <f>IF($A83="","",SUMIF('Daily tracking'!$D$2:$D$2001,$A83,'Daily tracking'!$G$2:$G$2001))</f>
        <v/>
      </c>
      <c r="E83" s="18" t="str">
        <f>IF($A83="","",IF($C83=0,"",_xlfn.MAXIFS('Daily tracking'!$A$2:$A$2001,'Daily tracking'!$D$2:$D$2001,$A83)))</f>
        <v/>
      </c>
      <c r="F83" s="6" t="str">
        <f t="shared" ca="1" si="7"/>
        <v/>
      </c>
      <c r="G83" s="3" t="str">
        <f t="shared" si="8"/>
        <v/>
      </c>
      <c r="H83" s="9" t="str">
        <f t="shared" si="9"/>
        <v/>
      </c>
      <c r="I83" s="20"/>
      <c r="J83" s="20"/>
      <c r="K83" s="19"/>
      <c r="L83" s="19"/>
      <c r="M83" s="19"/>
      <c r="N83" s="15" t="str">
        <f t="shared" si="10"/>
        <v/>
      </c>
      <c r="O83" s="3" t="str">
        <f t="shared" si="11"/>
        <v/>
      </c>
      <c r="P83" s="6" t="str">
        <f t="shared" ca="1" si="12"/>
        <v/>
      </c>
      <c r="Q83" s="21" t="str">
        <f>IF($A83="","",IF($C83=0,"",_xlfn.MINIFS('Daily tracking'!$A$2:$A$2001,'Daily tracking'!$D$2:$D$2001,$A83)))</f>
        <v/>
      </c>
      <c r="R83" s="6" t="str">
        <f t="shared" si="13"/>
        <v/>
      </c>
    </row>
    <row r="84" spans="1:18" x14ac:dyDescent="0.3">
      <c r="A84" s="19"/>
      <c r="B84" s="19"/>
      <c r="C84" s="15" t="str">
        <f>IF($A84="","",COUNTIF('Daily tracking'!$D$2:$D$2001,$A84))</f>
        <v/>
      </c>
      <c r="D84" s="16" t="str">
        <f>IF($A84="","",SUMIF('Daily tracking'!$D$2:$D$2001,$A84,'Daily tracking'!$G$2:$G$2001))</f>
        <v/>
      </c>
      <c r="E84" s="18" t="str">
        <f>IF($A84="","",IF($C84=0,"",_xlfn.MAXIFS('Daily tracking'!$A$2:$A$2001,'Daily tracking'!$D$2:$D$2001,$A84)))</f>
        <v/>
      </c>
      <c r="F84" s="6" t="str">
        <f t="shared" ca="1" si="7"/>
        <v/>
      </c>
      <c r="G84" s="3" t="str">
        <f t="shared" si="8"/>
        <v/>
      </c>
      <c r="H84" s="9" t="str">
        <f t="shared" si="9"/>
        <v/>
      </c>
      <c r="I84" s="20"/>
      <c r="J84" s="20"/>
      <c r="K84" s="19"/>
      <c r="L84" s="19"/>
      <c r="M84" s="19"/>
      <c r="N84" s="15" t="str">
        <f t="shared" si="10"/>
        <v/>
      </c>
      <c r="O84" s="3" t="str">
        <f t="shared" si="11"/>
        <v/>
      </c>
      <c r="P84" s="6" t="str">
        <f t="shared" ca="1" si="12"/>
        <v/>
      </c>
      <c r="Q84" s="21" t="str">
        <f>IF($A84="","",IF($C84=0,"",_xlfn.MINIFS('Daily tracking'!$A$2:$A$2001,'Daily tracking'!$D$2:$D$2001,$A84)))</f>
        <v/>
      </c>
      <c r="R84" s="6" t="str">
        <f t="shared" si="13"/>
        <v/>
      </c>
    </row>
    <row r="85" spans="1:18" x14ac:dyDescent="0.3">
      <c r="A85" s="19"/>
      <c r="B85" s="19"/>
      <c r="C85" s="15" t="str">
        <f>IF($A85="","",COUNTIF('Daily tracking'!$D$2:$D$2001,$A85))</f>
        <v/>
      </c>
      <c r="D85" s="16" t="str">
        <f>IF($A85="","",SUMIF('Daily tracking'!$D$2:$D$2001,$A85,'Daily tracking'!$G$2:$G$2001))</f>
        <v/>
      </c>
      <c r="E85" s="18" t="str">
        <f>IF($A85="","",IF($C85=0,"",_xlfn.MAXIFS('Daily tracking'!$A$2:$A$2001,'Daily tracking'!$D$2:$D$2001,$A85)))</f>
        <v/>
      </c>
      <c r="F85" s="6" t="str">
        <f t="shared" ca="1" si="7"/>
        <v/>
      </c>
      <c r="G85" s="3" t="str">
        <f t="shared" si="8"/>
        <v/>
      </c>
      <c r="H85" s="9" t="str">
        <f t="shared" si="9"/>
        <v/>
      </c>
      <c r="I85" s="20"/>
      <c r="J85" s="20"/>
      <c r="K85" s="19"/>
      <c r="L85" s="19"/>
      <c r="M85" s="19"/>
      <c r="N85" s="15" t="str">
        <f t="shared" si="10"/>
        <v/>
      </c>
      <c r="O85" s="3" t="str">
        <f t="shared" si="11"/>
        <v/>
      </c>
      <c r="P85" s="6" t="str">
        <f t="shared" ca="1" si="12"/>
        <v/>
      </c>
      <c r="Q85" s="21" t="str">
        <f>IF($A85="","",IF($C85=0,"",_xlfn.MINIFS('Daily tracking'!$A$2:$A$2001,'Daily tracking'!$D$2:$D$2001,$A85)))</f>
        <v/>
      </c>
      <c r="R85" s="6" t="str">
        <f t="shared" si="13"/>
        <v/>
      </c>
    </row>
    <row r="86" spans="1:18" x14ac:dyDescent="0.3">
      <c r="A86" s="19"/>
      <c r="B86" s="19"/>
      <c r="C86" s="15" t="str">
        <f>IF($A86="","",COUNTIF('Daily tracking'!$D$2:$D$2001,$A86))</f>
        <v/>
      </c>
      <c r="D86" s="16" t="str">
        <f>IF($A86="","",SUMIF('Daily tracking'!$D$2:$D$2001,$A86,'Daily tracking'!$G$2:$G$2001))</f>
        <v/>
      </c>
      <c r="E86" s="18" t="str">
        <f>IF($A86="","",IF($C86=0,"",_xlfn.MAXIFS('Daily tracking'!$A$2:$A$2001,'Daily tracking'!$D$2:$D$2001,$A86)))</f>
        <v/>
      </c>
      <c r="F86" s="6" t="str">
        <f t="shared" ca="1" si="7"/>
        <v/>
      </c>
      <c r="G86" s="3" t="str">
        <f t="shared" si="8"/>
        <v/>
      </c>
      <c r="H86" s="9" t="str">
        <f t="shared" si="9"/>
        <v/>
      </c>
      <c r="I86" s="20"/>
      <c r="J86" s="20"/>
      <c r="K86" s="19"/>
      <c r="L86" s="19"/>
      <c r="M86" s="19"/>
      <c r="N86" s="15" t="str">
        <f t="shared" si="10"/>
        <v/>
      </c>
      <c r="O86" s="3" t="str">
        <f t="shared" si="11"/>
        <v/>
      </c>
      <c r="P86" s="6" t="str">
        <f t="shared" ca="1" si="12"/>
        <v/>
      </c>
      <c r="Q86" s="21" t="str">
        <f>IF($A86="","",IF($C86=0,"",_xlfn.MINIFS('Daily tracking'!$A$2:$A$2001,'Daily tracking'!$D$2:$D$2001,$A86)))</f>
        <v/>
      </c>
      <c r="R86" s="6" t="str">
        <f t="shared" si="13"/>
        <v/>
      </c>
    </row>
    <row r="87" spans="1:18" x14ac:dyDescent="0.3">
      <c r="A87" s="19"/>
      <c r="B87" s="19"/>
      <c r="C87" s="15" t="str">
        <f>IF($A87="","",COUNTIF('Daily tracking'!$D$2:$D$2001,$A87))</f>
        <v/>
      </c>
      <c r="D87" s="16" t="str">
        <f>IF($A87="","",SUMIF('Daily tracking'!$D$2:$D$2001,$A87,'Daily tracking'!$G$2:$G$2001))</f>
        <v/>
      </c>
      <c r="E87" s="18" t="str">
        <f>IF($A87="","",IF($C87=0,"",_xlfn.MAXIFS('Daily tracking'!$A$2:$A$2001,'Daily tracking'!$D$2:$D$2001,$A87)))</f>
        <v/>
      </c>
      <c r="F87" s="6" t="str">
        <f t="shared" ca="1" si="7"/>
        <v/>
      </c>
      <c r="G87" s="3" t="str">
        <f t="shared" si="8"/>
        <v/>
      </c>
      <c r="H87" s="9" t="str">
        <f t="shared" si="9"/>
        <v/>
      </c>
      <c r="I87" s="20"/>
      <c r="J87" s="20"/>
      <c r="K87" s="19"/>
      <c r="L87" s="19"/>
      <c r="M87" s="19"/>
      <c r="N87" s="15" t="str">
        <f t="shared" si="10"/>
        <v/>
      </c>
      <c r="O87" s="3" t="str">
        <f t="shared" si="11"/>
        <v/>
      </c>
      <c r="P87" s="6" t="str">
        <f t="shared" ca="1" si="12"/>
        <v/>
      </c>
      <c r="Q87" s="21" t="str">
        <f>IF($A87="","",IF($C87=0,"",_xlfn.MINIFS('Daily tracking'!$A$2:$A$2001,'Daily tracking'!$D$2:$D$2001,$A87)))</f>
        <v/>
      </c>
      <c r="R87" s="6" t="str">
        <f t="shared" si="13"/>
        <v/>
      </c>
    </row>
    <row r="88" spans="1:18" x14ac:dyDescent="0.3">
      <c r="A88" s="19"/>
      <c r="B88" s="19"/>
      <c r="C88" s="15" t="str">
        <f>IF($A88="","",COUNTIF('Daily tracking'!$D$2:$D$2001,$A88))</f>
        <v/>
      </c>
      <c r="D88" s="16" t="str">
        <f>IF($A88="","",SUMIF('Daily tracking'!$D$2:$D$2001,$A88,'Daily tracking'!$G$2:$G$2001))</f>
        <v/>
      </c>
      <c r="E88" s="18" t="str">
        <f>IF($A88="","",IF($C88=0,"",_xlfn.MAXIFS('Daily tracking'!$A$2:$A$2001,'Daily tracking'!$D$2:$D$2001,$A88)))</f>
        <v/>
      </c>
      <c r="F88" s="6" t="str">
        <f t="shared" ca="1" si="7"/>
        <v/>
      </c>
      <c r="G88" s="3" t="str">
        <f t="shared" si="8"/>
        <v/>
      </c>
      <c r="H88" s="9" t="str">
        <f t="shared" si="9"/>
        <v/>
      </c>
      <c r="I88" s="20"/>
      <c r="J88" s="20"/>
      <c r="K88" s="19"/>
      <c r="L88" s="19"/>
      <c r="M88" s="19"/>
      <c r="N88" s="15" t="str">
        <f t="shared" si="10"/>
        <v/>
      </c>
      <c r="O88" s="3" t="str">
        <f t="shared" si="11"/>
        <v/>
      </c>
      <c r="P88" s="6" t="str">
        <f t="shared" ca="1" si="12"/>
        <v/>
      </c>
      <c r="Q88" s="21" t="str">
        <f>IF($A88="","",IF($C88=0,"",_xlfn.MINIFS('Daily tracking'!$A$2:$A$2001,'Daily tracking'!$D$2:$D$2001,$A88)))</f>
        <v/>
      </c>
      <c r="R88" s="6" t="str">
        <f t="shared" si="13"/>
        <v/>
      </c>
    </row>
    <row r="89" spans="1:18" x14ac:dyDescent="0.3">
      <c r="A89" s="19"/>
      <c r="B89" s="19"/>
      <c r="C89" s="15" t="str">
        <f>IF($A89="","",COUNTIF('Daily tracking'!$D$2:$D$2001,$A89))</f>
        <v/>
      </c>
      <c r="D89" s="16" t="str">
        <f>IF($A89="","",SUMIF('Daily tracking'!$D$2:$D$2001,$A89,'Daily tracking'!$G$2:$G$2001))</f>
        <v/>
      </c>
      <c r="E89" s="18" t="str">
        <f>IF($A89="","",IF($C89=0,"",_xlfn.MAXIFS('Daily tracking'!$A$2:$A$2001,'Daily tracking'!$D$2:$D$2001,$A89)))</f>
        <v/>
      </c>
      <c r="F89" s="6" t="str">
        <f t="shared" ca="1" si="7"/>
        <v/>
      </c>
      <c r="G89" s="3" t="str">
        <f t="shared" si="8"/>
        <v/>
      </c>
      <c r="H89" s="9" t="str">
        <f t="shared" si="9"/>
        <v/>
      </c>
      <c r="I89" s="20"/>
      <c r="J89" s="20"/>
      <c r="K89" s="19"/>
      <c r="L89" s="19"/>
      <c r="M89" s="19"/>
      <c r="N89" s="15" t="str">
        <f t="shared" si="10"/>
        <v/>
      </c>
      <c r="O89" s="3" t="str">
        <f t="shared" si="11"/>
        <v/>
      </c>
      <c r="P89" s="6" t="str">
        <f t="shared" ca="1" si="12"/>
        <v/>
      </c>
      <c r="Q89" s="21" t="str">
        <f>IF($A89="","",IF($C89=0,"",_xlfn.MINIFS('Daily tracking'!$A$2:$A$2001,'Daily tracking'!$D$2:$D$2001,$A89)))</f>
        <v/>
      </c>
      <c r="R89" s="6" t="str">
        <f t="shared" si="13"/>
        <v/>
      </c>
    </row>
    <row r="90" spans="1:18" x14ac:dyDescent="0.3">
      <c r="A90" s="19"/>
      <c r="B90" s="19"/>
      <c r="C90" s="15" t="str">
        <f>IF($A90="","",COUNTIF('Daily tracking'!$D$2:$D$2001,$A90))</f>
        <v/>
      </c>
      <c r="D90" s="16" t="str">
        <f>IF($A90="","",SUMIF('Daily tracking'!$D$2:$D$2001,$A90,'Daily tracking'!$G$2:$G$2001))</f>
        <v/>
      </c>
      <c r="E90" s="18" t="str">
        <f>IF($A90="","",IF($C90=0,"",_xlfn.MAXIFS('Daily tracking'!$A$2:$A$2001,'Daily tracking'!$D$2:$D$2001,$A90)))</f>
        <v/>
      </c>
      <c r="F90" s="6" t="str">
        <f t="shared" ca="1" si="7"/>
        <v/>
      </c>
      <c r="G90" s="3" t="str">
        <f t="shared" si="8"/>
        <v/>
      </c>
      <c r="H90" s="9" t="str">
        <f t="shared" si="9"/>
        <v/>
      </c>
      <c r="I90" s="20"/>
      <c r="J90" s="20"/>
      <c r="K90" s="19"/>
      <c r="L90" s="19"/>
      <c r="M90" s="19"/>
      <c r="N90" s="15" t="str">
        <f t="shared" si="10"/>
        <v/>
      </c>
      <c r="O90" s="3" t="str">
        <f t="shared" si="11"/>
        <v/>
      </c>
      <c r="P90" s="6" t="str">
        <f t="shared" ca="1" si="12"/>
        <v/>
      </c>
      <c r="Q90" s="21" t="str">
        <f>IF($A90="","",IF($C90=0,"",_xlfn.MINIFS('Daily tracking'!$A$2:$A$2001,'Daily tracking'!$D$2:$D$2001,$A90)))</f>
        <v/>
      </c>
      <c r="R90" s="6" t="str">
        <f t="shared" si="13"/>
        <v/>
      </c>
    </row>
    <row r="91" spans="1:18" x14ac:dyDescent="0.3">
      <c r="A91" s="19"/>
      <c r="B91" s="19"/>
      <c r="C91" s="15" t="str">
        <f>IF($A91="","",COUNTIF('Daily tracking'!$D$2:$D$2001,$A91))</f>
        <v/>
      </c>
      <c r="D91" s="16" t="str">
        <f>IF($A91="","",SUMIF('Daily tracking'!$D$2:$D$2001,$A91,'Daily tracking'!$G$2:$G$2001))</f>
        <v/>
      </c>
      <c r="E91" s="18" t="str">
        <f>IF($A91="","",IF($C91=0,"",_xlfn.MAXIFS('Daily tracking'!$A$2:$A$2001,'Daily tracking'!$D$2:$D$2001,$A91)))</f>
        <v/>
      </c>
      <c r="F91" s="6" t="str">
        <f t="shared" ca="1" si="7"/>
        <v/>
      </c>
      <c r="G91" s="3" t="str">
        <f t="shared" si="8"/>
        <v/>
      </c>
      <c r="H91" s="9" t="str">
        <f t="shared" si="9"/>
        <v/>
      </c>
      <c r="I91" s="20"/>
      <c r="J91" s="20"/>
      <c r="K91" s="19"/>
      <c r="L91" s="19"/>
      <c r="M91" s="19"/>
      <c r="N91" s="15" t="str">
        <f t="shared" si="10"/>
        <v/>
      </c>
      <c r="O91" s="3" t="str">
        <f t="shared" si="11"/>
        <v/>
      </c>
      <c r="P91" s="6" t="str">
        <f t="shared" ca="1" si="12"/>
        <v/>
      </c>
      <c r="Q91" s="21" t="str">
        <f>IF($A91="","",IF($C91=0,"",_xlfn.MINIFS('Daily tracking'!$A$2:$A$2001,'Daily tracking'!$D$2:$D$2001,$A91)))</f>
        <v/>
      </c>
      <c r="R91" s="6" t="str">
        <f t="shared" si="13"/>
        <v/>
      </c>
    </row>
    <row r="92" spans="1:18" x14ac:dyDescent="0.3">
      <c r="A92" s="19"/>
      <c r="B92" s="19"/>
      <c r="C92" s="15" t="str">
        <f>IF($A92="","",COUNTIF('Daily tracking'!$D$2:$D$2001,$A92))</f>
        <v/>
      </c>
      <c r="D92" s="16" t="str">
        <f>IF($A92="","",SUMIF('Daily tracking'!$D$2:$D$2001,$A92,'Daily tracking'!$G$2:$G$2001))</f>
        <v/>
      </c>
      <c r="E92" s="18" t="str">
        <f>IF($A92="","",IF($C92=0,"",_xlfn.MAXIFS('Daily tracking'!$A$2:$A$2001,'Daily tracking'!$D$2:$D$2001,$A92)))</f>
        <v/>
      </c>
      <c r="F92" s="6" t="str">
        <f t="shared" ca="1" si="7"/>
        <v/>
      </c>
      <c r="G92" s="3" t="str">
        <f t="shared" si="8"/>
        <v/>
      </c>
      <c r="H92" s="9" t="str">
        <f t="shared" si="9"/>
        <v/>
      </c>
      <c r="I92" s="20"/>
      <c r="J92" s="20"/>
      <c r="K92" s="19"/>
      <c r="L92" s="19"/>
      <c r="M92" s="19"/>
      <c r="N92" s="15" t="str">
        <f t="shared" si="10"/>
        <v/>
      </c>
      <c r="O92" s="3" t="str">
        <f t="shared" si="11"/>
        <v/>
      </c>
      <c r="P92" s="6" t="str">
        <f t="shared" ca="1" si="12"/>
        <v/>
      </c>
      <c r="Q92" s="21" t="str">
        <f>IF($A92="","",IF($C92=0,"",_xlfn.MINIFS('Daily tracking'!$A$2:$A$2001,'Daily tracking'!$D$2:$D$2001,$A92)))</f>
        <v/>
      </c>
      <c r="R92" s="6" t="str">
        <f t="shared" si="13"/>
        <v/>
      </c>
    </row>
    <row r="93" spans="1:18" x14ac:dyDescent="0.3">
      <c r="A93" s="19"/>
      <c r="B93" s="19"/>
      <c r="C93" s="15" t="str">
        <f>IF($A93="","",COUNTIF('Daily tracking'!$D$2:$D$2001,$A93))</f>
        <v/>
      </c>
      <c r="D93" s="16" t="str">
        <f>IF($A93="","",SUMIF('Daily tracking'!$D$2:$D$2001,$A93,'Daily tracking'!$G$2:$G$2001))</f>
        <v/>
      </c>
      <c r="E93" s="18" t="str">
        <f>IF($A93="","",IF($C93=0,"",_xlfn.MAXIFS('Daily tracking'!$A$2:$A$2001,'Daily tracking'!$D$2:$D$2001,$A93)))</f>
        <v/>
      </c>
      <c r="F93" s="6" t="str">
        <f t="shared" ca="1" si="7"/>
        <v/>
      </c>
      <c r="G93" s="3" t="str">
        <f t="shared" si="8"/>
        <v/>
      </c>
      <c r="H93" s="9" t="str">
        <f t="shared" si="9"/>
        <v/>
      </c>
      <c r="I93" s="20"/>
      <c r="J93" s="20"/>
      <c r="K93" s="19"/>
      <c r="L93" s="19"/>
      <c r="M93" s="19"/>
      <c r="N93" s="15" t="str">
        <f t="shared" si="10"/>
        <v/>
      </c>
      <c r="O93" s="3" t="str">
        <f t="shared" si="11"/>
        <v/>
      </c>
      <c r="P93" s="6" t="str">
        <f t="shared" ca="1" si="12"/>
        <v/>
      </c>
      <c r="Q93" s="21" t="str">
        <f>IF($A93="","",IF($C93=0,"",_xlfn.MINIFS('Daily tracking'!$A$2:$A$2001,'Daily tracking'!$D$2:$D$2001,$A93)))</f>
        <v/>
      </c>
      <c r="R93" s="6" t="str">
        <f t="shared" si="13"/>
        <v/>
      </c>
    </row>
    <row r="94" spans="1:18" x14ac:dyDescent="0.3">
      <c r="A94" s="19"/>
      <c r="B94" s="19"/>
      <c r="C94" s="15" t="str">
        <f>IF($A94="","",COUNTIF('Daily tracking'!$D$2:$D$2001,$A94))</f>
        <v/>
      </c>
      <c r="D94" s="16" t="str">
        <f>IF($A94="","",SUMIF('Daily tracking'!$D$2:$D$2001,$A94,'Daily tracking'!$G$2:$G$2001))</f>
        <v/>
      </c>
      <c r="E94" s="18" t="str">
        <f>IF($A94="","",IF($C94=0,"",_xlfn.MAXIFS('Daily tracking'!$A$2:$A$2001,'Daily tracking'!$D$2:$D$2001,$A94)))</f>
        <v/>
      </c>
      <c r="F94" s="6" t="str">
        <f t="shared" ca="1" si="7"/>
        <v/>
      </c>
      <c r="G94" s="3" t="str">
        <f t="shared" si="8"/>
        <v/>
      </c>
      <c r="H94" s="9" t="str">
        <f t="shared" si="9"/>
        <v/>
      </c>
      <c r="I94" s="20"/>
      <c r="J94" s="20"/>
      <c r="K94" s="19"/>
      <c r="L94" s="19"/>
      <c r="M94" s="19"/>
      <c r="N94" s="15" t="str">
        <f t="shared" si="10"/>
        <v/>
      </c>
      <c r="O94" s="3" t="str">
        <f t="shared" si="11"/>
        <v/>
      </c>
      <c r="P94" s="6" t="str">
        <f t="shared" ca="1" si="12"/>
        <v/>
      </c>
      <c r="Q94" s="21" t="str">
        <f>IF($A94="","",IF($C94=0,"",_xlfn.MINIFS('Daily tracking'!$A$2:$A$2001,'Daily tracking'!$D$2:$D$2001,$A94)))</f>
        <v/>
      </c>
      <c r="R94" s="6" t="str">
        <f t="shared" si="13"/>
        <v/>
      </c>
    </row>
    <row r="95" spans="1:18" x14ac:dyDescent="0.3">
      <c r="A95" s="19"/>
      <c r="B95" s="19"/>
      <c r="C95" s="15" t="str">
        <f>IF($A95="","",COUNTIF('Daily tracking'!$D$2:$D$2001,$A95))</f>
        <v/>
      </c>
      <c r="D95" s="16" t="str">
        <f>IF($A95="","",SUMIF('Daily tracking'!$D$2:$D$2001,$A95,'Daily tracking'!$G$2:$G$2001))</f>
        <v/>
      </c>
      <c r="E95" s="18" t="str">
        <f>IF($A95="","",IF($C95=0,"",_xlfn.MAXIFS('Daily tracking'!$A$2:$A$2001,'Daily tracking'!$D$2:$D$2001,$A95)))</f>
        <v/>
      </c>
      <c r="F95" s="6" t="str">
        <f t="shared" ca="1" si="7"/>
        <v/>
      </c>
      <c r="G95" s="3" t="str">
        <f t="shared" si="8"/>
        <v/>
      </c>
      <c r="H95" s="9" t="str">
        <f t="shared" si="9"/>
        <v/>
      </c>
      <c r="I95" s="20"/>
      <c r="J95" s="20"/>
      <c r="K95" s="19"/>
      <c r="L95" s="19"/>
      <c r="M95" s="19"/>
      <c r="N95" s="15" t="str">
        <f t="shared" si="10"/>
        <v/>
      </c>
      <c r="O95" s="3" t="str">
        <f t="shared" si="11"/>
        <v/>
      </c>
      <c r="P95" s="6" t="str">
        <f t="shared" ca="1" si="12"/>
        <v/>
      </c>
      <c r="Q95" s="21" t="str">
        <f>IF($A95="","",IF($C95=0,"",_xlfn.MINIFS('Daily tracking'!$A$2:$A$2001,'Daily tracking'!$D$2:$D$2001,$A95)))</f>
        <v/>
      </c>
      <c r="R95" s="6" t="str">
        <f t="shared" si="13"/>
        <v/>
      </c>
    </row>
    <row r="96" spans="1:18" x14ac:dyDescent="0.3">
      <c r="A96" s="19"/>
      <c r="B96" s="19"/>
      <c r="C96" s="15" t="str">
        <f>IF($A96="","",COUNTIF('Daily tracking'!$D$2:$D$2001,$A96))</f>
        <v/>
      </c>
      <c r="D96" s="16" t="str">
        <f>IF($A96="","",SUMIF('Daily tracking'!$D$2:$D$2001,$A96,'Daily tracking'!$G$2:$G$2001))</f>
        <v/>
      </c>
      <c r="E96" s="18" t="str">
        <f>IF($A96="","",IF($C96=0,"",_xlfn.MAXIFS('Daily tracking'!$A$2:$A$2001,'Daily tracking'!$D$2:$D$2001,$A96)))</f>
        <v/>
      </c>
      <c r="F96" s="6" t="str">
        <f t="shared" ca="1" si="7"/>
        <v/>
      </c>
      <c r="G96" s="3" t="str">
        <f t="shared" si="8"/>
        <v/>
      </c>
      <c r="H96" s="9" t="str">
        <f t="shared" si="9"/>
        <v/>
      </c>
      <c r="I96" s="20"/>
      <c r="J96" s="20"/>
      <c r="K96" s="19"/>
      <c r="L96" s="19"/>
      <c r="M96" s="19"/>
      <c r="N96" s="15" t="str">
        <f t="shared" si="10"/>
        <v/>
      </c>
      <c r="O96" s="3" t="str">
        <f t="shared" si="11"/>
        <v/>
      </c>
      <c r="P96" s="6" t="str">
        <f t="shared" ca="1" si="12"/>
        <v/>
      </c>
      <c r="Q96" s="21" t="str">
        <f>IF($A96="","",IF($C96=0,"",_xlfn.MINIFS('Daily tracking'!$A$2:$A$2001,'Daily tracking'!$D$2:$D$2001,$A96)))</f>
        <v/>
      </c>
      <c r="R96" s="6" t="str">
        <f t="shared" si="13"/>
        <v/>
      </c>
    </row>
    <row r="97" spans="1:18" x14ac:dyDescent="0.3">
      <c r="A97" s="19"/>
      <c r="B97" s="19"/>
      <c r="C97" s="15" t="str">
        <f>IF($A97="","",COUNTIF('Daily tracking'!$D$2:$D$2001,$A97))</f>
        <v/>
      </c>
      <c r="D97" s="16" t="str">
        <f>IF($A97="","",SUMIF('Daily tracking'!$D$2:$D$2001,$A97,'Daily tracking'!$G$2:$G$2001))</f>
        <v/>
      </c>
      <c r="E97" s="18" t="str">
        <f>IF($A97="","",IF($C97=0,"",_xlfn.MAXIFS('Daily tracking'!$A$2:$A$2001,'Daily tracking'!$D$2:$D$2001,$A97)))</f>
        <v/>
      </c>
      <c r="F97" s="6" t="str">
        <f t="shared" ca="1" si="7"/>
        <v/>
      </c>
      <c r="G97" s="3" t="str">
        <f t="shared" si="8"/>
        <v/>
      </c>
      <c r="H97" s="9" t="str">
        <f t="shared" si="9"/>
        <v/>
      </c>
      <c r="I97" s="20"/>
      <c r="J97" s="20"/>
      <c r="K97" s="19"/>
      <c r="L97" s="19"/>
      <c r="M97" s="19"/>
      <c r="N97" s="15" t="str">
        <f t="shared" si="10"/>
        <v/>
      </c>
      <c r="O97" s="3" t="str">
        <f t="shared" si="11"/>
        <v/>
      </c>
      <c r="P97" s="6" t="str">
        <f t="shared" ca="1" si="12"/>
        <v/>
      </c>
      <c r="Q97" s="21" t="str">
        <f>IF($A97="","",IF($C97=0,"",_xlfn.MINIFS('Daily tracking'!$A$2:$A$2001,'Daily tracking'!$D$2:$D$2001,$A97)))</f>
        <v/>
      </c>
      <c r="R97" s="6" t="str">
        <f t="shared" si="13"/>
        <v/>
      </c>
    </row>
    <row r="98" spans="1:18" x14ac:dyDescent="0.3">
      <c r="A98" s="19"/>
      <c r="B98" s="19"/>
      <c r="C98" s="15" t="str">
        <f>IF($A98="","",COUNTIF('Daily tracking'!$D$2:$D$2001,$A98))</f>
        <v/>
      </c>
      <c r="D98" s="16" t="str">
        <f>IF($A98="","",SUMIF('Daily tracking'!$D$2:$D$2001,$A98,'Daily tracking'!$G$2:$G$2001))</f>
        <v/>
      </c>
      <c r="E98" s="18" t="str">
        <f>IF($A98="","",IF($C98=0,"",_xlfn.MAXIFS('Daily tracking'!$A$2:$A$2001,'Daily tracking'!$D$2:$D$2001,$A98)))</f>
        <v/>
      </c>
      <c r="F98" s="6" t="str">
        <f t="shared" ca="1" si="7"/>
        <v/>
      </c>
      <c r="G98" s="3" t="str">
        <f t="shared" si="8"/>
        <v/>
      </c>
      <c r="H98" s="9" t="str">
        <f t="shared" si="9"/>
        <v/>
      </c>
      <c r="I98" s="20"/>
      <c r="J98" s="20"/>
      <c r="K98" s="19"/>
      <c r="L98" s="19"/>
      <c r="M98" s="19"/>
      <c r="N98" s="15" t="str">
        <f t="shared" si="10"/>
        <v/>
      </c>
      <c r="O98" s="3" t="str">
        <f t="shared" si="11"/>
        <v/>
      </c>
      <c r="P98" s="6" t="str">
        <f t="shared" ca="1" si="12"/>
        <v/>
      </c>
      <c r="Q98" s="21" t="str">
        <f>IF($A98="","",IF($C98=0,"",_xlfn.MINIFS('Daily tracking'!$A$2:$A$2001,'Daily tracking'!$D$2:$D$2001,$A98)))</f>
        <v/>
      </c>
      <c r="R98" s="6" t="str">
        <f t="shared" si="13"/>
        <v/>
      </c>
    </row>
    <row r="99" spans="1:18" x14ac:dyDescent="0.3">
      <c r="A99" s="19"/>
      <c r="B99" s="19"/>
      <c r="C99" s="15" t="str">
        <f>IF($A99="","",COUNTIF('Daily tracking'!$D$2:$D$2001,$A99))</f>
        <v/>
      </c>
      <c r="D99" s="16" t="str">
        <f>IF($A99="","",SUMIF('Daily tracking'!$D$2:$D$2001,$A99,'Daily tracking'!$G$2:$G$2001))</f>
        <v/>
      </c>
      <c r="E99" s="18" t="str">
        <f>IF($A99="","",IF($C99=0,"",_xlfn.MAXIFS('Daily tracking'!$A$2:$A$2001,'Daily tracking'!$D$2:$D$2001,$A99)))</f>
        <v/>
      </c>
      <c r="F99" s="6" t="str">
        <f t="shared" ca="1" si="7"/>
        <v/>
      </c>
      <c r="G99" s="3" t="str">
        <f t="shared" si="8"/>
        <v/>
      </c>
      <c r="H99" s="9" t="str">
        <f t="shared" si="9"/>
        <v/>
      </c>
      <c r="I99" s="20"/>
      <c r="J99" s="20"/>
      <c r="K99" s="19"/>
      <c r="L99" s="19"/>
      <c r="M99" s="19"/>
      <c r="N99" s="15" t="str">
        <f t="shared" si="10"/>
        <v/>
      </c>
      <c r="O99" s="3" t="str">
        <f t="shared" si="11"/>
        <v/>
      </c>
      <c r="P99" s="6" t="str">
        <f t="shared" ca="1" si="12"/>
        <v/>
      </c>
      <c r="Q99" s="21" t="str">
        <f>IF($A99="","",IF($C99=0,"",_xlfn.MINIFS('Daily tracking'!$A$2:$A$2001,'Daily tracking'!$D$2:$D$2001,$A99)))</f>
        <v/>
      </c>
      <c r="R99" s="6" t="str">
        <f t="shared" si="13"/>
        <v/>
      </c>
    </row>
    <row r="100" spans="1:18" x14ac:dyDescent="0.3">
      <c r="A100" s="19"/>
      <c r="B100" s="19"/>
      <c r="C100" s="15" t="str">
        <f>IF($A100="","",COUNTIF('Daily tracking'!$D$2:$D$2001,$A100))</f>
        <v/>
      </c>
      <c r="D100" s="16" t="str">
        <f>IF($A100="","",SUMIF('Daily tracking'!$D$2:$D$2001,$A100,'Daily tracking'!$G$2:$G$2001))</f>
        <v/>
      </c>
      <c r="E100" s="18" t="str">
        <f>IF($A100="","",IF($C100=0,"",_xlfn.MAXIFS('Daily tracking'!$A$2:$A$2001,'Daily tracking'!$D$2:$D$2001,$A100)))</f>
        <v/>
      </c>
      <c r="F100" s="6" t="str">
        <f t="shared" ca="1" si="7"/>
        <v/>
      </c>
      <c r="G100" s="3" t="str">
        <f t="shared" si="8"/>
        <v/>
      </c>
      <c r="H100" s="9" t="str">
        <f t="shared" si="9"/>
        <v/>
      </c>
      <c r="I100" s="20"/>
      <c r="J100" s="20"/>
      <c r="K100" s="19"/>
      <c r="L100" s="19"/>
      <c r="M100" s="19"/>
      <c r="N100" s="15" t="str">
        <f t="shared" si="10"/>
        <v/>
      </c>
      <c r="O100" s="3" t="str">
        <f t="shared" si="11"/>
        <v/>
      </c>
      <c r="P100" s="6" t="str">
        <f t="shared" ca="1" si="12"/>
        <v/>
      </c>
      <c r="Q100" s="21" t="str">
        <f>IF($A100="","",IF($C100=0,"",_xlfn.MINIFS('Daily tracking'!$A$2:$A$2001,'Daily tracking'!$D$2:$D$2001,$A100)))</f>
        <v/>
      </c>
      <c r="R100" s="6" t="str">
        <f t="shared" si="13"/>
        <v/>
      </c>
    </row>
    <row r="101" spans="1:18" x14ac:dyDescent="0.3">
      <c r="A101" s="19"/>
      <c r="B101" s="19"/>
      <c r="C101" s="15" t="str">
        <f>IF($A101="","",COUNTIF('Daily tracking'!$D$2:$D$2001,$A101))</f>
        <v/>
      </c>
      <c r="D101" s="16" t="str">
        <f>IF($A101="","",SUMIF('Daily tracking'!$D$2:$D$2001,$A101,'Daily tracking'!$G$2:$G$2001))</f>
        <v/>
      </c>
      <c r="E101" s="18" t="str">
        <f>IF($A101="","",IF($C101=0,"",_xlfn.MAXIFS('Daily tracking'!$A$2:$A$2001,'Daily tracking'!$D$2:$D$2001,$A101)))</f>
        <v/>
      </c>
      <c r="F101" s="6" t="str">
        <f t="shared" ca="1" si="7"/>
        <v/>
      </c>
      <c r="G101" s="3" t="str">
        <f t="shared" si="8"/>
        <v/>
      </c>
      <c r="H101" s="9" t="str">
        <f t="shared" si="9"/>
        <v/>
      </c>
      <c r="I101" s="20"/>
      <c r="J101" s="20"/>
      <c r="K101" s="19"/>
      <c r="L101" s="19"/>
      <c r="M101" s="19"/>
      <c r="N101" s="15" t="str">
        <f t="shared" si="10"/>
        <v/>
      </c>
      <c r="O101" s="3" t="str">
        <f t="shared" si="11"/>
        <v/>
      </c>
      <c r="P101" s="6" t="str">
        <f t="shared" ca="1" si="12"/>
        <v/>
      </c>
      <c r="Q101" s="21" t="str">
        <f>IF($A101="","",IF($C101=0,"",_xlfn.MINIFS('Daily tracking'!$A$2:$A$2001,'Daily tracking'!$D$2:$D$2001,$A101)))</f>
        <v/>
      </c>
      <c r="R101" s="6" t="str">
        <f t="shared" si="13"/>
        <v/>
      </c>
    </row>
    <row r="102" spans="1:18" x14ac:dyDescent="0.3">
      <c r="A102" s="19"/>
      <c r="B102" s="19"/>
      <c r="C102" s="15" t="str">
        <f>IF($A102="","",COUNTIF('Daily tracking'!$D$2:$D$2001,$A102))</f>
        <v/>
      </c>
      <c r="D102" s="16" t="str">
        <f>IF($A102="","",SUMIF('Daily tracking'!$D$2:$D$2001,$A102,'Daily tracking'!$G$2:$G$2001))</f>
        <v/>
      </c>
      <c r="E102" s="18" t="str">
        <f>IF($A102="","",IF($C102=0,"",_xlfn.MAXIFS('Daily tracking'!$A$2:$A$2001,'Daily tracking'!$D$2:$D$2001,$A102)))</f>
        <v/>
      </c>
      <c r="F102" s="6" t="str">
        <f t="shared" ca="1" si="7"/>
        <v/>
      </c>
      <c r="G102" s="3" t="str">
        <f t="shared" si="8"/>
        <v/>
      </c>
      <c r="H102" s="9" t="str">
        <f t="shared" si="9"/>
        <v/>
      </c>
      <c r="I102" s="20"/>
      <c r="J102" s="20"/>
      <c r="K102" s="19"/>
      <c r="L102" s="19"/>
      <c r="M102" s="19"/>
      <c r="N102" s="15" t="str">
        <f t="shared" si="10"/>
        <v/>
      </c>
      <c r="O102" s="3" t="str">
        <f t="shared" si="11"/>
        <v/>
      </c>
      <c r="P102" s="6" t="str">
        <f t="shared" ca="1" si="12"/>
        <v/>
      </c>
      <c r="Q102" s="21" t="str">
        <f>IF($A102="","",IF($C102=0,"",_xlfn.MINIFS('Daily tracking'!$A$2:$A$2001,'Daily tracking'!$D$2:$D$2001,$A102)))</f>
        <v/>
      </c>
      <c r="R102" s="6" t="str">
        <f t="shared" si="13"/>
        <v/>
      </c>
    </row>
    <row r="103" spans="1:18" x14ac:dyDescent="0.3">
      <c r="A103" s="19"/>
      <c r="B103" s="19"/>
      <c r="C103" s="15" t="str">
        <f>IF($A103="","",COUNTIF('Daily tracking'!$D$2:$D$2001,$A103))</f>
        <v/>
      </c>
      <c r="D103" s="16" t="str">
        <f>IF($A103="","",SUMIF('Daily tracking'!$D$2:$D$2001,$A103,'Daily tracking'!$G$2:$G$2001))</f>
        <v/>
      </c>
      <c r="E103" s="18" t="str">
        <f>IF($A103="","",IF($C103=0,"",_xlfn.MAXIFS('Daily tracking'!$A$2:$A$2001,'Daily tracking'!$D$2:$D$2001,$A103)))</f>
        <v/>
      </c>
      <c r="F103" s="6" t="str">
        <f t="shared" ca="1" si="7"/>
        <v/>
      </c>
      <c r="G103" s="3" t="str">
        <f t="shared" si="8"/>
        <v/>
      </c>
      <c r="H103" s="9" t="str">
        <f t="shared" si="9"/>
        <v/>
      </c>
      <c r="I103" s="20"/>
      <c r="J103" s="20"/>
      <c r="K103" s="19"/>
      <c r="L103" s="19"/>
      <c r="M103" s="19"/>
      <c r="N103" s="15" t="str">
        <f t="shared" si="10"/>
        <v/>
      </c>
      <c r="O103" s="3" t="str">
        <f t="shared" si="11"/>
        <v/>
      </c>
      <c r="P103" s="6" t="str">
        <f t="shared" ca="1" si="12"/>
        <v/>
      </c>
      <c r="Q103" s="21" t="str">
        <f>IF($A103="","",IF($C103=0,"",_xlfn.MINIFS('Daily tracking'!$A$2:$A$2001,'Daily tracking'!$D$2:$D$2001,$A103)))</f>
        <v/>
      </c>
      <c r="R103" s="6" t="str">
        <f t="shared" si="13"/>
        <v/>
      </c>
    </row>
    <row r="104" spans="1:18" x14ac:dyDescent="0.3">
      <c r="A104" s="19"/>
      <c r="B104" s="19"/>
      <c r="C104" s="15" t="str">
        <f>IF($A104="","",COUNTIF('Daily tracking'!$D$2:$D$2001,$A104))</f>
        <v/>
      </c>
      <c r="D104" s="16" t="str">
        <f>IF($A104="","",SUMIF('Daily tracking'!$D$2:$D$2001,$A104,'Daily tracking'!$G$2:$G$2001))</f>
        <v/>
      </c>
      <c r="E104" s="18" t="str">
        <f>IF($A104="","",IF($C104=0,"",_xlfn.MAXIFS('Daily tracking'!$A$2:$A$2001,'Daily tracking'!$D$2:$D$2001,$A104)))</f>
        <v/>
      </c>
      <c r="F104" s="6" t="str">
        <f t="shared" ca="1" si="7"/>
        <v/>
      </c>
      <c r="G104" s="3" t="str">
        <f t="shared" si="8"/>
        <v/>
      </c>
      <c r="H104" s="9" t="str">
        <f t="shared" si="9"/>
        <v/>
      </c>
      <c r="I104" s="20"/>
      <c r="J104" s="20"/>
      <c r="K104" s="19"/>
      <c r="L104" s="19"/>
      <c r="M104" s="19"/>
      <c r="N104" s="15" t="str">
        <f t="shared" si="10"/>
        <v/>
      </c>
      <c r="O104" s="3" t="str">
        <f t="shared" si="11"/>
        <v/>
      </c>
      <c r="P104" s="6" t="str">
        <f t="shared" ca="1" si="12"/>
        <v/>
      </c>
      <c r="Q104" s="21" t="str">
        <f>IF($A104="","",IF($C104=0,"",_xlfn.MINIFS('Daily tracking'!$A$2:$A$2001,'Daily tracking'!$D$2:$D$2001,$A104)))</f>
        <v/>
      </c>
      <c r="R104" s="6" t="str">
        <f t="shared" si="13"/>
        <v/>
      </c>
    </row>
    <row r="105" spans="1:18" x14ac:dyDescent="0.3">
      <c r="A105" s="19"/>
      <c r="B105" s="19"/>
      <c r="C105" s="15" t="str">
        <f>IF($A105="","",COUNTIF('Daily tracking'!$D$2:$D$2001,$A105))</f>
        <v/>
      </c>
      <c r="D105" s="16" t="str">
        <f>IF($A105="","",SUMIF('Daily tracking'!$D$2:$D$2001,$A105,'Daily tracking'!$G$2:$G$2001))</f>
        <v/>
      </c>
      <c r="E105" s="18" t="str">
        <f>IF($A105="","",IF($C105=0,"",_xlfn.MAXIFS('Daily tracking'!$A$2:$A$2001,'Daily tracking'!$D$2:$D$2001,$A105)))</f>
        <v/>
      </c>
      <c r="F105" s="6" t="str">
        <f t="shared" ca="1" si="7"/>
        <v/>
      </c>
      <c r="G105" s="3" t="str">
        <f t="shared" si="8"/>
        <v/>
      </c>
      <c r="H105" s="9" t="str">
        <f t="shared" si="9"/>
        <v/>
      </c>
      <c r="I105" s="20"/>
      <c r="J105" s="20"/>
      <c r="K105" s="19"/>
      <c r="L105" s="19"/>
      <c r="M105" s="19"/>
      <c r="N105" s="15" t="str">
        <f t="shared" si="10"/>
        <v/>
      </c>
      <c r="O105" s="3" t="str">
        <f t="shared" si="11"/>
        <v/>
      </c>
      <c r="P105" s="6" t="str">
        <f t="shared" ca="1" si="12"/>
        <v/>
      </c>
      <c r="Q105" s="21" t="str">
        <f>IF($A105="","",IF($C105=0,"",_xlfn.MINIFS('Daily tracking'!$A$2:$A$2001,'Daily tracking'!$D$2:$D$2001,$A105)))</f>
        <v/>
      </c>
      <c r="R105" s="6" t="str">
        <f t="shared" si="13"/>
        <v/>
      </c>
    </row>
    <row r="106" spans="1:18" x14ac:dyDescent="0.3">
      <c r="A106" s="19"/>
      <c r="B106" s="19"/>
      <c r="C106" s="15" t="str">
        <f>IF($A106="","",COUNTIF('Daily tracking'!$D$2:$D$2001,$A106))</f>
        <v/>
      </c>
      <c r="D106" s="16" t="str">
        <f>IF($A106="","",SUMIF('Daily tracking'!$D$2:$D$2001,$A106,'Daily tracking'!$G$2:$G$2001))</f>
        <v/>
      </c>
      <c r="E106" s="18" t="str">
        <f>IF($A106="","",IF($C106=0,"",_xlfn.MAXIFS('Daily tracking'!$A$2:$A$2001,'Daily tracking'!$D$2:$D$2001,$A106)))</f>
        <v/>
      </c>
      <c r="F106" s="6" t="str">
        <f t="shared" ca="1" si="7"/>
        <v/>
      </c>
      <c r="G106" s="3" t="str">
        <f t="shared" si="8"/>
        <v/>
      </c>
      <c r="H106" s="9" t="str">
        <f t="shared" si="9"/>
        <v/>
      </c>
      <c r="I106" s="20"/>
      <c r="J106" s="20"/>
      <c r="K106" s="19"/>
      <c r="L106" s="19"/>
      <c r="M106" s="19"/>
      <c r="N106" s="15" t="str">
        <f t="shared" si="10"/>
        <v/>
      </c>
      <c r="O106" s="3" t="str">
        <f t="shared" si="11"/>
        <v/>
      </c>
      <c r="P106" s="6" t="str">
        <f t="shared" ca="1" si="12"/>
        <v/>
      </c>
      <c r="Q106" s="21" t="str">
        <f>IF($A106="","",IF($C106=0,"",_xlfn.MINIFS('Daily tracking'!$A$2:$A$2001,'Daily tracking'!$D$2:$D$2001,$A106)))</f>
        <v/>
      </c>
      <c r="R106" s="6" t="str">
        <f t="shared" si="13"/>
        <v/>
      </c>
    </row>
    <row r="107" spans="1:18" x14ac:dyDescent="0.3">
      <c r="A107" s="19"/>
      <c r="B107" s="19"/>
      <c r="C107" s="15" t="str">
        <f>IF($A107="","",COUNTIF('Daily tracking'!$D$2:$D$2001,$A107))</f>
        <v/>
      </c>
      <c r="D107" s="16" t="str">
        <f>IF($A107="","",SUMIF('Daily tracking'!$D$2:$D$2001,$A107,'Daily tracking'!$G$2:$G$2001))</f>
        <v/>
      </c>
      <c r="E107" s="18" t="str">
        <f>IF($A107="","",IF($C107=0,"",_xlfn.MAXIFS('Daily tracking'!$A$2:$A$2001,'Daily tracking'!$D$2:$D$2001,$A107)))</f>
        <v/>
      </c>
      <c r="F107" s="6" t="str">
        <f t="shared" ca="1" si="7"/>
        <v/>
      </c>
      <c r="G107" s="3" t="str">
        <f t="shared" si="8"/>
        <v/>
      </c>
      <c r="H107" s="9" t="str">
        <f t="shared" si="9"/>
        <v/>
      </c>
      <c r="I107" s="20"/>
      <c r="J107" s="20"/>
      <c r="K107" s="19"/>
      <c r="L107" s="19"/>
      <c r="M107" s="19"/>
      <c r="N107" s="15" t="str">
        <f t="shared" si="10"/>
        <v/>
      </c>
      <c r="O107" s="3" t="str">
        <f t="shared" si="11"/>
        <v/>
      </c>
      <c r="P107" s="6" t="str">
        <f t="shared" ca="1" si="12"/>
        <v/>
      </c>
      <c r="Q107" s="21" t="str">
        <f>IF($A107="","",IF($C107=0,"",_xlfn.MINIFS('Daily tracking'!$A$2:$A$2001,'Daily tracking'!$D$2:$D$2001,$A107)))</f>
        <v/>
      </c>
      <c r="R107" s="6" t="str">
        <f t="shared" si="13"/>
        <v/>
      </c>
    </row>
    <row r="108" spans="1:18" x14ac:dyDescent="0.3">
      <c r="A108" s="19"/>
      <c r="B108" s="19"/>
      <c r="C108" s="15" t="str">
        <f>IF($A108="","",COUNTIF('Daily tracking'!$D$2:$D$2001,$A108))</f>
        <v/>
      </c>
      <c r="D108" s="16" t="str">
        <f>IF($A108="","",SUMIF('Daily tracking'!$D$2:$D$2001,$A108,'Daily tracking'!$G$2:$G$2001))</f>
        <v/>
      </c>
      <c r="E108" s="18" t="str">
        <f>IF($A108="","",IF($C108=0,"",_xlfn.MAXIFS('Daily tracking'!$A$2:$A$2001,'Daily tracking'!$D$2:$D$2001,$A108)))</f>
        <v/>
      </c>
      <c r="F108" s="6" t="str">
        <f t="shared" ca="1" si="7"/>
        <v/>
      </c>
      <c r="G108" s="3" t="str">
        <f t="shared" si="8"/>
        <v/>
      </c>
      <c r="H108" s="9" t="str">
        <f t="shared" si="9"/>
        <v/>
      </c>
      <c r="I108" s="20"/>
      <c r="J108" s="20"/>
      <c r="K108" s="19"/>
      <c r="L108" s="19"/>
      <c r="M108" s="19"/>
      <c r="N108" s="15" t="str">
        <f t="shared" si="10"/>
        <v/>
      </c>
      <c r="O108" s="3" t="str">
        <f t="shared" si="11"/>
        <v/>
      </c>
      <c r="P108" s="6" t="str">
        <f t="shared" ca="1" si="12"/>
        <v/>
      </c>
      <c r="Q108" s="21" t="str">
        <f>IF($A108="","",IF($C108=0,"",_xlfn.MINIFS('Daily tracking'!$A$2:$A$2001,'Daily tracking'!$D$2:$D$2001,$A108)))</f>
        <v/>
      </c>
      <c r="R108" s="6" t="str">
        <f t="shared" si="13"/>
        <v/>
      </c>
    </row>
    <row r="109" spans="1:18" x14ac:dyDescent="0.3">
      <c r="A109" s="19"/>
      <c r="B109" s="19"/>
      <c r="C109" s="15" t="str">
        <f>IF($A109="","",COUNTIF('Daily tracking'!$D$2:$D$2001,$A109))</f>
        <v/>
      </c>
      <c r="D109" s="16" t="str">
        <f>IF($A109="","",SUMIF('Daily tracking'!$D$2:$D$2001,$A109,'Daily tracking'!$G$2:$G$2001))</f>
        <v/>
      </c>
      <c r="E109" s="18" t="str">
        <f>IF($A109="","",IF($C109=0,"",_xlfn.MAXIFS('Daily tracking'!$A$2:$A$2001,'Daily tracking'!$D$2:$D$2001,$A109)))</f>
        <v/>
      </c>
      <c r="F109" s="6" t="str">
        <f t="shared" ca="1" si="7"/>
        <v/>
      </c>
      <c r="G109" s="3" t="str">
        <f t="shared" si="8"/>
        <v/>
      </c>
      <c r="H109" s="9" t="str">
        <f t="shared" si="9"/>
        <v/>
      </c>
      <c r="I109" s="20"/>
      <c r="J109" s="20"/>
      <c r="K109" s="19"/>
      <c r="L109" s="19"/>
      <c r="M109" s="19"/>
      <c r="N109" s="15" t="str">
        <f t="shared" si="10"/>
        <v/>
      </c>
      <c r="O109" s="3" t="str">
        <f t="shared" si="11"/>
        <v/>
      </c>
      <c r="P109" s="6" t="str">
        <f t="shared" ca="1" si="12"/>
        <v/>
      </c>
      <c r="Q109" s="21" t="str">
        <f>IF($A109="","",IF($C109=0,"",_xlfn.MINIFS('Daily tracking'!$A$2:$A$2001,'Daily tracking'!$D$2:$D$2001,$A109)))</f>
        <v/>
      </c>
      <c r="R109" s="6" t="str">
        <f t="shared" si="13"/>
        <v/>
      </c>
    </row>
    <row r="110" spans="1:18" x14ac:dyDescent="0.3">
      <c r="A110" s="19"/>
      <c r="B110" s="19"/>
      <c r="C110" s="15" t="str">
        <f>IF($A110="","",COUNTIF('Daily tracking'!$D$2:$D$2001,$A110))</f>
        <v/>
      </c>
      <c r="D110" s="16" t="str">
        <f>IF($A110="","",SUMIF('Daily tracking'!$D$2:$D$2001,$A110,'Daily tracking'!$G$2:$G$2001))</f>
        <v/>
      </c>
      <c r="E110" s="18" t="str">
        <f>IF($A110="","",IF($C110=0,"",_xlfn.MAXIFS('Daily tracking'!$A$2:$A$2001,'Daily tracking'!$D$2:$D$2001,$A110)))</f>
        <v/>
      </c>
      <c r="F110" s="6" t="str">
        <f t="shared" ca="1" si="7"/>
        <v/>
      </c>
      <c r="G110" s="3" t="str">
        <f t="shared" si="8"/>
        <v/>
      </c>
      <c r="H110" s="9" t="str">
        <f t="shared" si="9"/>
        <v/>
      </c>
      <c r="I110" s="20"/>
      <c r="J110" s="20"/>
      <c r="K110" s="19"/>
      <c r="L110" s="19"/>
      <c r="M110" s="19"/>
      <c r="N110" s="15" t="str">
        <f t="shared" si="10"/>
        <v/>
      </c>
      <c r="O110" s="3" t="str">
        <f t="shared" si="11"/>
        <v/>
      </c>
      <c r="P110" s="6" t="str">
        <f t="shared" ca="1" si="12"/>
        <v/>
      </c>
      <c r="Q110" s="21" t="str">
        <f>IF($A110="","",IF($C110=0,"",_xlfn.MINIFS('Daily tracking'!$A$2:$A$2001,'Daily tracking'!$D$2:$D$2001,$A110)))</f>
        <v/>
      </c>
      <c r="R110" s="6" t="str">
        <f t="shared" si="13"/>
        <v/>
      </c>
    </row>
    <row r="111" spans="1:18" x14ac:dyDescent="0.3">
      <c r="A111" s="19"/>
      <c r="B111" s="19"/>
      <c r="C111" s="15" t="str">
        <f>IF($A111="","",COUNTIF('Daily tracking'!$D$2:$D$2001,$A111))</f>
        <v/>
      </c>
      <c r="D111" s="16" t="str">
        <f>IF($A111="","",SUMIF('Daily tracking'!$D$2:$D$2001,$A111,'Daily tracking'!$G$2:$G$2001))</f>
        <v/>
      </c>
      <c r="E111" s="18" t="str">
        <f>IF($A111="","",IF($C111=0,"",_xlfn.MAXIFS('Daily tracking'!$A$2:$A$2001,'Daily tracking'!$D$2:$D$2001,$A111)))</f>
        <v/>
      </c>
      <c r="F111" s="6" t="str">
        <f t="shared" ca="1" si="7"/>
        <v/>
      </c>
      <c r="G111" s="3" t="str">
        <f t="shared" si="8"/>
        <v/>
      </c>
      <c r="H111" s="9" t="str">
        <f t="shared" si="9"/>
        <v/>
      </c>
      <c r="I111" s="20"/>
      <c r="J111" s="20"/>
      <c r="K111" s="19"/>
      <c r="L111" s="19"/>
      <c r="M111" s="19"/>
      <c r="N111" s="15" t="str">
        <f t="shared" si="10"/>
        <v/>
      </c>
      <c r="O111" s="3" t="str">
        <f t="shared" si="11"/>
        <v/>
      </c>
      <c r="P111" s="6" t="str">
        <f t="shared" ca="1" si="12"/>
        <v/>
      </c>
      <c r="Q111" s="21" t="str">
        <f>IF($A111="","",IF($C111=0,"",_xlfn.MINIFS('Daily tracking'!$A$2:$A$2001,'Daily tracking'!$D$2:$D$2001,$A111)))</f>
        <v/>
      </c>
      <c r="R111" s="6" t="str">
        <f t="shared" si="13"/>
        <v/>
      </c>
    </row>
    <row r="112" spans="1:18" x14ac:dyDescent="0.3">
      <c r="A112" s="19"/>
      <c r="B112" s="19"/>
      <c r="C112" s="15" t="str">
        <f>IF($A112="","",COUNTIF('Daily tracking'!$D$2:$D$2001,$A112))</f>
        <v/>
      </c>
      <c r="D112" s="16" t="str">
        <f>IF($A112="","",SUMIF('Daily tracking'!$D$2:$D$2001,$A112,'Daily tracking'!$G$2:$G$2001))</f>
        <v/>
      </c>
      <c r="E112" s="18" t="str">
        <f>IF($A112="","",IF($C112=0,"",_xlfn.MAXIFS('Daily tracking'!$A$2:$A$2001,'Daily tracking'!$D$2:$D$2001,$A112)))</f>
        <v/>
      </c>
      <c r="F112" s="6" t="str">
        <f t="shared" ca="1" si="7"/>
        <v/>
      </c>
      <c r="G112" s="3" t="str">
        <f t="shared" si="8"/>
        <v/>
      </c>
      <c r="H112" s="9" t="str">
        <f t="shared" si="9"/>
        <v/>
      </c>
      <c r="I112" s="20"/>
      <c r="J112" s="20"/>
      <c r="K112" s="19"/>
      <c r="L112" s="19"/>
      <c r="M112" s="19"/>
      <c r="N112" s="15" t="str">
        <f t="shared" si="10"/>
        <v/>
      </c>
      <c r="O112" s="3" t="str">
        <f t="shared" si="11"/>
        <v/>
      </c>
      <c r="P112" s="6" t="str">
        <f t="shared" ca="1" si="12"/>
        <v/>
      </c>
      <c r="Q112" s="21" t="str">
        <f>IF($A112="","",IF($C112=0,"",_xlfn.MINIFS('Daily tracking'!$A$2:$A$2001,'Daily tracking'!$D$2:$D$2001,$A112)))</f>
        <v/>
      </c>
      <c r="R112" s="6" t="str">
        <f t="shared" si="13"/>
        <v/>
      </c>
    </row>
    <row r="113" spans="1:18" x14ac:dyDescent="0.3">
      <c r="A113" s="19"/>
      <c r="B113" s="19"/>
      <c r="C113" s="15" t="str">
        <f>IF($A113="","",COUNTIF('Daily tracking'!$D$2:$D$2001,$A113))</f>
        <v/>
      </c>
      <c r="D113" s="16" t="str">
        <f>IF($A113="","",SUMIF('Daily tracking'!$D$2:$D$2001,$A113,'Daily tracking'!$G$2:$G$2001))</f>
        <v/>
      </c>
      <c r="E113" s="18" t="str">
        <f>IF($A113="","",IF($C113=0,"",_xlfn.MAXIFS('Daily tracking'!$A$2:$A$2001,'Daily tracking'!$D$2:$D$2001,$A113)))</f>
        <v/>
      </c>
      <c r="F113" s="6" t="str">
        <f t="shared" ca="1" si="7"/>
        <v/>
      </c>
      <c r="G113" s="3" t="str">
        <f t="shared" si="8"/>
        <v/>
      </c>
      <c r="H113" s="9" t="str">
        <f t="shared" si="9"/>
        <v/>
      </c>
      <c r="I113" s="20"/>
      <c r="J113" s="20"/>
      <c r="K113" s="19"/>
      <c r="L113" s="19"/>
      <c r="M113" s="19"/>
      <c r="N113" s="15" t="str">
        <f t="shared" si="10"/>
        <v/>
      </c>
      <c r="O113" s="3" t="str">
        <f t="shared" si="11"/>
        <v/>
      </c>
      <c r="P113" s="6" t="str">
        <f t="shared" ca="1" si="12"/>
        <v/>
      </c>
      <c r="Q113" s="21" t="str">
        <f>IF($A113="","",IF($C113=0,"",_xlfn.MINIFS('Daily tracking'!$A$2:$A$2001,'Daily tracking'!$D$2:$D$2001,$A113)))</f>
        <v/>
      </c>
      <c r="R113" s="6" t="str">
        <f t="shared" si="13"/>
        <v/>
      </c>
    </row>
    <row r="114" spans="1:18" x14ac:dyDescent="0.3">
      <c r="A114" s="19"/>
      <c r="B114" s="19"/>
      <c r="C114" s="15" t="str">
        <f>IF($A114="","",COUNTIF('Daily tracking'!$D$2:$D$2001,$A114))</f>
        <v/>
      </c>
      <c r="D114" s="16" t="str">
        <f>IF($A114="","",SUMIF('Daily tracking'!$D$2:$D$2001,$A114,'Daily tracking'!$G$2:$G$2001))</f>
        <v/>
      </c>
      <c r="E114" s="18" t="str">
        <f>IF($A114="","",IF($C114=0,"",_xlfn.MAXIFS('Daily tracking'!$A$2:$A$2001,'Daily tracking'!$D$2:$D$2001,$A114)))</f>
        <v/>
      </c>
      <c r="F114" s="6" t="str">
        <f t="shared" ca="1" si="7"/>
        <v/>
      </c>
      <c r="G114" s="3" t="str">
        <f t="shared" si="8"/>
        <v/>
      </c>
      <c r="H114" s="9" t="str">
        <f t="shared" si="9"/>
        <v/>
      </c>
      <c r="I114" s="20"/>
      <c r="J114" s="20"/>
      <c r="K114" s="19"/>
      <c r="L114" s="19"/>
      <c r="M114" s="19"/>
      <c r="N114" s="15" t="str">
        <f t="shared" si="10"/>
        <v/>
      </c>
      <c r="O114" s="3" t="str">
        <f t="shared" si="11"/>
        <v/>
      </c>
      <c r="P114" s="6" t="str">
        <f t="shared" ca="1" si="12"/>
        <v/>
      </c>
      <c r="Q114" s="21" t="str">
        <f>IF($A114="","",IF($C114=0,"",_xlfn.MINIFS('Daily tracking'!$A$2:$A$2001,'Daily tracking'!$D$2:$D$2001,$A114)))</f>
        <v/>
      </c>
      <c r="R114" s="6" t="str">
        <f t="shared" si="13"/>
        <v/>
      </c>
    </row>
    <row r="115" spans="1:18" x14ac:dyDescent="0.3">
      <c r="A115" s="19"/>
      <c r="B115" s="19"/>
      <c r="C115" s="15" t="str">
        <f>IF($A115="","",COUNTIF('Daily tracking'!$D$2:$D$2001,$A115))</f>
        <v/>
      </c>
      <c r="D115" s="16" t="str">
        <f>IF($A115="","",SUMIF('Daily tracking'!$D$2:$D$2001,$A115,'Daily tracking'!$G$2:$G$2001))</f>
        <v/>
      </c>
      <c r="E115" s="18" t="str">
        <f>IF($A115="","",IF($C115=0,"",_xlfn.MAXIFS('Daily tracking'!$A$2:$A$2001,'Daily tracking'!$D$2:$D$2001,$A115)))</f>
        <v/>
      </c>
      <c r="F115" s="6" t="str">
        <f t="shared" ca="1" si="7"/>
        <v/>
      </c>
      <c r="G115" s="3" t="str">
        <f t="shared" si="8"/>
        <v/>
      </c>
      <c r="H115" s="9" t="str">
        <f t="shared" si="9"/>
        <v/>
      </c>
      <c r="I115" s="20"/>
      <c r="J115" s="20"/>
      <c r="K115" s="19"/>
      <c r="L115" s="19"/>
      <c r="M115" s="19"/>
      <c r="N115" s="15" t="str">
        <f t="shared" si="10"/>
        <v/>
      </c>
      <c r="O115" s="3" t="str">
        <f t="shared" si="11"/>
        <v/>
      </c>
      <c r="P115" s="6" t="str">
        <f t="shared" ca="1" si="12"/>
        <v/>
      </c>
      <c r="Q115" s="21" t="str">
        <f>IF($A115="","",IF($C115=0,"",_xlfn.MINIFS('Daily tracking'!$A$2:$A$2001,'Daily tracking'!$D$2:$D$2001,$A115)))</f>
        <v/>
      </c>
      <c r="R115" s="6" t="str">
        <f t="shared" si="13"/>
        <v/>
      </c>
    </row>
    <row r="116" spans="1:18" x14ac:dyDescent="0.3">
      <c r="A116" s="19"/>
      <c r="B116" s="19"/>
      <c r="C116" s="15" t="str">
        <f>IF($A116="","",COUNTIF('Daily tracking'!$D$2:$D$2001,$A116))</f>
        <v/>
      </c>
      <c r="D116" s="16" t="str">
        <f>IF($A116="","",SUMIF('Daily tracking'!$D$2:$D$2001,$A116,'Daily tracking'!$G$2:$G$2001))</f>
        <v/>
      </c>
      <c r="E116" s="18" t="str">
        <f>IF($A116="","",IF($C116=0,"",_xlfn.MAXIFS('Daily tracking'!$A$2:$A$2001,'Daily tracking'!$D$2:$D$2001,$A116)))</f>
        <v/>
      </c>
      <c r="F116" s="6" t="str">
        <f t="shared" ca="1" si="7"/>
        <v/>
      </c>
      <c r="G116" s="3" t="str">
        <f t="shared" si="8"/>
        <v/>
      </c>
      <c r="H116" s="9" t="str">
        <f t="shared" si="9"/>
        <v/>
      </c>
      <c r="I116" s="20"/>
      <c r="J116" s="20"/>
      <c r="K116" s="19"/>
      <c r="L116" s="19"/>
      <c r="M116" s="19"/>
      <c r="N116" s="15" t="str">
        <f t="shared" si="10"/>
        <v/>
      </c>
      <c r="O116" s="3" t="str">
        <f t="shared" si="11"/>
        <v/>
      </c>
      <c r="P116" s="6" t="str">
        <f t="shared" ca="1" si="12"/>
        <v/>
      </c>
      <c r="Q116" s="21" t="str">
        <f>IF($A116="","",IF($C116=0,"",_xlfn.MINIFS('Daily tracking'!$A$2:$A$2001,'Daily tracking'!$D$2:$D$2001,$A116)))</f>
        <v/>
      </c>
      <c r="R116" s="6" t="str">
        <f t="shared" si="13"/>
        <v/>
      </c>
    </row>
    <row r="117" spans="1:18" x14ac:dyDescent="0.3">
      <c r="A117" s="19"/>
      <c r="B117" s="19"/>
      <c r="C117" s="15" t="str">
        <f>IF($A117="","",COUNTIF('Daily tracking'!$D$2:$D$2001,$A117))</f>
        <v/>
      </c>
      <c r="D117" s="16" t="str">
        <f>IF($A117="","",SUMIF('Daily tracking'!$D$2:$D$2001,$A117,'Daily tracking'!$G$2:$G$2001))</f>
        <v/>
      </c>
      <c r="E117" s="18" t="str">
        <f>IF($A117="","",IF($C117=0,"",_xlfn.MAXIFS('Daily tracking'!$A$2:$A$2001,'Daily tracking'!$D$2:$D$2001,$A117)))</f>
        <v/>
      </c>
      <c r="F117" s="6" t="str">
        <f t="shared" ca="1" si="7"/>
        <v/>
      </c>
      <c r="G117" s="3" t="str">
        <f t="shared" si="8"/>
        <v/>
      </c>
      <c r="H117" s="9" t="str">
        <f t="shared" si="9"/>
        <v/>
      </c>
      <c r="I117" s="20"/>
      <c r="J117" s="20"/>
      <c r="K117" s="19"/>
      <c r="L117" s="19"/>
      <c r="M117" s="19"/>
      <c r="N117" s="15" t="str">
        <f t="shared" si="10"/>
        <v/>
      </c>
      <c r="O117" s="3" t="str">
        <f t="shared" si="11"/>
        <v/>
      </c>
      <c r="P117" s="6" t="str">
        <f t="shared" ca="1" si="12"/>
        <v/>
      </c>
      <c r="Q117" s="21" t="str">
        <f>IF($A117="","",IF($C117=0,"",_xlfn.MINIFS('Daily tracking'!$A$2:$A$2001,'Daily tracking'!$D$2:$D$2001,$A117)))</f>
        <v/>
      </c>
      <c r="R117" s="6" t="str">
        <f t="shared" si="13"/>
        <v/>
      </c>
    </row>
    <row r="118" spans="1:18" x14ac:dyDescent="0.3">
      <c r="A118" s="19"/>
      <c r="B118" s="19"/>
      <c r="C118" s="15" t="str">
        <f>IF($A118="","",COUNTIF('Daily tracking'!$D$2:$D$2001,$A118))</f>
        <v/>
      </c>
      <c r="D118" s="16" t="str">
        <f>IF($A118="","",SUMIF('Daily tracking'!$D$2:$D$2001,$A118,'Daily tracking'!$G$2:$G$2001))</f>
        <v/>
      </c>
      <c r="E118" s="18" t="str">
        <f>IF($A118="","",IF($C118=0,"",_xlfn.MAXIFS('Daily tracking'!$A$2:$A$2001,'Daily tracking'!$D$2:$D$2001,$A118)))</f>
        <v/>
      </c>
      <c r="F118" s="6" t="str">
        <f t="shared" ca="1" si="7"/>
        <v/>
      </c>
      <c r="G118" s="3" t="str">
        <f t="shared" si="8"/>
        <v/>
      </c>
      <c r="H118" s="9" t="str">
        <f t="shared" si="9"/>
        <v/>
      </c>
      <c r="I118" s="20"/>
      <c r="J118" s="20"/>
      <c r="K118" s="19"/>
      <c r="L118" s="19"/>
      <c r="M118" s="19"/>
      <c r="N118" s="15" t="str">
        <f t="shared" si="10"/>
        <v/>
      </c>
      <c r="O118" s="3" t="str">
        <f t="shared" si="11"/>
        <v/>
      </c>
      <c r="P118" s="6" t="str">
        <f t="shared" ca="1" si="12"/>
        <v/>
      </c>
      <c r="Q118" s="21" t="str">
        <f>IF($A118="","",IF($C118=0,"",_xlfn.MINIFS('Daily tracking'!$A$2:$A$2001,'Daily tracking'!$D$2:$D$2001,$A118)))</f>
        <v/>
      </c>
      <c r="R118" s="6" t="str">
        <f t="shared" si="13"/>
        <v/>
      </c>
    </row>
    <row r="119" spans="1:18" x14ac:dyDescent="0.3">
      <c r="A119" s="19"/>
      <c r="B119" s="19"/>
      <c r="C119" s="15" t="str">
        <f>IF($A119="","",COUNTIF('Daily tracking'!$D$2:$D$2001,$A119))</f>
        <v/>
      </c>
      <c r="D119" s="16" t="str">
        <f>IF($A119="","",SUMIF('Daily tracking'!$D$2:$D$2001,$A119,'Daily tracking'!$G$2:$G$2001))</f>
        <v/>
      </c>
      <c r="E119" s="18" t="str">
        <f>IF($A119="","",IF($C119=0,"",_xlfn.MAXIFS('Daily tracking'!$A$2:$A$2001,'Daily tracking'!$D$2:$D$2001,$A119)))</f>
        <v/>
      </c>
      <c r="F119" s="6" t="str">
        <f t="shared" ca="1" si="7"/>
        <v/>
      </c>
      <c r="G119" s="3" t="str">
        <f t="shared" si="8"/>
        <v/>
      </c>
      <c r="H119" s="9" t="str">
        <f t="shared" si="9"/>
        <v/>
      </c>
      <c r="I119" s="20"/>
      <c r="J119" s="20"/>
      <c r="K119" s="19"/>
      <c r="L119" s="19"/>
      <c r="M119" s="19"/>
      <c r="N119" s="15" t="str">
        <f t="shared" si="10"/>
        <v/>
      </c>
      <c r="O119" s="3" t="str">
        <f t="shared" si="11"/>
        <v/>
      </c>
      <c r="P119" s="6" t="str">
        <f t="shared" ca="1" si="12"/>
        <v/>
      </c>
      <c r="Q119" s="21" t="str">
        <f>IF($A119="","",IF($C119=0,"",_xlfn.MINIFS('Daily tracking'!$A$2:$A$2001,'Daily tracking'!$D$2:$D$2001,$A119)))</f>
        <v/>
      </c>
      <c r="R119" s="6" t="str">
        <f t="shared" si="13"/>
        <v/>
      </c>
    </row>
    <row r="120" spans="1:18" x14ac:dyDescent="0.3">
      <c r="A120" s="19"/>
      <c r="B120" s="19"/>
      <c r="C120" s="15" t="str">
        <f>IF($A120="","",COUNTIF('Daily tracking'!$D$2:$D$2001,$A120))</f>
        <v/>
      </c>
      <c r="D120" s="16" t="str">
        <f>IF($A120="","",SUMIF('Daily tracking'!$D$2:$D$2001,$A120,'Daily tracking'!$G$2:$G$2001))</f>
        <v/>
      </c>
      <c r="E120" s="18" t="str">
        <f>IF($A120="","",IF($C120=0,"",_xlfn.MAXIFS('Daily tracking'!$A$2:$A$2001,'Daily tracking'!$D$2:$D$2001,$A120)))</f>
        <v/>
      </c>
      <c r="F120" s="6" t="str">
        <f t="shared" ca="1" si="7"/>
        <v/>
      </c>
      <c r="G120" s="3" t="str">
        <f t="shared" si="8"/>
        <v/>
      </c>
      <c r="H120" s="9" t="str">
        <f t="shared" si="9"/>
        <v/>
      </c>
      <c r="I120" s="20"/>
      <c r="J120" s="20"/>
      <c r="K120" s="19"/>
      <c r="L120" s="19"/>
      <c r="M120" s="19"/>
      <c r="N120" s="15" t="str">
        <f t="shared" si="10"/>
        <v/>
      </c>
      <c r="O120" s="3" t="str">
        <f t="shared" si="11"/>
        <v/>
      </c>
      <c r="P120" s="6" t="str">
        <f t="shared" ca="1" si="12"/>
        <v/>
      </c>
      <c r="Q120" s="21" t="str">
        <f>IF($A120="","",IF($C120=0,"",_xlfn.MINIFS('Daily tracking'!$A$2:$A$2001,'Daily tracking'!$D$2:$D$2001,$A120)))</f>
        <v/>
      </c>
      <c r="R120" s="6" t="str">
        <f t="shared" si="13"/>
        <v/>
      </c>
    </row>
    <row r="121" spans="1:18" x14ac:dyDescent="0.3">
      <c r="A121" s="19"/>
      <c r="B121" s="19"/>
      <c r="C121" s="15" t="str">
        <f>IF($A121="","",COUNTIF('Daily tracking'!$D$2:$D$2001,$A121))</f>
        <v/>
      </c>
      <c r="D121" s="16" t="str">
        <f>IF($A121="","",SUMIF('Daily tracking'!$D$2:$D$2001,$A121,'Daily tracking'!$G$2:$G$2001))</f>
        <v/>
      </c>
      <c r="E121" s="18" t="str">
        <f>IF($A121="","",IF($C121=0,"",_xlfn.MAXIFS('Daily tracking'!$A$2:$A$2001,'Daily tracking'!$D$2:$D$2001,$A121)))</f>
        <v/>
      </c>
      <c r="F121" s="6" t="str">
        <f t="shared" ca="1" si="7"/>
        <v/>
      </c>
      <c r="G121" s="3" t="str">
        <f t="shared" si="8"/>
        <v/>
      </c>
      <c r="H121" s="9" t="str">
        <f t="shared" si="9"/>
        <v/>
      </c>
      <c r="I121" s="20"/>
      <c r="J121" s="20"/>
      <c r="K121" s="19"/>
      <c r="L121" s="19"/>
      <c r="M121" s="19"/>
      <c r="N121" s="15" t="str">
        <f t="shared" si="10"/>
        <v/>
      </c>
      <c r="O121" s="3" t="str">
        <f t="shared" si="11"/>
        <v/>
      </c>
      <c r="P121" s="6" t="str">
        <f t="shared" ca="1" si="12"/>
        <v/>
      </c>
      <c r="Q121" s="21" t="str">
        <f>IF($A121="","",IF($C121=0,"",_xlfn.MINIFS('Daily tracking'!$A$2:$A$2001,'Daily tracking'!$D$2:$D$2001,$A121)))</f>
        <v/>
      </c>
      <c r="R121" s="6" t="str">
        <f t="shared" si="13"/>
        <v/>
      </c>
    </row>
    <row r="122" spans="1:18" x14ac:dyDescent="0.3">
      <c r="A122" s="19"/>
      <c r="B122" s="19"/>
      <c r="C122" s="15" t="str">
        <f>IF($A122="","",COUNTIF('Daily tracking'!$D$2:$D$2001,$A122))</f>
        <v/>
      </c>
      <c r="D122" s="16" t="str">
        <f>IF($A122="","",SUMIF('Daily tracking'!$D$2:$D$2001,$A122,'Daily tracking'!$G$2:$G$2001))</f>
        <v/>
      </c>
      <c r="E122" s="18" t="str">
        <f>IF($A122="","",IF($C122=0,"",_xlfn.MAXIFS('Daily tracking'!$A$2:$A$2001,'Daily tracking'!$D$2:$D$2001,$A122)))</f>
        <v/>
      </c>
      <c r="F122" s="6" t="str">
        <f t="shared" ca="1" si="7"/>
        <v/>
      </c>
      <c r="G122" s="3" t="str">
        <f t="shared" si="8"/>
        <v/>
      </c>
      <c r="H122" s="9" t="str">
        <f t="shared" si="9"/>
        <v/>
      </c>
      <c r="I122" s="20"/>
      <c r="J122" s="20"/>
      <c r="K122" s="19"/>
      <c r="L122" s="19"/>
      <c r="M122" s="19"/>
      <c r="N122" s="15" t="str">
        <f t="shared" si="10"/>
        <v/>
      </c>
      <c r="O122" s="3" t="str">
        <f t="shared" si="11"/>
        <v/>
      </c>
      <c r="P122" s="6" t="str">
        <f t="shared" ca="1" si="12"/>
        <v/>
      </c>
      <c r="Q122" s="21" t="str">
        <f>IF($A122="","",IF($C122=0,"",_xlfn.MINIFS('Daily tracking'!$A$2:$A$2001,'Daily tracking'!$D$2:$D$2001,$A122)))</f>
        <v/>
      </c>
      <c r="R122" s="6" t="str">
        <f t="shared" si="13"/>
        <v/>
      </c>
    </row>
    <row r="123" spans="1:18" x14ac:dyDescent="0.3">
      <c r="A123" s="19"/>
      <c r="B123" s="19"/>
      <c r="C123" s="15" t="str">
        <f>IF($A123="","",COUNTIF('Daily tracking'!$D$2:$D$2001,$A123))</f>
        <v/>
      </c>
      <c r="D123" s="16" t="str">
        <f>IF($A123="","",SUMIF('Daily tracking'!$D$2:$D$2001,$A123,'Daily tracking'!$G$2:$G$2001))</f>
        <v/>
      </c>
      <c r="E123" s="18" t="str">
        <f>IF($A123="","",IF($C123=0,"",_xlfn.MAXIFS('Daily tracking'!$A$2:$A$2001,'Daily tracking'!$D$2:$D$2001,$A123)))</f>
        <v/>
      </c>
      <c r="F123" s="6" t="str">
        <f t="shared" ca="1" si="7"/>
        <v/>
      </c>
      <c r="G123" s="3" t="str">
        <f t="shared" si="8"/>
        <v/>
      </c>
      <c r="H123" s="9" t="str">
        <f t="shared" si="9"/>
        <v/>
      </c>
      <c r="I123" s="20"/>
      <c r="J123" s="20"/>
      <c r="K123" s="19"/>
      <c r="L123" s="19"/>
      <c r="M123" s="19"/>
      <c r="N123" s="15" t="str">
        <f t="shared" si="10"/>
        <v/>
      </c>
      <c r="O123" s="3" t="str">
        <f t="shared" si="11"/>
        <v/>
      </c>
      <c r="P123" s="6" t="str">
        <f t="shared" ca="1" si="12"/>
        <v/>
      </c>
      <c r="Q123" s="21" t="str">
        <f>IF($A123="","",IF($C123=0,"",_xlfn.MINIFS('Daily tracking'!$A$2:$A$2001,'Daily tracking'!$D$2:$D$2001,$A123)))</f>
        <v/>
      </c>
      <c r="R123" s="6" t="str">
        <f t="shared" si="13"/>
        <v/>
      </c>
    </row>
    <row r="124" spans="1:18" x14ac:dyDescent="0.3">
      <c r="A124" s="19"/>
      <c r="B124" s="19"/>
      <c r="C124" s="15" t="str">
        <f>IF($A124="","",COUNTIF('Daily tracking'!$D$2:$D$2001,$A124))</f>
        <v/>
      </c>
      <c r="D124" s="16" t="str">
        <f>IF($A124="","",SUMIF('Daily tracking'!$D$2:$D$2001,$A124,'Daily tracking'!$G$2:$G$2001))</f>
        <v/>
      </c>
      <c r="E124" s="18" t="str">
        <f>IF($A124="","",IF($C124=0,"",_xlfn.MAXIFS('Daily tracking'!$A$2:$A$2001,'Daily tracking'!$D$2:$D$2001,$A124)))</f>
        <v/>
      </c>
      <c r="F124" s="6" t="str">
        <f t="shared" ca="1" si="7"/>
        <v/>
      </c>
      <c r="G124" s="3" t="str">
        <f t="shared" si="8"/>
        <v/>
      </c>
      <c r="H124" s="9" t="str">
        <f t="shared" si="9"/>
        <v/>
      </c>
      <c r="I124" s="20"/>
      <c r="J124" s="20"/>
      <c r="K124" s="19"/>
      <c r="L124" s="19"/>
      <c r="M124" s="19"/>
      <c r="N124" s="15" t="str">
        <f t="shared" si="10"/>
        <v/>
      </c>
      <c r="O124" s="3" t="str">
        <f t="shared" si="11"/>
        <v/>
      </c>
      <c r="P124" s="6" t="str">
        <f t="shared" ca="1" si="12"/>
        <v/>
      </c>
      <c r="Q124" s="21" t="str">
        <f>IF($A124="","",IF($C124=0,"",_xlfn.MINIFS('Daily tracking'!$A$2:$A$2001,'Daily tracking'!$D$2:$D$2001,$A124)))</f>
        <v/>
      </c>
      <c r="R124" s="6" t="str">
        <f t="shared" si="13"/>
        <v/>
      </c>
    </row>
    <row r="125" spans="1:18" x14ac:dyDescent="0.3">
      <c r="A125" s="19"/>
      <c r="B125" s="19"/>
      <c r="C125" s="15" t="str">
        <f>IF($A125="","",COUNTIF('Daily tracking'!$D$2:$D$2001,$A125))</f>
        <v/>
      </c>
      <c r="D125" s="16" t="str">
        <f>IF($A125="","",SUMIF('Daily tracking'!$D$2:$D$2001,$A125,'Daily tracking'!$G$2:$G$2001))</f>
        <v/>
      </c>
      <c r="E125" s="18" t="str">
        <f>IF($A125="","",IF($C125=0,"",_xlfn.MAXIFS('Daily tracking'!$A$2:$A$2001,'Daily tracking'!$D$2:$D$2001,$A125)))</f>
        <v/>
      </c>
      <c r="F125" s="6" t="str">
        <f t="shared" ca="1" si="7"/>
        <v/>
      </c>
      <c r="G125" s="3" t="str">
        <f t="shared" si="8"/>
        <v/>
      </c>
      <c r="H125" s="9" t="str">
        <f t="shared" si="9"/>
        <v/>
      </c>
      <c r="I125" s="20"/>
      <c r="J125" s="20"/>
      <c r="K125" s="19"/>
      <c r="L125" s="19"/>
      <c r="M125" s="19"/>
      <c r="N125" s="15" t="str">
        <f t="shared" si="10"/>
        <v/>
      </c>
      <c r="O125" s="3" t="str">
        <f t="shared" si="11"/>
        <v/>
      </c>
      <c r="P125" s="6" t="str">
        <f t="shared" ca="1" si="12"/>
        <v/>
      </c>
      <c r="Q125" s="21" t="str">
        <f>IF($A125="","",IF($C125=0,"",_xlfn.MINIFS('Daily tracking'!$A$2:$A$2001,'Daily tracking'!$D$2:$D$2001,$A125)))</f>
        <v/>
      </c>
      <c r="R125" s="6" t="str">
        <f t="shared" si="13"/>
        <v/>
      </c>
    </row>
    <row r="126" spans="1:18" x14ac:dyDescent="0.3">
      <c r="A126" s="19"/>
      <c r="B126" s="19"/>
      <c r="C126" s="15" t="str">
        <f>IF($A126="","",COUNTIF('Daily tracking'!$D$2:$D$2001,$A126))</f>
        <v/>
      </c>
      <c r="D126" s="16" t="str">
        <f>IF($A126="","",SUMIF('Daily tracking'!$D$2:$D$2001,$A126,'Daily tracking'!$G$2:$G$2001))</f>
        <v/>
      </c>
      <c r="E126" s="18" t="str">
        <f>IF($A126="","",IF($C126=0,"",_xlfn.MAXIFS('Daily tracking'!$A$2:$A$2001,'Daily tracking'!$D$2:$D$2001,$A126)))</f>
        <v/>
      </c>
      <c r="F126" s="6" t="str">
        <f t="shared" ca="1" si="7"/>
        <v/>
      </c>
      <c r="G126" s="3" t="str">
        <f t="shared" si="8"/>
        <v/>
      </c>
      <c r="H126" s="9" t="str">
        <f t="shared" si="9"/>
        <v/>
      </c>
      <c r="I126" s="20"/>
      <c r="J126" s="20"/>
      <c r="K126" s="19"/>
      <c r="L126" s="19"/>
      <c r="M126" s="19"/>
      <c r="N126" s="15" t="str">
        <f t="shared" si="10"/>
        <v/>
      </c>
      <c r="O126" s="3" t="str">
        <f t="shared" si="11"/>
        <v/>
      </c>
      <c r="P126" s="6" t="str">
        <f t="shared" ca="1" si="12"/>
        <v/>
      </c>
      <c r="Q126" s="21" t="str">
        <f>IF($A126="","",IF($C126=0,"",_xlfn.MINIFS('Daily tracking'!$A$2:$A$2001,'Daily tracking'!$D$2:$D$2001,$A126)))</f>
        <v/>
      </c>
      <c r="R126" s="6" t="str">
        <f t="shared" si="13"/>
        <v/>
      </c>
    </row>
    <row r="127" spans="1:18" x14ac:dyDescent="0.3">
      <c r="A127" s="19"/>
      <c r="B127" s="19"/>
      <c r="C127" s="15" t="str">
        <f>IF($A127="","",COUNTIF('Daily tracking'!$D$2:$D$2001,$A127))</f>
        <v/>
      </c>
      <c r="D127" s="16" t="str">
        <f>IF($A127="","",SUMIF('Daily tracking'!$D$2:$D$2001,$A127,'Daily tracking'!$G$2:$G$2001))</f>
        <v/>
      </c>
      <c r="E127" s="18" t="str">
        <f>IF($A127="","",IF($C127=0,"",_xlfn.MAXIFS('Daily tracking'!$A$2:$A$2001,'Daily tracking'!$D$2:$D$2001,$A127)))</f>
        <v/>
      </c>
      <c r="F127" s="6" t="str">
        <f t="shared" ca="1" si="7"/>
        <v/>
      </c>
      <c r="G127" s="3" t="str">
        <f t="shared" si="8"/>
        <v/>
      </c>
      <c r="H127" s="9" t="str">
        <f t="shared" si="9"/>
        <v/>
      </c>
      <c r="I127" s="20"/>
      <c r="J127" s="20"/>
      <c r="K127" s="19"/>
      <c r="L127" s="19"/>
      <c r="M127" s="19"/>
      <c r="N127" s="15" t="str">
        <f t="shared" si="10"/>
        <v/>
      </c>
      <c r="O127" s="3" t="str">
        <f t="shared" si="11"/>
        <v/>
      </c>
      <c r="P127" s="6" t="str">
        <f t="shared" ca="1" si="12"/>
        <v/>
      </c>
      <c r="Q127" s="21" t="str">
        <f>IF($A127="","",IF($C127=0,"",_xlfn.MINIFS('Daily tracking'!$A$2:$A$2001,'Daily tracking'!$D$2:$D$2001,$A127)))</f>
        <v/>
      </c>
      <c r="R127" s="6" t="str">
        <f t="shared" si="13"/>
        <v/>
      </c>
    </row>
    <row r="128" spans="1:18" x14ac:dyDescent="0.3">
      <c r="A128" s="19"/>
      <c r="B128" s="19"/>
      <c r="C128" s="15" t="str">
        <f>IF($A128="","",COUNTIF('Daily tracking'!$D$2:$D$2001,$A128))</f>
        <v/>
      </c>
      <c r="D128" s="16" t="str">
        <f>IF($A128="","",SUMIF('Daily tracking'!$D$2:$D$2001,$A128,'Daily tracking'!$G$2:$G$2001))</f>
        <v/>
      </c>
      <c r="E128" s="18" t="str">
        <f>IF($A128="","",IF($C128=0,"",_xlfn.MAXIFS('Daily tracking'!$A$2:$A$2001,'Daily tracking'!$D$2:$D$2001,$A128)))</f>
        <v/>
      </c>
      <c r="F128" s="6" t="str">
        <f t="shared" ca="1" si="7"/>
        <v/>
      </c>
      <c r="G128" s="3" t="str">
        <f t="shared" si="8"/>
        <v/>
      </c>
      <c r="H128" s="9" t="str">
        <f t="shared" si="9"/>
        <v/>
      </c>
      <c r="I128" s="20"/>
      <c r="J128" s="20"/>
      <c r="K128" s="19"/>
      <c r="L128" s="19"/>
      <c r="M128" s="19"/>
      <c r="N128" s="15" t="str">
        <f t="shared" si="10"/>
        <v/>
      </c>
      <c r="O128" s="3" t="str">
        <f t="shared" si="11"/>
        <v/>
      </c>
      <c r="P128" s="6" t="str">
        <f t="shared" ca="1" si="12"/>
        <v/>
      </c>
      <c r="Q128" s="21" t="str">
        <f>IF($A128="","",IF($C128=0,"",_xlfn.MINIFS('Daily tracking'!$A$2:$A$2001,'Daily tracking'!$D$2:$D$2001,$A128)))</f>
        <v/>
      </c>
      <c r="R128" s="6" t="str">
        <f t="shared" si="13"/>
        <v/>
      </c>
    </row>
    <row r="129" spans="1:18" x14ac:dyDescent="0.3">
      <c r="A129" s="19"/>
      <c r="B129" s="19"/>
      <c r="C129" s="15" t="str">
        <f>IF($A129="","",COUNTIF('Daily tracking'!$D$2:$D$2001,$A129))</f>
        <v/>
      </c>
      <c r="D129" s="16" t="str">
        <f>IF($A129="","",SUMIF('Daily tracking'!$D$2:$D$2001,$A129,'Daily tracking'!$G$2:$G$2001))</f>
        <v/>
      </c>
      <c r="E129" s="18" t="str">
        <f>IF($A129="","",IF($C129=0,"",_xlfn.MAXIFS('Daily tracking'!$A$2:$A$2001,'Daily tracking'!$D$2:$D$2001,$A129)))</f>
        <v/>
      </c>
      <c r="F129" s="6" t="str">
        <f t="shared" ca="1" si="7"/>
        <v/>
      </c>
      <c r="G129" s="3" t="str">
        <f t="shared" si="8"/>
        <v/>
      </c>
      <c r="H129" s="9" t="str">
        <f t="shared" si="9"/>
        <v/>
      </c>
      <c r="I129" s="20"/>
      <c r="J129" s="20"/>
      <c r="K129" s="19"/>
      <c r="L129" s="19"/>
      <c r="M129" s="19"/>
      <c r="N129" s="15" t="str">
        <f t="shared" si="10"/>
        <v/>
      </c>
      <c r="O129" s="3" t="str">
        <f t="shared" si="11"/>
        <v/>
      </c>
      <c r="P129" s="6" t="str">
        <f t="shared" ca="1" si="12"/>
        <v/>
      </c>
      <c r="Q129" s="21" t="str">
        <f>IF($A129="","",IF($C129=0,"",_xlfn.MINIFS('Daily tracking'!$A$2:$A$2001,'Daily tracking'!$D$2:$D$2001,$A129)))</f>
        <v/>
      </c>
      <c r="R129" s="6" t="str">
        <f t="shared" si="13"/>
        <v/>
      </c>
    </row>
    <row r="130" spans="1:18" x14ac:dyDescent="0.3">
      <c r="A130" s="19"/>
      <c r="B130" s="19"/>
      <c r="C130" s="15" t="str">
        <f>IF($A130="","",COUNTIF('Daily tracking'!$D$2:$D$2001,$A130))</f>
        <v/>
      </c>
      <c r="D130" s="16" t="str">
        <f>IF($A130="","",SUMIF('Daily tracking'!$D$2:$D$2001,$A130,'Daily tracking'!$G$2:$G$2001))</f>
        <v/>
      </c>
      <c r="E130" s="18" t="str">
        <f>IF($A130="","",IF($C130=0,"",_xlfn.MAXIFS('Daily tracking'!$A$2:$A$2001,'Daily tracking'!$D$2:$D$2001,$A130)))</f>
        <v/>
      </c>
      <c r="F130" s="6" t="str">
        <f t="shared" ref="F130:F193" ca="1" si="14">IF(OR($A130="",$E130=""),"",TODAY()-$E130)</f>
        <v/>
      </c>
      <c r="G130" s="3" t="str">
        <f t="shared" ref="G130:G193" si="15">IF($A130="","",IF($C130=0,"No visits",IF($F130&gt;90,"Lapsed",IF($F130&gt;35,"At risk",IF($C130&gt;=4,"Loyal","Active")))))</f>
        <v/>
      </c>
      <c r="H130" s="9" t="str">
        <f t="shared" ref="H130:H193" si="16">IF(OR($A130="",$C130=0),"",$D130/$C130)</f>
        <v/>
      </c>
      <c r="I130" s="20"/>
      <c r="J130" s="20"/>
      <c r="K130" s="19"/>
      <c r="L130" s="19"/>
      <c r="M130" s="19"/>
      <c r="N130" s="15" t="str">
        <f t="shared" ref="N130:N193" si="17">IF($A130="","",IF($C130=0,0,(IF($F130&lt;=15,5,IF($F130&lt;=30,4,IF($F130&lt;=45,3,IF($F130&lt;=90,2,1))))+IF($C130&gt;=10,5,IF($C130&gt;=6,4,IF($C130&gt;=4,3,IF($C130&gt;=2,2,1))))+IF($D130&gt;=20000,5,IF($D130&gt;=10000,4,IF($D130&gt;=5000,3,IF($D130&gt;=2000,2,1)))))))</f>
        <v/>
      </c>
      <c r="O130" s="3" t="str">
        <f t="shared" ref="O130:O193" si="18">IF($A130="","",IF($C130=0,"No visits",IF($N130&gt;=13,"VIP",IF($N130&gt;=10,"High value",IF($N130&gt;=7,"Regular",IF($N130&gt;=4,"Occasional","Low"))))))</f>
        <v/>
      </c>
      <c r="P130" s="6" t="str">
        <f t="shared" ref="P130:P193" ca="1" si="19">IF(OR($A130="",$I130=""),"",IF(MONTH($I130)=MONTH(TODAY()),"Yes",""))</f>
        <v/>
      </c>
      <c r="Q130" s="21" t="str">
        <f>IF($A130="","",IF($C130=0,"",_xlfn.MINIFS('Daily tracking'!$A$2:$A$2001,'Daily tracking'!$D$2:$D$2001,$A130)))</f>
        <v/>
      </c>
      <c r="R130" s="6" t="str">
        <f t="shared" ref="R130:R193" si="20">IF(OR($A130="",$C130&lt;2),"",($E130-$Q130)/($C130-1))</f>
        <v/>
      </c>
    </row>
    <row r="131" spans="1:18" x14ac:dyDescent="0.3">
      <c r="A131" s="19"/>
      <c r="B131" s="19"/>
      <c r="C131" s="15" t="str">
        <f>IF($A131="","",COUNTIF('Daily tracking'!$D$2:$D$2001,$A131))</f>
        <v/>
      </c>
      <c r="D131" s="16" t="str">
        <f>IF($A131="","",SUMIF('Daily tracking'!$D$2:$D$2001,$A131,'Daily tracking'!$G$2:$G$2001))</f>
        <v/>
      </c>
      <c r="E131" s="18" t="str">
        <f>IF($A131="","",IF($C131=0,"",_xlfn.MAXIFS('Daily tracking'!$A$2:$A$2001,'Daily tracking'!$D$2:$D$2001,$A131)))</f>
        <v/>
      </c>
      <c r="F131" s="6" t="str">
        <f t="shared" ca="1" si="14"/>
        <v/>
      </c>
      <c r="G131" s="3" t="str">
        <f t="shared" si="15"/>
        <v/>
      </c>
      <c r="H131" s="9" t="str">
        <f t="shared" si="16"/>
        <v/>
      </c>
      <c r="I131" s="20"/>
      <c r="J131" s="20"/>
      <c r="K131" s="19"/>
      <c r="L131" s="19"/>
      <c r="M131" s="19"/>
      <c r="N131" s="15" t="str">
        <f t="shared" si="17"/>
        <v/>
      </c>
      <c r="O131" s="3" t="str">
        <f t="shared" si="18"/>
        <v/>
      </c>
      <c r="P131" s="6" t="str">
        <f t="shared" ca="1" si="19"/>
        <v/>
      </c>
      <c r="Q131" s="21" t="str">
        <f>IF($A131="","",IF($C131=0,"",_xlfn.MINIFS('Daily tracking'!$A$2:$A$2001,'Daily tracking'!$D$2:$D$2001,$A131)))</f>
        <v/>
      </c>
      <c r="R131" s="6" t="str">
        <f t="shared" si="20"/>
        <v/>
      </c>
    </row>
    <row r="132" spans="1:18" x14ac:dyDescent="0.3">
      <c r="A132" s="19"/>
      <c r="B132" s="19"/>
      <c r="C132" s="15" t="str">
        <f>IF($A132="","",COUNTIF('Daily tracking'!$D$2:$D$2001,$A132))</f>
        <v/>
      </c>
      <c r="D132" s="16" t="str">
        <f>IF($A132="","",SUMIF('Daily tracking'!$D$2:$D$2001,$A132,'Daily tracking'!$G$2:$G$2001))</f>
        <v/>
      </c>
      <c r="E132" s="18" t="str">
        <f>IF($A132="","",IF($C132=0,"",_xlfn.MAXIFS('Daily tracking'!$A$2:$A$2001,'Daily tracking'!$D$2:$D$2001,$A132)))</f>
        <v/>
      </c>
      <c r="F132" s="6" t="str">
        <f t="shared" ca="1" si="14"/>
        <v/>
      </c>
      <c r="G132" s="3" t="str">
        <f t="shared" si="15"/>
        <v/>
      </c>
      <c r="H132" s="9" t="str">
        <f t="shared" si="16"/>
        <v/>
      </c>
      <c r="I132" s="20"/>
      <c r="J132" s="20"/>
      <c r="K132" s="19"/>
      <c r="L132" s="19"/>
      <c r="M132" s="19"/>
      <c r="N132" s="15" t="str">
        <f t="shared" si="17"/>
        <v/>
      </c>
      <c r="O132" s="3" t="str">
        <f t="shared" si="18"/>
        <v/>
      </c>
      <c r="P132" s="6" t="str">
        <f t="shared" ca="1" si="19"/>
        <v/>
      </c>
      <c r="Q132" s="21" t="str">
        <f>IF($A132="","",IF($C132=0,"",_xlfn.MINIFS('Daily tracking'!$A$2:$A$2001,'Daily tracking'!$D$2:$D$2001,$A132)))</f>
        <v/>
      </c>
      <c r="R132" s="6" t="str">
        <f t="shared" si="20"/>
        <v/>
      </c>
    </row>
    <row r="133" spans="1:18" x14ac:dyDescent="0.3">
      <c r="A133" s="19"/>
      <c r="B133" s="19"/>
      <c r="C133" s="15" t="str">
        <f>IF($A133="","",COUNTIF('Daily tracking'!$D$2:$D$2001,$A133))</f>
        <v/>
      </c>
      <c r="D133" s="16" t="str">
        <f>IF($A133="","",SUMIF('Daily tracking'!$D$2:$D$2001,$A133,'Daily tracking'!$G$2:$G$2001))</f>
        <v/>
      </c>
      <c r="E133" s="18" t="str">
        <f>IF($A133="","",IF($C133=0,"",_xlfn.MAXIFS('Daily tracking'!$A$2:$A$2001,'Daily tracking'!$D$2:$D$2001,$A133)))</f>
        <v/>
      </c>
      <c r="F133" s="6" t="str">
        <f t="shared" ca="1" si="14"/>
        <v/>
      </c>
      <c r="G133" s="3" t="str">
        <f t="shared" si="15"/>
        <v/>
      </c>
      <c r="H133" s="9" t="str">
        <f t="shared" si="16"/>
        <v/>
      </c>
      <c r="I133" s="20"/>
      <c r="J133" s="20"/>
      <c r="K133" s="19"/>
      <c r="L133" s="19"/>
      <c r="M133" s="19"/>
      <c r="N133" s="15" t="str">
        <f t="shared" si="17"/>
        <v/>
      </c>
      <c r="O133" s="3" t="str">
        <f t="shared" si="18"/>
        <v/>
      </c>
      <c r="P133" s="6" t="str">
        <f t="shared" ca="1" si="19"/>
        <v/>
      </c>
      <c r="Q133" s="21" t="str">
        <f>IF($A133="","",IF($C133=0,"",_xlfn.MINIFS('Daily tracking'!$A$2:$A$2001,'Daily tracking'!$D$2:$D$2001,$A133)))</f>
        <v/>
      </c>
      <c r="R133" s="6" t="str">
        <f t="shared" si="20"/>
        <v/>
      </c>
    </row>
    <row r="134" spans="1:18" x14ac:dyDescent="0.3">
      <c r="A134" s="19"/>
      <c r="B134" s="19"/>
      <c r="C134" s="15" t="str">
        <f>IF($A134="","",COUNTIF('Daily tracking'!$D$2:$D$2001,$A134))</f>
        <v/>
      </c>
      <c r="D134" s="16" t="str">
        <f>IF($A134="","",SUMIF('Daily tracking'!$D$2:$D$2001,$A134,'Daily tracking'!$G$2:$G$2001))</f>
        <v/>
      </c>
      <c r="E134" s="18" t="str">
        <f>IF($A134="","",IF($C134=0,"",_xlfn.MAXIFS('Daily tracking'!$A$2:$A$2001,'Daily tracking'!$D$2:$D$2001,$A134)))</f>
        <v/>
      </c>
      <c r="F134" s="6" t="str">
        <f t="shared" ca="1" si="14"/>
        <v/>
      </c>
      <c r="G134" s="3" t="str">
        <f t="shared" si="15"/>
        <v/>
      </c>
      <c r="H134" s="9" t="str">
        <f t="shared" si="16"/>
        <v/>
      </c>
      <c r="I134" s="20"/>
      <c r="J134" s="20"/>
      <c r="K134" s="19"/>
      <c r="L134" s="19"/>
      <c r="M134" s="19"/>
      <c r="N134" s="15" t="str">
        <f t="shared" si="17"/>
        <v/>
      </c>
      <c r="O134" s="3" t="str">
        <f t="shared" si="18"/>
        <v/>
      </c>
      <c r="P134" s="6" t="str">
        <f t="shared" ca="1" si="19"/>
        <v/>
      </c>
      <c r="Q134" s="21" t="str">
        <f>IF($A134="","",IF($C134=0,"",_xlfn.MINIFS('Daily tracking'!$A$2:$A$2001,'Daily tracking'!$D$2:$D$2001,$A134)))</f>
        <v/>
      </c>
      <c r="R134" s="6" t="str">
        <f t="shared" si="20"/>
        <v/>
      </c>
    </row>
    <row r="135" spans="1:18" x14ac:dyDescent="0.3">
      <c r="A135" s="19"/>
      <c r="B135" s="19"/>
      <c r="C135" s="15" t="str">
        <f>IF($A135="","",COUNTIF('Daily tracking'!$D$2:$D$2001,$A135))</f>
        <v/>
      </c>
      <c r="D135" s="16" t="str">
        <f>IF($A135="","",SUMIF('Daily tracking'!$D$2:$D$2001,$A135,'Daily tracking'!$G$2:$G$2001))</f>
        <v/>
      </c>
      <c r="E135" s="18" t="str">
        <f>IF($A135="","",IF($C135=0,"",_xlfn.MAXIFS('Daily tracking'!$A$2:$A$2001,'Daily tracking'!$D$2:$D$2001,$A135)))</f>
        <v/>
      </c>
      <c r="F135" s="6" t="str">
        <f t="shared" ca="1" si="14"/>
        <v/>
      </c>
      <c r="G135" s="3" t="str">
        <f t="shared" si="15"/>
        <v/>
      </c>
      <c r="H135" s="9" t="str">
        <f t="shared" si="16"/>
        <v/>
      </c>
      <c r="I135" s="20"/>
      <c r="J135" s="20"/>
      <c r="K135" s="19"/>
      <c r="L135" s="19"/>
      <c r="M135" s="19"/>
      <c r="N135" s="15" t="str">
        <f t="shared" si="17"/>
        <v/>
      </c>
      <c r="O135" s="3" t="str">
        <f t="shared" si="18"/>
        <v/>
      </c>
      <c r="P135" s="6" t="str">
        <f t="shared" ca="1" si="19"/>
        <v/>
      </c>
      <c r="Q135" s="21" t="str">
        <f>IF($A135="","",IF($C135=0,"",_xlfn.MINIFS('Daily tracking'!$A$2:$A$2001,'Daily tracking'!$D$2:$D$2001,$A135)))</f>
        <v/>
      </c>
      <c r="R135" s="6" t="str">
        <f t="shared" si="20"/>
        <v/>
      </c>
    </row>
    <row r="136" spans="1:18" x14ac:dyDescent="0.3">
      <c r="A136" s="19"/>
      <c r="B136" s="19"/>
      <c r="C136" s="15" t="str">
        <f>IF($A136="","",COUNTIF('Daily tracking'!$D$2:$D$2001,$A136))</f>
        <v/>
      </c>
      <c r="D136" s="16" t="str">
        <f>IF($A136="","",SUMIF('Daily tracking'!$D$2:$D$2001,$A136,'Daily tracking'!$G$2:$G$2001))</f>
        <v/>
      </c>
      <c r="E136" s="18" t="str">
        <f>IF($A136="","",IF($C136=0,"",_xlfn.MAXIFS('Daily tracking'!$A$2:$A$2001,'Daily tracking'!$D$2:$D$2001,$A136)))</f>
        <v/>
      </c>
      <c r="F136" s="6" t="str">
        <f t="shared" ca="1" si="14"/>
        <v/>
      </c>
      <c r="G136" s="3" t="str">
        <f t="shared" si="15"/>
        <v/>
      </c>
      <c r="H136" s="9" t="str">
        <f t="shared" si="16"/>
        <v/>
      </c>
      <c r="I136" s="20"/>
      <c r="J136" s="20"/>
      <c r="K136" s="19"/>
      <c r="L136" s="19"/>
      <c r="M136" s="19"/>
      <c r="N136" s="15" t="str">
        <f t="shared" si="17"/>
        <v/>
      </c>
      <c r="O136" s="3" t="str">
        <f t="shared" si="18"/>
        <v/>
      </c>
      <c r="P136" s="6" t="str">
        <f t="shared" ca="1" si="19"/>
        <v/>
      </c>
      <c r="Q136" s="21" t="str">
        <f>IF($A136="","",IF($C136=0,"",_xlfn.MINIFS('Daily tracking'!$A$2:$A$2001,'Daily tracking'!$D$2:$D$2001,$A136)))</f>
        <v/>
      </c>
      <c r="R136" s="6" t="str">
        <f t="shared" si="20"/>
        <v/>
      </c>
    </row>
    <row r="137" spans="1:18" x14ac:dyDescent="0.3">
      <c r="A137" s="19"/>
      <c r="B137" s="19"/>
      <c r="C137" s="15" t="str">
        <f>IF($A137="","",COUNTIF('Daily tracking'!$D$2:$D$2001,$A137))</f>
        <v/>
      </c>
      <c r="D137" s="16" t="str">
        <f>IF($A137="","",SUMIF('Daily tracking'!$D$2:$D$2001,$A137,'Daily tracking'!$G$2:$G$2001))</f>
        <v/>
      </c>
      <c r="E137" s="18" t="str">
        <f>IF($A137="","",IF($C137=0,"",_xlfn.MAXIFS('Daily tracking'!$A$2:$A$2001,'Daily tracking'!$D$2:$D$2001,$A137)))</f>
        <v/>
      </c>
      <c r="F137" s="6" t="str">
        <f t="shared" ca="1" si="14"/>
        <v/>
      </c>
      <c r="G137" s="3" t="str">
        <f t="shared" si="15"/>
        <v/>
      </c>
      <c r="H137" s="9" t="str">
        <f t="shared" si="16"/>
        <v/>
      </c>
      <c r="I137" s="20"/>
      <c r="J137" s="20"/>
      <c r="K137" s="19"/>
      <c r="L137" s="19"/>
      <c r="M137" s="19"/>
      <c r="N137" s="15" t="str">
        <f t="shared" si="17"/>
        <v/>
      </c>
      <c r="O137" s="3" t="str">
        <f t="shared" si="18"/>
        <v/>
      </c>
      <c r="P137" s="6" t="str">
        <f t="shared" ca="1" si="19"/>
        <v/>
      </c>
      <c r="Q137" s="21" t="str">
        <f>IF($A137="","",IF($C137=0,"",_xlfn.MINIFS('Daily tracking'!$A$2:$A$2001,'Daily tracking'!$D$2:$D$2001,$A137)))</f>
        <v/>
      </c>
      <c r="R137" s="6" t="str">
        <f t="shared" si="20"/>
        <v/>
      </c>
    </row>
    <row r="138" spans="1:18" x14ac:dyDescent="0.3">
      <c r="A138" s="19"/>
      <c r="B138" s="19"/>
      <c r="C138" s="15" t="str">
        <f>IF($A138="","",COUNTIF('Daily tracking'!$D$2:$D$2001,$A138))</f>
        <v/>
      </c>
      <c r="D138" s="16" t="str">
        <f>IF($A138="","",SUMIF('Daily tracking'!$D$2:$D$2001,$A138,'Daily tracking'!$G$2:$G$2001))</f>
        <v/>
      </c>
      <c r="E138" s="18" t="str">
        <f>IF($A138="","",IF($C138=0,"",_xlfn.MAXIFS('Daily tracking'!$A$2:$A$2001,'Daily tracking'!$D$2:$D$2001,$A138)))</f>
        <v/>
      </c>
      <c r="F138" s="6" t="str">
        <f t="shared" ca="1" si="14"/>
        <v/>
      </c>
      <c r="G138" s="3" t="str">
        <f t="shared" si="15"/>
        <v/>
      </c>
      <c r="H138" s="9" t="str">
        <f t="shared" si="16"/>
        <v/>
      </c>
      <c r="I138" s="20"/>
      <c r="J138" s="20"/>
      <c r="K138" s="19"/>
      <c r="L138" s="19"/>
      <c r="M138" s="19"/>
      <c r="N138" s="15" t="str">
        <f t="shared" si="17"/>
        <v/>
      </c>
      <c r="O138" s="3" t="str">
        <f t="shared" si="18"/>
        <v/>
      </c>
      <c r="P138" s="6" t="str">
        <f t="shared" ca="1" si="19"/>
        <v/>
      </c>
      <c r="Q138" s="21" t="str">
        <f>IF($A138="","",IF($C138=0,"",_xlfn.MINIFS('Daily tracking'!$A$2:$A$2001,'Daily tracking'!$D$2:$D$2001,$A138)))</f>
        <v/>
      </c>
      <c r="R138" s="6" t="str">
        <f t="shared" si="20"/>
        <v/>
      </c>
    </row>
    <row r="139" spans="1:18" x14ac:dyDescent="0.3">
      <c r="A139" s="19"/>
      <c r="B139" s="19"/>
      <c r="C139" s="15" t="str">
        <f>IF($A139="","",COUNTIF('Daily tracking'!$D$2:$D$2001,$A139))</f>
        <v/>
      </c>
      <c r="D139" s="16" t="str">
        <f>IF($A139="","",SUMIF('Daily tracking'!$D$2:$D$2001,$A139,'Daily tracking'!$G$2:$G$2001))</f>
        <v/>
      </c>
      <c r="E139" s="18" t="str">
        <f>IF($A139="","",IF($C139=0,"",_xlfn.MAXIFS('Daily tracking'!$A$2:$A$2001,'Daily tracking'!$D$2:$D$2001,$A139)))</f>
        <v/>
      </c>
      <c r="F139" s="6" t="str">
        <f t="shared" ca="1" si="14"/>
        <v/>
      </c>
      <c r="G139" s="3" t="str">
        <f t="shared" si="15"/>
        <v/>
      </c>
      <c r="H139" s="9" t="str">
        <f t="shared" si="16"/>
        <v/>
      </c>
      <c r="I139" s="20"/>
      <c r="J139" s="20"/>
      <c r="K139" s="19"/>
      <c r="L139" s="19"/>
      <c r="M139" s="19"/>
      <c r="N139" s="15" t="str">
        <f t="shared" si="17"/>
        <v/>
      </c>
      <c r="O139" s="3" t="str">
        <f t="shared" si="18"/>
        <v/>
      </c>
      <c r="P139" s="6" t="str">
        <f t="shared" ca="1" si="19"/>
        <v/>
      </c>
      <c r="Q139" s="21" t="str">
        <f>IF($A139="","",IF($C139=0,"",_xlfn.MINIFS('Daily tracking'!$A$2:$A$2001,'Daily tracking'!$D$2:$D$2001,$A139)))</f>
        <v/>
      </c>
      <c r="R139" s="6" t="str">
        <f t="shared" si="20"/>
        <v/>
      </c>
    </row>
    <row r="140" spans="1:18" x14ac:dyDescent="0.3">
      <c r="A140" s="19"/>
      <c r="B140" s="19"/>
      <c r="C140" s="15" t="str">
        <f>IF($A140="","",COUNTIF('Daily tracking'!$D$2:$D$2001,$A140))</f>
        <v/>
      </c>
      <c r="D140" s="16" t="str">
        <f>IF($A140="","",SUMIF('Daily tracking'!$D$2:$D$2001,$A140,'Daily tracking'!$G$2:$G$2001))</f>
        <v/>
      </c>
      <c r="E140" s="18" t="str">
        <f>IF($A140="","",IF($C140=0,"",_xlfn.MAXIFS('Daily tracking'!$A$2:$A$2001,'Daily tracking'!$D$2:$D$2001,$A140)))</f>
        <v/>
      </c>
      <c r="F140" s="6" t="str">
        <f t="shared" ca="1" si="14"/>
        <v/>
      </c>
      <c r="G140" s="3" t="str">
        <f t="shared" si="15"/>
        <v/>
      </c>
      <c r="H140" s="9" t="str">
        <f t="shared" si="16"/>
        <v/>
      </c>
      <c r="I140" s="20"/>
      <c r="J140" s="20"/>
      <c r="K140" s="19"/>
      <c r="L140" s="19"/>
      <c r="M140" s="19"/>
      <c r="N140" s="15" t="str">
        <f t="shared" si="17"/>
        <v/>
      </c>
      <c r="O140" s="3" t="str">
        <f t="shared" si="18"/>
        <v/>
      </c>
      <c r="P140" s="6" t="str">
        <f t="shared" ca="1" si="19"/>
        <v/>
      </c>
      <c r="Q140" s="21" t="str">
        <f>IF($A140="","",IF($C140=0,"",_xlfn.MINIFS('Daily tracking'!$A$2:$A$2001,'Daily tracking'!$D$2:$D$2001,$A140)))</f>
        <v/>
      </c>
      <c r="R140" s="6" t="str">
        <f t="shared" si="20"/>
        <v/>
      </c>
    </row>
    <row r="141" spans="1:18" x14ac:dyDescent="0.3">
      <c r="A141" s="19"/>
      <c r="B141" s="19"/>
      <c r="C141" s="15" t="str">
        <f>IF($A141="","",COUNTIF('Daily tracking'!$D$2:$D$2001,$A141))</f>
        <v/>
      </c>
      <c r="D141" s="16" t="str">
        <f>IF($A141="","",SUMIF('Daily tracking'!$D$2:$D$2001,$A141,'Daily tracking'!$G$2:$G$2001))</f>
        <v/>
      </c>
      <c r="E141" s="18" t="str">
        <f>IF($A141="","",IF($C141=0,"",_xlfn.MAXIFS('Daily tracking'!$A$2:$A$2001,'Daily tracking'!$D$2:$D$2001,$A141)))</f>
        <v/>
      </c>
      <c r="F141" s="6" t="str">
        <f t="shared" ca="1" si="14"/>
        <v/>
      </c>
      <c r="G141" s="3" t="str">
        <f t="shared" si="15"/>
        <v/>
      </c>
      <c r="H141" s="9" t="str">
        <f t="shared" si="16"/>
        <v/>
      </c>
      <c r="I141" s="20"/>
      <c r="J141" s="20"/>
      <c r="K141" s="19"/>
      <c r="L141" s="19"/>
      <c r="M141" s="19"/>
      <c r="N141" s="15" t="str">
        <f t="shared" si="17"/>
        <v/>
      </c>
      <c r="O141" s="3" t="str">
        <f t="shared" si="18"/>
        <v/>
      </c>
      <c r="P141" s="6" t="str">
        <f t="shared" ca="1" si="19"/>
        <v/>
      </c>
      <c r="Q141" s="21" t="str">
        <f>IF($A141="","",IF($C141=0,"",_xlfn.MINIFS('Daily tracking'!$A$2:$A$2001,'Daily tracking'!$D$2:$D$2001,$A141)))</f>
        <v/>
      </c>
      <c r="R141" s="6" t="str">
        <f t="shared" si="20"/>
        <v/>
      </c>
    </row>
    <row r="142" spans="1:18" x14ac:dyDescent="0.3">
      <c r="A142" s="19"/>
      <c r="B142" s="19"/>
      <c r="C142" s="15" t="str">
        <f>IF($A142="","",COUNTIF('Daily tracking'!$D$2:$D$2001,$A142))</f>
        <v/>
      </c>
      <c r="D142" s="16" t="str">
        <f>IF($A142="","",SUMIF('Daily tracking'!$D$2:$D$2001,$A142,'Daily tracking'!$G$2:$G$2001))</f>
        <v/>
      </c>
      <c r="E142" s="18" t="str">
        <f>IF($A142="","",IF($C142=0,"",_xlfn.MAXIFS('Daily tracking'!$A$2:$A$2001,'Daily tracking'!$D$2:$D$2001,$A142)))</f>
        <v/>
      </c>
      <c r="F142" s="6" t="str">
        <f t="shared" ca="1" si="14"/>
        <v/>
      </c>
      <c r="G142" s="3" t="str">
        <f t="shared" si="15"/>
        <v/>
      </c>
      <c r="H142" s="9" t="str">
        <f t="shared" si="16"/>
        <v/>
      </c>
      <c r="I142" s="20"/>
      <c r="J142" s="20"/>
      <c r="K142" s="19"/>
      <c r="L142" s="19"/>
      <c r="M142" s="19"/>
      <c r="N142" s="15" t="str">
        <f t="shared" si="17"/>
        <v/>
      </c>
      <c r="O142" s="3" t="str">
        <f t="shared" si="18"/>
        <v/>
      </c>
      <c r="P142" s="6" t="str">
        <f t="shared" ca="1" si="19"/>
        <v/>
      </c>
      <c r="Q142" s="21" t="str">
        <f>IF($A142="","",IF($C142=0,"",_xlfn.MINIFS('Daily tracking'!$A$2:$A$2001,'Daily tracking'!$D$2:$D$2001,$A142)))</f>
        <v/>
      </c>
      <c r="R142" s="6" t="str">
        <f t="shared" si="20"/>
        <v/>
      </c>
    </row>
    <row r="143" spans="1:18" x14ac:dyDescent="0.3">
      <c r="A143" s="19"/>
      <c r="B143" s="19"/>
      <c r="C143" s="15" t="str">
        <f>IF($A143="","",COUNTIF('Daily tracking'!$D$2:$D$2001,$A143))</f>
        <v/>
      </c>
      <c r="D143" s="16" t="str">
        <f>IF($A143="","",SUMIF('Daily tracking'!$D$2:$D$2001,$A143,'Daily tracking'!$G$2:$G$2001))</f>
        <v/>
      </c>
      <c r="E143" s="18" t="str">
        <f>IF($A143="","",IF($C143=0,"",_xlfn.MAXIFS('Daily tracking'!$A$2:$A$2001,'Daily tracking'!$D$2:$D$2001,$A143)))</f>
        <v/>
      </c>
      <c r="F143" s="6" t="str">
        <f t="shared" ca="1" si="14"/>
        <v/>
      </c>
      <c r="G143" s="3" t="str">
        <f t="shared" si="15"/>
        <v/>
      </c>
      <c r="H143" s="9" t="str">
        <f t="shared" si="16"/>
        <v/>
      </c>
      <c r="I143" s="20"/>
      <c r="J143" s="20"/>
      <c r="K143" s="19"/>
      <c r="L143" s="19"/>
      <c r="M143" s="19"/>
      <c r="N143" s="15" t="str">
        <f t="shared" si="17"/>
        <v/>
      </c>
      <c r="O143" s="3" t="str">
        <f t="shared" si="18"/>
        <v/>
      </c>
      <c r="P143" s="6" t="str">
        <f t="shared" ca="1" si="19"/>
        <v/>
      </c>
      <c r="Q143" s="21" t="str">
        <f>IF($A143="","",IF($C143=0,"",_xlfn.MINIFS('Daily tracking'!$A$2:$A$2001,'Daily tracking'!$D$2:$D$2001,$A143)))</f>
        <v/>
      </c>
      <c r="R143" s="6" t="str">
        <f t="shared" si="20"/>
        <v/>
      </c>
    </row>
    <row r="144" spans="1:18" x14ac:dyDescent="0.3">
      <c r="A144" s="19"/>
      <c r="B144" s="19"/>
      <c r="C144" s="15" t="str">
        <f>IF($A144="","",COUNTIF('Daily tracking'!$D$2:$D$2001,$A144))</f>
        <v/>
      </c>
      <c r="D144" s="16" t="str">
        <f>IF($A144="","",SUMIF('Daily tracking'!$D$2:$D$2001,$A144,'Daily tracking'!$G$2:$G$2001))</f>
        <v/>
      </c>
      <c r="E144" s="18" t="str">
        <f>IF($A144="","",IF($C144=0,"",_xlfn.MAXIFS('Daily tracking'!$A$2:$A$2001,'Daily tracking'!$D$2:$D$2001,$A144)))</f>
        <v/>
      </c>
      <c r="F144" s="6" t="str">
        <f t="shared" ca="1" si="14"/>
        <v/>
      </c>
      <c r="G144" s="3" t="str">
        <f t="shared" si="15"/>
        <v/>
      </c>
      <c r="H144" s="9" t="str">
        <f t="shared" si="16"/>
        <v/>
      </c>
      <c r="I144" s="20"/>
      <c r="J144" s="20"/>
      <c r="K144" s="19"/>
      <c r="L144" s="19"/>
      <c r="M144" s="19"/>
      <c r="N144" s="15" t="str">
        <f t="shared" si="17"/>
        <v/>
      </c>
      <c r="O144" s="3" t="str">
        <f t="shared" si="18"/>
        <v/>
      </c>
      <c r="P144" s="6" t="str">
        <f t="shared" ca="1" si="19"/>
        <v/>
      </c>
      <c r="Q144" s="21" t="str">
        <f>IF($A144="","",IF($C144=0,"",_xlfn.MINIFS('Daily tracking'!$A$2:$A$2001,'Daily tracking'!$D$2:$D$2001,$A144)))</f>
        <v/>
      </c>
      <c r="R144" s="6" t="str">
        <f t="shared" si="20"/>
        <v/>
      </c>
    </row>
    <row r="145" spans="1:18" x14ac:dyDescent="0.3">
      <c r="A145" s="19"/>
      <c r="B145" s="19"/>
      <c r="C145" s="15" t="str">
        <f>IF($A145="","",COUNTIF('Daily tracking'!$D$2:$D$2001,$A145))</f>
        <v/>
      </c>
      <c r="D145" s="16" t="str">
        <f>IF($A145="","",SUMIF('Daily tracking'!$D$2:$D$2001,$A145,'Daily tracking'!$G$2:$G$2001))</f>
        <v/>
      </c>
      <c r="E145" s="18" t="str">
        <f>IF($A145="","",IF($C145=0,"",_xlfn.MAXIFS('Daily tracking'!$A$2:$A$2001,'Daily tracking'!$D$2:$D$2001,$A145)))</f>
        <v/>
      </c>
      <c r="F145" s="6" t="str">
        <f t="shared" ca="1" si="14"/>
        <v/>
      </c>
      <c r="G145" s="3" t="str">
        <f t="shared" si="15"/>
        <v/>
      </c>
      <c r="H145" s="9" t="str">
        <f t="shared" si="16"/>
        <v/>
      </c>
      <c r="I145" s="20"/>
      <c r="J145" s="20"/>
      <c r="K145" s="19"/>
      <c r="L145" s="19"/>
      <c r="M145" s="19"/>
      <c r="N145" s="15" t="str">
        <f t="shared" si="17"/>
        <v/>
      </c>
      <c r="O145" s="3" t="str">
        <f t="shared" si="18"/>
        <v/>
      </c>
      <c r="P145" s="6" t="str">
        <f t="shared" ca="1" si="19"/>
        <v/>
      </c>
      <c r="Q145" s="21" t="str">
        <f>IF($A145="","",IF($C145=0,"",_xlfn.MINIFS('Daily tracking'!$A$2:$A$2001,'Daily tracking'!$D$2:$D$2001,$A145)))</f>
        <v/>
      </c>
      <c r="R145" s="6" t="str">
        <f t="shared" si="20"/>
        <v/>
      </c>
    </row>
    <row r="146" spans="1:18" x14ac:dyDescent="0.3">
      <c r="A146" s="19"/>
      <c r="B146" s="19"/>
      <c r="C146" s="15" t="str">
        <f>IF($A146="","",COUNTIF('Daily tracking'!$D$2:$D$2001,$A146))</f>
        <v/>
      </c>
      <c r="D146" s="16" t="str">
        <f>IF($A146="","",SUMIF('Daily tracking'!$D$2:$D$2001,$A146,'Daily tracking'!$G$2:$G$2001))</f>
        <v/>
      </c>
      <c r="E146" s="18" t="str">
        <f>IF($A146="","",IF($C146=0,"",_xlfn.MAXIFS('Daily tracking'!$A$2:$A$2001,'Daily tracking'!$D$2:$D$2001,$A146)))</f>
        <v/>
      </c>
      <c r="F146" s="6" t="str">
        <f t="shared" ca="1" si="14"/>
        <v/>
      </c>
      <c r="G146" s="3" t="str">
        <f t="shared" si="15"/>
        <v/>
      </c>
      <c r="H146" s="9" t="str">
        <f t="shared" si="16"/>
        <v/>
      </c>
      <c r="I146" s="20"/>
      <c r="J146" s="20"/>
      <c r="K146" s="19"/>
      <c r="L146" s="19"/>
      <c r="M146" s="19"/>
      <c r="N146" s="15" t="str">
        <f t="shared" si="17"/>
        <v/>
      </c>
      <c r="O146" s="3" t="str">
        <f t="shared" si="18"/>
        <v/>
      </c>
      <c r="P146" s="6" t="str">
        <f t="shared" ca="1" si="19"/>
        <v/>
      </c>
      <c r="Q146" s="21" t="str">
        <f>IF($A146="","",IF($C146=0,"",_xlfn.MINIFS('Daily tracking'!$A$2:$A$2001,'Daily tracking'!$D$2:$D$2001,$A146)))</f>
        <v/>
      </c>
      <c r="R146" s="6" t="str">
        <f t="shared" si="20"/>
        <v/>
      </c>
    </row>
    <row r="147" spans="1:18" x14ac:dyDescent="0.3">
      <c r="A147" s="19"/>
      <c r="B147" s="19"/>
      <c r="C147" s="15" t="str">
        <f>IF($A147="","",COUNTIF('Daily tracking'!$D$2:$D$2001,$A147))</f>
        <v/>
      </c>
      <c r="D147" s="16" t="str">
        <f>IF($A147="","",SUMIF('Daily tracking'!$D$2:$D$2001,$A147,'Daily tracking'!$G$2:$G$2001))</f>
        <v/>
      </c>
      <c r="E147" s="18" t="str">
        <f>IF($A147="","",IF($C147=0,"",_xlfn.MAXIFS('Daily tracking'!$A$2:$A$2001,'Daily tracking'!$D$2:$D$2001,$A147)))</f>
        <v/>
      </c>
      <c r="F147" s="6" t="str">
        <f t="shared" ca="1" si="14"/>
        <v/>
      </c>
      <c r="G147" s="3" t="str">
        <f t="shared" si="15"/>
        <v/>
      </c>
      <c r="H147" s="9" t="str">
        <f t="shared" si="16"/>
        <v/>
      </c>
      <c r="I147" s="20"/>
      <c r="J147" s="20"/>
      <c r="K147" s="19"/>
      <c r="L147" s="19"/>
      <c r="M147" s="19"/>
      <c r="N147" s="15" t="str">
        <f t="shared" si="17"/>
        <v/>
      </c>
      <c r="O147" s="3" t="str">
        <f t="shared" si="18"/>
        <v/>
      </c>
      <c r="P147" s="6" t="str">
        <f t="shared" ca="1" si="19"/>
        <v/>
      </c>
      <c r="Q147" s="21" t="str">
        <f>IF($A147="","",IF($C147=0,"",_xlfn.MINIFS('Daily tracking'!$A$2:$A$2001,'Daily tracking'!$D$2:$D$2001,$A147)))</f>
        <v/>
      </c>
      <c r="R147" s="6" t="str">
        <f t="shared" si="20"/>
        <v/>
      </c>
    </row>
    <row r="148" spans="1:18" x14ac:dyDescent="0.3">
      <c r="A148" s="19"/>
      <c r="B148" s="19"/>
      <c r="C148" s="15" t="str">
        <f>IF($A148="","",COUNTIF('Daily tracking'!$D$2:$D$2001,$A148))</f>
        <v/>
      </c>
      <c r="D148" s="16" t="str">
        <f>IF($A148="","",SUMIF('Daily tracking'!$D$2:$D$2001,$A148,'Daily tracking'!$G$2:$G$2001))</f>
        <v/>
      </c>
      <c r="E148" s="18" t="str">
        <f>IF($A148="","",IF($C148=0,"",_xlfn.MAXIFS('Daily tracking'!$A$2:$A$2001,'Daily tracking'!$D$2:$D$2001,$A148)))</f>
        <v/>
      </c>
      <c r="F148" s="6" t="str">
        <f t="shared" ca="1" si="14"/>
        <v/>
      </c>
      <c r="G148" s="3" t="str">
        <f t="shared" si="15"/>
        <v/>
      </c>
      <c r="H148" s="9" t="str">
        <f t="shared" si="16"/>
        <v/>
      </c>
      <c r="I148" s="20"/>
      <c r="J148" s="20"/>
      <c r="K148" s="19"/>
      <c r="L148" s="19"/>
      <c r="M148" s="19"/>
      <c r="N148" s="15" t="str">
        <f t="shared" si="17"/>
        <v/>
      </c>
      <c r="O148" s="3" t="str">
        <f t="shared" si="18"/>
        <v/>
      </c>
      <c r="P148" s="6" t="str">
        <f t="shared" ca="1" si="19"/>
        <v/>
      </c>
      <c r="Q148" s="21" t="str">
        <f>IF($A148="","",IF($C148=0,"",_xlfn.MINIFS('Daily tracking'!$A$2:$A$2001,'Daily tracking'!$D$2:$D$2001,$A148)))</f>
        <v/>
      </c>
      <c r="R148" s="6" t="str">
        <f t="shared" si="20"/>
        <v/>
      </c>
    </row>
    <row r="149" spans="1:18" x14ac:dyDescent="0.3">
      <c r="A149" s="19"/>
      <c r="B149" s="19"/>
      <c r="C149" s="15" t="str">
        <f>IF($A149="","",COUNTIF('Daily tracking'!$D$2:$D$2001,$A149))</f>
        <v/>
      </c>
      <c r="D149" s="16" t="str">
        <f>IF($A149="","",SUMIF('Daily tracking'!$D$2:$D$2001,$A149,'Daily tracking'!$G$2:$G$2001))</f>
        <v/>
      </c>
      <c r="E149" s="18" t="str">
        <f>IF($A149="","",IF($C149=0,"",_xlfn.MAXIFS('Daily tracking'!$A$2:$A$2001,'Daily tracking'!$D$2:$D$2001,$A149)))</f>
        <v/>
      </c>
      <c r="F149" s="6" t="str">
        <f t="shared" ca="1" si="14"/>
        <v/>
      </c>
      <c r="G149" s="3" t="str">
        <f t="shared" si="15"/>
        <v/>
      </c>
      <c r="H149" s="9" t="str">
        <f t="shared" si="16"/>
        <v/>
      </c>
      <c r="I149" s="20"/>
      <c r="J149" s="20"/>
      <c r="K149" s="19"/>
      <c r="L149" s="19"/>
      <c r="M149" s="19"/>
      <c r="N149" s="15" t="str">
        <f t="shared" si="17"/>
        <v/>
      </c>
      <c r="O149" s="3" t="str">
        <f t="shared" si="18"/>
        <v/>
      </c>
      <c r="P149" s="6" t="str">
        <f t="shared" ca="1" si="19"/>
        <v/>
      </c>
      <c r="Q149" s="21" t="str">
        <f>IF($A149="","",IF($C149=0,"",_xlfn.MINIFS('Daily tracking'!$A$2:$A$2001,'Daily tracking'!$D$2:$D$2001,$A149)))</f>
        <v/>
      </c>
      <c r="R149" s="6" t="str">
        <f t="shared" si="20"/>
        <v/>
      </c>
    </row>
    <row r="150" spans="1:18" x14ac:dyDescent="0.3">
      <c r="A150" s="19"/>
      <c r="B150" s="19"/>
      <c r="C150" s="15" t="str">
        <f>IF($A150="","",COUNTIF('Daily tracking'!$D$2:$D$2001,$A150))</f>
        <v/>
      </c>
      <c r="D150" s="16" t="str">
        <f>IF($A150="","",SUMIF('Daily tracking'!$D$2:$D$2001,$A150,'Daily tracking'!$G$2:$G$2001))</f>
        <v/>
      </c>
      <c r="E150" s="18" t="str">
        <f>IF($A150="","",IF($C150=0,"",_xlfn.MAXIFS('Daily tracking'!$A$2:$A$2001,'Daily tracking'!$D$2:$D$2001,$A150)))</f>
        <v/>
      </c>
      <c r="F150" s="6" t="str">
        <f t="shared" ca="1" si="14"/>
        <v/>
      </c>
      <c r="G150" s="3" t="str">
        <f t="shared" si="15"/>
        <v/>
      </c>
      <c r="H150" s="9" t="str">
        <f t="shared" si="16"/>
        <v/>
      </c>
      <c r="I150" s="20"/>
      <c r="J150" s="20"/>
      <c r="K150" s="19"/>
      <c r="L150" s="19"/>
      <c r="M150" s="19"/>
      <c r="N150" s="15" t="str">
        <f t="shared" si="17"/>
        <v/>
      </c>
      <c r="O150" s="3" t="str">
        <f t="shared" si="18"/>
        <v/>
      </c>
      <c r="P150" s="6" t="str">
        <f t="shared" ca="1" si="19"/>
        <v/>
      </c>
      <c r="Q150" s="21" t="str">
        <f>IF($A150="","",IF($C150=0,"",_xlfn.MINIFS('Daily tracking'!$A$2:$A$2001,'Daily tracking'!$D$2:$D$2001,$A150)))</f>
        <v/>
      </c>
      <c r="R150" s="6" t="str">
        <f t="shared" si="20"/>
        <v/>
      </c>
    </row>
    <row r="151" spans="1:18" x14ac:dyDescent="0.3">
      <c r="A151" s="19"/>
      <c r="B151" s="19"/>
      <c r="C151" s="15" t="str">
        <f>IF($A151="","",COUNTIF('Daily tracking'!$D$2:$D$2001,$A151))</f>
        <v/>
      </c>
      <c r="D151" s="16" t="str">
        <f>IF($A151="","",SUMIF('Daily tracking'!$D$2:$D$2001,$A151,'Daily tracking'!$G$2:$G$2001))</f>
        <v/>
      </c>
      <c r="E151" s="18" t="str">
        <f>IF($A151="","",IF($C151=0,"",_xlfn.MAXIFS('Daily tracking'!$A$2:$A$2001,'Daily tracking'!$D$2:$D$2001,$A151)))</f>
        <v/>
      </c>
      <c r="F151" s="6" t="str">
        <f t="shared" ca="1" si="14"/>
        <v/>
      </c>
      <c r="G151" s="3" t="str">
        <f t="shared" si="15"/>
        <v/>
      </c>
      <c r="H151" s="9" t="str">
        <f t="shared" si="16"/>
        <v/>
      </c>
      <c r="I151" s="20"/>
      <c r="J151" s="20"/>
      <c r="K151" s="19"/>
      <c r="L151" s="19"/>
      <c r="M151" s="19"/>
      <c r="N151" s="15" t="str">
        <f t="shared" si="17"/>
        <v/>
      </c>
      <c r="O151" s="3" t="str">
        <f t="shared" si="18"/>
        <v/>
      </c>
      <c r="P151" s="6" t="str">
        <f t="shared" ca="1" si="19"/>
        <v/>
      </c>
      <c r="Q151" s="21" t="str">
        <f>IF($A151="","",IF($C151=0,"",_xlfn.MINIFS('Daily tracking'!$A$2:$A$2001,'Daily tracking'!$D$2:$D$2001,$A151)))</f>
        <v/>
      </c>
      <c r="R151" s="6" t="str">
        <f t="shared" si="20"/>
        <v/>
      </c>
    </row>
    <row r="152" spans="1:18" x14ac:dyDescent="0.3">
      <c r="A152" s="19"/>
      <c r="B152" s="19"/>
      <c r="C152" s="15" t="str">
        <f>IF($A152="","",COUNTIF('Daily tracking'!$D$2:$D$2001,$A152))</f>
        <v/>
      </c>
      <c r="D152" s="16" t="str">
        <f>IF($A152="","",SUMIF('Daily tracking'!$D$2:$D$2001,$A152,'Daily tracking'!$G$2:$G$2001))</f>
        <v/>
      </c>
      <c r="E152" s="18" t="str">
        <f>IF($A152="","",IF($C152=0,"",_xlfn.MAXIFS('Daily tracking'!$A$2:$A$2001,'Daily tracking'!$D$2:$D$2001,$A152)))</f>
        <v/>
      </c>
      <c r="F152" s="6" t="str">
        <f t="shared" ca="1" si="14"/>
        <v/>
      </c>
      <c r="G152" s="3" t="str">
        <f t="shared" si="15"/>
        <v/>
      </c>
      <c r="H152" s="9" t="str">
        <f t="shared" si="16"/>
        <v/>
      </c>
      <c r="I152" s="20"/>
      <c r="J152" s="20"/>
      <c r="K152" s="19"/>
      <c r="L152" s="19"/>
      <c r="M152" s="19"/>
      <c r="N152" s="15" t="str">
        <f t="shared" si="17"/>
        <v/>
      </c>
      <c r="O152" s="3" t="str">
        <f t="shared" si="18"/>
        <v/>
      </c>
      <c r="P152" s="6" t="str">
        <f t="shared" ca="1" si="19"/>
        <v/>
      </c>
      <c r="Q152" s="21" t="str">
        <f>IF($A152="","",IF($C152=0,"",_xlfn.MINIFS('Daily tracking'!$A$2:$A$2001,'Daily tracking'!$D$2:$D$2001,$A152)))</f>
        <v/>
      </c>
      <c r="R152" s="6" t="str">
        <f t="shared" si="20"/>
        <v/>
      </c>
    </row>
    <row r="153" spans="1:18" x14ac:dyDescent="0.3">
      <c r="A153" s="19"/>
      <c r="B153" s="19"/>
      <c r="C153" s="15" t="str">
        <f>IF($A153="","",COUNTIF('Daily tracking'!$D$2:$D$2001,$A153))</f>
        <v/>
      </c>
      <c r="D153" s="16" t="str">
        <f>IF($A153="","",SUMIF('Daily tracking'!$D$2:$D$2001,$A153,'Daily tracking'!$G$2:$G$2001))</f>
        <v/>
      </c>
      <c r="E153" s="18" t="str">
        <f>IF($A153="","",IF($C153=0,"",_xlfn.MAXIFS('Daily tracking'!$A$2:$A$2001,'Daily tracking'!$D$2:$D$2001,$A153)))</f>
        <v/>
      </c>
      <c r="F153" s="6" t="str">
        <f t="shared" ca="1" si="14"/>
        <v/>
      </c>
      <c r="G153" s="3" t="str">
        <f t="shared" si="15"/>
        <v/>
      </c>
      <c r="H153" s="9" t="str">
        <f t="shared" si="16"/>
        <v/>
      </c>
      <c r="I153" s="20"/>
      <c r="J153" s="20"/>
      <c r="K153" s="19"/>
      <c r="L153" s="19"/>
      <c r="M153" s="19"/>
      <c r="N153" s="15" t="str">
        <f t="shared" si="17"/>
        <v/>
      </c>
      <c r="O153" s="3" t="str">
        <f t="shared" si="18"/>
        <v/>
      </c>
      <c r="P153" s="6" t="str">
        <f t="shared" ca="1" si="19"/>
        <v/>
      </c>
      <c r="Q153" s="21" t="str">
        <f>IF($A153="","",IF($C153=0,"",_xlfn.MINIFS('Daily tracking'!$A$2:$A$2001,'Daily tracking'!$D$2:$D$2001,$A153)))</f>
        <v/>
      </c>
      <c r="R153" s="6" t="str">
        <f t="shared" si="20"/>
        <v/>
      </c>
    </row>
    <row r="154" spans="1:18" x14ac:dyDescent="0.3">
      <c r="A154" s="19"/>
      <c r="B154" s="19"/>
      <c r="C154" s="15" t="str">
        <f>IF($A154="","",COUNTIF('Daily tracking'!$D$2:$D$2001,$A154))</f>
        <v/>
      </c>
      <c r="D154" s="16" t="str">
        <f>IF($A154="","",SUMIF('Daily tracking'!$D$2:$D$2001,$A154,'Daily tracking'!$G$2:$G$2001))</f>
        <v/>
      </c>
      <c r="E154" s="18" t="str">
        <f>IF($A154="","",IF($C154=0,"",_xlfn.MAXIFS('Daily tracking'!$A$2:$A$2001,'Daily tracking'!$D$2:$D$2001,$A154)))</f>
        <v/>
      </c>
      <c r="F154" s="6" t="str">
        <f t="shared" ca="1" si="14"/>
        <v/>
      </c>
      <c r="G154" s="3" t="str">
        <f t="shared" si="15"/>
        <v/>
      </c>
      <c r="H154" s="9" t="str">
        <f t="shared" si="16"/>
        <v/>
      </c>
      <c r="I154" s="20"/>
      <c r="J154" s="20"/>
      <c r="K154" s="19"/>
      <c r="L154" s="19"/>
      <c r="M154" s="19"/>
      <c r="N154" s="15" t="str">
        <f t="shared" si="17"/>
        <v/>
      </c>
      <c r="O154" s="3" t="str">
        <f t="shared" si="18"/>
        <v/>
      </c>
      <c r="P154" s="6" t="str">
        <f t="shared" ca="1" si="19"/>
        <v/>
      </c>
      <c r="Q154" s="21" t="str">
        <f>IF($A154="","",IF($C154=0,"",_xlfn.MINIFS('Daily tracking'!$A$2:$A$2001,'Daily tracking'!$D$2:$D$2001,$A154)))</f>
        <v/>
      </c>
      <c r="R154" s="6" t="str">
        <f t="shared" si="20"/>
        <v/>
      </c>
    </row>
    <row r="155" spans="1:18" x14ac:dyDescent="0.3">
      <c r="A155" s="19"/>
      <c r="B155" s="19"/>
      <c r="C155" s="15" t="str">
        <f>IF($A155="","",COUNTIF('Daily tracking'!$D$2:$D$2001,$A155))</f>
        <v/>
      </c>
      <c r="D155" s="16" t="str">
        <f>IF($A155="","",SUMIF('Daily tracking'!$D$2:$D$2001,$A155,'Daily tracking'!$G$2:$G$2001))</f>
        <v/>
      </c>
      <c r="E155" s="18" t="str">
        <f>IF($A155="","",IF($C155=0,"",_xlfn.MAXIFS('Daily tracking'!$A$2:$A$2001,'Daily tracking'!$D$2:$D$2001,$A155)))</f>
        <v/>
      </c>
      <c r="F155" s="6" t="str">
        <f t="shared" ca="1" si="14"/>
        <v/>
      </c>
      <c r="G155" s="3" t="str">
        <f t="shared" si="15"/>
        <v/>
      </c>
      <c r="H155" s="9" t="str">
        <f t="shared" si="16"/>
        <v/>
      </c>
      <c r="I155" s="20"/>
      <c r="J155" s="20"/>
      <c r="K155" s="19"/>
      <c r="L155" s="19"/>
      <c r="M155" s="19"/>
      <c r="N155" s="15" t="str">
        <f t="shared" si="17"/>
        <v/>
      </c>
      <c r="O155" s="3" t="str">
        <f t="shared" si="18"/>
        <v/>
      </c>
      <c r="P155" s="6" t="str">
        <f t="shared" ca="1" si="19"/>
        <v/>
      </c>
      <c r="Q155" s="21" t="str">
        <f>IF($A155="","",IF($C155=0,"",_xlfn.MINIFS('Daily tracking'!$A$2:$A$2001,'Daily tracking'!$D$2:$D$2001,$A155)))</f>
        <v/>
      </c>
      <c r="R155" s="6" t="str">
        <f t="shared" si="20"/>
        <v/>
      </c>
    </row>
    <row r="156" spans="1:18" x14ac:dyDescent="0.3">
      <c r="A156" s="19"/>
      <c r="B156" s="19"/>
      <c r="C156" s="15" t="str">
        <f>IF($A156="","",COUNTIF('Daily tracking'!$D$2:$D$2001,$A156))</f>
        <v/>
      </c>
      <c r="D156" s="16" t="str">
        <f>IF($A156="","",SUMIF('Daily tracking'!$D$2:$D$2001,$A156,'Daily tracking'!$G$2:$G$2001))</f>
        <v/>
      </c>
      <c r="E156" s="18" t="str">
        <f>IF($A156="","",IF($C156=0,"",_xlfn.MAXIFS('Daily tracking'!$A$2:$A$2001,'Daily tracking'!$D$2:$D$2001,$A156)))</f>
        <v/>
      </c>
      <c r="F156" s="6" t="str">
        <f t="shared" ca="1" si="14"/>
        <v/>
      </c>
      <c r="G156" s="3" t="str">
        <f t="shared" si="15"/>
        <v/>
      </c>
      <c r="H156" s="9" t="str">
        <f t="shared" si="16"/>
        <v/>
      </c>
      <c r="I156" s="20"/>
      <c r="J156" s="20"/>
      <c r="K156" s="19"/>
      <c r="L156" s="19"/>
      <c r="M156" s="19"/>
      <c r="N156" s="15" t="str">
        <f t="shared" si="17"/>
        <v/>
      </c>
      <c r="O156" s="3" t="str">
        <f t="shared" si="18"/>
        <v/>
      </c>
      <c r="P156" s="6" t="str">
        <f t="shared" ca="1" si="19"/>
        <v/>
      </c>
      <c r="Q156" s="21" t="str">
        <f>IF($A156="","",IF($C156=0,"",_xlfn.MINIFS('Daily tracking'!$A$2:$A$2001,'Daily tracking'!$D$2:$D$2001,$A156)))</f>
        <v/>
      </c>
      <c r="R156" s="6" t="str">
        <f t="shared" si="20"/>
        <v/>
      </c>
    </row>
    <row r="157" spans="1:18" x14ac:dyDescent="0.3">
      <c r="A157" s="19"/>
      <c r="B157" s="19"/>
      <c r="C157" s="15" t="str">
        <f>IF($A157="","",COUNTIF('Daily tracking'!$D$2:$D$2001,$A157))</f>
        <v/>
      </c>
      <c r="D157" s="16" t="str">
        <f>IF($A157="","",SUMIF('Daily tracking'!$D$2:$D$2001,$A157,'Daily tracking'!$G$2:$G$2001))</f>
        <v/>
      </c>
      <c r="E157" s="18" t="str">
        <f>IF($A157="","",IF($C157=0,"",_xlfn.MAXIFS('Daily tracking'!$A$2:$A$2001,'Daily tracking'!$D$2:$D$2001,$A157)))</f>
        <v/>
      </c>
      <c r="F157" s="6" t="str">
        <f t="shared" ca="1" si="14"/>
        <v/>
      </c>
      <c r="G157" s="3" t="str">
        <f t="shared" si="15"/>
        <v/>
      </c>
      <c r="H157" s="9" t="str">
        <f t="shared" si="16"/>
        <v/>
      </c>
      <c r="I157" s="20"/>
      <c r="J157" s="20"/>
      <c r="K157" s="19"/>
      <c r="L157" s="19"/>
      <c r="M157" s="19"/>
      <c r="N157" s="15" t="str">
        <f t="shared" si="17"/>
        <v/>
      </c>
      <c r="O157" s="3" t="str">
        <f t="shared" si="18"/>
        <v/>
      </c>
      <c r="P157" s="6" t="str">
        <f t="shared" ca="1" si="19"/>
        <v/>
      </c>
      <c r="Q157" s="21" t="str">
        <f>IF($A157="","",IF($C157=0,"",_xlfn.MINIFS('Daily tracking'!$A$2:$A$2001,'Daily tracking'!$D$2:$D$2001,$A157)))</f>
        <v/>
      </c>
      <c r="R157" s="6" t="str">
        <f t="shared" si="20"/>
        <v/>
      </c>
    </row>
    <row r="158" spans="1:18" x14ac:dyDescent="0.3">
      <c r="A158" s="19"/>
      <c r="B158" s="19"/>
      <c r="C158" s="15" t="str">
        <f>IF($A158="","",COUNTIF('Daily tracking'!$D$2:$D$2001,$A158))</f>
        <v/>
      </c>
      <c r="D158" s="16" t="str">
        <f>IF($A158="","",SUMIF('Daily tracking'!$D$2:$D$2001,$A158,'Daily tracking'!$G$2:$G$2001))</f>
        <v/>
      </c>
      <c r="E158" s="18" t="str">
        <f>IF($A158="","",IF($C158=0,"",_xlfn.MAXIFS('Daily tracking'!$A$2:$A$2001,'Daily tracking'!$D$2:$D$2001,$A158)))</f>
        <v/>
      </c>
      <c r="F158" s="6" t="str">
        <f t="shared" ca="1" si="14"/>
        <v/>
      </c>
      <c r="G158" s="3" t="str">
        <f t="shared" si="15"/>
        <v/>
      </c>
      <c r="H158" s="9" t="str">
        <f t="shared" si="16"/>
        <v/>
      </c>
      <c r="I158" s="20"/>
      <c r="J158" s="20"/>
      <c r="K158" s="19"/>
      <c r="L158" s="19"/>
      <c r="M158" s="19"/>
      <c r="N158" s="15" t="str">
        <f t="shared" si="17"/>
        <v/>
      </c>
      <c r="O158" s="3" t="str">
        <f t="shared" si="18"/>
        <v/>
      </c>
      <c r="P158" s="6" t="str">
        <f t="shared" ca="1" si="19"/>
        <v/>
      </c>
      <c r="Q158" s="21" t="str">
        <f>IF($A158="","",IF($C158=0,"",_xlfn.MINIFS('Daily tracking'!$A$2:$A$2001,'Daily tracking'!$D$2:$D$2001,$A158)))</f>
        <v/>
      </c>
      <c r="R158" s="6" t="str">
        <f t="shared" si="20"/>
        <v/>
      </c>
    </row>
    <row r="159" spans="1:18" x14ac:dyDescent="0.3">
      <c r="A159" s="19"/>
      <c r="B159" s="19"/>
      <c r="C159" s="15" t="str">
        <f>IF($A159="","",COUNTIF('Daily tracking'!$D$2:$D$2001,$A159))</f>
        <v/>
      </c>
      <c r="D159" s="16" t="str">
        <f>IF($A159="","",SUMIF('Daily tracking'!$D$2:$D$2001,$A159,'Daily tracking'!$G$2:$G$2001))</f>
        <v/>
      </c>
      <c r="E159" s="18" t="str">
        <f>IF($A159="","",IF($C159=0,"",_xlfn.MAXIFS('Daily tracking'!$A$2:$A$2001,'Daily tracking'!$D$2:$D$2001,$A159)))</f>
        <v/>
      </c>
      <c r="F159" s="6" t="str">
        <f t="shared" ca="1" si="14"/>
        <v/>
      </c>
      <c r="G159" s="3" t="str">
        <f t="shared" si="15"/>
        <v/>
      </c>
      <c r="H159" s="9" t="str">
        <f t="shared" si="16"/>
        <v/>
      </c>
      <c r="I159" s="20"/>
      <c r="J159" s="20"/>
      <c r="K159" s="19"/>
      <c r="L159" s="19"/>
      <c r="M159" s="19"/>
      <c r="N159" s="15" t="str">
        <f t="shared" si="17"/>
        <v/>
      </c>
      <c r="O159" s="3" t="str">
        <f t="shared" si="18"/>
        <v/>
      </c>
      <c r="P159" s="6" t="str">
        <f t="shared" ca="1" si="19"/>
        <v/>
      </c>
      <c r="Q159" s="21" t="str">
        <f>IF($A159="","",IF($C159=0,"",_xlfn.MINIFS('Daily tracking'!$A$2:$A$2001,'Daily tracking'!$D$2:$D$2001,$A159)))</f>
        <v/>
      </c>
      <c r="R159" s="6" t="str">
        <f t="shared" si="20"/>
        <v/>
      </c>
    </row>
    <row r="160" spans="1:18" x14ac:dyDescent="0.3">
      <c r="A160" s="19"/>
      <c r="B160" s="19"/>
      <c r="C160" s="15" t="str">
        <f>IF($A160="","",COUNTIF('Daily tracking'!$D$2:$D$2001,$A160))</f>
        <v/>
      </c>
      <c r="D160" s="16" t="str">
        <f>IF($A160="","",SUMIF('Daily tracking'!$D$2:$D$2001,$A160,'Daily tracking'!$G$2:$G$2001))</f>
        <v/>
      </c>
      <c r="E160" s="18" t="str">
        <f>IF($A160="","",IF($C160=0,"",_xlfn.MAXIFS('Daily tracking'!$A$2:$A$2001,'Daily tracking'!$D$2:$D$2001,$A160)))</f>
        <v/>
      </c>
      <c r="F160" s="6" t="str">
        <f t="shared" ca="1" si="14"/>
        <v/>
      </c>
      <c r="G160" s="3" t="str">
        <f t="shared" si="15"/>
        <v/>
      </c>
      <c r="H160" s="9" t="str">
        <f t="shared" si="16"/>
        <v/>
      </c>
      <c r="I160" s="20"/>
      <c r="J160" s="20"/>
      <c r="K160" s="19"/>
      <c r="L160" s="19"/>
      <c r="M160" s="19"/>
      <c r="N160" s="15" t="str">
        <f t="shared" si="17"/>
        <v/>
      </c>
      <c r="O160" s="3" t="str">
        <f t="shared" si="18"/>
        <v/>
      </c>
      <c r="P160" s="6" t="str">
        <f t="shared" ca="1" si="19"/>
        <v/>
      </c>
      <c r="Q160" s="21" t="str">
        <f>IF($A160="","",IF($C160=0,"",_xlfn.MINIFS('Daily tracking'!$A$2:$A$2001,'Daily tracking'!$D$2:$D$2001,$A160)))</f>
        <v/>
      </c>
      <c r="R160" s="6" t="str">
        <f t="shared" si="20"/>
        <v/>
      </c>
    </row>
    <row r="161" spans="1:18" x14ac:dyDescent="0.3">
      <c r="A161" s="19"/>
      <c r="B161" s="19"/>
      <c r="C161" s="15" t="str">
        <f>IF($A161="","",COUNTIF('Daily tracking'!$D$2:$D$2001,$A161))</f>
        <v/>
      </c>
      <c r="D161" s="16" t="str">
        <f>IF($A161="","",SUMIF('Daily tracking'!$D$2:$D$2001,$A161,'Daily tracking'!$G$2:$G$2001))</f>
        <v/>
      </c>
      <c r="E161" s="18" t="str">
        <f>IF($A161="","",IF($C161=0,"",_xlfn.MAXIFS('Daily tracking'!$A$2:$A$2001,'Daily tracking'!$D$2:$D$2001,$A161)))</f>
        <v/>
      </c>
      <c r="F161" s="6" t="str">
        <f t="shared" ca="1" si="14"/>
        <v/>
      </c>
      <c r="G161" s="3" t="str">
        <f t="shared" si="15"/>
        <v/>
      </c>
      <c r="H161" s="9" t="str">
        <f t="shared" si="16"/>
        <v/>
      </c>
      <c r="I161" s="20"/>
      <c r="J161" s="20"/>
      <c r="K161" s="19"/>
      <c r="L161" s="19"/>
      <c r="M161" s="19"/>
      <c r="N161" s="15" t="str">
        <f t="shared" si="17"/>
        <v/>
      </c>
      <c r="O161" s="3" t="str">
        <f t="shared" si="18"/>
        <v/>
      </c>
      <c r="P161" s="6" t="str">
        <f t="shared" ca="1" si="19"/>
        <v/>
      </c>
      <c r="Q161" s="21" t="str">
        <f>IF($A161="","",IF($C161=0,"",_xlfn.MINIFS('Daily tracking'!$A$2:$A$2001,'Daily tracking'!$D$2:$D$2001,$A161)))</f>
        <v/>
      </c>
      <c r="R161" s="6" t="str">
        <f t="shared" si="20"/>
        <v/>
      </c>
    </row>
    <row r="162" spans="1:18" x14ac:dyDescent="0.3">
      <c r="A162" s="19"/>
      <c r="B162" s="19"/>
      <c r="C162" s="15" t="str">
        <f>IF($A162="","",COUNTIF('Daily tracking'!$D$2:$D$2001,$A162))</f>
        <v/>
      </c>
      <c r="D162" s="16" t="str">
        <f>IF($A162="","",SUMIF('Daily tracking'!$D$2:$D$2001,$A162,'Daily tracking'!$G$2:$G$2001))</f>
        <v/>
      </c>
      <c r="E162" s="18" t="str">
        <f>IF($A162="","",IF($C162=0,"",_xlfn.MAXIFS('Daily tracking'!$A$2:$A$2001,'Daily tracking'!$D$2:$D$2001,$A162)))</f>
        <v/>
      </c>
      <c r="F162" s="6" t="str">
        <f t="shared" ca="1" si="14"/>
        <v/>
      </c>
      <c r="G162" s="3" t="str">
        <f t="shared" si="15"/>
        <v/>
      </c>
      <c r="H162" s="9" t="str">
        <f t="shared" si="16"/>
        <v/>
      </c>
      <c r="I162" s="20"/>
      <c r="J162" s="20"/>
      <c r="K162" s="19"/>
      <c r="L162" s="19"/>
      <c r="M162" s="19"/>
      <c r="N162" s="15" t="str">
        <f t="shared" si="17"/>
        <v/>
      </c>
      <c r="O162" s="3" t="str">
        <f t="shared" si="18"/>
        <v/>
      </c>
      <c r="P162" s="6" t="str">
        <f t="shared" ca="1" si="19"/>
        <v/>
      </c>
      <c r="Q162" s="21" t="str">
        <f>IF($A162="","",IF($C162=0,"",_xlfn.MINIFS('Daily tracking'!$A$2:$A$2001,'Daily tracking'!$D$2:$D$2001,$A162)))</f>
        <v/>
      </c>
      <c r="R162" s="6" t="str">
        <f t="shared" si="20"/>
        <v/>
      </c>
    </row>
    <row r="163" spans="1:18" x14ac:dyDescent="0.3">
      <c r="A163" s="19"/>
      <c r="B163" s="19"/>
      <c r="C163" s="15" t="str">
        <f>IF($A163="","",COUNTIF('Daily tracking'!$D$2:$D$2001,$A163))</f>
        <v/>
      </c>
      <c r="D163" s="16" t="str">
        <f>IF($A163="","",SUMIF('Daily tracking'!$D$2:$D$2001,$A163,'Daily tracking'!$G$2:$G$2001))</f>
        <v/>
      </c>
      <c r="E163" s="18" t="str">
        <f>IF($A163="","",IF($C163=0,"",_xlfn.MAXIFS('Daily tracking'!$A$2:$A$2001,'Daily tracking'!$D$2:$D$2001,$A163)))</f>
        <v/>
      </c>
      <c r="F163" s="6" t="str">
        <f t="shared" ca="1" si="14"/>
        <v/>
      </c>
      <c r="G163" s="3" t="str">
        <f t="shared" si="15"/>
        <v/>
      </c>
      <c r="H163" s="9" t="str">
        <f t="shared" si="16"/>
        <v/>
      </c>
      <c r="I163" s="20"/>
      <c r="J163" s="20"/>
      <c r="K163" s="19"/>
      <c r="L163" s="19"/>
      <c r="M163" s="19"/>
      <c r="N163" s="15" t="str">
        <f t="shared" si="17"/>
        <v/>
      </c>
      <c r="O163" s="3" t="str">
        <f t="shared" si="18"/>
        <v/>
      </c>
      <c r="P163" s="6" t="str">
        <f t="shared" ca="1" si="19"/>
        <v/>
      </c>
      <c r="Q163" s="21" t="str">
        <f>IF($A163="","",IF($C163=0,"",_xlfn.MINIFS('Daily tracking'!$A$2:$A$2001,'Daily tracking'!$D$2:$D$2001,$A163)))</f>
        <v/>
      </c>
      <c r="R163" s="6" t="str">
        <f t="shared" si="20"/>
        <v/>
      </c>
    </row>
    <row r="164" spans="1:18" x14ac:dyDescent="0.3">
      <c r="A164" s="19"/>
      <c r="B164" s="19"/>
      <c r="C164" s="15" t="str">
        <f>IF($A164="","",COUNTIF('Daily tracking'!$D$2:$D$2001,$A164))</f>
        <v/>
      </c>
      <c r="D164" s="16" t="str">
        <f>IF($A164="","",SUMIF('Daily tracking'!$D$2:$D$2001,$A164,'Daily tracking'!$G$2:$G$2001))</f>
        <v/>
      </c>
      <c r="E164" s="18" t="str">
        <f>IF($A164="","",IF($C164=0,"",_xlfn.MAXIFS('Daily tracking'!$A$2:$A$2001,'Daily tracking'!$D$2:$D$2001,$A164)))</f>
        <v/>
      </c>
      <c r="F164" s="6" t="str">
        <f t="shared" ca="1" si="14"/>
        <v/>
      </c>
      <c r="G164" s="3" t="str">
        <f t="shared" si="15"/>
        <v/>
      </c>
      <c r="H164" s="9" t="str">
        <f t="shared" si="16"/>
        <v/>
      </c>
      <c r="I164" s="20"/>
      <c r="J164" s="20"/>
      <c r="K164" s="19"/>
      <c r="L164" s="19"/>
      <c r="M164" s="19"/>
      <c r="N164" s="15" t="str">
        <f t="shared" si="17"/>
        <v/>
      </c>
      <c r="O164" s="3" t="str">
        <f t="shared" si="18"/>
        <v/>
      </c>
      <c r="P164" s="6" t="str">
        <f t="shared" ca="1" si="19"/>
        <v/>
      </c>
      <c r="Q164" s="21" t="str">
        <f>IF($A164="","",IF($C164=0,"",_xlfn.MINIFS('Daily tracking'!$A$2:$A$2001,'Daily tracking'!$D$2:$D$2001,$A164)))</f>
        <v/>
      </c>
      <c r="R164" s="6" t="str">
        <f t="shared" si="20"/>
        <v/>
      </c>
    </row>
    <row r="165" spans="1:18" x14ac:dyDescent="0.3">
      <c r="A165" s="19"/>
      <c r="B165" s="19"/>
      <c r="C165" s="15" t="str">
        <f>IF($A165="","",COUNTIF('Daily tracking'!$D$2:$D$2001,$A165))</f>
        <v/>
      </c>
      <c r="D165" s="16" t="str">
        <f>IF($A165="","",SUMIF('Daily tracking'!$D$2:$D$2001,$A165,'Daily tracking'!$G$2:$G$2001))</f>
        <v/>
      </c>
      <c r="E165" s="18" t="str">
        <f>IF($A165="","",IF($C165=0,"",_xlfn.MAXIFS('Daily tracking'!$A$2:$A$2001,'Daily tracking'!$D$2:$D$2001,$A165)))</f>
        <v/>
      </c>
      <c r="F165" s="6" t="str">
        <f t="shared" ca="1" si="14"/>
        <v/>
      </c>
      <c r="G165" s="3" t="str">
        <f t="shared" si="15"/>
        <v/>
      </c>
      <c r="H165" s="9" t="str">
        <f t="shared" si="16"/>
        <v/>
      </c>
      <c r="I165" s="20"/>
      <c r="J165" s="20"/>
      <c r="K165" s="19"/>
      <c r="L165" s="19"/>
      <c r="M165" s="19"/>
      <c r="N165" s="15" t="str">
        <f t="shared" si="17"/>
        <v/>
      </c>
      <c r="O165" s="3" t="str">
        <f t="shared" si="18"/>
        <v/>
      </c>
      <c r="P165" s="6" t="str">
        <f t="shared" ca="1" si="19"/>
        <v/>
      </c>
      <c r="Q165" s="21" t="str">
        <f>IF($A165="","",IF($C165=0,"",_xlfn.MINIFS('Daily tracking'!$A$2:$A$2001,'Daily tracking'!$D$2:$D$2001,$A165)))</f>
        <v/>
      </c>
      <c r="R165" s="6" t="str">
        <f t="shared" si="20"/>
        <v/>
      </c>
    </row>
    <row r="166" spans="1:18" x14ac:dyDescent="0.3">
      <c r="A166" s="19"/>
      <c r="B166" s="19"/>
      <c r="C166" s="15" t="str">
        <f>IF($A166="","",COUNTIF('Daily tracking'!$D$2:$D$2001,$A166))</f>
        <v/>
      </c>
      <c r="D166" s="16" t="str">
        <f>IF($A166="","",SUMIF('Daily tracking'!$D$2:$D$2001,$A166,'Daily tracking'!$G$2:$G$2001))</f>
        <v/>
      </c>
      <c r="E166" s="18" t="str">
        <f>IF($A166="","",IF($C166=0,"",_xlfn.MAXIFS('Daily tracking'!$A$2:$A$2001,'Daily tracking'!$D$2:$D$2001,$A166)))</f>
        <v/>
      </c>
      <c r="F166" s="6" t="str">
        <f t="shared" ca="1" si="14"/>
        <v/>
      </c>
      <c r="G166" s="3" t="str">
        <f t="shared" si="15"/>
        <v/>
      </c>
      <c r="H166" s="9" t="str">
        <f t="shared" si="16"/>
        <v/>
      </c>
      <c r="I166" s="20"/>
      <c r="J166" s="20"/>
      <c r="K166" s="19"/>
      <c r="L166" s="19"/>
      <c r="M166" s="19"/>
      <c r="N166" s="15" t="str">
        <f t="shared" si="17"/>
        <v/>
      </c>
      <c r="O166" s="3" t="str">
        <f t="shared" si="18"/>
        <v/>
      </c>
      <c r="P166" s="6" t="str">
        <f t="shared" ca="1" si="19"/>
        <v/>
      </c>
      <c r="Q166" s="21" t="str">
        <f>IF($A166="","",IF($C166=0,"",_xlfn.MINIFS('Daily tracking'!$A$2:$A$2001,'Daily tracking'!$D$2:$D$2001,$A166)))</f>
        <v/>
      </c>
      <c r="R166" s="6" t="str">
        <f t="shared" si="20"/>
        <v/>
      </c>
    </row>
    <row r="167" spans="1:18" x14ac:dyDescent="0.3">
      <c r="A167" s="19"/>
      <c r="B167" s="19"/>
      <c r="C167" s="15" t="str">
        <f>IF($A167="","",COUNTIF('Daily tracking'!$D$2:$D$2001,$A167))</f>
        <v/>
      </c>
      <c r="D167" s="16" t="str">
        <f>IF($A167="","",SUMIF('Daily tracking'!$D$2:$D$2001,$A167,'Daily tracking'!$G$2:$G$2001))</f>
        <v/>
      </c>
      <c r="E167" s="18" t="str">
        <f>IF($A167="","",IF($C167=0,"",_xlfn.MAXIFS('Daily tracking'!$A$2:$A$2001,'Daily tracking'!$D$2:$D$2001,$A167)))</f>
        <v/>
      </c>
      <c r="F167" s="6" t="str">
        <f t="shared" ca="1" si="14"/>
        <v/>
      </c>
      <c r="G167" s="3" t="str">
        <f t="shared" si="15"/>
        <v/>
      </c>
      <c r="H167" s="9" t="str">
        <f t="shared" si="16"/>
        <v/>
      </c>
      <c r="I167" s="20"/>
      <c r="J167" s="20"/>
      <c r="K167" s="19"/>
      <c r="L167" s="19"/>
      <c r="M167" s="19"/>
      <c r="N167" s="15" t="str">
        <f t="shared" si="17"/>
        <v/>
      </c>
      <c r="O167" s="3" t="str">
        <f t="shared" si="18"/>
        <v/>
      </c>
      <c r="P167" s="6" t="str">
        <f t="shared" ca="1" si="19"/>
        <v/>
      </c>
      <c r="Q167" s="21" t="str">
        <f>IF($A167="","",IF($C167=0,"",_xlfn.MINIFS('Daily tracking'!$A$2:$A$2001,'Daily tracking'!$D$2:$D$2001,$A167)))</f>
        <v/>
      </c>
      <c r="R167" s="6" t="str">
        <f t="shared" si="20"/>
        <v/>
      </c>
    </row>
    <row r="168" spans="1:18" x14ac:dyDescent="0.3">
      <c r="A168" s="19"/>
      <c r="B168" s="19"/>
      <c r="C168" s="15" t="str">
        <f>IF($A168="","",COUNTIF('Daily tracking'!$D$2:$D$2001,$A168))</f>
        <v/>
      </c>
      <c r="D168" s="16" t="str">
        <f>IF($A168="","",SUMIF('Daily tracking'!$D$2:$D$2001,$A168,'Daily tracking'!$G$2:$G$2001))</f>
        <v/>
      </c>
      <c r="E168" s="18" t="str">
        <f>IF($A168="","",IF($C168=0,"",_xlfn.MAXIFS('Daily tracking'!$A$2:$A$2001,'Daily tracking'!$D$2:$D$2001,$A168)))</f>
        <v/>
      </c>
      <c r="F168" s="6" t="str">
        <f t="shared" ca="1" si="14"/>
        <v/>
      </c>
      <c r="G168" s="3" t="str">
        <f t="shared" si="15"/>
        <v/>
      </c>
      <c r="H168" s="9" t="str">
        <f t="shared" si="16"/>
        <v/>
      </c>
      <c r="I168" s="20"/>
      <c r="J168" s="20"/>
      <c r="K168" s="19"/>
      <c r="L168" s="19"/>
      <c r="M168" s="19"/>
      <c r="N168" s="15" t="str">
        <f t="shared" si="17"/>
        <v/>
      </c>
      <c r="O168" s="3" t="str">
        <f t="shared" si="18"/>
        <v/>
      </c>
      <c r="P168" s="6" t="str">
        <f t="shared" ca="1" si="19"/>
        <v/>
      </c>
      <c r="Q168" s="21" t="str">
        <f>IF($A168="","",IF($C168=0,"",_xlfn.MINIFS('Daily tracking'!$A$2:$A$2001,'Daily tracking'!$D$2:$D$2001,$A168)))</f>
        <v/>
      </c>
      <c r="R168" s="6" t="str">
        <f t="shared" si="20"/>
        <v/>
      </c>
    </row>
    <row r="169" spans="1:18" x14ac:dyDescent="0.3">
      <c r="A169" s="19"/>
      <c r="B169" s="19"/>
      <c r="C169" s="15" t="str">
        <f>IF($A169="","",COUNTIF('Daily tracking'!$D$2:$D$2001,$A169))</f>
        <v/>
      </c>
      <c r="D169" s="16" t="str">
        <f>IF($A169="","",SUMIF('Daily tracking'!$D$2:$D$2001,$A169,'Daily tracking'!$G$2:$G$2001))</f>
        <v/>
      </c>
      <c r="E169" s="18" t="str">
        <f>IF($A169="","",IF($C169=0,"",_xlfn.MAXIFS('Daily tracking'!$A$2:$A$2001,'Daily tracking'!$D$2:$D$2001,$A169)))</f>
        <v/>
      </c>
      <c r="F169" s="6" t="str">
        <f t="shared" ca="1" si="14"/>
        <v/>
      </c>
      <c r="G169" s="3" t="str">
        <f t="shared" si="15"/>
        <v/>
      </c>
      <c r="H169" s="9" t="str">
        <f t="shared" si="16"/>
        <v/>
      </c>
      <c r="I169" s="20"/>
      <c r="J169" s="20"/>
      <c r="K169" s="19"/>
      <c r="L169" s="19"/>
      <c r="M169" s="19"/>
      <c r="N169" s="15" t="str">
        <f t="shared" si="17"/>
        <v/>
      </c>
      <c r="O169" s="3" t="str">
        <f t="shared" si="18"/>
        <v/>
      </c>
      <c r="P169" s="6" t="str">
        <f t="shared" ca="1" si="19"/>
        <v/>
      </c>
      <c r="Q169" s="21" t="str">
        <f>IF($A169="","",IF($C169=0,"",_xlfn.MINIFS('Daily tracking'!$A$2:$A$2001,'Daily tracking'!$D$2:$D$2001,$A169)))</f>
        <v/>
      </c>
      <c r="R169" s="6" t="str">
        <f t="shared" si="20"/>
        <v/>
      </c>
    </row>
    <row r="170" spans="1:18" x14ac:dyDescent="0.3">
      <c r="A170" s="19"/>
      <c r="B170" s="19"/>
      <c r="C170" s="15" t="str">
        <f>IF($A170="","",COUNTIF('Daily tracking'!$D$2:$D$2001,$A170))</f>
        <v/>
      </c>
      <c r="D170" s="16" t="str">
        <f>IF($A170="","",SUMIF('Daily tracking'!$D$2:$D$2001,$A170,'Daily tracking'!$G$2:$G$2001))</f>
        <v/>
      </c>
      <c r="E170" s="18" t="str">
        <f>IF($A170="","",IF($C170=0,"",_xlfn.MAXIFS('Daily tracking'!$A$2:$A$2001,'Daily tracking'!$D$2:$D$2001,$A170)))</f>
        <v/>
      </c>
      <c r="F170" s="6" t="str">
        <f t="shared" ca="1" si="14"/>
        <v/>
      </c>
      <c r="G170" s="3" t="str">
        <f t="shared" si="15"/>
        <v/>
      </c>
      <c r="H170" s="9" t="str">
        <f t="shared" si="16"/>
        <v/>
      </c>
      <c r="I170" s="20"/>
      <c r="J170" s="20"/>
      <c r="K170" s="19"/>
      <c r="L170" s="19"/>
      <c r="M170" s="19"/>
      <c r="N170" s="15" t="str">
        <f t="shared" si="17"/>
        <v/>
      </c>
      <c r="O170" s="3" t="str">
        <f t="shared" si="18"/>
        <v/>
      </c>
      <c r="P170" s="6" t="str">
        <f t="shared" ca="1" si="19"/>
        <v/>
      </c>
      <c r="Q170" s="21" t="str">
        <f>IF($A170="","",IF($C170=0,"",_xlfn.MINIFS('Daily tracking'!$A$2:$A$2001,'Daily tracking'!$D$2:$D$2001,$A170)))</f>
        <v/>
      </c>
      <c r="R170" s="6" t="str">
        <f t="shared" si="20"/>
        <v/>
      </c>
    </row>
    <row r="171" spans="1:18" x14ac:dyDescent="0.3">
      <c r="A171" s="19"/>
      <c r="B171" s="19"/>
      <c r="C171" s="15" t="str">
        <f>IF($A171="","",COUNTIF('Daily tracking'!$D$2:$D$2001,$A171))</f>
        <v/>
      </c>
      <c r="D171" s="16" t="str">
        <f>IF($A171="","",SUMIF('Daily tracking'!$D$2:$D$2001,$A171,'Daily tracking'!$G$2:$G$2001))</f>
        <v/>
      </c>
      <c r="E171" s="18" t="str">
        <f>IF($A171="","",IF($C171=0,"",_xlfn.MAXIFS('Daily tracking'!$A$2:$A$2001,'Daily tracking'!$D$2:$D$2001,$A171)))</f>
        <v/>
      </c>
      <c r="F171" s="6" t="str">
        <f t="shared" ca="1" si="14"/>
        <v/>
      </c>
      <c r="G171" s="3" t="str">
        <f t="shared" si="15"/>
        <v/>
      </c>
      <c r="H171" s="9" t="str">
        <f t="shared" si="16"/>
        <v/>
      </c>
      <c r="I171" s="20"/>
      <c r="J171" s="20"/>
      <c r="K171" s="19"/>
      <c r="L171" s="19"/>
      <c r="M171" s="19"/>
      <c r="N171" s="15" t="str">
        <f t="shared" si="17"/>
        <v/>
      </c>
      <c r="O171" s="3" t="str">
        <f t="shared" si="18"/>
        <v/>
      </c>
      <c r="P171" s="6" t="str">
        <f t="shared" ca="1" si="19"/>
        <v/>
      </c>
      <c r="Q171" s="21" t="str">
        <f>IF($A171="","",IF($C171=0,"",_xlfn.MINIFS('Daily tracking'!$A$2:$A$2001,'Daily tracking'!$D$2:$D$2001,$A171)))</f>
        <v/>
      </c>
      <c r="R171" s="6" t="str">
        <f t="shared" si="20"/>
        <v/>
      </c>
    </row>
    <row r="172" spans="1:18" x14ac:dyDescent="0.3">
      <c r="A172" s="19"/>
      <c r="B172" s="19"/>
      <c r="C172" s="15" t="str">
        <f>IF($A172="","",COUNTIF('Daily tracking'!$D$2:$D$2001,$A172))</f>
        <v/>
      </c>
      <c r="D172" s="16" t="str">
        <f>IF($A172="","",SUMIF('Daily tracking'!$D$2:$D$2001,$A172,'Daily tracking'!$G$2:$G$2001))</f>
        <v/>
      </c>
      <c r="E172" s="18" t="str">
        <f>IF($A172="","",IF($C172=0,"",_xlfn.MAXIFS('Daily tracking'!$A$2:$A$2001,'Daily tracking'!$D$2:$D$2001,$A172)))</f>
        <v/>
      </c>
      <c r="F172" s="6" t="str">
        <f t="shared" ca="1" si="14"/>
        <v/>
      </c>
      <c r="G172" s="3" t="str">
        <f t="shared" si="15"/>
        <v/>
      </c>
      <c r="H172" s="9" t="str">
        <f t="shared" si="16"/>
        <v/>
      </c>
      <c r="I172" s="20"/>
      <c r="J172" s="20"/>
      <c r="K172" s="19"/>
      <c r="L172" s="19"/>
      <c r="M172" s="19"/>
      <c r="N172" s="15" t="str">
        <f t="shared" si="17"/>
        <v/>
      </c>
      <c r="O172" s="3" t="str">
        <f t="shared" si="18"/>
        <v/>
      </c>
      <c r="P172" s="6" t="str">
        <f t="shared" ca="1" si="19"/>
        <v/>
      </c>
      <c r="Q172" s="21" t="str">
        <f>IF($A172="","",IF($C172=0,"",_xlfn.MINIFS('Daily tracking'!$A$2:$A$2001,'Daily tracking'!$D$2:$D$2001,$A172)))</f>
        <v/>
      </c>
      <c r="R172" s="6" t="str">
        <f t="shared" si="20"/>
        <v/>
      </c>
    </row>
    <row r="173" spans="1:18" x14ac:dyDescent="0.3">
      <c r="A173" s="19"/>
      <c r="B173" s="19"/>
      <c r="C173" s="15" t="str">
        <f>IF($A173="","",COUNTIF('Daily tracking'!$D$2:$D$2001,$A173))</f>
        <v/>
      </c>
      <c r="D173" s="16" t="str">
        <f>IF($A173="","",SUMIF('Daily tracking'!$D$2:$D$2001,$A173,'Daily tracking'!$G$2:$G$2001))</f>
        <v/>
      </c>
      <c r="E173" s="18" t="str">
        <f>IF($A173="","",IF($C173=0,"",_xlfn.MAXIFS('Daily tracking'!$A$2:$A$2001,'Daily tracking'!$D$2:$D$2001,$A173)))</f>
        <v/>
      </c>
      <c r="F173" s="6" t="str">
        <f t="shared" ca="1" si="14"/>
        <v/>
      </c>
      <c r="G173" s="3" t="str">
        <f t="shared" si="15"/>
        <v/>
      </c>
      <c r="H173" s="9" t="str">
        <f t="shared" si="16"/>
        <v/>
      </c>
      <c r="I173" s="20"/>
      <c r="J173" s="20"/>
      <c r="K173" s="19"/>
      <c r="L173" s="19"/>
      <c r="M173" s="19"/>
      <c r="N173" s="15" t="str">
        <f t="shared" si="17"/>
        <v/>
      </c>
      <c r="O173" s="3" t="str">
        <f t="shared" si="18"/>
        <v/>
      </c>
      <c r="P173" s="6" t="str">
        <f t="shared" ca="1" si="19"/>
        <v/>
      </c>
      <c r="Q173" s="21" t="str">
        <f>IF($A173="","",IF($C173=0,"",_xlfn.MINIFS('Daily tracking'!$A$2:$A$2001,'Daily tracking'!$D$2:$D$2001,$A173)))</f>
        <v/>
      </c>
      <c r="R173" s="6" t="str">
        <f t="shared" si="20"/>
        <v/>
      </c>
    </row>
    <row r="174" spans="1:18" x14ac:dyDescent="0.3">
      <c r="A174" s="19"/>
      <c r="B174" s="19"/>
      <c r="C174" s="15" t="str">
        <f>IF($A174="","",COUNTIF('Daily tracking'!$D$2:$D$2001,$A174))</f>
        <v/>
      </c>
      <c r="D174" s="16" t="str">
        <f>IF($A174="","",SUMIF('Daily tracking'!$D$2:$D$2001,$A174,'Daily tracking'!$G$2:$G$2001))</f>
        <v/>
      </c>
      <c r="E174" s="18" t="str">
        <f>IF($A174="","",IF($C174=0,"",_xlfn.MAXIFS('Daily tracking'!$A$2:$A$2001,'Daily tracking'!$D$2:$D$2001,$A174)))</f>
        <v/>
      </c>
      <c r="F174" s="6" t="str">
        <f t="shared" ca="1" si="14"/>
        <v/>
      </c>
      <c r="G174" s="3" t="str">
        <f t="shared" si="15"/>
        <v/>
      </c>
      <c r="H174" s="9" t="str">
        <f t="shared" si="16"/>
        <v/>
      </c>
      <c r="I174" s="20"/>
      <c r="J174" s="20"/>
      <c r="K174" s="19"/>
      <c r="L174" s="19"/>
      <c r="M174" s="19"/>
      <c r="N174" s="15" t="str">
        <f t="shared" si="17"/>
        <v/>
      </c>
      <c r="O174" s="3" t="str">
        <f t="shared" si="18"/>
        <v/>
      </c>
      <c r="P174" s="6" t="str">
        <f t="shared" ca="1" si="19"/>
        <v/>
      </c>
      <c r="Q174" s="21" t="str">
        <f>IF($A174="","",IF($C174=0,"",_xlfn.MINIFS('Daily tracking'!$A$2:$A$2001,'Daily tracking'!$D$2:$D$2001,$A174)))</f>
        <v/>
      </c>
      <c r="R174" s="6" t="str">
        <f t="shared" si="20"/>
        <v/>
      </c>
    </row>
    <row r="175" spans="1:18" x14ac:dyDescent="0.3">
      <c r="A175" s="19"/>
      <c r="B175" s="19"/>
      <c r="C175" s="15" t="str">
        <f>IF($A175="","",COUNTIF('Daily tracking'!$D$2:$D$2001,$A175))</f>
        <v/>
      </c>
      <c r="D175" s="16" t="str">
        <f>IF($A175="","",SUMIF('Daily tracking'!$D$2:$D$2001,$A175,'Daily tracking'!$G$2:$G$2001))</f>
        <v/>
      </c>
      <c r="E175" s="18" t="str">
        <f>IF($A175="","",IF($C175=0,"",_xlfn.MAXIFS('Daily tracking'!$A$2:$A$2001,'Daily tracking'!$D$2:$D$2001,$A175)))</f>
        <v/>
      </c>
      <c r="F175" s="6" t="str">
        <f t="shared" ca="1" si="14"/>
        <v/>
      </c>
      <c r="G175" s="3" t="str">
        <f t="shared" si="15"/>
        <v/>
      </c>
      <c r="H175" s="9" t="str">
        <f t="shared" si="16"/>
        <v/>
      </c>
      <c r="I175" s="20"/>
      <c r="J175" s="20"/>
      <c r="K175" s="19"/>
      <c r="L175" s="19"/>
      <c r="M175" s="19"/>
      <c r="N175" s="15" t="str">
        <f t="shared" si="17"/>
        <v/>
      </c>
      <c r="O175" s="3" t="str">
        <f t="shared" si="18"/>
        <v/>
      </c>
      <c r="P175" s="6" t="str">
        <f t="shared" ca="1" si="19"/>
        <v/>
      </c>
      <c r="Q175" s="21" t="str">
        <f>IF($A175="","",IF($C175=0,"",_xlfn.MINIFS('Daily tracking'!$A$2:$A$2001,'Daily tracking'!$D$2:$D$2001,$A175)))</f>
        <v/>
      </c>
      <c r="R175" s="6" t="str">
        <f t="shared" si="20"/>
        <v/>
      </c>
    </row>
    <row r="176" spans="1:18" x14ac:dyDescent="0.3">
      <c r="A176" s="19"/>
      <c r="B176" s="19"/>
      <c r="C176" s="15" t="str">
        <f>IF($A176="","",COUNTIF('Daily tracking'!$D$2:$D$2001,$A176))</f>
        <v/>
      </c>
      <c r="D176" s="16" t="str">
        <f>IF($A176="","",SUMIF('Daily tracking'!$D$2:$D$2001,$A176,'Daily tracking'!$G$2:$G$2001))</f>
        <v/>
      </c>
      <c r="E176" s="18" t="str">
        <f>IF($A176="","",IF($C176=0,"",_xlfn.MAXIFS('Daily tracking'!$A$2:$A$2001,'Daily tracking'!$D$2:$D$2001,$A176)))</f>
        <v/>
      </c>
      <c r="F176" s="6" t="str">
        <f t="shared" ca="1" si="14"/>
        <v/>
      </c>
      <c r="G176" s="3" t="str">
        <f t="shared" si="15"/>
        <v/>
      </c>
      <c r="H176" s="9" t="str">
        <f t="shared" si="16"/>
        <v/>
      </c>
      <c r="I176" s="20"/>
      <c r="J176" s="20"/>
      <c r="K176" s="19"/>
      <c r="L176" s="19"/>
      <c r="M176" s="19"/>
      <c r="N176" s="15" t="str">
        <f t="shared" si="17"/>
        <v/>
      </c>
      <c r="O176" s="3" t="str">
        <f t="shared" si="18"/>
        <v/>
      </c>
      <c r="P176" s="6" t="str">
        <f t="shared" ca="1" si="19"/>
        <v/>
      </c>
      <c r="Q176" s="21" t="str">
        <f>IF($A176="","",IF($C176=0,"",_xlfn.MINIFS('Daily tracking'!$A$2:$A$2001,'Daily tracking'!$D$2:$D$2001,$A176)))</f>
        <v/>
      </c>
      <c r="R176" s="6" t="str">
        <f t="shared" si="20"/>
        <v/>
      </c>
    </row>
    <row r="177" spans="1:18" x14ac:dyDescent="0.3">
      <c r="A177" s="19"/>
      <c r="B177" s="19"/>
      <c r="C177" s="15" t="str">
        <f>IF($A177="","",COUNTIF('Daily tracking'!$D$2:$D$2001,$A177))</f>
        <v/>
      </c>
      <c r="D177" s="16" t="str">
        <f>IF($A177="","",SUMIF('Daily tracking'!$D$2:$D$2001,$A177,'Daily tracking'!$G$2:$G$2001))</f>
        <v/>
      </c>
      <c r="E177" s="18" t="str">
        <f>IF($A177="","",IF($C177=0,"",_xlfn.MAXIFS('Daily tracking'!$A$2:$A$2001,'Daily tracking'!$D$2:$D$2001,$A177)))</f>
        <v/>
      </c>
      <c r="F177" s="6" t="str">
        <f t="shared" ca="1" si="14"/>
        <v/>
      </c>
      <c r="G177" s="3" t="str">
        <f t="shared" si="15"/>
        <v/>
      </c>
      <c r="H177" s="9" t="str">
        <f t="shared" si="16"/>
        <v/>
      </c>
      <c r="I177" s="20"/>
      <c r="J177" s="20"/>
      <c r="K177" s="19"/>
      <c r="L177" s="19"/>
      <c r="M177" s="19"/>
      <c r="N177" s="15" t="str">
        <f t="shared" si="17"/>
        <v/>
      </c>
      <c r="O177" s="3" t="str">
        <f t="shared" si="18"/>
        <v/>
      </c>
      <c r="P177" s="6" t="str">
        <f t="shared" ca="1" si="19"/>
        <v/>
      </c>
      <c r="Q177" s="21" t="str">
        <f>IF($A177="","",IF($C177=0,"",_xlfn.MINIFS('Daily tracking'!$A$2:$A$2001,'Daily tracking'!$D$2:$D$2001,$A177)))</f>
        <v/>
      </c>
      <c r="R177" s="6" t="str">
        <f t="shared" si="20"/>
        <v/>
      </c>
    </row>
    <row r="178" spans="1:18" x14ac:dyDescent="0.3">
      <c r="A178" s="19"/>
      <c r="B178" s="19"/>
      <c r="C178" s="15" t="str">
        <f>IF($A178="","",COUNTIF('Daily tracking'!$D$2:$D$2001,$A178))</f>
        <v/>
      </c>
      <c r="D178" s="16" t="str">
        <f>IF($A178="","",SUMIF('Daily tracking'!$D$2:$D$2001,$A178,'Daily tracking'!$G$2:$G$2001))</f>
        <v/>
      </c>
      <c r="E178" s="18" t="str">
        <f>IF($A178="","",IF($C178=0,"",_xlfn.MAXIFS('Daily tracking'!$A$2:$A$2001,'Daily tracking'!$D$2:$D$2001,$A178)))</f>
        <v/>
      </c>
      <c r="F178" s="6" t="str">
        <f t="shared" ca="1" si="14"/>
        <v/>
      </c>
      <c r="G178" s="3" t="str">
        <f t="shared" si="15"/>
        <v/>
      </c>
      <c r="H178" s="9" t="str">
        <f t="shared" si="16"/>
        <v/>
      </c>
      <c r="I178" s="20"/>
      <c r="J178" s="20"/>
      <c r="K178" s="19"/>
      <c r="L178" s="19"/>
      <c r="M178" s="19"/>
      <c r="N178" s="15" t="str">
        <f t="shared" si="17"/>
        <v/>
      </c>
      <c r="O178" s="3" t="str">
        <f t="shared" si="18"/>
        <v/>
      </c>
      <c r="P178" s="6" t="str">
        <f t="shared" ca="1" si="19"/>
        <v/>
      </c>
      <c r="Q178" s="21" t="str">
        <f>IF($A178="","",IF($C178=0,"",_xlfn.MINIFS('Daily tracking'!$A$2:$A$2001,'Daily tracking'!$D$2:$D$2001,$A178)))</f>
        <v/>
      </c>
      <c r="R178" s="6" t="str">
        <f t="shared" si="20"/>
        <v/>
      </c>
    </row>
    <row r="179" spans="1:18" x14ac:dyDescent="0.3">
      <c r="A179" s="19"/>
      <c r="B179" s="19"/>
      <c r="C179" s="15" t="str">
        <f>IF($A179="","",COUNTIF('Daily tracking'!$D$2:$D$2001,$A179))</f>
        <v/>
      </c>
      <c r="D179" s="16" t="str">
        <f>IF($A179="","",SUMIF('Daily tracking'!$D$2:$D$2001,$A179,'Daily tracking'!$G$2:$G$2001))</f>
        <v/>
      </c>
      <c r="E179" s="18" t="str">
        <f>IF($A179="","",IF($C179=0,"",_xlfn.MAXIFS('Daily tracking'!$A$2:$A$2001,'Daily tracking'!$D$2:$D$2001,$A179)))</f>
        <v/>
      </c>
      <c r="F179" s="6" t="str">
        <f t="shared" ca="1" si="14"/>
        <v/>
      </c>
      <c r="G179" s="3" t="str">
        <f t="shared" si="15"/>
        <v/>
      </c>
      <c r="H179" s="9" t="str">
        <f t="shared" si="16"/>
        <v/>
      </c>
      <c r="I179" s="20"/>
      <c r="J179" s="20"/>
      <c r="K179" s="19"/>
      <c r="L179" s="19"/>
      <c r="M179" s="19"/>
      <c r="N179" s="15" t="str">
        <f t="shared" si="17"/>
        <v/>
      </c>
      <c r="O179" s="3" t="str">
        <f t="shared" si="18"/>
        <v/>
      </c>
      <c r="P179" s="6" t="str">
        <f t="shared" ca="1" si="19"/>
        <v/>
      </c>
      <c r="Q179" s="21" t="str">
        <f>IF($A179="","",IF($C179=0,"",_xlfn.MINIFS('Daily tracking'!$A$2:$A$2001,'Daily tracking'!$D$2:$D$2001,$A179)))</f>
        <v/>
      </c>
      <c r="R179" s="6" t="str">
        <f t="shared" si="20"/>
        <v/>
      </c>
    </row>
    <row r="180" spans="1:18" x14ac:dyDescent="0.3">
      <c r="A180" s="19"/>
      <c r="B180" s="19"/>
      <c r="C180" s="15" t="str">
        <f>IF($A180="","",COUNTIF('Daily tracking'!$D$2:$D$2001,$A180))</f>
        <v/>
      </c>
      <c r="D180" s="16" t="str">
        <f>IF($A180="","",SUMIF('Daily tracking'!$D$2:$D$2001,$A180,'Daily tracking'!$G$2:$G$2001))</f>
        <v/>
      </c>
      <c r="E180" s="18" t="str">
        <f>IF($A180="","",IF($C180=0,"",_xlfn.MAXIFS('Daily tracking'!$A$2:$A$2001,'Daily tracking'!$D$2:$D$2001,$A180)))</f>
        <v/>
      </c>
      <c r="F180" s="6" t="str">
        <f t="shared" ca="1" si="14"/>
        <v/>
      </c>
      <c r="G180" s="3" t="str">
        <f t="shared" si="15"/>
        <v/>
      </c>
      <c r="H180" s="9" t="str">
        <f t="shared" si="16"/>
        <v/>
      </c>
      <c r="I180" s="20"/>
      <c r="J180" s="20"/>
      <c r="K180" s="19"/>
      <c r="L180" s="19"/>
      <c r="M180" s="19"/>
      <c r="N180" s="15" t="str">
        <f t="shared" si="17"/>
        <v/>
      </c>
      <c r="O180" s="3" t="str">
        <f t="shared" si="18"/>
        <v/>
      </c>
      <c r="P180" s="6" t="str">
        <f t="shared" ca="1" si="19"/>
        <v/>
      </c>
      <c r="Q180" s="21" t="str">
        <f>IF($A180="","",IF($C180=0,"",_xlfn.MINIFS('Daily tracking'!$A$2:$A$2001,'Daily tracking'!$D$2:$D$2001,$A180)))</f>
        <v/>
      </c>
      <c r="R180" s="6" t="str">
        <f t="shared" si="20"/>
        <v/>
      </c>
    </row>
    <row r="181" spans="1:18" x14ac:dyDescent="0.3">
      <c r="A181" s="19"/>
      <c r="B181" s="19"/>
      <c r="C181" s="15" t="str">
        <f>IF($A181="","",COUNTIF('Daily tracking'!$D$2:$D$2001,$A181))</f>
        <v/>
      </c>
      <c r="D181" s="16" t="str">
        <f>IF($A181="","",SUMIF('Daily tracking'!$D$2:$D$2001,$A181,'Daily tracking'!$G$2:$G$2001))</f>
        <v/>
      </c>
      <c r="E181" s="18" t="str">
        <f>IF($A181="","",IF($C181=0,"",_xlfn.MAXIFS('Daily tracking'!$A$2:$A$2001,'Daily tracking'!$D$2:$D$2001,$A181)))</f>
        <v/>
      </c>
      <c r="F181" s="6" t="str">
        <f t="shared" ca="1" si="14"/>
        <v/>
      </c>
      <c r="G181" s="3" t="str">
        <f t="shared" si="15"/>
        <v/>
      </c>
      <c r="H181" s="9" t="str">
        <f t="shared" si="16"/>
        <v/>
      </c>
      <c r="I181" s="20"/>
      <c r="J181" s="20"/>
      <c r="K181" s="19"/>
      <c r="L181" s="19"/>
      <c r="M181" s="19"/>
      <c r="N181" s="15" t="str">
        <f t="shared" si="17"/>
        <v/>
      </c>
      <c r="O181" s="3" t="str">
        <f t="shared" si="18"/>
        <v/>
      </c>
      <c r="P181" s="6" t="str">
        <f t="shared" ca="1" si="19"/>
        <v/>
      </c>
      <c r="Q181" s="21" t="str">
        <f>IF($A181="","",IF($C181=0,"",_xlfn.MINIFS('Daily tracking'!$A$2:$A$2001,'Daily tracking'!$D$2:$D$2001,$A181)))</f>
        <v/>
      </c>
      <c r="R181" s="6" t="str">
        <f t="shared" si="20"/>
        <v/>
      </c>
    </row>
    <row r="182" spans="1:18" x14ac:dyDescent="0.3">
      <c r="A182" s="19"/>
      <c r="B182" s="19"/>
      <c r="C182" s="15" t="str">
        <f>IF($A182="","",COUNTIF('Daily tracking'!$D$2:$D$2001,$A182))</f>
        <v/>
      </c>
      <c r="D182" s="16" t="str">
        <f>IF($A182="","",SUMIF('Daily tracking'!$D$2:$D$2001,$A182,'Daily tracking'!$G$2:$G$2001))</f>
        <v/>
      </c>
      <c r="E182" s="18" t="str">
        <f>IF($A182="","",IF($C182=0,"",_xlfn.MAXIFS('Daily tracking'!$A$2:$A$2001,'Daily tracking'!$D$2:$D$2001,$A182)))</f>
        <v/>
      </c>
      <c r="F182" s="6" t="str">
        <f t="shared" ca="1" si="14"/>
        <v/>
      </c>
      <c r="G182" s="3" t="str">
        <f t="shared" si="15"/>
        <v/>
      </c>
      <c r="H182" s="9" t="str">
        <f t="shared" si="16"/>
        <v/>
      </c>
      <c r="I182" s="20"/>
      <c r="J182" s="20"/>
      <c r="K182" s="19"/>
      <c r="L182" s="19"/>
      <c r="M182" s="19"/>
      <c r="N182" s="15" t="str">
        <f t="shared" si="17"/>
        <v/>
      </c>
      <c r="O182" s="3" t="str">
        <f t="shared" si="18"/>
        <v/>
      </c>
      <c r="P182" s="6" t="str">
        <f t="shared" ca="1" si="19"/>
        <v/>
      </c>
      <c r="Q182" s="21" t="str">
        <f>IF($A182="","",IF($C182=0,"",_xlfn.MINIFS('Daily tracking'!$A$2:$A$2001,'Daily tracking'!$D$2:$D$2001,$A182)))</f>
        <v/>
      </c>
      <c r="R182" s="6" t="str">
        <f t="shared" si="20"/>
        <v/>
      </c>
    </row>
    <row r="183" spans="1:18" x14ac:dyDescent="0.3">
      <c r="A183" s="19"/>
      <c r="B183" s="19"/>
      <c r="C183" s="15" t="str">
        <f>IF($A183="","",COUNTIF('Daily tracking'!$D$2:$D$2001,$A183))</f>
        <v/>
      </c>
      <c r="D183" s="16" t="str">
        <f>IF($A183="","",SUMIF('Daily tracking'!$D$2:$D$2001,$A183,'Daily tracking'!$G$2:$G$2001))</f>
        <v/>
      </c>
      <c r="E183" s="18" t="str">
        <f>IF($A183="","",IF($C183=0,"",_xlfn.MAXIFS('Daily tracking'!$A$2:$A$2001,'Daily tracking'!$D$2:$D$2001,$A183)))</f>
        <v/>
      </c>
      <c r="F183" s="6" t="str">
        <f t="shared" ca="1" si="14"/>
        <v/>
      </c>
      <c r="G183" s="3" t="str">
        <f t="shared" si="15"/>
        <v/>
      </c>
      <c r="H183" s="9" t="str">
        <f t="shared" si="16"/>
        <v/>
      </c>
      <c r="I183" s="20"/>
      <c r="J183" s="20"/>
      <c r="K183" s="19"/>
      <c r="L183" s="19"/>
      <c r="M183" s="19"/>
      <c r="N183" s="15" t="str">
        <f t="shared" si="17"/>
        <v/>
      </c>
      <c r="O183" s="3" t="str">
        <f t="shared" si="18"/>
        <v/>
      </c>
      <c r="P183" s="6" t="str">
        <f t="shared" ca="1" si="19"/>
        <v/>
      </c>
      <c r="Q183" s="21" t="str">
        <f>IF($A183="","",IF($C183=0,"",_xlfn.MINIFS('Daily tracking'!$A$2:$A$2001,'Daily tracking'!$D$2:$D$2001,$A183)))</f>
        <v/>
      </c>
      <c r="R183" s="6" t="str">
        <f t="shared" si="20"/>
        <v/>
      </c>
    </row>
    <row r="184" spans="1:18" x14ac:dyDescent="0.3">
      <c r="A184" s="19"/>
      <c r="B184" s="19"/>
      <c r="C184" s="15" t="str">
        <f>IF($A184="","",COUNTIF('Daily tracking'!$D$2:$D$2001,$A184))</f>
        <v/>
      </c>
      <c r="D184" s="16" t="str">
        <f>IF($A184="","",SUMIF('Daily tracking'!$D$2:$D$2001,$A184,'Daily tracking'!$G$2:$G$2001))</f>
        <v/>
      </c>
      <c r="E184" s="18" t="str">
        <f>IF($A184="","",IF($C184=0,"",_xlfn.MAXIFS('Daily tracking'!$A$2:$A$2001,'Daily tracking'!$D$2:$D$2001,$A184)))</f>
        <v/>
      </c>
      <c r="F184" s="6" t="str">
        <f t="shared" ca="1" si="14"/>
        <v/>
      </c>
      <c r="G184" s="3" t="str">
        <f t="shared" si="15"/>
        <v/>
      </c>
      <c r="H184" s="9" t="str">
        <f t="shared" si="16"/>
        <v/>
      </c>
      <c r="I184" s="20"/>
      <c r="J184" s="20"/>
      <c r="K184" s="19"/>
      <c r="L184" s="19"/>
      <c r="M184" s="19"/>
      <c r="N184" s="15" t="str">
        <f t="shared" si="17"/>
        <v/>
      </c>
      <c r="O184" s="3" t="str">
        <f t="shared" si="18"/>
        <v/>
      </c>
      <c r="P184" s="6" t="str">
        <f t="shared" ca="1" si="19"/>
        <v/>
      </c>
      <c r="Q184" s="21" t="str">
        <f>IF($A184="","",IF($C184=0,"",_xlfn.MINIFS('Daily tracking'!$A$2:$A$2001,'Daily tracking'!$D$2:$D$2001,$A184)))</f>
        <v/>
      </c>
      <c r="R184" s="6" t="str">
        <f t="shared" si="20"/>
        <v/>
      </c>
    </row>
    <row r="185" spans="1:18" x14ac:dyDescent="0.3">
      <c r="A185" s="19"/>
      <c r="B185" s="19"/>
      <c r="C185" s="15" t="str">
        <f>IF($A185="","",COUNTIF('Daily tracking'!$D$2:$D$2001,$A185))</f>
        <v/>
      </c>
      <c r="D185" s="16" t="str">
        <f>IF($A185="","",SUMIF('Daily tracking'!$D$2:$D$2001,$A185,'Daily tracking'!$G$2:$G$2001))</f>
        <v/>
      </c>
      <c r="E185" s="18" t="str">
        <f>IF($A185="","",IF($C185=0,"",_xlfn.MAXIFS('Daily tracking'!$A$2:$A$2001,'Daily tracking'!$D$2:$D$2001,$A185)))</f>
        <v/>
      </c>
      <c r="F185" s="6" t="str">
        <f t="shared" ca="1" si="14"/>
        <v/>
      </c>
      <c r="G185" s="3" t="str">
        <f t="shared" si="15"/>
        <v/>
      </c>
      <c r="H185" s="9" t="str">
        <f t="shared" si="16"/>
        <v/>
      </c>
      <c r="I185" s="20"/>
      <c r="J185" s="20"/>
      <c r="K185" s="19"/>
      <c r="L185" s="19"/>
      <c r="M185" s="19"/>
      <c r="N185" s="15" t="str">
        <f t="shared" si="17"/>
        <v/>
      </c>
      <c r="O185" s="3" t="str">
        <f t="shared" si="18"/>
        <v/>
      </c>
      <c r="P185" s="6" t="str">
        <f t="shared" ca="1" si="19"/>
        <v/>
      </c>
      <c r="Q185" s="21" t="str">
        <f>IF($A185="","",IF($C185=0,"",_xlfn.MINIFS('Daily tracking'!$A$2:$A$2001,'Daily tracking'!$D$2:$D$2001,$A185)))</f>
        <v/>
      </c>
      <c r="R185" s="6" t="str">
        <f t="shared" si="20"/>
        <v/>
      </c>
    </row>
    <row r="186" spans="1:18" x14ac:dyDescent="0.3">
      <c r="A186" s="19"/>
      <c r="B186" s="19"/>
      <c r="C186" s="15" t="str">
        <f>IF($A186="","",COUNTIF('Daily tracking'!$D$2:$D$2001,$A186))</f>
        <v/>
      </c>
      <c r="D186" s="16" t="str">
        <f>IF($A186="","",SUMIF('Daily tracking'!$D$2:$D$2001,$A186,'Daily tracking'!$G$2:$G$2001))</f>
        <v/>
      </c>
      <c r="E186" s="18" t="str">
        <f>IF($A186="","",IF($C186=0,"",_xlfn.MAXIFS('Daily tracking'!$A$2:$A$2001,'Daily tracking'!$D$2:$D$2001,$A186)))</f>
        <v/>
      </c>
      <c r="F186" s="6" t="str">
        <f t="shared" ca="1" si="14"/>
        <v/>
      </c>
      <c r="G186" s="3" t="str">
        <f t="shared" si="15"/>
        <v/>
      </c>
      <c r="H186" s="9" t="str">
        <f t="shared" si="16"/>
        <v/>
      </c>
      <c r="I186" s="20"/>
      <c r="J186" s="20"/>
      <c r="K186" s="19"/>
      <c r="L186" s="19"/>
      <c r="M186" s="19"/>
      <c r="N186" s="15" t="str">
        <f t="shared" si="17"/>
        <v/>
      </c>
      <c r="O186" s="3" t="str">
        <f t="shared" si="18"/>
        <v/>
      </c>
      <c r="P186" s="6" t="str">
        <f t="shared" ca="1" si="19"/>
        <v/>
      </c>
      <c r="Q186" s="21" t="str">
        <f>IF($A186="","",IF($C186=0,"",_xlfn.MINIFS('Daily tracking'!$A$2:$A$2001,'Daily tracking'!$D$2:$D$2001,$A186)))</f>
        <v/>
      </c>
      <c r="R186" s="6" t="str">
        <f t="shared" si="20"/>
        <v/>
      </c>
    </row>
    <row r="187" spans="1:18" x14ac:dyDescent="0.3">
      <c r="A187" s="19"/>
      <c r="B187" s="19"/>
      <c r="C187" s="15" t="str">
        <f>IF($A187="","",COUNTIF('Daily tracking'!$D$2:$D$2001,$A187))</f>
        <v/>
      </c>
      <c r="D187" s="16" t="str">
        <f>IF($A187="","",SUMIF('Daily tracking'!$D$2:$D$2001,$A187,'Daily tracking'!$G$2:$G$2001))</f>
        <v/>
      </c>
      <c r="E187" s="18" t="str">
        <f>IF($A187="","",IF($C187=0,"",_xlfn.MAXIFS('Daily tracking'!$A$2:$A$2001,'Daily tracking'!$D$2:$D$2001,$A187)))</f>
        <v/>
      </c>
      <c r="F187" s="6" t="str">
        <f t="shared" ca="1" si="14"/>
        <v/>
      </c>
      <c r="G187" s="3" t="str">
        <f t="shared" si="15"/>
        <v/>
      </c>
      <c r="H187" s="9" t="str">
        <f t="shared" si="16"/>
        <v/>
      </c>
      <c r="I187" s="20"/>
      <c r="J187" s="20"/>
      <c r="K187" s="19"/>
      <c r="L187" s="19"/>
      <c r="M187" s="19"/>
      <c r="N187" s="15" t="str">
        <f t="shared" si="17"/>
        <v/>
      </c>
      <c r="O187" s="3" t="str">
        <f t="shared" si="18"/>
        <v/>
      </c>
      <c r="P187" s="6" t="str">
        <f t="shared" ca="1" si="19"/>
        <v/>
      </c>
      <c r="Q187" s="21" t="str">
        <f>IF($A187="","",IF($C187=0,"",_xlfn.MINIFS('Daily tracking'!$A$2:$A$2001,'Daily tracking'!$D$2:$D$2001,$A187)))</f>
        <v/>
      </c>
      <c r="R187" s="6" t="str">
        <f t="shared" si="20"/>
        <v/>
      </c>
    </row>
    <row r="188" spans="1:18" x14ac:dyDescent="0.3">
      <c r="A188" s="19"/>
      <c r="B188" s="19"/>
      <c r="C188" s="15" t="str">
        <f>IF($A188="","",COUNTIF('Daily tracking'!$D$2:$D$2001,$A188))</f>
        <v/>
      </c>
      <c r="D188" s="16" t="str">
        <f>IF($A188="","",SUMIF('Daily tracking'!$D$2:$D$2001,$A188,'Daily tracking'!$G$2:$G$2001))</f>
        <v/>
      </c>
      <c r="E188" s="18" t="str">
        <f>IF($A188="","",IF($C188=0,"",_xlfn.MAXIFS('Daily tracking'!$A$2:$A$2001,'Daily tracking'!$D$2:$D$2001,$A188)))</f>
        <v/>
      </c>
      <c r="F188" s="6" t="str">
        <f t="shared" ca="1" si="14"/>
        <v/>
      </c>
      <c r="G188" s="3" t="str">
        <f t="shared" si="15"/>
        <v/>
      </c>
      <c r="H188" s="9" t="str">
        <f t="shared" si="16"/>
        <v/>
      </c>
      <c r="I188" s="20"/>
      <c r="J188" s="20"/>
      <c r="K188" s="19"/>
      <c r="L188" s="19"/>
      <c r="M188" s="19"/>
      <c r="N188" s="15" t="str">
        <f t="shared" si="17"/>
        <v/>
      </c>
      <c r="O188" s="3" t="str">
        <f t="shared" si="18"/>
        <v/>
      </c>
      <c r="P188" s="6" t="str">
        <f t="shared" ca="1" si="19"/>
        <v/>
      </c>
      <c r="Q188" s="21" t="str">
        <f>IF($A188="","",IF($C188=0,"",_xlfn.MINIFS('Daily tracking'!$A$2:$A$2001,'Daily tracking'!$D$2:$D$2001,$A188)))</f>
        <v/>
      </c>
      <c r="R188" s="6" t="str">
        <f t="shared" si="20"/>
        <v/>
      </c>
    </row>
    <row r="189" spans="1:18" x14ac:dyDescent="0.3">
      <c r="A189" s="19"/>
      <c r="B189" s="19"/>
      <c r="C189" s="15" t="str">
        <f>IF($A189="","",COUNTIF('Daily tracking'!$D$2:$D$2001,$A189))</f>
        <v/>
      </c>
      <c r="D189" s="16" t="str">
        <f>IF($A189="","",SUMIF('Daily tracking'!$D$2:$D$2001,$A189,'Daily tracking'!$G$2:$G$2001))</f>
        <v/>
      </c>
      <c r="E189" s="18" t="str">
        <f>IF($A189="","",IF($C189=0,"",_xlfn.MAXIFS('Daily tracking'!$A$2:$A$2001,'Daily tracking'!$D$2:$D$2001,$A189)))</f>
        <v/>
      </c>
      <c r="F189" s="6" t="str">
        <f t="shared" ca="1" si="14"/>
        <v/>
      </c>
      <c r="G189" s="3" t="str">
        <f t="shared" si="15"/>
        <v/>
      </c>
      <c r="H189" s="9" t="str">
        <f t="shared" si="16"/>
        <v/>
      </c>
      <c r="I189" s="20"/>
      <c r="J189" s="20"/>
      <c r="K189" s="19"/>
      <c r="L189" s="19"/>
      <c r="M189" s="19"/>
      <c r="N189" s="15" t="str">
        <f t="shared" si="17"/>
        <v/>
      </c>
      <c r="O189" s="3" t="str">
        <f t="shared" si="18"/>
        <v/>
      </c>
      <c r="P189" s="6" t="str">
        <f t="shared" ca="1" si="19"/>
        <v/>
      </c>
      <c r="Q189" s="21" t="str">
        <f>IF($A189="","",IF($C189=0,"",_xlfn.MINIFS('Daily tracking'!$A$2:$A$2001,'Daily tracking'!$D$2:$D$2001,$A189)))</f>
        <v/>
      </c>
      <c r="R189" s="6" t="str">
        <f t="shared" si="20"/>
        <v/>
      </c>
    </row>
    <row r="190" spans="1:18" x14ac:dyDescent="0.3">
      <c r="A190" s="19"/>
      <c r="B190" s="19"/>
      <c r="C190" s="15" t="str">
        <f>IF($A190="","",COUNTIF('Daily tracking'!$D$2:$D$2001,$A190))</f>
        <v/>
      </c>
      <c r="D190" s="16" t="str">
        <f>IF($A190="","",SUMIF('Daily tracking'!$D$2:$D$2001,$A190,'Daily tracking'!$G$2:$G$2001))</f>
        <v/>
      </c>
      <c r="E190" s="18" t="str">
        <f>IF($A190="","",IF($C190=0,"",_xlfn.MAXIFS('Daily tracking'!$A$2:$A$2001,'Daily tracking'!$D$2:$D$2001,$A190)))</f>
        <v/>
      </c>
      <c r="F190" s="6" t="str">
        <f t="shared" ca="1" si="14"/>
        <v/>
      </c>
      <c r="G190" s="3" t="str">
        <f t="shared" si="15"/>
        <v/>
      </c>
      <c r="H190" s="9" t="str">
        <f t="shared" si="16"/>
        <v/>
      </c>
      <c r="I190" s="20"/>
      <c r="J190" s="20"/>
      <c r="K190" s="19"/>
      <c r="L190" s="19"/>
      <c r="M190" s="19"/>
      <c r="N190" s="15" t="str">
        <f t="shared" si="17"/>
        <v/>
      </c>
      <c r="O190" s="3" t="str">
        <f t="shared" si="18"/>
        <v/>
      </c>
      <c r="P190" s="6" t="str">
        <f t="shared" ca="1" si="19"/>
        <v/>
      </c>
      <c r="Q190" s="21" t="str">
        <f>IF($A190="","",IF($C190=0,"",_xlfn.MINIFS('Daily tracking'!$A$2:$A$2001,'Daily tracking'!$D$2:$D$2001,$A190)))</f>
        <v/>
      </c>
      <c r="R190" s="6" t="str">
        <f t="shared" si="20"/>
        <v/>
      </c>
    </row>
    <row r="191" spans="1:18" x14ac:dyDescent="0.3">
      <c r="A191" s="19"/>
      <c r="B191" s="19"/>
      <c r="C191" s="15" t="str">
        <f>IF($A191="","",COUNTIF('Daily tracking'!$D$2:$D$2001,$A191))</f>
        <v/>
      </c>
      <c r="D191" s="16" t="str">
        <f>IF($A191="","",SUMIF('Daily tracking'!$D$2:$D$2001,$A191,'Daily tracking'!$G$2:$G$2001))</f>
        <v/>
      </c>
      <c r="E191" s="18" t="str">
        <f>IF($A191="","",IF($C191=0,"",_xlfn.MAXIFS('Daily tracking'!$A$2:$A$2001,'Daily tracking'!$D$2:$D$2001,$A191)))</f>
        <v/>
      </c>
      <c r="F191" s="6" t="str">
        <f t="shared" ca="1" si="14"/>
        <v/>
      </c>
      <c r="G191" s="3" t="str">
        <f t="shared" si="15"/>
        <v/>
      </c>
      <c r="H191" s="9" t="str">
        <f t="shared" si="16"/>
        <v/>
      </c>
      <c r="I191" s="20"/>
      <c r="J191" s="20"/>
      <c r="K191" s="19"/>
      <c r="L191" s="19"/>
      <c r="M191" s="19"/>
      <c r="N191" s="15" t="str">
        <f t="shared" si="17"/>
        <v/>
      </c>
      <c r="O191" s="3" t="str">
        <f t="shared" si="18"/>
        <v/>
      </c>
      <c r="P191" s="6" t="str">
        <f t="shared" ca="1" si="19"/>
        <v/>
      </c>
      <c r="Q191" s="21" t="str">
        <f>IF($A191="","",IF($C191=0,"",_xlfn.MINIFS('Daily tracking'!$A$2:$A$2001,'Daily tracking'!$D$2:$D$2001,$A191)))</f>
        <v/>
      </c>
      <c r="R191" s="6" t="str">
        <f t="shared" si="20"/>
        <v/>
      </c>
    </row>
    <row r="192" spans="1:18" x14ac:dyDescent="0.3">
      <c r="A192" s="19"/>
      <c r="B192" s="19"/>
      <c r="C192" s="15" t="str">
        <f>IF($A192="","",COUNTIF('Daily tracking'!$D$2:$D$2001,$A192))</f>
        <v/>
      </c>
      <c r="D192" s="16" t="str">
        <f>IF($A192="","",SUMIF('Daily tracking'!$D$2:$D$2001,$A192,'Daily tracking'!$G$2:$G$2001))</f>
        <v/>
      </c>
      <c r="E192" s="18" t="str">
        <f>IF($A192="","",IF($C192=0,"",_xlfn.MAXIFS('Daily tracking'!$A$2:$A$2001,'Daily tracking'!$D$2:$D$2001,$A192)))</f>
        <v/>
      </c>
      <c r="F192" s="6" t="str">
        <f t="shared" ca="1" si="14"/>
        <v/>
      </c>
      <c r="G192" s="3" t="str">
        <f t="shared" si="15"/>
        <v/>
      </c>
      <c r="H192" s="9" t="str">
        <f t="shared" si="16"/>
        <v/>
      </c>
      <c r="I192" s="20"/>
      <c r="J192" s="20"/>
      <c r="K192" s="19"/>
      <c r="L192" s="19"/>
      <c r="M192" s="19"/>
      <c r="N192" s="15" t="str">
        <f t="shared" si="17"/>
        <v/>
      </c>
      <c r="O192" s="3" t="str">
        <f t="shared" si="18"/>
        <v/>
      </c>
      <c r="P192" s="6" t="str">
        <f t="shared" ca="1" si="19"/>
        <v/>
      </c>
      <c r="Q192" s="21" t="str">
        <f>IF($A192="","",IF($C192=0,"",_xlfn.MINIFS('Daily tracking'!$A$2:$A$2001,'Daily tracking'!$D$2:$D$2001,$A192)))</f>
        <v/>
      </c>
      <c r="R192" s="6" t="str">
        <f t="shared" si="20"/>
        <v/>
      </c>
    </row>
    <row r="193" spans="1:18" x14ac:dyDescent="0.3">
      <c r="A193" s="19"/>
      <c r="B193" s="19"/>
      <c r="C193" s="15" t="str">
        <f>IF($A193="","",COUNTIF('Daily tracking'!$D$2:$D$2001,$A193))</f>
        <v/>
      </c>
      <c r="D193" s="16" t="str">
        <f>IF($A193="","",SUMIF('Daily tracking'!$D$2:$D$2001,$A193,'Daily tracking'!$G$2:$G$2001))</f>
        <v/>
      </c>
      <c r="E193" s="18" t="str">
        <f>IF($A193="","",IF($C193=0,"",_xlfn.MAXIFS('Daily tracking'!$A$2:$A$2001,'Daily tracking'!$D$2:$D$2001,$A193)))</f>
        <v/>
      </c>
      <c r="F193" s="6" t="str">
        <f t="shared" ca="1" si="14"/>
        <v/>
      </c>
      <c r="G193" s="3" t="str">
        <f t="shared" si="15"/>
        <v/>
      </c>
      <c r="H193" s="9" t="str">
        <f t="shared" si="16"/>
        <v/>
      </c>
      <c r="I193" s="20"/>
      <c r="J193" s="20"/>
      <c r="K193" s="19"/>
      <c r="L193" s="19"/>
      <c r="M193" s="19"/>
      <c r="N193" s="15" t="str">
        <f t="shared" si="17"/>
        <v/>
      </c>
      <c r="O193" s="3" t="str">
        <f t="shared" si="18"/>
        <v/>
      </c>
      <c r="P193" s="6" t="str">
        <f t="shared" ca="1" si="19"/>
        <v/>
      </c>
      <c r="Q193" s="21" t="str">
        <f>IF($A193="","",IF($C193=0,"",_xlfn.MINIFS('Daily tracking'!$A$2:$A$2001,'Daily tracking'!$D$2:$D$2001,$A193)))</f>
        <v/>
      </c>
      <c r="R193" s="6" t="str">
        <f t="shared" si="20"/>
        <v/>
      </c>
    </row>
    <row r="194" spans="1:18" x14ac:dyDescent="0.3">
      <c r="A194" s="19"/>
      <c r="B194" s="19"/>
      <c r="C194" s="15" t="str">
        <f>IF($A194="","",COUNTIF('Daily tracking'!$D$2:$D$2001,$A194))</f>
        <v/>
      </c>
      <c r="D194" s="16" t="str">
        <f>IF($A194="","",SUMIF('Daily tracking'!$D$2:$D$2001,$A194,'Daily tracking'!$G$2:$G$2001))</f>
        <v/>
      </c>
      <c r="E194" s="18" t="str">
        <f>IF($A194="","",IF($C194=0,"",_xlfn.MAXIFS('Daily tracking'!$A$2:$A$2001,'Daily tracking'!$D$2:$D$2001,$A194)))</f>
        <v/>
      </c>
      <c r="F194" s="6" t="str">
        <f t="shared" ref="F194:F257" ca="1" si="21">IF(OR($A194="",$E194=""),"",TODAY()-$E194)</f>
        <v/>
      </c>
      <c r="G194" s="3" t="str">
        <f t="shared" ref="G194:G257" si="22">IF($A194="","",IF($C194=0,"No visits",IF($F194&gt;90,"Lapsed",IF($F194&gt;35,"At risk",IF($C194&gt;=4,"Loyal","Active")))))</f>
        <v/>
      </c>
      <c r="H194" s="9" t="str">
        <f t="shared" ref="H194:H257" si="23">IF(OR($A194="",$C194=0),"",$D194/$C194)</f>
        <v/>
      </c>
      <c r="I194" s="20"/>
      <c r="J194" s="20"/>
      <c r="K194" s="19"/>
      <c r="L194" s="19"/>
      <c r="M194" s="19"/>
      <c r="N194" s="15" t="str">
        <f t="shared" ref="N194:N257" si="24">IF($A194="","",IF($C194=0,0,(IF($F194&lt;=15,5,IF($F194&lt;=30,4,IF($F194&lt;=45,3,IF($F194&lt;=90,2,1))))+IF($C194&gt;=10,5,IF($C194&gt;=6,4,IF($C194&gt;=4,3,IF($C194&gt;=2,2,1))))+IF($D194&gt;=20000,5,IF($D194&gt;=10000,4,IF($D194&gt;=5000,3,IF($D194&gt;=2000,2,1)))))))</f>
        <v/>
      </c>
      <c r="O194" s="3" t="str">
        <f t="shared" ref="O194:O257" si="25">IF($A194="","",IF($C194=0,"No visits",IF($N194&gt;=13,"VIP",IF($N194&gt;=10,"High value",IF($N194&gt;=7,"Regular",IF($N194&gt;=4,"Occasional","Low"))))))</f>
        <v/>
      </c>
      <c r="P194" s="6" t="str">
        <f t="shared" ref="P194:P257" ca="1" si="26">IF(OR($A194="",$I194=""),"",IF(MONTH($I194)=MONTH(TODAY()),"Yes",""))</f>
        <v/>
      </c>
      <c r="Q194" s="21" t="str">
        <f>IF($A194="","",IF($C194=0,"",_xlfn.MINIFS('Daily tracking'!$A$2:$A$2001,'Daily tracking'!$D$2:$D$2001,$A194)))</f>
        <v/>
      </c>
      <c r="R194" s="6" t="str">
        <f t="shared" ref="R194:R257" si="27">IF(OR($A194="",$C194&lt;2),"",($E194-$Q194)/($C194-1))</f>
        <v/>
      </c>
    </row>
    <row r="195" spans="1:18" x14ac:dyDescent="0.3">
      <c r="A195" s="19"/>
      <c r="B195" s="19"/>
      <c r="C195" s="15" t="str">
        <f>IF($A195="","",COUNTIF('Daily tracking'!$D$2:$D$2001,$A195))</f>
        <v/>
      </c>
      <c r="D195" s="16" t="str">
        <f>IF($A195="","",SUMIF('Daily tracking'!$D$2:$D$2001,$A195,'Daily tracking'!$G$2:$G$2001))</f>
        <v/>
      </c>
      <c r="E195" s="18" t="str">
        <f>IF($A195="","",IF($C195=0,"",_xlfn.MAXIFS('Daily tracking'!$A$2:$A$2001,'Daily tracking'!$D$2:$D$2001,$A195)))</f>
        <v/>
      </c>
      <c r="F195" s="6" t="str">
        <f t="shared" ca="1" si="21"/>
        <v/>
      </c>
      <c r="G195" s="3" t="str">
        <f t="shared" si="22"/>
        <v/>
      </c>
      <c r="H195" s="9" t="str">
        <f t="shared" si="23"/>
        <v/>
      </c>
      <c r="I195" s="20"/>
      <c r="J195" s="20"/>
      <c r="K195" s="19"/>
      <c r="L195" s="19"/>
      <c r="M195" s="19"/>
      <c r="N195" s="15" t="str">
        <f t="shared" si="24"/>
        <v/>
      </c>
      <c r="O195" s="3" t="str">
        <f t="shared" si="25"/>
        <v/>
      </c>
      <c r="P195" s="6" t="str">
        <f t="shared" ca="1" si="26"/>
        <v/>
      </c>
      <c r="Q195" s="21" t="str">
        <f>IF($A195="","",IF($C195=0,"",_xlfn.MINIFS('Daily tracking'!$A$2:$A$2001,'Daily tracking'!$D$2:$D$2001,$A195)))</f>
        <v/>
      </c>
      <c r="R195" s="6" t="str">
        <f t="shared" si="27"/>
        <v/>
      </c>
    </row>
    <row r="196" spans="1:18" x14ac:dyDescent="0.3">
      <c r="A196" s="19"/>
      <c r="B196" s="19"/>
      <c r="C196" s="15" t="str">
        <f>IF($A196="","",COUNTIF('Daily tracking'!$D$2:$D$2001,$A196))</f>
        <v/>
      </c>
      <c r="D196" s="16" t="str">
        <f>IF($A196="","",SUMIF('Daily tracking'!$D$2:$D$2001,$A196,'Daily tracking'!$G$2:$G$2001))</f>
        <v/>
      </c>
      <c r="E196" s="18" t="str">
        <f>IF($A196="","",IF($C196=0,"",_xlfn.MAXIFS('Daily tracking'!$A$2:$A$2001,'Daily tracking'!$D$2:$D$2001,$A196)))</f>
        <v/>
      </c>
      <c r="F196" s="6" t="str">
        <f t="shared" ca="1" si="21"/>
        <v/>
      </c>
      <c r="G196" s="3" t="str">
        <f t="shared" si="22"/>
        <v/>
      </c>
      <c r="H196" s="9" t="str">
        <f t="shared" si="23"/>
        <v/>
      </c>
      <c r="I196" s="20"/>
      <c r="J196" s="20"/>
      <c r="K196" s="19"/>
      <c r="L196" s="19"/>
      <c r="M196" s="19"/>
      <c r="N196" s="15" t="str">
        <f t="shared" si="24"/>
        <v/>
      </c>
      <c r="O196" s="3" t="str">
        <f t="shared" si="25"/>
        <v/>
      </c>
      <c r="P196" s="6" t="str">
        <f t="shared" ca="1" si="26"/>
        <v/>
      </c>
      <c r="Q196" s="21" t="str">
        <f>IF($A196="","",IF($C196=0,"",_xlfn.MINIFS('Daily tracking'!$A$2:$A$2001,'Daily tracking'!$D$2:$D$2001,$A196)))</f>
        <v/>
      </c>
      <c r="R196" s="6" t="str">
        <f t="shared" si="27"/>
        <v/>
      </c>
    </row>
    <row r="197" spans="1:18" x14ac:dyDescent="0.3">
      <c r="A197" s="19"/>
      <c r="B197" s="19"/>
      <c r="C197" s="15" t="str">
        <f>IF($A197="","",COUNTIF('Daily tracking'!$D$2:$D$2001,$A197))</f>
        <v/>
      </c>
      <c r="D197" s="16" t="str">
        <f>IF($A197="","",SUMIF('Daily tracking'!$D$2:$D$2001,$A197,'Daily tracking'!$G$2:$G$2001))</f>
        <v/>
      </c>
      <c r="E197" s="18" t="str">
        <f>IF($A197="","",IF($C197=0,"",_xlfn.MAXIFS('Daily tracking'!$A$2:$A$2001,'Daily tracking'!$D$2:$D$2001,$A197)))</f>
        <v/>
      </c>
      <c r="F197" s="6" t="str">
        <f t="shared" ca="1" si="21"/>
        <v/>
      </c>
      <c r="G197" s="3" t="str">
        <f t="shared" si="22"/>
        <v/>
      </c>
      <c r="H197" s="9" t="str">
        <f t="shared" si="23"/>
        <v/>
      </c>
      <c r="I197" s="20"/>
      <c r="J197" s="20"/>
      <c r="K197" s="19"/>
      <c r="L197" s="19"/>
      <c r="M197" s="19"/>
      <c r="N197" s="15" t="str">
        <f t="shared" si="24"/>
        <v/>
      </c>
      <c r="O197" s="3" t="str">
        <f t="shared" si="25"/>
        <v/>
      </c>
      <c r="P197" s="6" t="str">
        <f t="shared" ca="1" si="26"/>
        <v/>
      </c>
      <c r="Q197" s="21" t="str">
        <f>IF($A197="","",IF($C197=0,"",_xlfn.MINIFS('Daily tracking'!$A$2:$A$2001,'Daily tracking'!$D$2:$D$2001,$A197)))</f>
        <v/>
      </c>
      <c r="R197" s="6" t="str">
        <f t="shared" si="27"/>
        <v/>
      </c>
    </row>
    <row r="198" spans="1:18" x14ac:dyDescent="0.3">
      <c r="A198" s="19"/>
      <c r="B198" s="19"/>
      <c r="C198" s="15" t="str">
        <f>IF($A198="","",COUNTIF('Daily tracking'!$D$2:$D$2001,$A198))</f>
        <v/>
      </c>
      <c r="D198" s="16" t="str">
        <f>IF($A198="","",SUMIF('Daily tracking'!$D$2:$D$2001,$A198,'Daily tracking'!$G$2:$G$2001))</f>
        <v/>
      </c>
      <c r="E198" s="18" t="str">
        <f>IF($A198="","",IF($C198=0,"",_xlfn.MAXIFS('Daily tracking'!$A$2:$A$2001,'Daily tracking'!$D$2:$D$2001,$A198)))</f>
        <v/>
      </c>
      <c r="F198" s="6" t="str">
        <f t="shared" ca="1" si="21"/>
        <v/>
      </c>
      <c r="G198" s="3" t="str">
        <f t="shared" si="22"/>
        <v/>
      </c>
      <c r="H198" s="9" t="str">
        <f t="shared" si="23"/>
        <v/>
      </c>
      <c r="I198" s="20"/>
      <c r="J198" s="20"/>
      <c r="K198" s="19"/>
      <c r="L198" s="19"/>
      <c r="M198" s="19"/>
      <c r="N198" s="15" t="str">
        <f t="shared" si="24"/>
        <v/>
      </c>
      <c r="O198" s="3" t="str">
        <f t="shared" si="25"/>
        <v/>
      </c>
      <c r="P198" s="6" t="str">
        <f t="shared" ca="1" si="26"/>
        <v/>
      </c>
      <c r="Q198" s="21" t="str">
        <f>IF($A198="","",IF($C198=0,"",_xlfn.MINIFS('Daily tracking'!$A$2:$A$2001,'Daily tracking'!$D$2:$D$2001,$A198)))</f>
        <v/>
      </c>
      <c r="R198" s="6" t="str">
        <f t="shared" si="27"/>
        <v/>
      </c>
    </row>
    <row r="199" spans="1:18" x14ac:dyDescent="0.3">
      <c r="A199" s="19"/>
      <c r="B199" s="19"/>
      <c r="C199" s="15" t="str">
        <f>IF($A199="","",COUNTIF('Daily tracking'!$D$2:$D$2001,$A199))</f>
        <v/>
      </c>
      <c r="D199" s="16" t="str">
        <f>IF($A199="","",SUMIF('Daily tracking'!$D$2:$D$2001,$A199,'Daily tracking'!$G$2:$G$2001))</f>
        <v/>
      </c>
      <c r="E199" s="18" t="str">
        <f>IF($A199="","",IF($C199=0,"",_xlfn.MAXIFS('Daily tracking'!$A$2:$A$2001,'Daily tracking'!$D$2:$D$2001,$A199)))</f>
        <v/>
      </c>
      <c r="F199" s="6" t="str">
        <f t="shared" ca="1" si="21"/>
        <v/>
      </c>
      <c r="G199" s="3" t="str">
        <f t="shared" si="22"/>
        <v/>
      </c>
      <c r="H199" s="9" t="str">
        <f t="shared" si="23"/>
        <v/>
      </c>
      <c r="I199" s="20"/>
      <c r="J199" s="20"/>
      <c r="K199" s="19"/>
      <c r="L199" s="19"/>
      <c r="M199" s="19"/>
      <c r="N199" s="15" t="str">
        <f t="shared" si="24"/>
        <v/>
      </c>
      <c r="O199" s="3" t="str">
        <f t="shared" si="25"/>
        <v/>
      </c>
      <c r="P199" s="6" t="str">
        <f t="shared" ca="1" si="26"/>
        <v/>
      </c>
      <c r="Q199" s="21" t="str">
        <f>IF($A199="","",IF($C199=0,"",_xlfn.MINIFS('Daily tracking'!$A$2:$A$2001,'Daily tracking'!$D$2:$D$2001,$A199)))</f>
        <v/>
      </c>
      <c r="R199" s="6" t="str">
        <f t="shared" si="27"/>
        <v/>
      </c>
    </row>
    <row r="200" spans="1:18" x14ac:dyDescent="0.3">
      <c r="A200" s="19"/>
      <c r="B200" s="19"/>
      <c r="C200" s="15" t="str">
        <f>IF($A200="","",COUNTIF('Daily tracking'!$D$2:$D$2001,$A200))</f>
        <v/>
      </c>
      <c r="D200" s="16" t="str">
        <f>IF($A200="","",SUMIF('Daily tracking'!$D$2:$D$2001,$A200,'Daily tracking'!$G$2:$G$2001))</f>
        <v/>
      </c>
      <c r="E200" s="18" t="str">
        <f>IF($A200="","",IF($C200=0,"",_xlfn.MAXIFS('Daily tracking'!$A$2:$A$2001,'Daily tracking'!$D$2:$D$2001,$A200)))</f>
        <v/>
      </c>
      <c r="F200" s="6" t="str">
        <f t="shared" ca="1" si="21"/>
        <v/>
      </c>
      <c r="G200" s="3" t="str">
        <f t="shared" si="22"/>
        <v/>
      </c>
      <c r="H200" s="9" t="str">
        <f t="shared" si="23"/>
        <v/>
      </c>
      <c r="I200" s="20"/>
      <c r="J200" s="20"/>
      <c r="K200" s="19"/>
      <c r="L200" s="19"/>
      <c r="M200" s="19"/>
      <c r="N200" s="15" t="str">
        <f t="shared" si="24"/>
        <v/>
      </c>
      <c r="O200" s="3" t="str">
        <f t="shared" si="25"/>
        <v/>
      </c>
      <c r="P200" s="6" t="str">
        <f t="shared" ca="1" si="26"/>
        <v/>
      </c>
      <c r="Q200" s="21" t="str">
        <f>IF($A200="","",IF($C200=0,"",_xlfn.MINIFS('Daily tracking'!$A$2:$A$2001,'Daily tracking'!$D$2:$D$2001,$A200)))</f>
        <v/>
      </c>
      <c r="R200" s="6" t="str">
        <f t="shared" si="27"/>
        <v/>
      </c>
    </row>
    <row r="201" spans="1:18" x14ac:dyDescent="0.3">
      <c r="A201" s="19"/>
      <c r="B201" s="19"/>
      <c r="C201" s="15" t="str">
        <f>IF($A201="","",COUNTIF('Daily tracking'!$D$2:$D$2001,$A201))</f>
        <v/>
      </c>
      <c r="D201" s="16" t="str">
        <f>IF($A201="","",SUMIF('Daily tracking'!$D$2:$D$2001,$A201,'Daily tracking'!$G$2:$G$2001))</f>
        <v/>
      </c>
      <c r="E201" s="18" t="str">
        <f>IF($A201="","",IF($C201=0,"",_xlfn.MAXIFS('Daily tracking'!$A$2:$A$2001,'Daily tracking'!$D$2:$D$2001,$A201)))</f>
        <v/>
      </c>
      <c r="F201" s="6" t="str">
        <f t="shared" ca="1" si="21"/>
        <v/>
      </c>
      <c r="G201" s="3" t="str">
        <f t="shared" si="22"/>
        <v/>
      </c>
      <c r="H201" s="9" t="str">
        <f t="shared" si="23"/>
        <v/>
      </c>
      <c r="I201" s="20"/>
      <c r="J201" s="20"/>
      <c r="K201" s="19"/>
      <c r="L201" s="19"/>
      <c r="M201" s="19"/>
      <c r="N201" s="15" t="str">
        <f t="shared" si="24"/>
        <v/>
      </c>
      <c r="O201" s="3" t="str">
        <f t="shared" si="25"/>
        <v/>
      </c>
      <c r="P201" s="6" t="str">
        <f t="shared" ca="1" si="26"/>
        <v/>
      </c>
      <c r="Q201" s="21" t="str">
        <f>IF($A201="","",IF($C201=0,"",_xlfn.MINIFS('Daily tracking'!$A$2:$A$2001,'Daily tracking'!$D$2:$D$2001,$A201)))</f>
        <v/>
      </c>
      <c r="R201" s="6" t="str">
        <f t="shared" si="27"/>
        <v/>
      </c>
    </row>
    <row r="202" spans="1:18" x14ac:dyDescent="0.3">
      <c r="A202" s="19"/>
      <c r="B202" s="19"/>
      <c r="C202" s="15" t="str">
        <f>IF($A202="","",COUNTIF('Daily tracking'!$D$2:$D$2001,$A202))</f>
        <v/>
      </c>
      <c r="D202" s="16" t="str">
        <f>IF($A202="","",SUMIF('Daily tracking'!$D$2:$D$2001,$A202,'Daily tracking'!$G$2:$G$2001))</f>
        <v/>
      </c>
      <c r="E202" s="18" t="str">
        <f>IF($A202="","",IF($C202=0,"",_xlfn.MAXIFS('Daily tracking'!$A$2:$A$2001,'Daily tracking'!$D$2:$D$2001,$A202)))</f>
        <v/>
      </c>
      <c r="F202" s="6" t="str">
        <f t="shared" ca="1" si="21"/>
        <v/>
      </c>
      <c r="G202" s="3" t="str">
        <f t="shared" si="22"/>
        <v/>
      </c>
      <c r="H202" s="9" t="str">
        <f t="shared" si="23"/>
        <v/>
      </c>
      <c r="I202" s="20"/>
      <c r="J202" s="20"/>
      <c r="K202" s="19"/>
      <c r="L202" s="19"/>
      <c r="M202" s="19"/>
      <c r="N202" s="15" t="str">
        <f t="shared" si="24"/>
        <v/>
      </c>
      <c r="O202" s="3" t="str">
        <f t="shared" si="25"/>
        <v/>
      </c>
      <c r="P202" s="6" t="str">
        <f t="shared" ca="1" si="26"/>
        <v/>
      </c>
      <c r="Q202" s="21" t="str">
        <f>IF($A202="","",IF($C202=0,"",_xlfn.MINIFS('Daily tracking'!$A$2:$A$2001,'Daily tracking'!$D$2:$D$2001,$A202)))</f>
        <v/>
      </c>
      <c r="R202" s="6" t="str">
        <f t="shared" si="27"/>
        <v/>
      </c>
    </row>
    <row r="203" spans="1:18" x14ac:dyDescent="0.3">
      <c r="A203" s="19"/>
      <c r="B203" s="19"/>
      <c r="C203" s="15" t="str">
        <f>IF($A203="","",COUNTIF('Daily tracking'!$D$2:$D$2001,$A203))</f>
        <v/>
      </c>
      <c r="D203" s="16" t="str">
        <f>IF($A203="","",SUMIF('Daily tracking'!$D$2:$D$2001,$A203,'Daily tracking'!$G$2:$G$2001))</f>
        <v/>
      </c>
      <c r="E203" s="18" t="str">
        <f>IF($A203="","",IF($C203=0,"",_xlfn.MAXIFS('Daily tracking'!$A$2:$A$2001,'Daily tracking'!$D$2:$D$2001,$A203)))</f>
        <v/>
      </c>
      <c r="F203" s="6" t="str">
        <f t="shared" ca="1" si="21"/>
        <v/>
      </c>
      <c r="G203" s="3" t="str">
        <f t="shared" si="22"/>
        <v/>
      </c>
      <c r="H203" s="9" t="str">
        <f t="shared" si="23"/>
        <v/>
      </c>
      <c r="I203" s="20"/>
      <c r="J203" s="20"/>
      <c r="K203" s="19"/>
      <c r="L203" s="19"/>
      <c r="M203" s="19"/>
      <c r="N203" s="15" t="str">
        <f t="shared" si="24"/>
        <v/>
      </c>
      <c r="O203" s="3" t="str">
        <f t="shared" si="25"/>
        <v/>
      </c>
      <c r="P203" s="6" t="str">
        <f t="shared" ca="1" si="26"/>
        <v/>
      </c>
      <c r="Q203" s="21" t="str">
        <f>IF($A203="","",IF($C203=0,"",_xlfn.MINIFS('Daily tracking'!$A$2:$A$2001,'Daily tracking'!$D$2:$D$2001,$A203)))</f>
        <v/>
      </c>
      <c r="R203" s="6" t="str">
        <f t="shared" si="27"/>
        <v/>
      </c>
    </row>
    <row r="204" spans="1:18" x14ac:dyDescent="0.3">
      <c r="A204" s="19"/>
      <c r="B204" s="19"/>
      <c r="C204" s="15" t="str">
        <f>IF($A204="","",COUNTIF('Daily tracking'!$D$2:$D$2001,$A204))</f>
        <v/>
      </c>
      <c r="D204" s="16" t="str">
        <f>IF($A204="","",SUMIF('Daily tracking'!$D$2:$D$2001,$A204,'Daily tracking'!$G$2:$G$2001))</f>
        <v/>
      </c>
      <c r="E204" s="18" t="str">
        <f>IF($A204="","",IF($C204=0,"",_xlfn.MAXIFS('Daily tracking'!$A$2:$A$2001,'Daily tracking'!$D$2:$D$2001,$A204)))</f>
        <v/>
      </c>
      <c r="F204" s="6" t="str">
        <f t="shared" ca="1" si="21"/>
        <v/>
      </c>
      <c r="G204" s="3" t="str">
        <f t="shared" si="22"/>
        <v/>
      </c>
      <c r="H204" s="9" t="str">
        <f t="shared" si="23"/>
        <v/>
      </c>
      <c r="I204" s="20"/>
      <c r="J204" s="20"/>
      <c r="K204" s="19"/>
      <c r="L204" s="19"/>
      <c r="M204" s="19"/>
      <c r="N204" s="15" t="str">
        <f t="shared" si="24"/>
        <v/>
      </c>
      <c r="O204" s="3" t="str">
        <f t="shared" si="25"/>
        <v/>
      </c>
      <c r="P204" s="6" t="str">
        <f t="shared" ca="1" si="26"/>
        <v/>
      </c>
      <c r="Q204" s="21" t="str">
        <f>IF($A204="","",IF($C204=0,"",_xlfn.MINIFS('Daily tracking'!$A$2:$A$2001,'Daily tracking'!$D$2:$D$2001,$A204)))</f>
        <v/>
      </c>
      <c r="R204" s="6" t="str">
        <f t="shared" si="27"/>
        <v/>
      </c>
    </row>
    <row r="205" spans="1:18" x14ac:dyDescent="0.3">
      <c r="A205" s="19"/>
      <c r="B205" s="19"/>
      <c r="C205" s="15" t="str">
        <f>IF($A205="","",COUNTIF('Daily tracking'!$D$2:$D$2001,$A205))</f>
        <v/>
      </c>
      <c r="D205" s="16" t="str">
        <f>IF($A205="","",SUMIF('Daily tracking'!$D$2:$D$2001,$A205,'Daily tracking'!$G$2:$G$2001))</f>
        <v/>
      </c>
      <c r="E205" s="18" t="str">
        <f>IF($A205="","",IF($C205=0,"",_xlfn.MAXIFS('Daily tracking'!$A$2:$A$2001,'Daily tracking'!$D$2:$D$2001,$A205)))</f>
        <v/>
      </c>
      <c r="F205" s="6" t="str">
        <f t="shared" ca="1" si="21"/>
        <v/>
      </c>
      <c r="G205" s="3" t="str">
        <f t="shared" si="22"/>
        <v/>
      </c>
      <c r="H205" s="9" t="str">
        <f t="shared" si="23"/>
        <v/>
      </c>
      <c r="I205" s="20"/>
      <c r="J205" s="20"/>
      <c r="K205" s="19"/>
      <c r="L205" s="19"/>
      <c r="M205" s="19"/>
      <c r="N205" s="15" t="str">
        <f t="shared" si="24"/>
        <v/>
      </c>
      <c r="O205" s="3" t="str">
        <f t="shared" si="25"/>
        <v/>
      </c>
      <c r="P205" s="6" t="str">
        <f t="shared" ca="1" si="26"/>
        <v/>
      </c>
      <c r="Q205" s="21" t="str">
        <f>IF($A205="","",IF($C205=0,"",_xlfn.MINIFS('Daily tracking'!$A$2:$A$2001,'Daily tracking'!$D$2:$D$2001,$A205)))</f>
        <v/>
      </c>
      <c r="R205" s="6" t="str">
        <f t="shared" si="27"/>
        <v/>
      </c>
    </row>
    <row r="206" spans="1:18" x14ac:dyDescent="0.3">
      <c r="A206" s="19"/>
      <c r="B206" s="19"/>
      <c r="C206" s="15" t="str">
        <f>IF($A206="","",COUNTIF('Daily tracking'!$D$2:$D$2001,$A206))</f>
        <v/>
      </c>
      <c r="D206" s="16" t="str">
        <f>IF($A206="","",SUMIF('Daily tracking'!$D$2:$D$2001,$A206,'Daily tracking'!$G$2:$G$2001))</f>
        <v/>
      </c>
      <c r="E206" s="18" t="str">
        <f>IF($A206="","",IF($C206=0,"",_xlfn.MAXIFS('Daily tracking'!$A$2:$A$2001,'Daily tracking'!$D$2:$D$2001,$A206)))</f>
        <v/>
      </c>
      <c r="F206" s="6" t="str">
        <f t="shared" ca="1" si="21"/>
        <v/>
      </c>
      <c r="G206" s="3" t="str">
        <f t="shared" si="22"/>
        <v/>
      </c>
      <c r="H206" s="9" t="str">
        <f t="shared" si="23"/>
        <v/>
      </c>
      <c r="I206" s="20"/>
      <c r="J206" s="20"/>
      <c r="K206" s="19"/>
      <c r="L206" s="19"/>
      <c r="M206" s="19"/>
      <c r="N206" s="15" t="str">
        <f t="shared" si="24"/>
        <v/>
      </c>
      <c r="O206" s="3" t="str">
        <f t="shared" si="25"/>
        <v/>
      </c>
      <c r="P206" s="6" t="str">
        <f t="shared" ca="1" si="26"/>
        <v/>
      </c>
      <c r="Q206" s="21" t="str">
        <f>IF($A206="","",IF($C206=0,"",_xlfn.MINIFS('Daily tracking'!$A$2:$A$2001,'Daily tracking'!$D$2:$D$2001,$A206)))</f>
        <v/>
      </c>
      <c r="R206" s="6" t="str">
        <f t="shared" si="27"/>
        <v/>
      </c>
    </row>
    <row r="207" spans="1:18" x14ac:dyDescent="0.3">
      <c r="A207" s="19"/>
      <c r="B207" s="19"/>
      <c r="C207" s="15" t="str">
        <f>IF($A207="","",COUNTIF('Daily tracking'!$D$2:$D$2001,$A207))</f>
        <v/>
      </c>
      <c r="D207" s="16" t="str">
        <f>IF($A207="","",SUMIF('Daily tracking'!$D$2:$D$2001,$A207,'Daily tracking'!$G$2:$G$2001))</f>
        <v/>
      </c>
      <c r="E207" s="18" t="str">
        <f>IF($A207="","",IF($C207=0,"",_xlfn.MAXIFS('Daily tracking'!$A$2:$A$2001,'Daily tracking'!$D$2:$D$2001,$A207)))</f>
        <v/>
      </c>
      <c r="F207" s="6" t="str">
        <f t="shared" ca="1" si="21"/>
        <v/>
      </c>
      <c r="G207" s="3" t="str">
        <f t="shared" si="22"/>
        <v/>
      </c>
      <c r="H207" s="9" t="str">
        <f t="shared" si="23"/>
        <v/>
      </c>
      <c r="I207" s="20"/>
      <c r="J207" s="20"/>
      <c r="K207" s="19"/>
      <c r="L207" s="19"/>
      <c r="M207" s="19"/>
      <c r="N207" s="15" t="str">
        <f t="shared" si="24"/>
        <v/>
      </c>
      <c r="O207" s="3" t="str">
        <f t="shared" si="25"/>
        <v/>
      </c>
      <c r="P207" s="6" t="str">
        <f t="shared" ca="1" si="26"/>
        <v/>
      </c>
      <c r="Q207" s="21" t="str">
        <f>IF($A207="","",IF($C207=0,"",_xlfn.MINIFS('Daily tracking'!$A$2:$A$2001,'Daily tracking'!$D$2:$D$2001,$A207)))</f>
        <v/>
      </c>
      <c r="R207" s="6" t="str">
        <f t="shared" si="27"/>
        <v/>
      </c>
    </row>
    <row r="208" spans="1:18" x14ac:dyDescent="0.3">
      <c r="A208" s="19"/>
      <c r="B208" s="19"/>
      <c r="C208" s="15" t="str">
        <f>IF($A208="","",COUNTIF('Daily tracking'!$D$2:$D$2001,$A208))</f>
        <v/>
      </c>
      <c r="D208" s="16" t="str">
        <f>IF($A208="","",SUMIF('Daily tracking'!$D$2:$D$2001,$A208,'Daily tracking'!$G$2:$G$2001))</f>
        <v/>
      </c>
      <c r="E208" s="18" t="str">
        <f>IF($A208="","",IF($C208=0,"",_xlfn.MAXIFS('Daily tracking'!$A$2:$A$2001,'Daily tracking'!$D$2:$D$2001,$A208)))</f>
        <v/>
      </c>
      <c r="F208" s="6" t="str">
        <f t="shared" ca="1" si="21"/>
        <v/>
      </c>
      <c r="G208" s="3" t="str">
        <f t="shared" si="22"/>
        <v/>
      </c>
      <c r="H208" s="9" t="str">
        <f t="shared" si="23"/>
        <v/>
      </c>
      <c r="I208" s="20"/>
      <c r="J208" s="20"/>
      <c r="K208" s="19"/>
      <c r="L208" s="19"/>
      <c r="M208" s="19"/>
      <c r="N208" s="15" t="str">
        <f t="shared" si="24"/>
        <v/>
      </c>
      <c r="O208" s="3" t="str">
        <f t="shared" si="25"/>
        <v/>
      </c>
      <c r="P208" s="6" t="str">
        <f t="shared" ca="1" si="26"/>
        <v/>
      </c>
      <c r="Q208" s="21" t="str">
        <f>IF($A208="","",IF($C208=0,"",_xlfn.MINIFS('Daily tracking'!$A$2:$A$2001,'Daily tracking'!$D$2:$D$2001,$A208)))</f>
        <v/>
      </c>
      <c r="R208" s="6" t="str">
        <f t="shared" si="27"/>
        <v/>
      </c>
    </row>
    <row r="209" spans="1:18" x14ac:dyDescent="0.3">
      <c r="A209" s="19"/>
      <c r="B209" s="19"/>
      <c r="C209" s="15" t="str">
        <f>IF($A209="","",COUNTIF('Daily tracking'!$D$2:$D$2001,$A209))</f>
        <v/>
      </c>
      <c r="D209" s="16" t="str">
        <f>IF($A209="","",SUMIF('Daily tracking'!$D$2:$D$2001,$A209,'Daily tracking'!$G$2:$G$2001))</f>
        <v/>
      </c>
      <c r="E209" s="18" t="str">
        <f>IF($A209="","",IF($C209=0,"",_xlfn.MAXIFS('Daily tracking'!$A$2:$A$2001,'Daily tracking'!$D$2:$D$2001,$A209)))</f>
        <v/>
      </c>
      <c r="F209" s="6" t="str">
        <f t="shared" ca="1" si="21"/>
        <v/>
      </c>
      <c r="G209" s="3" t="str">
        <f t="shared" si="22"/>
        <v/>
      </c>
      <c r="H209" s="9" t="str">
        <f t="shared" si="23"/>
        <v/>
      </c>
      <c r="I209" s="20"/>
      <c r="J209" s="20"/>
      <c r="K209" s="19"/>
      <c r="L209" s="19"/>
      <c r="M209" s="19"/>
      <c r="N209" s="15" t="str">
        <f t="shared" si="24"/>
        <v/>
      </c>
      <c r="O209" s="3" t="str">
        <f t="shared" si="25"/>
        <v/>
      </c>
      <c r="P209" s="6" t="str">
        <f t="shared" ca="1" si="26"/>
        <v/>
      </c>
      <c r="Q209" s="21" t="str">
        <f>IF($A209="","",IF($C209=0,"",_xlfn.MINIFS('Daily tracking'!$A$2:$A$2001,'Daily tracking'!$D$2:$D$2001,$A209)))</f>
        <v/>
      </c>
      <c r="R209" s="6" t="str">
        <f t="shared" si="27"/>
        <v/>
      </c>
    </row>
    <row r="210" spans="1:18" x14ac:dyDescent="0.3">
      <c r="A210" s="19"/>
      <c r="B210" s="19"/>
      <c r="C210" s="15" t="str">
        <f>IF($A210="","",COUNTIF('Daily tracking'!$D$2:$D$2001,$A210))</f>
        <v/>
      </c>
      <c r="D210" s="16" t="str">
        <f>IF($A210="","",SUMIF('Daily tracking'!$D$2:$D$2001,$A210,'Daily tracking'!$G$2:$G$2001))</f>
        <v/>
      </c>
      <c r="E210" s="18" t="str">
        <f>IF($A210="","",IF($C210=0,"",_xlfn.MAXIFS('Daily tracking'!$A$2:$A$2001,'Daily tracking'!$D$2:$D$2001,$A210)))</f>
        <v/>
      </c>
      <c r="F210" s="6" t="str">
        <f t="shared" ca="1" si="21"/>
        <v/>
      </c>
      <c r="G210" s="3" t="str">
        <f t="shared" si="22"/>
        <v/>
      </c>
      <c r="H210" s="9" t="str">
        <f t="shared" si="23"/>
        <v/>
      </c>
      <c r="I210" s="20"/>
      <c r="J210" s="20"/>
      <c r="K210" s="19"/>
      <c r="L210" s="19"/>
      <c r="M210" s="19"/>
      <c r="N210" s="15" t="str">
        <f t="shared" si="24"/>
        <v/>
      </c>
      <c r="O210" s="3" t="str">
        <f t="shared" si="25"/>
        <v/>
      </c>
      <c r="P210" s="6" t="str">
        <f t="shared" ca="1" si="26"/>
        <v/>
      </c>
      <c r="Q210" s="21" t="str">
        <f>IF($A210="","",IF($C210=0,"",_xlfn.MINIFS('Daily tracking'!$A$2:$A$2001,'Daily tracking'!$D$2:$D$2001,$A210)))</f>
        <v/>
      </c>
      <c r="R210" s="6" t="str">
        <f t="shared" si="27"/>
        <v/>
      </c>
    </row>
    <row r="211" spans="1:18" x14ac:dyDescent="0.3">
      <c r="A211" s="19"/>
      <c r="B211" s="19"/>
      <c r="C211" s="15" t="str">
        <f>IF($A211="","",COUNTIF('Daily tracking'!$D$2:$D$2001,$A211))</f>
        <v/>
      </c>
      <c r="D211" s="16" t="str">
        <f>IF($A211="","",SUMIF('Daily tracking'!$D$2:$D$2001,$A211,'Daily tracking'!$G$2:$G$2001))</f>
        <v/>
      </c>
      <c r="E211" s="18" t="str">
        <f>IF($A211="","",IF($C211=0,"",_xlfn.MAXIFS('Daily tracking'!$A$2:$A$2001,'Daily tracking'!$D$2:$D$2001,$A211)))</f>
        <v/>
      </c>
      <c r="F211" s="6" t="str">
        <f t="shared" ca="1" si="21"/>
        <v/>
      </c>
      <c r="G211" s="3" t="str">
        <f t="shared" si="22"/>
        <v/>
      </c>
      <c r="H211" s="9" t="str">
        <f t="shared" si="23"/>
        <v/>
      </c>
      <c r="I211" s="20"/>
      <c r="J211" s="20"/>
      <c r="K211" s="19"/>
      <c r="L211" s="19"/>
      <c r="M211" s="19"/>
      <c r="N211" s="15" t="str">
        <f t="shared" si="24"/>
        <v/>
      </c>
      <c r="O211" s="3" t="str">
        <f t="shared" si="25"/>
        <v/>
      </c>
      <c r="P211" s="6" t="str">
        <f t="shared" ca="1" si="26"/>
        <v/>
      </c>
      <c r="Q211" s="21" t="str">
        <f>IF($A211="","",IF($C211=0,"",_xlfn.MINIFS('Daily tracking'!$A$2:$A$2001,'Daily tracking'!$D$2:$D$2001,$A211)))</f>
        <v/>
      </c>
      <c r="R211" s="6" t="str">
        <f t="shared" si="27"/>
        <v/>
      </c>
    </row>
    <row r="212" spans="1:18" x14ac:dyDescent="0.3">
      <c r="A212" s="19"/>
      <c r="B212" s="19"/>
      <c r="C212" s="15" t="str">
        <f>IF($A212="","",COUNTIF('Daily tracking'!$D$2:$D$2001,$A212))</f>
        <v/>
      </c>
      <c r="D212" s="16" t="str">
        <f>IF($A212="","",SUMIF('Daily tracking'!$D$2:$D$2001,$A212,'Daily tracking'!$G$2:$G$2001))</f>
        <v/>
      </c>
      <c r="E212" s="18" t="str">
        <f>IF($A212="","",IF($C212=0,"",_xlfn.MAXIFS('Daily tracking'!$A$2:$A$2001,'Daily tracking'!$D$2:$D$2001,$A212)))</f>
        <v/>
      </c>
      <c r="F212" s="6" t="str">
        <f t="shared" ca="1" si="21"/>
        <v/>
      </c>
      <c r="G212" s="3" t="str">
        <f t="shared" si="22"/>
        <v/>
      </c>
      <c r="H212" s="9" t="str">
        <f t="shared" si="23"/>
        <v/>
      </c>
      <c r="I212" s="20"/>
      <c r="J212" s="20"/>
      <c r="K212" s="19"/>
      <c r="L212" s="19"/>
      <c r="M212" s="19"/>
      <c r="N212" s="15" t="str">
        <f t="shared" si="24"/>
        <v/>
      </c>
      <c r="O212" s="3" t="str">
        <f t="shared" si="25"/>
        <v/>
      </c>
      <c r="P212" s="6" t="str">
        <f t="shared" ca="1" si="26"/>
        <v/>
      </c>
      <c r="Q212" s="21" t="str">
        <f>IF($A212="","",IF($C212=0,"",_xlfn.MINIFS('Daily tracking'!$A$2:$A$2001,'Daily tracking'!$D$2:$D$2001,$A212)))</f>
        <v/>
      </c>
      <c r="R212" s="6" t="str">
        <f t="shared" si="27"/>
        <v/>
      </c>
    </row>
    <row r="213" spans="1:18" x14ac:dyDescent="0.3">
      <c r="A213" s="19"/>
      <c r="B213" s="19"/>
      <c r="C213" s="15" t="str">
        <f>IF($A213="","",COUNTIF('Daily tracking'!$D$2:$D$2001,$A213))</f>
        <v/>
      </c>
      <c r="D213" s="16" t="str">
        <f>IF($A213="","",SUMIF('Daily tracking'!$D$2:$D$2001,$A213,'Daily tracking'!$G$2:$G$2001))</f>
        <v/>
      </c>
      <c r="E213" s="18" t="str">
        <f>IF($A213="","",IF($C213=0,"",_xlfn.MAXIFS('Daily tracking'!$A$2:$A$2001,'Daily tracking'!$D$2:$D$2001,$A213)))</f>
        <v/>
      </c>
      <c r="F213" s="6" t="str">
        <f t="shared" ca="1" si="21"/>
        <v/>
      </c>
      <c r="G213" s="3" t="str">
        <f t="shared" si="22"/>
        <v/>
      </c>
      <c r="H213" s="9" t="str">
        <f t="shared" si="23"/>
        <v/>
      </c>
      <c r="I213" s="20"/>
      <c r="J213" s="20"/>
      <c r="K213" s="19"/>
      <c r="L213" s="19"/>
      <c r="M213" s="19"/>
      <c r="N213" s="15" t="str">
        <f t="shared" si="24"/>
        <v/>
      </c>
      <c r="O213" s="3" t="str">
        <f t="shared" si="25"/>
        <v/>
      </c>
      <c r="P213" s="6" t="str">
        <f t="shared" ca="1" si="26"/>
        <v/>
      </c>
      <c r="Q213" s="21" t="str">
        <f>IF($A213="","",IF($C213=0,"",_xlfn.MINIFS('Daily tracking'!$A$2:$A$2001,'Daily tracking'!$D$2:$D$2001,$A213)))</f>
        <v/>
      </c>
      <c r="R213" s="6" t="str">
        <f t="shared" si="27"/>
        <v/>
      </c>
    </row>
    <row r="214" spans="1:18" x14ac:dyDescent="0.3">
      <c r="A214" s="19"/>
      <c r="B214" s="19"/>
      <c r="C214" s="15" t="str">
        <f>IF($A214="","",COUNTIF('Daily tracking'!$D$2:$D$2001,$A214))</f>
        <v/>
      </c>
      <c r="D214" s="16" t="str">
        <f>IF($A214="","",SUMIF('Daily tracking'!$D$2:$D$2001,$A214,'Daily tracking'!$G$2:$G$2001))</f>
        <v/>
      </c>
      <c r="E214" s="18" t="str">
        <f>IF($A214="","",IF($C214=0,"",_xlfn.MAXIFS('Daily tracking'!$A$2:$A$2001,'Daily tracking'!$D$2:$D$2001,$A214)))</f>
        <v/>
      </c>
      <c r="F214" s="6" t="str">
        <f t="shared" ca="1" si="21"/>
        <v/>
      </c>
      <c r="G214" s="3" t="str">
        <f t="shared" si="22"/>
        <v/>
      </c>
      <c r="H214" s="9" t="str">
        <f t="shared" si="23"/>
        <v/>
      </c>
      <c r="I214" s="20"/>
      <c r="J214" s="20"/>
      <c r="K214" s="19"/>
      <c r="L214" s="19"/>
      <c r="M214" s="19"/>
      <c r="N214" s="15" t="str">
        <f t="shared" si="24"/>
        <v/>
      </c>
      <c r="O214" s="3" t="str">
        <f t="shared" si="25"/>
        <v/>
      </c>
      <c r="P214" s="6" t="str">
        <f t="shared" ca="1" si="26"/>
        <v/>
      </c>
      <c r="Q214" s="21" t="str">
        <f>IF($A214="","",IF($C214=0,"",_xlfn.MINIFS('Daily tracking'!$A$2:$A$2001,'Daily tracking'!$D$2:$D$2001,$A214)))</f>
        <v/>
      </c>
      <c r="R214" s="6" t="str">
        <f t="shared" si="27"/>
        <v/>
      </c>
    </row>
    <row r="215" spans="1:18" x14ac:dyDescent="0.3">
      <c r="A215" s="19"/>
      <c r="B215" s="19"/>
      <c r="C215" s="15" t="str">
        <f>IF($A215="","",COUNTIF('Daily tracking'!$D$2:$D$2001,$A215))</f>
        <v/>
      </c>
      <c r="D215" s="16" t="str">
        <f>IF($A215="","",SUMIF('Daily tracking'!$D$2:$D$2001,$A215,'Daily tracking'!$G$2:$G$2001))</f>
        <v/>
      </c>
      <c r="E215" s="18" t="str">
        <f>IF($A215="","",IF($C215=0,"",_xlfn.MAXIFS('Daily tracking'!$A$2:$A$2001,'Daily tracking'!$D$2:$D$2001,$A215)))</f>
        <v/>
      </c>
      <c r="F215" s="6" t="str">
        <f t="shared" ca="1" si="21"/>
        <v/>
      </c>
      <c r="G215" s="3" t="str">
        <f t="shared" si="22"/>
        <v/>
      </c>
      <c r="H215" s="9" t="str">
        <f t="shared" si="23"/>
        <v/>
      </c>
      <c r="I215" s="20"/>
      <c r="J215" s="20"/>
      <c r="K215" s="19"/>
      <c r="L215" s="19"/>
      <c r="M215" s="19"/>
      <c r="N215" s="15" t="str">
        <f t="shared" si="24"/>
        <v/>
      </c>
      <c r="O215" s="3" t="str">
        <f t="shared" si="25"/>
        <v/>
      </c>
      <c r="P215" s="6" t="str">
        <f t="shared" ca="1" si="26"/>
        <v/>
      </c>
      <c r="Q215" s="21" t="str">
        <f>IF($A215="","",IF($C215=0,"",_xlfn.MINIFS('Daily tracking'!$A$2:$A$2001,'Daily tracking'!$D$2:$D$2001,$A215)))</f>
        <v/>
      </c>
      <c r="R215" s="6" t="str">
        <f t="shared" si="27"/>
        <v/>
      </c>
    </row>
    <row r="216" spans="1:18" x14ac:dyDescent="0.3">
      <c r="A216" s="19"/>
      <c r="B216" s="19"/>
      <c r="C216" s="15" t="str">
        <f>IF($A216="","",COUNTIF('Daily tracking'!$D$2:$D$2001,$A216))</f>
        <v/>
      </c>
      <c r="D216" s="16" t="str">
        <f>IF($A216="","",SUMIF('Daily tracking'!$D$2:$D$2001,$A216,'Daily tracking'!$G$2:$G$2001))</f>
        <v/>
      </c>
      <c r="E216" s="18" t="str">
        <f>IF($A216="","",IF($C216=0,"",_xlfn.MAXIFS('Daily tracking'!$A$2:$A$2001,'Daily tracking'!$D$2:$D$2001,$A216)))</f>
        <v/>
      </c>
      <c r="F216" s="6" t="str">
        <f t="shared" ca="1" si="21"/>
        <v/>
      </c>
      <c r="G216" s="3" t="str">
        <f t="shared" si="22"/>
        <v/>
      </c>
      <c r="H216" s="9" t="str">
        <f t="shared" si="23"/>
        <v/>
      </c>
      <c r="I216" s="20"/>
      <c r="J216" s="20"/>
      <c r="K216" s="19"/>
      <c r="L216" s="19"/>
      <c r="M216" s="19"/>
      <c r="N216" s="15" t="str">
        <f t="shared" si="24"/>
        <v/>
      </c>
      <c r="O216" s="3" t="str">
        <f t="shared" si="25"/>
        <v/>
      </c>
      <c r="P216" s="6" t="str">
        <f t="shared" ca="1" si="26"/>
        <v/>
      </c>
      <c r="Q216" s="21" t="str">
        <f>IF($A216="","",IF($C216=0,"",_xlfn.MINIFS('Daily tracking'!$A$2:$A$2001,'Daily tracking'!$D$2:$D$2001,$A216)))</f>
        <v/>
      </c>
      <c r="R216" s="6" t="str">
        <f t="shared" si="27"/>
        <v/>
      </c>
    </row>
    <row r="217" spans="1:18" x14ac:dyDescent="0.3">
      <c r="A217" s="19"/>
      <c r="B217" s="19"/>
      <c r="C217" s="15" t="str">
        <f>IF($A217="","",COUNTIF('Daily tracking'!$D$2:$D$2001,$A217))</f>
        <v/>
      </c>
      <c r="D217" s="16" t="str">
        <f>IF($A217="","",SUMIF('Daily tracking'!$D$2:$D$2001,$A217,'Daily tracking'!$G$2:$G$2001))</f>
        <v/>
      </c>
      <c r="E217" s="18" t="str">
        <f>IF($A217="","",IF($C217=0,"",_xlfn.MAXIFS('Daily tracking'!$A$2:$A$2001,'Daily tracking'!$D$2:$D$2001,$A217)))</f>
        <v/>
      </c>
      <c r="F217" s="6" t="str">
        <f t="shared" ca="1" si="21"/>
        <v/>
      </c>
      <c r="G217" s="3" t="str">
        <f t="shared" si="22"/>
        <v/>
      </c>
      <c r="H217" s="9" t="str">
        <f t="shared" si="23"/>
        <v/>
      </c>
      <c r="I217" s="20"/>
      <c r="J217" s="20"/>
      <c r="K217" s="19"/>
      <c r="L217" s="19"/>
      <c r="M217" s="19"/>
      <c r="N217" s="15" t="str">
        <f t="shared" si="24"/>
        <v/>
      </c>
      <c r="O217" s="3" t="str">
        <f t="shared" si="25"/>
        <v/>
      </c>
      <c r="P217" s="6" t="str">
        <f t="shared" ca="1" si="26"/>
        <v/>
      </c>
      <c r="Q217" s="21" t="str">
        <f>IF($A217="","",IF($C217=0,"",_xlfn.MINIFS('Daily tracking'!$A$2:$A$2001,'Daily tracking'!$D$2:$D$2001,$A217)))</f>
        <v/>
      </c>
      <c r="R217" s="6" t="str">
        <f t="shared" si="27"/>
        <v/>
      </c>
    </row>
    <row r="218" spans="1:18" x14ac:dyDescent="0.3">
      <c r="A218" s="19"/>
      <c r="B218" s="19"/>
      <c r="C218" s="15" t="str">
        <f>IF($A218="","",COUNTIF('Daily tracking'!$D$2:$D$2001,$A218))</f>
        <v/>
      </c>
      <c r="D218" s="16" t="str">
        <f>IF($A218="","",SUMIF('Daily tracking'!$D$2:$D$2001,$A218,'Daily tracking'!$G$2:$G$2001))</f>
        <v/>
      </c>
      <c r="E218" s="18" t="str">
        <f>IF($A218="","",IF($C218=0,"",_xlfn.MAXIFS('Daily tracking'!$A$2:$A$2001,'Daily tracking'!$D$2:$D$2001,$A218)))</f>
        <v/>
      </c>
      <c r="F218" s="6" t="str">
        <f t="shared" ca="1" si="21"/>
        <v/>
      </c>
      <c r="G218" s="3" t="str">
        <f t="shared" si="22"/>
        <v/>
      </c>
      <c r="H218" s="9" t="str">
        <f t="shared" si="23"/>
        <v/>
      </c>
      <c r="I218" s="20"/>
      <c r="J218" s="20"/>
      <c r="K218" s="19"/>
      <c r="L218" s="19"/>
      <c r="M218" s="19"/>
      <c r="N218" s="15" t="str">
        <f t="shared" si="24"/>
        <v/>
      </c>
      <c r="O218" s="3" t="str">
        <f t="shared" si="25"/>
        <v/>
      </c>
      <c r="P218" s="6" t="str">
        <f t="shared" ca="1" si="26"/>
        <v/>
      </c>
      <c r="Q218" s="21" t="str">
        <f>IF($A218="","",IF($C218=0,"",_xlfn.MINIFS('Daily tracking'!$A$2:$A$2001,'Daily tracking'!$D$2:$D$2001,$A218)))</f>
        <v/>
      </c>
      <c r="R218" s="6" t="str">
        <f t="shared" si="27"/>
        <v/>
      </c>
    </row>
    <row r="219" spans="1:18" x14ac:dyDescent="0.3">
      <c r="A219" s="19"/>
      <c r="B219" s="19"/>
      <c r="C219" s="15" t="str">
        <f>IF($A219="","",COUNTIF('Daily tracking'!$D$2:$D$2001,$A219))</f>
        <v/>
      </c>
      <c r="D219" s="16" t="str">
        <f>IF($A219="","",SUMIF('Daily tracking'!$D$2:$D$2001,$A219,'Daily tracking'!$G$2:$G$2001))</f>
        <v/>
      </c>
      <c r="E219" s="18" t="str">
        <f>IF($A219="","",IF($C219=0,"",_xlfn.MAXIFS('Daily tracking'!$A$2:$A$2001,'Daily tracking'!$D$2:$D$2001,$A219)))</f>
        <v/>
      </c>
      <c r="F219" s="6" t="str">
        <f t="shared" ca="1" si="21"/>
        <v/>
      </c>
      <c r="G219" s="3" t="str">
        <f t="shared" si="22"/>
        <v/>
      </c>
      <c r="H219" s="9" t="str">
        <f t="shared" si="23"/>
        <v/>
      </c>
      <c r="I219" s="20"/>
      <c r="J219" s="20"/>
      <c r="K219" s="19"/>
      <c r="L219" s="19"/>
      <c r="M219" s="19"/>
      <c r="N219" s="15" t="str">
        <f t="shared" si="24"/>
        <v/>
      </c>
      <c r="O219" s="3" t="str">
        <f t="shared" si="25"/>
        <v/>
      </c>
      <c r="P219" s="6" t="str">
        <f t="shared" ca="1" si="26"/>
        <v/>
      </c>
      <c r="Q219" s="21" t="str">
        <f>IF($A219="","",IF($C219=0,"",_xlfn.MINIFS('Daily tracking'!$A$2:$A$2001,'Daily tracking'!$D$2:$D$2001,$A219)))</f>
        <v/>
      </c>
      <c r="R219" s="6" t="str">
        <f t="shared" si="27"/>
        <v/>
      </c>
    </row>
    <row r="220" spans="1:18" x14ac:dyDescent="0.3">
      <c r="A220" s="19"/>
      <c r="B220" s="19"/>
      <c r="C220" s="15" t="str">
        <f>IF($A220="","",COUNTIF('Daily tracking'!$D$2:$D$2001,$A220))</f>
        <v/>
      </c>
      <c r="D220" s="16" t="str">
        <f>IF($A220="","",SUMIF('Daily tracking'!$D$2:$D$2001,$A220,'Daily tracking'!$G$2:$G$2001))</f>
        <v/>
      </c>
      <c r="E220" s="18" t="str">
        <f>IF($A220="","",IF($C220=0,"",_xlfn.MAXIFS('Daily tracking'!$A$2:$A$2001,'Daily tracking'!$D$2:$D$2001,$A220)))</f>
        <v/>
      </c>
      <c r="F220" s="6" t="str">
        <f t="shared" ca="1" si="21"/>
        <v/>
      </c>
      <c r="G220" s="3" t="str">
        <f t="shared" si="22"/>
        <v/>
      </c>
      <c r="H220" s="9" t="str">
        <f t="shared" si="23"/>
        <v/>
      </c>
      <c r="I220" s="20"/>
      <c r="J220" s="20"/>
      <c r="K220" s="19"/>
      <c r="L220" s="19"/>
      <c r="M220" s="19"/>
      <c r="N220" s="15" t="str">
        <f t="shared" si="24"/>
        <v/>
      </c>
      <c r="O220" s="3" t="str">
        <f t="shared" si="25"/>
        <v/>
      </c>
      <c r="P220" s="6" t="str">
        <f t="shared" ca="1" si="26"/>
        <v/>
      </c>
      <c r="Q220" s="21" t="str">
        <f>IF($A220="","",IF($C220=0,"",_xlfn.MINIFS('Daily tracking'!$A$2:$A$2001,'Daily tracking'!$D$2:$D$2001,$A220)))</f>
        <v/>
      </c>
      <c r="R220" s="6" t="str">
        <f t="shared" si="27"/>
        <v/>
      </c>
    </row>
    <row r="221" spans="1:18" x14ac:dyDescent="0.3">
      <c r="A221" s="19"/>
      <c r="B221" s="19"/>
      <c r="C221" s="15" t="str">
        <f>IF($A221="","",COUNTIF('Daily tracking'!$D$2:$D$2001,$A221))</f>
        <v/>
      </c>
      <c r="D221" s="16" t="str">
        <f>IF($A221="","",SUMIF('Daily tracking'!$D$2:$D$2001,$A221,'Daily tracking'!$G$2:$G$2001))</f>
        <v/>
      </c>
      <c r="E221" s="18" t="str">
        <f>IF($A221="","",IF($C221=0,"",_xlfn.MAXIFS('Daily tracking'!$A$2:$A$2001,'Daily tracking'!$D$2:$D$2001,$A221)))</f>
        <v/>
      </c>
      <c r="F221" s="6" t="str">
        <f t="shared" ca="1" si="21"/>
        <v/>
      </c>
      <c r="G221" s="3" t="str">
        <f t="shared" si="22"/>
        <v/>
      </c>
      <c r="H221" s="9" t="str">
        <f t="shared" si="23"/>
        <v/>
      </c>
      <c r="I221" s="20"/>
      <c r="J221" s="20"/>
      <c r="K221" s="19"/>
      <c r="L221" s="19"/>
      <c r="M221" s="19"/>
      <c r="N221" s="15" t="str">
        <f t="shared" si="24"/>
        <v/>
      </c>
      <c r="O221" s="3" t="str">
        <f t="shared" si="25"/>
        <v/>
      </c>
      <c r="P221" s="6" t="str">
        <f t="shared" ca="1" si="26"/>
        <v/>
      </c>
      <c r="Q221" s="21" t="str">
        <f>IF($A221="","",IF($C221=0,"",_xlfn.MINIFS('Daily tracking'!$A$2:$A$2001,'Daily tracking'!$D$2:$D$2001,$A221)))</f>
        <v/>
      </c>
      <c r="R221" s="6" t="str">
        <f t="shared" si="27"/>
        <v/>
      </c>
    </row>
    <row r="222" spans="1:18" x14ac:dyDescent="0.3">
      <c r="A222" s="19"/>
      <c r="B222" s="19"/>
      <c r="C222" s="15" t="str">
        <f>IF($A222="","",COUNTIF('Daily tracking'!$D$2:$D$2001,$A222))</f>
        <v/>
      </c>
      <c r="D222" s="16" t="str">
        <f>IF($A222="","",SUMIF('Daily tracking'!$D$2:$D$2001,$A222,'Daily tracking'!$G$2:$G$2001))</f>
        <v/>
      </c>
      <c r="E222" s="18" t="str">
        <f>IF($A222="","",IF($C222=0,"",_xlfn.MAXIFS('Daily tracking'!$A$2:$A$2001,'Daily tracking'!$D$2:$D$2001,$A222)))</f>
        <v/>
      </c>
      <c r="F222" s="6" t="str">
        <f t="shared" ca="1" si="21"/>
        <v/>
      </c>
      <c r="G222" s="3" t="str">
        <f t="shared" si="22"/>
        <v/>
      </c>
      <c r="H222" s="9" t="str">
        <f t="shared" si="23"/>
        <v/>
      </c>
      <c r="I222" s="20"/>
      <c r="J222" s="20"/>
      <c r="K222" s="19"/>
      <c r="L222" s="19"/>
      <c r="M222" s="19"/>
      <c r="N222" s="15" t="str">
        <f t="shared" si="24"/>
        <v/>
      </c>
      <c r="O222" s="3" t="str">
        <f t="shared" si="25"/>
        <v/>
      </c>
      <c r="P222" s="6" t="str">
        <f t="shared" ca="1" si="26"/>
        <v/>
      </c>
      <c r="Q222" s="21" t="str">
        <f>IF($A222="","",IF($C222=0,"",_xlfn.MINIFS('Daily tracking'!$A$2:$A$2001,'Daily tracking'!$D$2:$D$2001,$A222)))</f>
        <v/>
      </c>
      <c r="R222" s="6" t="str">
        <f t="shared" si="27"/>
        <v/>
      </c>
    </row>
    <row r="223" spans="1:18" x14ac:dyDescent="0.3">
      <c r="A223" s="19"/>
      <c r="B223" s="19"/>
      <c r="C223" s="15" t="str">
        <f>IF($A223="","",COUNTIF('Daily tracking'!$D$2:$D$2001,$A223))</f>
        <v/>
      </c>
      <c r="D223" s="16" t="str">
        <f>IF($A223="","",SUMIF('Daily tracking'!$D$2:$D$2001,$A223,'Daily tracking'!$G$2:$G$2001))</f>
        <v/>
      </c>
      <c r="E223" s="18" t="str">
        <f>IF($A223="","",IF($C223=0,"",_xlfn.MAXIFS('Daily tracking'!$A$2:$A$2001,'Daily tracking'!$D$2:$D$2001,$A223)))</f>
        <v/>
      </c>
      <c r="F223" s="6" t="str">
        <f t="shared" ca="1" si="21"/>
        <v/>
      </c>
      <c r="G223" s="3" t="str">
        <f t="shared" si="22"/>
        <v/>
      </c>
      <c r="H223" s="9" t="str">
        <f t="shared" si="23"/>
        <v/>
      </c>
      <c r="I223" s="20"/>
      <c r="J223" s="20"/>
      <c r="K223" s="19"/>
      <c r="L223" s="19"/>
      <c r="M223" s="19"/>
      <c r="N223" s="15" t="str">
        <f t="shared" si="24"/>
        <v/>
      </c>
      <c r="O223" s="3" t="str">
        <f t="shared" si="25"/>
        <v/>
      </c>
      <c r="P223" s="6" t="str">
        <f t="shared" ca="1" si="26"/>
        <v/>
      </c>
      <c r="Q223" s="21" t="str">
        <f>IF($A223="","",IF($C223=0,"",_xlfn.MINIFS('Daily tracking'!$A$2:$A$2001,'Daily tracking'!$D$2:$D$2001,$A223)))</f>
        <v/>
      </c>
      <c r="R223" s="6" t="str">
        <f t="shared" si="27"/>
        <v/>
      </c>
    </row>
    <row r="224" spans="1:18" x14ac:dyDescent="0.3">
      <c r="A224" s="19"/>
      <c r="B224" s="19"/>
      <c r="C224" s="15" t="str">
        <f>IF($A224="","",COUNTIF('Daily tracking'!$D$2:$D$2001,$A224))</f>
        <v/>
      </c>
      <c r="D224" s="16" t="str">
        <f>IF($A224="","",SUMIF('Daily tracking'!$D$2:$D$2001,$A224,'Daily tracking'!$G$2:$G$2001))</f>
        <v/>
      </c>
      <c r="E224" s="18" t="str">
        <f>IF($A224="","",IF($C224=0,"",_xlfn.MAXIFS('Daily tracking'!$A$2:$A$2001,'Daily tracking'!$D$2:$D$2001,$A224)))</f>
        <v/>
      </c>
      <c r="F224" s="6" t="str">
        <f t="shared" ca="1" si="21"/>
        <v/>
      </c>
      <c r="G224" s="3" t="str">
        <f t="shared" si="22"/>
        <v/>
      </c>
      <c r="H224" s="9" t="str">
        <f t="shared" si="23"/>
        <v/>
      </c>
      <c r="I224" s="20"/>
      <c r="J224" s="20"/>
      <c r="K224" s="19"/>
      <c r="L224" s="19"/>
      <c r="M224" s="19"/>
      <c r="N224" s="15" t="str">
        <f t="shared" si="24"/>
        <v/>
      </c>
      <c r="O224" s="3" t="str">
        <f t="shared" si="25"/>
        <v/>
      </c>
      <c r="P224" s="6" t="str">
        <f t="shared" ca="1" si="26"/>
        <v/>
      </c>
      <c r="Q224" s="21" t="str">
        <f>IF($A224="","",IF($C224=0,"",_xlfn.MINIFS('Daily tracking'!$A$2:$A$2001,'Daily tracking'!$D$2:$D$2001,$A224)))</f>
        <v/>
      </c>
      <c r="R224" s="6" t="str">
        <f t="shared" si="27"/>
        <v/>
      </c>
    </row>
    <row r="225" spans="1:18" x14ac:dyDescent="0.3">
      <c r="A225" s="19"/>
      <c r="B225" s="19"/>
      <c r="C225" s="15" t="str">
        <f>IF($A225="","",COUNTIF('Daily tracking'!$D$2:$D$2001,$A225))</f>
        <v/>
      </c>
      <c r="D225" s="16" t="str">
        <f>IF($A225="","",SUMIF('Daily tracking'!$D$2:$D$2001,$A225,'Daily tracking'!$G$2:$G$2001))</f>
        <v/>
      </c>
      <c r="E225" s="18" t="str">
        <f>IF($A225="","",IF($C225=0,"",_xlfn.MAXIFS('Daily tracking'!$A$2:$A$2001,'Daily tracking'!$D$2:$D$2001,$A225)))</f>
        <v/>
      </c>
      <c r="F225" s="6" t="str">
        <f t="shared" ca="1" si="21"/>
        <v/>
      </c>
      <c r="G225" s="3" t="str">
        <f t="shared" si="22"/>
        <v/>
      </c>
      <c r="H225" s="9" t="str">
        <f t="shared" si="23"/>
        <v/>
      </c>
      <c r="I225" s="20"/>
      <c r="J225" s="20"/>
      <c r="K225" s="19"/>
      <c r="L225" s="19"/>
      <c r="M225" s="19"/>
      <c r="N225" s="15" t="str">
        <f t="shared" si="24"/>
        <v/>
      </c>
      <c r="O225" s="3" t="str">
        <f t="shared" si="25"/>
        <v/>
      </c>
      <c r="P225" s="6" t="str">
        <f t="shared" ca="1" si="26"/>
        <v/>
      </c>
      <c r="Q225" s="21" t="str">
        <f>IF($A225="","",IF($C225=0,"",_xlfn.MINIFS('Daily tracking'!$A$2:$A$2001,'Daily tracking'!$D$2:$D$2001,$A225)))</f>
        <v/>
      </c>
      <c r="R225" s="6" t="str">
        <f t="shared" si="27"/>
        <v/>
      </c>
    </row>
    <row r="226" spans="1:18" x14ac:dyDescent="0.3">
      <c r="A226" s="19"/>
      <c r="B226" s="19"/>
      <c r="C226" s="15" t="str">
        <f>IF($A226="","",COUNTIF('Daily tracking'!$D$2:$D$2001,$A226))</f>
        <v/>
      </c>
      <c r="D226" s="16" t="str">
        <f>IF($A226="","",SUMIF('Daily tracking'!$D$2:$D$2001,$A226,'Daily tracking'!$G$2:$G$2001))</f>
        <v/>
      </c>
      <c r="E226" s="18" t="str">
        <f>IF($A226="","",IF($C226=0,"",_xlfn.MAXIFS('Daily tracking'!$A$2:$A$2001,'Daily tracking'!$D$2:$D$2001,$A226)))</f>
        <v/>
      </c>
      <c r="F226" s="6" t="str">
        <f t="shared" ca="1" si="21"/>
        <v/>
      </c>
      <c r="G226" s="3" t="str">
        <f t="shared" si="22"/>
        <v/>
      </c>
      <c r="H226" s="9" t="str">
        <f t="shared" si="23"/>
        <v/>
      </c>
      <c r="I226" s="20"/>
      <c r="J226" s="20"/>
      <c r="K226" s="19"/>
      <c r="L226" s="19"/>
      <c r="M226" s="19"/>
      <c r="N226" s="15" t="str">
        <f t="shared" si="24"/>
        <v/>
      </c>
      <c r="O226" s="3" t="str">
        <f t="shared" si="25"/>
        <v/>
      </c>
      <c r="P226" s="6" t="str">
        <f t="shared" ca="1" si="26"/>
        <v/>
      </c>
      <c r="Q226" s="21" t="str">
        <f>IF($A226="","",IF($C226=0,"",_xlfn.MINIFS('Daily tracking'!$A$2:$A$2001,'Daily tracking'!$D$2:$D$2001,$A226)))</f>
        <v/>
      </c>
      <c r="R226" s="6" t="str">
        <f t="shared" si="27"/>
        <v/>
      </c>
    </row>
    <row r="227" spans="1:18" x14ac:dyDescent="0.3">
      <c r="A227" s="19"/>
      <c r="B227" s="19"/>
      <c r="C227" s="15" t="str">
        <f>IF($A227="","",COUNTIF('Daily tracking'!$D$2:$D$2001,$A227))</f>
        <v/>
      </c>
      <c r="D227" s="16" t="str">
        <f>IF($A227="","",SUMIF('Daily tracking'!$D$2:$D$2001,$A227,'Daily tracking'!$G$2:$G$2001))</f>
        <v/>
      </c>
      <c r="E227" s="18" t="str">
        <f>IF($A227="","",IF($C227=0,"",_xlfn.MAXIFS('Daily tracking'!$A$2:$A$2001,'Daily tracking'!$D$2:$D$2001,$A227)))</f>
        <v/>
      </c>
      <c r="F227" s="6" t="str">
        <f t="shared" ca="1" si="21"/>
        <v/>
      </c>
      <c r="G227" s="3" t="str">
        <f t="shared" si="22"/>
        <v/>
      </c>
      <c r="H227" s="9" t="str">
        <f t="shared" si="23"/>
        <v/>
      </c>
      <c r="I227" s="20"/>
      <c r="J227" s="20"/>
      <c r="K227" s="19"/>
      <c r="L227" s="19"/>
      <c r="M227" s="19"/>
      <c r="N227" s="15" t="str">
        <f t="shared" si="24"/>
        <v/>
      </c>
      <c r="O227" s="3" t="str">
        <f t="shared" si="25"/>
        <v/>
      </c>
      <c r="P227" s="6" t="str">
        <f t="shared" ca="1" si="26"/>
        <v/>
      </c>
      <c r="Q227" s="21" t="str">
        <f>IF($A227="","",IF($C227=0,"",_xlfn.MINIFS('Daily tracking'!$A$2:$A$2001,'Daily tracking'!$D$2:$D$2001,$A227)))</f>
        <v/>
      </c>
      <c r="R227" s="6" t="str">
        <f t="shared" si="27"/>
        <v/>
      </c>
    </row>
    <row r="228" spans="1:18" x14ac:dyDescent="0.3">
      <c r="A228" s="19"/>
      <c r="B228" s="19"/>
      <c r="C228" s="15" t="str">
        <f>IF($A228="","",COUNTIF('Daily tracking'!$D$2:$D$2001,$A228))</f>
        <v/>
      </c>
      <c r="D228" s="16" t="str">
        <f>IF($A228="","",SUMIF('Daily tracking'!$D$2:$D$2001,$A228,'Daily tracking'!$G$2:$G$2001))</f>
        <v/>
      </c>
      <c r="E228" s="18" t="str">
        <f>IF($A228="","",IF($C228=0,"",_xlfn.MAXIFS('Daily tracking'!$A$2:$A$2001,'Daily tracking'!$D$2:$D$2001,$A228)))</f>
        <v/>
      </c>
      <c r="F228" s="6" t="str">
        <f t="shared" ca="1" si="21"/>
        <v/>
      </c>
      <c r="G228" s="3" t="str">
        <f t="shared" si="22"/>
        <v/>
      </c>
      <c r="H228" s="9" t="str">
        <f t="shared" si="23"/>
        <v/>
      </c>
      <c r="I228" s="20"/>
      <c r="J228" s="20"/>
      <c r="K228" s="19"/>
      <c r="L228" s="19"/>
      <c r="M228" s="19"/>
      <c r="N228" s="15" t="str">
        <f t="shared" si="24"/>
        <v/>
      </c>
      <c r="O228" s="3" t="str">
        <f t="shared" si="25"/>
        <v/>
      </c>
      <c r="P228" s="6" t="str">
        <f t="shared" ca="1" si="26"/>
        <v/>
      </c>
      <c r="Q228" s="21" t="str">
        <f>IF($A228="","",IF($C228=0,"",_xlfn.MINIFS('Daily tracking'!$A$2:$A$2001,'Daily tracking'!$D$2:$D$2001,$A228)))</f>
        <v/>
      </c>
      <c r="R228" s="6" t="str">
        <f t="shared" si="27"/>
        <v/>
      </c>
    </row>
    <row r="229" spans="1:18" x14ac:dyDescent="0.3">
      <c r="A229" s="19"/>
      <c r="B229" s="19"/>
      <c r="C229" s="15" t="str">
        <f>IF($A229="","",COUNTIF('Daily tracking'!$D$2:$D$2001,$A229))</f>
        <v/>
      </c>
      <c r="D229" s="16" t="str">
        <f>IF($A229="","",SUMIF('Daily tracking'!$D$2:$D$2001,$A229,'Daily tracking'!$G$2:$G$2001))</f>
        <v/>
      </c>
      <c r="E229" s="18" t="str">
        <f>IF($A229="","",IF($C229=0,"",_xlfn.MAXIFS('Daily tracking'!$A$2:$A$2001,'Daily tracking'!$D$2:$D$2001,$A229)))</f>
        <v/>
      </c>
      <c r="F229" s="6" t="str">
        <f t="shared" ca="1" si="21"/>
        <v/>
      </c>
      <c r="G229" s="3" t="str">
        <f t="shared" si="22"/>
        <v/>
      </c>
      <c r="H229" s="9" t="str">
        <f t="shared" si="23"/>
        <v/>
      </c>
      <c r="I229" s="20"/>
      <c r="J229" s="20"/>
      <c r="K229" s="19"/>
      <c r="L229" s="19"/>
      <c r="M229" s="19"/>
      <c r="N229" s="15" t="str">
        <f t="shared" si="24"/>
        <v/>
      </c>
      <c r="O229" s="3" t="str">
        <f t="shared" si="25"/>
        <v/>
      </c>
      <c r="P229" s="6" t="str">
        <f t="shared" ca="1" si="26"/>
        <v/>
      </c>
      <c r="Q229" s="21" t="str">
        <f>IF($A229="","",IF($C229=0,"",_xlfn.MINIFS('Daily tracking'!$A$2:$A$2001,'Daily tracking'!$D$2:$D$2001,$A229)))</f>
        <v/>
      </c>
      <c r="R229" s="6" t="str">
        <f t="shared" si="27"/>
        <v/>
      </c>
    </row>
    <row r="230" spans="1:18" x14ac:dyDescent="0.3">
      <c r="A230" s="19"/>
      <c r="B230" s="19"/>
      <c r="C230" s="15" t="str">
        <f>IF($A230="","",COUNTIF('Daily tracking'!$D$2:$D$2001,$A230))</f>
        <v/>
      </c>
      <c r="D230" s="16" t="str">
        <f>IF($A230="","",SUMIF('Daily tracking'!$D$2:$D$2001,$A230,'Daily tracking'!$G$2:$G$2001))</f>
        <v/>
      </c>
      <c r="E230" s="18" t="str">
        <f>IF($A230="","",IF($C230=0,"",_xlfn.MAXIFS('Daily tracking'!$A$2:$A$2001,'Daily tracking'!$D$2:$D$2001,$A230)))</f>
        <v/>
      </c>
      <c r="F230" s="6" t="str">
        <f t="shared" ca="1" si="21"/>
        <v/>
      </c>
      <c r="G230" s="3" t="str">
        <f t="shared" si="22"/>
        <v/>
      </c>
      <c r="H230" s="9" t="str">
        <f t="shared" si="23"/>
        <v/>
      </c>
      <c r="I230" s="20"/>
      <c r="J230" s="20"/>
      <c r="K230" s="19"/>
      <c r="L230" s="19"/>
      <c r="M230" s="19"/>
      <c r="N230" s="15" t="str">
        <f t="shared" si="24"/>
        <v/>
      </c>
      <c r="O230" s="3" t="str">
        <f t="shared" si="25"/>
        <v/>
      </c>
      <c r="P230" s="6" t="str">
        <f t="shared" ca="1" si="26"/>
        <v/>
      </c>
      <c r="Q230" s="21" t="str">
        <f>IF($A230="","",IF($C230=0,"",_xlfn.MINIFS('Daily tracking'!$A$2:$A$2001,'Daily tracking'!$D$2:$D$2001,$A230)))</f>
        <v/>
      </c>
      <c r="R230" s="6" t="str">
        <f t="shared" si="27"/>
        <v/>
      </c>
    </row>
    <row r="231" spans="1:18" x14ac:dyDescent="0.3">
      <c r="A231" s="19"/>
      <c r="B231" s="19"/>
      <c r="C231" s="15" t="str">
        <f>IF($A231="","",COUNTIF('Daily tracking'!$D$2:$D$2001,$A231))</f>
        <v/>
      </c>
      <c r="D231" s="16" t="str">
        <f>IF($A231="","",SUMIF('Daily tracking'!$D$2:$D$2001,$A231,'Daily tracking'!$G$2:$G$2001))</f>
        <v/>
      </c>
      <c r="E231" s="18" t="str">
        <f>IF($A231="","",IF($C231=0,"",_xlfn.MAXIFS('Daily tracking'!$A$2:$A$2001,'Daily tracking'!$D$2:$D$2001,$A231)))</f>
        <v/>
      </c>
      <c r="F231" s="6" t="str">
        <f t="shared" ca="1" si="21"/>
        <v/>
      </c>
      <c r="G231" s="3" t="str">
        <f t="shared" si="22"/>
        <v/>
      </c>
      <c r="H231" s="9" t="str">
        <f t="shared" si="23"/>
        <v/>
      </c>
      <c r="I231" s="20"/>
      <c r="J231" s="20"/>
      <c r="K231" s="19"/>
      <c r="L231" s="19"/>
      <c r="M231" s="19"/>
      <c r="N231" s="15" t="str">
        <f t="shared" si="24"/>
        <v/>
      </c>
      <c r="O231" s="3" t="str">
        <f t="shared" si="25"/>
        <v/>
      </c>
      <c r="P231" s="6" t="str">
        <f t="shared" ca="1" si="26"/>
        <v/>
      </c>
      <c r="Q231" s="21" t="str">
        <f>IF($A231="","",IF($C231=0,"",_xlfn.MINIFS('Daily tracking'!$A$2:$A$2001,'Daily tracking'!$D$2:$D$2001,$A231)))</f>
        <v/>
      </c>
      <c r="R231" s="6" t="str">
        <f t="shared" si="27"/>
        <v/>
      </c>
    </row>
    <row r="232" spans="1:18" x14ac:dyDescent="0.3">
      <c r="A232" s="19"/>
      <c r="B232" s="19"/>
      <c r="C232" s="15" t="str">
        <f>IF($A232="","",COUNTIF('Daily tracking'!$D$2:$D$2001,$A232))</f>
        <v/>
      </c>
      <c r="D232" s="16" t="str">
        <f>IF($A232="","",SUMIF('Daily tracking'!$D$2:$D$2001,$A232,'Daily tracking'!$G$2:$G$2001))</f>
        <v/>
      </c>
      <c r="E232" s="18" t="str">
        <f>IF($A232="","",IF($C232=0,"",_xlfn.MAXIFS('Daily tracking'!$A$2:$A$2001,'Daily tracking'!$D$2:$D$2001,$A232)))</f>
        <v/>
      </c>
      <c r="F232" s="6" t="str">
        <f t="shared" ca="1" si="21"/>
        <v/>
      </c>
      <c r="G232" s="3" t="str">
        <f t="shared" si="22"/>
        <v/>
      </c>
      <c r="H232" s="9" t="str">
        <f t="shared" si="23"/>
        <v/>
      </c>
      <c r="I232" s="20"/>
      <c r="J232" s="20"/>
      <c r="K232" s="19"/>
      <c r="L232" s="19"/>
      <c r="M232" s="19"/>
      <c r="N232" s="15" t="str">
        <f t="shared" si="24"/>
        <v/>
      </c>
      <c r="O232" s="3" t="str">
        <f t="shared" si="25"/>
        <v/>
      </c>
      <c r="P232" s="6" t="str">
        <f t="shared" ca="1" si="26"/>
        <v/>
      </c>
      <c r="Q232" s="21" t="str">
        <f>IF($A232="","",IF($C232=0,"",_xlfn.MINIFS('Daily tracking'!$A$2:$A$2001,'Daily tracking'!$D$2:$D$2001,$A232)))</f>
        <v/>
      </c>
      <c r="R232" s="6" t="str">
        <f t="shared" si="27"/>
        <v/>
      </c>
    </row>
    <row r="233" spans="1:18" x14ac:dyDescent="0.3">
      <c r="A233" s="19"/>
      <c r="B233" s="19"/>
      <c r="C233" s="15" t="str">
        <f>IF($A233="","",COUNTIF('Daily tracking'!$D$2:$D$2001,$A233))</f>
        <v/>
      </c>
      <c r="D233" s="16" t="str">
        <f>IF($A233="","",SUMIF('Daily tracking'!$D$2:$D$2001,$A233,'Daily tracking'!$G$2:$G$2001))</f>
        <v/>
      </c>
      <c r="E233" s="18" t="str">
        <f>IF($A233="","",IF($C233=0,"",_xlfn.MAXIFS('Daily tracking'!$A$2:$A$2001,'Daily tracking'!$D$2:$D$2001,$A233)))</f>
        <v/>
      </c>
      <c r="F233" s="6" t="str">
        <f t="shared" ca="1" si="21"/>
        <v/>
      </c>
      <c r="G233" s="3" t="str">
        <f t="shared" si="22"/>
        <v/>
      </c>
      <c r="H233" s="9" t="str">
        <f t="shared" si="23"/>
        <v/>
      </c>
      <c r="I233" s="20"/>
      <c r="J233" s="20"/>
      <c r="K233" s="19"/>
      <c r="L233" s="19"/>
      <c r="M233" s="19"/>
      <c r="N233" s="15" t="str">
        <f t="shared" si="24"/>
        <v/>
      </c>
      <c r="O233" s="3" t="str">
        <f t="shared" si="25"/>
        <v/>
      </c>
      <c r="P233" s="6" t="str">
        <f t="shared" ca="1" si="26"/>
        <v/>
      </c>
      <c r="Q233" s="21" t="str">
        <f>IF($A233="","",IF($C233=0,"",_xlfn.MINIFS('Daily tracking'!$A$2:$A$2001,'Daily tracking'!$D$2:$D$2001,$A233)))</f>
        <v/>
      </c>
      <c r="R233" s="6" t="str">
        <f t="shared" si="27"/>
        <v/>
      </c>
    </row>
    <row r="234" spans="1:18" x14ac:dyDescent="0.3">
      <c r="A234" s="19"/>
      <c r="B234" s="19"/>
      <c r="C234" s="15" t="str">
        <f>IF($A234="","",COUNTIF('Daily tracking'!$D$2:$D$2001,$A234))</f>
        <v/>
      </c>
      <c r="D234" s="16" t="str">
        <f>IF($A234="","",SUMIF('Daily tracking'!$D$2:$D$2001,$A234,'Daily tracking'!$G$2:$G$2001))</f>
        <v/>
      </c>
      <c r="E234" s="18" t="str">
        <f>IF($A234="","",IF($C234=0,"",_xlfn.MAXIFS('Daily tracking'!$A$2:$A$2001,'Daily tracking'!$D$2:$D$2001,$A234)))</f>
        <v/>
      </c>
      <c r="F234" s="6" t="str">
        <f t="shared" ca="1" si="21"/>
        <v/>
      </c>
      <c r="G234" s="3" t="str">
        <f t="shared" si="22"/>
        <v/>
      </c>
      <c r="H234" s="9" t="str">
        <f t="shared" si="23"/>
        <v/>
      </c>
      <c r="I234" s="20"/>
      <c r="J234" s="20"/>
      <c r="K234" s="19"/>
      <c r="L234" s="19"/>
      <c r="M234" s="19"/>
      <c r="N234" s="15" t="str">
        <f t="shared" si="24"/>
        <v/>
      </c>
      <c r="O234" s="3" t="str">
        <f t="shared" si="25"/>
        <v/>
      </c>
      <c r="P234" s="6" t="str">
        <f t="shared" ca="1" si="26"/>
        <v/>
      </c>
      <c r="Q234" s="21" t="str">
        <f>IF($A234="","",IF($C234=0,"",_xlfn.MINIFS('Daily tracking'!$A$2:$A$2001,'Daily tracking'!$D$2:$D$2001,$A234)))</f>
        <v/>
      </c>
      <c r="R234" s="6" t="str">
        <f t="shared" si="27"/>
        <v/>
      </c>
    </row>
    <row r="235" spans="1:18" x14ac:dyDescent="0.3">
      <c r="A235" s="19"/>
      <c r="B235" s="19"/>
      <c r="C235" s="15" t="str">
        <f>IF($A235="","",COUNTIF('Daily tracking'!$D$2:$D$2001,$A235))</f>
        <v/>
      </c>
      <c r="D235" s="16" t="str">
        <f>IF($A235="","",SUMIF('Daily tracking'!$D$2:$D$2001,$A235,'Daily tracking'!$G$2:$G$2001))</f>
        <v/>
      </c>
      <c r="E235" s="18" t="str">
        <f>IF($A235="","",IF($C235=0,"",_xlfn.MAXIFS('Daily tracking'!$A$2:$A$2001,'Daily tracking'!$D$2:$D$2001,$A235)))</f>
        <v/>
      </c>
      <c r="F235" s="6" t="str">
        <f t="shared" ca="1" si="21"/>
        <v/>
      </c>
      <c r="G235" s="3" t="str">
        <f t="shared" si="22"/>
        <v/>
      </c>
      <c r="H235" s="9" t="str">
        <f t="shared" si="23"/>
        <v/>
      </c>
      <c r="I235" s="20"/>
      <c r="J235" s="20"/>
      <c r="K235" s="19"/>
      <c r="L235" s="19"/>
      <c r="M235" s="19"/>
      <c r="N235" s="15" t="str">
        <f t="shared" si="24"/>
        <v/>
      </c>
      <c r="O235" s="3" t="str">
        <f t="shared" si="25"/>
        <v/>
      </c>
      <c r="P235" s="6" t="str">
        <f t="shared" ca="1" si="26"/>
        <v/>
      </c>
      <c r="Q235" s="21" t="str">
        <f>IF($A235="","",IF($C235=0,"",_xlfn.MINIFS('Daily tracking'!$A$2:$A$2001,'Daily tracking'!$D$2:$D$2001,$A235)))</f>
        <v/>
      </c>
      <c r="R235" s="6" t="str">
        <f t="shared" si="27"/>
        <v/>
      </c>
    </row>
    <row r="236" spans="1:18" x14ac:dyDescent="0.3">
      <c r="A236" s="19"/>
      <c r="B236" s="19"/>
      <c r="C236" s="15" t="str">
        <f>IF($A236="","",COUNTIF('Daily tracking'!$D$2:$D$2001,$A236))</f>
        <v/>
      </c>
      <c r="D236" s="16" t="str">
        <f>IF($A236="","",SUMIF('Daily tracking'!$D$2:$D$2001,$A236,'Daily tracking'!$G$2:$G$2001))</f>
        <v/>
      </c>
      <c r="E236" s="18" t="str">
        <f>IF($A236="","",IF($C236=0,"",_xlfn.MAXIFS('Daily tracking'!$A$2:$A$2001,'Daily tracking'!$D$2:$D$2001,$A236)))</f>
        <v/>
      </c>
      <c r="F236" s="6" t="str">
        <f t="shared" ca="1" si="21"/>
        <v/>
      </c>
      <c r="G236" s="3" t="str">
        <f t="shared" si="22"/>
        <v/>
      </c>
      <c r="H236" s="9" t="str">
        <f t="shared" si="23"/>
        <v/>
      </c>
      <c r="I236" s="20"/>
      <c r="J236" s="20"/>
      <c r="K236" s="19"/>
      <c r="L236" s="19"/>
      <c r="M236" s="19"/>
      <c r="N236" s="15" t="str">
        <f t="shared" si="24"/>
        <v/>
      </c>
      <c r="O236" s="3" t="str">
        <f t="shared" si="25"/>
        <v/>
      </c>
      <c r="P236" s="6" t="str">
        <f t="shared" ca="1" si="26"/>
        <v/>
      </c>
      <c r="Q236" s="21" t="str">
        <f>IF($A236="","",IF($C236=0,"",_xlfn.MINIFS('Daily tracking'!$A$2:$A$2001,'Daily tracking'!$D$2:$D$2001,$A236)))</f>
        <v/>
      </c>
      <c r="R236" s="6" t="str">
        <f t="shared" si="27"/>
        <v/>
      </c>
    </row>
    <row r="237" spans="1:18" x14ac:dyDescent="0.3">
      <c r="A237" s="19"/>
      <c r="B237" s="19"/>
      <c r="C237" s="15" t="str">
        <f>IF($A237="","",COUNTIF('Daily tracking'!$D$2:$D$2001,$A237))</f>
        <v/>
      </c>
      <c r="D237" s="16" t="str">
        <f>IF($A237="","",SUMIF('Daily tracking'!$D$2:$D$2001,$A237,'Daily tracking'!$G$2:$G$2001))</f>
        <v/>
      </c>
      <c r="E237" s="18" t="str">
        <f>IF($A237="","",IF($C237=0,"",_xlfn.MAXIFS('Daily tracking'!$A$2:$A$2001,'Daily tracking'!$D$2:$D$2001,$A237)))</f>
        <v/>
      </c>
      <c r="F237" s="6" t="str">
        <f t="shared" ca="1" si="21"/>
        <v/>
      </c>
      <c r="G237" s="3" t="str">
        <f t="shared" si="22"/>
        <v/>
      </c>
      <c r="H237" s="9" t="str">
        <f t="shared" si="23"/>
        <v/>
      </c>
      <c r="I237" s="20"/>
      <c r="J237" s="20"/>
      <c r="K237" s="19"/>
      <c r="L237" s="19"/>
      <c r="M237" s="19"/>
      <c r="N237" s="15" t="str">
        <f t="shared" si="24"/>
        <v/>
      </c>
      <c r="O237" s="3" t="str">
        <f t="shared" si="25"/>
        <v/>
      </c>
      <c r="P237" s="6" t="str">
        <f t="shared" ca="1" si="26"/>
        <v/>
      </c>
      <c r="Q237" s="21" t="str">
        <f>IF($A237="","",IF($C237=0,"",_xlfn.MINIFS('Daily tracking'!$A$2:$A$2001,'Daily tracking'!$D$2:$D$2001,$A237)))</f>
        <v/>
      </c>
      <c r="R237" s="6" t="str">
        <f t="shared" si="27"/>
        <v/>
      </c>
    </row>
    <row r="238" spans="1:18" x14ac:dyDescent="0.3">
      <c r="A238" s="19"/>
      <c r="B238" s="19"/>
      <c r="C238" s="15" t="str">
        <f>IF($A238="","",COUNTIF('Daily tracking'!$D$2:$D$2001,$A238))</f>
        <v/>
      </c>
      <c r="D238" s="16" t="str">
        <f>IF($A238="","",SUMIF('Daily tracking'!$D$2:$D$2001,$A238,'Daily tracking'!$G$2:$G$2001))</f>
        <v/>
      </c>
      <c r="E238" s="18" t="str">
        <f>IF($A238="","",IF($C238=0,"",_xlfn.MAXIFS('Daily tracking'!$A$2:$A$2001,'Daily tracking'!$D$2:$D$2001,$A238)))</f>
        <v/>
      </c>
      <c r="F238" s="6" t="str">
        <f t="shared" ca="1" si="21"/>
        <v/>
      </c>
      <c r="G238" s="3" t="str">
        <f t="shared" si="22"/>
        <v/>
      </c>
      <c r="H238" s="9" t="str">
        <f t="shared" si="23"/>
        <v/>
      </c>
      <c r="I238" s="20"/>
      <c r="J238" s="20"/>
      <c r="K238" s="19"/>
      <c r="L238" s="19"/>
      <c r="M238" s="19"/>
      <c r="N238" s="15" t="str">
        <f t="shared" si="24"/>
        <v/>
      </c>
      <c r="O238" s="3" t="str">
        <f t="shared" si="25"/>
        <v/>
      </c>
      <c r="P238" s="6" t="str">
        <f t="shared" ca="1" si="26"/>
        <v/>
      </c>
      <c r="Q238" s="21" t="str">
        <f>IF($A238="","",IF($C238=0,"",_xlfn.MINIFS('Daily tracking'!$A$2:$A$2001,'Daily tracking'!$D$2:$D$2001,$A238)))</f>
        <v/>
      </c>
      <c r="R238" s="6" t="str">
        <f t="shared" si="27"/>
        <v/>
      </c>
    </row>
    <row r="239" spans="1:18" x14ac:dyDescent="0.3">
      <c r="A239" s="19"/>
      <c r="B239" s="19"/>
      <c r="C239" s="15" t="str">
        <f>IF($A239="","",COUNTIF('Daily tracking'!$D$2:$D$2001,$A239))</f>
        <v/>
      </c>
      <c r="D239" s="16" t="str">
        <f>IF($A239="","",SUMIF('Daily tracking'!$D$2:$D$2001,$A239,'Daily tracking'!$G$2:$G$2001))</f>
        <v/>
      </c>
      <c r="E239" s="18" t="str">
        <f>IF($A239="","",IF($C239=0,"",_xlfn.MAXIFS('Daily tracking'!$A$2:$A$2001,'Daily tracking'!$D$2:$D$2001,$A239)))</f>
        <v/>
      </c>
      <c r="F239" s="6" t="str">
        <f t="shared" ca="1" si="21"/>
        <v/>
      </c>
      <c r="G239" s="3" t="str">
        <f t="shared" si="22"/>
        <v/>
      </c>
      <c r="H239" s="9" t="str">
        <f t="shared" si="23"/>
        <v/>
      </c>
      <c r="I239" s="20"/>
      <c r="J239" s="20"/>
      <c r="K239" s="19"/>
      <c r="L239" s="19"/>
      <c r="M239" s="19"/>
      <c r="N239" s="15" t="str">
        <f t="shared" si="24"/>
        <v/>
      </c>
      <c r="O239" s="3" t="str">
        <f t="shared" si="25"/>
        <v/>
      </c>
      <c r="P239" s="6" t="str">
        <f t="shared" ca="1" si="26"/>
        <v/>
      </c>
      <c r="Q239" s="21" t="str">
        <f>IF($A239="","",IF($C239=0,"",_xlfn.MINIFS('Daily tracking'!$A$2:$A$2001,'Daily tracking'!$D$2:$D$2001,$A239)))</f>
        <v/>
      </c>
      <c r="R239" s="6" t="str">
        <f t="shared" si="27"/>
        <v/>
      </c>
    </row>
    <row r="240" spans="1:18" x14ac:dyDescent="0.3">
      <c r="A240" s="19"/>
      <c r="B240" s="19"/>
      <c r="C240" s="15" t="str">
        <f>IF($A240="","",COUNTIF('Daily tracking'!$D$2:$D$2001,$A240))</f>
        <v/>
      </c>
      <c r="D240" s="16" t="str">
        <f>IF($A240="","",SUMIF('Daily tracking'!$D$2:$D$2001,$A240,'Daily tracking'!$G$2:$G$2001))</f>
        <v/>
      </c>
      <c r="E240" s="18" t="str">
        <f>IF($A240="","",IF($C240=0,"",_xlfn.MAXIFS('Daily tracking'!$A$2:$A$2001,'Daily tracking'!$D$2:$D$2001,$A240)))</f>
        <v/>
      </c>
      <c r="F240" s="6" t="str">
        <f t="shared" ca="1" si="21"/>
        <v/>
      </c>
      <c r="G240" s="3" t="str">
        <f t="shared" si="22"/>
        <v/>
      </c>
      <c r="H240" s="9" t="str">
        <f t="shared" si="23"/>
        <v/>
      </c>
      <c r="I240" s="20"/>
      <c r="J240" s="20"/>
      <c r="K240" s="19"/>
      <c r="L240" s="19"/>
      <c r="M240" s="19"/>
      <c r="N240" s="15" t="str">
        <f t="shared" si="24"/>
        <v/>
      </c>
      <c r="O240" s="3" t="str">
        <f t="shared" si="25"/>
        <v/>
      </c>
      <c r="P240" s="6" t="str">
        <f t="shared" ca="1" si="26"/>
        <v/>
      </c>
      <c r="Q240" s="21" t="str">
        <f>IF($A240="","",IF($C240=0,"",_xlfn.MINIFS('Daily tracking'!$A$2:$A$2001,'Daily tracking'!$D$2:$D$2001,$A240)))</f>
        <v/>
      </c>
      <c r="R240" s="6" t="str">
        <f t="shared" si="27"/>
        <v/>
      </c>
    </row>
    <row r="241" spans="1:18" x14ac:dyDescent="0.3">
      <c r="A241" s="19"/>
      <c r="B241" s="19"/>
      <c r="C241" s="15" t="str">
        <f>IF($A241="","",COUNTIF('Daily tracking'!$D$2:$D$2001,$A241))</f>
        <v/>
      </c>
      <c r="D241" s="16" t="str">
        <f>IF($A241="","",SUMIF('Daily tracking'!$D$2:$D$2001,$A241,'Daily tracking'!$G$2:$G$2001))</f>
        <v/>
      </c>
      <c r="E241" s="18" t="str">
        <f>IF($A241="","",IF($C241=0,"",_xlfn.MAXIFS('Daily tracking'!$A$2:$A$2001,'Daily tracking'!$D$2:$D$2001,$A241)))</f>
        <v/>
      </c>
      <c r="F241" s="6" t="str">
        <f t="shared" ca="1" si="21"/>
        <v/>
      </c>
      <c r="G241" s="3" t="str">
        <f t="shared" si="22"/>
        <v/>
      </c>
      <c r="H241" s="9" t="str">
        <f t="shared" si="23"/>
        <v/>
      </c>
      <c r="I241" s="20"/>
      <c r="J241" s="20"/>
      <c r="K241" s="19"/>
      <c r="L241" s="19"/>
      <c r="M241" s="19"/>
      <c r="N241" s="15" t="str">
        <f t="shared" si="24"/>
        <v/>
      </c>
      <c r="O241" s="3" t="str">
        <f t="shared" si="25"/>
        <v/>
      </c>
      <c r="P241" s="6" t="str">
        <f t="shared" ca="1" si="26"/>
        <v/>
      </c>
      <c r="Q241" s="21" t="str">
        <f>IF($A241="","",IF($C241=0,"",_xlfn.MINIFS('Daily tracking'!$A$2:$A$2001,'Daily tracking'!$D$2:$D$2001,$A241)))</f>
        <v/>
      </c>
      <c r="R241" s="6" t="str">
        <f t="shared" si="27"/>
        <v/>
      </c>
    </row>
    <row r="242" spans="1:18" x14ac:dyDescent="0.3">
      <c r="A242" s="19"/>
      <c r="B242" s="19"/>
      <c r="C242" s="15" t="str">
        <f>IF($A242="","",COUNTIF('Daily tracking'!$D$2:$D$2001,$A242))</f>
        <v/>
      </c>
      <c r="D242" s="16" t="str">
        <f>IF($A242="","",SUMIF('Daily tracking'!$D$2:$D$2001,$A242,'Daily tracking'!$G$2:$G$2001))</f>
        <v/>
      </c>
      <c r="E242" s="18" t="str">
        <f>IF($A242="","",IF($C242=0,"",_xlfn.MAXIFS('Daily tracking'!$A$2:$A$2001,'Daily tracking'!$D$2:$D$2001,$A242)))</f>
        <v/>
      </c>
      <c r="F242" s="6" t="str">
        <f t="shared" ca="1" si="21"/>
        <v/>
      </c>
      <c r="G242" s="3" t="str">
        <f t="shared" si="22"/>
        <v/>
      </c>
      <c r="H242" s="9" t="str">
        <f t="shared" si="23"/>
        <v/>
      </c>
      <c r="I242" s="20"/>
      <c r="J242" s="20"/>
      <c r="K242" s="19"/>
      <c r="L242" s="19"/>
      <c r="M242" s="19"/>
      <c r="N242" s="15" t="str">
        <f t="shared" si="24"/>
        <v/>
      </c>
      <c r="O242" s="3" t="str">
        <f t="shared" si="25"/>
        <v/>
      </c>
      <c r="P242" s="6" t="str">
        <f t="shared" ca="1" si="26"/>
        <v/>
      </c>
      <c r="Q242" s="21" t="str">
        <f>IF($A242="","",IF($C242=0,"",_xlfn.MINIFS('Daily tracking'!$A$2:$A$2001,'Daily tracking'!$D$2:$D$2001,$A242)))</f>
        <v/>
      </c>
      <c r="R242" s="6" t="str">
        <f t="shared" si="27"/>
        <v/>
      </c>
    </row>
    <row r="243" spans="1:18" x14ac:dyDescent="0.3">
      <c r="A243" s="19"/>
      <c r="B243" s="19"/>
      <c r="C243" s="15" t="str">
        <f>IF($A243="","",COUNTIF('Daily tracking'!$D$2:$D$2001,$A243))</f>
        <v/>
      </c>
      <c r="D243" s="16" t="str">
        <f>IF($A243="","",SUMIF('Daily tracking'!$D$2:$D$2001,$A243,'Daily tracking'!$G$2:$G$2001))</f>
        <v/>
      </c>
      <c r="E243" s="18" t="str">
        <f>IF($A243="","",IF($C243=0,"",_xlfn.MAXIFS('Daily tracking'!$A$2:$A$2001,'Daily tracking'!$D$2:$D$2001,$A243)))</f>
        <v/>
      </c>
      <c r="F243" s="6" t="str">
        <f t="shared" ca="1" si="21"/>
        <v/>
      </c>
      <c r="G243" s="3" t="str">
        <f t="shared" si="22"/>
        <v/>
      </c>
      <c r="H243" s="9" t="str">
        <f t="shared" si="23"/>
        <v/>
      </c>
      <c r="I243" s="20"/>
      <c r="J243" s="20"/>
      <c r="K243" s="19"/>
      <c r="L243" s="19"/>
      <c r="M243" s="19"/>
      <c r="N243" s="15" t="str">
        <f t="shared" si="24"/>
        <v/>
      </c>
      <c r="O243" s="3" t="str">
        <f t="shared" si="25"/>
        <v/>
      </c>
      <c r="P243" s="6" t="str">
        <f t="shared" ca="1" si="26"/>
        <v/>
      </c>
      <c r="Q243" s="21" t="str">
        <f>IF($A243="","",IF($C243=0,"",_xlfn.MINIFS('Daily tracking'!$A$2:$A$2001,'Daily tracking'!$D$2:$D$2001,$A243)))</f>
        <v/>
      </c>
      <c r="R243" s="6" t="str">
        <f t="shared" si="27"/>
        <v/>
      </c>
    </row>
    <row r="244" spans="1:18" x14ac:dyDescent="0.3">
      <c r="A244" s="19"/>
      <c r="B244" s="19"/>
      <c r="C244" s="15" t="str">
        <f>IF($A244="","",COUNTIF('Daily tracking'!$D$2:$D$2001,$A244))</f>
        <v/>
      </c>
      <c r="D244" s="16" t="str">
        <f>IF($A244="","",SUMIF('Daily tracking'!$D$2:$D$2001,$A244,'Daily tracking'!$G$2:$G$2001))</f>
        <v/>
      </c>
      <c r="E244" s="18" t="str">
        <f>IF($A244="","",IF($C244=0,"",_xlfn.MAXIFS('Daily tracking'!$A$2:$A$2001,'Daily tracking'!$D$2:$D$2001,$A244)))</f>
        <v/>
      </c>
      <c r="F244" s="6" t="str">
        <f t="shared" ca="1" si="21"/>
        <v/>
      </c>
      <c r="G244" s="3" t="str">
        <f t="shared" si="22"/>
        <v/>
      </c>
      <c r="H244" s="9" t="str">
        <f t="shared" si="23"/>
        <v/>
      </c>
      <c r="I244" s="20"/>
      <c r="J244" s="20"/>
      <c r="K244" s="19"/>
      <c r="L244" s="19"/>
      <c r="M244" s="19"/>
      <c r="N244" s="15" t="str">
        <f t="shared" si="24"/>
        <v/>
      </c>
      <c r="O244" s="3" t="str">
        <f t="shared" si="25"/>
        <v/>
      </c>
      <c r="P244" s="6" t="str">
        <f t="shared" ca="1" si="26"/>
        <v/>
      </c>
      <c r="Q244" s="21" t="str">
        <f>IF($A244="","",IF($C244=0,"",_xlfn.MINIFS('Daily tracking'!$A$2:$A$2001,'Daily tracking'!$D$2:$D$2001,$A244)))</f>
        <v/>
      </c>
      <c r="R244" s="6" t="str">
        <f t="shared" si="27"/>
        <v/>
      </c>
    </row>
    <row r="245" spans="1:18" x14ac:dyDescent="0.3">
      <c r="A245" s="19"/>
      <c r="B245" s="19"/>
      <c r="C245" s="15" t="str">
        <f>IF($A245="","",COUNTIF('Daily tracking'!$D$2:$D$2001,$A245))</f>
        <v/>
      </c>
      <c r="D245" s="16" t="str">
        <f>IF($A245="","",SUMIF('Daily tracking'!$D$2:$D$2001,$A245,'Daily tracking'!$G$2:$G$2001))</f>
        <v/>
      </c>
      <c r="E245" s="18" t="str">
        <f>IF($A245="","",IF($C245=0,"",_xlfn.MAXIFS('Daily tracking'!$A$2:$A$2001,'Daily tracking'!$D$2:$D$2001,$A245)))</f>
        <v/>
      </c>
      <c r="F245" s="6" t="str">
        <f t="shared" ca="1" si="21"/>
        <v/>
      </c>
      <c r="G245" s="3" t="str">
        <f t="shared" si="22"/>
        <v/>
      </c>
      <c r="H245" s="9" t="str">
        <f t="shared" si="23"/>
        <v/>
      </c>
      <c r="I245" s="20"/>
      <c r="J245" s="20"/>
      <c r="K245" s="19"/>
      <c r="L245" s="19"/>
      <c r="M245" s="19"/>
      <c r="N245" s="15" t="str">
        <f t="shared" si="24"/>
        <v/>
      </c>
      <c r="O245" s="3" t="str">
        <f t="shared" si="25"/>
        <v/>
      </c>
      <c r="P245" s="6" t="str">
        <f t="shared" ca="1" si="26"/>
        <v/>
      </c>
      <c r="Q245" s="21" t="str">
        <f>IF($A245="","",IF($C245=0,"",_xlfn.MINIFS('Daily tracking'!$A$2:$A$2001,'Daily tracking'!$D$2:$D$2001,$A245)))</f>
        <v/>
      </c>
      <c r="R245" s="6" t="str">
        <f t="shared" si="27"/>
        <v/>
      </c>
    </row>
    <row r="246" spans="1:18" x14ac:dyDescent="0.3">
      <c r="A246" s="19"/>
      <c r="B246" s="19"/>
      <c r="C246" s="15" t="str">
        <f>IF($A246="","",COUNTIF('Daily tracking'!$D$2:$D$2001,$A246))</f>
        <v/>
      </c>
      <c r="D246" s="16" t="str">
        <f>IF($A246="","",SUMIF('Daily tracking'!$D$2:$D$2001,$A246,'Daily tracking'!$G$2:$G$2001))</f>
        <v/>
      </c>
      <c r="E246" s="18" t="str">
        <f>IF($A246="","",IF($C246=0,"",_xlfn.MAXIFS('Daily tracking'!$A$2:$A$2001,'Daily tracking'!$D$2:$D$2001,$A246)))</f>
        <v/>
      </c>
      <c r="F246" s="6" t="str">
        <f t="shared" ca="1" si="21"/>
        <v/>
      </c>
      <c r="G246" s="3" t="str">
        <f t="shared" si="22"/>
        <v/>
      </c>
      <c r="H246" s="9" t="str">
        <f t="shared" si="23"/>
        <v/>
      </c>
      <c r="I246" s="20"/>
      <c r="J246" s="20"/>
      <c r="K246" s="19"/>
      <c r="L246" s="19"/>
      <c r="M246" s="19"/>
      <c r="N246" s="15" t="str">
        <f t="shared" si="24"/>
        <v/>
      </c>
      <c r="O246" s="3" t="str">
        <f t="shared" si="25"/>
        <v/>
      </c>
      <c r="P246" s="6" t="str">
        <f t="shared" ca="1" si="26"/>
        <v/>
      </c>
      <c r="Q246" s="21" t="str">
        <f>IF($A246="","",IF($C246=0,"",_xlfn.MINIFS('Daily tracking'!$A$2:$A$2001,'Daily tracking'!$D$2:$D$2001,$A246)))</f>
        <v/>
      </c>
      <c r="R246" s="6" t="str">
        <f t="shared" si="27"/>
        <v/>
      </c>
    </row>
    <row r="247" spans="1:18" x14ac:dyDescent="0.3">
      <c r="A247" s="19"/>
      <c r="B247" s="19"/>
      <c r="C247" s="15" t="str">
        <f>IF($A247="","",COUNTIF('Daily tracking'!$D$2:$D$2001,$A247))</f>
        <v/>
      </c>
      <c r="D247" s="16" t="str">
        <f>IF($A247="","",SUMIF('Daily tracking'!$D$2:$D$2001,$A247,'Daily tracking'!$G$2:$G$2001))</f>
        <v/>
      </c>
      <c r="E247" s="18" t="str">
        <f>IF($A247="","",IF($C247=0,"",_xlfn.MAXIFS('Daily tracking'!$A$2:$A$2001,'Daily tracking'!$D$2:$D$2001,$A247)))</f>
        <v/>
      </c>
      <c r="F247" s="6" t="str">
        <f t="shared" ca="1" si="21"/>
        <v/>
      </c>
      <c r="G247" s="3" t="str">
        <f t="shared" si="22"/>
        <v/>
      </c>
      <c r="H247" s="9" t="str">
        <f t="shared" si="23"/>
        <v/>
      </c>
      <c r="I247" s="20"/>
      <c r="J247" s="20"/>
      <c r="K247" s="19"/>
      <c r="L247" s="19"/>
      <c r="M247" s="19"/>
      <c r="N247" s="15" t="str">
        <f t="shared" si="24"/>
        <v/>
      </c>
      <c r="O247" s="3" t="str">
        <f t="shared" si="25"/>
        <v/>
      </c>
      <c r="P247" s="6" t="str">
        <f t="shared" ca="1" si="26"/>
        <v/>
      </c>
      <c r="Q247" s="21" t="str">
        <f>IF($A247="","",IF($C247=0,"",_xlfn.MINIFS('Daily tracking'!$A$2:$A$2001,'Daily tracking'!$D$2:$D$2001,$A247)))</f>
        <v/>
      </c>
      <c r="R247" s="6" t="str">
        <f t="shared" si="27"/>
        <v/>
      </c>
    </row>
    <row r="248" spans="1:18" x14ac:dyDescent="0.3">
      <c r="A248" s="19"/>
      <c r="B248" s="19"/>
      <c r="C248" s="15" t="str">
        <f>IF($A248="","",COUNTIF('Daily tracking'!$D$2:$D$2001,$A248))</f>
        <v/>
      </c>
      <c r="D248" s="16" t="str">
        <f>IF($A248="","",SUMIF('Daily tracking'!$D$2:$D$2001,$A248,'Daily tracking'!$G$2:$G$2001))</f>
        <v/>
      </c>
      <c r="E248" s="18" t="str">
        <f>IF($A248="","",IF($C248=0,"",_xlfn.MAXIFS('Daily tracking'!$A$2:$A$2001,'Daily tracking'!$D$2:$D$2001,$A248)))</f>
        <v/>
      </c>
      <c r="F248" s="6" t="str">
        <f t="shared" ca="1" si="21"/>
        <v/>
      </c>
      <c r="G248" s="3" t="str">
        <f t="shared" si="22"/>
        <v/>
      </c>
      <c r="H248" s="9" t="str">
        <f t="shared" si="23"/>
        <v/>
      </c>
      <c r="I248" s="20"/>
      <c r="J248" s="20"/>
      <c r="K248" s="19"/>
      <c r="L248" s="19"/>
      <c r="M248" s="19"/>
      <c r="N248" s="15" t="str">
        <f t="shared" si="24"/>
        <v/>
      </c>
      <c r="O248" s="3" t="str">
        <f t="shared" si="25"/>
        <v/>
      </c>
      <c r="P248" s="6" t="str">
        <f t="shared" ca="1" si="26"/>
        <v/>
      </c>
      <c r="Q248" s="21" t="str">
        <f>IF($A248="","",IF($C248=0,"",_xlfn.MINIFS('Daily tracking'!$A$2:$A$2001,'Daily tracking'!$D$2:$D$2001,$A248)))</f>
        <v/>
      </c>
      <c r="R248" s="6" t="str">
        <f t="shared" si="27"/>
        <v/>
      </c>
    </row>
    <row r="249" spans="1:18" x14ac:dyDescent="0.3">
      <c r="A249" s="19"/>
      <c r="B249" s="19"/>
      <c r="C249" s="15" t="str">
        <f>IF($A249="","",COUNTIF('Daily tracking'!$D$2:$D$2001,$A249))</f>
        <v/>
      </c>
      <c r="D249" s="16" t="str">
        <f>IF($A249="","",SUMIF('Daily tracking'!$D$2:$D$2001,$A249,'Daily tracking'!$G$2:$G$2001))</f>
        <v/>
      </c>
      <c r="E249" s="18" t="str">
        <f>IF($A249="","",IF($C249=0,"",_xlfn.MAXIFS('Daily tracking'!$A$2:$A$2001,'Daily tracking'!$D$2:$D$2001,$A249)))</f>
        <v/>
      </c>
      <c r="F249" s="6" t="str">
        <f t="shared" ca="1" si="21"/>
        <v/>
      </c>
      <c r="G249" s="3" t="str">
        <f t="shared" si="22"/>
        <v/>
      </c>
      <c r="H249" s="9" t="str">
        <f t="shared" si="23"/>
        <v/>
      </c>
      <c r="I249" s="20"/>
      <c r="J249" s="20"/>
      <c r="K249" s="19"/>
      <c r="L249" s="19"/>
      <c r="M249" s="19"/>
      <c r="N249" s="15" t="str">
        <f t="shared" si="24"/>
        <v/>
      </c>
      <c r="O249" s="3" t="str">
        <f t="shared" si="25"/>
        <v/>
      </c>
      <c r="P249" s="6" t="str">
        <f t="shared" ca="1" si="26"/>
        <v/>
      </c>
      <c r="Q249" s="21" t="str">
        <f>IF($A249="","",IF($C249=0,"",_xlfn.MINIFS('Daily tracking'!$A$2:$A$2001,'Daily tracking'!$D$2:$D$2001,$A249)))</f>
        <v/>
      </c>
      <c r="R249" s="6" t="str">
        <f t="shared" si="27"/>
        <v/>
      </c>
    </row>
    <row r="250" spans="1:18" x14ac:dyDescent="0.3">
      <c r="A250" s="19"/>
      <c r="B250" s="19"/>
      <c r="C250" s="15" t="str">
        <f>IF($A250="","",COUNTIF('Daily tracking'!$D$2:$D$2001,$A250))</f>
        <v/>
      </c>
      <c r="D250" s="16" t="str">
        <f>IF($A250="","",SUMIF('Daily tracking'!$D$2:$D$2001,$A250,'Daily tracking'!$G$2:$G$2001))</f>
        <v/>
      </c>
      <c r="E250" s="18" t="str">
        <f>IF($A250="","",IF($C250=0,"",_xlfn.MAXIFS('Daily tracking'!$A$2:$A$2001,'Daily tracking'!$D$2:$D$2001,$A250)))</f>
        <v/>
      </c>
      <c r="F250" s="6" t="str">
        <f t="shared" ca="1" si="21"/>
        <v/>
      </c>
      <c r="G250" s="3" t="str">
        <f t="shared" si="22"/>
        <v/>
      </c>
      <c r="H250" s="9" t="str">
        <f t="shared" si="23"/>
        <v/>
      </c>
      <c r="I250" s="20"/>
      <c r="J250" s="20"/>
      <c r="K250" s="19"/>
      <c r="L250" s="19"/>
      <c r="M250" s="19"/>
      <c r="N250" s="15" t="str">
        <f t="shared" si="24"/>
        <v/>
      </c>
      <c r="O250" s="3" t="str">
        <f t="shared" si="25"/>
        <v/>
      </c>
      <c r="P250" s="6" t="str">
        <f t="shared" ca="1" si="26"/>
        <v/>
      </c>
      <c r="Q250" s="21" t="str">
        <f>IF($A250="","",IF($C250=0,"",_xlfn.MINIFS('Daily tracking'!$A$2:$A$2001,'Daily tracking'!$D$2:$D$2001,$A250)))</f>
        <v/>
      </c>
      <c r="R250" s="6" t="str">
        <f t="shared" si="27"/>
        <v/>
      </c>
    </row>
    <row r="251" spans="1:18" x14ac:dyDescent="0.3">
      <c r="A251" s="19"/>
      <c r="B251" s="19"/>
      <c r="C251" s="15" t="str">
        <f>IF($A251="","",COUNTIF('Daily tracking'!$D$2:$D$2001,$A251))</f>
        <v/>
      </c>
      <c r="D251" s="16" t="str">
        <f>IF($A251="","",SUMIF('Daily tracking'!$D$2:$D$2001,$A251,'Daily tracking'!$G$2:$G$2001))</f>
        <v/>
      </c>
      <c r="E251" s="18" t="str">
        <f>IF($A251="","",IF($C251=0,"",_xlfn.MAXIFS('Daily tracking'!$A$2:$A$2001,'Daily tracking'!$D$2:$D$2001,$A251)))</f>
        <v/>
      </c>
      <c r="F251" s="6" t="str">
        <f t="shared" ca="1" si="21"/>
        <v/>
      </c>
      <c r="G251" s="3" t="str">
        <f t="shared" si="22"/>
        <v/>
      </c>
      <c r="H251" s="9" t="str">
        <f t="shared" si="23"/>
        <v/>
      </c>
      <c r="I251" s="20"/>
      <c r="J251" s="20"/>
      <c r="K251" s="19"/>
      <c r="L251" s="19"/>
      <c r="M251" s="19"/>
      <c r="N251" s="15" t="str">
        <f t="shared" si="24"/>
        <v/>
      </c>
      <c r="O251" s="3" t="str">
        <f t="shared" si="25"/>
        <v/>
      </c>
      <c r="P251" s="6" t="str">
        <f t="shared" ca="1" si="26"/>
        <v/>
      </c>
      <c r="Q251" s="21" t="str">
        <f>IF($A251="","",IF($C251=0,"",_xlfn.MINIFS('Daily tracking'!$A$2:$A$2001,'Daily tracking'!$D$2:$D$2001,$A251)))</f>
        <v/>
      </c>
      <c r="R251" s="6" t="str">
        <f t="shared" si="27"/>
        <v/>
      </c>
    </row>
    <row r="252" spans="1:18" x14ac:dyDescent="0.3">
      <c r="A252" s="19"/>
      <c r="B252" s="19"/>
      <c r="C252" s="15" t="str">
        <f>IF($A252="","",COUNTIF('Daily tracking'!$D$2:$D$2001,$A252))</f>
        <v/>
      </c>
      <c r="D252" s="16" t="str">
        <f>IF($A252="","",SUMIF('Daily tracking'!$D$2:$D$2001,$A252,'Daily tracking'!$G$2:$G$2001))</f>
        <v/>
      </c>
      <c r="E252" s="18" t="str">
        <f>IF($A252="","",IF($C252=0,"",_xlfn.MAXIFS('Daily tracking'!$A$2:$A$2001,'Daily tracking'!$D$2:$D$2001,$A252)))</f>
        <v/>
      </c>
      <c r="F252" s="6" t="str">
        <f t="shared" ca="1" si="21"/>
        <v/>
      </c>
      <c r="G252" s="3" t="str">
        <f t="shared" si="22"/>
        <v/>
      </c>
      <c r="H252" s="9" t="str">
        <f t="shared" si="23"/>
        <v/>
      </c>
      <c r="I252" s="20"/>
      <c r="J252" s="20"/>
      <c r="K252" s="19"/>
      <c r="L252" s="19"/>
      <c r="M252" s="19"/>
      <c r="N252" s="15" t="str">
        <f t="shared" si="24"/>
        <v/>
      </c>
      <c r="O252" s="3" t="str">
        <f t="shared" si="25"/>
        <v/>
      </c>
      <c r="P252" s="6" t="str">
        <f t="shared" ca="1" si="26"/>
        <v/>
      </c>
      <c r="Q252" s="21" t="str">
        <f>IF($A252="","",IF($C252=0,"",_xlfn.MINIFS('Daily tracking'!$A$2:$A$2001,'Daily tracking'!$D$2:$D$2001,$A252)))</f>
        <v/>
      </c>
      <c r="R252" s="6" t="str">
        <f t="shared" si="27"/>
        <v/>
      </c>
    </row>
    <row r="253" spans="1:18" x14ac:dyDescent="0.3">
      <c r="A253" s="19"/>
      <c r="B253" s="19"/>
      <c r="C253" s="15" t="str">
        <f>IF($A253="","",COUNTIF('Daily tracking'!$D$2:$D$2001,$A253))</f>
        <v/>
      </c>
      <c r="D253" s="16" t="str">
        <f>IF($A253="","",SUMIF('Daily tracking'!$D$2:$D$2001,$A253,'Daily tracking'!$G$2:$G$2001))</f>
        <v/>
      </c>
      <c r="E253" s="18" t="str">
        <f>IF($A253="","",IF($C253=0,"",_xlfn.MAXIFS('Daily tracking'!$A$2:$A$2001,'Daily tracking'!$D$2:$D$2001,$A253)))</f>
        <v/>
      </c>
      <c r="F253" s="6" t="str">
        <f t="shared" ca="1" si="21"/>
        <v/>
      </c>
      <c r="G253" s="3" t="str">
        <f t="shared" si="22"/>
        <v/>
      </c>
      <c r="H253" s="9" t="str">
        <f t="shared" si="23"/>
        <v/>
      </c>
      <c r="I253" s="20"/>
      <c r="J253" s="20"/>
      <c r="K253" s="19"/>
      <c r="L253" s="19"/>
      <c r="M253" s="19"/>
      <c r="N253" s="15" t="str">
        <f t="shared" si="24"/>
        <v/>
      </c>
      <c r="O253" s="3" t="str">
        <f t="shared" si="25"/>
        <v/>
      </c>
      <c r="P253" s="6" t="str">
        <f t="shared" ca="1" si="26"/>
        <v/>
      </c>
      <c r="Q253" s="21" t="str">
        <f>IF($A253="","",IF($C253=0,"",_xlfn.MINIFS('Daily tracking'!$A$2:$A$2001,'Daily tracking'!$D$2:$D$2001,$A253)))</f>
        <v/>
      </c>
      <c r="R253" s="6" t="str">
        <f t="shared" si="27"/>
        <v/>
      </c>
    </row>
    <row r="254" spans="1:18" x14ac:dyDescent="0.3">
      <c r="A254" s="19"/>
      <c r="B254" s="19"/>
      <c r="C254" s="15" t="str">
        <f>IF($A254="","",COUNTIF('Daily tracking'!$D$2:$D$2001,$A254))</f>
        <v/>
      </c>
      <c r="D254" s="16" t="str">
        <f>IF($A254="","",SUMIF('Daily tracking'!$D$2:$D$2001,$A254,'Daily tracking'!$G$2:$G$2001))</f>
        <v/>
      </c>
      <c r="E254" s="18" t="str">
        <f>IF($A254="","",IF($C254=0,"",_xlfn.MAXIFS('Daily tracking'!$A$2:$A$2001,'Daily tracking'!$D$2:$D$2001,$A254)))</f>
        <v/>
      </c>
      <c r="F254" s="6" t="str">
        <f t="shared" ca="1" si="21"/>
        <v/>
      </c>
      <c r="G254" s="3" t="str">
        <f t="shared" si="22"/>
        <v/>
      </c>
      <c r="H254" s="9" t="str">
        <f t="shared" si="23"/>
        <v/>
      </c>
      <c r="I254" s="20"/>
      <c r="J254" s="20"/>
      <c r="K254" s="19"/>
      <c r="L254" s="19"/>
      <c r="M254" s="19"/>
      <c r="N254" s="15" t="str">
        <f t="shared" si="24"/>
        <v/>
      </c>
      <c r="O254" s="3" t="str">
        <f t="shared" si="25"/>
        <v/>
      </c>
      <c r="P254" s="6" t="str">
        <f t="shared" ca="1" si="26"/>
        <v/>
      </c>
      <c r="Q254" s="21" t="str">
        <f>IF($A254="","",IF($C254=0,"",_xlfn.MINIFS('Daily tracking'!$A$2:$A$2001,'Daily tracking'!$D$2:$D$2001,$A254)))</f>
        <v/>
      </c>
      <c r="R254" s="6" t="str">
        <f t="shared" si="27"/>
        <v/>
      </c>
    </row>
    <row r="255" spans="1:18" x14ac:dyDescent="0.3">
      <c r="A255" s="19"/>
      <c r="B255" s="19"/>
      <c r="C255" s="15" t="str">
        <f>IF($A255="","",COUNTIF('Daily tracking'!$D$2:$D$2001,$A255))</f>
        <v/>
      </c>
      <c r="D255" s="16" t="str">
        <f>IF($A255="","",SUMIF('Daily tracking'!$D$2:$D$2001,$A255,'Daily tracking'!$G$2:$G$2001))</f>
        <v/>
      </c>
      <c r="E255" s="18" t="str">
        <f>IF($A255="","",IF($C255=0,"",_xlfn.MAXIFS('Daily tracking'!$A$2:$A$2001,'Daily tracking'!$D$2:$D$2001,$A255)))</f>
        <v/>
      </c>
      <c r="F255" s="6" t="str">
        <f t="shared" ca="1" si="21"/>
        <v/>
      </c>
      <c r="G255" s="3" t="str">
        <f t="shared" si="22"/>
        <v/>
      </c>
      <c r="H255" s="9" t="str">
        <f t="shared" si="23"/>
        <v/>
      </c>
      <c r="I255" s="20"/>
      <c r="J255" s="20"/>
      <c r="K255" s="19"/>
      <c r="L255" s="19"/>
      <c r="M255" s="19"/>
      <c r="N255" s="15" t="str">
        <f t="shared" si="24"/>
        <v/>
      </c>
      <c r="O255" s="3" t="str">
        <f t="shared" si="25"/>
        <v/>
      </c>
      <c r="P255" s="6" t="str">
        <f t="shared" ca="1" si="26"/>
        <v/>
      </c>
      <c r="Q255" s="21" t="str">
        <f>IF($A255="","",IF($C255=0,"",_xlfn.MINIFS('Daily tracking'!$A$2:$A$2001,'Daily tracking'!$D$2:$D$2001,$A255)))</f>
        <v/>
      </c>
      <c r="R255" s="6" t="str">
        <f t="shared" si="27"/>
        <v/>
      </c>
    </row>
    <row r="256" spans="1:18" x14ac:dyDescent="0.3">
      <c r="A256" s="19"/>
      <c r="B256" s="19"/>
      <c r="C256" s="15" t="str">
        <f>IF($A256="","",COUNTIF('Daily tracking'!$D$2:$D$2001,$A256))</f>
        <v/>
      </c>
      <c r="D256" s="16" t="str">
        <f>IF($A256="","",SUMIF('Daily tracking'!$D$2:$D$2001,$A256,'Daily tracking'!$G$2:$G$2001))</f>
        <v/>
      </c>
      <c r="E256" s="18" t="str">
        <f>IF($A256="","",IF($C256=0,"",_xlfn.MAXIFS('Daily tracking'!$A$2:$A$2001,'Daily tracking'!$D$2:$D$2001,$A256)))</f>
        <v/>
      </c>
      <c r="F256" s="6" t="str">
        <f t="shared" ca="1" si="21"/>
        <v/>
      </c>
      <c r="G256" s="3" t="str">
        <f t="shared" si="22"/>
        <v/>
      </c>
      <c r="H256" s="9" t="str">
        <f t="shared" si="23"/>
        <v/>
      </c>
      <c r="I256" s="20"/>
      <c r="J256" s="20"/>
      <c r="K256" s="19"/>
      <c r="L256" s="19"/>
      <c r="M256" s="19"/>
      <c r="N256" s="15" t="str">
        <f t="shared" si="24"/>
        <v/>
      </c>
      <c r="O256" s="3" t="str">
        <f t="shared" si="25"/>
        <v/>
      </c>
      <c r="P256" s="6" t="str">
        <f t="shared" ca="1" si="26"/>
        <v/>
      </c>
      <c r="Q256" s="21" t="str">
        <f>IF($A256="","",IF($C256=0,"",_xlfn.MINIFS('Daily tracking'!$A$2:$A$2001,'Daily tracking'!$D$2:$D$2001,$A256)))</f>
        <v/>
      </c>
      <c r="R256" s="6" t="str">
        <f t="shared" si="27"/>
        <v/>
      </c>
    </row>
    <row r="257" spans="1:18" x14ac:dyDescent="0.3">
      <c r="A257" s="19"/>
      <c r="B257" s="19"/>
      <c r="C257" s="15" t="str">
        <f>IF($A257="","",COUNTIF('Daily tracking'!$D$2:$D$2001,$A257))</f>
        <v/>
      </c>
      <c r="D257" s="16" t="str">
        <f>IF($A257="","",SUMIF('Daily tracking'!$D$2:$D$2001,$A257,'Daily tracking'!$G$2:$G$2001))</f>
        <v/>
      </c>
      <c r="E257" s="18" t="str">
        <f>IF($A257="","",IF($C257=0,"",_xlfn.MAXIFS('Daily tracking'!$A$2:$A$2001,'Daily tracking'!$D$2:$D$2001,$A257)))</f>
        <v/>
      </c>
      <c r="F257" s="6" t="str">
        <f t="shared" ca="1" si="21"/>
        <v/>
      </c>
      <c r="G257" s="3" t="str">
        <f t="shared" si="22"/>
        <v/>
      </c>
      <c r="H257" s="9" t="str">
        <f t="shared" si="23"/>
        <v/>
      </c>
      <c r="I257" s="20"/>
      <c r="J257" s="20"/>
      <c r="K257" s="19"/>
      <c r="L257" s="19"/>
      <c r="M257" s="19"/>
      <c r="N257" s="15" t="str">
        <f t="shared" si="24"/>
        <v/>
      </c>
      <c r="O257" s="3" t="str">
        <f t="shared" si="25"/>
        <v/>
      </c>
      <c r="P257" s="6" t="str">
        <f t="shared" ca="1" si="26"/>
        <v/>
      </c>
      <c r="Q257" s="21" t="str">
        <f>IF($A257="","",IF($C257=0,"",_xlfn.MINIFS('Daily tracking'!$A$2:$A$2001,'Daily tracking'!$D$2:$D$2001,$A257)))</f>
        <v/>
      </c>
      <c r="R257" s="6" t="str">
        <f t="shared" si="27"/>
        <v/>
      </c>
    </row>
    <row r="258" spans="1:18" x14ac:dyDescent="0.3">
      <c r="A258" s="19"/>
      <c r="B258" s="19"/>
      <c r="C258" s="15" t="str">
        <f>IF($A258="","",COUNTIF('Daily tracking'!$D$2:$D$2001,$A258))</f>
        <v/>
      </c>
      <c r="D258" s="16" t="str">
        <f>IF($A258="","",SUMIF('Daily tracking'!$D$2:$D$2001,$A258,'Daily tracking'!$G$2:$G$2001))</f>
        <v/>
      </c>
      <c r="E258" s="18" t="str">
        <f>IF($A258="","",IF($C258=0,"",_xlfn.MAXIFS('Daily tracking'!$A$2:$A$2001,'Daily tracking'!$D$2:$D$2001,$A258)))</f>
        <v/>
      </c>
      <c r="F258" s="6" t="str">
        <f t="shared" ref="F258:F321" ca="1" si="28">IF(OR($A258="",$E258=""),"",TODAY()-$E258)</f>
        <v/>
      </c>
      <c r="G258" s="3" t="str">
        <f t="shared" ref="G258:G321" si="29">IF($A258="","",IF($C258=0,"No visits",IF($F258&gt;90,"Lapsed",IF($F258&gt;35,"At risk",IF($C258&gt;=4,"Loyal","Active")))))</f>
        <v/>
      </c>
      <c r="H258" s="9" t="str">
        <f t="shared" ref="H258:H321" si="30">IF(OR($A258="",$C258=0),"",$D258/$C258)</f>
        <v/>
      </c>
      <c r="I258" s="20"/>
      <c r="J258" s="20"/>
      <c r="K258" s="19"/>
      <c r="L258" s="19"/>
      <c r="M258" s="19"/>
      <c r="N258" s="15" t="str">
        <f t="shared" ref="N258:N321" si="31">IF($A258="","",IF($C258=0,0,(IF($F258&lt;=15,5,IF($F258&lt;=30,4,IF($F258&lt;=45,3,IF($F258&lt;=90,2,1))))+IF($C258&gt;=10,5,IF($C258&gt;=6,4,IF($C258&gt;=4,3,IF($C258&gt;=2,2,1))))+IF($D258&gt;=20000,5,IF($D258&gt;=10000,4,IF($D258&gt;=5000,3,IF($D258&gt;=2000,2,1)))))))</f>
        <v/>
      </c>
      <c r="O258" s="3" t="str">
        <f t="shared" ref="O258:O321" si="32">IF($A258="","",IF($C258=0,"No visits",IF($N258&gt;=13,"VIP",IF($N258&gt;=10,"High value",IF($N258&gt;=7,"Regular",IF($N258&gt;=4,"Occasional","Low"))))))</f>
        <v/>
      </c>
      <c r="P258" s="6" t="str">
        <f t="shared" ref="P258:P321" ca="1" si="33">IF(OR($A258="",$I258=""),"",IF(MONTH($I258)=MONTH(TODAY()),"Yes",""))</f>
        <v/>
      </c>
      <c r="Q258" s="21" t="str">
        <f>IF($A258="","",IF($C258=0,"",_xlfn.MINIFS('Daily tracking'!$A$2:$A$2001,'Daily tracking'!$D$2:$D$2001,$A258)))</f>
        <v/>
      </c>
      <c r="R258" s="6" t="str">
        <f t="shared" ref="R258:R321" si="34">IF(OR($A258="",$C258&lt;2),"",($E258-$Q258)/($C258-1))</f>
        <v/>
      </c>
    </row>
    <row r="259" spans="1:18" x14ac:dyDescent="0.3">
      <c r="A259" s="19"/>
      <c r="B259" s="19"/>
      <c r="C259" s="15" t="str">
        <f>IF($A259="","",COUNTIF('Daily tracking'!$D$2:$D$2001,$A259))</f>
        <v/>
      </c>
      <c r="D259" s="16" t="str">
        <f>IF($A259="","",SUMIF('Daily tracking'!$D$2:$D$2001,$A259,'Daily tracking'!$G$2:$G$2001))</f>
        <v/>
      </c>
      <c r="E259" s="18" t="str">
        <f>IF($A259="","",IF($C259=0,"",_xlfn.MAXIFS('Daily tracking'!$A$2:$A$2001,'Daily tracking'!$D$2:$D$2001,$A259)))</f>
        <v/>
      </c>
      <c r="F259" s="6" t="str">
        <f t="shared" ca="1" si="28"/>
        <v/>
      </c>
      <c r="G259" s="3" t="str">
        <f t="shared" si="29"/>
        <v/>
      </c>
      <c r="H259" s="9" t="str">
        <f t="shared" si="30"/>
        <v/>
      </c>
      <c r="I259" s="20"/>
      <c r="J259" s="20"/>
      <c r="K259" s="19"/>
      <c r="L259" s="19"/>
      <c r="M259" s="19"/>
      <c r="N259" s="15" t="str">
        <f t="shared" si="31"/>
        <v/>
      </c>
      <c r="O259" s="3" t="str">
        <f t="shared" si="32"/>
        <v/>
      </c>
      <c r="P259" s="6" t="str">
        <f t="shared" ca="1" si="33"/>
        <v/>
      </c>
      <c r="Q259" s="21" t="str">
        <f>IF($A259="","",IF($C259=0,"",_xlfn.MINIFS('Daily tracking'!$A$2:$A$2001,'Daily tracking'!$D$2:$D$2001,$A259)))</f>
        <v/>
      </c>
      <c r="R259" s="6" t="str">
        <f t="shared" si="34"/>
        <v/>
      </c>
    </row>
    <row r="260" spans="1:18" x14ac:dyDescent="0.3">
      <c r="A260" s="19"/>
      <c r="B260" s="19"/>
      <c r="C260" s="15" t="str">
        <f>IF($A260="","",COUNTIF('Daily tracking'!$D$2:$D$2001,$A260))</f>
        <v/>
      </c>
      <c r="D260" s="16" t="str">
        <f>IF($A260="","",SUMIF('Daily tracking'!$D$2:$D$2001,$A260,'Daily tracking'!$G$2:$G$2001))</f>
        <v/>
      </c>
      <c r="E260" s="18" t="str">
        <f>IF($A260="","",IF($C260=0,"",_xlfn.MAXIFS('Daily tracking'!$A$2:$A$2001,'Daily tracking'!$D$2:$D$2001,$A260)))</f>
        <v/>
      </c>
      <c r="F260" s="6" t="str">
        <f t="shared" ca="1" si="28"/>
        <v/>
      </c>
      <c r="G260" s="3" t="str">
        <f t="shared" si="29"/>
        <v/>
      </c>
      <c r="H260" s="9" t="str">
        <f t="shared" si="30"/>
        <v/>
      </c>
      <c r="I260" s="20"/>
      <c r="J260" s="20"/>
      <c r="K260" s="19"/>
      <c r="L260" s="19"/>
      <c r="M260" s="19"/>
      <c r="N260" s="15" t="str">
        <f t="shared" si="31"/>
        <v/>
      </c>
      <c r="O260" s="3" t="str">
        <f t="shared" si="32"/>
        <v/>
      </c>
      <c r="P260" s="6" t="str">
        <f t="shared" ca="1" si="33"/>
        <v/>
      </c>
      <c r="Q260" s="21" t="str">
        <f>IF($A260="","",IF($C260=0,"",_xlfn.MINIFS('Daily tracking'!$A$2:$A$2001,'Daily tracking'!$D$2:$D$2001,$A260)))</f>
        <v/>
      </c>
      <c r="R260" s="6" t="str">
        <f t="shared" si="34"/>
        <v/>
      </c>
    </row>
    <row r="261" spans="1:18" x14ac:dyDescent="0.3">
      <c r="A261" s="19"/>
      <c r="B261" s="19"/>
      <c r="C261" s="15" t="str">
        <f>IF($A261="","",COUNTIF('Daily tracking'!$D$2:$D$2001,$A261))</f>
        <v/>
      </c>
      <c r="D261" s="16" t="str">
        <f>IF($A261="","",SUMIF('Daily tracking'!$D$2:$D$2001,$A261,'Daily tracking'!$G$2:$G$2001))</f>
        <v/>
      </c>
      <c r="E261" s="18" t="str">
        <f>IF($A261="","",IF($C261=0,"",_xlfn.MAXIFS('Daily tracking'!$A$2:$A$2001,'Daily tracking'!$D$2:$D$2001,$A261)))</f>
        <v/>
      </c>
      <c r="F261" s="6" t="str">
        <f t="shared" ca="1" si="28"/>
        <v/>
      </c>
      <c r="G261" s="3" t="str">
        <f t="shared" si="29"/>
        <v/>
      </c>
      <c r="H261" s="9" t="str">
        <f t="shared" si="30"/>
        <v/>
      </c>
      <c r="I261" s="20"/>
      <c r="J261" s="20"/>
      <c r="K261" s="19"/>
      <c r="L261" s="19"/>
      <c r="M261" s="19"/>
      <c r="N261" s="15" t="str">
        <f t="shared" si="31"/>
        <v/>
      </c>
      <c r="O261" s="3" t="str">
        <f t="shared" si="32"/>
        <v/>
      </c>
      <c r="P261" s="6" t="str">
        <f t="shared" ca="1" si="33"/>
        <v/>
      </c>
      <c r="Q261" s="21" t="str">
        <f>IF($A261="","",IF($C261=0,"",_xlfn.MINIFS('Daily tracking'!$A$2:$A$2001,'Daily tracking'!$D$2:$D$2001,$A261)))</f>
        <v/>
      </c>
      <c r="R261" s="6" t="str">
        <f t="shared" si="34"/>
        <v/>
      </c>
    </row>
    <row r="262" spans="1:18" x14ac:dyDescent="0.3">
      <c r="A262" s="19"/>
      <c r="B262" s="19"/>
      <c r="C262" s="15" t="str">
        <f>IF($A262="","",COUNTIF('Daily tracking'!$D$2:$D$2001,$A262))</f>
        <v/>
      </c>
      <c r="D262" s="16" t="str">
        <f>IF($A262="","",SUMIF('Daily tracking'!$D$2:$D$2001,$A262,'Daily tracking'!$G$2:$G$2001))</f>
        <v/>
      </c>
      <c r="E262" s="18" t="str">
        <f>IF($A262="","",IF($C262=0,"",_xlfn.MAXIFS('Daily tracking'!$A$2:$A$2001,'Daily tracking'!$D$2:$D$2001,$A262)))</f>
        <v/>
      </c>
      <c r="F262" s="6" t="str">
        <f t="shared" ca="1" si="28"/>
        <v/>
      </c>
      <c r="G262" s="3" t="str">
        <f t="shared" si="29"/>
        <v/>
      </c>
      <c r="H262" s="9" t="str">
        <f t="shared" si="30"/>
        <v/>
      </c>
      <c r="I262" s="20"/>
      <c r="J262" s="20"/>
      <c r="K262" s="19"/>
      <c r="L262" s="19"/>
      <c r="M262" s="19"/>
      <c r="N262" s="15" t="str">
        <f t="shared" si="31"/>
        <v/>
      </c>
      <c r="O262" s="3" t="str">
        <f t="shared" si="32"/>
        <v/>
      </c>
      <c r="P262" s="6" t="str">
        <f t="shared" ca="1" si="33"/>
        <v/>
      </c>
      <c r="Q262" s="21" t="str">
        <f>IF($A262="","",IF($C262=0,"",_xlfn.MINIFS('Daily tracking'!$A$2:$A$2001,'Daily tracking'!$D$2:$D$2001,$A262)))</f>
        <v/>
      </c>
      <c r="R262" s="6" t="str">
        <f t="shared" si="34"/>
        <v/>
      </c>
    </row>
    <row r="263" spans="1:18" x14ac:dyDescent="0.3">
      <c r="A263" s="19"/>
      <c r="B263" s="19"/>
      <c r="C263" s="15" t="str">
        <f>IF($A263="","",COUNTIF('Daily tracking'!$D$2:$D$2001,$A263))</f>
        <v/>
      </c>
      <c r="D263" s="16" t="str">
        <f>IF($A263="","",SUMIF('Daily tracking'!$D$2:$D$2001,$A263,'Daily tracking'!$G$2:$G$2001))</f>
        <v/>
      </c>
      <c r="E263" s="18" t="str">
        <f>IF($A263="","",IF($C263=0,"",_xlfn.MAXIFS('Daily tracking'!$A$2:$A$2001,'Daily tracking'!$D$2:$D$2001,$A263)))</f>
        <v/>
      </c>
      <c r="F263" s="6" t="str">
        <f t="shared" ca="1" si="28"/>
        <v/>
      </c>
      <c r="G263" s="3" t="str">
        <f t="shared" si="29"/>
        <v/>
      </c>
      <c r="H263" s="9" t="str">
        <f t="shared" si="30"/>
        <v/>
      </c>
      <c r="I263" s="20"/>
      <c r="J263" s="20"/>
      <c r="K263" s="19"/>
      <c r="L263" s="19"/>
      <c r="M263" s="19"/>
      <c r="N263" s="15" t="str">
        <f t="shared" si="31"/>
        <v/>
      </c>
      <c r="O263" s="3" t="str">
        <f t="shared" si="32"/>
        <v/>
      </c>
      <c r="P263" s="6" t="str">
        <f t="shared" ca="1" si="33"/>
        <v/>
      </c>
      <c r="Q263" s="21" t="str">
        <f>IF($A263="","",IF($C263=0,"",_xlfn.MINIFS('Daily tracking'!$A$2:$A$2001,'Daily tracking'!$D$2:$D$2001,$A263)))</f>
        <v/>
      </c>
      <c r="R263" s="6" t="str">
        <f t="shared" si="34"/>
        <v/>
      </c>
    </row>
    <row r="264" spans="1:18" x14ac:dyDescent="0.3">
      <c r="A264" s="19"/>
      <c r="B264" s="19"/>
      <c r="C264" s="15" t="str">
        <f>IF($A264="","",COUNTIF('Daily tracking'!$D$2:$D$2001,$A264))</f>
        <v/>
      </c>
      <c r="D264" s="16" t="str">
        <f>IF($A264="","",SUMIF('Daily tracking'!$D$2:$D$2001,$A264,'Daily tracking'!$G$2:$G$2001))</f>
        <v/>
      </c>
      <c r="E264" s="18" t="str">
        <f>IF($A264="","",IF($C264=0,"",_xlfn.MAXIFS('Daily tracking'!$A$2:$A$2001,'Daily tracking'!$D$2:$D$2001,$A264)))</f>
        <v/>
      </c>
      <c r="F264" s="6" t="str">
        <f t="shared" ca="1" si="28"/>
        <v/>
      </c>
      <c r="G264" s="3" t="str">
        <f t="shared" si="29"/>
        <v/>
      </c>
      <c r="H264" s="9" t="str">
        <f t="shared" si="30"/>
        <v/>
      </c>
      <c r="I264" s="20"/>
      <c r="J264" s="20"/>
      <c r="K264" s="19"/>
      <c r="L264" s="19"/>
      <c r="M264" s="19"/>
      <c r="N264" s="15" t="str">
        <f t="shared" si="31"/>
        <v/>
      </c>
      <c r="O264" s="3" t="str">
        <f t="shared" si="32"/>
        <v/>
      </c>
      <c r="P264" s="6" t="str">
        <f t="shared" ca="1" si="33"/>
        <v/>
      </c>
      <c r="Q264" s="21" t="str">
        <f>IF($A264="","",IF($C264=0,"",_xlfn.MINIFS('Daily tracking'!$A$2:$A$2001,'Daily tracking'!$D$2:$D$2001,$A264)))</f>
        <v/>
      </c>
      <c r="R264" s="6" t="str">
        <f t="shared" si="34"/>
        <v/>
      </c>
    </row>
    <row r="265" spans="1:18" x14ac:dyDescent="0.3">
      <c r="A265" s="19"/>
      <c r="B265" s="19"/>
      <c r="C265" s="15" t="str">
        <f>IF($A265="","",COUNTIF('Daily tracking'!$D$2:$D$2001,$A265))</f>
        <v/>
      </c>
      <c r="D265" s="16" t="str">
        <f>IF($A265="","",SUMIF('Daily tracking'!$D$2:$D$2001,$A265,'Daily tracking'!$G$2:$G$2001))</f>
        <v/>
      </c>
      <c r="E265" s="18" t="str">
        <f>IF($A265="","",IF($C265=0,"",_xlfn.MAXIFS('Daily tracking'!$A$2:$A$2001,'Daily tracking'!$D$2:$D$2001,$A265)))</f>
        <v/>
      </c>
      <c r="F265" s="6" t="str">
        <f t="shared" ca="1" si="28"/>
        <v/>
      </c>
      <c r="G265" s="3" t="str">
        <f t="shared" si="29"/>
        <v/>
      </c>
      <c r="H265" s="9" t="str">
        <f t="shared" si="30"/>
        <v/>
      </c>
      <c r="I265" s="20"/>
      <c r="J265" s="20"/>
      <c r="K265" s="19"/>
      <c r="L265" s="19"/>
      <c r="M265" s="19"/>
      <c r="N265" s="15" t="str">
        <f t="shared" si="31"/>
        <v/>
      </c>
      <c r="O265" s="3" t="str">
        <f t="shared" si="32"/>
        <v/>
      </c>
      <c r="P265" s="6" t="str">
        <f t="shared" ca="1" si="33"/>
        <v/>
      </c>
      <c r="Q265" s="21" t="str">
        <f>IF($A265="","",IF($C265=0,"",_xlfn.MINIFS('Daily tracking'!$A$2:$A$2001,'Daily tracking'!$D$2:$D$2001,$A265)))</f>
        <v/>
      </c>
      <c r="R265" s="6" t="str">
        <f t="shared" si="34"/>
        <v/>
      </c>
    </row>
    <row r="266" spans="1:18" x14ac:dyDescent="0.3">
      <c r="A266" s="19"/>
      <c r="B266" s="19"/>
      <c r="C266" s="15" t="str">
        <f>IF($A266="","",COUNTIF('Daily tracking'!$D$2:$D$2001,$A266))</f>
        <v/>
      </c>
      <c r="D266" s="16" t="str">
        <f>IF($A266="","",SUMIF('Daily tracking'!$D$2:$D$2001,$A266,'Daily tracking'!$G$2:$G$2001))</f>
        <v/>
      </c>
      <c r="E266" s="18" t="str">
        <f>IF($A266="","",IF($C266=0,"",_xlfn.MAXIFS('Daily tracking'!$A$2:$A$2001,'Daily tracking'!$D$2:$D$2001,$A266)))</f>
        <v/>
      </c>
      <c r="F266" s="6" t="str">
        <f t="shared" ca="1" si="28"/>
        <v/>
      </c>
      <c r="G266" s="3" t="str">
        <f t="shared" si="29"/>
        <v/>
      </c>
      <c r="H266" s="9" t="str">
        <f t="shared" si="30"/>
        <v/>
      </c>
      <c r="I266" s="20"/>
      <c r="J266" s="20"/>
      <c r="K266" s="19"/>
      <c r="L266" s="19"/>
      <c r="M266" s="19"/>
      <c r="N266" s="15" t="str">
        <f t="shared" si="31"/>
        <v/>
      </c>
      <c r="O266" s="3" t="str">
        <f t="shared" si="32"/>
        <v/>
      </c>
      <c r="P266" s="6" t="str">
        <f t="shared" ca="1" si="33"/>
        <v/>
      </c>
      <c r="Q266" s="21" t="str">
        <f>IF($A266="","",IF($C266=0,"",_xlfn.MINIFS('Daily tracking'!$A$2:$A$2001,'Daily tracking'!$D$2:$D$2001,$A266)))</f>
        <v/>
      </c>
      <c r="R266" s="6" t="str">
        <f t="shared" si="34"/>
        <v/>
      </c>
    </row>
    <row r="267" spans="1:18" x14ac:dyDescent="0.3">
      <c r="A267" s="19"/>
      <c r="B267" s="19"/>
      <c r="C267" s="15" t="str">
        <f>IF($A267="","",COUNTIF('Daily tracking'!$D$2:$D$2001,$A267))</f>
        <v/>
      </c>
      <c r="D267" s="16" t="str">
        <f>IF($A267="","",SUMIF('Daily tracking'!$D$2:$D$2001,$A267,'Daily tracking'!$G$2:$G$2001))</f>
        <v/>
      </c>
      <c r="E267" s="18" t="str">
        <f>IF($A267="","",IF($C267=0,"",_xlfn.MAXIFS('Daily tracking'!$A$2:$A$2001,'Daily tracking'!$D$2:$D$2001,$A267)))</f>
        <v/>
      </c>
      <c r="F267" s="6" t="str">
        <f t="shared" ca="1" si="28"/>
        <v/>
      </c>
      <c r="G267" s="3" t="str">
        <f t="shared" si="29"/>
        <v/>
      </c>
      <c r="H267" s="9" t="str">
        <f t="shared" si="30"/>
        <v/>
      </c>
      <c r="I267" s="20"/>
      <c r="J267" s="20"/>
      <c r="K267" s="19"/>
      <c r="L267" s="19"/>
      <c r="M267" s="19"/>
      <c r="N267" s="15" t="str">
        <f t="shared" si="31"/>
        <v/>
      </c>
      <c r="O267" s="3" t="str">
        <f t="shared" si="32"/>
        <v/>
      </c>
      <c r="P267" s="6" t="str">
        <f t="shared" ca="1" si="33"/>
        <v/>
      </c>
      <c r="Q267" s="21" t="str">
        <f>IF($A267="","",IF($C267=0,"",_xlfn.MINIFS('Daily tracking'!$A$2:$A$2001,'Daily tracking'!$D$2:$D$2001,$A267)))</f>
        <v/>
      </c>
      <c r="R267" s="6" t="str">
        <f t="shared" si="34"/>
        <v/>
      </c>
    </row>
    <row r="268" spans="1:18" x14ac:dyDescent="0.3">
      <c r="A268" s="19"/>
      <c r="B268" s="19"/>
      <c r="C268" s="15" t="str">
        <f>IF($A268="","",COUNTIF('Daily tracking'!$D$2:$D$2001,$A268))</f>
        <v/>
      </c>
      <c r="D268" s="16" t="str">
        <f>IF($A268="","",SUMIF('Daily tracking'!$D$2:$D$2001,$A268,'Daily tracking'!$G$2:$G$2001))</f>
        <v/>
      </c>
      <c r="E268" s="18" t="str">
        <f>IF($A268="","",IF($C268=0,"",_xlfn.MAXIFS('Daily tracking'!$A$2:$A$2001,'Daily tracking'!$D$2:$D$2001,$A268)))</f>
        <v/>
      </c>
      <c r="F268" s="6" t="str">
        <f t="shared" ca="1" si="28"/>
        <v/>
      </c>
      <c r="G268" s="3" t="str">
        <f t="shared" si="29"/>
        <v/>
      </c>
      <c r="H268" s="9" t="str">
        <f t="shared" si="30"/>
        <v/>
      </c>
      <c r="I268" s="20"/>
      <c r="J268" s="20"/>
      <c r="K268" s="19"/>
      <c r="L268" s="19"/>
      <c r="M268" s="19"/>
      <c r="N268" s="15" t="str">
        <f t="shared" si="31"/>
        <v/>
      </c>
      <c r="O268" s="3" t="str">
        <f t="shared" si="32"/>
        <v/>
      </c>
      <c r="P268" s="6" t="str">
        <f t="shared" ca="1" si="33"/>
        <v/>
      </c>
      <c r="Q268" s="21" t="str">
        <f>IF($A268="","",IF($C268=0,"",_xlfn.MINIFS('Daily tracking'!$A$2:$A$2001,'Daily tracking'!$D$2:$D$2001,$A268)))</f>
        <v/>
      </c>
      <c r="R268" s="6" t="str">
        <f t="shared" si="34"/>
        <v/>
      </c>
    </row>
    <row r="269" spans="1:18" x14ac:dyDescent="0.3">
      <c r="A269" s="19"/>
      <c r="B269" s="19"/>
      <c r="C269" s="15" t="str">
        <f>IF($A269="","",COUNTIF('Daily tracking'!$D$2:$D$2001,$A269))</f>
        <v/>
      </c>
      <c r="D269" s="16" t="str">
        <f>IF($A269="","",SUMIF('Daily tracking'!$D$2:$D$2001,$A269,'Daily tracking'!$G$2:$G$2001))</f>
        <v/>
      </c>
      <c r="E269" s="18" t="str">
        <f>IF($A269="","",IF($C269=0,"",_xlfn.MAXIFS('Daily tracking'!$A$2:$A$2001,'Daily tracking'!$D$2:$D$2001,$A269)))</f>
        <v/>
      </c>
      <c r="F269" s="6" t="str">
        <f t="shared" ca="1" si="28"/>
        <v/>
      </c>
      <c r="G269" s="3" t="str">
        <f t="shared" si="29"/>
        <v/>
      </c>
      <c r="H269" s="9" t="str">
        <f t="shared" si="30"/>
        <v/>
      </c>
      <c r="I269" s="20"/>
      <c r="J269" s="20"/>
      <c r="K269" s="19"/>
      <c r="L269" s="19"/>
      <c r="M269" s="19"/>
      <c r="N269" s="15" t="str">
        <f t="shared" si="31"/>
        <v/>
      </c>
      <c r="O269" s="3" t="str">
        <f t="shared" si="32"/>
        <v/>
      </c>
      <c r="P269" s="6" t="str">
        <f t="shared" ca="1" si="33"/>
        <v/>
      </c>
      <c r="Q269" s="21" t="str">
        <f>IF($A269="","",IF($C269=0,"",_xlfn.MINIFS('Daily tracking'!$A$2:$A$2001,'Daily tracking'!$D$2:$D$2001,$A269)))</f>
        <v/>
      </c>
      <c r="R269" s="6" t="str">
        <f t="shared" si="34"/>
        <v/>
      </c>
    </row>
    <row r="270" spans="1:18" x14ac:dyDescent="0.3">
      <c r="A270" s="19"/>
      <c r="B270" s="19"/>
      <c r="C270" s="15" t="str">
        <f>IF($A270="","",COUNTIF('Daily tracking'!$D$2:$D$2001,$A270))</f>
        <v/>
      </c>
      <c r="D270" s="16" t="str">
        <f>IF($A270="","",SUMIF('Daily tracking'!$D$2:$D$2001,$A270,'Daily tracking'!$G$2:$G$2001))</f>
        <v/>
      </c>
      <c r="E270" s="18" t="str">
        <f>IF($A270="","",IF($C270=0,"",_xlfn.MAXIFS('Daily tracking'!$A$2:$A$2001,'Daily tracking'!$D$2:$D$2001,$A270)))</f>
        <v/>
      </c>
      <c r="F270" s="6" t="str">
        <f t="shared" ca="1" si="28"/>
        <v/>
      </c>
      <c r="G270" s="3" t="str">
        <f t="shared" si="29"/>
        <v/>
      </c>
      <c r="H270" s="9" t="str">
        <f t="shared" si="30"/>
        <v/>
      </c>
      <c r="I270" s="20"/>
      <c r="J270" s="20"/>
      <c r="K270" s="19"/>
      <c r="L270" s="19"/>
      <c r="M270" s="19"/>
      <c r="N270" s="15" t="str">
        <f t="shared" si="31"/>
        <v/>
      </c>
      <c r="O270" s="3" t="str">
        <f t="shared" si="32"/>
        <v/>
      </c>
      <c r="P270" s="6" t="str">
        <f t="shared" ca="1" si="33"/>
        <v/>
      </c>
      <c r="Q270" s="21" t="str">
        <f>IF($A270="","",IF($C270=0,"",_xlfn.MINIFS('Daily tracking'!$A$2:$A$2001,'Daily tracking'!$D$2:$D$2001,$A270)))</f>
        <v/>
      </c>
      <c r="R270" s="6" t="str">
        <f t="shared" si="34"/>
        <v/>
      </c>
    </row>
    <row r="271" spans="1:18" x14ac:dyDescent="0.3">
      <c r="A271" s="19"/>
      <c r="B271" s="19"/>
      <c r="C271" s="15" t="str">
        <f>IF($A271="","",COUNTIF('Daily tracking'!$D$2:$D$2001,$A271))</f>
        <v/>
      </c>
      <c r="D271" s="16" t="str">
        <f>IF($A271="","",SUMIF('Daily tracking'!$D$2:$D$2001,$A271,'Daily tracking'!$G$2:$G$2001))</f>
        <v/>
      </c>
      <c r="E271" s="18" t="str">
        <f>IF($A271="","",IF($C271=0,"",_xlfn.MAXIFS('Daily tracking'!$A$2:$A$2001,'Daily tracking'!$D$2:$D$2001,$A271)))</f>
        <v/>
      </c>
      <c r="F271" s="6" t="str">
        <f t="shared" ca="1" si="28"/>
        <v/>
      </c>
      <c r="G271" s="3" t="str">
        <f t="shared" si="29"/>
        <v/>
      </c>
      <c r="H271" s="9" t="str">
        <f t="shared" si="30"/>
        <v/>
      </c>
      <c r="I271" s="20"/>
      <c r="J271" s="20"/>
      <c r="K271" s="19"/>
      <c r="L271" s="19"/>
      <c r="M271" s="19"/>
      <c r="N271" s="15" t="str">
        <f t="shared" si="31"/>
        <v/>
      </c>
      <c r="O271" s="3" t="str">
        <f t="shared" si="32"/>
        <v/>
      </c>
      <c r="P271" s="6" t="str">
        <f t="shared" ca="1" si="33"/>
        <v/>
      </c>
      <c r="Q271" s="21" t="str">
        <f>IF($A271="","",IF($C271=0,"",_xlfn.MINIFS('Daily tracking'!$A$2:$A$2001,'Daily tracking'!$D$2:$D$2001,$A271)))</f>
        <v/>
      </c>
      <c r="R271" s="6" t="str">
        <f t="shared" si="34"/>
        <v/>
      </c>
    </row>
    <row r="272" spans="1:18" x14ac:dyDescent="0.3">
      <c r="A272" s="19"/>
      <c r="B272" s="19"/>
      <c r="C272" s="15" t="str">
        <f>IF($A272="","",COUNTIF('Daily tracking'!$D$2:$D$2001,$A272))</f>
        <v/>
      </c>
      <c r="D272" s="16" t="str">
        <f>IF($A272="","",SUMIF('Daily tracking'!$D$2:$D$2001,$A272,'Daily tracking'!$G$2:$G$2001))</f>
        <v/>
      </c>
      <c r="E272" s="18" t="str">
        <f>IF($A272="","",IF($C272=0,"",_xlfn.MAXIFS('Daily tracking'!$A$2:$A$2001,'Daily tracking'!$D$2:$D$2001,$A272)))</f>
        <v/>
      </c>
      <c r="F272" s="6" t="str">
        <f t="shared" ca="1" si="28"/>
        <v/>
      </c>
      <c r="G272" s="3" t="str">
        <f t="shared" si="29"/>
        <v/>
      </c>
      <c r="H272" s="9" t="str">
        <f t="shared" si="30"/>
        <v/>
      </c>
      <c r="I272" s="20"/>
      <c r="J272" s="20"/>
      <c r="K272" s="19"/>
      <c r="L272" s="19"/>
      <c r="M272" s="19"/>
      <c r="N272" s="15" t="str">
        <f t="shared" si="31"/>
        <v/>
      </c>
      <c r="O272" s="3" t="str">
        <f t="shared" si="32"/>
        <v/>
      </c>
      <c r="P272" s="6" t="str">
        <f t="shared" ca="1" si="33"/>
        <v/>
      </c>
      <c r="Q272" s="21" t="str">
        <f>IF($A272="","",IF($C272=0,"",_xlfn.MINIFS('Daily tracking'!$A$2:$A$2001,'Daily tracking'!$D$2:$D$2001,$A272)))</f>
        <v/>
      </c>
      <c r="R272" s="6" t="str">
        <f t="shared" si="34"/>
        <v/>
      </c>
    </row>
    <row r="273" spans="1:18" x14ac:dyDescent="0.3">
      <c r="A273" s="19"/>
      <c r="B273" s="19"/>
      <c r="C273" s="15" t="str">
        <f>IF($A273="","",COUNTIF('Daily tracking'!$D$2:$D$2001,$A273))</f>
        <v/>
      </c>
      <c r="D273" s="16" t="str">
        <f>IF($A273="","",SUMIF('Daily tracking'!$D$2:$D$2001,$A273,'Daily tracking'!$G$2:$G$2001))</f>
        <v/>
      </c>
      <c r="E273" s="18" t="str">
        <f>IF($A273="","",IF($C273=0,"",_xlfn.MAXIFS('Daily tracking'!$A$2:$A$2001,'Daily tracking'!$D$2:$D$2001,$A273)))</f>
        <v/>
      </c>
      <c r="F273" s="6" t="str">
        <f t="shared" ca="1" si="28"/>
        <v/>
      </c>
      <c r="G273" s="3" t="str">
        <f t="shared" si="29"/>
        <v/>
      </c>
      <c r="H273" s="9" t="str">
        <f t="shared" si="30"/>
        <v/>
      </c>
      <c r="I273" s="20"/>
      <c r="J273" s="20"/>
      <c r="K273" s="19"/>
      <c r="L273" s="19"/>
      <c r="M273" s="19"/>
      <c r="N273" s="15" t="str">
        <f t="shared" si="31"/>
        <v/>
      </c>
      <c r="O273" s="3" t="str">
        <f t="shared" si="32"/>
        <v/>
      </c>
      <c r="P273" s="6" t="str">
        <f t="shared" ca="1" si="33"/>
        <v/>
      </c>
      <c r="Q273" s="21" t="str">
        <f>IF($A273="","",IF($C273=0,"",_xlfn.MINIFS('Daily tracking'!$A$2:$A$2001,'Daily tracking'!$D$2:$D$2001,$A273)))</f>
        <v/>
      </c>
      <c r="R273" s="6" t="str">
        <f t="shared" si="34"/>
        <v/>
      </c>
    </row>
    <row r="274" spans="1:18" x14ac:dyDescent="0.3">
      <c r="A274" s="19"/>
      <c r="B274" s="19"/>
      <c r="C274" s="15" t="str">
        <f>IF($A274="","",COUNTIF('Daily tracking'!$D$2:$D$2001,$A274))</f>
        <v/>
      </c>
      <c r="D274" s="16" t="str">
        <f>IF($A274="","",SUMIF('Daily tracking'!$D$2:$D$2001,$A274,'Daily tracking'!$G$2:$G$2001))</f>
        <v/>
      </c>
      <c r="E274" s="18" t="str">
        <f>IF($A274="","",IF($C274=0,"",_xlfn.MAXIFS('Daily tracking'!$A$2:$A$2001,'Daily tracking'!$D$2:$D$2001,$A274)))</f>
        <v/>
      </c>
      <c r="F274" s="6" t="str">
        <f t="shared" ca="1" si="28"/>
        <v/>
      </c>
      <c r="G274" s="3" t="str">
        <f t="shared" si="29"/>
        <v/>
      </c>
      <c r="H274" s="9" t="str">
        <f t="shared" si="30"/>
        <v/>
      </c>
      <c r="I274" s="20"/>
      <c r="J274" s="20"/>
      <c r="K274" s="19"/>
      <c r="L274" s="19"/>
      <c r="M274" s="19"/>
      <c r="N274" s="15" t="str">
        <f t="shared" si="31"/>
        <v/>
      </c>
      <c r="O274" s="3" t="str">
        <f t="shared" si="32"/>
        <v/>
      </c>
      <c r="P274" s="6" t="str">
        <f t="shared" ca="1" si="33"/>
        <v/>
      </c>
      <c r="Q274" s="21" t="str">
        <f>IF($A274="","",IF($C274=0,"",_xlfn.MINIFS('Daily tracking'!$A$2:$A$2001,'Daily tracking'!$D$2:$D$2001,$A274)))</f>
        <v/>
      </c>
      <c r="R274" s="6" t="str">
        <f t="shared" si="34"/>
        <v/>
      </c>
    </row>
    <row r="275" spans="1:18" x14ac:dyDescent="0.3">
      <c r="A275" s="19"/>
      <c r="B275" s="19"/>
      <c r="C275" s="15" t="str">
        <f>IF($A275="","",COUNTIF('Daily tracking'!$D$2:$D$2001,$A275))</f>
        <v/>
      </c>
      <c r="D275" s="16" t="str">
        <f>IF($A275="","",SUMIF('Daily tracking'!$D$2:$D$2001,$A275,'Daily tracking'!$G$2:$G$2001))</f>
        <v/>
      </c>
      <c r="E275" s="18" t="str">
        <f>IF($A275="","",IF($C275=0,"",_xlfn.MAXIFS('Daily tracking'!$A$2:$A$2001,'Daily tracking'!$D$2:$D$2001,$A275)))</f>
        <v/>
      </c>
      <c r="F275" s="6" t="str">
        <f t="shared" ca="1" si="28"/>
        <v/>
      </c>
      <c r="G275" s="3" t="str">
        <f t="shared" si="29"/>
        <v/>
      </c>
      <c r="H275" s="9" t="str">
        <f t="shared" si="30"/>
        <v/>
      </c>
      <c r="I275" s="20"/>
      <c r="J275" s="20"/>
      <c r="K275" s="19"/>
      <c r="L275" s="19"/>
      <c r="M275" s="19"/>
      <c r="N275" s="15" t="str">
        <f t="shared" si="31"/>
        <v/>
      </c>
      <c r="O275" s="3" t="str">
        <f t="shared" si="32"/>
        <v/>
      </c>
      <c r="P275" s="6" t="str">
        <f t="shared" ca="1" si="33"/>
        <v/>
      </c>
      <c r="Q275" s="21" t="str">
        <f>IF($A275="","",IF($C275=0,"",_xlfn.MINIFS('Daily tracking'!$A$2:$A$2001,'Daily tracking'!$D$2:$D$2001,$A275)))</f>
        <v/>
      </c>
      <c r="R275" s="6" t="str">
        <f t="shared" si="34"/>
        <v/>
      </c>
    </row>
    <row r="276" spans="1:18" x14ac:dyDescent="0.3">
      <c r="A276" s="19"/>
      <c r="B276" s="19"/>
      <c r="C276" s="15" t="str">
        <f>IF($A276="","",COUNTIF('Daily tracking'!$D$2:$D$2001,$A276))</f>
        <v/>
      </c>
      <c r="D276" s="16" t="str">
        <f>IF($A276="","",SUMIF('Daily tracking'!$D$2:$D$2001,$A276,'Daily tracking'!$G$2:$G$2001))</f>
        <v/>
      </c>
      <c r="E276" s="18" t="str">
        <f>IF($A276="","",IF($C276=0,"",_xlfn.MAXIFS('Daily tracking'!$A$2:$A$2001,'Daily tracking'!$D$2:$D$2001,$A276)))</f>
        <v/>
      </c>
      <c r="F276" s="6" t="str">
        <f t="shared" ca="1" si="28"/>
        <v/>
      </c>
      <c r="G276" s="3" t="str">
        <f t="shared" si="29"/>
        <v/>
      </c>
      <c r="H276" s="9" t="str">
        <f t="shared" si="30"/>
        <v/>
      </c>
      <c r="I276" s="20"/>
      <c r="J276" s="20"/>
      <c r="K276" s="19"/>
      <c r="L276" s="19"/>
      <c r="M276" s="19"/>
      <c r="N276" s="15" t="str">
        <f t="shared" si="31"/>
        <v/>
      </c>
      <c r="O276" s="3" t="str">
        <f t="shared" si="32"/>
        <v/>
      </c>
      <c r="P276" s="6" t="str">
        <f t="shared" ca="1" si="33"/>
        <v/>
      </c>
      <c r="Q276" s="21" t="str">
        <f>IF($A276="","",IF($C276=0,"",_xlfn.MINIFS('Daily tracking'!$A$2:$A$2001,'Daily tracking'!$D$2:$D$2001,$A276)))</f>
        <v/>
      </c>
      <c r="R276" s="6" t="str">
        <f t="shared" si="34"/>
        <v/>
      </c>
    </row>
    <row r="277" spans="1:18" x14ac:dyDescent="0.3">
      <c r="A277" s="19"/>
      <c r="B277" s="19"/>
      <c r="C277" s="15" t="str">
        <f>IF($A277="","",COUNTIF('Daily tracking'!$D$2:$D$2001,$A277))</f>
        <v/>
      </c>
      <c r="D277" s="16" t="str">
        <f>IF($A277="","",SUMIF('Daily tracking'!$D$2:$D$2001,$A277,'Daily tracking'!$G$2:$G$2001))</f>
        <v/>
      </c>
      <c r="E277" s="18" t="str">
        <f>IF($A277="","",IF($C277=0,"",_xlfn.MAXIFS('Daily tracking'!$A$2:$A$2001,'Daily tracking'!$D$2:$D$2001,$A277)))</f>
        <v/>
      </c>
      <c r="F277" s="6" t="str">
        <f t="shared" ca="1" si="28"/>
        <v/>
      </c>
      <c r="G277" s="3" t="str">
        <f t="shared" si="29"/>
        <v/>
      </c>
      <c r="H277" s="9" t="str">
        <f t="shared" si="30"/>
        <v/>
      </c>
      <c r="I277" s="20"/>
      <c r="J277" s="20"/>
      <c r="K277" s="19"/>
      <c r="L277" s="19"/>
      <c r="M277" s="19"/>
      <c r="N277" s="15" t="str">
        <f t="shared" si="31"/>
        <v/>
      </c>
      <c r="O277" s="3" t="str">
        <f t="shared" si="32"/>
        <v/>
      </c>
      <c r="P277" s="6" t="str">
        <f t="shared" ca="1" si="33"/>
        <v/>
      </c>
      <c r="Q277" s="21" t="str">
        <f>IF($A277="","",IF($C277=0,"",_xlfn.MINIFS('Daily tracking'!$A$2:$A$2001,'Daily tracking'!$D$2:$D$2001,$A277)))</f>
        <v/>
      </c>
      <c r="R277" s="6" t="str">
        <f t="shared" si="34"/>
        <v/>
      </c>
    </row>
    <row r="278" spans="1:18" x14ac:dyDescent="0.3">
      <c r="A278" s="19"/>
      <c r="B278" s="19"/>
      <c r="C278" s="15" t="str">
        <f>IF($A278="","",COUNTIF('Daily tracking'!$D$2:$D$2001,$A278))</f>
        <v/>
      </c>
      <c r="D278" s="16" t="str">
        <f>IF($A278="","",SUMIF('Daily tracking'!$D$2:$D$2001,$A278,'Daily tracking'!$G$2:$G$2001))</f>
        <v/>
      </c>
      <c r="E278" s="18" t="str">
        <f>IF($A278="","",IF($C278=0,"",_xlfn.MAXIFS('Daily tracking'!$A$2:$A$2001,'Daily tracking'!$D$2:$D$2001,$A278)))</f>
        <v/>
      </c>
      <c r="F278" s="6" t="str">
        <f t="shared" ca="1" si="28"/>
        <v/>
      </c>
      <c r="G278" s="3" t="str">
        <f t="shared" si="29"/>
        <v/>
      </c>
      <c r="H278" s="9" t="str">
        <f t="shared" si="30"/>
        <v/>
      </c>
      <c r="I278" s="20"/>
      <c r="J278" s="20"/>
      <c r="K278" s="19"/>
      <c r="L278" s="19"/>
      <c r="M278" s="19"/>
      <c r="N278" s="15" t="str">
        <f t="shared" si="31"/>
        <v/>
      </c>
      <c r="O278" s="3" t="str">
        <f t="shared" si="32"/>
        <v/>
      </c>
      <c r="P278" s="6" t="str">
        <f t="shared" ca="1" si="33"/>
        <v/>
      </c>
      <c r="Q278" s="21" t="str">
        <f>IF($A278="","",IF($C278=0,"",_xlfn.MINIFS('Daily tracking'!$A$2:$A$2001,'Daily tracking'!$D$2:$D$2001,$A278)))</f>
        <v/>
      </c>
      <c r="R278" s="6" t="str">
        <f t="shared" si="34"/>
        <v/>
      </c>
    </row>
    <row r="279" spans="1:18" x14ac:dyDescent="0.3">
      <c r="A279" s="19"/>
      <c r="B279" s="19"/>
      <c r="C279" s="15" t="str">
        <f>IF($A279="","",COUNTIF('Daily tracking'!$D$2:$D$2001,$A279))</f>
        <v/>
      </c>
      <c r="D279" s="16" t="str">
        <f>IF($A279="","",SUMIF('Daily tracking'!$D$2:$D$2001,$A279,'Daily tracking'!$G$2:$G$2001))</f>
        <v/>
      </c>
      <c r="E279" s="18" t="str">
        <f>IF($A279="","",IF($C279=0,"",_xlfn.MAXIFS('Daily tracking'!$A$2:$A$2001,'Daily tracking'!$D$2:$D$2001,$A279)))</f>
        <v/>
      </c>
      <c r="F279" s="6" t="str">
        <f t="shared" ca="1" si="28"/>
        <v/>
      </c>
      <c r="G279" s="3" t="str">
        <f t="shared" si="29"/>
        <v/>
      </c>
      <c r="H279" s="9" t="str">
        <f t="shared" si="30"/>
        <v/>
      </c>
      <c r="I279" s="20"/>
      <c r="J279" s="20"/>
      <c r="K279" s="19"/>
      <c r="L279" s="19"/>
      <c r="M279" s="19"/>
      <c r="N279" s="15" t="str">
        <f t="shared" si="31"/>
        <v/>
      </c>
      <c r="O279" s="3" t="str">
        <f t="shared" si="32"/>
        <v/>
      </c>
      <c r="P279" s="6" t="str">
        <f t="shared" ca="1" si="33"/>
        <v/>
      </c>
      <c r="Q279" s="21" t="str">
        <f>IF($A279="","",IF($C279=0,"",_xlfn.MINIFS('Daily tracking'!$A$2:$A$2001,'Daily tracking'!$D$2:$D$2001,$A279)))</f>
        <v/>
      </c>
      <c r="R279" s="6" t="str">
        <f t="shared" si="34"/>
        <v/>
      </c>
    </row>
    <row r="280" spans="1:18" x14ac:dyDescent="0.3">
      <c r="A280" s="19"/>
      <c r="B280" s="19"/>
      <c r="C280" s="15" t="str">
        <f>IF($A280="","",COUNTIF('Daily tracking'!$D$2:$D$2001,$A280))</f>
        <v/>
      </c>
      <c r="D280" s="16" t="str">
        <f>IF($A280="","",SUMIF('Daily tracking'!$D$2:$D$2001,$A280,'Daily tracking'!$G$2:$G$2001))</f>
        <v/>
      </c>
      <c r="E280" s="18" t="str">
        <f>IF($A280="","",IF($C280=0,"",_xlfn.MAXIFS('Daily tracking'!$A$2:$A$2001,'Daily tracking'!$D$2:$D$2001,$A280)))</f>
        <v/>
      </c>
      <c r="F280" s="6" t="str">
        <f t="shared" ca="1" si="28"/>
        <v/>
      </c>
      <c r="G280" s="3" t="str">
        <f t="shared" si="29"/>
        <v/>
      </c>
      <c r="H280" s="9" t="str">
        <f t="shared" si="30"/>
        <v/>
      </c>
      <c r="I280" s="20"/>
      <c r="J280" s="20"/>
      <c r="K280" s="19"/>
      <c r="L280" s="19"/>
      <c r="M280" s="19"/>
      <c r="N280" s="15" t="str">
        <f t="shared" si="31"/>
        <v/>
      </c>
      <c r="O280" s="3" t="str">
        <f t="shared" si="32"/>
        <v/>
      </c>
      <c r="P280" s="6" t="str">
        <f t="shared" ca="1" si="33"/>
        <v/>
      </c>
      <c r="Q280" s="21" t="str">
        <f>IF($A280="","",IF($C280=0,"",_xlfn.MINIFS('Daily tracking'!$A$2:$A$2001,'Daily tracking'!$D$2:$D$2001,$A280)))</f>
        <v/>
      </c>
      <c r="R280" s="6" t="str">
        <f t="shared" si="34"/>
        <v/>
      </c>
    </row>
    <row r="281" spans="1:18" x14ac:dyDescent="0.3">
      <c r="A281" s="19"/>
      <c r="B281" s="19"/>
      <c r="C281" s="15" t="str">
        <f>IF($A281="","",COUNTIF('Daily tracking'!$D$2:$D$2001,$A281))</f>
        <v/>
      </c>
      <c r="D281" s="16" t="str">
        <f>IF($A281="","",SUMIF('Daily tracking'!$D$2:$D$2001,$A281,'Daily tracking'!$G$2:$G$2001))</f>
        <v/>
      </c>
      <c r="E281" s="18" t="str">
        <f>IF($A281="","",IF($C281=0,"",_xlfn.MAXIFS('Daily tracking'!$A$2:$A$2001,'Daily tracking'!$D$2:$D$2001,$A281)))</f>
        <v/>
      </c>
      <c r="F281" s="6" t="str">
        <f t="shared" ca="1" si="28"/>
        <v/>
      </c>
      <c r="G281" s="3" t="str">
        <f t="shared" si="29"/>
        <v/>
      </c>
      <c r="H281" s="9" t="str">
        <f t="shared" si="30"/>
        <v/>
      </c>
      <c r="I281" s="20"/>
      <c r="J281" s="20"/>
      <c r="K281" s="19"/>
      <c r="L281" s="19"/>
      <c r="M281" s="19"/>
      <c r="N281" s="15" t="str">
        <f t="shared" si="31"/>
        <v/>
      </c>
      <c r="O281" s="3" t="str">
        <f t="shared" si="32"/>
        <v/>
      </c>
      <c r="P281" s="6" t="str">
        <f t="shared" ca="1" si="33"/>
        <v/>
      </c>
      <c r="Q281" s="21" t="str">
        <f>IF($A281="","",IF($C281=0,"",_xlfn.MINIFS('Daily tracking'!$A$2:$A$2001,'Daily tracking'!$D$2:$D$2001,$A281)))</f>
        <v/>
      </c>
      <c r="R281" s="6" t="str">
        <f t="shared" si="34"/>
        <v/>
      </c>
    </row>
    <row r="282" spans="1:18" x14ac:dyDescent="0.3">
      <c r="A282" s="19"/>
      <c r="B282" s="19"/>
      <c r="C282" s="15" t="str">
        <f>IF($A282="","",COUNTIF('Daily tracking'!$D$2:$D$2001,$A282))</f>
        <v/>
      </c>
      <c r="D282" s="16" t="str">
        <f>IF($A282="","",SUMIF('Daily tracking'!$D$2:$D$2001,$A282,'Daily tracking'!$G$2:$G$2001))</f>
        <v/>
      </c>
      <c r="E282" s="18" t="str">
        <f>IF($A282="","",IF($C282=0,"",_xlfn.MAXIFS('Daily tracking'!$A$2:$A$2001,'Daily tracking'!$D$2:$D$2001,$A282)))</f>
        <v/>
      </c>
      <c r="F282" s="6" t="str">
        <f t="shared" ca="1" si="28"/>
        <v/>
      </c>
      <c r="G282" s="3" t="str">
        <f t="shared" si="29"/>
        <v/>
      </c>
      <c r="H282" s="9" t="str">
        <f t="shared" si="30"/>
        <v/>
      </c>
      <c r="I282" s="20"/>
      <c r="J282" s="20"/>
      <c r="K282" s="19"/>
      <c r="L282" s="19"/>
      <c r="M282" s="19"/>
      <c r="N282" s="15" t="str">
        <f t="shared" si="31"/>
        <v/>
      </c>
      <c r="O282" s="3" t="str">
        <f t="shared" si="32"/>
        <v/>
      </c>
      <c r="P282" s="6" t="str">
        <f t="shared" ca="1" si="33"/>
        <v/>
      </c>
      <c r="Q282" s="21" t="str">
        <f>IF($A282="","",IF($C282=0,"",_xlfn.MINIFS('Daily tracking'!$A$2:$A$2001,'Daily tracking'!$D$2:$D$2001,$A282)))</f>
        <v/>
      </c>
      <c r="R282" s="6" t="str">
        <f t="shared" si="34"/>
        <v/>
      </c>
    </row>
    <row r="283" spans="1:18" x14ac:dyDescent="0.3">
      <c r="A283" s="19"/>
      <c r="B283" s="19"/>
      <c r="C283" s="15" t="str">
        <f>IF($A283="","",COUNTIF('Daily tracking'!$D$2:$D$2001,$A283))</f>
        <v/>
      </c>
      <c r="D283" s="16" t="str">
        <f>IF($A283="","",SUMIF('Daily tracking'!$D$2:$D$2001,$A283,'Daily tracking'!$G$2:$G$2001))</f>
        <v/>
      </c>
      <c r="E283" s="18" t="str">
        <f>IF($A283="","",IF($C283=0,"",_xlfn.MAXIFS('Daily tracking'!$A$2:$A$2001,'Daily tracking'!$D$2:$D$2001,$A283)))</f>
        <v/>
      </c>
      <c r="F283" s="6" t="str">
        <f t="shared" ca="1" si="28"/>
        <v/>
      </c>
      <c r="G283" s="3" t="str">
        <f t="shared" si="29"/>
        <v/>
      </c>
      <c r="H283" s="9" t="str">
        <f t="shared" si="30"/>
        <v/>
      </c>
      <c r="I283" s="20"/>
      <c r="J283" s="20"/>
      <c r="K283" s="19"/>
      <c r="L283" s="19"/>
      <c r="M283" s="19"/>
      <c r="N283" s="15" t="str">
        <f t="shared" si="31"/>
        <v/>
      </c>
      <c r="O283" s="3" t="str">
        <f t="shared" si="32"/>
        <v/>
      </c>
      <c r="P283" s="6" t="str">
        <f t="shared" ca="1" si="33"/>
        <v/>
      </c>
      <c r="Q283" s="21" t="str">
        <f>IF($A283="","",IF($C283=0,"",_xlfn.MINIFS('Daily tracking'!$A$2:$A$2001,'Daily tracking'!$D$2:$D$2001,$A283)))</f>
        <v/>
      </c>
      <c r="R283" s="6" t="str">
        <f t="shared" si="34"/>
        <v/>
      </c>
    </row>
    <row r="284" spans="1:18" x14ac:dyDescent="0.3">
      <c r="A284" s="19"/>
      <c r="B284" s="19"/>
      <c r="C284" s="15" t="str">
        <f>IF($A284="","",COUNTIF('Daily tracking'!$D$2:$D$2001,$A284))</f>
        <v/>
      </c>
      <c r="D284" s="16" t="str">
        <f>IF($A284="","",SUMIF('Daily tracking'!$D$2:$D$2001,$A284,'Daily tracking'!$G$2:$G$2001))</f>
        <v/>
      </c>
      <c r="E284" s="18" t="str">
        <f>IF($A284="","",IF($C284=0,"",_xlfn.MAXIFS('Daily tracking'!$A$2:$A$2001,'Daily tracking'!$D$2:$D$2001,$A284)))</f>
        <v/>
      </c>
      <c r="F284" s="6" t="str">
        <f t="shared" ca="1" si="28"/>
        <v/>
      </c>
      <c r="G284" s="3" t="str">
        <f t="shared" si="29"/>
        <v/>
      </c>
      <c r="H284" s="9" t="str">
        <f t="shared" si="30"/>
        <v/>
      </c>
      <c r="I284" s="20"/>
      <c r="J284" s="20"/>
      <c r="K284" s="19"/>
      <c r="L284" s="19"/>
      <c r="M284" s="19"/>
      <c r="N284" s="15" t="str">
        <f t="shared" si="31"/>
        <v/>
      </c>
      <c r="O284" s="3" t="str">
        <f t="shared" si="32"/>
        <v/>
      </c>
      <c r="P284" s="6" t="str">
        <f t="shared" ca="1" si="33"/>
        <v/>
      </c>
      <c r="Q284" s="21" t="str">
        <f>IF($A284="","",IF($C284=0,"",_xlfn.MINIFS('Daily tracking'!$A$2:$A$2001,'Daily tracking'!$D$2:$D$2001,$A284)))</f>
        <v/>
      </c>
      <c r="R284" s="6" t="str">
        <f t="shared" si="34"/>
        <v/>
      </c>
    </row>
    <row r="285" spans="1:18" x14ac:dyDescent="0.3">
      <c r="A285" s="19"/>
      <c r="B285" s="19"/>
      <c r="C285" s="15" t="str">
        <f>IF($A285="","",COUNTIF('Daily tracking'!$D$2:$D$2001,$A285))</f>
        <v/>
      </c>
      <c r="D285" s="16" t="str">
        <f>IF($A285="","",SUMIF('Daily tracking'!$D$2:$D$2001,$A285,'Daily tracking'!$G$2:$G$2001))</f>
        <v/>
      </c>
      <c r="E285" s="18" t="str">
        <f>IF($A285="","",IF($C285=0,"",_xlfn.MAXIFS('Daily tracking'!$A$2:$A$2001,'Daily tracking'!$D$2:$D$2001,$A285)))</f>
        <v/>
      </c>
      <c r="F285" s="6" t="str">
        <f t="shared" ca="1" si="28"/>
        <v/>
      </c>
      <c r="G285" s="3" t="str">
        <f t="shared" si="29"/>
        <v/>
      </c>
      <c r="H285" s="9" t="str">
        <f t="shared" si="30"/>
        <v/>
      </c>
      <c r="I285" s="20"/>
      <c r="J285" s="20"/>
      <c r="K285" s="19"/>
      <c r="L285" s="19"/>
      <c r="M285" s="19"/>
      <c r="N285" s="15" t="str">
        <f t="shared" si="31"/>
        <v/>
      </c>
      <c r="O285" s="3" t="str">
        <f t="shared" si="32"/>
        <v/>
      </c>
      <c r="P285" s="6" t="str">
        <f t="shared" ca="1" si="33"/>
        <v/>
      </c>
      <c r="Q285" s="21" t="str">
        <f>IF($A285="","",IF($C285=0,"",_xlfn.MINIFS('Daily tracking'!$A$2:$A$2001,'Daily tracking'!$D$2:$D$2001,$A285)))</f>
        <v/>
      </c>
      <c r="R285" s="6" t="str">
        <f t="shared" si="34"/>
        <v/>
      </c>
    </row>
    <row r="286" spans="1:18" x14ac:dyDescent="0.3">
      <c r="A286" s="19"/>
      <c r="B286" s="19"/>
      <c r="C286" s="15" t="str">
        <f>IF($A286="","",COUNTIF('Daily tracking'!$D$2:$D$2001,$A286))</f>
        <v/>
      </c>
      <c r="D286" s="16" t="str">
        <f>IF($A286="","",SUMIF('Daily tracking'!$D$2:$D$2001,$A286,'Daily tracking'!$G$2:$G$2001))</f>
        <v/>
      </c>
      <c r="E286" s="18" t="str">
        <f>IF($A286="","",IF($C286=0,"",_xlfn.MAXIFS('Daily tracking'!$A$2:$A$2001,'Daily tracking'!$D$2:$D$2001,$A286)))</f>
        <v/>
      </c>
      <c r="F286" s="6" t="str">
        <f t="shared" ca="1" si="28"/>
        <v/>
      </c>
      <c r="G286" s="3" t="str">
        <f t="shared" si="29"/>
        <v/>
      </c>
      <c r="H286" s="9" t="str">
        <f t="shared" si="30"/>
        <v/>
      </c>
      <c r="I286" s="20"/>
      <c r="J286" s="20"/>
      <c r="K286" s="19"/>
      <c r="L286" s="19"/>
      <c r="M286" s="19"/>
      <c r="N286" s="15" t="str">
        <f t="shared" si="31"/>
        <v/>
      </c>
      <c r="O286" s="3" t="str">
        <f t="shared" si="32"/>
        <v/>
      </c>
      <c r="P286" s="6" t="str">
        <f t="shared" ca="1" si="33"/>
        <v/>
      </c>
      <c r="Q286" s="21" t="str">
        <f>IF($A286="","",IF($C286=0,"",_xlfn.MINIFS('Daily tracking'!$A$2:$A$2001,'Daily tracking'!$D$2:$D$2001,$A286)))</f>
        <v/>
      </c>
      <c r="R286" s="6" t="str">
        <f t="shared" si="34"/>
        <v/>
      </c>
    </row>
    <row r="287" spans="1:18" x14ac:dyDescent="0.3">
      <c r="A287" s="19"/>
      <c r="B287" s="19"/>
      <c r="C287" s="15" t="str">
        <f>IF($A287="","",COUNTIF('Daily tracking'!$D$2:$D$2001,$A287))</f>
        <v/>
      </c>
      <c r="D287" s="16" t="str">
        <f>IF($A287="","",SUMIF('Daily tracking'!$D$2:$D$2001,$A287,'Daily tracking'!$G$2:$G$2001))</f>
        <v/>
      </c>
      <c r="E287" s="18" t="str">
        <f>IF($A287="","",IF($C287=0,"",_xlfn.MAXIFS('Daily tracking'!$A$2:$A$2001,'Daily tracking'!$D$2:$D$2001,$A287)))</f>
        <v/>
      </c>
      <c r="F287" s="6" t="str">
        <f t="shared" ca="1" si="28"/>
        <v/>
      </c>
      <c r="G287" s="3" t="str">
        <f t="shared" si="29"/>
        <v/>
      </c>
      <c r="H287" s="9" t="str">
        <f t="shared" si="30"/>
        <v/>
      </c>
      <c r="I287" s="20"/>
      <c r="J287" s="20"/>
      <c r="K287" s="19"/>
      <c r="L287" s="19"/>
      <c r="M287" s="19"/>
      <c r="N287" s="15" t="str">
        <f t="shared" si="31"/>
        <v/>
      </c>
      <c r="O287" s="3" t="str">
        <f t="shared" si="32"/>
        <v/>
      </c>
      <c r="P287" s="6" t="str">
        <f t="shared" ca="1" si="33"/>
        <v/>
      </c>
      <c r="Q287" s="21" t="str">
        <f>IF($A287="","",IF($C287=0,"",_xlfn.MINIFS('Daily tracking'!$A$2:$A$2001,'Daily tracking'!$D$2:$D$2001,$A287)))</f>
        <v/>
      </c>
      <c r="R287" s="6" t="str">
        <f t="shared" si="34"/>
        <v/>
      </c>
    </row>
    <row r="288" spans="1:18" x14ac:dyDescent="0.3">
      <c r="A288" s="19"/>
      <c r="B288" s="19"/>
      <c r="C288" s="15" t="str">
        <f>IF($A288="","",COUNTIF('Daily tracking'!$D$2:$D$2001,$A288))</f>
        <v/>
      </c>
      <c r="D288" s="16" t="str">
        <f>IF($A288="","",SUMIF('Daily tracking'!$D$2:$D$2001,$A288,'Daily tracking'!$G$2:$G$2001))</f>
        <v/>
      </c>
      <c r="E288" s="18" t="str">
        <f>IF($A288="","",IF($C288=0,"",_xlfn.MAXIFS('Daily tracking'!$A$2:$A$2001,'Daily tracking'!$D$2:$D$2001,$A288)))</f>
        <v/>
      </c>
      <c r="F288" s="6" t="str">
        <f t="shared" ca="1" si="28"/>
        <v/>
      </c>
      <c r="G288" s="3" t="str">
        <f t="shared" si="29"/>
        <v/>
      </c>
      <c r="H288" s="9" t="str">
        <f t="shared" si="30"/>
        <v/>
      </c>
      <c r="I288" s="20"/>
      <c r="J288" s="20"/>
      <c r="K288" s="19"/>
      <c r="L288" s="19"/>
      <c r="M288" s="19"/>
      <c r="N288" s="15" t="str">
        <f t="shared" si="31"/>
        <v/>
      </c>
      <c r="O288" s="3" t="str">
        <f t="shared" si="32"/>
        <v/>
      </c>
      <c r="P288" s="6" t="str">
        <f t="shared" ca="1" si="33"/>
        <v/>
      </c>
      <c r="Q288" s="21" t="str">
        <f>IF($A288="","",IF($C288=0,"",_xlfn.MINIFS('Daily tracking'!$A$2:$A$2001,'Daily tracking'!$D$2:$D$2001,$A288)))</f>
        <v/>
      </c>
      <c r="R288" s="6" t="str">
        <f t="shared" si="34"/>
        <v/>
      </c>
    </row>
    <row r="289" spans="1:18" x14ac:dyDescent="0.3">
      <c r="A289" s="19"/>
      <c r="B289" s="19"/>
      <c r="C289" s="15" t="str">
        <f>IF($A289="","",COUNTIF('Daily tracking'!$D$2:$D$2001,$A289))</f>
        <v/>
      </c>
      <c r="D289" s="16" t="str">
        <f>IF($A289="","",SUMIF('Daily tracking'!$D$2:$D$2001,$A289,'Daily tracking'!$G$2:$G$2001))</f>
        <v/>
      </c>
      <c r="E289" s="18" t="str">
        <f>IF($A289="","",IF($C289=0,"",_xlfn.MAXIFS('Daily tracking'!$A$2:$A$2001,'Daily tracking'!$D$2:$D$2001,$A289)))</f>
        <v/>
      </c>
      <c r="F289" s="6" t="str">
        <f t="shared" ca="1" si="28"/>
        <v/>
      </c>
      <c r="G289" s="3" t="str">
        <f t="shared" si="29"/>
        <v/>
      </c>
      <c r="H289" s="9" t="str">
        <f t="shared" si="30"/>
        <v/>
      </c>
      <c r="I289" s="20"/>
      <c r="J289" s="20"/>
      <c r="K289" s="19"/>
      <c r="L289" s="19"/>
      <c r="M289" s="19"/>
      <c r="N289" s="15" t="str">
        <f t="shared" si="31"/>
        <v/>
      </c>
      <c r="O289" s="3" t="str">
        <f t="shared" si="32"/>
        <v/>
      </c>
      <c r="P289" s="6" t="str">
        <f t="shared" ca="1" si="33"/>
        <v/>
      </c>
      <c r="Q289" s="21" t="str">
        <f>IF($A289="","",IF($C289=0,"",_xlfn.MINIFS('Daily tracking'!$A$2:$A$2001,'Daily tracking'!$D$2:$D$2001,$A289)))</f>
        <v/>
      </c>
      <c r="R289" s="6" t="str">
        <f t="shared" si="34"/>
        <v/>
      </c>
    </row>
    <row r="290" spans="1:18" x14ac:dyDescent="0.3">
      <c r="A290" s="19"/>
      <c r="B290" s="19"/>
      <c r="C290" s="15" t="str">
        <f>IF($A290="","",COUNTIF('Daily tracking'!$D$2:$D$2001,$A290))</f>
        <v/>
      </c>
      <c r="D290" s="16" t="str">
        <f>IF($A290="","",SUMIF('Daily tracking'!$D$2:$D$2001,$A290,'Daily tracking'!$G$2:$G$2001))</f>
        <v/>
      </c>
      <c r="E290" s="18" t="str">
        <f>IF($A290="","",IF($C290=0,"",_xlfn.MAXIFS('Daily tracking'!$A$2:$A$2001,'Daily tracking'!$D$2:$D$2001,$A290)))</f>
        <v/>
      </c>
      <c r="F290" s="6" t="str">
        <f t="shared" ca="1" si="28"/>
        <v/>
      </c>
      <c r="G290" s="3" t="str">
        <f t="shared" si="29"/>
        <v/>
      </c>
      <c r="H290" s="9" t="str">
        <f t="shared" si="30"/>
        <v/>
      </c>
      <c r="I290" s="20"/>
      <c r="J290" s="20"/>
      <c r="K290" s="19"/>
      <c r="L290" s="19"/>
      <c r="M290" s="19"/>
      <c r="N290" s="15" t="str">
        <f t="shared" si="31"/>
        <v/>
      </c>
      <c r="O290" s="3" t="str">
        <f t="shared" si="32"/>
        <v/>
      </c>
      <c r="P290" s="6" t="str">
        <f t="shared" ca="1" si="33"/>
        <v/>
      </c>
      <c r="Q290" s="21" t="str">
        <f>IF($A290="","",IF($C290=0,"",_xlfn.MINIFS('Daily tracking'!$A$2:$A$2001,'Daily tracking'!$D$2:$D$2001,$A290)))</f>
        <v/>
      </c>
      <c r="R290" s="6" t="str">
        <f t="shared" si="34"/>
        <v/>
      </c>
    </row>
    <row r="291" spans="1:18" x14ac:dyDescent="0.3">
      <c r="A291" s="19"/>
      <c r="B291" s="19"/>
      <c r="C291" s="15" t="str">
        <f>IF($A291="","",COUNTIF('Daily tracking'!$D$2:$D$2001,$A291))</f>
        <v/>
      </c>
      <c r="D291" s="16" t="str">
        <f>IF($A291="","",SUMIF('Daily tracking'!$D$2:$D$2001,$A291,'Daily tracking'!$G$2:$G$2001))</f>
        <v/>
      </c>
      <c r="E291" s="18" t="str">
        <f>IF($A291="","",IF($C291=0,"",_xlfn.MAXIFS('Daily tracking'!$A$2:$A$2001,'Daily tracking'!$D$2:$D$2001,$A291)))</f>
        <v/>
      </c>
      <c r="F291" s="6" t="str">
        <f t="shared" ca="1" si="28"/>
        <v/>
      </c>
      <c r="G291" s="3" t="str">
        <f t="shared" si="29"/>
        <v/>
      </c>
      <c r="H291" s="9" t="str">
        <f t="shared" si="30"/>
        <v/>
      </c>
      <c r="I291" s="20"/>
      <c r="J291" s="20"/>
      <c r="K291" s="19"/>
      <c r="L291" s="19"/>
      <c r="M291" s="19"/>
      <c r="N291" s="15" t="str">
        <f t="shared" si="31"/>
        <v/>
      </c>
      <c r="O291" s="3" t="str">
        <f t="shared" si="32"/>
        <v/>
      </c>
      <c r="P291" s="6" t="str">
        <f t="shared" ca="1" si="33"/>
        <v/>
      </c>
      <c r="Q291" s="21" t="str">
        <f>IF($A291="","",IF($C291=0,"",_xlfn.MINIFS('Daily tracking'!$A$2:$A$2001,'Daily tracking'!$D$2:$D$2001,$A291)))</f>
        <v/>
      </c>
      <c r="R291" s="6" t="str">
        <f t="shared" si="34"/>
        <v/>
      </c>
    </row>
    <row r="292" spans="1:18" x14ac:dyDescent="0.3">
      <c r="A292" s="19"/>
      <c r="B292" s="19"/>
      <c r="C292" s="15" t="str">
        <f>IF($A292="","",COUNTIF('Daily tracking'!$D$2:$D$2001,$A292))</f>
        <v/>
      </c>
      <c r="D292" s="16" t="str">
        <f>IF($A292="","",SUMIF('Daily tracking'!$D$2:$D$2001,$A292,'Daily tracking'!$G$2:$G$2001))</f>
        <v/>
      </c>
      <c r="E292" s="18" t="str">
        <f>IF($A292="","",IF($C292=0,"",_xlfn.MAXIFS('Daily tracking'!$A$2:$A$2001,'Daily tracking'!$D$2:$D$2001,$A292)))</f>
        <v/>
      </c>
      <c r="F292" s="6" t="str">
        <f t="shared" ca="1" si="28"/>
        <v/>
      </c>
      <c r="G292" s="3" t="str">
        <f t="shared" si="29"/>
        <v/>
      </c>
      <c r="H292" s="9" t="str">
        <f t="shared" si="30"/>
        <v/>
      </c>
      <c r="I292" s="20"/>
      <c r="J292" s="20"/>
      <c r="K292" s="19"/>
      <c r="L292" s="19"/>
      <c r="M292" s="19"/>
      <c r="N292" s="15" t="str">
        <f t="shared" si="31"/>
        <v/>
      </c>
      <c r="O292" s="3" t="str">
        <f t="shared" si="32"/>
        <v/>
      </c>
      <c r="P292" s="6" t="str">
        <f t="shared" ca="1" si="33"/>
        <v/>
      </c>
      <c r="Q292" s="21" t="str">
        <f>IF($A292="","",IF($C292=0,"",_xlfn.MINIFS('Daily tracking'!$A$2:$A$2001,'Daily tracking'!$D$2:$D$2001,$A292)))</f>
        <v/>
      </c>
      <c r="R292" s="6" t="str">
        <f t="shared" si="34"/>
        <v/>
      </c>
    </row>
    <row r="293" spans="1:18" x14ac:dyDescent="0.3">
      <c r="A293" s="19"/>
      <c r="B293" s="19"/>
      <c r="C293" s="15" t="str">
        <f>IF($A293="","",COUNTIF('Daily tracking'!$D$2:$D$2001,$A293))</f>
        <v/>
      </c>
      <c r="D293" s="16" t="str">
        <f>IF($A293="","",SUMIF('Daily tracking'!$D$2:$D$2001,$A293,'Daily tracking'!$G$2:$G$2001))</f>
        <v/>
      </c>
      <c r="E293" s="18" t="str">
        <f>IF($A293="","",IF($C293=0,"",_xlfn.MAXIFS('Daily tracking'!$A$2:$A$2001,'Daily tracking'!$D$2:$D$2001,$A293)))</f>
        <v/>
      </c>
      <c r="F293" s="6" t="str">
        <f t="shared" ca="1" si="28"/>
        <v/>
      </c>
      <c r="G293" s="3" t="str">
        <f t="shared" si="29"/>
        <v/>
      </c>
      <c r="H293" s="9" t="str">
        <f t="shared" si="30"/>
        <v/>
      </c>
      <c r="I293" s="20"/>
      <c r="J293" s="20"/>
      <c r="K293" s="19"/>
      <c r="L293" s="19"/>
      <c r="M293" s="19"/>
      <c r="N293" s="15" t="str">
        <f t="shared" si="31"/>
        <v/>
      </c>
      <c r="O293" s="3" t="str">
        <f t="shared" si="32"/>
        <v/>
      </c>
      <c r="P293" s="6" t="str">
        <f t="shared" ca="1" si="33"/>
        <v/>
      </c>
      <c r="Q293" s="21" t="str">
        <f>IF($A293="","",IF($C293=0,"",_xlfn.MINIFS('Daily tracking'!$A$2:$A$2001,'Daily tracking'!$D$2:$D$2001,$A293)))</f>
        <v/>
      </c>
      <c r="R293" s="6" t="str">
        <f t="shared" si="34"/>
        <v/>
      </c>
    </row>
    <row r="294" spans="1:18" x14ac:dyDescent="0.3">
      <c r="A294" s="19"/>
      <c r="B294" s="19"/>
      <c r="C294" s="15" t="str">
        <f>IF($A294="","",COUNTIF('Daily tracking'!$D$2:$D$2001,$A294))</f>
        <v/>
      </c>
      <c r="D294" s="16" t="str">
        <f>IF($A294="","",SUMIF('Daily tracking'!$D$2:$D$2001,$A294,'Daily tracking'!$G$2:$G$2001))</f>
        <v/>
      </c>
      <c r="E294" s="18" t="str">
        <f>IF($A294="","",IF($C294=0,"",_xlfn.MAXIFS('Daily tracking'!$A$2:$A$2001,'Daily tracking'!$D$2:$D$2001,$A294)))</f>
        <v/>
      </c>
      <c r="F294" s="6" t="str">
        <f t="shared" ca="1" si="28"/>
        <v/>
      </c>
      <c r="G294" s="3" t="str">
        <f t="shared" si="29"/>
        <v/>
      </c>
      <c r="H294" s="9" t="str">
        <f t="shared" si="30"/>
        <v/>
      </c>
      <c r="I294" s="20"/>
      <c r="J294" s="20"/>
      <c r="K294" s="19"/>
      <c r="L294" s="19"/>
      <c r="M294" s="19"/>
      <c r="N294" s="15" t="str">
        <f t="shared" si="31"/>
        <v/>
      </c>
      <c r="O294" s="3" t="str">
        <f t="shared" si="32"/>
        <v/>
      </c>
      <c r="P294" s="6" t="str">
        <f t="shared" ca="1" si="33"/>
        <v/>
      </c>
      <c r="Q294" s="21" t="str">
        <f>IF($A294="","",IF($C294=0,"",_xlfn.MINIFS('Daily tracking'!$A$2:$A$2001,'Daily tracking'!$D$2:$D$2001,$A294)))</f>
        <v/>
      </c>
      <c r="R294" s="6" t="str">
        <f t="shared" si="34"/>
        <v/>
      </c>
    </row>
    <row r="295" spans="1:18" x14ac:dyDescent="0.3">
      <c r="A295" s="19"/>
      <c r="B295" s="19"/>
      <c r="C295" s="15" t="str">
        <f>IF($A295="","",COUNTIF('Daily tracking'!$D$2:$D$2001,$A295))</f>
        <v/>
      </c>
      <c r="D295" s="16" t="str">
        <f>IF($A295="","",SUMIF('Daily tracking'!$D$2:$D$2001,$A295,'Daily tracking'!$G$2:$G$2001))</f>
        <v/>
      </c>
      <c r="E295" s="18" t="str">
        <f>IF($A295="","",IF($C295=0,"",_xlfn.MAXIFS('Daily tracking'!$A$2:$A$2001,'Daily tracking'!$D$2:$D$2001,$A295)))</f>
        <v/>
      </c>
      <c r="F295" s="6" t="str">
        <f t="shared" ca="1" si="28"/>
        <v/>
      </c>
      <c r="G295" s="3" t="str">
        <f t="shared" si="29"/>
        <v/>
      </c>
      <c r="H295" s="9" t="str">
        <f t="shared" si="30"/>
        <v/>
      </c>
      <c r="I295" s="20"/>
      <c r="J295" s="20"/>
      <c r="K295" s="19"/>
      <c r="L295" s="19"/>
      <c r="M295" s="19"/>
      <c r="N295" s="15" t="str">
        <f t="shared" si="31"/>
        <v/>
      </c>
      <c r="O295" s="3" t="str">
        <f t="shared" si="32"/>
        <v/>
      </c>
      <c r="P295" s="6" t="str">
        <f t="shared" ca="1" si="33"/>
        <v/>
      </c>
      <c r="Q295" s="21" t="str">
        <f>IF($A295="","",IF($C295=0,"",_xlfn.MINIFS('Daily tracking'!$A$2:$A$2001,'Daily tracking'!$D$2:$D$2001,$A295)))</f>
        <v/>
      </c>
      <c r="R295" s="6" t="str">
        <f t="shared" si="34"/>
        <v/>
      </c>
    </row>
    <row r="296" spans="1:18" x14ac:dyDescent="0.3">
      <c r="A296" s="19"/>
      <c r="B296" s="19"/>
      <c r="C296" s="15" t="str">
        <f>IF($A296="","",COUNTIF('Daily tracking'!$D$2:$D$2001,$A296))</f>
        <v/>
      </c>
      <c r="D296" s="16" t="str">
        <f>IF($A296="","",SUMIF('Daily tracking'!$D$2:$D$2001,$A296,'Daily tracking'!$G$2:$G$2001))</f>
        <v/>
      </c>
      <c r="E296" s="18" t="str">
        <f>IF($A296="","",IF($C296=0,"",_xlfn.MAXIFS('Daily tracking'!$A$2:$A$2001,'Daily tracking'!$D$2:$D$2001,$A296)))</f>
        <v/>
      </c>
      <c r="F296" s="6" t="str">
        <f t="shared" ca="1" si="28"/>
        <v/>
      </c>
      <c r="G296" s="3" t="str">
        <f t="shared" si="29"/>
        <v/>
      </c>
      <c r="H296" s="9" t="str">
        <f t="shared" si="30"/>
        <v/>
      </c>
      <c r="I296" s="20"/>
      <c r="J296" s="20"/>
      <c r="K296" s="19"/>
      <c r="L296" s="19"/>
      <c r="M296" s="19"/>
      <c r="N296" s="15" t="str">
        <f t="shared" si="31"/>
        <v/>
      </c>
      <c r="O296" s="3" t="str">
        <f t="shared" si="32"/>
        <v/>
      </c>
      <c r="P296" s="6" t="str">
        <f t="shared" ca="1" si="33"/>
        <v/>
      </c>
      <c r="Q296" s="21" t="str">
        <f>IF($A296="","",IF($C296=0,"",_xlfn.MINIFS('Daily tracking'!$A$2:$A$2001,'Daily tracking'!$D$2:$D$2001,$A296)))</f>
        <v/>
      </c>
      <c r="R296" s="6" t="str">
        <f t="shared" si="34"/>
        <v/>
      </c>
    </row>
    <row r="297" spans="1:18" x14ac:dyDescent="0.3">
      <c r="A297" s="19"/>
      <c r="B297" s="19"/>
      <c r="C297" s="15" t="str">
        <f>IF($A297="","",COUNTIF('Daily tracking'!$D$2:$D$2001,$A297))</f>
        <v/>
      </c>
      <c r="D297" s="16" t="str">
        <f>IF($A297="","",SUMIF('Daily tracking'!$D$2:$D$2001,$A297,'Daily tracking'!$G$2:$G$2001))</f>
        <v/>
      </c>
      <c r="E297" s="18" t="str">
        <f>IF($A297="","",IF($C297=0,"",_xlfn.MAXIFS('Daily tracking'!$A$2:$A$2001,'Daily tracking'!$D$2:$D$2001,$A297)))</f>
        <v/>
      </c>
      <c r="F297" s="6" t="str">
        <f t="shared" ca="1" si="28"/>
        <v/>
      </c>
      <c r="G297" s="3" t="str">
        <f t="shared" si="29"/>
        <v/>
      </c>
      <c r="H297" s="9" t="str">
        <f t="shared" si="30"/>
        <v/>
      </c>
      <c r="I297" s="20"/>
      <c r="J297" s="20"/>
      <c r="K297" s="19"/>
      <c r="L297" s="19"/>
      <c r="M297" s="19"/>
      <c r="N297" s="15" t="str">
        <f t="shared" si="31"/>
        <v/>
      </c>
      <c r="O297" s="3" t="str">
        <f t="shared" si="32"/>
        <v/>
      </c>
      <c r="P297" s="6" t="str">
        <f t="shared" ca="1" si="33"/>
        <v/>
      </c>
      <c r="Q297" s="21" t="str">
        <f>IF($A297="","",IF($C297=0,"",_xlfn.MINIFS('Daily tracking'!$A$2:$A$2001,'Daily tracking'!$D$2:$D$2001,$A297)))</f>
        <v/>
      </c>
      <c r="R297" s="6" t="str">
        <f t="shared" si="34"/>
        <v/>
      </c>
    </row>
    <row r="298" spans="1:18" x14ac:dyDescent="0.3">
      <c r="A298" s="19"/>
      <c r="B298" s="19"/>
      <c r="C298" s="15" t="str">
        <f>IF($A298="","",COUNTIF('Daily tracking'!$D$2:$D$2001,$A298))</f>
        <v/>
      </c>
      <c r="D298" s="16" t="str">
        <f>IF($A298="","",SUMIF('Daily tracking'!$D$2:$D$2001,$A298,'Daily tracking'!$G$2:$G$2001))</f>
        <v/>
      </c>
      <c r="E298" s="18" t="str">
        <f>IF($A298="","",IF($C298=0,"",_xlfn.MAXIFS('Daily tracking'!$A$2:$A$2001,'Daily tracking'!$D$2:$D$2001,$A298)))</f>
        <v/>
      </c>
      <c r="F298" s="6" t="str">
        <f t="shared" ca="1" si="28"/>
        <v/>
      </c>
      <c r="G298" s="3" t="str">
        <f t="shared" si="29"/>
        <v/>
      </c>
      <c r="H298" s="9" t="str">
        <f t="shared" si="30"/>
        <v/>
      </c>
      <c r="I298" s="20"/>
      <c r="J298" s="20"/>
      <c r="K298" s="19"/>
      <c r="L298" s="19"/>
      <c r="M298" s="19"/>
      <c r="N298" s="15" t="str">
        <f t="shared" si="31"/>
        <v/>
      </c>
      <c r="O298" s="3" t="str">
        <f t="shared" si="32"/>
        <v/>
      </c>
      <c r="P298" s="6" t="str">
        <f t="shared" ca="1" si="33"/>
        <v/>
      </c>
      <c r="Q298" s="21" t="str">
        <f>IF($A298="","",IF($C298=0,"",_xlfn.MINIFS('Daily tracking'!$A$2:$A$2001,'Daily tracking'!$D$2:$D$2001,$A298)))</f>
        <v/>
      </c>
      <c r="R298" s="6" t="str">
        <f t="shared" si="34"/>
        <v/>
      </c>
    </row>
    <row r="299" spans="1:18" x14ac:dyDescent="0.3">
      <c r="A299" s="19"/>
      <c r="B299" s="19"/>
      <c r="C299" s="15" t="str">
        <f>IF($A299="","",COUNTIF('Daily tracking'!$D$2:$D$2001,$A299))</f>
        <v/>
      </c>
      <c r="D299" s="16" t="str">
        <f>IF($A299="","",SUMIF('Daily tracking'!$D$2:$D$2001,$A299,'Daily tracking'!$G$2:$G$2001))</f>
        <v/>
      </c>
      <c r="E299" s="18" t="str">
        <f>IF($A299="","",IF($C299=0,"",_xlfn.MAXIFS('Daily tracking'!$A$2:$A$2001,'Daily tracking'!$D$2:$D$2001,$A299)))</f>
        <v/>
      </c>
      <c r="F299" s="6" t="str">
        <f t="shared" ca="1" si="28"/>
        <v/>
      </c>
      <c r="G299" s="3" t="str">
        <f t="shared" si="29"/>
        <v/>
      </c>
      <c r="H299" s="9" t="str">
        <f t="shared" si="30"/>
        <v/>
      </c>
      <c r="I299" s="20"/>
      <c r="J299" s="20"/>
      <c r="K299" s="19"/>
      <c r="L299" s="19"/>
      <c r="M299" s="19"/>
      <c r="N299" s="15" t="str">
        <f t="shared" si="31"/>
        <v/>
      </c>
      <c r="O299" s="3" t="str">
        <f t="shared" si="32"/>
        <v/>
      </c>
      <c r="P299" s="6" t="str">
        <f t="shared" ca="1" si="33"/>
        <v/>
      </c>
      <c r="Q299" s="21" t="str">
        <f>IF($A299="","",IF($C299=0,"",_xlfn.MINIFS('Daily tracking'!$A$2:$A$2001,'Daily tracking'!$D$2:$D$2001,$A299)))</f>
        <v/>
      </c>
      <c r="R299" s="6" t="str">
        <f t="shared" si="34"/>
        <v/>
      </c>
    </row>
    <row r="300" spans="1:18" x14ac:dyDescent="0.3">
      <c r="A300" s="19"/>
      <c r="B300" s="19"/>
      <c r="C300" s="15" t="str">
        <f>IF($A300="","",COUNTIF('Daily tracking'!$D$2:$D$2001,$A300))</f>
        <v/>
      </c>
      <c r="D300" s="16" t="str">
        <f>IF($A300="","",SUMIF('Daily tracking'!$D$2:$D$2001,$A300,'Daily tracking'!$G$2:$G$2001))</f>
        <v/>
      </c>
      <c r="E300" s="18" t="str">
        <f>IF($A300="","",IF($C300=0,"",_xlfn.MAXIFS('Daily tracking'!$A$2:$A$2001,'Daily tracking'!$D$2:$D$2001,$A300)))</f>
        <v/>
      </c>
      <c r="F300" s="6" t="str">
        <f t="shared" ca="1" si="28"/>
        <v/>
      </c>
      <c r="G300" s="3" t="str">
        <f t="shared" si="29"/>
        <v/>
      </c>
      <c r="H300" s="9" t="str">
        <f t="shared" si="30"/>
        <v/>
      </c>
      <c r="I300" s="20"/>
      <c r="J300" s="20"/>
      <c r="K300" s="19"/>
      <c r="L300" s="19"/>
      <c r="M300" s="19"/>
      <c r="N300" s="15" t="str">
        <f t="shared" si="31"/>
        <v/>
      </c>
      <c r="O300" s="3" t="str">
        <f t="shared" si="32"/>
        <v/>
      </c>
      <c r="P300" s="6" t="str">
        <f t="shared" ca="1" si="33"/>
        <v/>
      </c>
      <c r="Q300" s="21" t="str">
        <f>IF($A300="","",IF($C300=0,"",_xlfn.MINIFS('Daily tracking'!$A$2:$A$2001,'Daily tracking'!$D$2:$D$2001,$A300)))</f>
        <v/>
      </c>
      <c r="R300" s="6" t="str">
        <f t="shared" si="34"/>
        <v/>
      </c>
    </row>
    <row r="301" spans="1:18" x14ac:dyDescent="0.3">
      <c r="A301" s="19"/>
      <c r="B301" s="19"/>
      <c r="C301" s="15" t="str">
        <f>IF($A301="","",COUNTIF('Daily tracking'!$D$2:$D$2001,$A301))</f>
        <v/>
      </c>
      <c r="D301" s="16" t="str">
        <f>IF($A301="","",SUMIF('Daily tracking'!$D$2:$D$2001,$A301,'Daily tracking'!$G$2:$G$2001))</f>
        <v/>
      </c>
      <c r="E301" s="18" t="str">
        <f>IF($A301="","",IF($C301=0,"",_xlfn.MAXIFS('Daily tracking'!$A$2:$A$2001,'Daily tracking'!$D$2:$D$2001,$A301)))</f>
        <v/>
      </c>
      <c r="F301" s="6" t="str">
        <f t="shared" ca="1" si="28"/>
        <v/>
      </c>
      <c r="G301" s="3" t="str">
        <f t="shared" si="29"/>
        <v/>
      </c>
      <c r="H301" s="9" t="str">
        <f t="shared" si="30"/>
        <v/>
      </c>
      <c r="I301" s="20"/>
      <c r="J301" s="20"/>
      <c r="K301" s="19"/>
      <c r="L301" s="19"/>
      <c r="M301" s="19"/>
      <c r="N301" s="15" t="str">
        <f t="shared" si="31"/>
        <v/>
      </c>
      <c r="O301" s="3" t="str">
        <f t="shared" si="32"/>
        <v/>
      </c>
      <c r="P301" s="6" t="str">
        <f t="shared" ca="1" si="33"/>
        <v/>
      </c>
      <c r="Q301" s="21" t="str">
        <f>IF($A301="","",IF($C301=0,"",_xlfn.MINIFS('Daily tracking'!$A$2:$A$2001,'Daily tracking'!$D$2:$D$2001,$A301)))</f>
        <v/>
      </c>
      <c r="R301" s="6" t="str">
        <f t="shared" si="34"/>
        <v/>
      </c>
    </row>
    <row r="302" spans="1:18" x14ac:dyDescent="0.3">
      <c r="A302" s="19"/>
      <c r="B302" s="19"/>
      <c r="C302" s="15" t="str">
        <f>IF($A302="","",COUNTIF('Daily tracking'!$D$2:$D$2001,$A302))</f>
        <v/>
      </c>
      <c r="D302" s="16" t="str">
        <f>IF($A302="","",SUMIF('Daily tracking'!$D$2:$D$2001,$A302,'Daily tracking'!$G$2:$G$2001))</f>
        <v/>
      </c>
      <c r="E302" s="18" t="str">
        <f>IF($A302="","",IF($C302=0,"",_xlfn.MAXIFS('Daily tracking'!$A$2:$A$2001,'Daily tracking'!$D$2:$D$2001,$A302)))</f>
        <v/>
      </c>
      <c r="F302" s="6" t="str">
        <f t="shared" ca="1" si="28"/>
        <v/>
      </c>
      <c r="G302" s="3" t="str">
        <f t="shared" si="29"/>
        <v/>
      </c>
      <c r="H302" s="9" t="str">
        <f t="shared" si="30"/>
        <v/>
      </c>
      <c r="I302" s="20"/>
      <c r="J302" s="20"/>
      <c r="K302" s="19"/>
      <c r="L302" s="19"/>
      <c r="M302" s="19"/>
      <c r="N302" s="15" t="str">
        <f t="shared" si="31"/>
        <v/>
      </c>
      <c r="O302" s="3" t="str">
        <f t="shared" si="32"/>
        <v/>
      </c>
      <c r="P302" s="6" t="str">
        <f t="shared" ca="1" si="33"/>
        <v/>
      </c>
      <c r="Q302" s="21" t="str">
        <f>IF($A302="","",IF($C302=0,"",_xlfn.MINIFS('Daily tracking'!$A$2:$A$2001,'Daily tracking'!$D$2:$D$2001,$A302)))</f>
        <v/>
      </c>
      <c r="R302" s="6" t="str">
        <f t="shared" si="34"/>
        <v/>
      </c>
    </row>
    <row r="303" spans="1:18" x14ac:dyDescent="0.3">
      <c r="A303" s="19"/>
      <c r="B303" s="19"/>
      <c r="C303" s="15" t="str">
        <f>IF($A303="","",COUNTIF('Daily tracking'!$D$2:$D$2001,$A303))</f>
        <v/>
      </c>
      <c r="D303" s="16" t="str">
        <f>IF($A303="","",SUMIF('Daily tracking'!$D$2:$D$2001,$A303,'Daily tracking'!$G$2:$G$2001))</f>
        <v/>
      </c>
      <c r="E303" s="18" t="str">
        <f>IF($A303="","",IF($C303=0,"",_xlfn.MAXIFS('Daily tracking'!$A$2:$A$2001,'Daily tracking'!$D$2:$D$2001,$A303)))</f>
        <v/>
      </c>
      <c r="F303" s="6" t="str">
        <f t="shared" ca="1" si="28"/>
        <v/>
      </c>
      <c r="G303" s="3" t="str">
        <f t="shared" si="29"/>
        <v/>
      </c>
      <c r="H303" s="9" t="str">
        <f t="shared" si="30"/>
        <v/>
      </c>
      <c r="I303" s="20"/>
      <c r="J303" s="20"/>
      <c r="K303" s="19"/>
      <c r="L303" s="19"/>
      <c r="M303" s="19"/>
      <c r="N303" s="15" t="str">
        <f t="shared" si="31"/>
        <v/>
      </c>
      <c r="O303" s="3" t="str">
        <f t="shared" si="32"/>
        <v/>
      </c>
      <c r="P303" s="6" t="str">
        <f t="shared" ca="1" si="33"/>
        <v/>
      </c>
      <c r="Q303" s="21" t="str">
        <f>IF($A303="","",IF($C303=0,"",_xlfn.MINIFS('Daily tracking'!$A$2:$A$2001,'Daily tracking'!$D$2:$D$2001,$A303)))</f>
        <v/>
      </c>
      <c r="R303" s="6" t="str">
        <f t="shared" si="34"/>
        <v/>
      </c>
    </row>
    <row r="304" spans="1:18" x14ac:dyDescent="0.3">
      <c r="A304" s="19"/>
      <c r="B304" s="19"/>
      <c r="C304" s="15" t="str">
        <f>IF($A304="","",COUNTIF('Daily tracking'!$D$2:$D$2001,$A304))</f>
        <v/>
      </c>
      <c r="D304" s="16" t="str">
        <f>IF($A304="","",SUMIF('Daily tracking'!$D$2:$D$2001,$A304,'Daily tracking'!$G$2:$G$2001))</f>
        <v/>
      </c>
      <c r="E304" s="18" t="str">
        <f>IF($A304="","",IF($C304=0,"",_xlfn.MAXIFS('Daily tracking'!$A$2:$A$2001,'Daily tracking'!$D$2:$D$2001,$A304)))</f>
        <v/>
      </c>
      <c r="F304" s="6" t="str">
        <f t="shared" ca="1" si="28"/>
        <v/>
      </c>
      <c r="G304" s="3" t="str">
        <f t="shared" si="29"/>
        <v/>
      </c>
      <c r="H304" s="9" t="str">
        <f t="shared" si="30"/>
        <v/>
      </c>
      <c r="I304" s="20"/>
      <c r="J304" s="20"/>
      <c r="K304" s="19"/>
      <c r="L304" s="19"/>
      <c r="M304" s="19"/>
      <c r="N304" s="15" t="str">
        <f t="shared" si="31"/>
        <v/>
      </c>
      <c r="O304" s="3" t="str">
        <f t="shared" si="32"/>
        <v/>
      </c>
      <c r="P304" s="6" t="str">
        <f t="shared" ca="1" si="33"/>
        <v/>
      </c>
      <c r="Q304" s="21" t="str">
        <f>IF($A304="","",IF($C304=0,"",_xlfn.MINIFS('Daily tracking'!$A$2:$A$2001,'Daily tracking'!$D$2:$D$2001,$A304)))</f>
        <v/>
      </c>
      <c r="R304" s="6" t="str">
        <f t="shared" si="34"/>
        <v/>
      </c>
    </row>
    <row r="305" spans="1:18" x14ac:dyDescent="0.3">
      <c r="A305" s="19"/>
      <c r="B305" s="19"/>
      <c r="C305" s="15" t="str">
        <f>IF($A305="","",COUNTIF('Daily tracking'!$D$2:$D$2001,$A305))</f>
        <v/>
      </c>
      <c r="D305" s="16" t="str">
        <f>IF($A305="","",SUMIF('Daily tracking'!$D$2:$D$2001,$A305,'Daily tracking'!$G$2:$G$2001))</f>
        <v/>
      </c>
      <c r="E305" s="18" t="str">
        <f>IF($A305="","",IF($C305=0,"",_xlfn.MAXIFS('Daily tracking'!$A$2:$A$2001,'Daily tracking'!$D$2:$D$2001,$A305)))</f>
        <v/>
      </c>
      <c r="F305" s="6" t="str">
        <f t="shared" ca="1" si="28"/>
        <v/>
      </c>
      <c r="G305" s="3" t="str">
        <f t="shared" si="29"/>
        <v/>
      </c>
      <c r="H305" s="9" t="str">
        <f t="shared" si="30"/>
        <v/>
      </c>
      <c r="I305" s="20"/>
      <c r="J305" s="20"/>
      <c r="K305" s="19"/>
      <c r="L305" s="19"/>
      <c r="M305" s="19"/>
      <c r="N305" s="15" t="str">
        <f t="shared" si="31"/>
        <v/>
      </c>
      <c r="O305" s="3" t="str">
        <f t="shared" si="32"/>
        <v/>
      </c>
      <c r="P305" s="6" t="str">
        <f t="shared" ca="1" si="33"/>
        <v/>
      </c>
      <c r="Q305" s="21" t="str">
        <f>IF($A305="","",IF($C305=0,"",_xlfn.MINIFS('Daily tracking'!$A$2:$A$2001,'Daily tracking'!$D$2:$D$2001,$A305)))</f>
        <v/>
      </c>
      <c r="R305" s="6" t="str">
        <f t="shared" si="34"/>
        <v/>
      </c>
    </row>
    <row r="306" spans="1:18" x14ac:dyDescent="0.3">
      <c r="A306" s="19"/>
      <c r="B306" s="19"/>
      <c r="C306" s="15" t="str">
        <f>IF($A306="","",COUNTIF('Daily tracking'!$D$2:$D$2001,$A306))</f>
        <v/>
      </c>
      <c r="D306" s="16" t="str">
        <f>IF($A306="","",SUMIF('Daily tracking'!$D$2:$D$2001,$A306,'Daily tracking'!$G$2:$G$2001))</f>
        <v/>
      </c>
      <c r="E306" s="18" t="str">
        <f>IF($A306="","",IF($C306=0,"",_xlfn.MAXIFS('Daily tracking'!$A$2:$A$2001,'Daily tracking'!$D$2:$D$2001,$A306)))</f>
        <v/>
      </c>
      <c r="F306" s="6" t="str">
        <f t="shared" ca="1" si="28"/>
        <v/>
      </c>
      <c r="G306" s="3" t="str">
        <f t="shared" si="29"/>
        <v/>
      </c>
      <c r="H306" s="9" t="str">
        <f t="shared" si="30"/>
        <v/>
      </c>
      <c r="I306" s="20"/>
      <c r="J306" s="20"/>
      <c r="K306" s="19"/>
      <c r="L306" s="19"/>
      <c r="M306" s="19"/>
      <c r="N306" s="15" t="str">
        <f t="shared" si="31"/>
        <v/>
      </c>
      <c r="O306" s="3" t="str">
        <f t="shared" si="32"/>
        <v/>
      </c>
      <c r="P306" s="6" t="str">
        <f t="shared" ca="1" si="33"/>
        <v/>
      </c>
      <c r="Q306" s="21" t="str">
        <f>IF($A306="","",IF($C306=0,"",_xlfn.MINIFS('Daily tracking'!$A$2:$A$2001,'Daily tracking'!$D$2:$D$2001,$A306)))</f>
        <v/>
      </c>
      <c r="R306" s="6" t="str">
        <f t="shared" si="34"/>
        <v/>
      </c>
    </row>
    <row r="307" spans="1:18" x14ac:dyDescent="0.3">
      <c r="A307" s="19"/>
      <c r="B307" s="19"/>
      <c r="C307" s="15" t="str">
        <f>IF($A307="","",COUNTIF('Daily tracking'!$D$2:$D$2001,$A307))</f>
        <v/>
      </c>
      <c r="D307" s="16" t="str">
        <f>IF($A307="","",SUMIF('Daily tracking'!$D$2:$D$2001,$A307,'Daily tracking'!$G$2:$G$2001))</f>
        <v/>
      </c>
      <c r="E307" s="18" t="str">
        <f>IF($A307="","",IF($C307=0,"",_xlfn.MAXIFS('Daily tracking'!$A$2:$A$2001,'Daily tracking'!$D$2:$D$2001,$A307)))</f>
        <v/>
      </c>
      <c r="F307" s="6" t="str">
        <f t="shared" ca="1" si="28"/>
        <v/>
      </c>
      <c r="G307" s="3" t="str">
        <f t="shared" si="29"/>
        <v/>
      </c>
      <c r="H307" s="9" t="str">
        <f t="shared" si="30"/>
        <v/>
      </c>
      <c r="I307" s="20"/>
      <c r="J307" s="20"/>
      <c r="K307" s="19"/>
      <c r="L307" s="19"/>
      <c r="M307" s="19"/>
      <c r="N307" s="15" t="str">
        <f t="shared" si="31"/>
        <v/>
      </c>
      <c r="O307" s="3" t="str">
        <f t="shared" si="32"/>
        <v/>
      </c>
      <c r="P307" s="6" t="str">
        <f t="shared" ca="1" si="33"/>
        <v/>
      </c>
      <c r="Q307" s="21" t="str">
        <f>IF($A307="","",IF($C307=0,"",_xlfn.MINIFS('Daily tracking'!$A$2:$A$2001,'Daily tracking'!$D$2:$D$2001,$A307)))</f>
        <v/>
      </c>
      <c r="R307" s="6" t="str">
        <f t="shared" si="34"/>
        <v/>
      </c>
    </row>
    <row r="308" spans="1:18" x14ac:dyDescent="0.3">
      <c r="A308" s="19"/>
      <c r="B308" s="19"/>
      <c r="C308" s="15" t="str">
        <f>IF($A308="","",COUNTIF('Daily tracking'!$D$2:$D$2001,$A308))</f>
        <v/>
      </c>
      <c r="D308" s="16" t="str">
        <f>IF($A308="","",SUMIF('Daily tracking'!$D$2:$D$2001,$A308,'Daily tracking'!$G$2:$G$2001))</f>
        <v/>
      </c>
      <c r="E308" s="18" t="str">
        <f>IF($A308="","",IF($C308=0,"",_xlfn.MAXIFS('Daily tracking'!$A$2:$A$2001,'Daily tracking'!$D$2:$D$2001,$A308)))</f>
        <v/>
      </c>
      <c r="F308" s="6" t="str">
        <f t="shared" ca="1" si="28"/>
        <v/>
      </c>
      <c r="G308" s="3" t="str">
        <f t="shared" si="29"/>
        <v/>
      </c>
      <c r="H308" s="9" t="str">
        <f t="shared" si="30"/>
        <v/>
      </c>
      <c r="I308" s="20"/>
      <c r="J308" s="20"/>
      <c r="K308" s="19"/>
      <c r="L308" s="19"/>
      <c r="M308" s="19"/>
      <c r="N308" s="15" t="str">
        <f t="shared" si="31"/>
        <v/>
      </c>
      <c r="O308" s="3" t="str">
        <f t="shared" si="32"/>
        <v/>
      </c>
      <c r="P308" s="6" t="str">
        <f t="shared" ca="1" si="33"/>
        <v/>
      </c>
      <c r="Q308" s="21" t="str">
        <f>IF($A308="","",IF($C308=0,"",_xlfn.MINIFS('Daily tracking'!$A$2:$A$2001,'Daily tracking'!$D$2:$D$2001,$A308)))</f>
        <v/>
      </c>
      <c r="R308" s="6" t="str">
        <f t="shared" si="34"/>
        <v/>
      </c>
    </row>
    <row r="309" spans="1:18" x14ac:dyDescent="0.3">
      <c r="A309" s="19"/>
      <c r="B309" s="19"/>
      <c r="C309" s="15" t="str">
        <f>IF($A309="","",COUNTIF('Daily tracking'!$D$2:$D$2001,$A309))</f>
        <v/>
      </c>
      <c r="D309" s="16" t="str">
        <f>IF($A309="","",SUMIF('Daily tracking'!$D$2:$D$2001,$A309,'Daily tracking'!$G$2:$G$2001))</f>
        <v/>
      </c>
      <c r="E309" s="18" t="str">
        <f>IF($A309="","",IF($C309=0,"",_xlfn.MAXIFS('Daily tracking'!$A$2:$A$2001,'Daily tracking'!$D$2:$D$2001,$A309)))</f>
        <v/>
      </c>
      <c r="F309" s="6" t="str">
        <f t="shared" ca="1" si="28"/>
        <v/>
      </c>
      <c r="G309" s="3" t="str">
        <f t="shared" si="29"/>
        <v/>
      </c>
      <c r="H309" s="9" t="str">
        <f t="shared" si="30"/>
        <v/>
      </c>
      <c r="I309" s="20"/>
      <c r="J309" s="20"/>
      <c r="K309" s="19"/>
      <c r="L309" s="19"/>
      <c r="M309" s="19"/>
      <c r="N309" s="15" t="str">
        <f t="shared" si="31"/>
        <v/>
      </c>
      <c r="O309" s="3" t="str">
        <f t="shared" si="32"/>
        <v/>
      </c>
      <c r="P309" s="6" t="str">
        <f t="shared" ca="1" si="33"/>
        <v/>
      </c>
      <c r="Q309" s="21" t="str">
        <f>IF($A309="","",IF($C309=0,"",_xlfn.MINIFS('Daily tracking'!$A$2:$A$2001,'Daily tracking'!$D$2:$D$2001,$A309)))</f>
        <v/>
      </c>
      <c r="R309" s="6" t="str">
        <f t="shared" si="34"/>
        <v/>
      </c>
    </row>
    <row r="310" spans="1:18" x14ac:dyDescent="0.3">
      <c r="A310" s="19"/>
      <c r="B310" s="19"/>
      <c r="C310" s="15" t="str">
        <f>IF($A310="","",COUNTIF('Daily tracking'!$D$2:$D$2001,$A310))</f>
        <v/>
      </c>
      <c r="D310" s="16" t="str">
        <f>IF($A310="","",SUMIF('Daily tracking'!$D$2:$D$2001,$A310,'Daily tracking'!$G$2:$G$2001))</f>
        <v/>
      </c>
      <c r="E310" s="18" t="str">
        <f>IF($A310="","",IF($C310=0,"",_xlfn.MAXIFS('Daily tracking'!$A$2:$A$2001,'Daily tracking'!$D$2:$D$2001,$A310)))</f>
        <v/>
      </c>
      <c r="F310" s="6" t="str">
        <f t="shared" ca="1" si="28"/>
        <v/>
      </c>
      <c r="G310" s="3" t="str">
        <f t="shared" si="29"/>
        <v/>
      </c>
      <c r="H310" s="9" t="str">
        <f t="shared" si="30"/>
        <v/>
      </c>
      <c r="I310" s="20"/>
      <c r="J310" s="20"/>
      <c r="K310" s="19"/>
      <c r="L310" s="19"/>
      <c r="M310" s="19"/>
      <c r="N310" s="15" t="str">
        <f t="shared" si="31"/>
        <v/>
      </c>
      <c r="O310" s="3" t="str">
        <f t="shared" si="32"/>
        <v/>
      </c>
      <c r="P310" s="6" t="str">
        <f t="shared" ca="1" si="33"/>
        <v/>
      </c>
      <c r="Q310" s="21" t="str">
        <f>IF($A310="","",IF($C310=0,"",_xlfn.MINIFS('Daily tracking'!$A$2:$A$2001,'Daily tracking'!$D$2:$D$2001,$A310)))</f>
        <v/>
      </c>
      <c r="R310" s="6" t="str">
        <f t="shared" si="34"/>
        <v/>
      </c>
    </row>
    <row r="311" spans="1:18" x14ac:dyDescent="0.3">
      <c r="A311" s="19"/>
      <c r="B311" s="19"/>
      <c r="C311" s="15" t="str">
        <f>IF($A311="","",COUNTIF('Daily tracking'!$D$2:$D$2001,$A311))</f>
        <v/>
      </c>
      <c r="D311" s="16" t="str">
        <f>IF($A311="","",SUMIF('Daily tracking'!$D$2:$D$2001,$A311,'Daily tracking'!$G$2:$G$2001))</f>
        <v/>
      </c>
      <c r="E311" s="18" t="str">
        <f>IF($A311="","",IF($C311=0,"",_xlfn.MAXIFS('Daily tracking'!$A$2:$A$2001,'Daily tracking'!$D$2:$D$2001,$A311)))</f>
        <v/>
      </c>
      <c r="F311" s="6" t="str">
        <f t="shared" ca="1" si="28"/>
        <v/>
      </c>
      <c r="G311" s="3" t="str">
        <f t="shared" si="29"/>
        <v/>
      </c>
      <c r="H311" s="9" t="str">
        <f t="shared" si="30"/>
        <v/>
      </c>
      <c r="I311" s="20"/>
      <c r="J311" s="20"/>
      <c r="K311" s="19"/>
      <c r="L311" s="19"/>
      <c r="M311" s="19"/>
      <c r="N311" s="15" t="str">
        <f t="shared" si="31"/>
        <v/>
      </c>
      <c r="O311" s="3" t="str">
        <f t="shared" si="32"/>
        <v/>
      </c>
      <c r="P311" s="6" t="str">
        <f t="shared" ca="1" si="33"/>
        <v/>
      </c>
      <c r="Q311" s="21" t="str">
        <f>IF($A311="","",IF($C311=0,"",_xlfn.MINIFS('Daily tracking'!$A$2:$A$2001,'Daily tracking'!$D$2:$D$2001,$A311)))</f>
        <v/>
      </c>
      <c r="R311" s="6" t="str">
        <f t="shared" si="34"/>
        <v/>
      </c>
    </row>
    <row r="312" spans="1:18" x14ac:dyDescent="0.3">
      <c r="A312" s="19"/>
      <c r="B312" s="19"/>
      <c r="C312" s="15" t="str">
        <f>IF($A312="","",COUNTIF('Daily tracking'!$D$2:$D$2001,$A312))</f>
        <v/>
      </c>
      <c r="D312" s="16" t="str">
        <f>IF($A312="","",SUMIF('Daily tracking'!$D$2:$D$2001,$A312,'Daily tracking'!$G$2:$G$2001))</f>
        <v/>
      </c>
      <c r="E312" s="18" t="str">
        <f>IF($A312="","",IF($C312=0,"",_xlfn.MAXIFS('Daily tracking'!$A$2:$A$2001,'Daily tracking'!$D$2:$D$2001,$A312)))</f>
        <v/>
      </c>
      <c r="F312" s="6" t="str">
        <f t="shared" ca="1" si="28"/>
        <v/>
      </c>
      <c r="G312" s="3" t="str">
        <f t="shared" si="29"/>
        <v/>
      </c>
      <c r="H312" s="9" t="str">
        <f t="shared" si="30"/>
        <v/>
      </c>
      <c r="I312" s="20"/>
      <c r="J312" s="20"/>
      <c r="K312" s="19"/>
      <c r="L312" s="19"/>
      <c r="M312" s="19"/>
      <c r="N312" s="15" t="str">
        <f t="shared" si="31"/>
        <v/>
      </c>
      <c r="O312" s="3" t="str">
        <f t="shared" si="32"/>
        <v/>
      </c>
      <c r="P312" s="6" t="str">
        <f t="shared" ca="1" si="33"/>
        <v/>
      </c>
      <c r="Q312" s="21" t="str">
        <f>IF($A312="","",IF($C312=0,"",_xlfn.MINIFS('Daily tracking'!$A$2:$A$2001,'Daily tracking'!$D$2:$D$2001,$A312)))</f>
        <v/>
      </c>
      <c r="R312" s="6" t="str">
        <f t="shared" si="34"/>
        <v/>
      </c>
    </row>
    <row r="313" spans="1:18" x14ac:dyDescent="0.3">
      <c r="A313" s="19"/>
      <c r="B313" s="19"/>
      <c r="C313" s="15" t="str">
        <f>IF($A313="","",COUNTIF('Daily tracking'!$D$2:$D$2001,$A313))</f>
        <v/>
      </c>
      <c r="D313" s="16" t="str">
        <f>IF($A313="","",SUMIF('Daily tracking'!$D$2:$D$2001,$A313,'Daily tracking'!$G$2:$G$2001))</f>
        <v/>
      </c>
      <c r="E313" s="18" t="str">
        <f>IF($A313="","",IF($C313=0,"",_xlfn.MAXIFS('Daily tracking'!$A$2:$A$2001,'Daily tracking'!$D$2:$D$2001,$A313)))</f>
        <v/>
      </c>
      <c r="F313" s="6" t="str">
        <f t="shared" ca="1" si="28"/>
        <v/>
      </c>
      <c r="G313" s="3" t="str">
        <f t="shared" si="29"/>
        <v/>
      </c>
      <c r="H313" s="9" t="str">
        <f t="shared" si="30"/>
        <v/>
      </c>
      <c r="I313" s="20"/>
      <c r="J313" s="20"/>
      <c r="K313" s="19"/>
      <c r="L313" s="19"/>
      <c r="M313" s="19"/>
      <c r="N313" s="15" t="str">
        <f t="shared" si="31"/>
        <v/>
      </c>
      <c r="O313" s="3" t="str">
        <f t="shared" si="32"/>
        <v/>
      </c>
      <c r="P313" s="6" t="str">
        <f t="shared" ca="1" si="33"/>
        <v/>
      </c>
      <c r="Q313" s="21" t="str">
        <f>IF($A313="","",IF($C313=0,"",_xlfn.MINIFS('Daily tracking'!$A$2:$A$2001,'Daily tracking'!$D$2:$D$2001,$A313)))</f>
        <v/>
      </c>
      <c r="R313" s="6" t="str">
        <f t="shared" si="34"/>
        <v/>
      </c>
    </row>
    <row r="314" spans="1:18" x14ac:dyDescent="0.3">
      <c r="A314" s="19"/>
      <c r="B314" s="19"/>
      <c r="C314" s="15" t="str">
        <f>IF($A314="","",COUNTIF('Daily tracking'!$D$2:$D$2001,$A314))</f>
        <v/>
      </c>
      <c r="D314" s="16" t="str">
        <f>IF($A314="","",SUMIF('Daily tracking'!$D$2:$D$2001,$A314,'Daily tracking'!$G$2:$G$2001))</f>
        <v/>
      </c>
      <c r="E314" s="18" t="str">
        <f>IF($A314="","",IF($C314=0,"",_xlfn.MAXIFS('Daily tracking'!$A$2:$A$2001,'Daily tracking'!$D$2:$D$2001,$A314)))</f>
        <v/>
      </c>
      <c r="F314" s="6" t="str">
        <f t="shared" ca="1" si="28"/>
        <v/>
      </c>
      <c r="G314" s="3" t="str">
        <f t="shared" si="29"/>
        <v/>
      </c>
      <c r="H314" s="9" t="str">
        <f t="shared" si="30"/>
        <v/>
      </c>
      <c r="I314" s="20"/>
      <c r="J314" s="20"/>
      <c r="K314" s="19"/>
      <c r="L314" s="19"/>
      <c r="M314" s="19"/>
      <c r="N314" s="15" t="str">
        <f t="shared" si="31"/>
        <v/>
      </c>
      <c r="O314" s="3" t="str">
        <f t="shared" si="32"/>
        <v/>
      </c>
      <c r="P314" s="6" t="str">
        <f t="shared" ca="1" si="33"/>
        <v/>
      </c>
      <c r="Q314" s="21" t="str">
        <f>IF($A314="","",IF($C314=0,"",_xlfn.MINIFS('Daily tracking'!$A$2:$A$2001,'Daily tracking'!$D$2:$D$2001,$A314)))</f>
        <v/>
      </c>
      <c r="R314" s="6" t="str">
        <f t="shared" si="34"/>
        <v/>
      </c>
    </row>
    <row r="315" spans="1:18" x14ac:dyDescent="0.3">
      <c r="A315" s="19"/>
      <c r="B315" s="19"/>
      <c r="C315" s="15" t="str">
        <f>IF($A315="","",COUNTIF('Daily tracking'!$D$2:$D$2001,$A315))</f>
        <v/>
      </c>
      <c r="D315" s="16" t="str">
        <f>IF($A315="","",SUMIF('Daily tracking'!$D$2:$D$2001,$A315,'Daily tracking'!$G$2:$G$2001))</f>
        <v/>
      </c>
      <c r="E315" s="18" t="str">
        <f>IF($A315="","",IF($C315=0,"",_xlfn.MAXIFS('Daily tracking'!$A$2:$A$2001,'Daily tracking'!$D$2:$D$2001,$A315)))</f>
        <v/>
      </c>
      <c r="F315" s="6" t="str">
        <f t="shared" ca="1" si="28"/>
        <v/>
      </c>
      <c r="G315" s="3" t="str">
        <f t="shared" si="29"/>
        <v/>
      </c>
      <c r="H315" s="9" t="str">
        <f t="shared" si="30"/>
        <v/>
      </c>
      <c r="I315" s="20"/>
      <c r="J315" s="20"/>
      <c r="K315" s="19"/>
      <c r="L315" s="19"/>
      <c r="M315" s="19"/>
      <c r="N315" s="15" t="str">
        <f t="shared" si="31"/>
        <v/>
      </c>
      <c r="O315" s="3" t="str">
        <f t="shared" si="32"/>
        <v/>
      </c>
      <c r="P315" s="6" t="str">
        <f t="shared" ca="1" si="33"/>
        <v/>
      </c>
      <c r="Q315" s="21" t="str">
        <f>IF($A315="","",IF($C315=0,"",_xlfn.MINIFS('Daily tracking'!$A$2:$A$2001,'Daily tracking'!$D$2:$D$2001,$A315)))</f>
        <v/>
      </c>
      <c r="R315" s="6" t="str">
        <f t="shared" si="34"/>
        <v/>
      </c>
    </row>
    <row r="316" spans="1:18" x14ac:dyDescent="0.3">
      <c r="A316" s="19"/>
      <c r="B316" s="19"/>
      <c r="C316" s="15" t="str">
        <f>IF($A316="","",COUNTIF('Daily tracking'!$D$2:$D$2001,$A316))</f>
        <v/>
      </c>
      <c r="D316" s="16" t="str">
        <f>IF($A316="","",SUMIF('Daily tracking'!$D$2:$D$2001,$A316,'Daily tracking'!$G$2:$G$2001))</f>
        <v/>
      </c>
      <c r="E316" s="18" t="str">
        <f>IF($A316="","",IF($C316=0,"",_xlfn.MAXIFS('Daily tracking'!$A$2:$A$2001,'Daily tracking'!$D$2:$D$2001,$A316)))</f>
        <v/>
      </c>
      <c r="F316" s="6" t="str">
        <f t="shared" ca="1" si="28"/>
        <v/>
      </c>
      <c r="G316" s="3" t="str">
        <f t="shared" si="29"/>
        <v/>
      </c>
      <c r="H316" s="9" t="str">
        <f t="shared" si="30"/>
        <v/>
      </c>
      <c r="I316" s="20"/>
      <c r="J316" s="20"/>
      <c r="K316" s="19"/>
      <c r="L316" s="19"/>
      <c r="M316" s="19"/>
      <c r="N316" s="15" t="str">
        <f t="shared" si="31"/>
        <v/>
      </c>
      <c r="O316" s="3" t="str">
        <f t="shared" si="32"/>
        <v/>
      </c>
      <c r="P316" s="6" t="str">
        <f t="shared" ca="1" si="33"/>
        <v/>
      </c>
      <c r="Q316" s="21" t="str">
        <f>IF($A316="","",IF($C316=0,"",_xlfn.MINIFS('Daily tracking'!$A$2:$A$2001,'Daily tracking'!$D$2:$D$2001,$A316)))</f>
        <v/>
      </c>
      <c r="R316" s="6" t="str">
        <f t="shared" si="34"/>
        <v/>
      </c>
    </row>
    <row r="317" spans="1:18" x14ac:dyDescent="0.3">
      <c r="A317" s="19"/>
      <c r="B317" s="19"/>
      <c r="C317" s="15" t="str">
        <f>IF($A317="","",COUNTIF('Daily tracking'!$D$2:$D$2001,$A317))</f>
        <v/>
      </c>
      <c r="D317" s="16" t="str">
        <f>IF($A317="","",SUMIF('Daily tracking'!$D$2:$D$2001,$A317,'Daily tracking'!$G$2:$G$2001))</f>
        <v/>
      </c>
      <c r="E317" s="18" t="str">
        <f>IF($A317="","",IF($C317=0,"",_xlfn.MAXIFS('Daily tracking'!$A$2:$A$2001,'Daily tracking'!$D$2:$D$2001,$A317)))</f>
        <v/>
      </c>
      <c r="F317" s="6" t="str">
        <f t="shared" ca="1" si="28"/>
        <v/>
      </c>
      <c r="G317" s="3" t="str">
        <f t="shared" si="29"/>
        <v/>
      </c>
      <c r="H317" s="9" t="str">
        <f t="shared" si="30"/>
        <v/>
      </c>
      <c r="I317" s="20"/>
      <c r="J317" s="20"/>
      <c r="K317" s="19"/>
      <c r="L317" s="19"/>
      <c r="M317" s="19"/>
      <c r="N317" s="15" t="str">
        <f t="shared" si="31"/>
        <v/>
      </c>
      <c r="O317" s="3" t="str">
        <f t="shared" si="32"/>
        <v/>
      </c>
      <c r="P317" s="6" t="str">
        <f t="shared" ca="1" si="33"/>
        <v/>
      </c>
      <c r="Q317" s="21" t="str">
        <f>IF($A317="","",IF($C317=0,"",_xlfn.MINIFS('Daily tracking'!$A$2:$A$2001,'Daily tracking'!$D$2:$D$2001,$A317)))</f>
        <v/>
      </c>
      <c r="R317" s="6" t="str">
        <f t="shared" si="34"/>
        <v/>
      </c>
    </row>
    <row r="318" spans="1:18" x14ac:dyDescent="0.3">
      <c r="A318" s="19"/>
      <c r="B318" s="19"/>
      <c r="C318" s="15" t="str">
        <f>IF($A318="","",COUNTIF('Daily tracking'!$D$2:$D$2001,$A318))</f>
        <v/>
      </c>
      <c r="D318" s="16" t="str">
        <f>IF($A318="","",SUMIF('Daily tracking'!$D$2:$D$2001,$A318,'Daily tracking'!$G$2:$G$2001))</f>
        <v/>
      </c>
      <c r="E318" s="18" t="str">
        <f>IF($A318="","",IF($C318=0,"",_xlfn.MAXIFS('Daily tracking'!$A$2:$A$2001,'Daily tracking'!$D$2:$D$2001,$A318)))</f>
        <v/>
      </c>
      <c r="F318" s="6" t="str">
        <f t="shared" ca="1" si="28"/>
        <v/>
      </c>
      <c r="G318" s="3" t="str">
        <f t="shared" si="29"/>
        <v/>
      </c>
      <c r="H318" s="9" t="str">
        <f t="shared" si="30"/>
        <v/>
      </c>
      <c r="I318" s="20"/>
      <c r="J318" s="20"/>
      <c r="K318" s="19"/>
      <c r="L318" s="19"/>
      <c r="M318" s="19"/>
      <c r="N318" s="15" t="str">
        <f t="shared" si="31"/>
        <v/>
      </c>
      <c r="O318" s="3" t="str">
        <f t="shared" si="32"/>
        <v/>
      </c>
      <c r="P318" s="6" t="str">
        <f t="shared" ca="1" si="33"/>
        <v/>
      </c>
      <c r="Q318" s="21" t="str">
        <f>IF($A318="","",IF($C318=0,"",_xlfn.MINIFS('Daily tracking'!$A$2:$A$2001,'Daily tracking'!$D$2:$D$2001,$A318)))</f>
        <v/>
      </c>
      <c r="R318" s="6" t="str">
        <f t="shared" si="34"/>
        <v/>
      </c>
    </row>
    <row r="319" spans="1:18" x14ac:dyDescent="0.3">
      <c r="A319" s="19"/>
      <c r="B319" s="19"/>
      <c r="C319" s="15" t="str">
        <f>IF($A319="","",COUNTIF('Daily tracking'!$D$2:$D$2001,$A319))</f>
        <v/>
      </c>
      <c r="D319" s="16" t="str">
        <f>IF($A319="","",SUMIF('Daily tracking'!$D$2:$D$2001,$A319,'Daily tracking'!$G$2:$G$2001))</f>
        <v/>
      </c>
      <c r="E319" s="18" t="str">
        <f>IF($A319="","",IF($C319=0,"",_xlfn.MAXIFS('Daily tracking'!$A$2:$A$2001,'Daily tracking'!$D$2:$D$2001,$A319)))</f>
        <v/>
      </c>
      <c r="F319" s="6" t="str">
        <f t="shared" ca="1" si="28"/>
        <v/>
      </c>
      <c r="G319" s="3" t="str">
        <f t="shared" si="29"/>
        <v/>
      </c>
      <c r="H319" s="9" t="str">
        <f t="shared" si="30"/>
        <v/>
      </c>
      <c r="I319" s="20"/>
      <c r="J319" s="20"/>
      <c r="K319" s="19"/>
      <c r="L319" s="19"/>
      <c r="M319" s="19"/>
      <c r="N319" s="15" t="str">
        <f t="shared" si="31"/>
        <v/>
      </c>
      <c r="O319" s="3" t="str">
        <f t="shared" si="32"/>
        <v/>
      </c>
      <c r="P319" s="6" t="str">
        <f t="shared" ca="1" si="33"/>
        <v/>
      </c>
      <c r="Q319" s="21" t="str">
        <f>IF($A319="","",IF($C319=0,"",_xlfn.MINIFS('Daily tracking'!$A$2:$A$2001,'Daily tracking'!$D$2:$D$2001,$A319)))</f>
        <v/>
      </c>
      <c r="R319" s="6" t="str">
        <f t="shared" si="34"/>
        <v/>
      </c>
    </row>
    <row r="320" spans="1:18" x14ac:dyDescent="0.3">
      <c r="A320" s="19"/>
      <c r="B320" s="19"/>
      <c r="C320" s="15" t="str">
        <f>IF($A320="","",COUNTIF('Daily tracking'!$D$2:$D$2001,$A320))</f>
        <v/>
      </c>
      <c r="D320" s="16" t="str">
        <f>IF($A320="","",SUMIF('Daily tracking'!$D$2:$D$2001,$A320,'Daily tracking'!$G$2:$G$2001))</f>
        <v/>
      </c>
      <c r="E320" s="18" t="str">
        <f>IF($A320="","",IF($C320=0,"",_xlfn.MAXIFS('Daily tracking'!$A$2:$A$2001,'Daily tracking'!$D$2:$D$2001,$A320)))</f>
        <v/>
      </c>
      <c r="F320" s="6" t="str">
        <f t="shared" ca="1" si="28"/>
        <v/>
      </c>
      <c r="G320" s="3" t="str">
        <f t="shared" si="29"/>
        <v/>
      </c>
      <c r="H320" s="9" t="str">
        <f t="shared" si="30"/>
        <v/>
      </c>
      <c r="I320" s="20"/>
      <c r="J320" s="20"/>
      <c r="K320" s="19"/>
      <c r="L320" s="19"/>
      <c r="M320" s="19"/>
      <c r="N320" s="15" t="str">
        <f t="shared" si="31"/>
        <v/>
      </c>
      <c r="O320" s="3" t="str">
        <f t="shared" si="32"/>
        <v/>
      </c>
      <c r="P320" s="6" t="str">
        <f t="shared" ca="1" si="33"/>
        <v/>
      </c>
      <c r="Q320" s="21" t="str">
        <f>IF($A320="","",IF($C320=0,"",_xlfn.MINIFS('Daily tracking'!$A$2:$A$2001,'Daily tracking'!$D$2:$D$2001,$A320)))</f>
        <v/>
      </c>
      <c r="R320" s="6" t="str">
        <f t="shared" si="34"/>
        <v/>
      </c>
    </row>
    <row r="321" spans="1:18" x14ac:dyDescent="0.3">
      <c r="A321" s="19"/>
      <c r="B321" s="19"/>
      <c r="C321" s="15" t="str">
        <f>IF($A321="","",COUNTIF('Daily tracking'!$D$2:$D$2001,$A321))</f>
        <v/>
      </c>
      <c r="D321" s="16" t="str">
        <f>IF($A321="","",SUMIF('Daily tracking'!$D$2:$D$2001,$A321,'Daily tracking'!$G$2:$G$2001))</f>
        <v/>
      </c>
      <c r="E321" s="18" t="str">
        <f>IF($A321="","",IF($C321=0,"",_xlfn.MAXIFS('Daily tracking'!$A$2:$A$2001,'Daily tracking'!$D$2:$D$2001,$A321)))</f>
        <v/>
      </c>
      <c r="F321" s="6" t="str">
        <f t="shared" ca="1" si="28"/>
        <v/>
      </c>
      <c r="G321" s="3" t="str">
        <f t="shared" si="29"/>
        <v/>
      </c>
      <c r="H321" s="9" t="str">
        <f t="shared" si="30"/>
        <v/>
      </c>
      <c r="I321" s="20"/>
      <c r="J321" s="20"/>
      <c r="K321" s="19"/>
      <c r="L321" s="19"/>
      <c r="M321" s="19"/>
      <c r="N321" s="15" t="str">
        <f t="shared" si="31"/>
        <v/>
      </c>
      <c r="O321" s="3" t="str">
        <f t="shared" si="32"/>
        <v/>
      </c>
      <c r="P321" s="6" t="str">
        <f t="shared" ca="1" si="33"/>
        <v/>
      </c>
      <c r="Q321" s="21" t="str">
        <f>IF($A321="","",IF($C321=0,"",_xlfn.MINIFS('Daily tracking'!$A$2:$A$2001,'Daily tracking'!$D$2:$D$2001,$A321)))</f>
        <v/>
      </c>
      <c r="R321" s="6" t="str">
        <f t="shared" si="34"/>
        <v/>
      </c>
    </row>
    <row r="322" spans="1:18" x14ac:dyDescent="0.3">
      <c r="A322" s="19"/>
      <c r="B322" s="19"/>
      <c r="C322" s="15" t="str">
        <f>IF($A322="","",COUNTIF('Daily tracking'!$D$2:$D$2001,$A322))</f>
        <v/>
      </c>
      <c r="D322" s="16" t="str">
        <f>IF($A322="","",SUMIF('Daily tracking'!$D$2:$D$2001,$A322,'Daily tracking'!$G$2:$G$2001))</f>
        <v/>
      </c>
      <c r="E322" s="18" t="str">
        <f>IF($A322="","",IF($C322=0,"",_xlfn.MAXIFS('Daily tracking'!$A$2:$A$2001,'Daily tracking'!$D$2:$D$2001,$A322)))</f>
        <v/>
      </c>
      <c r="F322" s="6" t="str">
        <f t="shared" ref="F322:F385" ca="1" si="35">IF(OR($A322="",$E322=""),"",TODAY()-$E322)</f>
        <v/>
      </c>
      <c r="G322" s="3" t="str">
        <f t="shared" ref="G322:G385" si="36">IF($A322="","",IF($C322=0,"No visits",IF($F322&gt;90,"Lapsed",IF($F322&gt;35,"At risk",IF($C322&gt;=4,"Loyal","Active")))))</f>
        <v/>
      </c>
      <c r="H322" s="9" t="str">
        <f t="shared" ref="H322:H385" si="37">IF(OR($A322="",$C322=0),"",$D322/$C322)</f>
        <v/>
      </c>
      <c r="I322" s="20"/>
      <c r="J322" s="20"/>
      <c r="K322" s="19"/>
      <c r="L322" s="19"/>
      <c r="M322" s="19"/>
      <c r="N322" s="15" t="str">
        <f t="shared" ref="N322:N385" si="38">IF($A322="","",IF($C322=0,0,(IF($F322&lt;=15,5,IF($F322&lt;=30,4,IF($F322&lt;=45,3,IF($F322&lt;=90,2,1))))+IF($C322&gt;=10,5,IF($C322&gt;=6,4,IF($C322&gt;=4,3,IF($C322&gt;=2,2,1))))+IF($D322&gt;=20000,5,IF($D322&gt;=10000,4,IF($D322&gt;=5000,3,IF($D322&gt;=2000,2,1)))))))</f>
        <v/>
      </c>
      <c r="O322" s="3" t="str">
        <f t="shared" ref="O322:O385" si="39">IF($A322="","",IF($C322=0,"No visits",IF($N322&gt;=13,"VIP",IF($N322&gt;=10,"High value",IF($N322&gt;=7,"Regular",IF($N322&gt;=4,"Occasional","Low"))))))</f>
        <v/>
      </c>
      <c r="P322" s="6" t="str">
        <f t="shared" ref="P322:P385" ca="1" si="40">IF(OR($A322="",$I322=""),"",IF(MONTH($I322)=MONTH(TODAY()),"Yes",""))</f>
        <v/>
      </c>
      <c r="Q322" s="21" t="str">
        <f>IF($A322="","",IF($C322=0,"",_xlfn.MINIFS('Daily tracking'!$A$2:$A$2001,'Daily tracking'!$D$2:$D$2001,$A322)))</f>
        <v/>
      </c>
      <c r="R322" s="6" t="str">
        <f t="shared" ref="R322:R385" si="41">IF(OR($A322="",$C322&lt;2),"",($E322-$Q322)/($C322-1))</f>
        <v/>
      </c>
    </row>
    <row r="323" spans="1:18" x14ac:dyDescent="0.3">
      <c r="A323" s="19"/>
      <c r="B323" s="19"/>
      <c r="C323" s="15" t="str">
        <f>IF($A323="","",COUNTIF('Daily tracking'!$D$2:$D$2001,$A323))</f>
        <v/>
      </c>
      <c r="D323" s="16" t="str">
        <f>IF($A323="","",SUMIF('Daily tracking'!$D$2:$D$2001,$A323,'Daily tracking'!$G$2:$G$2001))</f>
        <v/>
      </c>
      <c r="E323" s="18" t="str">
        <f>IF($A323="","",IF($C323=0,"",_xlfn.MAXIFS('Daily tracking'!$A$2:$A$2001,'Daily tracking'!$D$2:$D$2001,$A323)))</f>
        <v/>
      </c>
      <c r="F323" s="6" t="str">
        <f t="shared" ca="1" si="35"/>
        <v/>
      </c>
      <c r="G323" s="3" t="str">
        <f t="shared" si="36"/>
        <v/>
      </c>
      <c r="H323" s="9" t="str">
        <f t="shared" si="37"/>
        <v/>
      </c>
      <c r="I323" s="20"/>
      <c r="J323" s="20"/>
      <c r="K323" s="19"/>
      <c r="L323" s="19"/>
      <c r="M323" s="19"/>
      <c r="N323" s="15" t="str">
        <f t="shared" si="38"/>
        <v/>
      </c>
      <c r="O323" s="3" t="str">
        <f t="shared" si="39"/>
        <v/>
      </c>
      <c r="P323" s="6" t="str">
        <f t="shared" ca="1" si="40"/>
        <v/>
      </c>
      <c r="Q323" s="21" t="str">
        <f>IF($A323="","",IF($C323=0,"",_xlfn.MINIFS('Daily tracking'!$A$2:$A$2001,'Daily tracking'!$D$2:$D$2001,$A323)))</f>
        <v/>
      </c>
      <c r="R323" s="6" t="str">
        <f t="shared" si="41"/>
        <v/>
      </c>
    </row>
    <row r="324" spans="1:18" x14ac:dyDescent="0.3">
      <c r="A324" s="19"/>
      <c r="B324" s="19"/>
      <c r="C324" s="15" t="str">
        <f>IF($A324="","",COUNTIF('Daily tracking'!$D$2:$D$2001,$A324))</f>
        <v/>
      </c>
      <c r="D324" s="16" t="str">
        <f>IF($A324="","",SUMIF('Daily tracking'!$D$2:$D$2001,$A324,'Daily tracking'!$G$2:$G$2001))</f>
        <v/>
      </c>
      <c r="E324" s="18" t="str">
        <f>IF($A324="","",IF($C324=0,"",_xlfn.MAXIFS('Daily tracking'!$A$2:$A$2001,'Daily tracking'!$D$2:$D$2001,$A324)))</f>
        <v/>
      </c>
      <c r="F324" s="6" t="str">
        <f t="shared" ca="1" si="35"/>
        <v/>
      </c>
      <c r="G324" s="3" t="str">
        <f t="shared" si="36"/>
        <v/>
      </c>
      <c r="H324" s="9" t="str">
        <f t="shared" si="37"/>
        <v/>
      </c>
      <c r="I324" s="20"/>
      <c r="J324" s="20"/>
      <c r="K324" s="19"/>
      <c r="L324" s="19"/>
      <c r="M324" s="19"/>
      <c r="N324" s="15" t="str">
        <f t="shared" si="38"/>
        <v/>
      </c>
      <c r="O324" s="3" t="str">
        <f t="shared" si="39"/>
        <v/>
      </c>
      <c r="P324" s="6" t="str">
        <f t="shared" ca="1" si="40"/>
        <v/>
      </c>
      <c r="Q324" s="21" t="str">
        <f>IF($A324="","",IF($C324=0,"",_xlfn.MINIFS('Daily tracking'!$A$2:$A$2001,'Daily tracking'!$D$2:$D$2001,$A324)))</f>
        <v/>
      </c>
      <c r="R324" s="6" t="str">
        <f t="shared" si="41"/>
        <v/>
      </c>
    </row>
    <row r="325" spans="1:18" x14ac:dyDescent="0.3">
      <c r="A325" s="19"/>
      <c r="B325" s="19"/>
      <c r="C325" s="15" t="str">
        <f>IF($A325="","",COUNTIF('Daily tracking'!$D$2:$D$2001,$A325))</f>
        <v/>
      </c>
      <c r="D325" s="16" t="str">
        <f>IF($A325="","",SUMIF('Daily tracking'!$D$2:$D$2001,$A325,'Daily tracking'!$G$2:$G$2001))</f>
        <v/>
      </c>
      <c r="E325" s="18" t="str">
        <f>IF($A325="","",IF($C325=0,"",_xlfn.MAXIFS('Daily tracking'!$A$2:$A$2001,'Daily tracking'!$D$2:$D$2001,$A325)))</f>
        <v/>
      </c>
      <c r="F325" s="6" t="str">
        <f t="shared" ca="1" si="35"/>
        <v/>
      </c>
      <c r="G325" s="3" t="str">
        <f t="shared" si="36"/>
        <v/>
      </c>
      <c r="H325" s="9" t="str">
        <f t="shared" si="37"/>
        <v/>
      </c>
      <c r="I325" s="20"/>
      <c r="J325" s="20"/>
      <c r="K325" s="19"/>
      <c r="L325" s="19"/>
      <c r="M325" s="19"/>
      <c r="N325" s="15" t="str">
        <f t="shared" si="38"/>
        <v/>
      </c>
      <c r="O325" s="3" t="str">
        <f t="shared" si="39"/>
        <v/>
      </c>
      <c r="P325" s="6" t="str">
        <f t="shared" ca="1" si="40"/>
        <v/>
      </c>
      <c r="Q325" s="21" t="str">
        <f>IF($A325="","",IF($C325=0,"",_xlfn.MINIFS('Daily tracking'!$A$2:$A$2001,'Daily tracking'!$D$2:$D$2001,$A325)))</f>
        <v/>
      </c>
      <c r="R325" s="6" t="str">
        <f t="shared" si="41"/>
        <v/>
      </c>
    </row>
    <row r="326" spans="1:18" x14ac:dyDescent="0.3">
      <c r="A326" s="19"/>
      <c r="B326" s="19"/>
      <c r="C326" s="15" t="str">
        <f>IF($A326="","",COUNTIF('Daily tracking'!$D$2:$D$2001,$A326))</f>
        <v/>
      </c>
      <c r="D326" s="16" t="str">
        <f>IF($A326="","",SUMIF('Daily tracking'!$D$2:$D$2001,$A326,'Daily tracking'!$G$2:$G$2001))</f>
        <v/>
      </c>
      <c r="E326" s="18" t="str">
        <f>IF($A326="","",IF($C326=0,"",_xlfn.MAXIFS('Daily tracking'!$A$2:$A$2001,'Daily tracking'!$D$2:$D$2001,$A326)))</f>
        <v/>
      </c>
      <c r="F326" s="6" t="str">
        <f t="shared" ca="1" si="35"/>
        <v/>
      </c>
      <c r="G326" s="3" t="str">
        <f t="shared" si="36"/>
        <v/>
      </c>
      <c r="H326" s="9" t="str">
        <f t="shared" si="37"/>
        <v/>
      </c>
      <c r="I326" s="20"/>
      <c r="J326" s="20"/>
      <c r="K326" s="19"/>
      <c r="L326" s="19"/>
      <c r="M326" s="19"/>
      <c r="N326" s="15" t="str">
        <f t="shared" si="38"/>
        <v/>
      </c>
      <c r="O326" s="3" t="str">
        <f t="shared" si="39"/>
        <v/>
      </c>
      <c r="P326" s="6" t="str">
        <f t="shared" ca="1" si="40"/>
        <v/>
      </c>
      <c r="Q326" s="21" t="str">
        <f>IF($A326="","",IF($C326=0,"",_xlfn.MINIFS('Daily tracking'!$A$2:$A$2001,'Daily tracking'!$D$2:$D$2001,$A326)))</f>
        <v/>
      </c>
      <c r="R326" s="6" t="str">
        <f t="shared" si="41"/>
        <v/>
      </c>
    </row>
    <row r="327" spans="1:18" x14ac:dyDescent="0.3">
      <c r="A327" s="19"/>
      <c r="B327" s="19"/>
      <c r="C327" s="15" t="str">
        <f>IF($A327="","",COUNTIF('Daily tracking'!$D$2:$D$2001,$A327))</f>
        <v/>
      </c>
      <c r="D327" s="16" t="str">
        <f>IF($A327="","",SUMIF('Daily tracking'!$D$2:$D$2001,$A327,'Daily tracking'!$G$2:$G$2001))</f>
        <v/>
      </c>
      <c r="E327" s="18" t="str">
        <f>IF($A327="","",IF($C327=0,"",_xlfn.MAXIFS('Daily tracking'!$A$2:$A$2001,'Daily tracking'!$D$2:$D$2001,$A327)))</f>
        <v/>
      </c>
      <c r="F327" s="6" t="str">
        <f t="shared" ca="1" si="35"/>
        <v/>
      </c>
      <c r="G327" s="3" t="str">
        <f t="shared" si="36"/>
        <v/>
      </c>
      <c r="H327" s="9" t="str">
        <f t="shared" si="37"/>
        <v/>
      </c>
      <c r="I327" s="20"/>
      <c r="J327" s="20"/>
      <c r="K327" s="19"/>
      <c r="L327" s="19"/>
      <c r="M327" s="19"/>
      <c r="N327" s="15" t="str">
        <f t="shared" si="38"/>
        <v/>
      </c>
      <c r="O327" s="3" t="str">
        <f t="shared" si="39"/>
        <v/>
      </c>
      <c r="P327" s="6" t="str">
        <f t="shared" ca="1" si="40"/>
        <v/>
      </c>
      <c r="Q327" s="21" t="str">
        <f>IF($A327="","",IF($C327=0,"",_xlfn.MINIFS('Daily tracking'!$A$2:$A$2001,'Daily tracking'!$D$2:$D$2001,$A327)))</f>
        <v/>
      </c>
      <c r="R327" s="6" t="str">
        <f t="shared" si="41"/>
        <v/>
      </c>
    </row>
    <row r="328" spans="1:18" x14ac:dyDescent="0.3">
      <c r="A328" s="19"/>
      <c r="B328" s="19"/>
      <c r="C328" s="15" t="str">
        <f>IF($A328="","",COUNTIF('Daily tracking'!$D$2:$D$2001,$A328))</f>
        <v/>
      </c>
      <c r="D328" s="16" t="str">
        <f>IF($A328="","",SUMIF('Daily tracking'!$D$2:$D$2001,$A328,'Daily tracking'!$G$2:$G$2001))</f>
        <v/>
      </c>
      <c r="E328" s="18" t="str">
        <f>IF($A328="","",IF($C328=0,"",_xlfn.MAXIFS('Daily tracking'!$A$2:$A$2001,'Daily tracking'!$D$2:$D$2001,$A328)))</f>
        <v/>
      </c>
      <c r="F328" s="6" t="str">
        <f t="shared" ca="1" si="35"/>
        <v/>
      </c>
      <c r="G328" s="3" t="str">
        <f t="shared" si="36"/>
        <v/>
      </c>
      <c r="H328" s="9" t="str">
        <f t="shared" si="37"/>
        <v/>
      </c>
      <c r="I328" s="20"/>
      <c r="J328" s="20"/>
      <c r="K328" s="19"/>
      <c r="L328" s="19"/>
      <c r="M328" s="19"/>
      <c r="N328" s="15" t="str">
        <f t="shared" si="38"/>
        <v/>
      </c>
      <c r="O328" s="3" t="str">
        <f t="shared" si="39"/>
        <v/>
      </c>
      <c r="P328" s="6" t="str">
        <f t="shared" ca="1" si="40"/>
        <v/>
      </c>
      <c r="Q328" s="21" t="str">
        <f>IF($A328="","",IF($C328=0,"",_xlfn.MINIFS('Daily tracking'!$A$2:$A$2001,'Daily tracking'!$D$2:$D$2001,$A328)))</f>
        <v/>
      </c>
      <c r="R328" s="6" t="str">
        <f t="shared" si="41"/>
        <v/>
      </c>
    </row>
    <row r="329" spans="1:18" x14ac:dyDescent="0.3">
      <c r="A329" s="19"/>
      <c r="B329" s="19"/>
      <c r="C329" s="15" t="str">
        <f>IF($A329="","",COUNTIF('Daily tracking'!$D$2:$D$2001,$A329))</f>
        <v/>
      </c>
      <c r="D329" s="16" t="str">
        <f>IF($A329="","",SUMIF('Daily tracking'!$D$2:$D$2001,$A329,'Daily tracking'!$G$2:$G$2001))</f>
        <v/>
      </c>
      <c r="E329" s="18" t="str">
        <f>IF($A329="","",IF($C329=0,"",_xlfn.MAXIFS('Daily tracking'!$A$2:$A$2001,'Daily tracking'!$D$2:$D$2001,$A329)))</f>
        <v/>
      </c>
      <c r="F329" s="6" t="str">
        <f t="shared" ca="1" si="35"/>
        <v/>
      </c>
      <c r="G329" s="3" t="str">
        <f t="shared" si="36"/>
        <v/>
      </c>
      <c r="H329" s="9" t="str">
        <f t="shared" si="37"/>
        <v/>
      </c>
      <c r="I329" s="20"/>
      <c r="J329" s="20"/>
      <c r="K329" s="19"/>
      <c r="L329" s="19"/>
      <c r="M329" s="19"/>
      <c r="N329" s="15" t="str">
        <f t="shared" si="38"/>
        <v/>
      </c>
      <c r="O329" s="3" t="str">
        <f t="shared" si="39"/>
        <v/>
      </c>
      <c r="P329" s="6" t="str">
        <f t="shared" ca="1" si="40"/>
        <v/>
      </c>
      <c r="Q329" s="21" t="str">
        <f>IF($A329="","",IF($C329=0,"",_xlfn.MINIFS('Daily tracking'!$A$2:$A$2001,'Daily tracking'!$D$2:$D$2001,$A329)))</f>
        <v/>
      </c>
      <c r="R329" s="6" t="str">
        <f t="shared" si="41"/>
        <v/>
      </c>
    </row>
    <row r="330" spans="1:18" x14ac:dyDescent="0.3">
      <c r="A330" s="19"/>
      <c r="B330" s="19"/>
      <c r="C330" s="15" t="str">
        <f>IF($A330="","",COUNTIF('Daily tracking'!$D$2:$D$2001,$A330))</f>
        <v/>
      </c>
      <c r="D330" s="16" t="str">
        <f>IF($A330="","",SUMIF('Daily tracking'!$D$2:$D$2001,$A330,'Daily tracking'!$G$2:$G$2001))</f>
        <v/>
      </c>
      <c r="E330" s="18" t="str">
        <f>IF($A330="","",IF($C330=0,"",_xlfn.MAXIFS('Daily tracking'!$A$2:$A$2001,'Daily tracking'!$D$2:$D$2001,$A330)))</f>
        <v/>
      </c>
      <c r="F330" s="6" t="str">
        <f t="shared" ca="1" si="35"/>
        <v/>
      </c>
      <c r="G330" s="3" t="str">
        <f t="shared" si="36"/>
        <v/>
      </c>
      <c r="H330" s="9" t="str">
        <f t="shared" si="37"/>
        <v/>
      </c>
      <c r="I330" s="20"/>
      <c r="J330" s="20"/>
      <c r="K330" s="19"/>
      <c r="L330" s="19"/>
      <c r="M330" s="19"/>
      <c r="N330" s="15" t="str">
        <f t="shared" si="38"/>
        <v/>
      </c>
      <c r="O330" s="3" t="str">
        <f t="shared" si="39"/>
        <v/>
      </c>
      <c r="P330" s="6" t="str">
        <f t="shared" ca="1" si="40"/>
        <v/>
      </c>
      <c r="Q330" s="21" t="str">
        <f>IF($A330="","",IF($C330=0,"",_xlfn.MINIFS('Daily tracking'!$A$2:$A$2001,'Daily tracking'!$D$2:$D$2001,$A330)))</f>
        <v/>
      </c>
      <c r="R330" s="6" t="str">
        <f t="shared" si="41"/>
        <v/>
      </c>
    </row>
    <row r="331" spans="1:18" x14ac:dyDescent="0.3">
      <c r="A331" s="19"/>
      <c r="B331" s="19"/>
      <c r="C331" s="15" t="str">
        <f>IF($A331="","",COUNTIF('Daily tracking'!$D$2:$D$2001,$A331))</f>
        <v/>
      </c>
      <c r="D331" s="16" t="str">
        <f>IF($A331="","",SUMIF('Daily tracking'!$D$2:$D$2001,$A331,'Daily tracking'!$G$2:$G$2001))</f>
        <v/>
      </c>
      <c r="E331" s="18" t="str">
        <f>IF($A331="","",IF($C331=0,"",_xlfn.MAXIFS('Daily tracking'!$A$2:$A$2001,'Daily tracking'!$D$2:$D$2001,$A331)))</f>
        <v/>
      </c>
      <c r="F331" s="6" t="str">
        <f t="shared" ca="1" si="35"/>
        <v/>
      </c>
      <c r="G331" s="3" t="str">
        <f t="shared" si="36"/>
        <v/>
      </c>
      <c r="H331" s="9" t="str">
        <f t="shared" si="37"/>
        <v/>
      </c>
      <c r="I331" s="20"/>
      <c r="J331" s="20"/>
      <c r="K331" s="19"/>
      <c r="L331" s="19"/>
      <c r="M331" s="19"/>
      <c r="N331" s="15" t="str">
        <f t="shared" si="38"/>
        <v/>
      </c>
      <c r="O331" s="3" t="str">
        <f t="shared" si="39"/>
        <v/>
      </c>
      <c r="P331" s="6" t="str">
        <f t="shared" ca="1" si="40"/>
        <v/>
      </c>
      <c r="Q331" s="21" t="str">
        <f>IF($A331="","",IF($C331=0,"",_xlfn.MINIFS('Daily tracking'!$A$2:$A$2001,'Daily tracking'!$D$2:$D$2001,$A331)))</f>
        <v/>
      </c>
      <c r="R331" s="6" t="str">
        <f t="shared" si="41"/>
        <v/>
      </c>
    </row>
    <row r="332" spans="1:18" x14ac:dyDescent="0.3">
      <c r="A332" s="19"/>
      <c r="B332" s="19"/>
      <c r="C332" s="15" t="str">
        <f>IF($A332="","",COUNTIF('Daily tracking'!$D$2:$D$2001,$A332))</f>
        <v/>
      </c>
      <c r="D332" s="16" t="str">
        <f>IF($A332="","",SUMIF('Daily tracking'!$D$2:$D$2001,$A332,'Daily tracking'!$G$2:$G$2001))</f>
        <v/>
      </c>
      <c r="E332" s="18" t="str">
        <f>IF($A332="","",IF($C332=0,"",_xlfn.MAXIFS('Daily tracking'!$A$2:$A$2001,'Daily tracking'!$D$2:$D$2001,$A332)))</f>
        <v/>
      </c>
      <c r="F332" s="6" t="str">
        <f t="shared" ca="1" si="35"/>
        <v/>
      </c>
      <c r="G332" s="3" t="str">
        <f t="shared" si="36"/>
        <v/>
      </c>
      <c r="H332" s="9" t="str">
        <f t="shared" si="37"/>
        <v/>
      </c>
      <c r="I332" s="20"/>
      <c r="J332" s="20"/>
      <c r="K332" s="19"/>
      <c r="L332" s="19"/>
      <c r="M332" s="19"/>
      <c r="N332" s="15" t="str">
        <f t="shared" si="38"/>
        <v/>
      </c>
      <c r="O332" s="3" t="str">
        <f t="shared" si="39"/>
        <v/>
      </c>
      <c r="P332" s="6" t="str">
        <f t="shared" ca="1" si="40"/>
        <v/>
      </c>
      <c r="Q332" s="21" t="str">
        <f>IF($A332="","",IF($C332=0,"",_xlfn.MINIFS('Daily tracking'!$A$2:$A$2001,'Daily tracking'!$D$2:$D$2001,$A332)))</f>
        <v/>
      </c>
      <c r="R332" s="6" t="str">
        <f t="shared" si="41"/>
        <v/>
      </c>
    </row>
    <row r="333" spans="1:18" x14ac:dyDescent="0.3">
      <c r="A333" s="19"/>
      <c r="B333" s="19"/>
      <c r="C333" s="15" t="str">
        <f>IF($A333="","",COUNTIF('Daily tracking'!$D$2:$D$2001,$A333))</f>
        <v/>
      </c>
      <c r="D333" s="16" t="str">
        <f>IF($A333="","",SUMIF('Daily tracking'!$D$2:$D$2001,$A333,'Daily tracking'!$G$2:$G$2001))</f>
        <v/>
      </c>
      <c r="E333" s="18" t="str">
        <f>IF($A333="","",IF($C333=0,"",_xlfn.MAXIFS('Daily tracking'!$A$2:$A$2001,'Daily tracking'!$D$2:$D$2001,$A333)))</f>
        <v/>
      </c>
      <c r="F333" s="6" t="str">
        <f t="shared" ca="1" si="35"/>
        <v/>
      </c>
      <c r="G333" s="3" t="str">
        <f t="shared" si="36"/>
        <v/>
      </c>
      <c r="H333" s="9" t="str">
        <f t="shared" si="37"/>
        <v/>
      </c>
      <c r="I333" s="20"/>
      <c r="J333" s="20"/>
      <c r="K333" s="19"/>
      <c r="L333" s="19"/>
      <c r="M333" s="19"/>
      <c r="N333" s="15" t="str">
        <f t="shared" si="38"/>
        <v/>
      </c>
      <c r="O333" s="3" t="str">
        <f t="shared" si="39"/>
        <v/>
      </c>
      <c r="P333" s="6" t="str">
        <f t="shared" ca="1" si="40"/>
        <v/>
      </c>
      <c r="Q333" s="21" t="str">
        <f>IF($A333="","",IF($C333=0,"",_xlfn.MINIFS('Daily tracking'!$A$2:$A$2001,'Daily tracking'!$D$2:$D$2001,$A333)))</f>
        <v/>
      </c>
      <c r="R333" s="6" t="str">
        <f t="shared" si="41"/>
        <v/>
      </c>
    </row>
    <row r="334" spans="1:18" x14ac:dyDescent="0.3">
      <c r="A334" s="19"/>
      <c r="B334" s="19"/>
      <c r="C334" s="15" t="str">
        <f>IF($A334="","",COUNTIF('Daily tracking'!$D$2:$D$2001,$A334))</f>
        <v/>
      </c>
      <c r="D334" s="16" t="str">
        <f>IF($A334="","",SUMIF('Daily tracking'!$D$2:$D$2001,$A334,'Daily tracking'!$G$2:$G$2001))</f>
        <v/>
      </c>
      <c r="E334" s="18" t="str">
        <f>IF($A334="","",IF($C334=0,"",_xlfn.MAXIFS('Daily tracking'!$A$2:$A$2001,'Daily tracking'!$D$2:$D$2001,$A334)))</f>
        <v/>
      </c>
      <c r="F334" s="6" t="str">
        <f t="shared" ca="1" si="35"/>
        <v/>
      </c>
      <c r="G334" s="3" t="str">
        <f t="shared" si="36"/>
        <v/>
      </c>
      <c r="H334" s="9" t="str">
        <f t="shared" si="37"/>
        <v/>
      </c>
      <c r="I334" s="20"/>
      <c r="J334" s="20"/>
      <c r="K334" s="19"/>
      <c r="L334" s="19"/>
      <c r="M334" s="19"/>
      <c r="N334" s="15" t="str">
        <f t="shared" si="38"/>
        <v/>
      </c>
      <c r="O334" s="3" t="str">
        <f t="shared" si="39"/>
        <v/>
      </c>
      <c r="P334" s="6" t="str">
        <f t="shared" ca="1" si="40"/>
        <v/>
      </c>
      <c r="Q334" s="21" t="str">
        <f>IF($A334="","",IF($C334=0,"",_xlfn.MINIFS('Daily tracking'!$A$2:$A$2001,'Daily tracking'!$D$2:$D$2001,$A334)))</f>
        <v/>
      </c>
      <c r="R334" s="6" t="str">
        <f t="shared" si="41"/>
        <v/>
      </c>
    </row>
    <row r="335" spans="1:18" x14ac:dyDescent="0.3">
      <c r="A335" s="19"/>
      <c r="B335" s="19"/>
      <c r="C335" s="15" t="str">
        <f>IF($A335="","",COUNTIF('Daily tracking'!$D$2:$D$2001,$A335))</f>
        <v/>
      </c>
      <c r="D335" s="16" t="str">
        <f>IF($A335="","",SUMIF('Daily tracking'!$D$2:$D$2001,$A335,'Daily tracking'!$G$2:$G$2001))</f>
        <v/>
      </c>
      <c r="E335" s="18" t="str">
        <f>IF($A335="","",IF($C335=0,"",_xlfn.MAXIFS('Daily tracking'!$A$2:$A$2001,'Daily tracking'!$D$2:$D$2001,$A335)))</f>
        <v/>
      </c>
      <c r="F335" s="6" t="str">
        <f t="shared" ca="1" si="35"/>
        <v/>
      </c>
      <c r="G335" s="3" t="str">
        <f t="shared" si="36"/>
        <v/>
      </c>
      <c r="H335" s="9" t="str">
        <f t="shared" si="37"/>
        <v/>
      </c>
      <c r="I335" s="20"/>
      <c r="J335" s="20"/>
      <c r="K335" s="19"/>
      <c r="L335" s="19"/>
      <c r="M335" s="19"/>
      <c r="N335" s="15" t="str">
        <f t="shared" si="38"/>
        <v/>
      </c>
      <c r="O335" s="3" t="str">
        <f t="shared" si="39"/>
        <v/>
      </c>
      <c r="P335" s="6" t="str">
        <f t="shared" ca="1" si="40"/>
        <v/>
      </c>
      <c r="Q335" s="21" t="str">
        <f>IF($A335="","",IF($C335=0,"",_xlfn.MINIFS('Daily tracking'!$A$2:$A$2001,'Daily tracking'!$D$2:$D$2001,$A335)))</f>
        <v/>
      </c>
      <c r="R335" s="6" t="str">
        <f t="shared" si="41"/>
        <v/>
      </c>
    </row>
    <row r="336" spans="1:18" x14ac:dyDescent="0.3">
      <c r="A336" s="19"/>
      <c r="B336" s="19"/>
      <c r="C336" s="15" t="str">
        <f>IF($A336="","",COUNTIF('Daily tracking'!$D$2:$D$2001,$A336))</f>
        <v/>
      </c>
      <c r="D336" s="16" t="str">
        <f>IF($A336="","",SUMIF('Daily tracking'!$D$2:$D$2001,$A336,'Daily tracking'!$G$2:$G$2001))</f>
        <v/>
      </c>
      <c r="E336" s="18" t="str">
        <f>IF($A336="","",IF($C336=0,"",_xlfn.MAXIFS('Daily tracking'!$A$2:$A$2001,'Daily tracking'!$D$2:$D$2001,$A336)))</f>
        <v/>
      </c>
      <c r="F336" s="6" t="str">
        <f t="shared" ca="1" si="35"/>
        <v/>
      </c>
      <c r="G336" s="3" t="str">
        <f t="shared" si="36"/>
        <v/>
      </c>
      <c r="H336" s="9" t="str">
        <f t="shared" si="37"/>
        <v/>
      </c>
      <c r="I336" s="20"/>
      <c r="J336" s="20"/>
      <c r="K336" s="19"/>
      <c r="L336" s="19"/>
      <c r="M336" s="19"/>
      <c r="N336" s="15" t="str">
        <f t="shared" si="38"/>
        <v/>
      </c>
      <c r="O336" s="3" t="str">
        <f t="shared" si="39"/>
        <v/>
      </c>
      <c r="P336" s="6" t="str">
        <f t="shared" ca="1" si="40"/>
        <v/>
      </c>
      <c r="Q336" s="21" t="str">
        <f>IF($A336="","",IF($C336=0,"",_xlfn.MINIFS('Daily tracking'!$A$2:$A$2001,'Daily tracking'!$D$2:$D$2001,$A336)))</f>
        <v/>
      </c>
      <c r="R336" s="6" t="str">
        <f t="shared" si="41"/>
        <v/>
      </c>
    </row>
    <row r="337" spans="1:18" x14ac:dyDescent="0.3">
      <c r="A337" s="19"/>
      <c r="B337" s="19"/>
      <c r="C337" s="15" t="str">
        <f>IF($A337="","",COUNTIF('Daily tracking'!$D$2:$D$2001,$A337))</f>
        <v/>
      </c>
      <c r="D337" s="16" t="str">
        <f>IF($A337="","",SUMIF('Daily tracking'!$D$2:$D$2001,$A337,'Daily tracking'!$G$2:$G$2001))</f>
        <v/>
      </c>
      <c r="E337" s="18" t="str">
        <f>IF($A337="","",IF($C337=0,"",_xlfn.MAXIFS('Daily tracking'!$A$2:$A$2001,'Daily tracking'!$D$2:$D$2001,$A337)))</f>
        <v/>
      </c>
      <c r="F337" s="6" t="str">
        <f t="shared" ca="1" si="35"/>
        <v/>
      </c>
      <c r="G337" s="3" t="str">
        <f t="shared" si="36"/>
        <v/>
      </c>
      <c r="H337" s="9" t="str">
        <f t="shared" si="37"/>
        <v/>
      </c>
      <c r="I337" s="20"/>
      <c r="J337" s="20"/>
      <c r="K337" s="19"/>
      <c r="L337" s="19"/>
      <c r="M337" s="19"/>
      <c r="N337" s="15" t="str">
        <f t="shared" si="38"/>
        <v/>
      </c>
      <c r="O337" s="3" t="str">
        <f t="shared" si="39"/>
        <v/>
      </c>
      <c r="P337" s="6" t="str">
        <f t="shared" ca="1" si="40"/>
        <v/>
      </c>
      <c r="Q337" s="21" t="str">
        <f>IF($A337="","",IF($C337=0,"",_xlfn.MINIFS('Daily tracking'!$A$2:$A$2001,'Daily tracking'!$D$2:$D$2001,$A337)))</f>
        <v/>
      </c>
      <c r="R337" s="6" t="str">
        <f t="shared" si="41"/>
        <v/>
      </c>
    </row>
    <row r="338" spans="1:18" x14ac:dyDescent="0.3">
      <c r="A338" s="19"/>
      <c r="B338" s="19"/>
      <c r="C338" s="15" t="str">
        <f>IF($A338="","",COUNTIF('Daily tracking'!$D$2:$D$2001,$A338))</f>
        <v/>
      </c>
      <c r="D338" s="16" t="str">
        <f>IF($A338="","",SUMIF('Daily tracking'!$D$2:$D$2001,$A338,'Daily tracking'!$G$2:$G$2001))</f>
        <v/>
      </c>
      <c r="E338" s="18" t="str">
        <f>IF($A338="","",IF($C338=0,"",_xlfn.MAXIFS('Daily tracking'!$A$2:$A$2001,'Daily tracking'!$D$2:$D$2001,$A338)))</f>
        <v/>
      </c>
      <c r="F338" s="6" t="str">
        <f t="shared" ca="1" si="35"/>
        <v/>
      </c>
      <c r="G338" s="3" t="str">
        <f t="shared" si="36"/>
        <v/>
      </c>
      <c r="H338" s="9" t="str">
        <f t="shared" si="37"/>
        <v/>
      </c>
      <c r="I338" s="20"/>
      <c r="J338" s="20"/>
      <c r="K338" s="19"/>
      <c r="L338" s="19"/>
      <c r="M338" s="19"/>
      <c r="N338" s="15" t="str">
        <f t="shared" si="38"/>
        <v/>
      </c>
      <c r="O338" s="3" t="str">
        <f t="shared" si="39"/>
        <v/>
      </c>
      <c r="P338" s="6" t="str">
        <f t="shared" ca="1" si="40"/>
        <v/>
      </c>
      <c r="Q338" s="21" t="str">
        <f>IF($A338="","",IF($C338=0,"",_xlfn.MINIFS('Daily tracking'!$A$2:$A$2001,'Daily tracking'!$D$2:$D$2001,$A338)))</f>
        <v/>
      </c>
      <c r="R338" s="6" t="str">
        <f t="shared" si="41"/>
        <v/>
      </c>
    </row>
    <row r="339" spans="1:18" x14ac:dyDescent="0.3">
      <c r="A339" s="19"/>
      <c r="B339" s="19"/>
      <c r="C339" s="15" t="str">
        <f>IF($A339="","",COUNTIF('Daily tracking'!$D$2:$D$2001,$A339))</f>
        <v/>
      </c>
      <c r="D339" s="16" t="str">
        <f>IF($A339="","",SUMIF('Daily tracking'!$D$2:$D$2001,$A339,'Daily tracking'!$G$2:$G$2001))</f>
        <v/>
      </c>
      <c r="E339" s="18" t="str">
        <f>IF($A339="","",IF($C339=0,"",_xlfn.MAXIFS('Daily tracking'!$A$2:$A$2001,'Daily tracking'!$D$2:$D$2001,$A339)))</f>
        <v/>
      </c>
      <c r="F339" s="6" t="str">
        <f t="shared" ca="1" si="35"/>
        <v/>
      </c>
      <c r="G339" s="3" t="str">
        <f t="shared" si="36"/>
        <v/>
      </c>
      <c r="H339" s="9" t="str">
        <f t="shared" si="37"/>
        <v/>
      </c>
      <c r="I339" s="20"/>
      <c r="J339" s="20"/>
      <c r="K339" s="19"/>
      <c r="L339" s="19"/>
      <c r="M339" s="19"/>
      <c r="N339" s="15" t="str">
        <f t="shared" si="38"/>
        <v/>
      </c>
      <c r="O339" s="3" t="str">
        <f t="shared" si="39"/>
        <v/>
      </c>
      <c r="P339" s="6" t="str">
        <f t="shared" ca="1" si="40"/>
        <v/>
      </c>
      <c r="Q339" s="21" t="str">
        <f>IF($A339="","",IF($C339=0,"",_xlfn.MINIFS('Daily tracking'!$A$2:$A$2001,'Daily tracking'!$D$2:$D$2001,$A339)))</f>
        <v/>
      </c>
      <c r="R339" s="6" t="str">
        <f t="shared" si="41"/>
        <v/>
      </c>
    </row>
    <row r="340" spans="1:18" x14ac:dyDescent="0.3">
      <c r="A340" s="19"/>
      <c r="B340" s="19"/>
      <c r="C340" s="15" t="str">
        <f>IF($A340="","",COUNTIF('Daily tracking'!$D$2:$D$2001,$A340))</f>
        <v/>
      </c>
      <c r="D340" s="16" t="str">
        <f>IF($A340="","",SUMIF('Daily tracking'!$D$2:$D$2001,$A340,'Daily tracking'!$G$2:$G$2001))</f>
        <v/>
      </c>
      <c r="E340" s="18" t="str">
        <f>IF($A340="","",IF($C340=0,"",_xlfn.MAXIFS('Daily tracking'!$A$2:$A$2001,'Daily tracking'!$D$2:$D$2001,$A340)))</f>
        <v/>
      </c>
      <c r="F340" s="6" t="str">
        <f t="shared" ca="1" si="35"/>
        <v/>
      </c>
      <c r="G340" s="3" t="str">
        <f t="shared" si="36"/>
        <v/>
      </c>
      <c r="H340" s="9" t="str">
        <f t="shared" si="37"/>
        <v/>
      </c>
      <c r="I340" s="20"/>
      <c r="J340" s="20"/>
      <c r="K340" s="19"/>
      <c r="L340" s="19"/>
      <c r="M340" s="19"/>
      <c r="N340" s="15" t="str">
        <f t="shared" si="38"/>
        <v/>
      </c>
      <c r="O340" s="3" t="str">
        <f t="shared" si="39"/>
        <v/>
      </c>
      <c r="P340" s="6" t="str">
        <f t="shared" ca="1" si="40"/>
        <v/>
      </c>
      <c r="Q340" s="21" t="str">
        <f>IF($A340="","",IF($C340=0,"",_xlfn.MINIFS('Daily tracking'!$A$2:$A$2001,'Daily tracking'!$D$2:$D$2001,$A340)))</f>
        <v/>
      </c>
      <c r="R340" s="6" t="str">
        <f t="shared" si="41"/>
        <v/>
      </c>
    </row>
    <row r="341" spans="1:18" x14ac:dyDescent="0.3">
      <c r="A341" s="19"/>
      <c r="B341" s="19"/>
      <c r="C341" s="15" t="str">
        <f>IF($A341="","",COUNTIF('Daily tracking'!$D$2:$D$2001,$A341))</f>
        <v/>
      </c>
      <c r="D341" s="16" t="str">
        <f>IF($A341="","",SUMIF('Daily tracking'!$D$2:$D$2001,$A341,'Daily tracking'!$G$2:$G$2001))</f>
        <v/>
      </c>
      <c r="E341" s="18" t="str">
        <f>IF($A341="","",IF($C341=0,"",_xlfn.MAXIFS('Daily tracking'!$A$2:$A$2001,'Daily tracking'!$D$2:$D$2001,$A341)))</f>
        <v/>
      </c>
      <c r="F341" s="6" t="str">
        <f t="shared" ca="1" si="35"/>
        <v/>
      </c>
      <c r="G341" s="3" t="str">
        <f t="shared" si="36"/>
        <v/>
      </c>
      <c r="H341" s="9" t="str">
        <f t="shared" si="37"/>
        <v/>
      </c>
      <c r="I341" s="20"/>
      <c r="J341" s="20"/>
      <c r="K341" s="19"/>
      <c r="L341" s="19"/>
      <c r="M341" s="19"/>
      <c r="N341" s="15" t="str">
        <f t="shared" si="38"/>
        <v/>
      </c>
      <c r="O341" s="3" t="str">
        <f t="shared" si="39"/>
        <v/>
      </c>
      <c r="P341" s="6" t="str">
        <f t="shared" ca="1" si="40"/>
        <v/>
      </c>
      <c r="Q341" s="21" t="str">
        <f>IF($A341="","",IF($C341=0,"",_xlfn.MINIFS('Daily tracking'!$A$2:$A$2001,'Daily tracking'!$D$2:$D$2001,$A341)))</f>
        <v/>
      </c>
      <c r="R341" s="6" t="str">
        <f t="shared" si="41"/>
        <v/>
      </c>
    </row>
    <row r="342" spans="1:18" x14ac:dyDescent="0.3">
      <c r="A342" s="19"/>
      <c r="B342" s="19"/>
      <c r="C342" s="15" t="str">
        <f>IF($A342="","",COUNTIF('Daily tracking'!$D$2:$D$2001,$A342))</f>
        <v/>
      </c>
      <c r="D342" s="16" t="str">
        <f>IF($A342="","",SUMIF('Daily tracking'!$D$2:$D$2001,$A342,'Daily tracking'!$G$2:$G$2001))</f>
        <v/>
      </c>
      <c r="E342" s="18" t="str">
        <f>IF($A342="","",IF($C342=0,"",_xlfn.MAXIFS('Daily tracking'!$A$2:$A$2001,'Daily tracking'!$D$2:$D$2001,$A342)))</f>
        <v/>
      </c>
      <c r="F342" s="6" t="str">
        <f t="shared" ca="1" si="35"/>
        <v/>
      </c>
      <c r="G342" s="3" t="str">
        <f t="shared" si="36"/>
        <v/>
      </c>
      <c r="H342" s="9" t="str">
        <f t="shared" si="37"/>
        <v/>
      </c>
      <c r="I342" s="20"/>
      <c r="J342" s="20"/>
      <c r="K342" s="19"/>
      <c r="L342" s="19"/>
      <c r="M342" s="19"/>
      <c r="N342" s="15" t="str">
        <f t="shared" si="38"/>
        <v/>
      </c>
      <c r="O342" s="3" t="str">
        <f t="shared" si="39"/>
        <v/>
      </c>
      <c r="P342" s="6" t="str">
        <f t="shared" ca="1" si="40"/>
        <v/>
      </c>
      <c r="Q342" s="21" t="str">
        <f>IF($A342="","",IF($C342=0,"",_xlfn.MINIFS('Daily tracking'!$A$2:$A$2001,'Daily tracking'!$D$2:$D$2001,$A342)))</f>
        <v/>
      </c>
      <c r="R342" s="6" t="str">
        <f t="shared" si="41"/>
        <v/>
      </c>
    </row>
    <row r="343" spans="1:18" x14ac:dyDescent="0.3">
      <c r="A343" s="19"/>
      <c r="B343" s="19"/>
      <c r="C343" s="15" t="str">
        <f>IF($A343="","",COUNTIF('Daily tracking'!$D$2:$D$2001,$A343))</f>
        <v/>
      </c>
      <c r="D343" s="16" t="str">
        <f>IF($A343="","",SUMIF('Daily tracking'!$D$2:$D$2001,$A343,'Daily tracking'!$G$2:$G$2001))</f>
        <v/>
      </c>
      <c r="E343" s="18" t="str">
        <f>IF($A343="","",IF($C343=0,"",_xlfn.MAXIFS('Daily tracking'!$A$2:$A$2001,'Daily tracking'!$D$2:$D$2001,$A343)))</f>
        <v/>
      </c>
      <c r="F343" s="6" t="str">
        <f t="shared" ca="1" si="35"/>
        <v/>
      </c>
      <c r="G343" s="3" t="str">
        <f t="shared" si="36"/>
        <v/>
      </c>
      <c r="H343" s="9" t="str">
        <f t="shared" si="37"/>
        <v/>
      </c>
      <c r="I343" s="20"/>
      <c r="J343" s="20"/>
      <c r="K343" s="19"/>
      <c r="L343" s="19"/>
      <c r="M343" s="19"/>
      <c r="N343" s="15" t="str">
        <f t="shared" si="38"/>
        <v/>
      </c>
      <c r="O343" s="3" t="str">
        <f t="shared" si="39"/>
        <v/>
      </c>
      <c r="P343" s="6" t="str">
        <f t="shared" ca="1" si="40"/>
        <v/>
      </c>
      <c r="Q343" s="21" t="str">
        <f>IF($A343="","",IF($C343=0,"",_xlfn.MINIFS('Daily tracking'!$A$2:$A$2001,'Daily tracking'!$D$2:$D$2001,$A343)))</f>
        <v/>
      </c>
      <c r="R343" s="6" t="str">
        <f t="shared" si="41"/>
        <v/>
      </c>
    </row>
    <row r="344" spans="1:18" x14ac:dyDescent="0.3">
      <c r="A344" s="19"/>
      <c r="B344" s="19"/>
      <c r="C344" s="15" t="str">
        <f>IF($A344="","",COUNTIF('Daily tracking'!$D$2:$D$2001,$A344))</f>
        <v/>
      </c>
      <c r="D344" s="16" t="str">
        <f>IF($A344="","",SUMIF('Daily tracking'!$D$2:$D$2001,$A344,'Daily tracking'!$G$2:$G$2001))</f>
        <v/>
      </c>
      <c r="E344" s="18" t="str">
        <f>IF($A344="","",IF($C344=0,"",_xlfn.MAXIFS('Daily tracking'!$A$2:$A$2001,'Daily tracking'!$D$2:$D$2001,$A344)))</f>
        <v/>
      </c>
      <c r="F344" s="6" t="str">
        <f t="shared" ca="1" si="35"/>
        <v/>
      </c>
      <c r="G344" s="3" t="str">
        <f t="shared" si="36"/>
        <v/>
      </c>
      <c r="H344" s="9" t="str">
        <f t="shared" si="37"/>
        <v/>
      </c>
      <c r="I344" s="20"/>
      <c r="J344" s="20"/>
      <c r="K344" s="19"/>
      <c r="L344" s="19"/>
      <c r="M344" s="19"/>
      <c r="N344" s="15" t="str">
        <f t="shared" si="38"/>
        <v/>
      </c>
      <c r="O344" s="3" t="str">
        <f t="shared" si="39"/>
        <v/>
      </c>
      <c r="P344" s="6" t="str">
        <f t="shared" ca="1" si="40"/>
        <v/>
      </c>
      <c r="Q344" s="21" t="str">
        <f>IF($A344="","",IF($C344=0,"",_xlfn.MINIFS('Daily tracking'!$A$2:$A$2001,'Daily tracking'!$D$2:$D$2001,$A344)))</f>
        <v/>
      </c>
      <c r="R344" s="6" t="str">
        <f t="shared" si="41"/>
        <v/>
      </c>
    </row>
    <row r="345" spans="1:18" x14ac:dyDescent="0.3">
      <c r="A345" s="19"/>
      <c r="B345" s="19"/>
      <c r="C345" s="15" t="str">
        <f>IF($A345="","",COUNTIF('Daily tracking'!$D$2:$D$2001,$A345))</f>
        <v/>
      </c>
      <c r="D345" s="16" t="str">
        <f>IF($A345="","",SUMIF('Daily tracking'!$D$2:$D$2001,$A345,'Daily tracking'!$G$2:$G$2001))</f>
        <v/>
      </c>
      <c r="E345" s="18" t="str">
        <f>IF($A345="","",IF($C345=0,"",_xlfn.MAXIFS('Daily tracking'!$A$2:$A$2001,'Daily tracking'!$D$2:$D$2001,$A345)))</f>
        <v/>
      </c>
      <c r="F345" s="6" t="str">
        <f t="shared" ca="1" si="35"/>
        <v/>
      </c>
      <c r="G345" s="3" t="str">
        <f t="shared" si="36"/>
        <v/>
      </c>
      <c r="H345" s="9" t="str">
        <f t="shared" si="37"/>
        <v/>
      </c>
      <c r="I345" s="20"/>
      <c r="J345" s="20"/>
      <c r="K345" s="19"/>
      <c r="L345" s="19"/>
      <c r="M345" s="19"/>
      <c r="N345" s="15" t="str">
        <f t="shared" si="38"/>
        <v/>
      </c>
      <c r="O345" s="3" t="str">
        <f t="shared" si="39"/>
        <v/>
      </c>
      <c r="P345" s="6" t="str">
        <f t="shared" ca="1" si="40"/>
        <v/>
      </c>
      <c r="Q345" s="21" t="str">
        <f>IF($A345="","",IF($C345=0,"",_xlfn.MINIFS('Daily tracking'!$A$2:$A$2001,'Daily tracking'!$D$2:$D$2001,$A345)))</f>
        <v/>
      </c>
      <c r="R345" s="6" t="str">
        <f t="shared" si="41"/>
        <v/>
      </c>
    </row>
    <row r="346" spans="1:18" x14ac:dyDescent="0.3">
      <c r="A346" s="19"/>
      <c r="B346" s="19"/>
      <c r="C346" s="15" t="str">
        <f>IF($A346="","",COUNTIF('Daily tracking'!$D$2:$D$2001,$A346))</f>
        <v/>
      </c>
      <c r="D346" s="16" t="str">
        <f>IF($A346="","",SUMIF('Daily tracking'!$D$2:$D$2001,$A346,'Daily tracking'!$G$2:$G$2001))</f>
        <v/>
      </c>
      <c r="E346" s="18" t="str">
        <f>IF($A346="","",IF($C346=0,"",_xlfn.MAXIFS('Daily tracking'!$A$2:$A$2001,'Daily tracking'!$D$2:$D$2001,$A346)))</f>
        <v/>
      </c>
      <c r="F346" s="6" t="str">
        <f t="shared" ca="1" si="35"/>
        <v/>
      </c>
      <c r="G346" s="3" t="str">
        <f t="shared" si="36"/>
        <v/>
      </c>
      <c r="H346" s="9" t="str">
        <f t="shared" si="37"/>
        <v/>
      </c>
      <c r="I346" s="20"/>
      <c r="J346" s="20"/>
      <c r="K346" s="19"/>
      <c r="L346" s="19"/>
      <c r="M346" s="19"/>
      <c r="N346" s="15" t="str">
        <f t="shared" si="38"/>
        <v/>
      </c>
      <c r="O346" s="3" t="str">
        <f t="shared" si="39"/>
        <v/>
      </c>
      <c r="P346" s="6" t="str">
        <f t="shared" ca="1" si="40"/>
        <v/>
      </c>
      <c r="Q346" s="21" t="str">
        <f>IF($A346="","",IF($C346=0,"",_xlfn.MINIFS('Daily tracking'!$A$2:$A$2001,'Daily tracking'!$D$2:$D$2001,$A346)))</f>
        <v/>
      </c>
      <c r="R346" s="6" t="str">
        <f t="shared" si="41"/>
        <v/>
      </c>
    </row>
    <row r="347" spans="1:18" x14ac:dyDescent="0.3">
      <c r="A347" s="19"/>
      <c r="B347" s="19"/>
      <c r="C347" s="15" t="str">
        <f>IF($A347="","",COUNTIF('Daily tracking'!$D$2:$D$2001,$A347))</f>
        <v/>
      </c>
      <c r="D347" s="16" t="str">
        <f>IF($A347="","",SUMIF('Daily tracking'!$D$2:$D$2001,$A347,'Daily tracking'!$G$2:$G$2001))</f>
        <v/>
      </c>
      <c r="E347" s="18" t="str">
        <f>IF($A347="","",IF($C347=0,"",_xlfn.MAXIFS('Daily tracking'!$A$2:$A$2001,'Daily tracking'!$D$2:$D$2001,$A347)))</f>
        <v/>
      </c>
      <c r="F347" s="6" t="str">
        <f t="shared" ca="1" si="35"/>
        <v/>
      </c>
      <c r="G347" s="3" t="str">
        <f t="shared" si="36"/>
        <v/>
      </c>
      <c r="H347" s="9" t="str">
        <f t="shared" si="37"/>
        <v/>
      </c>
      <c r="I347" s="20"/>
      <c r="J347" s="20"/>
      <c r="K347" s="19"/>
      <c r="L347" s="19"/>
      <c r="M347" s="19"/>
      <c r="N347" s="15" t="str">
        <f t="shared" si="38"/>
        <v/>
      </c>
      <c r="O347" s="3" t="str">
        <f t="shared" si="39"/>
        <v/>
      </c>
      <c r="P347" s="6" t="str">
        <f t="shared" ca="1" si="40"/>
        <v/>
      </c>
      <c r="Q347" s="21" t="str">
        <f>IF($A347="","",IF($C347=0,"",_xlfn.MINIFS('Daily tracking'!$A$2:$A$2001,'Daily tracking'!$D$2:$D$2001,$A347)))</f>
        <v/>
      </c>
      <c r="R347" s="6" t="str">
        <f t="shared" si="41"/>
        <v/>
      </c>
    </row>
    <row r="348" spans="1:18" x14ac:dyDescent="0.3">
      <c r="A348" s="19"/>
      <c r="B348" s="19"/>
      <c r="C348" s="15" t="str">
        <f>IF($A348="","",COUNTIF('Daily tracking'!$D$2:$D$2001,$A348))</f>
        <v/>
      </c>
      <c r="D348" s="16" t="str">
        <f>IF($A348="","",SUMIF('Daily tracking'!$D$2:$D$2001,$A348,'Daily tracking'!$G$2:$G$2001))</f>
        <v/>
      </c>
      <c r="E348" s="18" t="str">
        <f>IF($A348="","",IF($C348=0,"",_xlfn.MAXIFS('Daily tracking'!$A$2:$A$2001,'Daily tracking'!$D$2:$D$2001,$A348)))</f>
        <v/>
      </c>
      <c r="F348" s="6" t="str">
        <f t="shared" ca="1" si="35"/>
        <v/>
      </c>
      <c r="G348" s="3" t="str">
        <f t="shared" si="36"/>
        <v/>
      </c>
      <c r="H348" s="9" t="str">
        <f t="shared" si="37"/>
        <v/>
      </c>
      <c r="I348" s="20"/>
      <c r="J348" s="20"/>
      <c r="K348" s="19"/>
      <c r="L348" s="19"/>
      <c r="M348" s="19"/>
      <c r="N348" s="15" t="str">
        <f t="shared" si="38"/>
        <v/>
      </c>
      <c r="O348" s="3" t="str">
        <f t="shared" si="39"/>
        <v/>
      </c>
      <c r="P348" s="6" t="str">
        <f t="shared" ca="1" si="40"/>
        <v/>
      </c>
      <c r="Q348" s="21" t="str">
        <f>IF($A348="","",IF($C348=0,"",_xlfn.MINIFS('Daily tracking'!$A$2:$A$2001,'Daily tracking'!$D$2:$D$2001,$A348)))</f>
        <v/>
      </c>
      <c r="R348" s="6" t="str">
        <f t="shared" si="41"/>
        <v/>
      </c>
    </row>
    <row r="349" spans="1:18" x14ac:dyDescent="0.3">
      <c r="A349" s="19"/>
      <c r="B349" s="19"/>
      <c r="C349" s="15" t="str">
        <f>IF($A349="","",COUNTIF('Daily tracking'!$D$2:$D$2001,$A349))</f>
        <v/>
      </c>
      <c r="D349" s="16" t="str">
        <f>IF($A349="","",SUMIF('Daily tracking'!$D$2:$D$2001,$A349,'Daily tracking'!$G$2:$G$2001))</f>
        <v/>
      </c>
      <c r="E349" s="18" t="str">
        <f>IF($A349="","",IF($C349=0,"",_xlfn.MAXIFS('Daily tracking'!$A$2:$A$2001,'Daily tracking'!$D$2:$D$2001,$A349)))</f>
        <v/>
      </c>
      <c r="F349" s="6" t="str">
        <f t="shared" ca="1" si="35"/>
        <v/>
      </c>
      <c r="G349" s="3" t="str">
        <f t="shared" si="36"/>
        <v/>
      </c>
      <c r="H349" s="9" t="str">
        <f t="shared" si="37"/>
        <v/>
      </c>
      <c r="I349" s="20"/>
      <c r="J349" s="20"/>
      <c r="K349" s="19"/>
      <c r="L349" s="19"/>
      <c r="M349" s="19"/>
      <c r="N349" s="15" t="str">
        <f t="shared" si="38"/>
        <v/>
      </c>
      <c r="O349" s="3" t="str">
        <f t="shared" si="39"/>
        <v/>
      </c>
      <c r="P349" s="6" t="str">
        <f t="shared" ca="1" si="40"/>
        <v/>
      </c>
      <c r="Q349" s="21" t="str">
        <f>IF($A349="","",IF($C349=0,"",_xlfn.MINIFS('Daily tracking'!$A$2:$A$2001,'Daily tracking'!$D$2:$D$2001,$A349)))</f>
        <v/>
      </c>
      <c r="R349" s="6" t="str">
        <f t="shared" si="41"/>
        <v/>
      </c>
    </row>
    <row r="350" spans="1:18" x14ac:dyDescent="0.3">
      <c r="A350" s="19"/>
      <c r="B350" s="19"/>
      <c r="C350" s="15" t="str">
        <f>IF($A350="","",COUNTIF('Daily tracking'!$D$2:$D$2001,$A350))</f>
        <v/>
      </c>
      <c r="D350" s="16" t="str">
        <f>IF($A350="","",SUMIF('Daily tracking'!$D$2:$D$2001,$A350,'Daily tracking'!$G$2:$G$2001))</f>
        <v/>
      </c>
      <c r="E350" s="18" t="str">
        <f>IF($A350="","",IF($C350=0,"",_xlfn.MAXIFS('Daily tracking'!$A$2:$A$2001,'Daily tracking'!$D$2:$D$2001,$A350)))</f>
        <v/>
      </c>
      <c r="F350" s="6" t="str">
        <f t="shared" ca="1" si="35"/>
        <v/>
      </c>
      <c r="G350" s="3" t="str">
        <f t="shared" si="36"/>
        <v/>
      </c>
      <c r="H350" s="9" t="str">
        <f t="shared" si="37"/>
        <v/>
      </c>
      <c r="I350" s="20"/>
      <c r="J350" s="20"/>
      <c r="K350" s="19"/>
      <c r="L350" s="19"/>
      <c r="M350" s="19"/>
      <c r="N350" s="15" t="str">
        <f t="shared" si="38"/>
        <v/>
      </c>
      <c r="O350" s="3" t="str">
        <f t="shared" si="39"/>
        <v/>
      </c>
      <c r="P350" s="6" t="str">
        <f t="shared" ca="1" si="40"/>
        <v/>
      </c>
      <c r="Q350" s="21" t="str">
        <f>IF($A350="","",IF($C350=0,"",_xlfn.MINIFS('Daily tracking'!$A$2:$A$2001,'Daily tracking'!$D$2:$D$2001,$A350)))</f>
        <v/>
      </c>
      <c r="R350" s="6" t="str">
        <f t="shared" si="41"/>
        <v/>
      </c>
    </row>
    <row r="351" spans="1:18" x14ac:dyDescent="0.3">
      <c r="A351" s="19"/>
      <c r="B351" s="19"/>
      <c r="C351" s="15" t="str">
        <f>IF($A351="","",COUNTIF('Daily tracking'!$D$2:$D$2001,$A351))</f>
        <v/>
      </c>
      <c r="D351" s="16" t="str">
        <f>IF($A351="","",SUMIF('Daily tracking'!$D$2:$D$2001,$A351,'Daily tracking'!$G$2:$G$2001))</f>
        <v/>
      </c>
      <c r="E351" s="18" t="str">
        <f>IF($A351="","",IF($C351=0,"",_xlfn.MAXIFS('Daily tracking'!$A$2:$A$2001,'Daily tracking'!$D$2:$D$2001,$A351)))</f>
        <v/>
      </c>
      <c r="F351" s="6" t="str">
        <f t="shared" ca="1" si="35"/>
        <v/>
      </c>
      <c r="G351" s="3" t="str">
        <f t="shared" si="36"/>
        <v/>
      </c>
      <c r="H351" s="9" t="str">
        <f t="shared" si="37"/>
        <v/>
      </c>
      <c r="I351" s="20"/>
      <c r="J351" s="20"/>
      <c r="K351" s="19"/>
      <c r="L351" s="19"/>
      <c r="M351" s="19"/>
      <c r="N351" s="15" t="str">
        <f t="shared" si="38"/>
        <v/>
      </c>
      <c r="O351" s="3" t="str">
        <f t="shared" si="39"/>
        <v/>
      </c>
      <c r="P351" s="6" t="str">
        <f t="shared" ca="1" si="40"/>
        <v/>
      </c>
      <c r="Q351" s="21" t="str">
        <f>IF($A351="","",IF($C351=0,"",_xlfn.MINIFS('Daily tracking'!$A$2:$A$2001,'Daily tracking'!$D$2:$D$2001,$A351)))</f>
        <v/>
      </c>
      <c r="R351" s="6" t="str">
        <f t="shared" si="41"/>
        <v/>
      </c>
    </row>
    <row r="352" spans="1:18" x14ac:dyDescent="0.3">
      <c r="A352" s="19"/>
      <c r="B352" s="19"/>
      <c r="C352" s="15" t="str">
        <f>IF($A352="","",COUNTIF('Daily tracking'!$D$2:$D$2001,$A352))</f>
        <v/>
      </c>
      <c r="D352" s="16" t="str">
        <f>IF($A352="","",SUMIF('Daily tracking'!$D$2:$D$2001,$A352,'Daily tracking'!$G$2:$G$2001))</f>
        <v/>
      </c>
      <c r="E352" s="18" t="str">
        <f>IF($A352="","",IF($C352=0,"",_xlfn.MAXIFS('Daily tracking'!$A$2:$A$2001,'Daily tracking'!$D$2:$D$2001,$A352)))</f>
        <v/>
      </c>
      <c r="F352" s="6" t="str">
        <f t="shared" ca="1" si="35"/>
        <v/>
      </c>
      <c r="G352" s="3" t="str">
        <f t="shared" si="36"/>
        <v/>
      </c>
      <c r="H352" s="9" t="str">
        <f t="shared" si="37"/>
        <v/>
      </c>
      <c r="I352" s="20"/>
      <c r="J352" s="20"/>
      <c r="K352" s="19"/>
      <c r="L352" s="19"/>
      <c r="M352" s="19"/>
      <c r="N352" s="15" t="str">
        <f t="shared" si="38"/>
        <v/>
      </c>
      <c r="O352" s="3" t="str">
        <f t="shared" si="39"/>
        <v/>
      </c>
      <c r="P352" s="6" t="str">
        <f t="shared" ca="1" si="40"/>
        <v/>
      </c>
      <c r="Q352" s="21" t="str">
        <f>IF($A352="","",IF($C352=0,"",_xlfn.MINIFS('Daily tracking'!$A$2:$A$2001,'Daily tracking'!$D$2:$D$2001,$A352)))</f>
        <v/>
      </c>
      <c r="R352" s="6" t="str">
        <f t="shared" si="41"/>
        <v/>
      </c>
    </row>
    <row r="353" spans="1:18" x14ac:dyDescent="0.3">
      <c r="A353" s="19"/>
      <c r="B353" s="19"/>
      <c r="C353" s="15" t="str">
        <f>IF($A353="","",COUNTIF('Daily tracking'!$D$2:$D$2001,$A353))</f>
        <v/>
      </c>
      <c r="D353" s="16" t="str">
        <f>IF($A353="","",SUMIF('Daily tracking'!$D$2:$D$2001,$A353,'Daily tracking'!$G$2:$G$2001))</f>
        <v/>
      </c>
      <c r="E353" s="18" t="str">
        <f>IF($A353="","",IF($C353=0,"",_xlfn.MAXIFS('Daily tracking'!$A$2:$A$2001,'Daily tracking'!$D$2:$D$2001,$A353)))</f>
        <v/>
      </c>
      <c r="F353" s="6" t="str">
        <f t="shared" ca="1" si="35"/>
        <v/>
      </c>
      <c r="G353" s="3" t="str">
        <f t="shared" si="36"/>
        <v/>
      </c>
      <c r="H353" s="9" t="str">
        <f t="shared" si="37"/>
        <v/>
      </c>
      <c r="I353" s="20"/>
      <c r="J353" s="20"/>
      <c r="K353" s="19"/>
      <c r="L353" s="19"/>
      <c r="M353" s="19"/>
      <c r="N353" s="15" t="str">
        <f t="shared" si="38"/>
        <v/>
      </c>
      <c r="O353" s="3" t="str">
        <f t="shared" si="39"/>
        <v/>
      </c>
      <c r="P353" s="6" t="str">
        <f t="shared" ca="1" si="40"/>
        <v/>
      </c>
      <c r="Q353" s="21" t="str">
        <f>IF($A353="","",IF($C353=0,"",_xlfn.MINIFS('Daily tracking'!$A$2:$A$2001,'Daily tracking'!$D$2:$D$2001,$A353)))</f>
        <v/>
      </c>
      <c r="R353" s="6" t="str">
        <f t="shared" si="41"/>
        <v/>
      </c>
    </row>
    <row r="354" spans="1:18" x14ac:dyDescent="0.3">
      <c r="A354" s="19"/>
      <c r="B354" s="19"/>
      <c r="C354" s="15" t="str">
        <f>IF($A354="","",COUNTIF('Daily tracking'!$D$2:$D$2001,$A354))</f>
        <v/>
      </c>
      <c r="D354" s="16" t="str">
        <f>IF($A354="","",SUMIF('Daily tracking'!$D$2:$D$2001,$A354,'Daily tracking'!$G$2:$G$2001))</f>
        <v/>
      </c>
      <c r="E354" s="18" t="str">
        <f>IF($A354="","",IF($C354=0,"",_xlfn.MAXIFS('Daily tracking'!$A$2:$A$2001,'Daily tracking'!$D$2:$D$2001,$A354)))</f>
        <v/>
      </c>
      <c r="F354" s="6" t="str">
        <f t="shared" ca="1" si="35"/>
        <v/>
      </c>
      <c r="G354" s="3" t="str">
        <f t="shared" si="36"/>
        <v/>
      </c>
      <c r="H354" s="9" t="str">
        <f t="shared" si="37"/>
        <v/>
      </c>
      <c r="I354" s="20"/>
      <c r="J354" s="20"/>
      <c r="K354" s="19"/>
      <c r="L354" s="19"/>
      <c r="M354" s="19"/>
      <c r="N354" s="15" t="str">
        <f t="shared" si="38"/>
        <v/>
      </c>
      <c r="O354" s="3" t="str">
        <f t="shared" si="39"/>
        <v/>
      </c>
      <c r="P354" s="6" t="str">
        <f t="shared" ca="1" si="40"/>
        <v/>
      </c>
      <c r="Q354" s="21" t="str">
        <f>IF($A354="","",IF($C354=0,"",_xlfn.MINIFS('Daily tracking'!$A$2:$A$2001,'Daily tracking'!$D$2:$D$2001,$A354)))</f>
        <v/>
      </c>
      <c r="R354" s="6" t="str">
        <f t="shared" si="41"/>
        <v/>
      </c>
    </row>
    <row r="355" spans="1:18" x14ac:dyDescent="0.3">
      <c r="A355" s="19"/>
      <c r="B355" s="19"/>
      <c r="C355" s="15" t="str">
        <f>IF($A355="","",COUNTIF('Daily tracking'!$D$2:$D$2001,$A355))</f>
        <v/>
      </c>
      <c r="D355" s="16" t="str">
        <f>IF($A355="","",SUMIF('Daily tracking'!$D$2:$D$2001,$A355,'Daily tracking'!$G$2:$G$2001))</f>
        <v/>
      </c>
      <c r="E355" s="18" t="str">
        <f>IF($A355="","",IF($C355=0,"",_xlfn.MAXIFS('Daily tracking'!$A$2:$A$2001,'Daily tracking'!$D$2:$D$2001,$A355)))</f>
        <v/>
      </c>
      <c r="F355" s="6" t="str">
        <f t="shared" ca="1" si="35"/>
        <v/>
      </c>
      <c r="G355" s="3" t="str">
        <f t="shared" si="36"/>
        <v/>
      </c>
      <c r="H355" s="9" t="str">
        <f t="shared" si="37"/>
        <v/>
      </c>
      <c r="I355" s="20"/>
      <c r="J355" s="20"/>
      <c r="K355" s="19"/>
      <c r="L355" s="19"/>
      <c r="M355" s="19"/>
      <c r="N355" s="15" t="str">
        <f t="shared" si="38"/>
        <v/>
      </c>
      <c r="O355" s="3" t="str">
        <f t="shared" si="39"/>
        <v/>
      </c>
      <c r="P355" s="6" t="str">
        <f t="shared" ca="1" si="40"/>
        <v/>
      </c>
      <c r="Q355" s="21" t="str">
        <f>IF($A355="","",IF($C355=0,"",_xlfn.MINIFS('Daily tracking'!$A$2:$A$2001,'Daily tracking'!$D$2:$D$2001,$A355)))</f>
        <v/>
      </c>
      <c r="R355" s="6" t="str">
        <f t="shared" si="41"/>
        <v/>
      </c>
    </row>
    <row r="356" spans="1:18" x14ac:dyDescent="0.3">
      <c r="A356" s="19"/>
      <c r="B356" s="19"/>
      <c r="C356" s="15" t="str">
        <f>IF($A356="","",COUNTIF('Daily tracking'!$D$2:$D$2001,$A356))</f>
        <v/>
      </c>
      <c r="D356" s="16" t="str">
        <f>IF($A356="","",SUMIF('Daily tracking'!$D$2:$D$2001,$A356,'Daily tracking'!$G$2:$G$2001))</f>
        <v/>
      </c>
      <c r="E356" s="18" t="str">
        <f>IF($A356="","",IF($C356=0,"",_xlfn.MAXIFS('Daily tracking'!$A$2:$A$2001,'Daily tracking'!$D$2:$D$2001,$A356)))</f>
        <v/>
      </c>
      <c r="F356" s="6" t="str">
        <f t="shared" ca="1" si="35"/>
        <v/>
      </c>
      <c r="G356" s="3" t="str">
        <f t="shared" si="36"/>
        <v/>
      </c>
      <c r="H356" s="9" t="str">
        <f t="shared" si="37"/>
        <v/>
      </c>
      <c r="I356" s="20"/>
      <c r="J356" s="20"/>
      <c r="K356" s="19"/>
      <c r="L356" s="19"/>
      <c r="M356" s="19"/>
      <c r="N356" s="15" t="str">
        <f t="shared" si="38"/>
        <v/>
      </c>
      <c r="O356" s="3" t="str">
        <f t="shared" si="39"/>
        <v/>
      </c>
      <c r="P356" s="6" t="str">
        <f t="shared" ca="1" si="40"/>
        <v/>
      </c>
      <c r="Q356" s="21" t="str">
        <f>IF($A356="","",IF($C356=0,"",_xlfn.MINIFS('Daily tracking'!$A$2:$A$2001,'Daily tracking'!$D$2:$D$2001,$A356)))</f>
        <v/>
      </c>
      <c r="R356" s="6" t="str">
        <f t="shared" si="41"/>
        <v/>
      </c>
    </row>
    <row r="357" spans="1:18" x14ac:dyDescent="0.3">
      <c r="A357" s="19"/>
      <c r="B357" s="19"/>
      <c r="C357" s="15" t="str">
        <f>IF($A357="","",COUNTIF('Daily tracking'!$D$2:$D$2001,$A357))</f>
        <v/>
      </c>
      <c r="D357" s="16" t="str">
        <f>IF($A357="","",SUMIF('Daily tracking'!$D$2:$D$2001,$A357,'Daily tracking'!$G$2:$G$2001))</f>
        <v/>
      </c>
      <c r="E357" s="18" t="str">
        <f>IF($A357="","",IF($C357=0,"",_xlfn.MAXIFS('Daily tracking'!$A$2:$A$2001,'Daily tracking'!$D$2:$D$2001,$A357)))</f>
        <v/>
      </c>
      <c r="F357" s="6" t="str">
        <f t="shared" ca="1" si="35"/>
        <v/>
      </c>
      <c r="G357" s="3" t="str">
        <f t="shared" si="36"/>
        <v/>
      </c>
      <c r="H357" s="9" t="str">
        <f t="shared" si="37"/>
        <v/>
      </c>
      <c r="I357" s="20"/>
      <c r="J357" s="20"/>
      <c r="K357" s="19"/>
      <c r="L357" s="19"/>
      <c r="M357" s="19"/>
      <c r="N357" s="15" t="str">
        <f t="shared" si="38"/>
        <v/>
      </c>
      <c r="O357" s="3" t="str">
        <f t="shared" si="39"/>
        <v/>
      </c>
      <c r="P357" s="6" t="str">
        <f t="shared" ca="1" si="40"/>
        <v/>
      </c>
      <c r="Q357" s="21" t="str">
        <f>IF($A357="","",IF($C357=0,"",_xlfn.MINIFS('Daily tracking'!$A$2:$A$2001,'Daily tracking'!$D$2:$D$2001,$A357)))</f>
        <v/>
      </c>
      <c r="R357" s="6" t="str">
        <f t="shared" si="41"/>
        <v/>
      </c>
    </row>
    <row r="358" spans="1:18" x14ac:dyDescent="0.3">
      <c r="A358" s="19"/>
      <c r="B358" s="19"/>
      <c r="C358" s="15" t="str">
        <f>IF($A358="","",COUNTIF('Daily tracking'!$D$2:$D$2001,$A358))</f>
        <v/>
      </c>
      <c r="D358" s="16" t="str">
        <f>IF($A358="","",SUMIF('Daily tracking'!$D$2:$D$2001,$A358,'Daily tracking'!$G$2:$G$2001))</f>
        <v/>
      </c>
      <c r="E358" s="18" t="str">
        <f>IF($A358="","",IF($C358=0,"",_xlfn.MAXIFS('Daily tracking'!$A$2:$A$2001,'Daily tracking'!$D$2:$D$2001,$A358)))</f>
        <v/>
      </c>
      <c r="F358" s="6" t="str">
        <f t="shared" ca="1" si="35"/>
        <v/>
      </c>
      <c r="G358" s="3" t="str">
        <f t="shared" si="36"/>
        <v/>
      </c>
      <c r="H358" s="9" t="str">
        <f t="shared" si="37"/>
        <v/>
      </c>
      <c r="I358" s="20"/>
      <c r="J358" s="20"/>
      <c r="K358" s="19"/>
      <c r="L358" s="19"/>
      <c r="M358" s="19"/>
      <c r="N358" s="15" t="str">
        <f t="shared" si="38"/>
        <v/>
      </c>
      <c r="O358" s="3" t="str">
        <f t="shared" si="39"/>
        <v/>
      </c>
      <c r="P358" s="6" t="str">
        <f t="shared" ca="1" si="40"/>
        <v/>
      </c>
      <c r="Q358" s="21" t="str">
        <f>IF($A358="","",IF($C358=0,"",_xlfn.MINIFS('Daily tracking'!$A$2:$A$2001,'Daily tracking'!$D$2:$D$2001,$A358)))</f>
        <v/>
      </c>
      <c r="R358" s="6" t="str">
        <f t="shared" si="41"/>
        <v/>
      </c>
    </row>
    <row r="359" spans="1:18" x14ac:dyDescent="0.3">
      <c r="A359" s="19"/>
      <c r="B359" s="19"/>
      <c r="C359" s="15" t="str">
        <f>IF($A359="","",COUNTIF('Daily tracking'!$D$2:$D$2001,$A359))</f>
        <v/>
      </c>
      <c r="D359" s="16" t="str">
        <f>IF($A359="","",SUMIF('Daily tracking'!$D$2:$D$2001,$A359,'Daily tracking'!$G$2:$G$2001))</f>
        <v/>
      </c>
      <c r="E359" s="18" t="str">
        <f>IF($A359="","",IF($C359=0,"",_xlfn.MAXIFS('Daily tracking'!$A$2:$A$2001,'Daily tracking'!$D$2:$D$2001,$A359)))</f>
        <v/>
      </c>
      <c r="F359" s="6" t="str">
        <f t="shared" ca="1" si="35"/>
        <v/>
      </c>
      <c r="G359" s="3" t="str">
        <f t="shared" si="36"/>
        <v/>
      </c>
      <c r="H359" s="9" t="str">
        <f t="shared" si="37"/>
        <v/>
      </c>
      <c r="I359" s="20"/>
      <c r="J359" s="20"/>
      <c r="K359" s="19"/>
      <c r="L359" s="19"/>
      <c r="M359" s="19"/>
      <c r="N359" s="15" t="str">
        <f t="shared" si="38"/>
        <v/>
      </c>
      <c r="O359" s="3" t="str">
        <f t="shared" si="39"/>
        <v/>
      </c>
      <c r="P359" s="6" t="str">
        <f t="shared" ca="1" si="40"/>
        <v/>
      </c>
      <c r="Q359" s="21" t="str">
        <f>IF($A359="","",IF($C359=0,"",_xlfn.MINIFS('Daily tracking'!$A$2:$A$2001,'Daily tracking'!$D$2:$D$2001,$A359)))</f>
        <v/>
      </c>
      <c r="R359" s="6" t="str">
        <f t="shared" si="41"/>
        <v/>
      </c>
    </row>
    <row r="360" spans="1:18" x14ac:dyDescent="0.3">
      <c r="A360" s="19"/>
      <c r="B360" s="19"/>
      <c r="C360" s="15" t="str">
        <f>IF($A360="","",COUNTIF('Daily tracking'!$D$2:$D$2001,$A360))</f>
        <v/>
      </c>
      <c r="D360" s="16" t="str">
        <f>IF($A360="","",SUMIF('Daily tracking'!$D$2:$D$2001,$A360,'Daily tracking'!$G$2:$G$2001))</f>
        <v/>
      </c>
      <c r="E360" s="18" t="str">
        <f>IF($A360="","",IF($C360=0,"",_xlfn.MAXIFS('Daily tracking'!$A$2:$A$2001,'Daily tracking'!$D$2:$D$2001,$A360)))</f>
        <v/>
      </c>
      <c r="F360" s="6" t="str">
        <f t="shared" ca="1" si="35"/>
        <v/>
      </c>
      <c r="G360" s="3" t="str">
        <f t="shared" si="36"/>
        <v/>
      </c>
      <c r="H360" s="9" t="str">
        <f t="shared" si="37"/>
        <v/>
      </c>
      <c r="I360" s="20"/>
      <c r="J360" s="20"/>
      <c r="K360" s="19"/>
      <c r="L360" s="19"/>
      <c r="M360" s="19"/>
      <c r="N360" s="15" t="str">
        <f t="shared" si="38"/>
        <v/>
      </c>
      <c r="O360" s="3" t="str">
        <f t="shared" si="39"/>
        <v/>
      </c>
      <c r="P360" s="6" t="str">
        <f t="shared" ca="1" si="40"/>
        <v/>
      </c>
      <c r="Q360" s="21" t="str">
        <f>IF($A360="","",IF($C360=0,"",_xlfn.MINIFS('Daily tracking'!$A$2:$A$2001,'Daily tracking'!$D$2:$D$2001,$A360)))</f>
        <v/>
      </c>
      <c r="R360" s="6" t="str">
        <f t="shared" si="41"/>
        <v/>
      </c>
    </row>
    <row r="361" spans="1:18" x14ac:dyDescent="0.3">
      <c r="A361" s="19"/>
      <c r="B361" s="19"/>
      <c r="C361" s="15" t="str">
        <f>IF($A361="","",COUNTIF('Daily tracking'!$D$2:$D$2001,$A361))</f>
        <v/>
      </c>
      <c r="D361" s="16" t="str">
        <f>IF($A361="","",SUMIF('Daily tracking'!$D$2:$D$2001,$A361,'Daily tracking'!$G$2:$G$2001))</f>
        <v/>
      </c>
      <c r="E361" s="18" t="str">
        <f>IF($A361="","",IF($C361=0,"",_xlfn.MAXIFS('Daily tracking'!$A$2:$A$2001,'Daily tracking'!$D$2:$D$2001,$A361)))</f>
        <v/>
      </c>
      <c r="F361" s="6" t="str">
        <f t="shared" ca="1" si="35"/>
        <v/>
      </c>
      <c r="G361" s="3" t="str">
        <f t="shared" si="36"/>
        <v/>
      </c>
      <c r="H361" s="9" t="str">
        <f t="shared" si="37"/>
        <v/>
      </c>
      <c r="I361" s="20"/>
      <c r="J361" s="20"/>
      <c r="K361" s="19"/>
      <c r="L361" s="19"/>
      <c r="M361" s="19"/>
      <c r="N361" s="15" t="str">
        <f t="shared" si="38"/>
        <v/>
      </c>
      <c r="O361" s="3" t="str">
        <f t="shared" si="39"/>
        <v/>
      </c>
      <c r="P361" s="6" t="str">
        <f t="shared" ca="1" si="40"/>
        <v/>
      </c>
      <c r="Q361" s="21" t="str">
        <f>IF($A361="","",IF($C361=0,"",_xlfn.MINIFS('Daily tracking'!$A$2:$A$2001,'Daily tracking'!$D$2:$D$2001,$A361)))</f>
        <v/>
      </c>
      <c r="R361" s="6" t="str">
        <f t="shared" si="41"/>
        <v/>
      </c>
    </row>
    <row r="362" spans="1:18" x14ac:dyDescent="0.3">
      <c r="A362" s="19"/>
      <c r="B362" s="19"/>
      <c r="C362" s="15" t="str">
        <f>IF($A362="","",COUNTIF('Daily tracking'!$D$2:$D$2001,$A362))</f>
        <v/>
      </c>
      <c r="D362" s="16" t="str">
        <f>IF($A362="","",SUMIF('Daily tracking'!$D$2:$D$2001,$A362,'Daily tracking'!$G$2:$G$2001))</f>
        <v/>
      </c>
      <c r="E362" s="18" t="str">
        <f>IF($A362="","",IF($C362=0,"",_xlfn.MAXIFS('Daily tracking'!$A$2:$A$2001,'Daily tracking'!$D$2:$D$2001,$A362)))</f>
        <v/>
      </c>
      <c r="F362" s="6" t="str">
        <f t="shared" ca="1" si="35"/>
        <v/>
      </c>
      <c r="G362" s="3" t="str">
        <f t="shared" si="36"/>
        <v/>
      </c>
      <c r="H362" s="9" t="str">
        <f t="shared" si="37"/>
        <v/>
      </c>
      <c r="I362" s="20"/>
      <c r="J362" s="20"/>
      <c r="K362" s="19"/>
      <c r="L362" s="19"/>
      <c r="M362" s="19"/>
      <c r="N362" s="15" t="str">
        <f t="shared" si="38"/>
        <v/>
      </c>
      <c r="O362" s="3" t="str">
        <f t="shared" si="39"/>
        <v/>
      </c>
      <c r="P362" s="6" t="str">
        <f t="shared" ca="1" si="40"/>
        <v/>
      </c>
      <c r="Q362" s="21" t="str">
        <f>IF($A362="","",IF($C362=0,"",_xlfn.MINIFS('Daily tracking'!$A$2:$A$2001,'Daily tracking'!$D$2:$D$2001,$A362)))</f>
        <v/>
      </c>
      <c r="R362" s="6" t="str">
        <f t="shared" si="41"/>
        <v/>
      </c>
    </row>
    <row r="363" spans="1:18" x14ac:dyDescent="0.3">
      <c r="A363" s="19"/>
      <c r="B363" s="19"/>
      <c r="C363" s="15" t="str">
        <f>IF($A363="","",COUNTIF('Daily tracking'!$D$2:$D$2001,$A363))</f>
        <v/>
      </c>
      <c r="D363" s="16" t="str">
        <f>IF($A363="","",SUMIF('Daily tracking'!$D$2:$D$2001,$A363,'Daily tracking'!$G$2:$G$2001))</f>
        <v/>
      </c>
      <c r="E363" s="18" t="str">
        <f>IF($A363="","",IF($C363=0,"",_xlfn.MAXIFS('Daily tracking'!$A$2:$A$2001,'Daily tracking'!$D$2:$D$2001,$A363)))</f>
        <v/>
      </c>
      <c r="F363" s="6" t="str">
        <f t="shared" ca="1" si="35"/>
        <v/>
      </c>
      <c r="G363" s="3" t="str">
        <f t="shared" si="36"/>
        <v/>
      </c>
      <c r="H363" s="9" t="str">
        <f t="shared" si="37"/>
        <v/>
      </c>
      <c r="I363" s="20"/>
      <c r="J363" s="20"/>
      <c r="K363" s="19"/>
      <c r="L363" s="19"/>
      <c r="M363" s="19"/>
      <c r="N363" s="15" t="str">
        <f t="shared" si="38"/>
        <v/>
      </c>
      <c r="O363" s="3" t="str">
        <f t="shared" si="39"/>
        <v/>
      </c>
      <c r="P363" s="6" t="str">
        <f t="shared" ca="1" si="40"/>
        <v/>
      </c>
      <c r="Q363" s="21" t="str">
        <f>IF($A363="","",IF($C363=0,"",_xlfn.MINIFS('Daily tracking'!$A$2:$A$2001,'Daily tracking'!$D$2:$D$2001,$A363)))</f>
        <v/>
      </c>
      <c r="R363" s="6" t="str">
        <f t="shared" si="41"/>
        <v/>
      </c>
    </row>
    <row r="364" spans="1:18" x14ac:dyDescent="0.3">
      <c r="A364" s="19"/>
      <c r="B364" s="19"/>
      <c r="C364" s="15" t="str">
        <f>IF($A364="","",COUNTIF('Daily tracking'!$D$2:$D$2001,$A364))</f>
        <v/>
      </c>
      <c r="D364" s="16" t="str">
        <f>IF($A364="","",SUMIF('Daily tracking'!$D$2:$D$2001,$A364,'Daily tracking'!$G$2:$G$2001))</f>
        <v/>
      </c>
      <c r="E364" s="18" t="str">
        <f>IF($A364="","",IF($C364=0,"",_xlfn.MAXIFS('Daily tracking'!$A$2:$A$2001,'Daily tracking'!$D$2:$D$2001,$A364)))</f>
        <v/>
      </c>
      <c r="F364" s="6" t="str">
        <f t="shared" ca="1" si="35"/>
        <v/>
      </c>
      <c r="G364" s="3" t="str">
        <f t="shared" si="36"/>
        <v/>
      </c>
      <c r="H364" s="9" t="str">
        <f t="shared" si="37"/>
        <v/>
      </c>
      <c r="I364" s="20"/>
      <c r="J364" s="20"/>
      <c r="K364" s="19"/>
      <c r="L364" s="19"/>
      <c r="M364" s="19"/>
      <c r="N364" s="15" t="str">
        <f t="shared" si="38"/>
        <v/>
      </c>
      <c r="O364" s="3" t="str">
        <f t="shared" si="39"/>
        <v/>
      </c>
      <c r="P364" s="6" t="str">
        <f t="shared" ca="1" si="40"/>
        <v/>
      </c>
      <c r="Q364" s="21" t="str">
        <f>IF($A364="","",IF($C364=0,"",_xlfn.MINIFS('Daily tracking'!$A$2:$A$2001,'Daily tracking'!$D$2:$D$2001,$A364)))</f>
        <v/>
      </c>
      <c r="R364" s="6" t="str">
        <f t="shared" si="41"/>
        <v/>
      </c>
    </row>
    <row r="365" spans="1:18" x14ac:dyDescent="0.3">
      <c r="A365" s="19"/>
      <c r="B365" s="19"/>
      <c r="C365" s="15" t="str">
        <f>IF($A365="","",COUNTIF('Daily tracking'!$D$2:$D$2001,$A365))</f>
        <v/>
      </c>
      <c r="D365" s="16" t="str">
        <f>IF($A365="","",SUMIF('Daily tracking'!$D$2:$D$2001,$A365,'Daily tracking'!$G$2:$G$2001))</f>
        <v/>
      </c>
      <c r="E365" s="18" t="str">
        <f>IF($A365="","",IF($C365=0,"",_xlfn.MAXIFS('Daily tracking'!$A$2:$A$2001,'Daily tracking'!$D$2:$D$2001,$A365)))</f>
        <v/>
      </c>
      <c r="F365" s="6" t="str">
        <f t="shared" ca="1" si="35"/>
        <v/>
      </c>
      <c r="G365" s="3" t="str">
        <f t="shared" si="36"/>
        <v/>
      </c>
      <c r="H365" s="9" t="str">
        <f t="shared" si="37"/>
        <v/>
      </c>
      <c r="I365" s="20"/>
      <c r="J365" s="20"/>
      <c r="K365" s="19"/>
      <c r="L365" s="19"/>
      <c r="M365" s="19"/>
      <c r="N365" s="15" t="str">
        <f t="shared" si="38"/>
        <v/>
      </c>
      <c r="O365" s="3" t="str">
        <f t="shared" si="39"/>
        <v/>
      </c>
      <c r="P365" s="6" t="str">
        <f t="shared" ca="1" si="40"/>
        <v/>
      </c>
      <c r="Q365" s="21" t="str">
        <f>IF($A365="","",IF($C365=0,"",_xlfn.MINIFS('Daily tracking'!$A$2:$A$2001,'Daily tracking'!$D$2:$D$2001,$A365)))</f>
        <v/>
      </c>
      <c r="R365" s="6" t="str">
        <f t="shared" si="41"/>
        <v/>
      </c>
    </row>
    <row r="366" spans="1:18" x14ac:dyDescent="0.3">
      <c r="A366" s="19"/>
      <c r="B366" s="19"/>
      <c r="C366" s="15" t="str">
        <f>IF($A366="","",COUNTIF('Daily tracking'!$D$2:$D$2001,$A366))</f>
        <v/>
      </c>
      <c r="D366" s="16" t="str">
        <f>IF($A366="","",SUMIF('Daily tracking'!$D$2:$D$2001,$A366,'Daily tracking'!$G$2:$G$2001))</f>
        <v/>
      </c>
      <c r="E366" s="18" t="str">
        <f>IF($A366="","",IF($C366=0,"",_xlfn.MAXIFS('Daily tracking'!$A$2:$A$2001,'Daily tracking'!$D$2:$D$2001,$A366)))</f>
        <v/>
      </c>
      <c r="F366" s="6" t="str">
        <f t="shared" ca="1" si="35"/>
        <v/>
      </c>
      <c r="G366" s="3" t="str">
        <f t="shared" si="36"/>
        <v/>
      </c>
      <c r="H366" s="9" t="str">
        <f t="shared" si="37"/>
        <v/>
      </c>
      <c r="I366" s="20"/>
      <c r="J366" s="20"/>
      <c r="K366" s="19"/>
      <c r="L366" s="19"/>
      <c r="M366" s="19"/>
      <c r="N366" s="15" t="str">
        <f t="shared" si="38"/>
        <v/>
      </c>
      <c r="O366" s="3" t="str">
        <f t="shared" si="39"/>
        <v/>
      </c>
      <c r="P366" s="6" t="str">
        <f t="shared" ca="1" si="40"/>
        <v/>
      </c>
      <c r="Q366" s="21" t="str">
        <f>IF($A366="","",IF($C366=0,"",_xlfn.MINIFS('Daily tracking'!$A$2:$A$2001,'Daily tracking'!$D$2:$D$2001,$A366)))</f>
        <v/>
      </c>
      <c r="R366" s="6" t="str">
        <f t="shared" si="41"/>
        <v/>
      </c>
    </row>
    <row r="367" spans="1:18" x14ac:dyDescent="0.3">
      <c r="A367" s="19"/>
      <c r="B367" s="19"/>
      <c r="C367" s="15" t="str">
        <f>IF($A367="","",COUNTIF('Daily tracking'!$D$2:$D$2001,$A367))</f>
        <v/>
      </c>
      <c r="D367" s="16" t="str">
        <f>IF($A367="","",SUMIF('Daily tracking'!$D$2:$D$2001,$A367,'Daily tracking'!$G$2:$G$2001))</f>
        <v/>
      </c>
      <c r="E367" s="18" t="str">
        <f>IF($A367="","",IF($C367=0,"",_xlfn.MAXIFS('Daily tracking'!$A$2:$A$2001,'Daily tracking'!$D$2:$D$2001,$A367)))</f>
        <v/>
      </c>
      <c r="F367" s="6" t="str">
        <f t="shared" ca="1" si="35"/>
        <v/>
      </c>
      <c r="G367" s="3" t="str">
        <f t="shared" si="36"/>
        <v/>
      </c>
      <c r="H367" s="9" t="str">
        <f t="shared" si="37"/>
        <v/>
      </c>
      <c r="I367" s="20"/>
      <c r="J367" s="20"/>
      <c r="K367" s="19"/>
      <c r="L367" s="19"/>
      <c r="M367" s="19"/>
      <c r="N367" s="15" t="str">
        <f t="shared" si="38"/>
        <v/>
      </c>
      <c r="O367" s="3" t="str">
        <f t="shared" si="39"/>
        <v/>
      </c>
      <c r="P367" s="6" t="str">
        <f t="shared" ca="1" si="40"/>
        <v/>
      </c>
      <c r="Q367" s="21" t="str">
        <f>IF($A367="","",IF($C367=0,"",_xlfn.MINIFS('Daily tracking'!$A$2:$A$2001,'Daily tracking'!$D$2:$D$2001,$A367)))</f>
        <v/>
      </c>
      <c r="R367" s="6" t="str">
        <f t="shared" si="41"/>
        <v/>
      </c>
    </row>
    <row r="368" spans="1:18" x14ac:dyDescent="0.3">
      <c r="A368" s="19"/>
      <c r="B368" s="19"/>
      <c r="C368" s="15" t="str">
        <f>IF($A368="","",COUNTIF('Daily tracking'!$D$2:$D$2001,$A368))</f>
        <v/>
      </c>
      <c r="D368" s="16" t="str">
        <f>IF($A368="","",SUMIF('Daily tracking'!$D$2:$D$2001,$A368,'Daily tracking'!$G$2:$G$2001))</f>
        <v/>
      </c>
      <c r="E368" s="18" t="str">
        <f>IF($A368="","",IF($C368=0,"",_xlfn.MAXIFS('Daily tracking'!$A$2:$A$2001,'Daily tracking'!$D$2:$D$2001,$A368)))</f>
        <v/>
      </c>
      <c r="F368" s="6" t="str">
        <f t="shared" ca="1" si="35"/>
        <v/>
      </c>
      <c r="G368" s="3" t="str">
        <f t="shared" si="36"/>
        <v/>
      </c>
      <c r="H368" s="9" t="str">
        <f t="shared" si="37"/>
        <v/>
      </c>
      <c r="I368" s="20"/>
      <c r="J368" s="20"/>
      <c r="K368" s="19"/>
      <c r="L368" s="19"/>
      <c r="M368" s="19"/>
      <c r="N368" s="15" t="str">
        <f t="shared" si="38"/>
        <v/>
      </c>
      <c r="O368" s="3" t="str">
        <f t="shared" si="39"/>
        <v/>
      </c>
      <c r="P368" s="6" t="str">
        <f t="shared" ca="1" si="40"/>
        <v/>
      </c>
      <c r="Q368" s="21" t="str">
        <f>IF($A368="","",IF($C368=0,"",_xlfn.MINIFS('Daily tracking'!$A$2:$A$2001,'Daily tracking'!$D$2:$D$2001,$A368)))</f>
        <v/>
      </c>
      <c r="R368" s="6" t="str">
        <f t="shared" si="41"/>
        <v/>
      </c>
    </row>
    <row r="369" spans="1:18" x14ac:dyDescent="0.3">
      <c r="A369" s="19"/>
      <c r="B369" s="19"/>
      <c r="C369" s="15" t="str">
        <f>IF($A369="","",COUNTIF('Daily tracking'!$D$2:$D$2001,$A369))</f>
        <v/>
      </c>
      <c r="D369" s="16" t="str">
        <f>IF($A369="","",SUMIF('Daily tracking'!$D$2:$D$2001,$A369,'Daily tracking'!$G$2:$G$2001))</f>
        <v/>
      </c>
      <c r="E369" s="18" t="str">
        <f>IF($A369="","",IF($C369=0,"",_xlfn.MAXIFS('Daily tracking'!$A$2:$A$2001,'Daily tracking'!$D$2:$D$2001,$A369)))</f>
        <v/>
      </c>
      <c r="F369" s="6" t="str">
        <f t="shared" ca="1" si="35"/>
        <v/>
      </c>
      <c r="G369" s="3" t="str">
        <f t="shared" si="36"/>
        <v/>
      </c>
      <c r="H369" s="9" t="str">
        <f t="shared" si="37"/>
        <v/>
      </c>
      <c r="I369" s="20"/>
      <c r="J369" s="20"/>
      <c r="K369" s="19"/>
      <c r="L369" s="19"/>
      <c r="M369" s="19"/>
      <c r="N369" s="15" t="str">
        <f t="shared" si="38"/>
        <v/>
      </c>
      <c r="O369" s="3" t="str">
        <f t="shared" si="39"/>
        <v/>
      </c>
      <c r="P369" s="6" t="str">
        <f t="shared" ca="1" si="40"/>
        <v/>
      </c>
      <c r="Q369" s="21" t="str">
        <f>IF($A369="","",IF($C369=0,"",_xlfn.MINIFS('Daily tracking'!$A$2:$A$2001,'Daily tracking'!$D$2:$D$2001,$A369)))</f>
        <v/>
      </c>
      <c r="R369" s="6" t="str">
        <f t="shared" si="41"/>
        <v/>
      </c>
    </row>
    <row r="370" spans="1:18" x14ac:dyDescent="0.3">
      <c r="A370" s="19"/>
      <c r="B370" s="19"/>
      <c r="C370" s="15" t="str">
        <f>IF($A370="","",COUNTIF('Daily tracking'!$D$2:$D$2001,$A370))</f>
        <v/>
      </c>
      <c r="D370" s="16" t="str">
        <f>IF($A370="","",SUMIF('Daily tracking'!$D$2:$D$2001,$A370,'Daily tracking'!$G$2:$G$2001))</f>
        <v/>
      </c>
      <c r="E370" s="18" t="str">
        <f>IF($A370="","",IF($C370=0,"",_xlfn.MAXIFS('Daily tracking'!$A$2:$A$2001,'Daily tracking'!$D$2:$D$2001,$A370)))</f>
        <v/>
      </c>
      <c r="F370" s="6" t="str">
        <f t="shared" ca="1" si="35"/>
        <v/>
      </c>
      <c r="G370" s="3" t="str">
        <f t="shared" si="36"/>
        <v/>
      </c>
      <c r="H370" s="9" t="str">
        <f t="shared" si="37"/>
        <v/>
      </c>
      <c r="I370" s="20"/>
      <c r="J370" s="20"/>
      <c r="K370" s="19"/>
      <c r="L370" s="19"/>
      <c r="M370" s="19"/>
      <c r="N370" s="15" t="str">
        <f t="shared" si="38"/>
        <v/>
      </c>
      <c r="O370" s="3" t="str">
        <f t="shared" si="39"/>
        <v/>
      </c>
      <c r="P370" s="6" t="str">
        <f t="shared" ca="1" si="40"/>
        <v/>
      </c>
      <c r="Q370" s="21" t="str">
        <f>IF($A370="","",IF($C370=0,"",_xlfn.MINIFS('Daily tracking'!$A$2:$A$2001,'Daily tracking'!$D$2:$D$2001,$A370)))</f>
        <v/>
      </c>
      <c r="R370" s="6" t="str">
        <f t="shared" si="41"/>
        <v/>
      </c>
    </row>
    <row r="371" spans="1:18" x14ac:dyDescent="0.3">
      <c r="A371" s="19"/>
      <c r="B371" s="19"/>
      <c r="C371" s="15" t="str">
        <f>IF($A371="","",COUNTIF('Daily tracking'!$D$2:$D$2001,$A371))</f>
        <v/>
      </c>
      <c r="D371" s="16" t="str">
        <f>IF($A371="","",SUMIF('Daily tracking'!$D$2:$D$2001,$A371,'Daily tracking'!$G$2:$G$2001))</f>
        <v/>
      </c>
      <c r="E371" s="18" t="str">
        <f>IF($A371="","",IF($C371=0,"",_xlfn.MAXIFS('Daily tracking'!$A$2:$A$2001,'Daily tracking'!$D$2:$D$2001,$A371)))</f>
        <v/>
      </c>
      <c r="F371" s="6" t="str">
        <f t="shared" ca="1" si="35"/>
        <v/>
      </c>
      <c r="G371" s="3" t="str">
        <f t="shared" si="36"/>
        <v/>
      </c>
      <c r="H371" s="9" t="str">
        <f t="shared" si="37"/>
        <v/>
      </c>
      <c r="I371" s="20"/>
      <c r="J371" s="20"/>
      <c r="K371" s="19"/>
      <c r="L371" s="19"/>
      <c r="M371" s="19"/>
      <c r="N371" s="15" t="str">
        <f t="shared" si="38"/>
        <v/>
      </c>
      <c r="O371" s="3" t="str">
        <f t="shared" si="39"/>
        <v/>
      </c>
      <c r="P371" s="6" t="str">
        <f t="shared" ca="1" si="40"/>
        <v/>
      </c>
      <c r="Q371" s="21" t="str">
        <f>IF($A371="","",IF($C371=0,"",_xlfn.MINIFS('Daily tracking'!$A$2:$A$2001,'Daily tracking'!$D$2:$D$2001,$A371)))</f>
        <v/>
      </c>
      <c r="R371" s="6" t="str">
        <f t="shared" si="41"/>
        <v/>
      </c>
    </row>
    <row r="372" spans="1:18" x14ac:dyDescent="0.3">
      <c r="A372" s="19"/>
      <c r="B372" s="19"/>
      <c r="C372" s="15" t="str">
        <f>IF($A372="","",COUNTIF('Daily tracking'!$D$2:$D$2001,$A372))</f>
        <v/>
      </c>
      <c r="D372" s="16" t="str">
        <f>IF($A372="","",SUMIF('Daily tracking'!$D$2:$D$2001,$A372,'Daily tracking'!$G$2:$G$2001))</f>
        <v/>
      </c>
      <c r="E372" s="18" t="str">
        <f>IF($A372="","",IF($C372=0,"",_xlfn.MAXIFS('Daily tracking'!$A$2:$A$2001,'Daily tracking'!$D$2:$D$2001,$A372)))</f>
        <v/>
      </c>
      <c r="F372" s="6" t="str">
        <f t="shared" ca="1" si="35"/>
        <v/>
      </c>
      <c r="G372" s="3" t="str">
        <f t="shared" si="36"/>
        <v/>
      </c>
      <c r="H372" s="9" t="str">
        <f t="shared" si="37"/>
        <v/>
      </c>
      <c r="I372" s="20"/>
      <c r="J372" s="20"/>
      <c r="K372" s="19"/>
      <c r="L372" s="19"/>
      <c r="M372" s="19"/>
      <c r="N372" s="15" t="str">
        <f t="shared" si="38"/>
        <v/>
      </c>
      <c r="O372" s="3" t="str">
        <f t="shared" si="39"/>
        <v/>
      </c>
      <c r="P372" s="6" t="str">
        <f t="shared" ca="1" si="40"/>
        <v/>
      </c>
      <c r="Q372" s="21" t="str">
        <f>IF($A372="","",IF($C372=0,"",_xlfn.MINIFS('Daily tracking'!$A$2:$A$2001,'Daily tracking'!$D$2:$D$2001,$A372)))</f>
        <v/>
      </c>
      <c r="R372" s="6" t="str">
        <f t="shared" si="41"/>
        <v/>
      </c>
    </row>
    <row r="373" spans="1:18" x14ac:dyDescent="0.3">
      <c r="A373" s="19"/>
      <c r="B373" s="19"/>
      <c r="C373" s="15" t="str">
        <f>IF($A373="","",COUNTIF('Daily tracking'!$D$2:$D$2001,$A373))</f>
        <v/>
      </c>
      <c r="D373" s="16" t="str">
        <f>IF($A373="","",SUMIF('Daily tracking'!$D$2:$D$2001,$A373,'Daily tracking'!$G$2:$G$2001))</f>
        <v/>
      </c>
      <c r="E373" s="18" t="str">
        <f>IF($A373="","",IF($C373=0,"",_xlfn.MAXIFS('Daily tracking'!$A$2:$A$2001,'Daily tracking'!$D$2:$D$2001,$A373)))</f>
        <v/>
      </c>
      <c r="F373" s="6" t="str">
        <f t="shared" ca="1" si="35"/>
        <v/>
      </c>
      <c r="G373" s="3" t="str">
        <f t="shared" si="36"/>
        <v/>
      </c>
      <c r="H373" s="9" t="str">
        <f t="shared" si="37"/>
        <v/>
      </c>
      <c r="I373" s="20"/>
      <c r="J373" s="20"/>
      <c r="K373" s="19"/>
      <c r="L373" s="19"/>
      <c r="M373" s="19"/>
      <c r="N373" s="15" t="str">
        <f t="shared" si="38"/>
        <v/>
      </c>
      <c r="O373" s="3" t="str">
        <f t="shared" si="39"/>
        <v/>
      </c>
      <c r="P373" s="6" t="str">
        <f t="shared" ca="1" si="40"/>
        <v/>
      </c>
      <c r="Q373" s="21" t="str">
        <f>IF($A373="","",IF($C373=0,"",_xlfn.MINIFS('Daily tracking'!$A$2:$A$2001,'Daily tracking'!$D$2:$D$2001,$A373)))</f>
        <v/>
      </c>
      <c r="R373" s="6" t="str">
        <f t="shared" si="41"/>
        <v/>
      </c>
    </row>
    <row r="374" spans="1:18" x14ac:dyDescent="0.3">
      <c r="A374" s="19"/>
      <c r="B374" s="19"/>
      <c r="C374" s="15" t="str">
        <f>IF($A374="","",COUNTIF('Daily tracking'!$D$2:$D$2001,$A374))</f>
        <v/>
      </c>
      <c r="D374" s="16" t="str">
        <f>IF($A374="","",SUMIF('Daily tracking'!$D$2:$D$2001,$A374,'Daily tracking'!$G$2:$G$2001))</f>
        <v/>
      </c>
      <c r="E374" s="18" t="str">
        <f>IF($A374="","",IF($C374=0,"",_xlfn.MAXIFS('Daily tracking'!$A$2:$A$2001,'Daily tracking'!$D$2:$D$2001,$A374)))</f>
        <v/>
      </c>
      <c r="F374" s="6" t="str">
        <f t="shared" ca="1" si="35"/>
        <v/>
      </c>
      <c r="G374" s="3" t="str">
        <f t="shared" si="36"/>
        <v/>
      </c>
      <c r="H374" s="9" t="str">
        <f t="shared" si="37"/>
        <v/>
      </c>
      <c r="I374" s="20"/>
      <c r="J374" s="20"/>
      <c r="K374" s="19"/>
      <c r="L374" s="19"/>
      <c r="M374" s="19"/>
      <c r="N374" s="15" t="str">
        <f t="shared" si="38"/>
        <v/>
      </c>
      <c r="O374" s="3" t="str">
        <f t="shared" si="39"/>
        <v/>
      </c>
      <c r="P374" s="6" t="str">
        <f t="shared" ca="1" si="40"/>
        <v/>
      </c>
      <c r="Q374" s="21" t="str">
        <f>IF($A374="","",IF($C374=0,"",_xlfn.MINIFS('Daily tracking'!$A$2:$A$2001,'Daily tracking'!$D$2:$D$2001,$A374)))</f>
        <v/>
      </c>
      <c r="R374" s="6" t="str">
        <f t="shared" si="41"/>
        <v/>
      </c>
    </row>
    <row r="375" spans="1:18" x14ac:dyDescent="0.3">
      <c r="A375" s="19"/>
      <c r="B375" s="19"/>
      <c r="C375" s="15" t="str">
        <f>IF($A375="","",COUNTIF('Daily tracking'!$D$2:$D$2001,$A375))</f>
        <v/>
      </c>
      <c r="D375" s="16" t="str">
        <f>IF($A375="","",SUMIF('Daily tracking'!$D$2:$D$2001,$A375,'Daily tracking'!$G$2:$G$2001))</f>
        <v/>
      </c>
      <c r="E375" s="18" t="str">
        <f>IF($A375="","",IF($C375=0,"",_xlfn.MAXIFS('Daily tracking'!$A$2:$A$2001,'Daily tracking'!$D$2:$D$2001,$A375)))</f>
        <v/>
      </c>
      <c r="F375" s="6" t="str">
        <f t="shared" ca="1" si="35"/>
        <v/>
      </c>
      <c r="G375" s="3" t="str">
        <f t="shared" si="36"/>
        <v/>
      </c>
      <c r="H375" s="9" t="str">
        <f t="shared" si="37"/>
        <v/>
      </c>
      <c r="I375" s="20"/>
      <c r="J375" s="20"/>
      <c r="K375" s="19"/>
      <c r="L375" s="19"/>
      <c r="M375" s="19"/>
      <c r="N375" s="15" t="str">
        <f t="shared" si="38"/>
        <v/>
      </c>
      <c r="O375" s="3" t="str">
        <f t="shared" si="39"/>
        <v/>
      </c>
      <c r="P375" s="6" t="str">
        <f t="shared" ca="1" si="40"/>
        <v/>
      </c>
      <c r="Q375" s="21" t="str">
        <f>IF($A375="","",IF($C375=0,"",_xlfn.MINIFS('Daily tracking'!$A$2:$A$2001,'Daily tracking'!$D$2:$D$2001,$A375)))</f>
        <v/>
      </c>
      <c r="R375" s="6" t="str">
        <f t="shared" si="41"/>
        <v/>
      </c>
    </row>
    <row r="376" spans="1:18" x14ac:dyDescent="0.3">
      <c r="A376" s="19"/>
      <c r="B376" s="19"/>
      <c r="C376" s="15" t="str">
        <f>IF($A376="","",COUNTIF('Daily tracking'!$D$2:$D$2001,$A376))</f>
        <v/>
      </c>
      <c r="D376" s="16" t="str">
        <f>IF($A376="","",SUMIF('Daily tracking'!$D$2:$D$2001,$A376,'Daily tracking'!$G$2:$G$2001))</f>
        <v/>
      </c>
      <c r="E376" s="18" t="str">
        <f>IF($A376="","",IF($C376=0,"",_xlfn.MAXIFS('Daily tracking'!$A$2:$A$2001,'Daily tracking'!$D$2:$D$2001,$A376)))</f>
        <v/>
      </c>
      <c r="F376" s="6" t="str">
        <f t="shared" ca="1" si="35"/>
        <v/>
      </c>
      <c r="G376" s="3" t="str">
        <f t="shared" si="36"/>
        <v/>
      </c>
      <c r="H376" s="9" t="str">
        <f t="shared" si="37"/>
        <v/>
      </c>
      <c r="I376" s="20"/>
      <c r="J376" s="20"/>
      <c r="K376" s="19"/>
      <c r="L376" s="19"/>
      <c r="M376" s="19"/>
      <c r="N376" s="15" t="str">
        <f t="shared" si="38"/>
        <v/>
      </c>
      <c r="O376" s="3" t="str">
        <f t="shared" si="39"/>
        <v/>
      </c>
      <c r="P376" s="6" t="str">
        <f t="shared" ca="1" si="40"/>
        <v/>
      </c>
      <c r="Q376" s="21" t="str">
        <f>IF($A376="","",IF($C376=0,"",_xlfn.MINIFS('Daily tracking'!$A$2:$A$2001,'Daily tracking'!$D$2:$D$2001,$A376)))</f>
        <v/>
      </c>
      <c r="R376" s="6" t="str">
        <f t="shared" si="41"/>
        <v/>
      </c>
    </row>
    <row r="377" spans="1:18" x14ac:dyDescent="0.3">
      <c r="A377" s="19"/>
      <c r="B377" s="19"/>
      <c r="C377" s="15" t="str">
        <f>IF($A377="","",COUNTIF('Daily tracking'!$D$2:$D$2001,$A377))</f>
        <v/>
      </c>
      <c r="D377" s="16" t="str">
        <f>IF($A377="","",SUMIF('Daily tracking'!$D$2:$D$2001,$A377,'Daily tracking'!$G$2:$G$2001))</f>
        <v/>
      </c>
      <c r="E377" s="18" t="str">
        <f>IF($A377="","",IF($C377=0,"",_xlfn.MAXIFS('Daily tracking'!$A$2:$A$2001,'Daily tracking'!$D$2:$D$2001,$A377)))</f>
        <v/>
      </c>
      <c r="F377" s="6" t="str">
        <f t="shared" ca="1" si="35"/>
        <v/>
      </c>
      <c r="G377" s="3" t="str">
        <f t="shared" si="36"/>
        <v/>
      </c>
      <c r="H377" s="9" t="str">
        <f t="shared" si="37"/>
        <v/>
      </c>
      <c r="I377" s="20"/>
      <c r="J377" s="20"/>
      <c r="K377" s="19"/>
      <c r="L377" s="19"/>
      <c r="M377" s="19"/>
      <c r="N377" s="15" t="str">
        <f t="shared" si="38"/>
        <v/>
      </c>
      <c r="O377" s="3" t="str">
        <f t="shared" si="39"/>
        <v/>
      </c>
      <c r="P377" s="6" t="str">
        <f t="shared" ca="1" si="40"/>
        <v/>
      </c>
      <c r="Q377" s="21" t="str">
        <f>IF($A377="","",IF($C377=0,"",_xlfn.MINIFS('Daily tracking'!$A$2:$A$2001,'Daily tracking'!$D$2:$D$2001,$A377)))</f>
        <v/>
      </c>
      <c r="R377" s="6" t="str">
        <f t="shared" si="41"/>
        <v/>
      </c>
    </row>
    <row r="378" spans="1:18" x14ac:dyDescent="0.3">
      <c r="A378" s="19"/>
      <c r="B378" s="19"/>
      <c r="C378" s="15" t="str">
        <f>IF($A378="","",COUNTIF('Daily tracking'!$D$2:$D$2001,$A378))</f>
        <v/>
      </c>
      <c r="D378" s="16" t="str">
        <f>IF($A378="","",SUMIF('Daily tracking'!$D$2:$D$2001,$A378,'Daily tracking'!$G$2:$G$2001))</f>
        <v/>
      </c>
      <c r="E378" s="18" t="str">
        <f>IF($A378="","",IF($C378=0,"",_xlfn.MAXIFS('Daily tracking'!$A$2:$A$2001,'Daily tracking'!$D$2:$D$2001,$A378)))</f>
        <v/>
      </c>
      <c r="F378" s="6" t="str">
        <f t="shared" ca="1" si="35"/>
        <v/>
      </c>
      <c r="G378" s="3" t="str">
        <f t="shared" si="36"/>
        <v/>
      </c>
      <c r="H378" s="9" t="str">
        <f t="shared" si="37"/>
        <v/>
      </c>
      <c r="I378" s="20"/>
      <c r="J378" s="20"/>
      <c r="K378" s="19"/>
      <c r="L378" s="19"/>
      <c r="M378" s="19"/>
      <c r="N378" s="15" t="str">
        <f t="shared" si="38"/>
        <v/>
      </c>
      <c r="O378" s="3" t="str">
        <f t="shared" si="39"/>
        <v/>
      </c>
      <c r="P378" s="6" t="str">
        <f t="shared" ca="1" si="40"/>
        <v/>
      </c>
      <c r="Q378" s="21" t="str">
        <f>IF($A378="","",IF($C378=0,"",_xlfn.MINIFS('Daily tracking'!$A$2:$A$2001,'Daily tracking'!$D$2:$D$2001,$A378)))</f>
        <v/>
      </c>
      <c r="R378" s="6" t="str">
        <f t="shared" si="41"/>
        <v/>
      </c>
    </row>
    <row r="379" spans="1:18" x14ac:dyDescent="0.3">
      <c r="A379" s="19"/>
      <c r="B379" s="19"/>
      <c r="C379" s="15" t="str">
        <f>IF($A379="","",COUNTIF('Daily tracking'!$D$2:$D$2001,$A379))</f>
        <v/>
      </c>
      <c r="D379" s="16" t="str">
        <f>IF($A379="","",SUMIF('Daily tracking'!$D$2:$D$2001,$A379,'Daily tracking'!$G$2:$G$2001))</f>
        <v/>
      </c>
      <c r="E379" s="18" t="str">
        <f>IF($A379="","",IF($C379=0,"",_xlfn.MAXIFS('Daily tracking'!$A$2:$A$2001,'Daily tracking'!$D$2:$D$2001,$A379)))</f>
        <v/>
      </c>
      <c r="F379" s="6" t="str">
        <f t="shared" ca="1" si="35"/>
        <v/>
      </c>
      <c r="G379" s="3" t="str">
        <f t="shared" si="36"/>
        <v/>
      </c>
      <c r="H379" s="9" t="str">
        <f t="shared" si="37"/>
        <v/>
      </c>
      <c r="I379" s="20"/>
      <c r="J379" s="20"/>
      <c r="K379" s="19"/>
      <c r="L379" s="19"/>
      <c r="M379" s="19"/>
      <c r="N379" s="15" t="str">
        <f t="shared" si="38"/>
        <v/>
      </c>
      <c r="O379" s="3" t="str">
        <f t="shared" si="39"/>
        <v/>
      </c>
      <c r="P379" s="6" t="str">
        <f t="shared" ca="1" si="40"/>
        <v/>
      </c>
      <c r="Q379" s="21" t="str">
        <f>IF($A379="","",IF($C379=0,"",_xlfn.MINIFS('Daily tracking'!$A$2:$A$2001,'Daily tracking'!$D$2:$D$2001,$A379)))</f>
        <v/>
      </c>
      <c r="R379" s="6" t="str">
        <f t="shared" si="41"/>
        <v/>
      </c>
    </row>
    <row r="380" spans="1:18" x14ac:dyDescent="0.3">
      <c r="A380" s="19"/>
      <c r="B380" s="19"/>
      <c r="C380" s="15" t="str">
        <f>IF($A380="","",COUNTIF('Daily tracking'!$D$2:$D$2001,$A380))</f>
        <v/>
      </c>
      <c r="D380" s="16" t="str">
        <f>IF($A380="","",SUMIF('Daily tracking'!$D$2:$D$2001,$A380,'Daily tracking'!$G$2:$G$2001))</f>
        <v/>
      </c>
      <c r="E380" s="18" t="str">
        <f>IF($A380="","",IF($C380=0,"",_xlfn.MAXIFS('Daily tracking'!$A$2:$A$2001,'Daily tracking'!$D$2:$D$2001,$A380)))</f>
        <v/>
      </c>
      <c r="F380" s="6" t="str">
        <f t="shared" ca="1" si="35"/>
        <v/>
      </c>
      <c r="G380" s="3" t="str">
        <f t="shared" si="36"/>
        <v/>
      </c>
      <c r="H380" s="9" t="str">
        <f t="shared" si="37"/>
        <v/>
      </c>
      <c r="I380" s="20"/>
      <c r="J380" s="20"/>
      <c r="K380" s="19"/>
      <c r="L380" s="19"/>
      <c r="M380" s="19"/>
      <c r="N380" s="15" t="str">
        <f t="shared" si="38"/>
        <v/>
      </c>
      <c r="O380" s="3" t="str">
        <f t="shared" si="39"/>
        <v/>
      </c>
      <c r="P380" s="6" t="str">
        <f t="shared" ca="1" si="40"/>
        <v/>
      </c>
      <c r="Q380" s="21" t="str">
        <f>IF($A380="","",IF($C380=0,"",_xlfn.MINIFS('Daily tracking'!$A$2:$A$2001,'Daily tracking'!$D$2:$D$2001,$A380)))</f>
        <v/>
      </c>
      <c r="R380" s="6" t="str">
        <f t="shared" si="41"/>
        <v/>
      </c>
    </row>
    <row r="381" spans="1:18" x14ac:dyDescent="0.3">
      <c r="A381" s="19"/>
      <c r="B381" s="19"/>
      <c r="C381" s="15" t="str">
        <f>IF($A381="","",COUNTIF('Daily tracking'!$D$2:$D$2001,$A381))</f>
        <v/>
      </c>
      <c r="D381" s="16" t="str">
        <f>IF($A381="","",SUMIF('Daily tracking'!$D$2:$D$2001,$A381,'Daily tracking'!$G$2:$G$2001))</f>
        <v/>
      </c>
      <c r="E381" s="18" t="str">
        <f>IF($A381="","",IF($C381=0,"",_xlfn.MAXIFS('Daily tracking'!$A$2:$A$2001,'Daily tracking'!$D$2:$D$2001,$A381)))</f>
        <v/>
      </c>
      <c r="F381" s="6" t="str">
        <f t="shared" ca="1" si="35"/>
        <v/>
      </c>
      <c r="G381" s="3" t="str">
        <f t="shared" si="36"/>
        <v/>
      </c>
      <c r="H381" s="9" t="str">
        <f t="shared" si="37"/>
        <v/>
      </c>
      <c r="I381" s="20"/>
      <c r="J381" s="20"/>
      <c r="K381" s="19"/>
      <c r="L381" s="19"/>
      <c r="M381" s="19"/>
      <c r="N381" s="15" t="str">
        <f t="shared" si="38"/>
        <v/>
      </c>
      <c r="O381" s="3" t="str">
        <f t="shared" si="39"/>
        <v/>
      </c>
      <c r="P381" s="6" t="str">
        <f t="shared" ca="1" si="40"/>
        <v/>
      </c>
      <c r="Q381" s="21" t="str">
        <f>IF($A381="","",IF($C381=0,"",_xlfn.MINIFS('Daily tracking'!$A$2:$A$2001,'Daily tracking'!$D$2:$D$2001,$A381)))</f>
        <v/>
      </c>
      <c r="R381" s="6" t="str">
        <f t="shared" si="41"/>
        <v/>
      </c>
    </row>
    <row r="382" spans="1:18" x14ac:dyDescent="0.3">
      <c r="A382" s="19"/>
      <c r="B382" s="19"/>
      <c r="C382" s="15" t="str">
        <f>IF($A382="","",COUNTIF('Daily tracking'!$D$2:$D$2001,$A382))</f>
        <v/>
      </c>
      <c r="D382" s="16" t="str">
        <f>IF($A382="","",SUMIF('Daily tracking'!$D$2:$D$2001,$A382,'Daily tracking'!$G$2:$G$2001))</f>
        <v/>
      </c>
      <c r="E382" s="18" t="str">
        <f>IF($A382="","",IF($C382=0,"",_xlfn.MAXIFS('Daily tracking'!$A$2:$A$2001,'Daily tracking'!$D$2:$D$2001,$A382)))</f>
        <v/>
      </c>
      <c r="F382" s="6" t="str">
        <f t="shared" ca="1" si="35"/>
        <v/>
      </c>
      <c r="G382" s="3" t="str">
        <f t="shared" si="36"/>
        <v/>
      </c>
      <c r="H382" s="9" t="str">
        <f t="shared" si="37"/>
        <v/>
      </c>
      <c r="I382" s="20"/>
      <c r="J382" s="20"/>
      <c r="K382" s="19"/>
      <c r="L382" s="19"/>
      <c r="M382" s="19"/>
      <c r="N382" s="15" t="str">
        <f t="shared" si="38"/>
        <v/>
      </c>
      <c r="O382" s="3" t="str">
        <f t="shared" si="39"/>
        <v/>
      </c>
      <c r="P382" s="6" t="str">
        <f t="shared" ca="1" si="40"/>
        <v/>
      </c>
      <c r="Q382" s="21" t="str">
        <f>IF($A382="","",IF($C382=0,"",_xlfn.MINIFS('Daily tracking'!$A$2:$A$2001,'Daily tracking'!$D$2:$D$2001,$A382)))</f>
        <v/>
      </c>
      <c r="R382" s="6" t="str">
        <f t="shared" si="41"/>
        <v/>
      </c>
    </row>
    <row r="383" spans="1:18" x14ac:dyDescent="0.3">
      <c r="A383" s="19"/>
      <c r="B383" s="19"/>
      <c r="C383" s="15" t="str">
        <f>IF($A383="","",COUNTIF('Daily tracking'!$D$2:$D$2001,$A383))</f>
        <v/>
      </c>
      <c r="D383" s="16" t="str">
        <f>IF($A383="","",SUMIF('Daily tracking'!$D$2:$D$2001,$A383,'Daily tracking'!$G$2:$G$2001))</f>
        <v/>
      </c>
      <c r="E383" s="18" t="str">
        <f>IF($A383="","",IF($C383=0,"",_xlfn.MAXIFS('Daily tracking'!$A$2:$A$2001,'Daily tracking'!$D$2:$D$2001,$A383)))</f>
        <v/>
      </c>
      <c r="F383" s="6" t="str">
        <f t="shared" ca="1" si="35"/>
        <v/>
      </c>
      <c r="G383" s="3" t="str">
        <f t="shared" si="36"/>
        <v/>
      </c>
      <c r="H383" s="9" t="str">
        <f t="shared" si="37"/>
        <v/>
      </c>
      <c r="I383" s="20"/>
      <c r="J383" s="20"/>
      <c r="K383" s="19"/>
      <c r="L383" s="19"/>
      <c r="M383" s="19"/>
      <c r="N383" s="15" t="str">
        <f t="shared" si="38"/>
        <v/>
      </c>
      <c r="O383" s="3" t="str">
        <f t="shared" si="39"/>
        <v/>
      </c>
      <c r="P383" s="6" t="str">
        <f t="shared" ca="1" si="40"/>
        <v/>
      </c>
      <c r="Q383" s="21" t="str">
        <f>IF($A383="","",IF($C383=0,"",_xlfn.MINIFS('Daily tracking'!$A$2:$A$2001,'Daily tracking'!$D$2:$D$2001,$A383)))</f>
        <v/>
      </c>
      <c r="R383" s="6" t="str">
        <f t="shared" si="41"/>
        <v/>
      </c>
    </row>
    <row r="384" spans="1:18" x14ac:dyDescent="0.3">
      <c r="A384" s="19"/>
      <c r="B384" s="19"/>
      <c r="C384" s="15" t="str">
        <f>IF($A384="","",COUNTIF('Daily tracking'!$D$2:$D$2001,$A384))</f>
        <v/>
      </c>
      <c r="D384" s="16" t="str">
        <f>IF($A384="","",SUMIF('Daily tracking'!$D$2:$D$2001,$A384,'Daily tracking'!$G$2:$G$2001))</f>
        <v/>
      </c>
      <c r="E384" s="18" t="str">
        <f>IF($A384="","",IF($C384=0,"",_xlfn.MAXIFS('Daily tracking'!$A$2:$A$2001,'Daily tracking'!$D$2:$D$2001,$A384)))</f>
        <v/>
      </c>
      <c r="F384" s="6" t="str">
        <f t="shared" ca="1" si="35"/>
        <v/>
      </c>
      <c r="G384" s="3" t="str">
        <f t="shared" si="36"/>
        <v/>
      </c>
      <c r="H384" s="9" t="str">
        <f t="shared" si="37"/>
        <v/>
      </c>
      <c r="I384" s="20"/>
      <c r="J384" s="20"/>
      <c r="K384" s="19"/>
      <c r="L384" s="19"/>
      <c r="M384" s="19"/>
      <c r="N384" s="15" t="str">
        <f t="shared" si="38"/>
        <v/>
      </c>
      <c r="O384" s="3" t="str">
        <f t="shared" si="39"/>
        <v/>
      </c>
      <c r="P384" s="6" t="str">
        <f t="shared" ca="1" si="40"/>
        <v/>
      </c>
      <c r="Q384" s="21" t="str">
        <f>IF($A384="","",IF($C384=0,"",_xlfn.MINIFS('Daily tracking'!$A$2:$A$2001,'Daily tracking'!$D$2:$D$2001,$A384)))</f>
        <v/>
      </c>
      <c r="R384" s="6" t="str">
        <f t="shared" si="41"/>
        <v/>
      </c>
    </row>
    <row r="385" spans="1:18" x14ac:dyDescent="0.3">
      <c r="A385" s="19"/>
      <c r="B385" s="19"/>
      <c r="C385" s="15" t="str">
        <f>IF($A385="","",COUNTIF('Daily tracking'!$D$2:$D$2001,$A385))</f>
        <v/>
      </c>
      <c r="D385" s="16" t="str">
        <f>IF($A385="","",SUMIF('Daily tracking'!$D$2:$D$2001,$A385,'Daily tracking'!$G$2:$G$2001))</f>
        <v/>
      </c>
      <c r="E385" s="18" t="str">
        <f>IF($A385="","",IF($C385=0,"",_xlfn.MAXIFS('Daily tracking'!$A$2:$A$2001,'Daily tracking'!$D$2:$D$2001,$A385)))</f>
        <v/>
      </c>
      <c r="F385" s="6" t="str">
        <f t="shared" ca="1" si="35"/>
        <v/>
      </c>
      <c r="G385" s="3" t="str">
        <f t="shared" si="36"/>
        <v/>
      </c>
      <c r="H385" s="9" t="str">
        <f t="shared" si="37"/>
        <v/>
      </c>
      <c r="I385" s="20"/>
      <c r="J385" s="20"/>
      <c r="K385" s="19"/>
      <c r="L385" s="19"/>
      <c r="M385" s="19"/>
      <c r="N385" s="15" t="str">
        <f t="shared" si="38"/>
        <v/>
      </c>
      <c r="O385" s="3" t="str">
        <f t="shared" si="39"/>
        <v/>
      </c>
      <c r="P385" s="6" t="str">
        <f t="shared" ca="1" si="40"/>
        <v/>
      </c>
      <c r="Q385" s="21" t="str">
        <f>IF($A385="","",IF($C385=0,"",_xlfn.MINIFS('Daily tracking'!$A$2:$A$2001,'Daily tracking'!$D$2:$D$2001,$A385)))</f>
        <v/>
      </c>
      <c r="R385" s="6" t="str">
        <f t="shared" si="41"/>
        <v/>
      </c>
    </row>
    <row r="386" spans="1:18" x14ac:dyDescent="0.3">
      <c r="A386" s="19"/>
      <c r="B386" s="19"/>
      <c r="C386" s="15" t="str">
        <f>IF($A386="","",COUNTIF('Daily tracking'!$D$2:$D$2001,$A386))</f>
        <v/>
      </c>
      <c r="D386" s="16" t="str">
        <f>IF($A386="","",SUMIF('Daily tracking'!$D$2:$D$2001,$A386,'Daily tracking'!$G$2:$G$2001))</f>
        <v/>
      </c>
      <c r="E386" s="18" t="str">
        <f>IF($A386="","",IF($C386=0,"",_xlfn.MAXIFS('Daily tracking'!$A$2:$A$2001,'Daily tracking'!$D$2:$D$2001,$A386)))</f>
        <v/>
      </c>
      <c r="F386" s="6" t="str">
        <f t="shared" ref="F386:F449" ca="1" si="42">IF(OR($A386="",$E386=""),"",TODAY()-$E386)</f>
        <v/>
      </c>
      <c r="G386" s="3" t="str">
        <f t="shared" ref="G386:G449" si="43">IF($A386="","",IF($C386=0,"No visits",IF($F386&gt;90,"Lapsed",IF($F386&gt;35,"At risk",IF($C386&gt;=4,"Loyal","Active")))))</f>
        <v/>
      </c>
      <c r="H386" s="9" t="str">
        <f t="shared" ref="H386:H449" si="44">IF(OR($A386="",$C386=0),"",$D386/$C386)</f>
        <v/>
      </c>
      <c r="I386" s="20"/>
      <c r="J386" s="20"/>
      <c r="K386" s="19"/>
      <c r="L386" s="19"/>
      <c r="M386" s="19"/>
      <c r="N386" s="15" t="str">
        <f t="shared" ref="N386:N449" si="45">IF($A386="","",IF($C386=0,0,(IF($F386&lt;=15,5,IF($F386&lt;=30,4,IF($F386&lt;=45,3,IF($F386&lt;=90,2,1))))+IF($C386&gt;=10,5,IF($C386&gt;=6,4,IF($C386&gt;=4,3,IF($C386&gt;=2,2,1))))+IF($D386&gt;=20000,5,IF($D386&gt;=10000,4,IF($D386&gt;=5000,3,IF($D386&gt;=2000,2,1)))))))</f>
        <v/>
      </c>
      <c r="O386" s="3" t="str">
        <f t="shared" ref="O386:O449" si="46">IF($A386="","",IF($C386=0,"No visits",IF($N386&gt;=13,"VIP",IF($N386&gt;=10,"High value",IF($N386&gt;=7,"Regular",IF($N386&gt;=4,"Occasional","Low"))))))</f>
        <v/>
      </c>
      <c r="P386" s="6" t="str">
        <f t="shared" ref="P386:P449" ca="1" si="47">IF(OR($A386="",$I386=""),"",IF(MONTH($I386)=MONTH(TODAY()),"Yes",""))</f>
        <v/>
      </c>
      <c r="Q386" s="21" t="str">
        <f>IF($A386="","",IF($C386=0,"",_xlfn.MINIFS('Daily tracking'!$A$2:$A$2001,'Daily tracking'!$D$2:$D$2001,$A386)))</f>
        <v/>
      </c>
      <c r="R386" s="6" t="str">
        <f t="shared" ref="R386:R449" si="48">IF(OR($A386="",$C386&lt;2),"",($E386-$Q386)/($C386-1))</f>
        <v/>
      </c>
    </row>
    <row r="387" spans="1:18" x14ac:dyDescent="0.3">
      <c r="A387" s="19"/>
      <c r="B387" s="19"/>
      <c r="C387" s="15" t="str">
        <f>IF($A387="","",COUNTIF('Daily tracking'!$D$2:$D$2001,$A387))</f>
        <v/>
      </c>
      <c r="D387" s="16" t="str">
        <f>IF($A387="","",SUMIF('Daily tracking'!$D$2:$D$2001,$A387,'Daily tracking'!$G$2:$G$2001))</f>
        <v/>
      </c>
      <c r="E387" s="18" t="str">
        <f>IF($A387="","",IF($C387=0,"",_xlfn.MAXIFS('Daily tracking'!$A$2:$A$2001,'Daily tracking'!$D$2:$D$2001,$A387)))</f>
        <v/>
      </c>
      <c r="F387" s="6" t="str">
        <f t="shared" ca="1" si="42"/>
        <v/>
      </c>
      <c r="G387" s="3" t="str">
        <f t="shared" si="43"/>
        <v/>
      </c>
      <c r="H387" s="9" t="str">
        <f t="shared" si="44"/>
        <v/>
      </c>
      <c r="I387" s="20"/>
      <c r="J387" s="20"/>
      <c r="K387" s="19"/>
      <c r="L387" s="19"/>
      <c r="M387" s="19"/>
      <c r="N387" s="15" t="str">
        <f t="shared" si="45"/>
        <v/>
      </c>
      <c r="O387" s="3" t="str">
        <f t="shared" si="46"/>
        <v/>
      </c>
      <c r="P387" s="6" t="str">
        <f t="shared" ca="1" si="47"/>
        <v/>
      </c>
      <c r="Q387" s="21" t="str">
        <f>IF($A387="","",IF($C387=0,"",_xlfn.MINIFS('Daily tracking'!$A$2:$A$2001,'Daily tracking'!$D$2:$D$2001,$A387)))</f>
        <v/>
      </c>
      <c r="R387" s="6" t="str">
        <f t="shared" si="48"/>
        <v/>
      </c>
    </row>
    <row r="388" spans="1:18" x14ac:dyDescent="0.3">
      <c r="A388" s="19"/>
      <c r="B388" s="19"/>
      <c r="C388" s="15" t="str">
        <f>IF($A388="","",COUNTIF('Daily tracking'!$D$2:$D$2001,$A388))</f>
        <v/>
      </c>
      <c r="D388" s="16" t="str">
        <f>IF($A388="","",SUMIF('Daily tracking'!$D$2:$D$2001,$A388,'Daily tracking'!$G$2:$G$2001))</f>
        <v/>
      </c>
      <c r="E388" s="18" t="str">
        <f>IF($A388="","",IF($C388=0,"",_xlfn.MAXIFS('Daily tracking'!$A$2:$A$2001,'Daily tracking'!$D$2:$D$2001,$A388)))</f>
        <v/>
      </c>
      <c r="F388" s="6" t="str">
        <f t="shared" ca="1" si="42"/>
        <v/>
      </c>
      <c r="G388" s="3" t="str">
        <f t="shared" si="43"/>
        <v/>
      </c>
      <c r="H388" s="9" t="str">
        <f t="shared" si="44"/>
        <v/>
      </c>
      <c r="I388" s="20"/>
      <c r="J388" s="20"/>
      <c r="K388" s="19"/>
      <c r="L388" s="19"/>
      <c r="M388" s="19"/>
      <c r="N388" s="15" t="str">
        <f t="shared" si="45"/>
        <v/>
      </c>
      <c r="O388" s="3" t="str">
        <f t="shared" si="46"/>
        <v/>
      </c>
      <c r="P388" s="6" t="str">
        <f t="shared" ca="1" si="47"/>
        <v/>
      </c>
      <c r="Q388" s="21" t="str">
        <f>IF($A388="","",IF($C388=0,"",_xlfn.MINIFS('Daily tracking'!$A$2:$A$2001,'Daily tracking'!$D$2:$D$2001,$A388)))</f>
        <v/>
      </c>
      <c r="R388" s="6" t="str">
        <f t="shared" si="48"/>
        <v/>
      </c>
    </row>
    <row r="389" spans="1:18" x14ac:dyDescent="0.3">
      <c r="A389" s="19"/>
      <c r="B389" s="19"/>
      <c r="C389" s="15" t="str">
        <f>IF($A389="","",COUNTIF('Daily tracking'!$D$2:$D$2001,$A389))</f>
        <v/>
      </c>
      <c r="D389" s="16" t="str">
        <f>IF($A389="","",SUMIF('Daily tracking'!$D$2:$D$2001,$A389,'Daily tracking'!$G$2:$G$2001))</f>
        <v/>
      </c>
      <c r="E389" s="18" t="str">
        <f>IF($A389="","",IF($C389=0,"",_xlfn.MAXIFS('Daily tracking'!$A$2:$A$2001,'Daily tracking'!$D$2:$D$2001,$A389)))</f>
        <v/>
      </c>
      <c r="F389" s="6" t="str">
        <f t="shared" ca="1" si="42"/>
        <v/>
      </c>
      <c r="G389" s="3" t="str">
        <f t="shared" si="43"/>
        <v/>
      </c>
      <c r="H389" s="9" t="str">
        <f t="shared" si="44"/>
        <v/>
      </c>
      <c r="I389" s="20"/>
      <c r="J389" s="20"/>
      <c r="K389" s="19"/>
      <c r="L389" s="19"/>
      <c r="M389" s="19"/>
      <c r="N389" s="15" t="str">
        <f t="shared" si="45"/>
        <v/>
      </c>
      <c r="O389" s="3" t="str">
        <f t="shared" si="46"/>
        <v/>
      </c>
      <c r="P389" s="6" t="str">
        <f t="shared" ca="1" si="47"/>
        <v/>
      </c>
      <c r="Q389" s="21" t="str">
        <f>IF($A389="","",IF($C389=0,"",_xlfn.MINIFS('Daily tracking'!$A$2:$A$2001,'Daily tracking'!$D$2:$D$2001,$A389)))</f>
        <v/>
      </c>
      <c r="R389" s="6" t="str">
        <f t="shared" si="48"/>
        <v/>
      </c>
    </row>
    <row r="390" spans="1:18" x14ac:dyDescent="0.3">
      <c r="A390" s="19"/>
      <c r="B390" s="19"/>
      <c r="C390" s="15" t="str">
        <f>IF($A390="","",COUNTIF('Daily tracking'!$D$2:$D$2001,$A390))</f>
        <v/>
      </c>
      <c r="D390" s="16" t="str">
        <f>IF($A390="","",SUMIF('Daily tracking'!$D$2:$D$2001,$A390,'Daily tracking'!$G$2:$G$2001))</f>
        <v/>
      </c>
      <c r="E390" s="18" t="str">
        <f>IF($A390="","",IF($C390=0,"",_xlfn.MAXIFS('Daily tracking'!$A$2:$A$2001,'Daily tracking'!$D$2:$D$2001,$A390)))</f>
        <v/>
      </c>
      <c r="F390" s="6" t="str">
        <f t="shared" ca="1" si="42"/>
        <v/>
      </c>
      <c r="G390" s="3" t="str">
        <f t="shared" si="43"/>
        <v/>
      </c>
      <c r="H390" s="9" t="str">
        <f t="shared" si="44"/>
        <v/>
      </c>
      <c r="I390" s="20"/>
      <c r="J390" s="20"/>
      <c r="K390" s="19"/>
      <c r="L390" s="19"/>
      <c r="M390" s="19"/>
      <c r="N390" s="15" t="str">
        <f t="shared" si="45"/>
        <v/>
      </c>
      <c r="O390" s="3" t="str">
        <f t="shared" si="46"/>
        <v/>
      </c>
      <c r="P390" s="6" t="str">
        <f t="shared" ca="1" si="47"/>
        <v/>
      </c>
      <c r="Q390" s="21" t="str">
        <f>IF($A390="","",IF($C390=0,"",_xlfn.MINIFS('Daily tracking'!$A$2:$A$2001,'Daily tracking'!$D$2:$D$2001,$A390)))</f>
        <v/>
      </c>
      <c r="R390" s="6" t="str">
        <f t="shared" si="48"/>
        <v/>
      </c>
    </row>
    <row r="391" spans="1:18" x14ac:dyDescent="0.3">
      <c r="A391" s="19"/>
      <c r="B391" s="19"/>
      <c r="C391" s="15" t="str">
        <f>IF($A391="","",COUNTIF('Daily tracking'!$D$2:$D$2001,$A391))</f>
        <v/>
      </c>
      <c r="D391" s="16" t="str">
        <f>IF($A391="","",SUMIF('Daily tracking'!$D$2:$D$2001,$A391,'Daily tracking'!$G$2:$G$2001))</f>
        <v/>
      </c>
      <c r="E391" s="18" t="str">
        <f>IF($A391="","",IF($C391=0,"",_xlfn.MAXIFS('Daily tracking'!$A$2:$A$2001,'Daily tracking'!$D$2:$D$2001,$A391)))</f>
        <v/>
      </c>
      <c r="F391" s="6" t="str">
        <f t="shared" ca="1" si="42"/>
        <v/>
      </c>
      <c r="G391" s="3" t="str">
        <f t="shared" si="43"/>
        <v/>
      </c>
      <c r="H391" s="9" t="str">
        <f t="shared" si="44"/>
        <v/>
      </c>
      <c r="I391" s="20"/>
      <c r="J391" s="20"/>
      <c r="K391" s="19"/>
      <c r="L391" s="19"/>
      <c r="M391" s="19"/>
      <c r="N391" s="15" t="str">
        <f t="shared" si="45"/>
        <v/>
      </c>
      <c r="O391" s="3" t="str">
        <f t="shared" si="46"/>
        <v/>
      </c>
      <c r="P391" s="6" t="str">
        <f t="shared" ca="1" si="47"/>
        <v/>
      </c>
      <c r="Q391" s="21" t="str">
        <f>IF($A391="","",IF($C391=0,"",_xlfn.MINIFS('Daily tracking'!$A$2:$A$2001,'Daily tracking'!$D$2:$D$2001,$A391)))</f>
        <v/>
      </c>
      <c r="R391" s="6" t="str">
        <f t="shared" si="48"/>
        <v/>
      </c>
    </row>
    <row r="392" spans="1:18" x14ac:dyDescent="0.3">
      <c r="A392" s="19"/>
      <c r="B392" s="19"/>
      <c r="C392" s="15" t="str">
        <f>IF($A392="","",COUNTIF('Daily tracking'!$D$2:$D$2001,$A392))</f>
        <v/>
      </c>
      <c r="D392" s="16" t="str">
        <f>IF($A392="","",SUMIF('Daily tracking'!$D$2:$D$2001,$A392,'Daily tracking'!$G$2:$G$2001))</f>
        <v/>
      </c>
      <c r="E392" s="18" t="str">
        <f>IF($A392="","",IF($C392=0,"",_xlfn.MAXIFS('Daily tracking'!$A$2:$A$2001,'Daily tracking'!$D$2:$D$2001,$A392)))</f>
        <v/>
      </c>
      <c r="F392" s="6" t="str">
        <f t="shared" ca="1" si="42"/>
        <v/>
      </c>
      <c r="G392" s="3" t="str">
        <f t="shared" si="43"/>
        <v/>
      </c>
      <c r="H392" s="9" t="str">
        <f t="shared" si="44"/>
        <v/>
      </c>
      <c r="I392" s="20"/>
      <c r="J392" s="20"/>
      <c r="K392" s="19"/>
      <c r="L392" s="19"/>
      <c r="M392" s="19"/>
      <c r="N392" s="15" t="str">
        <f t="shared" si="45"/>
        <v/>
      </c>
      <c r="O392" s="3" t="str">
        <f t="shared" si="46"/>
        <v/>
      </c>
      <c r="P392" s="6" t="str">
        <f t="shared" ca="1" si="47"/>
        <v/>
      </c>
      <c r="Q392" s="21" t="str">
        <f>IF($A392="","",IF($C392=0,"",_xlfn.MINIFS('Daily tracking'!$A$2:$A$2001,'Daily tracking'!$D$2:$D$2001,$A392)))</f>
        <v/>
      </c>
      <c r="R392" s="6" t="str">
        <f t="shared" si="48"/>
        <v/>
      </c>
    </row>
    <row r="393" spans="1:18" x14ac:dyDescent="0.3">
      <c r="A393" s="19"/>
      <c r="B393" s="19"/>
      <c r="C393" s="15" t="str">
        <f>IF($A393="","",COUNTIF('Daily tracking'!$D$2:$D$2001,$A393))</f>
        <v/>
      </c>
      <c r="D393" s="16" t="str">
        <f>IF($A393="","",SUMIF('Daily tracking'!$D$2:$D$2001,$A393,'Daily tracking'!$G$2:$G$2001))</f>
        <v/>
      </c>
      <c r="E393" s="18" t="str">
        <f>IF($A393="","",IF($C393=0,"",_xlfn.MAXIFS('Daily tracking'!$A$2:$A$2001,'Daily tracking'!$D$2:$D$2001,$A393)))</f>
        <v/>
      </c>
      <c r="F393" s="6" t="str">
        <f t="shared" ca="1" si="42"/>
        <v/>
      </c>
      <c r="G393" s="3" t="str">
        <f t="shared" si="43"/>
        <v/>
      </c>
      <c r="H393" s="9" t="str">
        <f t="shared" si="44"/>
        <v/>
      </c>
      <c r="I393" s="20"/>
      <c r="J393" s="20"/>
      <c r="K393" s="19"/>
      <c r="L393" s="19"/>
      <c r="M393" s="19"/>
      <c r="N393" s="15" t="str">
        <f t="shared" si="45"/>
        <v/>
      </c>
      <c r="O393" s="3" t="str">
        <f t="shared" si="46"/>
        <v/>
      </c>
      <c r="P393" s="6" t="str">
        <f t="shared" ca="1" si="47"/>
        <v/>
      </c>
      <c r="Q393" s="21" t="str">
        <f>IF($A393="","",IF($C393=0,"",_xlfn.MINIFS('Daily tracking'!$A$2:$A$2001,'Daily tracking'!$D$2:$D$2001,$A393)))</f>
        <v/>
      </c>
      <c r="R393" s="6" t="str">
        <f t="shared" si="48"/>
        <v/>
      </c>
    </row>
    <row r="394" spans="1:18" x14ac:dyDescent="0.3">
      <c r="A394" s="19"/>
      <c r="B394" s="19"/>
      <c r="C394" s="15" t="str">
        <f>IF($A394="","",COUNTIF('Daily tracking'!$D$2:$D$2001,$A394))</f>
        <v/>
      </c>
      <c r="D394" s="16" t="str">
        <f>IF($A394="","",SUMIF('Daily tracking'!$D$2:$D$2001,$A394,'Daily tracking'!$G$2:$G$2001))</f>
        <v/>
      </c>
      <c r="E394" s="18" t="str">
        <f>IF($A394="","",IF($C394=0,"",_xlfn.MAXIFS('Daily tracking'!$A$2:$A$2001,'Daily tracking'!$D$2:$D$2001,$A394)))</f>
        <v/>
      </c>
      <c r="F394" s="6" t="str">
        <f t="shared" ca="1" si="42"/>
        <v/>
      </c>
      <c r="G394" s="3" t="str">
        <f t="shared" si="43"/>
        <v/>
      </c>
      <c r="H394" s="9" t="str">
        <f t="shared" si="44"/>
        <v/>
      </c>
      <c r="I394" s="20"/>
      <c r="J394" s="20"/>
      <c r="K394" s="19"/>
      <c r="L394" s="19"/>
      <c r="M394" s="19"/>
      <c r="N394" s="15" t="str">
        <f t="shared" si="45"/>
        <v/>
      </c>
      <c r="O394" s="3" t="str">
        <f t="shared" si="46"/>
        <v/>
      </c>
      <c r="P394" s="6" t="str">
        <f t="shared" ca="1" si="47"/>
        <v/>
      </c>
      <c r="Q394" s="21" t="str">
        <f>IF($A394="","",IF($C394=0,"",_xlfn.MINIFS('Daily tracking'!$A$2:$A$2001,'Daily tracking'!$D$2:$D$2001,$A394)))</f>
        <v/>
      </c>
      <c r="R394" s="6" t="str">
        <f t="shared" si="48"/>
        <v/>
      </c>
    </row>
    <row r="395" spans="1:18" x14ac:dyDescent="0.3">
      <c r="A395" s="19"/>
      <c r="B395" s="19"/>
      <c r="C395" s="15" t="str">
        <f>IF($A395="","",COUNTIF('Daily tracking'!$D$2:$D$2001,$A395))</f>
        <v/>
      </c>
      <c r="D395" s="16" t="str">
        <f>IF($A395="","",SUMIF('Daily tracking'!$D$2:$D$2001,$A395,'Daily tracking'!$G$2:$G$2001))</f>
        <v/>
      </c>
      <c r="E395" s="18" t="str">
        <f>IF($A395="","",IF($C395=0,"",_xlfn.MAXIFS('Daily tracking'!$A$2:$A$2001,'Daily tracking'!$D$2:$D$2001,$A395)))</f>
        <v/>
      </c>
      <c r="F395" s="6" t="str">
        <f t="shared" ca="1" si="42"/>
        <v/>
      </c>
      <c r="G395" s="3" t="str">
        <f t="shared" si="43"/>
        <v/>
      </c>
      <c r="H395" s="9" t="str">
        <f t="shared" si="44"/>
        <v/>
      </c>
      <c r="I395" s="20"/>
      <c r="J395" s="20"/>
      <c r="K395" s="19"/>
      <c r="L395" s="19"/>
      <c r="M395" s="19"/>
      <c r="N395" s="15" t="str">
        <f t="shared" si="45"/>
        <v/>
      </c>
      <c r="O395" s="3" t="str">
        <f t="shared" si="46"/>
        <v/>
      </c>
      <c r="P395" s="6" t="str">
        <f t="shared" ca="1" si="47"/>
        <v/>
      </c>
      <c r="Q395" s="21" t="str">
        <f>IF($A395="","",IF($C395=0,"",_xlfn.MINIFS('Daily tracking'!$A$2:$A$2001,'Daily tracking'!$D$2:$D$2001,$A395)))</f>
        <v/>
      </c>
      <c r="R395" s="6" t="str">
        <f t="shared" si="48"/>
        <v/>
      </c>
    </row>
    <row r="396" spans="1:18" x14ac:dyDescent="0.3">
      <c r="A396" s="19"/>
      <c r="B396" s="19"/>
      <c r="C396" s="15" t="str">
        <f>IF($A396="","",COUNTIF('Daily tracking'!$D$2:$D$2001,$A396))</f>
        <v/>
      </c>
      <c r="D396" s="16" t="str">
        <f>IF($A396="","",SUMIF('Daily tracking'!$D$2:$D$2001,$A396,'Daily tracking'!$G$2:$G$2001))</f>
        <v/>
      </c>
      <c r="E396" s="18" t="str">
        <f>IF($A396="","",IF($C396=0,"",_xlfn.MAXIFS('Daily tracking'!$A$2:$A$2001,'Daily tracking'!$D$2:$D$2001,$A396)))</f>
        <v/>
      </c>
      <c r="F396" s="6" t="str">
        <f t="shared" ca="1" si="42"/>
        <v/>
      </c>
      <c r="G396" s="3" t="str">
        <f t="shared" si="43"/>
        <v/>
      </c>
      <c r="H396" s="9" t="str">
        <f t="shared" si="44"/>
        <v/>
      </c>
      <c r="I396" s="20"/>
      <c r="J396" s="20"/>
      <c r="K396" s="19"/>
      <c r="L396" s="19"/>
      <c r="M396" s="19"/>
      <c r="N396" s="15" t="str">
        <f t="shared" si="45"/>
        <v/>
      </c>
      <c r="O396" s="3" t="str">
        <f t="shared" si="46"/>
        <v/>
      </c>
      <c r="P396" s="6" t="str">
        <f t="shared" ca="1" si="47"/>
        <v/>
      </c>
      <c r="Q396" s="21" t="str">
        <f>IF($A396="","",IF($C396=0,"",_xlfn.MINIFS('Daily tracking'!$A$2:$A$2001,'Daily tracking'!$D$2:$D$2001,$A396)))</f>
        <v/>
      </c>
      <c r="R396" s="6" t="str">
        <f t="shared" si="48"/>
        <v/>
      </c>
    </row>
    <row r="397" spans="1:18" x14ac:dyDescent="0.3">
      <c r="A397" s="19"/>
      <c r="B397" s="19"/>
      <c r="C397" s="15" t="str">
        <f>IF($A397="","",COUNTIF('Daily tracking'!$D$2:$D$2001,$A397))</f>
        <v/>
      </c>
      <c r="D397" s="16" t="str">
        <f>IF($A397="","",SUMIF('Daily tracking'!$D$2:$D$2001,$A397,'Daily tracking'!$G$2:$G$2001))</f>
        <v/>
      </c>
      <c r="E397" s="18" t="str">
        <f>IF($A397="","",IF($C397=0,"",_xlfn.MAXIFS('Daily tracking'!$A$2:$A$2001,'Daily tracking'!$D$2:$D$2001,$A397)))</f>
        <v/>
      </c>
      <c r="F397" s="6" t="str">
        <f t="shared" ca="1" si="42"/>
        <v/>
      </c>
      <c r="G397" s="3" t="str">
        <f t="shared" si="43"/>
        <v/>
      </c>
      <c r="H397" s="9" t="str">
        <f t="shared" si="44"/>
        <v/>
      </c>
      <c r="I397" s="20"/>
      <c r="J397" s="20"/>
      <c r="K397" s="19"/>
      <c r="L397" s="19"/>
      <c r="M397" s="19"/>
      <c r="N397" s="15" t="str">
        <f t="shared" si="45"/>
        <v/>
      </c>
      <c r="O397" s="3" t="str">
        <f t="shared" si="46"/>
        <v/>
      </c>
      <c r="P397" s="6" t="str">
        <f t="shared" ca="1" si="47"/>
        <v/>
      </c>
      <c r="Q397" s="21" t="str">
        <f>IF($A397="","",IF($C397=0,"",_xlfn.MINIFS('Daily tracking'!$A$2:$A$2001,'Daily tracking'!$D$2:$D$2001,$A397)))</f>
        <v/>
      </c>
      <c r="R397" s="6" t="str">
        <f t="shared" si="48"/>
        <v/>
      </c>
    </row>
    <row r="398" spans="1:18" x14ac:dyDescent="0.3">
      <c r="A398" s="19"/>
      <c r="B398" s="19"/>
      <c r="C398" s="15" t="str">
        <f>IF($A398="","",COUNTIF('Daily tracking'!$D$2:$D$2001,$A398))</f>
        <v/>
      </c>
      <c r="D398" s="16" t="str">
        <f>IF($A398="","",SUMIF('Daily tracking'!$D$2:$D$2001,$A398,'Daily tracking'!$G$2:$G$2001))</f>
        <v/>
      </c>
      <c r="E398" s="18" t="str">
        <f>IF($A398="","",IF($C398=0,"",_xlfn.MAXIFS('Daily tracking'!$A$2:$A$2001,'Daily tracking'!$D$2:$D$2001,$A398)))</f>
        <v/>
      </c>
      <c r="F398" s="6" t="str">
        <f t="shared" ca="1" si="42"/>
        <v/>
      </c>
      <c r="G398" s="3" t="str">
        <f t="shared" si="43"/>
        <v/>
      </c>
      <c r="H398" s="9" t="str">
        <f t="shared" si="44"/>
        <v/>
      </c>
      <c r="I398" s="20"/>
      <c r="J398" s="20"/>
      <c r="K398" s="19"/>
      <c r="L398" s="19"/>
      <c r="M398" s="19"/>
      <c r="N398" s="15" t="str">
        <f t="shared" si="45"/>
        <v/>
      </c>
      <c r="O398" s="3" t="str">
        <f t="shared" si="46"/>
        <v/>
      </c>
      <c r="P398" s="6" t="str">
        <f t="shared" ca="1" si="47"/>
        <v/>
      </c>
      <c r="Q398" s="21" t="str">
        <f>IF($A398="","",IF($C398=0,"",_xlfn.MINIFS('Daily tracking'!$A$2:$A$2001,'Daily tracking'!$D$2:$D$2001,$A398)))</f>
        <v/>
      </c>
      <c r="R398" s="6" t="str">
        <f t="shared" si="48"/>
        <v/>
      </c>
    </row>
    <row r="399" spans="1:18" x14ac:dyDescent="0.3">
      <c r="A399" s="19"/>
      <c r="B399" s="19"/>
      <c r="C399" s="15" t="str">
        <f>IF($A399="","",COUNTIF('Daily tracking'!$D$2:$D$2001,$A399))</f>
        <v/>
      </c>
      <c r="D399" s="16" t="str">
        <f>IF($A399="","",SUMIF('Daily tracking'!$D$2:$D$2001,$A399,'Daily tracking'!$G$2:$G$2001))</f>
        <v/>
      </c>
      <c r="E399" s="18" t="str">
        <f>IF($A399="","",IF($C399=0,"",_xlfn.MAXIFS('Daily tracking'!$A$2:$A$2001,'Daily tracking'!$D$2:$D$2001,$A399)))</f>
        <v/>
      </c>
      <c r="F399" s="6" t="str">
        <f t="shared" ca="1" si="42"/>
        <v/>
      </c>
      <c r="G399" s="3" t="str">
        <f t="shared" si="43"/>
        <v/>
      </c>
      <c r="H399" s="9" t="str">
        <f t="shared" si="44"/>
        <v/>
      </c>
      <c r="I399" s="20"/>
      <c r="J399" s="20"/>
      <c r="K399" s="19"/>
      <c r="L399" s="19"/>
      <c r="M399" s="19"/>
      <c r="N399" s="15" t="str">
        <f t="shared" si="45"/>
        <v/>
      </c>
      <c r="O399" s="3" t="str">
        <f t="shared" si="46"/>
        <v/>
      </c>
      <c r="P399" s="6" t="str">
        <f t="shared" ca="1" si="47"/>
        <v/>
      </c>
      <c r="Q399" s="21" t="str">
        <f>IF($A399="","",IF($C399=0,"",_xlfn.MINIFS('Daily tracking'!$A$2:$A$2001,'Daily tracking'!$D$2:$D$2001,$A399)))</f>
        <v/>
      </c>
      <c r="R399" s="6" t="str">
        <f t="shared" si="48"/>
        <v/>
      </c>
    </row>
    <row r="400" spans="1:18" x14ac:dyDescent="0.3">
      <c r="A400" s="19"/>
      <c r="B400" s="19"/>
      <c r="C400" s="15" t="str">
        <f>IF($A400="","",COUNTIF('Daily tracking'!$D$2:$D$2001,$A400))</f>
        <v/>
      </c>
      <c r="D400" s="16" t="str">
        <f>IF($A400="","",SUMIF('Daily tracking'!$D$2:$D$2001,$A400,'Daily tracking'!$G$2:$G$2001))</f>
        <v/>
      </c>
      <c r="E400" s="18" t="str">
        <f>IF($A400="","",IF($C400=0,"",_xlfn.MAXIFS('Daily tracking'!$A$2:$A$2001,'Daily tracking'!$D$2:$D$2001,$A400)))</f>
        <v/>
      </c>
      <c r="F400" s="6" t="str">
        <f t="shared" ca="1" si="42"/>
        <v/>
      </c>
      <c r="G400" s="3" t="str">
        <f t="shared" si="43"/>
        <v/>
      </c>
      <c r="H400" s="9" t="str">
        <f t="shared" si="44"/>
        <v/>
      </c>
      <c r="I400" s="20"/>
      <c r="J400" s="20"/>
      <c r="K400" s="19"/>
      <c r="L400" s="19"/>
      <c r="M400" s="19"/>
      <c r="N400" s="15" t="str">
        <f t="shared" si="45"/>
        <v/>
      </c>
      <c r="O400" s="3" t="str">
        <f t="shared" si="46"/>
        <v/>
      </c>
      <c r="P400" s="6" t="str">
        <f t="shared" ca="1" si="47"/>
        <v/>
      </c>
      <c r="Q400" s="21" t="str">
        <f>IF($A400="","",IF($C400=0,"",_xlfn.MINIFS('Daily tracking'!$A$2:$A$2001,'Daily tracking'!$D$2:$D$2001,$A400)))</f>
        <v/>
      </c>
      <c r="R400" s="6" t="str">
        <f t="shared" si="48"/>
        <v/>
      </c>
    </row>
    <row r="401" spans="1:18" x14ac:dyDescent="0.3">
      <c r="A401" s="19"/>
      <c r="B401" s="19"/>
      <c r="C401" s="15" t="str">
        <f>IF($A401="","",COUNTIF('Daily tracking'!$D$2:$D$2001,$A401))</f>
        <v/>
      </c>
      <c r="D401" s="16" t="str">
        <f>IF($A401="","",SUMIF('Daily tracking'!$D$2:$D$2001,$A401,'Daily tracking'!$G$2:$G$2001))</f>
        <v/>
      </c>
      <c r="E401" s="18" t="str">
        <f>IF($A401="","",IF($C401=0,"",_xlfn.MAXIFS('Daily tracking'!$A$2:$A$2001,'Daily tracking'!$D$2:$D$2001,$A401)))</f>
        <v/>
      </c>
      <c r="F401" s="6" t="str">
        <f t="shared" ca="1" si="42"/>
        <v/>
      </c>
      <c r="G401" s="3" t="str">
        <f t="shared" si="43"/>
        <v/>
      </c>
      <c r="H401" s="9" t="str">
        <f t="shared" si="44"/>
        <v/>
      </c>
      <c r="I401" s="20"/>
      <c r="J401" s="20"/>
      <c r="K401" s="19"/>
      <c r="L401" s="19"/>
      <c r="M401" s="19"/>
      <c r="N401" s="15" t="str">
        <f t="shared" si="45"/>
        <v/>
      </c>
      <c r="O401" s="3" t="str">
        <f t="shared" si="46"/>
        <v/>
      </c>
      <c r="P401" s="6" t="str">
        <f t="shared" ca="1" si="47"/>
        <v/>
      </c>
      <c r="Q401" s="21" t="str">
        <f>IF($A401="","",IF($C401=0,"",_xlfn.MINIFS('Daily tracking'!$A$2:$A$2001,'Daily tracking'!$D$2:$D$2001,$A401)))</f>
        <v/>
      </c>
      <c r="R401" s="6" t="str">
        <f t="shared" si="48"/>
        <v/>
      </c>
    </row>
    <row r="402" spans="1:18" x14ac:dyDescent="0.3">
      <c r="A402" s="19"/>
      <c r="B402" s="19"/>
      <c r="C402" s="15" t="str">
        <f>IF($A402="","",COUNTIF('Daily tracking'!$D$2:$D$2001,$A402))</f>
        <v/>
      </c>
      <c r="D402" s="16" t="str">
        <f>IF($A402="","",SUMIF('Daily tracking'!$D$2:$D$2001,$A402,'Daily tracking'!$G$2:$G$2001))</f>
        <v/>
      </c>
      <c r="E402" s="18" t="str">
        <f>IF($A402="","",IF($C402=0,"",_xlfn.MAXIFS('Daily tracking'!$A$2:$A$2001,'Daily tracking'!$D$2:$D$2001,$A402)))</f>
        <v/>
      </c>
      <c r="F402" s="6" t="str">
        <f t="shared" ca="1" si="42"/>
        <v/>
      </c>
      <c r="G402" s="3" t="str">
        <f t="shared" si="43"/>
        <v/>
      </c>
      <c r="H402" s="9" t="str">
        <f t="shared" si="44"/>
        <v/>
      </c>
      <c r="I402" s="20"/>
      <c r="J402" s="20"/>
      <c r="K402" s="19"/>
      <c r="L402" s="19"/>
      <c r="M402" s="19"/>
      <c r="N402" s="15" t="str">
        <f t="shared" si="45"/>
        <v/>
      </c>
      <c r="O402" s="3" t="str">
        <f t="shared" si="46"/>
        <v/>
      </c>
      <c r="P402" s="6" t="str">
        <f t="shared" ca="1" si="47"/>
        <v/>
      </c>
      <c r="Q402" s="21" t="str">
        <f>IF($A402="","",IF($C402=0,"",_xlfn.MINIFS('Daily tracking'!$A$2:$A$2001,'Daily tracking'!$D$2:$D$2001,$A402)))</f>
        <v/>
      </c>
      <c r="R402" s="6" t="str">
        <f t="shared" si="48"/>
        <v/>
      </c>
    </row>
    <row r="403" spans="1:18" x14ac:dyDescent="0.3">
      <c r="A403" s="19"/>
      <c r="B403" s="19"/>
      <c r="C403" s="15" t="str">
        <f>IF($A403="","",COUNTIF('Daily tracking'!$D$2:$D$2001,$A403))</f>
        <v/>
      </c>
      <c r="D403" s="16" t="str">
        <f>IF($A403="","",SUMIF('Daily tracking'!$D$2:$D$2001,$A403,'Daily tracking'!$G$2:$G$2001))</f>
        <v/>
      </c>
      <c r="E403" s="18" t="str">
        <f>IF($A403="","",IF($C403=0,"",_xlfn.MAXIFS('Daily tracking'!$A$2:$A$2001,'Daily tracking'!$D$2:$D$2001,$A403)))</f>
        <v/>
      </c>
      <c r="F403" s="6" t="str">
        <f t="shared" ca="1" si="42"/>
        <v/>
      </c>
      <c r="G403" s="3" t="str">
        <f t="shared" si="43"/>
        <v/>
      </c>
      <c r="H403" s="9" t="str">
        <f t="shared" si="44"/>
        <v/>
      </c>
      <c r="I403" s="20"/>
      <c r="J403" s="20"/>
      <c r="K403" s="19"/>
      <c r="L403" s="19"/>
      <c r="M403" s="19"/>
      <c r="N403" s="15" t="str">
        <f t="shared" si="45"/>
        <v/>
      </c>
      <c r="O403" s="3" t="str">
        <f t="shared" si="46"/>
        <v/>
      </c>
      <c r="P403" s="6" t="str">
        <f t="shared" ca="1" si="47"/>
        <v/>
      </c>
      <c r="Q403" s="21" t="str">
        <f>IF($A403="","",IF($C403=0,"",_xlfn.MINIFS('Daily tracking'!$A$2:$A$2001,'Daily tracking'!$D$2:$D$2001,$A403)))</f>
        <v/>
      </c>
      <c r="R403" s="6" t="str">
        <f t="shared" si="48"/>
        <v/>
      </c>
    </row>
    <row r="404" spans="1:18" x14ac:dyDescent="0.3">
      <c r="A404" s="19"/>
      <c r="B404" s="19"/>
      <c r="C404" s="15" t="str">
        <f>IF($A404="","",COUNTIF('Daily tracking'!$D$2:$D$2001,$A404))</f>
        <v/>
      </c>
      <c r="D404" s="16" t="str">
        <f>IF($A404="","",SUMIF('Daily tracking'!$D$2:$D$2001,$A404,'Daily tracking'!$G$2:$G$2001))</f>
        <v/>
      </c>
      <c r="E404" s="18" t="str">
        <f>IF($A404="","",IF($C404=0,"",_xlfn.MAXIFS('Daily tracking'!$A$2:$A$2001,'Daily tracking'!$D$2:$D$2001,$A404)))</f>
        <v/>
      </c>
      <c r="F404" s="6" t="str">
        <f t="shared" ca="1" si="42"/>
        <v/>
      </c>
      <c r="G404" s="3" t="str">
        <f t="shared" si="43"/>
        <v/>
      </c>
      <c r="H404" s="9" t="str">
        <f t="shared" si="44"/>
        <v/>
      </c>
      <c r="I404" s="20"/>
      <c r="J404" s="20"/>
      <c r="K404" s="19"/>
      <c r="L404" s="19"/>
      <c r="M404" s="19"/>
      <c r="N404" s="15" t="str">
        <f t="shared" si="45"/>
        <v/>
      </c>
      <c r="O404" s="3" t="str">
        <f t="shared" si="46"/>
        <v/>
      </c>
      <c r="P404" s="6" t="str">
        <f t="shared" ca="1" si="47"/>
        <v/>
      </c>
      <c r="Q404" s="21" t="str">
        <f>IF($A404="","",IF($C404=0,"",_xlfn.MINIFS('Daily tracking'!$A$2:$A$2001,'Daily tracking'!$D$2:$D$2001,$A404)))</f>
        <v/>
      </c>
      <c r="R404" s="6" t="str">
        <f t="shared" si="48"/>
        <v/>
      </c>
    </row>
    <row r="405" spans="1:18" x14ac:dyDescent="0.3">
      <c r="A405" s="19"/>
      <c r="B405" s="19"/>
      <c r="C405" s="15" t="str">
        <f>IF($A405="","",COUNTIF('Daily tracking'!$D$2:$D$2001,$A405))</f>
        <v/>
      </c>
      <c r="D405" s="16" t="str">
        <f>IF($A405="","",SUMIF('Daily tracking'!$D$2:$D$2001,$A405,'Daily tracking'!$G$2:$G$2001))</f>
        <v/>
      </c>
      <c r="E405" s="18" t="str">
        <f>IF($A405="","",IF($C405=0,"",_xlfn.MAXIFS('Daily tracking'!$A$2:$A$2001,'Daily tracking'!$D$2:$D$2001,$A405)))</f>
        <v/>
      </c>
      <c r="F405" s="6" t="str">
        <f t="shared" ca="1" si="42"/>
        <v/>
      </c>
      <c r="G405" s="3" t="str">
        <f t="shared" si="43"/>
        <v/>
      </c>
      <c r="H405" s="9" t="str">
        <f t="shared" si="44"/>
        <v/>
      </c>
      <c r="I405" s="20"/>
      <c r="J405" s="20"/>
      <c r="K405" s="19"/>
      <c r="L405" s="19"/>
      <c r="M405" s="19"/>
      <c r="N405" s="15" t="str">
        <f t="shared" si="45"/>
        <v/>
      </c>
      <c r="O405" s="3" t="str">
        <f t="shared" si="46"/>
        <v/>
      </c>
      <c r="P405" s="6" t="str">
        <f t="shared" ca="1" si="47"/>
        <v/>
      </c>
      <c r="Q405" s="21" t="str">
        <f>IF($A405="","",IF($C405=0,"",_xlfn.MINIFS('Daily tracking'!$A$2:$A$2001,'Daily tracking'!$D$2:$D$2001,$A405)))</f>
        <v/>
      </c>
      <c r="R405" s="6" t="str">
        <f t="shared" si="48"/>
        <v/>
      </c>
    </row>
    <row r="406" spans="1:18" x14ac:dyDescent="0.3">
      <c r="A406" s="19"/>
      <c r="B406" s="19"/>
      <c r="C406" s="15" t="str">
        <f>IF($A406="","",COUNTIF('Daily tracking'!$D$2:$D$2001,$A406))</f>
        <v/>
      </c>
      <c r="D406" s="16" t="str">
        <f>IF($A406="","",SUMIF('Daily tracking'!$D$2:$D$2001,$A406,'Daily tracking'!$G$2:$G$2001))</f>
        <v/>
      </c>
      <c r="E406" s="18" t="str">
        <f>IF($A406="","",IF($C406=0,"",_xlfn.MAXIFS('Daily tracking'!$A$2:$A$2001,'Daily tracking'!$D$2:$D$2001,$A406)))</f>
        <v/>
      </c>
      <c r="F406" s="6" t="str">
        <f t="shared" ca="1" si="42"/>
        <v/>
      </c>
      <c r="G406" s="3" t="str">
        <f t="shared" si="43"/>
        <v/>
      </c>
      <c r="H406" s="9" t="str">
        <f t="shared" si="44"/>
        <v/>
      </c>
      <c r="I406" s="20"/>
      <c r="J406" s="20"/>
      <c r="K406" s="19"/>
      <c r="L406" s="19"/>
      <c r="M406" s="19"/>
      <c r="N406" s="15" t="str">
        <f t="shared" si="45"/>
        <v/>
      </c>
      <c r="O406" s="3" t="str">
        <f t="shared" si="46"/>
        <v/>
      </c>
      <c r="P406" s="6" t="str">
        <f t="shared" ca="1" si="47"/>
        <v/>
      </c>
      <c r="Q406" s="21" t="str">
        <f>IF($A406="","",IF($C406=0,"",_xlfn.MINIFS('Daily tracking'!$A$2:$A$2001,'Daily tracking'!$D$2:$D$2001,$A406)))</f>
        <v/>
      </c>
      <c r="R406" s="6" t="str">
        <f t="shared" si="48"/>
        <v/>
      </c>
    </row>
    <row r="407" spans="1:18" x14ac:dyDescent="0.3">
      <c r="A407" s="19"/>
      <c r="B407" s="19"/>
      <c r="C407" s="15" t="str">
        <f>IF($A407="","",COUNTIF('Daily tracking'!$D$2:$D$2001,$A407))</f>
        <v/>
      </c>
      <c r="D407" s="16" t="str">
        <f>IF($A407="","",SUMIF('Daily tracking'!$D$2:$D$2001,$A407,'Daily tracking'!$G$2:$G$2001))</f>
        <v/>
      </c>
      <c r="E407" s="18" t="str">
        <f>IF($A407="","",IF($C407=0,"",_xlfn.MAXIFS('Daily tracking'!$A$2:$A$2001,'Daily tracking'!$D$2:$D$2001,$A407)))</f>
        <v/>
      </c>
      <c r="F407" s="6" t="str">
        <f t="shared" ca="1" si="42"/>
        <v/>
      </c>
      <c r="G407" s="3" t="str">
        <f t="shared" si="43"/>
        <v/>
      </c>
      <c r="H407" s="9" t="str">
        <f t="shared" si="44"/>
        <v/>
      </c>
      <c r="I407" s="20"/>
      <c r="J407" s="20"/>
      <c r="K407" s="19"/>
      <c r="L407" s="19"/>
      <c r="M407" s="19"/>
      <c r="N407" s="15" t="str">
        <f t="shared" si="45"/>
        <v/>
      </c>
      <c r="O407" s="3" t="str">
        <f t="shared" si="46"/>
        <v/>
      </c>
      <c r="P407" s="6" t="str">
        <f t="shared" ca="1" si="47"/>
        <v/>
      </c>
      <c r="Q407" s="21" t="str">
        <f>IF($A407="","",IF($C407=0,"",_xlfn.MINIFS('Daily tracking'!$A$2:$A$2001,'Daily tracking'!$D$2:$D$2001,$A407)))</f>
        <v/>
      </c>
      <c r="R407" s="6" t="str">
        <f t="shared" si="48"/>
        <v/>
      </c>
    </row>
    <row r="408" spans="1:18" x14ac:dyDescent="0.3">
      <c r="A408" s="19"/>
      <c r="B408" s="19"/>
      <c r="C408" s="15" t="str">
        <f>IF($A408="","",COUNTIF('Daily tracking'!$D$2:$D$2001,$A408))</f>
        <v/>
      </c>
      <c r="D408" s="16" t="str">
        <f>IF($A408="","",SUMIF('Daily tracking'!$D$2:$D$2001,$A408,'Daily tracking'!$G$2:$G$2001))</f>
        <v/>
      </c>
      <c r="E408" s="18" t="str">
        <f>IF($A408="","",IF($C408=0,"",_xlfn.MAXIFS('Daily tracking'!$A$2:$A$2001,'Daily tracking'!$D$2:$D$2001,$A408)))</f>
        <v/>
      </c>
      <c r="F408" s="6" t="str">
        <f t="shared" ca="1" si="42"/>
        <v/>
      </c>
      <c r="G408" s="3" t="str">
        <f t="shared" si="43"/>
        <v/>
      </c>
      <c r="H408" s="9" t="str">
        <f t="shared" si="44"/>
        <v/>
      </c>
      <c r="I408" s="20"/>
      <c r="J408" s="20"/>
      <c r="K408" s="19"/>
      <c r="L408" s="19"/>
      <c r="M408" s="19"/>
      <c r="N408" s="15" t="str">
        <f t="shared" si="45"/>
        <v/>
      </c>
      <c r="O408" s="3" t="str">
        <f t="shared" si="46"/>
        <v/>
      </c>
      <c r="P408" s="6" t="str">
        <f t="shared" ca="1" si="47"/>
        <v/>
      </c>
      <c r="Q408" s="21" t="str">
        <f>IF($A408="","",IF($C408=0,"",_xlfn.MINIFS('Daily tracking'!$A$2:$A$2001,'Daily tracking'!$D$2:$D$2001,$A408)))</f>
        <v/>
      </c>
      <c r="R408" s="6" t="str">
        <f t="shared" si="48"/>
        <v/>
      </c>
    </row>
    <row r="409" spans="1:18" x14ac:dyDescent="0.3">
      <c r="A409" s="19"/>
      <c r="B409" s="19"/>
      <c r="C409" s="15" t="str">
        <f>IF($A409="","",COUNTIF('Daily tracking'!$D$2:$D$2001,$A409))</f>
        <v/>
      </c>
      <c r="D409" s="16" t="str">
        <f>IF($A409="","",SUMIF('Daily tracking'!$D$2:$D$2001,$A409,'Daily tracking'!$G$2:$G$2001))</f>
        <v/>
      </c>
      <c r="E409" s="18" t="str">
        <f>IF($A409="","",IF($C409=0,"",_xlfn.MAXIFS('Daily tracking'!$A$2:$A$2001,'Daily tracking'!$D$2:$D$2001,$A409)))</f>
        <v/>
      </c>
      <c r="F409" s="6" t="str">
        <f t="shared" ca="1" si="42"/>
        <v/>
      </c>
      <c r="G409" s="3" t="str">
        <f t="shared" si="43"/>
        <v/>
      </c>
      <c r="H409" s="9" t="str">
        <f t="shared" si="44"/>
        <v/>
      </c>
      <c r="I409" s="20"/>
      <c r="J409" s="20"/>
      <c r="K409" s="19"/>
      <c r="L409" s="19"/>
      <c r="M409" s="19"/>
      <c r="N409" s="15" t="str">
        <f t="shared" si="45"/>
        <v/>
      </c>
      <c r="O409" s="3" t="str">
        <f t="shared" si="46"/>
        <v/>
      </c>
      <c r="P409" s="6" t="str">
        <f t="shared" ca="1" si="47"/>
        <v/>
      </c>
      <c r="Q409" s="21" t="str">
        <f>IF($A409="","",IF($C409=0,"",_xlfn.MINIFS('Daily tracking'!$A$2:$A$2001,'Daily tracking'!$D$2:$D$2001,$A409)))</f>
        <v/>
      </c>
      <c r="R409" s="6" t="str">
        <f t="shared" si="48"/>
        <v/>
      </c>
    </row>
    <row r="410" spans="1:18" x14ac:dyDescent="0.3">
      <c r="A410" s="19"/>
      <c r="B410" s="19"/>
      <c r="C410" s="15" t="str">
        <f>IF($A410="","",COUNTIF('Daily tracking'!$D$2:$D$2001,$A410))</f>
        <v/>
      </c>
      <c r="D410" s="16" t="str">
        <f>IF($A410="","",SUMIF('Daily tracking'!$D$2:$D$2001,$A410,'Daily tracking'!$G$2:$G$2001))</f>
        <v/>
      </c>
      <c r="E410" s="18" t="str">
        <f>IF($A410="","",IF($C410=0,"",_xlfn.MAXIFS('Daily tracking'!$A$2:$A$2001,'Daily tracking'!$D$2:$D$2001,$A410)))</f>
        <v/>
      </c>
      <c r="F410" s="6" t="str">
        <f t="shared" ca="1" si="42"/>
        <v/>
      </c>
      <c r="G410" s="3" t="str">
        <f t="shared" si="43"/>
        <v/>
      </c>
      <c r="H410" s="9" t="str">
        <f t="shared" si="44"/>
        <v/>
      </c>
      <c r="I410" s="20"/>
      <c r="J410" s="20"/>
      <c r="K410" s="19"/>
      <c r="L410" s="19"/>
      <c r="M410" s="19"/>
      <c r="N410" s="15" t="str">
        <f t="shared" si="45"/>
        <v/>
      </c>
      <c r="O410" s="3" t="str">
        <f t="shared" si="46"/>
        <v/>
      </c>
      <c r="P410" s="6" t="str">
        <f t="shared" ca="1" si="47"/>
        <v/>
      </c>
      <c r="Q410" s="21" t="str">
        <f>IF($A410="","",IF($C410=0,"",_xlfn.MINIFS('Daily tracking'!$A$2:$A$2001,'Daily tracking'!$D$2:$D$2001,$A410)))</f>
        <v/>
      </c>
      <c r="R410" s="6" t="str">
        <f t="shared" si="48"/>
        <v/>
      </c>
    </row>
    <row r="411" spans="1:18" x14ac:dyDescent="0.3">
      <c r="A411" s="19"/>
      <c r="B411" s="19"/>
      <c r="C411" s="15" t="str">
        <f>IF($A411="","",COUNTIF('Daily tracking'!$D$2:$D$2001,$A411))</f>
        <v/>
      </c>
      <c r="D411" s="16" t="str">
        <f>IF($A411="","",SUMIF('Daily tracking'!$D$2:$D$2001,$A411,'Daily tracking'!$G$2:$G$2001))</f>
        <v/>
      </c>
      <c r="E411" s="18" t="str">
        <f>IF($A411="","",IF($C411=0,"",_xlfn.MAXIFS('Daily tracking'!$A$2:$A$2001,'Daily tracking'!$D$2:$D$2001,$A411)))</f>
        <v/>
      </c>
      <c r="F411" s="6" t="str">
        <f t="shared" ca="1" si="42"/>
        <v/>
      </c>
      <c r="G411" s="3" t="str">
        <f t="shared" si="43"/>
        <v/>
      </c>
      <c r="H411" s="9" t="str">
        <f t="shared" si="44"/>
        <v/>
      </c>
      <c r="I411" s="20"/>
      <c r="J411" s="20"/>
      <c r="K411" s="19"/>
      <c r="L411" s="19"/>
      <c r="M411" s="19"/>
      <c r="N411" s="15" t="str">
        <f t="shared" si="45"/>
        <v/>
      </c>
      <c r="O411" s="3" t="str">
        <f t="shared" si="46"/>
        <v/>
      </c>
      <c r="P411" s="6" t="str">
        <f t="shared" ca="1" si="47"/>
        <v/>
      </c>
      <c r="Q411" s="21" t="str">
        <f>IF($A411="","",IF($C411=0,"",_xlfn.MINIFS('Daily tracking'!$A$2:$A$2001,'Daily tracking'!$D$2:$D$2001,$A411)))</f>
        <v/>
      </c>
      <c r="R411" s="6" t="str">
        <f t="shared" si="48"/>
        <v/>
      </c>
    </row>
    <row r="412" spans="1:18" x14ac:dyDescent="0.3">
      <c r="A412" s="19"/>
      <c r="B412" s="19"/>
      <c r="C412" s="15" t="str">
        <f>IF($A412="","",COUNTIF('Daily tracking'!$D$2:$D$2001,$A412))</f>
        <v/>
      </c>
      <c r="D412" s="16" t="str">
        <f>IF($A412="","",SUMIF('Daily tracking'!$D$2:$D$2001,$A412,'Daily tracking'!$G$2:$G$2001))</f>
        <v/>
      </c>
      <c r="E412" s="18" t="str">
        <f>IF($A412="","",IF($C412=0,"",_xlfn.MAXIFS('Daily tracking'!$A$2:$A$2001,'Daily tracking'!$D$2:$D$2001,$A412)))</f>
        <v/>
      </c>
      <c r="F412" s="6" t="str">
        <f t="shared" ca="1" si="42"/>
        <v/>
      </c>
      <c r="G412" s="3" t="str">
        <f t="shared" si="43"/>
        <v/>
      </c>
      <c r="H412" s="9" t="str">
        <f t="shared" si="44"/>
        <v/>
      </c>
      <c r="I412" s="20"/>
      <c r="J412" s="20"/>
      <c r="K412" s="19"/>
      <c r="L412" s="19"/>
      <c r="M412" s="19"/>
      <c r="N412" s="15" t="str">
        <f t="shared" si="45"/>
        <v/>
      </c>
      <c r="O412" s="3" t="str">
        <f t="shared" si="46"/>
        <v/>
      </c>
      <c r="P412" s="6" t="str">
        <f t="shared" ca="1" si="47"/>
        <v/>
      </c>
      <c r="Q412" s="21" t="str">
        <f>IF($A412="","",IF($C412=0,"",_xlfn.MINIFS('Daily tracking'!$A$2:$A$2001,'Daily tracking'!$D$2:$D$2001,$A412)))</f>
        <v/>
      </c>
      <c r="R412" s="6" t="str">
        <f t="shared" si="48"/>
        <v/>
      </c>
    </row>
    <row r="413" spans="1:18" x14ac:dyDescent="0.3">
      <c r="A413" s="19"/>
      <c r="B413" s="19"/>
      <c r="C413" s="15" t="str">
        <f>IF($A413="","",COUNTIF('Daily tracking'!$D$2:$D$2001,$A413))</f>
        <v/>
      </c>
      <c r="D413" s="16" t="str">
        <f>IF($A413="","",SUMIF('Daily tracking'!$D$2:$D$2001,$A413,'Daily tracking'!$G$2:$G$2001))</f>
        <v/>
      </c>
      <c r="E413" s="18" t="str">
        <f>IF($A413="","",IF($C413=0,"",_xlfn.MAXIFS('Daily tracking'!$A$2:$A$2001,'Daily tracking'!$D$2:$D$2001,$A413)))</f>
        <v/>
      </c>
      <c r="F413" s="6" t="str">
        <f t="shared" ca="1" si="42"/>
        <v/>
      </c>
      <c r="G413" s="3" t="str">
        <f t="shared" si="43"/>
        <v/>
      </c>
      <c r="H413" s="9" t="str">
        <f t="shared" si="44"/>
        <v/>
      </c>
      <c r="I413" s="20"/>
      <c r="J413" s="20"/>
      <c r="K413" s="19"/>
      <c r="L413" s="19"/>
      <c r="M413" s="19"/>
      <c r="N413" s="15" t="str">
        <f t="shared" si="45"/>
        <v/>
      </c>
      <c r="O413" s="3" t="str">
        <f t="shared" si="46"/>
        <v/>
      </c>
      <c r="P413" s="6" t="str">
        <f t="shared" ca="1" si="47"/>
        <v/>
      </c>
      <c r="Q413" s="21" t="str">
        <f>IF($A413="","",IF($C413=0,"",_xlfn.MINIFS('Daily tracking'!$A$2:$A$2001,'Daily tracking'!$D$2:$D$2001,$A413)))</f>
        <v/>
      </c>
      <c r="R413" s="6" t="str">
        <f t="shared" si="48"/>
        <v/>
      </c>
    </row>
    <row r="414" spans="1:18" x14ac:dyDescent="0.3">
      <c r="A414" s="19"/>
      <c r="B414" s="19"/>
      <c r="C414" s="15" t="str">
        <f>IF($A414="","",COUNTIF('Daily tracking'!$D$2:$D$2001,$A414))</f>
        <v/>
      </c>
      <c r="D414" s="16" t="str">
        <f>IF($A414="","",SUMIF('Daily tracking'!$D$2:$D$2001,$A414,'Daily tracking'!$G$2:$G$2001))</f>
        <v/>
      </c>
      <c r="E414" s="18" t="str">
        <f>IF($A414="","",IF($C414=0,"",_xlfn.MAXIFS('Daily tracking'!$A$2:$A$2001,'Daily tracking'!$D$2:$D$2001,$A414)))</f>
        <v/>
      </c>
      <c r="F414" s="6" t="str">
        <f t="shared" ca="1" si="42"/>
        <v/>
      </c>
      <c r="G414" s="3" t="str">
        <f t="shared" si="43"/>
        <v/>
      </c>
      <c r="H414" s="9" t="str">
        <f t="shared" si="44"/>
        <v/>
      </c>
      <c r="I414" s="20"/>
      <c r="J414" s="20"/>
      <c r="K414" s="19"/>
      <c r="L414" s="19"/>
      <c r="M414" s="19"/>
      <c r="N414" s="15" t="str">
        <f t="shared" si="45"/>
        <v/>
      </c>
      <c r="O414" s="3" t="str">
        <f t="shared" si="46"/>
        <v/>
      </c>
      <c r="P414" s="6" t="str">
        <f t="shared" ca="1" si="47"/>
        <v/>
      </c>
      <c r="Q414" s="21" t="str">
        <f>IF($A414="","",IF($C414=0,"",_xlfn.MINIFS('Daily tracking'!$A$2:$A$2001,'Daily tracking'!$D$2:$D$2001,$A414)))</f>
        <v/>
      </c>
      <c r="R414" s="6" t="str">
        <f t="shared" si="48"/>
        <v/>
      </c>
    </row>
    <row r="415" spans="1:18" x14ac:dyDescent="0.3">
      <c r="A415" s="19"/>
      <c r="B415" s="19"/>
      <c r="C415" s="15" t="str">
        <f>IF($A415="","",COUNTIF('Daily tracking'!$D$2:$D$2001,$A415))</f>
        <v/>
      </c>
      <c r="D415" s="16" t="str">
        <f>IF($A415="","",SUMIF('Daily tracking'!$D$2:$D$2001,$A415,'Daily tracking'!$G$2:$G$2001))</f>
        <v/>
      </c>
      <c r="E415" s="18" t="str">
        <f>IF($A415="","",IF($C415=0,"",_xlfn.MAXIFS('Daily tracking'!$A$2:$A$2001,'Daily tracking'!$D$2:$D$2001,$A415)))</f>
        <v/>
      </c>
      <c r="F415" s="6" t="str">
        <f t="shared" ca="1" si="42"/>
        <v/>
      </c>
      <c r="G415" s="3" t="str">
        <f t="shared" si="43"/>
        <v/>
      </c>
      <c r="H415" s="9" t="str">
        <f t="shared" si="44"/>
        <v/>
      </c>
      <c r="I415" s="20"/>
      <c r="J415" s="20"/>
      <c r="K415" s="19"/>
      <c r="L415" s="19"/>
      <c r="M415" s="19"/>
      <c r="N415" s="15" t="str">
        <f t="shared" si="45"/>
        <v/>
      </c>
      <c r="O415" s="3" t="str">
        <f t="shared" si="46"/>
        <v/>
      </c>
      <c r="P415" s="6" t="str">
        <f t="shared" ca="1" si="47"/>
        <v/>
      </c>
      <c r="Q415" s="21" t="str">
        <f>IF($A415="","",IF($C415=0,"",_xlfn.MINIFS('Daily tracking'!$A$2:$A$2001,'Daily tracking'!$D$2:$D$2001,$A415)))</f>
        <v/>
      </c>
      <c r="R415" s="6" t="str">
        <f t="shared" si="48"/>
        <v/>
      </c>
    </row>
    <row r="416" spans="1:18" x14ac:dyDescent="0.3">
      <c r="A416" s="19"/>
      <c r="B416" s="19"/>
      <c r="C416" s="15" t="str">
        <f>IF($A416="","",COUNTIF('Daily tracking'!$D$2:$D$2001,$A416))</f>
        <v/>
      </c>
      <c r="D416" s="16" t="str">
        <f>IF($A416="","",SUMIF('Daily tracking'!$D$2:$D$2001,$A416,'Daily tracking'!$G$2:$G$2001))</f>
        <v/>
      </c>
      <c r="E416" s="18" t="str">
        <f>IF($A416="","",IF($C416=0,"",_xlfn.MAXIFS('Daily tracking'!$A$2:$A$2001,'Daily tracking'!$D$2:$D$2001,$A416)))</f>
        <v/>
      </c>
      <c r="F416" s="6" t="str">
        <f t="shared" ca="1" si="42"/>
        <v/>
      </c>
      <c r="G416" s="3" t="str">
        <f t="shared" si="43"/>
        <v/>
      </c>
      <c r="H416" s="9" t="str">
        <f t="shared" si="44"/>
        <v/>
      </c>
      <c r="I416" s="20"/>
      <c r="J416" s="20"/>
      <c r="K416" s="19"/>
      <c r="L416" s="19"/>
      <c r="M416" s="19"/>
      <c r="N416" s="15" t="str">
        <f t="shared" si="45"/>
        <v/>
      </c>
      <c r="O416" s="3" t="str">
        <f t="shared" si="46"/>
        <v/>
      </c>
      <c r="P416" s="6" t="str">
        <f t="shared" ca="1" si="47"/>
        <v/>
      </c>
      <c r="Q416" s="21" t="str">
        <f>IF($A416="","",IF($C416=0,"",_xlfn.MINIFS('Daily tracking'!$A$2:$A$2001,'Daily tracking'!$D$2:$D$2001,$A416)))</f>
        <v/>
      </c>
      <c r="R416" s="6" t="str">
        <f t="shared" si="48"/>
        <v/>
      </c>
    </row>
    <row r="417" spans="1:18" x14ac:dyDescent="0.3">
      <c r="A417" s="19"/>
      <c r="B417" s="19"/>
      <c r="C417" s="15" t="str">
        <f>IF($A417="","",COUNTIF('Daily tracking'!$D$2:$D$2001,$A417))</f>
        <v/>
      </c>
      <c r="D417" s="16" t="str">
        <f>IF($A417="","",SUMIF('Daily tracking'!$D$2:$D$2001,$A417,'Daily tracking'!$G$2:$G$2001))</f>
        <v/>
      </c>
      <c r="E417" s="18" t="str">
        <f>IF($A417="","",IF($C417=0,"",_xlfn.MAXIFS('Daily tracking'!$A$2:$A$2001,'Daily tracking'!$D$2:$D$2001,$A417)))</f>
        <v/>
      </c>
      <c r="F417" s="6" t="str">
        <f t="shared" ca="1" si="42"/>
        <v/>
      </c>
      <c r="G417" s="3" t="str">
        <f t="shared" si="43"/>
        <v/>
      </c>
      <c r="H417" s="9" t="str">
        <f t="shared" si="44"/>
        <v/>
      </c>
      <c r="I417" s="20"/>
      <c r="J417" s="20"/>
      <c r="K417" s="19"/>
      <c r="L417" s="19"/>
      <c r="M417" s="19"/>
      <c r="N417" s="15" t="str">
        <f t="shared" si="45"/>
        <v/>
      </c>
      <c r="O417" s="3" t="str">
        <f t="shared" si="46"/>
        <v/>
      </c>
      <c r="P417" s="6" t="str">
        <f t="shared" ca="1" si="47"/>
        <v/>
      </c>
      <c r="Q417" s="21" t="str">
        <f>IF($A417="","",IF($C417=0,"",_xlfn.MINIFS('Daily tracking'!$A$2:$A$2001,'Daily tracking'!$D$2:$D$2001,$A417)))</f>
        <v/>
      </c>
      <c r="R417" s="6" t="str">
        <f t="shared" si="48"/>
        <v/>
      </c>
    </row>
    <row r="418" spans="1:18" x14ac:dyDescent="0.3">
      <c r="A418" s="19"/>
      <c r="B418" s="19"/>
      <c r="C418" s="15" t="str">
        <f>IF($A418="","",COUNTIF('Daily tracking'!$D$2:$D$2001,$A418))</f>
        <v/>
      </c>
      <c r="D418" s="16" t="str">
        <f>IF($A418="","",SUMIF('Daily tracking'!$D$2:$D$2001,$A418,'Daily tracking'!$G$2:$G$2001))</f>
        <v/>
      </c>
      <c r="E418" s="18" t="str">
        <f>IF($A418="","",IF($C418=0,"",_xlfn.MAXIFS('Daily tracking'!$A$2:$A$2001,'Daily tracking'!$D$2:$D$2001,$A418)))</f>
        <v/>
      </c>
      <c r="F418" s="6" t="str">
        <f t="shared" ca="1" si="42"/>
        <v/>
      </c>
      <c r="G418" s="3" t="str">
        <f t="shared" si="43"/>
        <v/>
      </c>
      <c r="H418" s="9" t="str">
        <f t="shared" si="44"/>
        <v/>
      </c>
      <c r="I418" s="20"/>
      <c r="J418" s="20"/>
      <c r="K418" s="19"/>
      <c r="L418" s="19"/>
      <c r="M418" s="19"/>
      <c r="N418" s="15" t="str">
        <f t="shared" si="45"/>
        <v/>
      </c>
      <c r="O418" s="3" t="str">
        <f t="shared" si="46"/>
        <v/>
      </c>
      <c r="P418" s="6" t="str">
        <f t="shared" ca="1" si="47"/>
        <v/>
      </c>
      <c r="Q418" s="21" t="str">
        <f>IF($A418="","",IF($C418=0,"",_xlfn.MINIFS('Daily tracking'!$A$2:$A$2001,'Daily tracking'!$D$2:$D$2001,$A418)))</f>
        <v/>
      </c>
      <c r="R418" s="6" t="str">
        <f t="shared" si="48"/>
        <v/>
      </c>
    </row>
    <row r="419" spans="1:18" x14ac:dyDescent="0.3">
      <c r="A419" s="19"/>
      <c r="B419" s="19"/>
      <c r="C419" s="15" t="str">
        <f>IF($A419="","",COUNTIF('Daily tracking'!$D$2:$D$2001,$A419))</f>
        <v/>
      </c>
      <c r="D419" s="16" t="str">
        <f>IF($A419="","",SUMIF('Daily tracking'!$D$2:$D$2001,$A419,'Daily tracking'!$G$2:$G$2001))</f>
        <v/>
      </c>
      <c r="E419" s="18" t="str">
        <f>IF($A419="","",IF($C419=0,"",_xlfn.MAXIFS('Daily tracking'!$A$2:$A$2001,'Daily tracking'!$D$2:$D$2001,$A419)))</f>
        <v/>
      </c>
      <c r="F419" s="6" t="str">
        <f t="shared" ca="1" si="42"/>
        <v/>
      </c>
      <c r="G419" s="3" t="str">
        <f t="shared" si="43"/>
        <v/>
      </c>
      <c r="H419" s="9" t="str">
        <f t="shared" si="44"/>
        <v/>
      </c>
      <c r="I419" s="20"/>
      <c r="J419" s="20"/>
      <c r="K419" s="19"/>
      <c r="L419" s="19"/>
      <c r="M419" s="19"/>
      <c r="N419" s="15" t="str">
        <f t="shared" si="45"/>
        <v/>
      </c>
      <c r="O419" s="3" t="str">
        <f t="shared" si="46"/>
        <v/>
      </c>
      <c r="P419" s="6" t="str">
        <f t="shared" ca="1" si="47"/>
        <v/>
      </c>
      <c r="Q419" s="21" t="str">
        <f>IF($A419="","",IF($C419=0,"",_xlfn.MINIFS('Daily tracking'!$A$2:$A$2001,'Daily tracking'!$D$2:$D$2001,$A419)))</f>
        <v/>
      </c>
      <c r="R419" s="6" t="str">
        <f t="shared" si="48"/>
        <v/>
      </c>
    </row>
    <row r="420" spans="1:18" x14ac:dyDescent="0.3">
      <c r="A420" s="19"/>
      <c r="B420" s="19"/>
      <c r="C420" s="15" t="str">
        <f>IF($A420="","",COUNTIF('Daily tracking'!$D$2:$D$2001,$A420))</f>
        <v/>
      </c>
      <c r="D420" s="16" t="str">
        <f>IF($A420="","",SUMIF('Daily tracking'!$D$2:$D$2001,$A420,'Daily tracking'!$G$2:$G$2001))</f>
        <v/>
      </c>
      <c r="E420" s="18" t="str">
        <f>IF($A420="","",IF($C420=0,"",_xlfn.MAXIFS('Daily tracking'!$A$2:$A$2001,'Daily tracking'!$D$2:$D$2001,$A420)))</f>
        <v/>
      </c>
      <c r="F420" s="6" t="str">
        <f t="shared" ca="1" si="42"/>
        <v/>
      </c>
      <c r="G420" s="3" t="str">
        <f t="shared" si="43"/>
        <v/>
      </c>
      <c r="H420" s="9" t="str">
        <f t="shared" si="44"/>
        <v/>
      </c>
      <c r="I420" s="20"/>
      <c r="J420" s="20"/>
      <c r="K420" s="19"/>
      <c r="L420" s="19"/>
      <c r="M420" s="19"/>
      <c r="N420" s="15" t="str">
        <f t="shared" si="45"/>
        <v/>
      </c>
      <c r="O420" s="3" t="str">
        <f t="shared" si="46"/>
        <v/>
      </c>
      <c r="P420" s="6" t="str">
        <f t="shared" ca="1" si="47"/>
        <v/>
      </c>
      <c r="Q420" s="21" t="str">
        <f>IF($A420="","",IF($C420=0,"",_xlfn.MINIFS('Daily tracking'!$A$2:$A$2001,'Daily tracking'!$D$2:$D$2001,$A420)))</f>
        <v/>
      </c>
      <c r="R420" s="6" t="str">
        <f t="shared" si="48"/>
        <v/>
      </c>
    </row>
    <row r="421" spans="1:18" x14ac:dyDescent="0.3">
      <c r="A421" s="19"/>
      <c r="B421" s="19"/>
      <c r="C421" s="15" t="str">
        <f>IF($A421="","",COUNTIF('Daily tracking'!$D$2:$D$2001,$A421))</f>
        <v/>
      </c>
      <c r="D421" s="16" t="str">
        <f>IF($A421="","",SUMIF('Daily tracking'!$D$2:$D$2001,$A421,'Daily tracking'!$G$2:$G$2001))</f>
        <v/>
      </c>
      <c r="E421" s="18" t="str">
        <f>IF($A421="","",IF($C421=0,"",_xlfn.MAXIFS('Daily tracking'!$A$2:$A$2001,'Daily tracking'!$D$2:$D$2001,$A421)))</f>
        <v/>
      </c>
      <c r="F421" s="6" t="str">
        <f t="shared" ca="1" si="42"/>
        <v/>
      </c>
      <c r="G421" s="3" t="str">
        <f t="shared" si="43"/>
        <v/>
      </c>
      <c r="H421" s="9" t="str">
        <f t="shared" si="44"/>
        <v/>
      </c>
      <c r="I421" s="20"/>
      <c r="J421" s="20"/>
      <c r="K421" s="19"/>
      <c r="L421" s="19"/>
      <c r="M421" s="19"/>
      <c r="N421" s="15" t="str">
        <f t="shared" si="45"/>
        <v/>
      </c>
      <c r="O421" s="3" t="str">
        <f t="shared" si="46"/>
        <v/>
      </c>
      <c r="P421" s="6" t="str">
        <f t="shared" ca="1" si="47"/>
        <v/>
      </c>
      <c r="Q421" s="21" t="str">
        <f>IF($A421="","",IF($C421=0,"",_xlfn.MINIFS('Daily tracking'!$A$2:$A$2001,'Daily tracking'!$D$2:$D$2001,$A421)))</f>
        <v/>
      </c>
      <c r="R421" s="6" t="str">
        <f t="shared" si="48"/>
        <v/>
      </c>
    </row>
    <row r="422" spans="1:18" x14ac:dyDescent="0.3">
      <c r="A422" s="19"/>
      <c r="B422" s="19"/>
      <c r="C422" s="15" t="str">
        <f>IF($A422="","",COUNTIF('Daily tracking'!$D$2:$D$2001,$A422))</f>
        <v/>
      </c>
      <c r="D422" s="16" t="str">
        <f>IF($A422="","",SUMIF('Daily tracking'!$D$2:$D$2001,$A422,'Daily tracking'!$G$2:$G$2001))</f>
        <v/>
      </c>
      <c r="E422" s="18" t="str">
        <f>IF($A422="","",IF($C422=0,"",_xlfn.MAXIFS('Daily tracking'!$A$2:$A$2001,'Daily tracking'!$D$2:$D$2001,$A422)))</f>
        <v/>
      </c>
      <c r="F422" s="6" t="str">
        <f t="shared" ca="1" si="42"/>
        <v/>
      </c>
      <c r="G422" s="3" t="str">
        <f t="shared" si="43"/>
        <v/>
      </c>
      <c r="H422" s="9" t="str">
        <f t="shared" si="44"/>
        <v/>
      </c>
      <c r="I422" s="20"/>
      <c r="J422" s="20"/>
      <c r="K422" s="19"/>
      <c r="L422" s="19"/>
      <c r="M422" s="19"/>
      <c r="N422" s="15" t="str">
        <f t="shared" si="45"/>
        <v/>
      </c>
      <c r="O422" s="3" t="str">
        <f t="shared" si="46"/>
        <v/>
      </c>
      <c r="P422" s="6" t="str">
        <f t="shared" ca="1" si="47"/>
        <v/>
      </c>
      <c r="Q422" s="21" t="str">
        <f>IF($A422="","",IF($C422=0,"",_xlfn.MINIFS('Daily tracking'!$A$2:$A$2001,'Daily tracking'!$D$2:$D$2001,$A422)))</f>
        <v/>
      </c>
      <c r="R422" s="6" t="str">
        <f t="shared" si="48"/>
        <v/>
      </c>
    </row>
    <row r="423" spans="1:18" x14ac:dyDescent="0.3">
      <c r="A423" s="19"/>
      <c r="B423" s="19"/>
      <c r="C423" s="15" t="str">
        <f>IF($A423="","",COUNTIF('Daily tracking'!$D$2:$D$2001,$A423))</f>
        <v/>
      </c>
      <c r="D423" s="16" t="str">
        <f>IF($A423="","",SUMIF('Daily tracking'!$D$2:$D$2001,$A423,'Daily tracking'!$G$2:$G$2001))</f>
        <v/>
      </c>
      <c r="E423" s="18" t="str">
        <f>IF($A423="","",IF($C423=0,"",_xlfn.MAXIFS('Daily tracking'!$A$2:$A$2001,'Daily tracking'!$D$2:$D$2001,$A423)))</f>
        <v/>
      </c>
      <c r="F423" s="6" t="str">
        <f t="shared" ca="1" si="42"/>
        <v/>
      </c>
      <c r="G423" s="3" t="str">
        <f t="shared" si="43"/>
        <v/>
      </c>
      <c r="H423" s="9" t="str">
        <f t="shared" si="44"/>
        <v/>
      </c>
      <c r="I423" s="20"/>
      <c r="J423" s="20"/>
      <c r="K423" s="19"/>
      <c r="L423" s="19"/>
      <c r="M423" s="19"/>
      <c r="N423" s="15" t="str">
        <f t="shared" si="45"/>
        <v/>
      </c>
      <c r="O423" s="3" t="str">
        <f t="shared" si="46"/>
        <v/>
      </c>
      <c r="P423" s="6" t="str">
        <f t="shared" ca="1" si="47"/>
        <v/>
      </c>
      <c r="Q423" s="21" t="str">
        <f>IF($A423="","",IF($C423=0,"",_xlfn.MINIFS('Daily tracking'!$A$2:$A$2001,'Daily tracking'!$D$2:$D$2001,$A423)))</f>
        <v/>
      </c>
      <c r="R423" s="6" t="str">
        <f t="shared" si="48"/>
        <v/>
      </c>
    </row>
    <row r="424" spans="1:18" x14ac:dyDescent="0.3">
      <c r="A424" s="19"/>
      <c r="B424" s="19"/>
      <c r="C424" s="15" t="str">
        <f>IF($A424="","",COUNTIF('Daily tracking'!$D$2:$D$2001,$A424))</f>
        <v/>
      </c>
      <c r="D424" s="16" t="str">
        <f>IF($A424="","",SUMIF('Daily tracking'!$D$2:$D$2001,$A424,'Daily tracking'!$G$2:$G$2001))</f>
        <v/>
      </c>
      <c r="E424" s="18" t="str">
        <f>IF($A424="","",IF($C424=0,"",_xlfn.MAXIFS('Daily tracking'!$A$2:$A$2001,'Daily tracking'!$D$2:$D$2001,$A424)))</f>
        <v/>
      </c>
      <c r="F424" s="6" t="str">
        <f t="shared" ca="1" si="42"/>
        <v/>
      </c>
      <c r="G424" s="3" t="str">
        <f t="shared" si="43"/>
        <v/>
      </c>
      <c r="H424" s="9" t="str">
        <f t="shared" si="44"/>
        <v/>
      </c>
      <c r="I424" s="20"/>
      <c r="J424" s="20"/>
      <c r="K424" s="19"/>
      <c r="L424" s="19"/>
      <c r="M424" s="19"/>
      <c r="N424" s="15" t="str">
        <f t="shared" si="45"/>
        <v/>
      </c>
      <c r="O424" s="3" t="str">
        <f t="shared" si="46"/>
        <v/>
      </c>
      <c r="P424" s="6" t="str">
        <f t="shared" ca="1" si="47"/>
        <v/>
      </c>
      <c r="Q424" s="21" t="str">
        <f>IF($A424="","",IF($C424=0,"",_xlfn.MINIFS('Daily tracking'!$A$2:$A$2001,'Daily tracking'!$D$2:$D$2001,$A424)))</f>
        <v/>
      </c>
      <c r="R424" s="6" t="str">
        <f t="shared" si="48"/>
        <v/>
      </c>
    </row>
    <row r="425" spans="1:18" x14ac:dyDescent="0.3">
      <c r="A425" s="19"/>
      <c r="B425" s="19"/>
      <c r="C425" s="15" t="str">
        <f>IF($A425="","",COUNTIF('Daily tracking'!$D$2:$D$2001,$A425))</f>
        <v/>
      </c>
      <c r="D425" s="16" t="str">
        <f>IF($A425="","",SUMIF('Daily tracking'!$D$2:$D$2001,$A425,'Daily tracking'!$G$2:$G$2001))</f>
        <v/>
      </c>
      <c r="E425" s="18" t="str">
        <f>IF($A425="","",IF($C425=0,"",_xlfn.MAXIFS('Daily tracking'!$A$2:$A$2001,'Daily tracking'!$D$2:$D$2001,$A425)))</f>
        <v/>
      </c>
      <c r="F425" s="6" t="str">
        <f t="shared" ca="1" si="42"/>
        <v/>
      </c>
      <c r="G425" s="3" t="str">
        <f t="shared" si="43"/>
        <v/>
      </c>
      <c r="H425" s="9" t="str">
        <f t="shared" si="44"/>
        <v/>
      </c>
      <c r="I425" s="20"/>
      <c r="J425" s="20"/>
      <c r="K425" s="19"/>
      <c r="L425" s="19"/>
      <c r="M425" s="19"/>
      <c r="N425" s="15" t="str">
        <f t="shared" si="45"/>
        <v/>
      </c>
      <c r="O425" s="3" t="str">
        <f t="shared" si="46"/>
        <v/>
      </c>
      <c r="P425" s="6" t="str">
        <f t="shared" ca="1" si="47"/>
        <v/>
      </c>
      <c r="Q425" s="21" t="str">
        <f>IF($A425="","",IF($C425=0,"",_xlfn.MINIFS('Daily tracking'!$A$2:$A$2001,'Daily tracking'!$D$2:$D$2001,$A425)))</f>
        <v/>
      </c>
      <c r="R425" s="6" t="str">
        <f t="shared" si="48"/>
        <v/>
      </c>
    </row>
    <row r="426" spans="1:18" x14ac:dyDescent="0.3">
      <c r="A426" s="19"/>
      <c r="B426" s="19"/>
      <c r="C426" s="15" t="str">
        <f>IF($A426="","",COUNTIF('Daily tracking'!$D$2:$D$2001,$A426))</f>
        <v/>
      </c>
      <c r="D426" s="16" t="str">
        <f>IF($A426="","",SUMIF('Daily tracking'!$D$2:$D$2001,$A426,'Daily tracking'!$G$2:$G$2001))</f>
        <v/>
      </c>
      <c r="E426" s="18" t="str">
        <f>IF($A426="","",IF($C426=0,"",_xlfn.MAXIFS('Daily tracking'!$A$2:$A$2001,'Daily tracking'!$D$2:$D$2001,$A426)))</f>
        <v/>
      </c>
      <c r="F426" s="6" t="str">
        <f t="shared" ca="1" si="42"/>
        <v/>
      </c>
      <c r="G426" s="3" t="str">
        <f t="shared" si="43"/>
        <v/>
      </c>
      <c r="H426" s="9" t="str">
        <f t="shared" si="44"/>
        <v/>
      </c>
      <c r="I426" s="20"/>
      <c r="J426" s="20"/>
      <c r="K426" s="19"/>
      <c r="L426" s="19"/>
      <c r="M426" s="19"/>
      <c r="N426" s="15" t="str">
        <f t="shared" si="45"/>
        <v/>
      </c>
      <c r="O426" s="3" t="str">
        <f t="shared" si="46"/>
        <v/>
      </c>
      <c r="P426" s="6" t="str">
        <f t="shared" ca="1" si="47"/>
        <v/>
      </c>
      <c r="Q426" s="21" t="str">
        <f>IF($A426="","",IF($C426=0,"",_xlfn.MINIFS('Daily tracking'!$A$2:$A$2001,'Daily tracking'!$D$2:$D$2001,$A426)))</f>
        <v/>
      </c>
      <c r="R426" s="6" t="str">
        <f t="shared" si="48"/>
        <v/>
      </c>
    </row>
    <row r="427" spans="1:18" x14ac:dyDescent="0.3">
      <c r="A427" s="19"/>
      <c r="B427" s="19"/>
      <c r="C427" s="15" t="str">
        <f>IF($A427="","",COUNTIF('Daily tracking'!$D$2:$D$2001,$A427))</f>
        <v/>
      </c>
      <c r="D427" s="16" t="str">
        <f>IF($A427="","",SUMIF('Daily tracking'!$D$2:$D$2001,$A427,'Daily tracking'!$G$2:$G$2001))</f>
        <v/>
      </c>
      <c r="E427" s="18" t="str">
        <f>IF($A427="","",IF($C427=0,"",_xlfn.MAXIFS('Daily tracking'!$A$2:$A$2001,'Daily tracking'!$D$2:$D$2001,$A427)))</f>
        <v/>
      </c>
      <c r="F427" s="6" t="str">
        <f t="shared" ca="1" si="42"/>
        <v/>
      </c>
      <c r="G427" s="3" t="str">
        <f t="shared" si="43"/>
        <v/>
      </c>
      <c r="H427" s="9" t="str">
        <f t="shared" si="44"/>
        <v/>
      </c>
      <c r="I427" s="20"/>
      <c r="J427" s="20"/>
      <c r="K427" s="19"/>
      <c r="L427" s="19"/>
      <c r="M427" s="19"/>
      <c r="N427" s="15" t="str">
        <f t="shared" si="45"/>
        <v/>
      </c>
      <c r="O427" s="3" t="str">
        <f t="shared" si="46"/>
        <v/>
      </c>
      <c r="P427" s="6" t="str">
        <f t="shared" ca="1" si="47"/>
        <v/>
      </c>
      <c r="Q427" s="21" t="str">
        <f>IF($A427="","",IF($C427=0,"",_xlfn.MINIFS('Daily tracking'!$A$2:$A$2001,'Daily tracking'!$D$2:$D$2001,$A427)))</f>
        <v/>
      </c>
      <c r="R427" s="6" t="str">
        <f t="shared" si="48"/>
        <v/>
      </c>
    </row>
    <row r="428" spans="1:18" x14ac:dyDescent="0.3">
      <c r="A428" s="19"/>
      <c r="B428" s="19"/>
      <c r="C428" s="15" t="str">
        <f>IF($A428="","",COUNTIF('Daily tracking'!$D$2:$D$2001,$A428))</f>
        <v/>
      </c>
      <c r="D428" s="16" t="str">
        <f>IF($A428="","",SUMIF('Daily tracking'!$D$2:$D$2001,$A428,'Daily tracking'!$G$2:$G$2001))</f>
        <v/>
      </c>
      <c r="E428" s="18" t="str">
        <f>IF($A428="","",IF($C428=0,"",_xlfn.MAXIFS('Daily tracking'!$A$2:$A$2001,'Daily tracking'!$D$2:$D$2001,$A428)))</f>
        <v/>
      </c>
      <c r="F428" s="6" t="str">
        <f t="shared" ca="1" si="42"/>
        <v/>
      </c>
      <c r="G428" s="3" t="str">
        <f t="shared" si="43"/>
        <v/>
      </c>
      <c r="H428" s="9" t="str">
        <f t="shared" si="44"/>
        <v/>
      </c>
      <c r="I428" s="20"/>
      <c r="J428" s="20"/>
      <c r="K428" s="19"/>
      <c r="L428" s="19"/>
      <c r="M428" s="19"/>
      <c r="N428" s="15" t="str">
        <f t="shared" si="45"/>
        <v/>
      </c>
      <c r="O428" s="3" t="str">
        <f t="shared" si="46"/>
        <v/>
      </c>
      <c r="P428" s="6" t="str">
        <f t="shared" ca="1" si="47"/>
        <v/>
      </c>
      <c r="Q428" s="21" t="str">
        <f>IF($A428="","",IF($C428=0,"",_xlfn.MINIFS('Daily tracking'!$A$2:$A$2001,'Daily tracking'!$D$2:$D$2001,$A428)))</f>
        <v/>
      </c>
      <c r="R428" s="6" t="str">
        <f t="shared" si="48"/>
        <v/>
      </c>
    </row>
    <row r="429" spans="1:18" x14ac:dyDescent="0.3">
      <c r="A429" s="19"/>
      <c r="B429" s="19"/>
      <c r="C429" s="15" t="str">
        <f>IF($A429="","",COUNTIF('Daily tracking'!$D$2:$D$2001,$A429))</f>
        <v/>
      </c>
      <c r="D429" s="16" t="str">
        <f>IF($A429="","",SUMIF('Daily tracking'!$D$2:$D$2001,$A429,'Daily tracking'!$G$2:$G$2001))</f>
        <v/>
      </c>
      <c r="E429" s="18" t="str">
        <f>IF($A429="","",IF($C429=0,"",_xlfn.MAXIFS('Daily tracking'!$A$2:$A$2001,'Daily tracking'!$D$2:$D$2001,$A429)))</f>
        <v/>
      </c>
      <c r="F429" s="6" t="str">
        <f t="shared" ca="1" si="42"/>
        <v/>
      </c>
      <c r="G429" s="3" t="str">
        <f t="shared" si="43"/>
        <v/>
      </c>
      <c r="H429" s="9" t="str">
        <f t="shared" si="44"/>
        <v/>
      </c>
      <c r="I429" s="20"/>
      <c r="J429" s="20"/>
      <c r="K429" s="19"/>
      <c r="L429" s="19"/>
      <c r="M429" s="19"/>
      <c r="N429" s="15" t="str">
        <f t="shared" si="45"/>
        <v/>
      </c>
      <c r="O429" s="3" t="str">
        <f t="shared" si="46"/>
        <v/>
      </c>
      <c r="P429" s="6" t="str">
        <f t="shared" ca="1" si="47"/>
        <v/>
      </c>
      <c r="Q429" s="21" t="str">
        <f>IF($A429="","",IF($C429=0,"",_xlfn.MINIFS('Daily tracking'!$A$2:$A$2001,'Daily tracking'!$D$2:$D$2001,$A429)))</f>
        <v/>
      </c>
      <c r="R429" s="6" t="str">
        <f t="shared" si="48"/>
        <v/>
      </c>
    </row>
    <row r="430" spans="1:18" x14ac:dyDescent="0.3">
      <c r="A430" s="19"/>
      <c r="B430" s="19"/>
      <c r="C430" s="15" t="str">
        <f>IF($A430="","",COUNTIF('Daily tracking'!$D$2:$D$2001,$A430))</f>
        <v/>
      </c>
      <c r="D430" s="16" t="str">
        <f>IF($A430="","",SUMIF('Daily tracking'!$D$2:$D$2001,$A430,'Daily tracking'!$G$2:$G$2001))</f>
        <v/>
      </c>
      <c r="E430" s="18" t="str">
        <f>IF($A430="","",IF($C430=0,"",_xlfn.MAXIFS('Daily tracking'!$A$2:$A$2001,'Daily tracking'!$D$2:$D$2001,$A430)))</f>
        <v/>
      </c>
      <c r="F430" s="6" t="str">
        <f t="shared" ca="1" si="42"/>
        <v/>
      </c>
      <c r="G430" s="3" t="str">
        <f t="shared" si="43"/>
        <v/>
      </c>
      <c r="H430" s="9" t="str">
        <f t="shared" si="44"/>
        <v/>
      </c>
      <c r="I430" s="20"/>
      <c r="J430" s="20"/>
      <c r="K430" s="19"/>
      <c r="L430" s="19"/>
      <c r="M430" s="19"/>
      <c r="N430" s="15" t="str">
        <f t="shared" si="45"/>
        <v/>
      </c>
      <c r="O430" s="3" t="str">
        <f t="shared" si="46"/>
        <v/>
      </c>
      <c r="P430" s="6" t="str">
        <f t="shared" ca="1" si="47"/>
        <v/>
      </c>
      <c r="Q430" s="21" t="str">
        <f>IF($A430="","",IF($C430=0,"",_xlfn.MINIFS('Daily tracking'!$A$2:$A$2001,'Daily tracking'!$D$2:$D$2001,$A430)))</f>
        <v/>
      </c>
      <c r="R430" s="6" t="str">
        <f t="shared" si="48"/>
        <v/>
      </c>
    </row>
    <row r="431" spans="1:18" x14ac:dyDescent="0.3">
      <c r="A431" s="19"/>
      <c r="B431" s="19"/>
      <c r="C431" s="15" t="str">
        <f>IF($A431="","",COUNTIF('Daily tracking'!$D$2:$D$2001,$A431))</f>
        <v/>
      </c>
      <c r="D431" s="16" t="str">
        <f>IF($A431="","",SUMIF('Daily tracking'!$D$2:$D$2001,$A431,'Daily tracking'!$G$2:$G$2001))</f>
        <v/>
      </c>
      <c r="E431" s="18" t="str">
        <f>IF($A431="","",IF($C431=0,"",_xlfn.MAXIFS('Daily tracking'!$A$2:$A$2001,'Daily tracking'!$D$2:$D$2001,$A431)))</f>
        <v/>
      </c>
      <c r="F431" s="6" t="str">
        <f t="shared" ca="1" si="42"/>
        <v/>
      </c>
      <c r="G431" s="3" t="str">
        <f t="shared" si="43"/>
        <v/>
      </c>
      <c r="H431" s="9" t="str">
        <f t="shared" si="44"/>
        <v/>
      </c>
      <c r="I431" s="20"/>
      <c r="J431" s="20"/>
      <c r="K431" s="19"/>
      <c r="L431" s="19"/>
      <c r="M431" s="19"/>
      <c r="N431" s="15" t="str">
        <f t="shared" si="45"/>
        <v/>
      </c>
      <c r="O431" s="3" t="str">
        <f t="shared" si="46"/>
        <v/>
      </c>
      <c r="P431" s="6" t="str">
        <f t="shared" ca="1" si="47"/>
        <v/>
      </c>
      <c r="Q431" s="21" t="str">
        <f>IF($A431="","",IF($C431=0,"",_xlfn.MINIFS('Daily tracking'!$A$2:$A$2001,'Daily tracking'!$D$2:$D$2001,$A431)))</f>
        <v/>
      </c>
      <c r="R431" s="6" t="str">
        <f t="shared" si="48"/>
        <v/>
      </c>
    </row>
    <row r="432" spans="1:18" x14ac:dyDescent="0.3">
      <c r="A432" s="19"/>
      <c r="B432" s="19"/>
      <c r="C432" s="15" t="str">
        <f>IF($A432="","",COUNTIF('Daily tracking'!$D$2:$D$2001,$A432))</f>
        <v/>
      </c>
      <c r="D432" s="16" t="str">
        <f>IF($A432="","",SUMIF('Daily tracking'!$D$2:$D$2001,$A432,'Daily tracking'!$G$2:$G$2001))</f>
        <v/>
      </c>
      <c r="E432" s="18" t="str">
        <f>IF($A432="","",IF($C432=0,"",_xlfn.MAXIFS('Daily tracking'!$A$2:$A$2001,'Daily tracking'!$D$2:$D$2001,$A432)))</f>
        <v/>
      </c>
      <c r="F432" s="6" t="str">
        <f t="shared" ca="1" si="42"/>
        <v/>
      </c>
      <c r="G432" s="3" t="str">
        <f t="shared" si="43"/>
        <v/>
      </c>
      <c r="H432" s="9" t="str">
        <f t="shared" si="44"/>
        <v/>
      </c>
      <c r="I432" s="20"/>
      <c r="J432" s="20"/>
      <c r="K432" s="19"/>
      <c r="L432" s="19"/>
      <c r="M432" s="19"/>
      <c r="N432" s="15" t="str">
        <f t="shared" si="45"/>
        <v/>
      </c>
      <c r="O432" s="3" t="str">
        <f t="shared" si="46"/>
        <v/>
      </c>
      <c r="P432" s="6" t="str">
        <f t="shared" ca="1" si="47"/>
        <v/>
      </c>
      <c r="Q432" s="21" t="str">
        <f>IF($A432="","",IF($C432=0,"",_xlfn.MINIFS('Daily tracking'!$A$2:$A$2001,'Daily tracking'!$D$2:$D$2001,$A432)))</f>
        <v/>
      </c>
      <c r="R432" s="6" t="str">
        <f t="shared" si="48"/>
        <v/>
      </c>
    </row>
    <row r="433" spans="1:18" x14ac:dyDescent="0.3">
      <c r="A433" s="19"/>
      <c r="B433" s="19"/>
      <c r="C433" s="15" t="str">
        <f>IF($A433="","",COUNTIF('Daily tracking'!$D$2:$D$2001,$A433))</f>
        <v/>
      </c>
      <c r="D433" s="16" t="str">
        <f>IF($A433="","",SUMIF('Daily tracking'!$D$2:$D$2001,$A433,'Daily tracking'!$G$2:$G$2001))</f>
        <v/>
      </c>
      <c r="E433" s="18" t="str">
        <f>IF($A433="","",IF($C433=0,"",_xlfn.MAXIFS('Daily tracking'!$A$2:$A$2001,'Daily tracking'!$D$2:$D$2001,$A433)))</f>
        <v/>
      </c>
      <c r="F433" s="6" t="str">
        <f t="shared" ca="1" si="42"/>
        <v/>
      </c>
      <c r="G433" s="3" t="str">
        <f t="shared" si="43"/>
        <v/>
      </c>
      <c r="H433" s="9" t="str">
        <f t="shared" si="44"/>
        <v/>
      </c>
      <c r="I433" s="20"/>
      <c r="J433" s="20"/>
      <c r="K433" s="19"/>
      <c r="L433" s="19"/>
      <c r="M433" s="19"/>
      <c r="N433" s="15" t="str">
        <f t="shared" si="45"/>
        <v/>
      </c>
      <c r="O433" s="3" t="str">
        <f t="shared" si="46"/>
        <v/>
      </c>
      <c r="P433" s="6" t="str">
        <f t="shared" ca="1" si="47"/>
        <v/>
      </c>
      <c r="Q433" s="21" t="str">
        <f>IF($A433="","",IF($C433=0,"",_xlfn.MINIFS('Daily tracking'!$A$2:$A$2001,'Daily tracking'!$D$2:$D$2001,$A433)))</f>
        <v/>
      </c>
      <c r="R433" s="6" t="str">
        <f t="shared" si="48"/>
        <v/>
      </c>
    </row>
    <row r="434" spans="1:18" x14ac:dyDescent="0.3">
      <c r="A434" s="19"/>
      <c r="B434" s="19"/>
      <c r="C434" s="15" t="str">
        <f>IF($A434="","",COUNTIF('Daily tracking'!$D$2:$D$2001,$A434))</f>
        <v/>
      </c>
      <c r="D434" s="16" t="str">
        <f>IF($A434="","",SUMIF('Daily tracking'!$D$2:$D$2001,$A434,'Daily tracking'!$G$2:$G$2001))</f>
        <v/>
      </c>
      <c r="E434" s="18" t="str">
        <f>IF($A434="","",IF($C434=0,"",_xlfn.MAXIFS('Daily tracking'!$A$2:$A$2001,'Daily tracking'!$D$2:$D$2001,$A434)))</f>
        <v/>
      </c>
      <c r="F434" s="6" t="str">
        <f t="shared" ca="1" si="42"/>
        <v/>
      </c>
      <c r="G434" s="3" t="str">
        <f t="shared" si="43"/>
        <v/>
      </c>
      <c r="H434" s="9" t="str">
        <f t="shared" si="44"/>
        <v/>
      </c>
      <c r="I434" s="20"/>
      <c r="J434" s="20"/>
      <c r="K434" s="19"/>
      <c r="L434" s="19"/>
      <c r="M434" s="19"/>
      <c r="N434" s="15" t="str">
        <f t="shared" si="45"/>
        <v/>
      </c>
      <c r="O434" s="3" t="str">
        <f t="shared" si="46"/>
        <v/>
      </c>
      <c r="P434" s="6" t="str">
        <f t="shared" ca="1" si="47"/>
        <v/>
      </c>
      <c r="Q434" s="21" t="str">
        <f>IF($A434="","",IF($C434=0,"",_xlfn.MINIFS('Daily tracking'!$A$2:$A$2001,'Daily tracking'!$D$2:$D$2001,$A434)))</f>
        <v/>
      </c>
      <c r="R434" s="6" t="str">
        <f t="shared" si="48"/>
        <v/>
      </c>
    </row>
    <row r="435" spans="1:18" x14ac:dyDescent="0.3">
      <c r="A435" s="19"/>
      <c r="B435" s="19"/>
      <c r="C435" s="15" t="str">
        <f>IF($A435="","",COUNTIF('Daily tracking'!$D$2:$D$2001,$A435))</f>
        <v/>
      </c>
      <c r="D435" s="16" t="str">
        <f>IF($A435="","",SUMIF('Daily tracking'!$D$2:$D$2001,$A435,'Daily tracking'!$G$2:$G$2001))</f>
        <v/>
      </c>
      <c r="E435" s="18" t="str">
        <f>IF($A435="","",IF($C435=0,"",_xlfn.MAXIFS('Daily tracking'!$A$2:$A$2001,'Daily tracking'!$D$2:$D$2001,$A435)))</f>
        <v/>
      </c>
      <c r="F435" s="6" t="str">
        <f t="shared" ca="1" si="42"/>
        <v/>
      </c>
      <c r="G435" s="3" t="str">
        <f t="shared" si="43"/>
        <v/>
      </c>
      <c r="H435" s="9" t="str">
        <f t="shared" si="44"/>
        <v/>
      </c>
      <c r="I435" s="20"/>
      <c r="J435" s="20"/>
      <c r="K435" s="19"/>
      <c r="L435" s="19"/>
      <c r="M435" s="19"/>
      <c r="N435" s="15" t="str">
        <f t="shared" si="45"/>
        <v/>
      </c>
      <c r="O435" s="3" t="str">
        <f t="shared" si="46"/>
        <v/>
      </c>
      <c r="P435" s="6" t="str">
        <f t="shared" ca="1" si="47"/>
        <v/>
      </c>
      <c r="Q435" s="21" t="str">
        <f>IF($A435="","",IF($C435=0,"",_xlfn.MINIFS('Daily tracking'!$A$2:$A$2001,'Daily tracking'!$D$2:$D$2001,$A435)))</f>
        <v/>
      </c>
      <c r="R435" s="6" t="str">
        <f t="shared" si="48"/>
        <v/>
      </c>
    </row>
    <row r="436" spans="1:18" x14ac:dyDescent="0.3">
      <c r="A436" s="19"/>
      <c r="B436" s="19"/>
      <c r="C436" s="15" t="str">
        <f>IF($A436="","",COUNTIF('Daily tracking'!$D$2:$D$2001,$A436))</f>
        <v/>
      </c>
      <c r="D436" s="16" t="str">
        <f>IF($A436="","",SUMIF('Daily tracking'!$D$2:$D$2001,$A436,'Daily tracking'!$G$2:$G$2001))</f>
        <v/>
      </c>
      <c r="E436" s="18" t="str">
        <f>IF($A436="","",IF($C436=0,"",_xlfn.MAXIFS('Daily tracking'!$A$2:$A$2001,'Daily tracking'!$D$2:$D$2001,$A436)))</f>
        <v/>
      </c>
      <c r="F436" s="6" t="str">
        <f t="shared" ca="1" si="42"/>
        <v/>
      </c>
      <c r="G436" s="3" t="str">
        <f t="shared" si="43"/>
        <v/>
      </c>
      <c r="H436" s="9" t="str">
        <f t="shared" si="44"/>
        <v/>
      </c>
      <c r="I436" s="20"/>
      <c r="J436" s="20"/>
      <c r="K436" s="19"/>
      <c r="L436" s="19"/>
      <c r="M436" s="19"/>
      <c r="N436" s="15" t="str">
        <f t="shared" si="45"/>
        <v/>
      </c>
      <c r="O436" s="3" t="str">
        <f t="shared" si="46"/>
        <v/>
      </c>
      <c r="P436" s="6" t="str">
        <f t="shared" ca="1" si="47"/>
        <v/>
      </c>
      <c r="Q436" s="21" t="str">
        <f>IF($A436="","",IF($C436=0,"",_xlfn.MINIFS('Daily tracking'!$A$2:$A$2001,'Daily tracking'!$D$2:$D$2001,$A436)))</f>
        <v/>
      </c>
      <c r="R436" s="6" t="str">
        <f t="shared" si="48"/>
        <v/>
      </c>
    </row>
    <row r="437" spans="1:18" x14ac:dyDescent="0.3">
      <c r="A437" s="19"/>
      <c r="B437" s="19"/>
      <c r="C437" s="15" t="str">
        <f>IF($A437="","",COUNTIF('Daily tracking'!$D$2:$D$2001,$A437))</f>
        <v/>
      </c>
      <c r="D437" s="16" t="str">
        <f>IF($A437="","",SUMIF('Daily tracking'!$D$2:$D$2001,$A437,'Daily tracking'!$G$2:$G$2001))</f>
        <v/>
      </c>
      <c r="E437" s="18" t="str">
        <f>IF($A437="","",IF($C437=0,"",_xlfn.MAXIFS('Daily tracking'!$A$2:$A$2001,'Daily tracking'!$D$2:$D$2001,$A437)))</f>
        <v/>
      </c>
      <c r="F437" s="6" t="str">
        <f t="shared" ca="1" si="42"/>
        <v/>
      </c>
      <c r="G437" s="3" t="str">
        <f t="shared" si="43"/>
        <v/>
      </c>
      <c r="H437" s="9" t="str">
        <f t="shared" si="44"/>
        <v/>
      </c>
      <c r="I437" s="20"/>
      <c r="J437" s="20"/>
      <c r="K437" s="19"/>
      <c r="L437" s="19"/>
      <c r="M437" s="19"/>
      <c r="N437" s="15" t="str">
        <f t="shared" si="45"/>
        <v/>
      </c>
      <c r="O437" s="3" t="str">
        <f t="shared" si="46"/>
        <v/>
      </c>
      <c r="P437" s="6" t="str">
        <f t="shared" ca="1" si="47"/>
        <v/>
      </c>
      <c r="Q437" s="21" t="str">
        <f>IF($A437="","",IF($C437=0,"",_xlfn.MINIFS('Daily tracking'!$A$2:$A$2001,'Daily tracking'!$D$2:$D$2001,$A437)))</f>
        <v/>
      </c>
      <c r="R437" s="6" t="str">
        <f t="shared" si="48"/>
        <v/>
      </c>
    </row>
    <row r="438" spans="1:18" x14ac:dyDescent="0.3">
      <c r="A438" s="19"/>
      <c r="B438" s="19"/>
      <c r="C438" s="15" t="str">
        <f>IF($A438="","",COUNTIF('Daily tracking'!$D$2:$D$2001,$A438))</f>
        <v/>
      </c>
      <c r="D438" s="16" t="str">
        <f>IF($A438="","",SUMIF('Daily tracking'!$D$2:$D$2001,$A438,'Daily tracking'!$G$2:$G$2001))</f>
        <v/>
      </c>
      <c r="E438" s="18" t="str">
        <f>IF($A438="","",IF($C438=0,"",_xlfn.MAXIFS('Daily tracking'!$A$2:$A$2001,'Daily tracking'!$D$2:$D$2001,$A438)))</f>
        <v/>
      </c>
      <c r="F438" s="6" t="str">
        <f t="shared" ca="1" si="42"/>
        <v/>
      </c>
      <c r="G438" s="3" t="str">
        <f t="shared" si="43"/>
        <v/>
      </c>
      <c r="H438" s="9" t="str">
        <f t="shared" si="44"/>
        <v/>
      </c>
      <c r="I438" s="20"/>
      <c r="J438" s="20"/>
      <c r="K438" s="19"/>
      <c r="L438" s="19"/>
      <c r="M438" s="19"/>
      <c r="N438" s="15" t="str">
        <f t="shared" si="45"/>
        <v/>
      </c>
      <c r="O438" s="3" t="str">
        <f t="shared" si="46"/>
        <v/>
      </c>
      <c r="P438" s="6" t="str">
        <f t="shared" ca="1" si="47"/>
        <v/>
      </c>
      <c r="Q438" s="21" t="str">
        <f>IF($A438="","",IF($C438=0,"",_xlfn.MINIFS('Daily tracking'!$A$2:$A$2001,'Daily tracking'!$D$2:$D$2001,$A438)))</f>
        <v/>
      </c>
      <c r="R438" s="6" t="str">
        <f t="shared" si="48"/>
        <v/>
      </c>
    </row>
    <row r="439" spans="1:18" x14ac:dyDescent="0.3">
      <c r="A439" s="19"/>
      <c r="B439" s="19"/>
      <c r="C439" s="15" t="str">
        <f>IF($A439="","",COUNTIF('Daily tracking'!$D$2:$D$2001,$A439))</f>
        <v/>
      </c>
      <c r="D439" s="16" t="str">
        <f>IF($A439="","",SUMIF('Daily tracking'!$D$2:$D$2001,$A439,'Daily tracking'!$G$2:$G$2001))</f>
        <v/>
      </c>
      <c r="E439" s="18" t="str">
        <f>IF($A439="","",IF($C439=0,"",_xlfn.MAXIFS('Daily tracking'!$A$2:$A$2001,'Daily tracking'!$D$2:$D$2001,$A439)))</f>
        <v/>
      </c>
      <c r="F439" s="6" t="str">
        <f t="shared" ca="1" si="42"/>
        <v/>
      </c>
      <c r="G439" s="3" t="str">
        <f t="shared" si="43"/>
        <v/>
      </c>
      <c r="H439" s="9" t="str">
        <f t="shared" si="44"/>
        <v/>
      </c>
      <c r="I439" s="20"/>
      <c r="J439" s="20"/>
      <c r="K439" s="19"/>
      <c r="L439" s="19"/>
      <c r="M439" s="19"/>
      <c r="N439" s="15" t="str">
        <f t="shared" si="45"/>
        <v/>
      </c>
      <c r="O439" s="3" t="str">
        <f t="shared" si="46"/>
        <v/>
      </c>
      <c r="P439" s="6" t="str">
        <f t="shared" ca="1" si="47"/>
        <v/>
      </c>
      <c r="Q439" s="21" t="str">
        <f>IF($A439="","",IF($C439=0,"",_xlfn.MINIFS('Daily tracking'!$A$2:$A$2001,'Daily tracking'!$D$2:$D$2001,$A439)))</f>
        <v/>
      </c>
      <c r="R439" s="6" t="str">
        <f t="shared" si="48"/>
        <v/>
      </c>
    </row>
    <row r="440" spans="1:18" x14ac:dyDescent="0.3">
      <c r="A440" s="19"/>
      <c r="B440" s="19"/>
      <c r="C440" s="15" t="str">
        <f>IF($A440="","",COUNTIF('Daily tracking'!$D$2:$D$2001,$A440))</f>
        <v/>
      </c>
      <c r="D440" s="16" t="str">
        <f>IF($A440="","",SUMIF('Daily tracking'!$D$2:$D$2001,$A440,'Daily tracking'!$G$2:$G$2001))</f>
        <v/>
      </c>
      <c r="E440" s="18" t="str">
        <f>IF($A440="","",IF($C440=0,"",_xlfn.MAXIFS('Daily tracking'!$A$2:$A$2001,'Daily tracking'!$D$2:$D$2001,$A440)))</f>
        <v/>
      </c>
      <c r="F440" s="6" t="str">
        <f t="shared" ca="1" si="42"/>
        <v/>
      </c>
      <c r="G440" s="3" t="str">
        <f t="shared" si="43"/>
        <v/>
      </c>
      <c r="H440" s="9" t="str">
        <f t="shared" si="44"/>
        <v/>
      </c>
      <c r="I440" s="20"/>
      <c r="J440" s="20"/>
      <c r="K440" s="19"/>
      <c r="L440" s="19"/>
      <c r="M440" s="19"/>
      <c r="N440" s="15" t="str">
        <f t="shared" si="45"/>
        <v/>
      </c>
      <c r="O440" s="3" t="str">
        <f t="shared" si="46"/>
        <v/>
      </c>
      <c r="P440" s="6" t="str">
        <f t="shared" ca="1" si="47"/>
        <v/>
      </c>
      <c r="Q440" s="21" t="str">
        <f>IF($A440="","",IF($C440=0,"",_xlfn.MINIFS('Daily tracking'!$A$2:$A$2001,'Daily tracking'!$D$2:$D$2001,$A440)))</f>
        <v/>
      </c>
      <c r="R440" s="6" t="str">
        <f t="shared" si="48"/>
        <v/>
      </c>
    </row>
    <row r="441" spans="1:18" x14ac:dyDescent="0.3">
      <c r="A441" s="19"/>
      <c r="B441" s="19"/>
      <c r="C441" s="15" t="str">
        <f>IF($A441="","",COUNTIF('Daily tracking'!$D$2:$D$2001,$A441))</f>
        <v/>
      </c>
      <c r="D441" s="16" t="str">
        <f>IF($A441="","",SUMIF('Daily tracking'!$D$2:$D$2001,$A441,'Daily tracking'!$G$2:$G$2001))</f>
        <v/>
      </c>
      <c r="E441" s="18" t="str">
        <f>IF($A441="","",IF($C441=0,"",_xlfn.MAXIFS('Daily tracking'!$A$2:$A$2001,'Daily tracking'!$D$2:$D$2001,$A441)))</f>
        <v/>
      </c>
      <c r="F441" s="6" t="str">
        <f t="shared" ca="1" si="42"/>
        <v/>
      </c>
      <c r="G441" s="3" t="str">
        <f t="shared" si="43"/>
        <v/>
      </c>
      <c r="H441" s="9" t="str">
        <f t="shared" si="44"/>
        <v/>
      </c>
      <c r="I441" s="20"/>
      <c r="J441" s="20"/>
      <c r="K441" s="19"/>
      <c r="L441" s="19"/>
      <c r="M441" s="19"/>
      <c r="N441" s="15" t="str">
        <f t="shared" si="45"/>
        <v/>
      </c>
      <c r="O441" s="3" t="str">
        <f t="shared" si="46"/>
        <v/>
      </c>
      <c r="P441" s="6" t="str">
        <f t="shared" ca="1" si="47"/>
        <v/>
      </c>
      <c r="Q441" s="21" t="str">
        <f>IF($A441="","",IF($C441=0,"",_xlfn.MINIFS('Daily tracking'!$A$2:$A$2001,'Daily tracking'!$D$2:$D$2001,$A441)))</f>
        <v/>
      </c>
      <c r="R441" s="6" t="str">
        <f t="shared" si="48"/>
        <v/>
      </c>
    </row>
    <row r="442" spans="1:18" x14ac:dyDescent="0.3">
      <c r="A442" s="19"/>
      <c r="B442" s="19"/>
      <c r="C442" s="15" t="str">
        <f>IF($A442="","",COUNTIF('Daily tracking'!$D$2:$D$2001,$A442))</f>
        <v/>
      </c>
      <c r="D442" s="16" t="str">
        <f>IF($A442="","",SUMIF('Daily tracking'!$D$2:$D$2001,$A442,'Daily tracking'!$G$2:$G$2001))</f>
        <v/>
      </c>
      <c r="E442" s="18" t="str">
        <f>IF($A442="","",IF($C442=0,"",_xlfn.MAXIFS('Daily tracking'!$A$2:$A$2001,'Daily tracking'!$D$2:$D$2001,$A442)))</f>
        <v/>
      </c>
      <c r="F442" s="6" t="str">
        <f t="shared" ca="1" si="42"/>
        <v/>
      </c>
      <c r="G442" s="3" t="str">
        <f t="shared" si="43"/>
        <v/>
      </c>
      <c r="H442" s="9" t="str">
        <f t="shared" si="44"/>
        <v/>
      </c>
      <c r="I442" s="20"/>
      <c r="J442" s="20"/>
      <c r="K442" s="19"/>
      <c r="L442" s="19"/>
      <c r="M442" s="19"/>
      <c r="N442" s="15" t="str">
        <f t="shared" si="45"/>
        <v/>
      </c>
      <c r="O442" s="3" t="str">
        <f t="shared" si="46"/>
        <v/>
      </c>
      <c r="P442" s="6" t="str">
        <f t="shared" ca="1" si="47"/>
        <v/>
      </c>
      <c r="Q442" s="21" t="str">
        <f>IF($A442="","",IF($C442=0,"",_xlfn.MINIFS('Daily tracking'!$A$2:$A$2001,'Daily tracking'!$D$2:$D$2001,$A442)))</f>
        <v/>
      </c>
      <c r="R442" s="6" t="str">
        <f t="shared" si="48"/>
        <v/>
      </c>
    </row>
    <row r="443" spans="1:18" x14ac:dyDescent="0.3">
      <c r="A443" s="19"/>
      <c r="B443" s="19"/>
      <c r="C443" s="15" t="str">
        <f>IF($A443="","",COUNTIF('Daily tracking'!$D$2:$D$2001,$A443))</f>
        <v/>
      </c>
      <c r="D443" s="16" t="str">
        <f>IF($A443="","",SUMIF('Daily tracking'!$D$2:$D$2001,$A443,'Daily tracking'!$G$2:$G$2001))</f>
        <v/>
      </c>
      <c r="E443" s="18" t="str">
        <f>IF($A443="","",IF($C443=0,"",_xlfn.MAXIFS('Daily tracking'!$A$2:$A$2001,'Daily tracking'!$D$2:$D$2001,$A443)))</f>
        <v/>
      </c>
      <c r="F443" s="6" t="str">
        <f t="shared" ca="1" si="42"/>
        <v/>
      </c>
      <c r="G443" s="3" t="str">
        <f t="shared" si="43"/>
        <v/>
      </c>
      <c r="H443" s="9" t="str">
        <f t="shared" si="44"/>
        <v/>
      </c>
      <c r="I443" s="20"/>
      <c r="J443" s="20"/>
      <c r="K443" s="19"/>
      <c r="L443" s="19"/>
      <c r="M443" s="19"/>
      <c r="N443" s="15" t="str">
        <f t="shared" si="45"/>
        <v/>
      </c>
      <c r="O443" s="3" t="str">
        <f t="shared" si="46"/>
        <v/>
      </c>
      <c r="P443" s="6" t="str">
        <f t="shared" ca="1" si="47"/>
        <v/>
      </c>
      <c r="Q443" s="21" t="str">
        <f>IF($A443="","",IF($C443=0,"",_xlfn.MINIFS('Daily tracking'!$A$2:$A$2001,'Daily tracking'!$D$2:$D$2001,$A443)))</f>
        <v/>
      </c>
      <c r="R443" s="6" t="str">
        <f t="shared" si="48"/>
        <v/>
      </c>
    </row>
    <row r="444" spans="1:18" x14ac:dyDescent="0.3">
      <c r="A444" s="19"/>
      <c r="B444" s="19"/>
      <c r="C444" s="15" t="str">
        <f>IF($A444="","",COUNTIF('Daily tracking'!$D$2:$D$2001,$A444))</f>
        <v/>
      </c>
      <c r="D444" s="16" t="str">
        <f>IF($A444="","",SUMIF('Daily tracking'!$D$2:$D$2001,$A444,'Daily tracking'!$G$2:$G$2001))</f>
        <v/>
      </c>
      <c r="E444" s="18" t="str">
        <f>IF($A444="","",IF($C444=0,"",_xlfn.MAXIFS('Daily tracking'!$A$2:$A$2001,'Daily tracking'!$D$2:$D$2001,$A444)))</f>
        <v/>
      </c>
      <c r="F444" s="6" t="str">
        <f t="shared" ca="1" si="42"/>
        <v/>
      </c>
      <c r="G444" s="3" t="str">
        <f t="shared" si="43"/>
        <v/>
      </c>
      <c r="H444" s="9" t="str">
        <f t="shared" si="44"/>
        <v/>
      </c>
      <c r="I444" s="20"/>
      <c r="J444" s="20"/>
      <c r="K444" s="19"/>
      <c r="L444" s="19"/>
      <c r="M444" s="19"/>
      <c r="N444" s="15" t="str">
        <f t="shared" si="45"/>
        <v/>
      </c>
      <c r="O444" s="3" t="str">
        <f t="shared" si="46"/>
        <v/>
      </c>
      <c r="P444" s="6" t="str">
        <f t="shared" ca="1" si="47"/>
        <v/>
      </c>
      <c r="Q444" s="21" t="str">
        <f>IF($A444="","",IF($C444=0,"",_xlfn.MINIFS('Daily tracking'!$A$2:$A$2001,'Daily tracking'!$D$2:$D$2001,$A444)))</f>
        <v/>
      </c>
      <c r="R444" s="6" t="str">
        <f t="shared" si="48"/>
        <v/>
      </c>
    </row>
    <row r="445" spans="1:18" x14ac:dyDescent="0.3">
      <c r="A445" s="19"/>
      <c r="B445" s="19"/>
      <c r="C445" s="15" t="str">
        <f>IF($A445="","",COUNTIF('Daily tracking'!$D$2:$D$2001,$A445))</f>
        <v/>
      </c>
      <c r="D445" s="16" t="str">
        <f>IF($A445="","",SUMIF('Daily tracking'!$D$2:$D$2001,$A445,'Daily tracking'!$G$2:$G$2001))</f>
        <v/>
      </c>
      <c r="E445" s="18" t="str">
        <f>IF($A445="","",IF($C445=0,"",_xlfn.MAXIFS('Daily tracking'!$A$2:$A$2001,'Daily tracking'!$D$2:$D$2001,$A445)))</f>
        <v/>
      </c>
      <c r="F445" s="6" t="str">
        <f t="shared" ca="1" si="42"/>
        <v/>
      </c>
      <c r="G445" s="3" t="str">
        <f t="shared" si="43"/>
        <v/>
      </c>
      <c r="H445" s="9" t="str">
        <f t="shared" si="44"/>
        <v/>
      </c>
      <c r="I445" s="20"/>
      <c r="J445" s="20"/>
      <c r="K445" s="19"/>
      <c r="L445" s="19"/>
      <c r="M445" s="19"/>
      <c r="N445" s="15" t="str">
        <f t="shared" si="45"/>
        <v/>
      </c>
      <c r="O445" s="3" t="str">
        <f t="shared" si="46"/>
        <v/>
      </c>
      <c r="P445" s="6" t="str">
        <f t="shared" ca="1" si="47"/>
        <v/>
      </c>
      <c r="Q445" s="21" t="str">
        <f>IF($A445="","",IF($C445=0,"",_xlfn.MINIFS('Daily tracking'!$A$2:$A$2001,'Daily tracking'!$D$2:$D$2001,$A445)))</f>
        <v/>
      </c>
      <c r="R445" s="6" t="str">
        <f t="shared" si="48"/>
        <v/>
      </c>
    </row>
    <row r="446" spans="1:18" x14ac:dyDescent="0.3">
      <c r="A446" s="19"/>
      <c r="B446" s="19"/>
      <c r="C446" s="15" t="str">
        <f>IF($A446="","",COUNTIF('Daily tracking'!$D$2:$D$2001,$A446))</f>
        <v/>
      </c>
      <c r="D446" s="16" t="str">
        <f>IF($A446="","",SUMIF('Daily tracking'!$D$2:$D$2001,$A446,'Daily tracking'!$G$2:$G$2001))</f>
        <v/>
      </c>
      <c r="E446" s="18" t="str">
        <f>IF($A446="","",IF($C446=0,"",_xlfn.MAXIFS('Daily tracking'!$A$2:$A$2001,'Daily tracking'!$D$2:$D$2001,$A446)))</f>
        <v/>
      </c>
      <c r="F446" s="6" t="str">
        <f t="shared" ca="1" si="42"/>
        <v/>
      </c>
      <c r="G446" s="3" t="str">
        <f t="shared" si="43"/>
        <v/>
      </c>
      <c r="H446" s="9" t="str">
        <f t="shared" si="44"/>
        <v/>
      </c>
      <c r="I446" s="20"/>
      <c r="J446" s="20"/>
      <c r="K446" s="19"/>
      <c r="L446" s="19"/>
      <c r="M446" s="19"/>
      <c r="N446" s="15" t="str">
        <f t="shared" si="45"/>
        <v/>
      </c>
      <c r="O446" s="3" t="str">
        <f t="shared" si="46"/>
        <v/>
      </c>
      <c r="P446" s="6" t="str">
        <f t="shared" ca="1" si="47"/>
        <v/>
      </c>
      <c r="Q446" s="21" t="str">
        <f>IF($A446="","",IF($C446=0,"",_xlfn.MINIFS('Daily tracking'!$A$2:$A$2001,'Daily tracking'!$D$2:$D$2001,$A446)))</f>
        <v/>
      </c>
      <c r="R446" s="6" t="str">
        <f t="shared" si="48"/>
        <v/>
      </c>
    </row>
    <row r="447" spans="1:18" x14ac:dyDescent="0.3">
      <c r="A447" s="19"/>
      <c r="B447" s="19"/>
      <c r="C447" s="15" t="str">
        <f>IF($A447="","",COUNTIF('Daily tracking'!$D$2:$D$2001,$A447))</f>
        <v/>
      </c>
      <c r="D447" s="16" t="str">
        <f>IF($A447="","",SUMIF('Daily tracking'!$D$2:$D$2001,$A447,'Daily tracking'!$G$2:$G$2001))</f>
        <v/>
      </c>
      <c r="E447" s="18" t="str">
        <f>IF($A447="","",IF($C447=0,"",_xlfn.MAXIFS('Daily tracking'!$A$2:$A$2001,'Daily tracking'!$D$2:$D$2001,$A447)))</f>
        <v/>
      </c>
      <c r="F447" s="6" t="str">
        <f t="shared" ca="1" si="42"/>
        <v/>
      </c>
      <c r="G447" s="3" t="str">
        <f t="shared" si="43"/>
        <v/>
      </c>
      <c r="H447" s="9" t="str">
        <f t="shared" si="44"/>
        <v/>
      </c>
      <c r="I447" s="20"/>
      <c r="J447" s="20"/>
      <c r="K447" s="19"/>
      <c r="L447" s="19"/>
      <c r="M447" s="19"/>
      <c r="N447" s="15" t="str">
        <f t="shared" si="45"/>
        <v/>
      </c>
      <c r="O447" s="3" t="str">
        <f t="shared" si="46"/>
        <v/>
      </c>
      <c r="P447" s="6" t="str">
        <f t="shared" ca="1" si="47"/>
        <v/>
      </c>
      <c r="Q447" s="21" t="str">
        <f>IF($A447="","",IF($C447=0,"",_xlfn.MINIFS('Daily tracking'!$A$2:$A$2001,'Daily tracking'!$D$2:$D$2001,$A447)))</f>
        <v/>
      </c>
      <c r="R447" s="6" t="str">
        <f t="shared" si="48"/>
        <v/>
      </c>
    </row>
    <row r="448" spans="1:18" x14ac:dyDescent="0.3">
      <c r="A448" s="19"/>
      <c r="B448" s="19"/>
      <c r="C448" s="15" t="str">
        <f>IF($A448="","",COUNTIF('Daily tracking'!$D$2:$D$2001,$A448))</f>
        <v/>
      </c>
      <c r="D448" s="16" t="str">
        <f>IF($A448="","",SUMIF('Daily tracking'!$D$2:$D$2001,$A448,'Daily tracking'!$G$2:$G$2001))</f>
        <v/>
      </c>
      <c r="E448" s="18" t="str">
        <f>IF($A448="","",IF($C448=0,"",_xlfn.MAXIFS('Daily tracking'!$A$2:$A$2001,'Daily tracking'!$D$2:$D$2001,$A448)))</f>
        <v/>
      </c>
      <c r="F448" s="6" t="str">
        <f t="shared" ca="1" si="42"/>
        <v/>
      </c>
      <c r="G448" s="3" t="str">
        <f t="shared" si="43"/>
        <v/>
      </c>
      <c r="H448" s="9" t="str">
        <f t="shared" si="44"/>
        <v/>
      </c>
      <c r="I448" s="20"/>
      <c r="J448" s="20"/>
      <c r="K448" s="19"/>
      <c r="L448" s="19"/>
      <c r="M448" s="19"/>
      <c r="N448" s="15" t="str">
        <f t="shared" si="45"/>
        <v/>
      </c>
      <c r="O448" s="3" t="str">
        <f t="shared" si="46"/>
        <v/>
      </c>
      <c r="P448" s="6" t="str">
        <f t="shared" ca="1" si="47"/>
        <v/>
      </c>
      <c r="Q448" s="21" t="str">
        <f>IF($A448="","",IF($C448=0,"",_xlfn.MINIFS('Daily tracking'!$A$2:$A$2001,'Daily tracking'!$D$2:$D$2001,$A448)))</f>
        <v/>
      </c>
      <c r="R448" s="6" t="str">
        <f t="shared" si="48"/>
        <v/>
      </c>
    </row>
    <row r="449" spans="1:18" x14ac:dyDescent="0.3">
      <c r="A449" s="19"/>
      <c r="B449" s="19"/>
      <c r="C449" s="15" t="str">
        <f>IF($A449="","",COUNTIF('Daily tracking'!$D$2:$D$2001,$A449))</f>
        <v/>
      </c>
      <c r="D449" s="16" t="str">
        <f>IF($A449="","",SUMIF('Daily tracking'!$D$2:$D$2001,$A449,'Daily tracking'!$G$2:$G$2001))</f>
        <v/>
      </c>
      <c r="E449" s="18" t="str">
        <f>IF($A449="","",IF($C449=0,"",_xlfn.MAXIFS('Daily tracking'!$A$2:$A$2001,'Daily tracking'!$D$2:$D$2001,$A449)))</f>
        <v/>
      </c>
      <c r="F449" s="6" t="str">
        <f t="shared" ca="1" si="42"/>
        <v/>
      </c>
      <c r="G449" s="3" t="str">
        <f t="shared" si="43"/>
        <v/>
      </c>
      <c r="H449" s="9" t="str">
        <f t="shared" si="44"/>
        <v/>
      </c>
      <c r="I449" s="20"/>
      <c r="J449" s="20"/>
      <c r="K449" s="19"/>
      <c r="L449" s="19"/>
      <c r="M449" s="19"/>
      <c r="N449" s="15" t="str">
        <f t="shared" si="45"/>
        <v/>
      </c>
      <c r="O449" s="3" t="str">
        <f t="shared" si="46"/>
        <v/>
      </c>
      <c r="P449" s="6" t="str">
        <f t="shared" ca="1" si="47"/>
        <v/>
      </c>
      <c r="Q449" s="21" t="str">
        <f>IF($A449="","",IF($C449=0,"",_xlfn.MINIFS('Daily tracking'!$A$2:$A$2001,'Daily tracking'!$D$2:$D$2001,$A449)))</f>
        <v/>
      </c>
      <c r="R449" s="6" t="str">
        <f t="shared" si="48"/>
        <v/>
      </c>
    </row>
    <row r="450" spans="1:18" x14ac:dyDescent="0.3">
      <c r="A450" s="19"/>
      <c r="B450" s="19"/>
      <c r="C450" s="15" t="str">
        <f>IF($A450="","",COUNTIF('Daily tracking'!$D$2:$D$2001,$A450))</f>
        <v/>
      </c>
      <c r="D450" s="16" t="str">
        <f>IF($A450="","",SUMIF('Daily tracking'!$D$2:$D$2001,$A450,'Daily tracking'!$G$2:$G$2001))</f>
        <v/>
      </c>
      <c r="E450" s="18" t="str">
        <f>IF($A450="","",IF($C450=0,"",_xlfn.MAXIFS('Daily tracking'!$A$2:$A$2001,'Daily tracking'!$D$2:$D$2001,$A450)))</f>
        <v/>
      </c>
      <c r="F450" s="6" t="str">
        <f t="shared" ref="F450:F501" ca="1" si="49">IF(OR($A450="",$E450=""),"",TODAY()-$E450)</f>
        <v/>
      </c>
      <c r="G450" s="3" t="str">
        <f t="shared" ref="G450:G501" si="50">IF($A450="","",IF($C450=0,"No visits",IF($F450&gt;90,"Lapsed",IF($F450&gt;35,"At risk",IF($C450&gt;=4,"Loyal","Active")))))</f>
        <v/>
      </c>
      <c r="H450" s="9" t="str">
        <f t="shared" ref="H450:H501" si="51">IF(OR($A450="",$C450=0),"",$D450/$C450)</f>
        <v/>
      </c>
      <c r="I450" s="20"/>
      <c r="J450" s="20"/>
      <c r="K450" s="19"/>
      <c r="L450" s="19"/>
      <c r="M450" s="19"/>
      <c r="N450" s="15" t="str">
        <f t="shared" ref="N450:N501" si="52">IF($A450="","",IF($C450=0,0,(IF($F450&lt;=15,5,IF($F450&lt;=30,4,IF($F450&lt;=45,3,IF($F450&lt;=90,2,1))))+IF($C450&gt;=10,5,IF($C450&gt;=6,4,IF($C450&gt;=4,3,IF($C450&gt;=2,2,1))))+IF($D450&gt;=20000,5,IF($D450&gt;=10000,4,IF($D450&gt;=5000,3,IF($D450&gt;=2000,2,1)))))))</f>
        <v/>
      </c>
      <c r="O450" s="3" t="str">
        <f t="shared" ref="O450:O501" si="53">IF($A450="","",IF($C450=0,"No visits",IF($N450&gt;=13,"VIP",IF($N450&gt;=10,"High value",IF($N450&gt;=7,"Regular",IF($N450&gt;=4,"Occasional","Low"))))))</f>
        <v/>
      </c>
      <c r="P450" s="6" t="str">
        <f t="shared" ref="P450:P501" ca="1" si="54">IF(OR($A450="",$I450=""),"",IF(MONTH($I450)=MONTH(TODAY()),"Yes",""))</f>
        <v/>
      </c>
      <c r="Q450" s="21" t="str">
        <f>IF($A450="","",IF($C450=0,"",_xlfn.MINIFS('Daily tracking'!$A$2:$A$2001,'Daily tracking'!$D$2:$D$2001,$A450)))</f>
        <v/>
      </c>
      <c r="R450" s="6" t="str">
        <f t="shared" ref="R450:R501" si="55">IF(OR($A450="",$C450&lt;2),"",($E450-$Q450)/($C450-1))</f>
        <v/>
      </c>
    </row>
    <row r="451" spans="1:18" x14ac:dyDescent="0.3">
      <c r="A451" s="19"/>
      <c r="B451" s="19"/>
      <c r="C451" s="15" t="str">
        <f>IF($A451="","",COUNTIF('Daily tracking'!$D$2:$D$2001,$A451))</f>
        <v/>
      </c>
      <c r="D451" s="16" t="str">
        <f>IF($A451="","",SUMIF('Daily tracking'!$D$2:$D$2001,$A451,'Daily tracking'!$G$2:$G$2001))</f>
        <v/>
      </c>
      <c r="E451" s="18" t="str">
        <f>IF($A451="","",IF($C451=0,"",_xlfn.MAXIFS('Daily tracking'!$A$2:$A$2001,'Daily tracking'!$D$2:$D$2001,$A451)))</f>
        <v/>
      </c>
      <c r="F451" s="6" t="str">
        <f t="shared" ca="1" si="49"/>
        <v/>
      </c>
      <c r="G451" s="3" t="str">
        <f t="shared" si="50"/>
        <v/>
      </c>
      <c r="H451" s="9" t="str">
        <f t="shared" si="51"/>
        <v/>
      </c>
      <c r="I451" s="20"/>
      <c r="J451" s="20"/>
      <c r="K451" s="19"/>
      <c r="L451" s="19"/>
      <c r="M451" s="19"/>
      <c r="N451" s="15" t="str">
        <f t="shared" si="52"/>
        <v/>
      </c>
      <c r="O451" s="3" t="str">
        <f t="shared" si="53"/>
        <v/>
      </c>
      <c r="P451" s="6" t="str">
        <f t="shared" ca="1" si="54"/>
        <v/>
      </c>
      <c r="Q451" s="21" t="str">
        <f>IF($A451="","",IF($C451=0,"",_xlfn.MINIFS('Daily tracking'!$A$2:$A$2001,'Daily tracking'!$D$2:$D$2001,$A451)))</f>
        <v/>
      </c>
      <c r="R451" s="6" t="str">
        <f t="shared" si="55"/>
        <v/>
      </c>
    </row>
    <row r="452" spans="1:18" x14ac:dyDescent="0.3">
      <c r="A452" s="19"/>
      <c r="B452" s="19"/>
      <c r="C452" s="15" t="str">
        <f>IF($A452="","",COUNTIF('Daily tracking'!$D$2:$D$2001,$A452))</f>
        <v/>
      </c>
      <c r="D452" s="16" t="str">
        <f>IF($A452="","",SUMIF('Daily tracking'!$D$2:$D$2001,$A452,'Daily tracking'!$G$2:$G$2001))</f>
        <v/>
      </c>
      <c r="E452" s="18" t="str">
        <f>IF($A452="","",IF($C452=0,"",_xlfn.MAXIFS('Daily tracking'!$A$2:$A$2001,'Daily tracking'!$D$2:$D$2001,$A452)))</f>
        <v/>
      </c>
      <c r="F452" s="6" t="str">
        <f t="shared" ca="1" si="49"/>
        <v/>
      </c>
      <c r="G452" s="3" t="str">
        <f t="shared" si="50"/>
        <v/>
      </c>
      <c r="H452" s="9" t="str">
        <f t="shared" si="51"/>
        <v/>
      </c>
      <c r="I452" s="20"/>
      <c r="J452" s="20"/>
      <c r="K452" s="19"/>
      <c r="L452" s="19"/>
      <c r="M452" s="19"/>
      <c r="N452" s="15" t="str">
        <f t="shared" si="52"/>
        <v/>
      </c>
      <c r="O452" s="3" t="str">
        <f t="shared" si="53"/>
        <v/>
      </c>
      <c r="P452" s="6" t="str">
        <f t="shared" ca="1" si="54"/>
        <v/>
      </c>
      <c r="Q452" s="21" t="str">
        <f>IF($A452="","",IF($C452=0,"",_xlfn.MINIFS('Daily tracking'!$A$2:$A$2001,'Daily tracking'!$D$2:$D$2001,$A452)))</f>
        <v/>
      </c>
      <c r="R452" s="6" t="str">
        <f t="shared" si="55"/>
        <v/>
      </c>
    </row>
    <row r="453" spans="1:18" x14ac:dyDescent="0.3">
      <c r="A453" s="19"/>
      <c r="B453" s="19"/>
      <c r="C453" s="15" t="str">
        <f>IF($A453="","",COUNTIF('Daily tracking'!$D$2:$D$2001,$A453))</f>
        <v/>
      </c>
      <c r="D453" s="16" t="str">
        <f>IF($A453="","",SUMIF('Daily tracking'!$D$2:$D$2001,$A453,'Daily tracking'!$G$2:$G$2001))</f>
        <v/>
      </c>
      <c r="E453" s="18" t="str">
        <f>IF($A453="","",IF($C453=0,"",_xlfn.MAXIFS('Daily tracking'!$A$2:$A$2001,'Daily tracking'!$D$2:$D$2001,$A453)))</f>
        <v/>
      </c>
      <c r="F453" s="6" t="str">
        <f t="shared" ca="1" si="49"/>
        <v/>
      </c>
      <c r="G453" s="3" t="str">
        <f t="shared" si="50"/>
        <v/>
      </c>
      <c r="H453" s="9" t="str">
        <f t="shared" si="51"/>
        <v/>
      </c>
      <c r="I453" s="20"/>
      <c r="J453" s="20"/>
      <c r="K453" s="19"/>
      <c r="L453" s="19"/>
      <c r="M453" s="19"/>
      <c r="N453" s="15" t="str">
        <f t="shared" si="52"/>
        <v/>
      </c>
      <c r="O453" s="3" t="str">
        <f t="shared" si="53"/>
        <v/>
      </c>
      <c r="P453" s="6" t="str">
        <f t="shared" ca="1" si="54"/>
        <v/>
      </c>
      <c r="Q453" s="21" t="str">
        <f>IF($A453="","",IF($C453=0,"",_xlfn.MINIFS('Daily tracking'!$A$2:$A$2001,'Daily tracking'!$D$2:$D$2001,$A453)))</f>
        <v/>
      </c>
      <c r="R453" s="6" t="str">
        <f t="shared" si="55"/>
        <v/>
      </c>
    </row>
    <row r="454" spans="1:18" x14ac:dyDescent="0.3">
      <c r="A454" s="19"/>
      <c r="B454" s="19"/>
      <c r="C454" s="15" t="str">
        <f>IF($A454="","",COUNTIF('Daily tracking'!$D$2:$D$2001,$A454))</f>
        <v/>
      </c>
      <c r="D454" s="16" t="str">
        <f>IF($A454="","",SUMIF('Daily tracking'!$D$2:$D$2001,$A454,'Daily tracking'!$G$2:$G$2001))</f>
        <v/>
      </c>
      <c r="E454" s="18" t="str">
        <f>IF($A454="","",IF($C454=0,"",_xlfn.MAXIFS('Daily tracking'!$A$2:$A$2001,'Daily tracking'!$D$2:$D$2001,$A454)))</f>
        <v/>
      </c>
      <c r="F454" s="6" t="str">
        <f t="shared" ca="1" si="49"/>
        <v/>
      </c>
      <c r="G454" s="3" t="str">
        <f t="shared" si="50"/>
        <v/>
      </c>
      <c r="H454" s="9" t="str">
        <f t="shared" si="51"/>
        <v/>
      </c>
      <c r="I454" s="20"/>
      <c r="J454" s="20"/>
      <c r="K454" s="19"/>
      <c r="L454" s="19"/>
      <c r="M454" s="19"/>
      <c r="N454" s="15" t="str">
        <f t="shared" si="52"/>
        <v/>
      </c>
      <c r="O454" s="3" t="str">
        <f t="shared" si="53"/>
        <v/>
      </c>
      <c r="P454" s="6" t="str">
        <f t="shared" ca="1" si="54"/>
        <v/>
      </c>
      <c r="Q454" s="21" t="str">
        <f>IF($A454="","",IF($C454=0,"",_xlfn.MINIFS('Daily tracking'!$A$2:$A$2001,'Daily tracking'!$D$2:$D$2001,$A454)))</f>
        <v/>
      </c>
      <c r="R454" s="6" t="str">
        <f t="shared" si="55"/>
        <v/>
      </c>
    </row>
    <row r="455" spans="1:18" x14ac:dyDescent="0.3">
      <c r="A455" s="19"/>
      <c r="B455" s="19"/>
      <c r="C455" s="15" t="str">
        <f>IF($A455="","",COUNTIF('Daily tracking'!$D$2:$D$2001,$A455))</f>
        <v/>
      </c>
      <c r="D455" s="16" t="str">
        <f>IF($A455="","",SUMIF('Daily tracking'!$D$2:$D$2001,$A455,'Daily tracking'!$G$2:$G$2001))</f>
        <v/>
      </c>
      <c r="E455" s="18" t="str">
        <f>IF($A455="","",IF($C455=0,"",_xlfn.MAXIFS('Daily tracking'!$A$2:$A$2001,'Daily tracking'!$D$2:$D$2001,$A455)))</f>
        <v/>
      </c>
      <c r="F455" s="6" t="str">
        <f t="shared" ca="1" si="49"/>
        <v/>
      </c>
      <c r="G455" s="3" t="str">
        <f t="shared" si="50"/>
        <v/>
      </c>
      <c r="H455" s="9" t="str">
        <f t="shared" si="51"/>
        <v/>
      </c>
      <c r="I455" s="20"/>
      <c r="J455" s="20"/>
      <c r="K455" s="19"/>
      <c r="L455" s="19"/>
      <c r="M455" s="19"/>
      <c r="N455" s="15" t="str">
        <f t="shared" si="52"/>
        <v/>
      </c>
      <c r="O455" s="3" t="str">
        <f t="shared" si="53"/>
        <v/>
      </c>
      <c r="P455" s="6" t="str">
        <f t="shared" ca="1" si="54"/>
        <v/>
      </c>
      <c r="Q455" s="21" t="str">
        <f>IF($A455="","",IF($C455=0,"",_xlfn.MINIFS('Daily tracking'!$A$2:$A$2001,'Daily tracking'!$D$2:$D$2001,$A455)))</f>
        <v/>
      </c>
      <c r="R455" s="6" t="str">
        <f t="shared" si="55"/>
        <v/>
      </c>
    </row>
    <row r="456" spans="1:18" x14ac:dyDescent="0.3">
      <c r="A456" s="19"/>
      <c r="B456" s="19"/>
      <c r="C456" s="15" t="str">
        <f>IF($A456="","",COUNTIF('Daily tracking'!$D$2:$D$2001,$A456))</f>
        <v/>
      </c>
      <c r="D456" s="16" t="str">
        <f>IF($A456="","",SUMIF('Daily tracking'!$D$2:$D$2001,$A456,'Daily tracking'!$G$2:$G$2001))</f>
        <v/>
      </c>
      <c r="E456" s="18" t="str">
        <f>IF($A456="","",IF($C456=0,"",_xlfn.MAXIFS('Daily tracking'!$A$2:$A$2001,'Daily tracking'!$D$2:$D$2001,$A456)))</f>
        <v/>
      </c>
      <c r="F456" s="6" t="str">
        <f t="shared" ca="1" si="49"/>
        <v/>
      </c>
      <c r="G456" s="3" t="str">
        <f t="shared" si="50"/>
        <v/>
      </c>
      <c r="H456" s="9" t="str">
        <f t="shared" si="51"/>
        <v/>
      </c>
      <c r="I456" s="20"/>
      <c r="J456" s="20"/>
      <c r="K456" s="19"/>
      <c r="L456" s="19"/>
      <c r="M456" s="19"/>
      <c r="N456" s="15" t="str">
        <f t="shared" si="52"/>
        <v/>
      </c>
      <c r="O456" s="3" t="str">
        <f t="shared" si="53"/>
        <v/>
      </c>
      <c r="P456" s="6" t="str">
        <f t="shared" ca="1" si="54"/>
        <v/>
      </c>
      <c r="Q456" s="21" t="str">
        <f>IF($A456="","",IF($C456=0,"",_xlfn.MINIFS('Daily tracking'!$A$2:$A$2001,'Daily tracking'!$D$2:$D$2001,$A456)))</f>
        <v/>
      </c>
      <c r="R456" s="6" t="str">
        <f t="shared" si="55"/>
        <v/>
      </c>
    </row>
    <row r="457" spans="1:18" x14ac:dyDescent="0.3">
      <c r="A457" s="19"/>
      <c r="B457" s="19"/>
      <c r="C457" s="15" t="str">
        <f>IF($A457="","",COUNTIF('Daily tracking'!$D$2:$D$2001,$A457))</f>
        <v/>
      </c>
      <c r="D457" s="16" t="str">
        <f>IF($A457="","",SUMIF('Daily tracking'!$D$2:$D$2001,$A457,'Daily tracking'!$G$2:$G$2001))</f>
        <v/>
      </c>
      <c r="E457" s="18" t="str">
        <f>IF($A457="","",IF($C457=0,"",_xlfn.MAXIFS('Daily tracking'!$A$2:$A$2001,'Daily tracking'!$D$2:$D$2001,$A457)))</f>
        <v/>
      </c>
      <c r="F457" s="6" t="str">
        <f t="shared" ca="1" si="49"/>
        <v/>
      </c>
      <c r="G457" s="3" t="str">
        <f t="shared" si="50"/>
        <v/>
      </c>
      <c r="H457" s="9" t="str">
        <f t="shared" si="51"/>
        <v/>
      </c>
      <c r="I457" s="20"/>
      <c r="J457" s="20"/>
      <c r="K457" s="19"/>
      <c r="L457" s="19"/>
      <c r="M457" s="19"/>
      <c r="N457" s="15" t="str">
        <f t="shared" si="52"/>
        <v/>
      </c>
      <c r="O457" s="3" t="str">
        <f t="shared" si="53"/>
        <v/>
      </c>
      <c r="P457" s="6" t="str">
        <f t="shared" ca="1" si="54"/>
        <v/>
      </c>
      <c r="Q457" s="21" t="str">
        <f>IF($A457="","",IF($C457=0,"",_xlfn.MINIFS('Daily tracking'!$A$2:$A$2001,'Daily tracking'!$D$2:$D$2001,$A457)))</f>
        <v/>
      </c>
      <c r="R457" s="6" t="str">
        <f t="shared" si="55"/>
        <v/>
      </c>
    </row>
    <row r="458" spans="1:18" x14ac:dyDescent="0.3">
      <c r="A458" s="19"/>
      <c r="B458" s="19"/>
      <c r="C458" s="15" t="str">
        <f>IF($A458="","",COUNTIF('Daily tracking'!$D$2:$D$2001,$A458))</f>
        <v/>
      </c>
      <c r="D458" s="16" t="str">
        <f>IF($A458="","",SUMIF('Daily tracking'!$D$2:$D$2001,$A458,'Daily tracking'!$G$2:$G$2001))</f>
        <v/>
      </c>
      <c r="E458" s="18" t="str">
        <f>IF($A458="","",IF($C458=0,"",_xlfn.MAXIFS('Daily tracking'!$A$2:$A$2001,'Daily tracking'!$D$2:$D$2001,$A458)))</f>
        <v/>
      </c>
      <c r="F458" s="6" t="str">
        <f t="shared" ca="1" si="49"/>
        <v/>
      </c>
      <c r="G458" s="3" t="str">
        <f t="shared" si="50"/>
        <v/>
      </c>
      <c r="H458" s="9" t="str">
        <f t="shared" si="51"/>
        <v/>
      </c>
      <c r="I458" s="20"/>
      <c r="J458" s="20"/>
      <c r="K458" s="19"/>
      <c r="L458" s="19"/>
      <c r="M458" s="19"/>
      <c r="N458" s="15" t="str">
        <f t="shared" si="52"/>
        <v/>
      </c>
      <c r="O458" s="3" t="str">
        <f t="shared" si="53"/>
        <v/>
      </c>
      <c r="P458" s="6" t="str">
        <f t="shared" ca="1" si="54"/>
        <v/>
      </c>
      <c r="Q458" s="21" t="str">
        <f>IF($A458="","",IF($C458=0,"",_xlfn.MINIFS('Daily tracking'!$A$2:$A$2001,'Daily tracking'!$D$2:$D$2001,$A458)))</f>
        <v/>
      </c>
      <c r="R458" s="6" t="str">
        <f t="shared" si="55"/>
        <v/>
      </c>
    </row>
    <row r="459" spans="1:18" x14ac:dyDescent="0.3">
      <c r="A459" s="19"/>
      <c r="B459" s="19"/>
      <c r="C459" s="15" t="str">
        <f>IF($A459="","",COUNTIF('Daily tracking'!$D$2:$D$2001,$A459))</f>
        <v/>
      </c>
      <c r="D459" s="16" t="str">
        <f>IF($A459="","",SUMIF('Daily tracking'!$D$2:$D$2001,$A459,'Daily tracking'!$G$2:$G$2001))</f>
        <v/>
      </c>
      <c r="E459" s="18" t="str">
        <f>IF($A459="","",IF($C459=0,"",_xlfn.MAXIFS('Daily tracking'!$A$2:$A$2001,'Daily tracking'!$D$2:$D$2001,$A459)))</f>
        <v/>
      </c>
      <c r="F459" s="6" t="str">
        <f t="shared" ca="1" si="49"/>
        <v/>
      </c>
      <c r="G459" s="3" t="str">
        <f t="shared" si="50"/>
        <v/>
      </c>
      <c r="H459" s="9" t="str">
        <f t="shared" si="51"/>
        <v/>
      </c>
      <c r="I459" s="20"/>
      <c r="J459" s="20"/>
      <c r="K459" s="19"/>
      <c r="L459" s="19"/>
      <c r="M459" s="19"/>
      <c r="N459" s="15" t="str">
        <f t="shared" si="52"/>
        <v/>
      </c>
      <c r="O459" s="3" t="str">
        <f t="shared" si="53"/>
        <v/>
      </c>
      <c r="P459" s="6" t="str">
        <f t="shared" ca="1" si="54"/>
        <v/>
      </c>
      <c r="Q459" s="21" t="str">
        <f>IF($A459="","",IF($C459=0,"",_xlfn.MINIFS('Daily tracking'!$A$2:$A$2001,'Daily tracking'!$D$2:$D$2001,$A459)))</f>
        <v/>
      </c>
      <c r="R459" s="6" t="str">
        <f t="shared" si="55"/>
        <v/>
      </c>
    </row>
    <row r="460" spans="1:18" x14ac:dyDescent="0.3">
      <c r="A460" s="19"/>
      <c r="B460" s="19"/>
      <c r="C460" s="15" t="str">
        <f>IF($A460="","",COUNTIF('Daily tracking'!$D$2:$D$2001,$A460))</f>
        <v/>
      </c>
      <c r="D460" s="16" t="str">
        <f>IF($A460="","",SUMIF('Daily tracking'!$D$2:$D$2001,$A460,'Daily tracking'!$G$2:$G$2001))</f>
        <v/>
      </c>
      <c r="E460" s="18" t="str">
        <f>IF($A460="","",IF($C460=0,"",_xlfn.MAXIFS('Daily tracking'!$A$2:$A$2001,'Daily tracking'!$D$2:$D$2001,$A460)))</f>
        <v/>
      </c>
      <c r="F460" s="6" t="str">
        <f t="shared" ca="1" si="49"/>
        <v/>
      </c>
      <c r="G460" s="3" t="str">
        <f t="shared" si="50"/>
        <v/>
      </c>
      <c r="H460" s="9" t="str">
        <f t="shared" si="51"/>
        <v/>
      </c>
      <c r="I460" s="20"/>
      <c r="J460" s="20"/>
      <c r="K460" s="19"/>
      <c r="L460" s="19"/>
      <c r="M460" s="19"/>
      <c r="N460" s="15" t="str">
        <f t="shared" si="52"/>
        <v/>
      </c>
      <c r="O460" s="3" t="str">
        <f t="shared" si="53"/>
        <v/>
      </c>
      <c r="P460" s="6" t="str">
        <f t="shared" ca="1" si="54"/>
        <v/>
      </c>
      <c r="Q460" s="21" t="str">
        <f>IF($A460="","",IF($C460=0,"",_xlfn.MINIFS('Daily tracking'!$A$2:$A$2001,'Daily tracking'!$D$2:$D$2001,$A460)))</f>
        <v/>
      </c>
      <c r="R460" s="6" t="str">
        <f t="shared" si="55"/>
        <v/>
      </c>
    </row>
    <row r="461" spans="1:18" x14ac:dyDescent="0.3">
      <c r="A461" s="19"/>
      <c r="B461" s="19"/>
      <c r="C461" s="15" t="str">
        <f>IF($A461="","",COUNTIF('Daily tracking'!$D$2:$D$2001,$A461))</f>
        <v/>
      </c>
      <c r="D461" s="16" t="str">
        <f>IF($A461="","",SUMIF('Daily tracking'!$D$2:$D$2001,$A461,'Daily tracking'!$G$2:$G$2001))</f>
        <v/>
      </c>
      <c r="E461" s="18" t="str">
        <f>IF($A461="","",IF($C461=0,"",_xlfn.MAXIFS('Daily tracking'!$A$2:$A$2001,'Daily tracking'!$D$2:$D$2001,$A461)))</f>
        <v/>
      </c>
      <c r="F461" s="6" t="str">
        <f t="shared" ca="1" si="49"/>
        <v/>
      </c>
      <c r="G461" s="3" t="str">
        <f t="shared" si="50"/>
        <v/>
      </c>
      <c r="H461" s="9" t="str">
        <f t="shared" si="51"/>
        <v/>
      </c>
      <c r="I461" s="20"/>
      <c r="J461" s="20"/>
      <c r="K461" s="19"/>
      <c r="L461" s="19"/>
      <c r="M461" s="19"/>
      <c r="N461" s="15" t="str">
        <f t="shared" si="52"/>
        <v/>
      </c>
      <c r="O461" s="3" t="str">
        <f t="shared" si="53"/>
        <v/>
      </c>
      <c r="P461" s="6" t="str">
        <f t="shared" ca="1" si="54"/>
        <v/>
      </c>
      <c r="Q461" s="21" t="str">
        <f>IF($A461="","",IF($C461=0,"",_xlfn.MINIFS('Daily tracking'!$A$2:$A$2001,'Daily tracking'!$D$2:$D$2001,$A461)))</f>
        <v/>
      </c>
      <c r="R461" s="6" t="str">
        <f t="shared" si="55"/>
        <v/>
      </c>
    </row>
    <row r="462" spans="1:18" x14ac:dyDescent="0.3">
      <c r="A462" s="19"/>
      <c r="B462" s="19"/>
      <c r="C462" s="15" t="str">
        <f>IF($A462="","",COUNTIF('Daily tracking'!$D$2:$D$2001,$A462))</f>
        <v/>
      </c>
      <c r="D462" s="16" t="str">
        <f>IF($A462="","",SUMIF('Daily tracking'!$D$2:$D$2001,$A462,'Daily tracking'!$G$2:$G$2001))</f>
        <v/>
      </c>
      <c r="E462" s="18" t="str">
        <f>IF($A462="","",IF($C462=0,"",_xlfn.MAXIFS('Daily tracking'!$A$2:$A$2001,'Daily tracking'!$D$2:$D$2001,$A462)))</f>
        <v/>
      </c>
      <c r="F462" s="6" t="str">
        <f t="shared" ca="1" si="49"/>
        <v/>
      </c>
      <c r="G462" s="3" t="str">
        <f t="shared" si="50"/>
        <v/>
      </c>
      <c r="H462" s="9" t="str">
        <f t="shared" si="51"/>
        <v/>
      </c>
      <c r="I462" s="20"/>
      <c r="J462" s="20"/>
      <c r="K462" s="19"/>
      <c r="L462" s="19"/>
      <c r="M462" s="19"/>
      <c r="N462" s="15" t="str">
        <f t="shared" si="52"/>
        <v/>
      </c>
      <c r="O462" s="3" t="str">
        <f t="shared" si="53"/>
        <v/>
      </c>
      <c r="P462" s="6" t="str">
        <f t="shared" ca="1" si="54"/>
        <v/>
      </c>
      <c r="Q462" s="21" t="str">
        <f>IF($A462="","",IF($C462=0,"",_xlfn.MINIFS('Daily tracking'!$A$2:$A$2001,'Daily tracking'!$D$2:$D$2001,$A462)))</f>
        <v/>
      </c>
      <c r="R462" s="6" t="str">
        <f t="shared" si="55"/>
        <v/>
      </c>
    </row>
    <row r="463" spans="1:18" x14ac:dyDescent="0.3">
      <c r="A463" s="19"/>
      <c r="B463" s="19"/>
      <c r="C463" s="15" t="str">
        <f>IF($A463="","",COUNTIF('Daily tracking'!$D$2:$D$2001,$A463))</f>
        <v/>
      </c>
      <c r="D463" s="16" t="str">
        <f>IF($A463="","",SUMIF('Daily tracking'!$D$2:$D$2001,$A463,'Daily tracking'!$G$2:$G$2001))</f>
        <v/>
      </c>
      <c r="E463" s="18" t="str">
        <f>IF($A463="","",IF($C463=0,"",_xlfn.MAXIFS('Daily tracking'!$A$2:$A$2001,'Daily tracking'!$D$2:$D$2001,$A463)))</f>
        <v/>
      </c>
      <c r="F463" s="6" t="str">
        <f t="shared" ca="1" si="49"/>
        <v/>
      </c>
      <c r="G463" s="3" t="str">
        <f t="shared" si="50"/>
        <v/>
      </c>
      <c r="H463" s="9" t="str">
        <f t="shared" si="51"/>
        <v/>
      </c>
      <c r="I463" s="20"/>
      <c r="J463" s="20"/>
      <c r="K463" s="19"/>
      <c r="L463" s="19"/>
      <c r="M463" s="19"/>
      <c r="N463" s="15" t="str">
        <f t="shared" si="52"/>
        <v/>
      </c>
      <c r="O463" s="3" t="str">
        <f t="shared" si="53"/>
        <v/>
      </c>
      <c r="P463" s="6" t="str">
        <f t="shared" ca="1" si="54"/>
        <v/>
      </c>
      <c r="Q463" s="21" t="str">
        <f>IF($A463="","",IF($C463=0,"",_xlfn.MINIFS('Daily tracking'!$A$2:$A$2001,'Daily tracking'!$D$2:$D$2001,$A463)))</f>
        <v/>
      </c>
      <c r="R463" s="6" t="str">
        <f t="shared" si="55"/>
        <v/>
      </c>
    </row>
    <row r="464" spans="1:18" x14ac:dyDescent="0.3">
      <c r="A464" s="19"/>
      <c r="B464" s="19"/>
      <c r="C464" s="15" t="str">
        <f>IF($A464="","",COUNTIF('Daily tracking'!$D$2:$D$2001,$A464))</f>
        <v/>
      </c>
      <c r="D464" s="16" t="str">
        <f>IF($A464="","",SUMIF('Daily tracking'!$D$2:$D$2001,$A464,'Daily tracking'!$G$2:$G$2001))</f>
        <v/>
      </c>
      <c r="E464" s="18" t="str">
        <f>IF($A464="","",IF($C464=0,"",_xlfn.MAXIFS('Daily tracking'!$A$2:$A$2001,'Daily tracking'!$D$2:$D$2001,$A464)))</f>
        <v/>
      </c>
      <c r="F464" s="6" t="str">
        <f t="shared" ca="1" si="49"/>
        <v/>
      </c>
      <c r="G464" s="3" t="str">
        <f t="shared" si="50"/>
        <v/>
      </c>
      <c r="H464" s="9" t="str">
        <f t="shared" si="51"/>
        <v/>
      </c>
      <c r="I464" s="20"/>
      <c r="J464" s="20"/>
      <c r="K464" s="19"/>
      <c r="L464" s="19"/>
      <c r="M464" s="19"/>
      <c r="N464" s="15" t="str">
        <f t="shared" si="52"/>
        <v/>
      </c>
      <c r="O464" s="3" t="str">
        <f t="shared" si="53"/>
        <v/>
      </c>
      <c r="P464" s="6" t="str">
        <f t="shared" ca="1" si="54"/>
        <v/>
      </c>
      <c r="Q464" s="21" t="str">
        <f>IF($A464="","",IF($C464=0,"",_xlfn.MINIFS('Daily tracking'!$A$2:$A$2001,'Daily tracking'!$D$2:$D$2001,$A464)))</f>
        <v/>
      </c>
      <c r="R464" s="6" t="str">
        <f t="shared" si="55"/>
        <v/>
      </c>
    </row>
    <row r="465" spans="1:18" x14ac:dyDescent="0.3">
      <c r="A465" s="19"/>
      <c r="B465" s="19"/>
      <c r="C465" s="15" t="str">
        <f>IF($A465="","",COUNTIF('Daily tracking'!$D$2:$D$2001,$A465))</f>
        <v/>
      </c>
      <c r="D465" s="16" t="str">
        <f>IF($A465="","",SUMIF('Daily tracking'!$D$2:$D$2001,$A465,'Daily tracking'!$G$2:$G$2001))</f>
        <v/>
      </c>
      <c r="E465" s="18" t="str">
        <f>IF($A465="","",IF($C465=0,"",_xlfn.MAXIFS('Daily tracking'!$A$2:$A$2001,'Daily tracking'!$D$2:$D$2001,$A465)))</f>
        <v/>
      </c>
      <c r="F465" s="6" t="str">
        <f t="shared" ca="1" si="49"/>
        <v/>
      </c>
      <c r="G465" s="3" t="str">
        <f t="shared" si="50"/>
        <v/>
      </c>
      <c r="H465" s="9" t="str">
        <f t="shared" si="51"/>
        <v/>
      </c>
      <c r="I465" s="20"/>
      <c r="J465" s="20"/>
      <c r="K465" s="19"/>
      <c r="L465" s="19"/>
      <c r="M465" s="19"/>
      <c r="N465" s="15" t="str">
        <f t="shared" si="52"/>
        <v/>
      </c>
      <c r="O465" s="3" t="str">
        <f t="shared" si="53"/>
        <v/>
      </c>
      <c r="P465" s="6" t="str">
        <f t="shared" ca="1" si="54"/>
        <v/>
      </c>
      <c r="Q465" s="21" t="str">
        <f>IF($A465="","",IF($C465=0,"",_xlfn.MINIFS('Daily tracking'!$A$2:$A$2001,'Daily tracking'!$D$2:$D$2001,$A465)))</f>
        <v/>
      </c>
      <c r="R465" s="6" t="str">
        <f t="shared" si="55"/>
        <v/>
      </c>
    </row>
    <row r="466" spans="1:18" x14ac:dyDescent="0.3">
      <c r="A466" s="19"/>
      <c r="B466" s="19"/>
      <c r="C466" s="15" t="str">
        <f>IF($A466="","",COUNTIF('Daily tracking'!$D$2:$D$2001,$A466))</f>
        <v/>
      </c>
      <c r="D466" s="16" t="str">
        <f>IF($A466="","",SUMIF('Daily tracking'!$D$2:$D$2001,$A466,'Daily tracking'!$G$2:$G$2001))</f>
        <v/>
      </c>
      <c r="E466" s="18" t="str">
        <f>IF($A466="","",IF($C466=0,"",_xlfn.MAXIFS('Daily tracking'!$A$2:$A$2001,'Daily tracking'!$D$2:$D$2001,$A466)))</f>
        <v/>
      </c>
      <c r="F466" s="6" t="str">
        <f t="shared" ca="1" si="49"/>
        <v/>
      </c>
      <c r="G466" s="3" t="str">
        <f t="shared" si="50"/>
        <v/>
      </c>
      <c r="H466" s="9" t="str">
        <f t="shared" si="51"/>
        <v/>
      </c>
      <c r="I466" s="20"/>
      <c r="J466" s="20"/>
      <c r="K466" s="19"/>
      <c r="L466" s="19"/>
      <c r="M466" s="19"/>
      <c r="N466" s="15" t="str">
        <f t="shared" si="52"/>
        <v/>
      </c>
      <c r="O466" s="3" t="str">
        <f t="shared" si="53"/>
        <v/>
      </c>
      <c r="P466" s="6" t="str">
        <f t="shared" ca="1" si="54"/>
        <v/>
      </c>
      <c r="Q466" s="21" t="str">
        <f>IF($A466="","",IF($C466=0,"",_xlfn.MINIFS('Daily tracking'!$A$2:$A$2001,'Daily tracking'!$D$2:$D$2001,$A466)))</f>
        <v/>
      </c>
      <c r="R466" s="6" t="str">
        <f t="shared" si="55"/>
        <v/>
      </c>
    </row>
    <row r="467" spans="1:18" x14ac:dyDescent="0.3">
      <c r="A467" s="19"/>
      <c r="B467" s="19"/>
      <c r="C467" s="15" t="str">
        <f>IF($A467="","",COUNTIF('Daily tracking'!$D$2:$D$2001,$A467))</f>
        <v/>
      </c>
      <c r="D467" s="16" t="str">
        <f>IF($A467="","",SUMIF('Daily tracking'!$D$2:$D$2001,$A467,'Daily tracking'!$G$2:$G$2001))</f>
        <v/>
      </c>
      <c r="E467" s="18" t="str">
        <f>IF($A467="","",IF($C467=0,"",_xlfn.MAXIFS('Daily tracking'!$A$2:$A$2001,'Daily tracking'!$D$2:$D$2001,$A467)))</f>
        <v/>
      </c>
      <c r="F467" s="6" t="str">
        <f t="shared" ca="1" si="49"/>
        <v/>
      </c>
      <c r="G467" s="3" t="str">
        <f t="shared" si="50"/>
        <v/>
      </c>
      <c r="H467" s="9" t="str">
        <f t="shared" si="51"/>
        <v/>
      </c>
      <c r="I467" s="20"/>
      <c r="J467" s="20"/>
      <c r="K467" s="19"/>
      <c r="L467" s="19"/>
      <c r="M467" s="19"/>
      <c r="N467" s="15" t="str">
        <f t="shared" si="52"/>
        <v/>
      </c>
      <c r="O467" s="3" t="str">
        <f t="shared" si="53"/>
        <v/>
      </c>
      <c r="P467" s="6" t="str">
        <f t="shared" ca="1" si="54"/>
        <v/>
      </c>
      <c r="Q467" s="21" t="str">
        <f>IF($A467="","",IF($C467=0,"",_xlfn.MINIFS('Daily tracking'!$A$2:$A$2001,'Daily tracking'!$D$2:$D$2001,$A467)))</f>
        <v/>
      </c>
      <c r="R467" s="6" t="str">
        <f t="shared" si="55"/>
        <v/>
      </c>
    </row>
    <row r="468" spans="1:18" x14ac:dyDescent="0.3">
      <c r="A468" s="19"/>
      <c r="B468" s="19"/>
      <c r="C468" s="15" t="str">
        <f>IF($A468="","",COUNTIF('Daily tracking'!$D$2:$D$2001,$A468))</f>
        <v/>
      </c>
      <c r="D468" s="16" t="str">
        <f>IF($A468="","",SUMIF('Daily tracking'!$D$2:$D$2001,$A468,'Daily tracking'!$G$2:$G$2001))</f>
        <v/>
      </c>
      <c r="E468" s="18" t="str">
        <f>IF($A468="","",IF($C468=0,"",_xlfn.MAXIFS('Daily tracking'!$A$2:$A$2001,'Daily tracking'!$D$2:$D$2001,$A468)))</f>
        <v/>
      </c>
      <c r="F468" s="6" t="str">
        <f t="shared" ca="1" si="49"/>
        <v/>
      </c>
      <c r="G468" s="3" t="str">
        <f t="shared" si="50"/>
        <v/>
      </c>
      <c r="H468" s="9" t="str">
        <f t="shared" si="51"/>
        <v/>
      </c>
      <c r="I468" s="20"/>
      <c r="J468" s="20"/>
      <c r="K468" s="19"/>
      <c r="L468" s="19"/>
      <c r="M468" s="19"/>
      <c r="N468" s="15" t="str">
        <f t="shared" si="52"/>
        <v/>
      </c>
      <c r="O468" s="3" t="str">
        <f t="shared" si="53"/>
        <v/>
      </c>
      <c r="P468" s="6" t="str">
        <f t="shared" ca="1" si="54"/>
        <v/>
      </c>
      <c r="Q468" s="21" t="str">
        <f>IF($A468="","",IF($C468=0,"",_xlfn.MINIFS('Daily tracking'!$A$2:$A$2001,'Daily tracking'!$D$2:$D$2001,$A468)))</f>
        <v/>
      </c>
      <c r="R468" s="6" t="str">
        <f t="shared" si="55"/>
        <v/>
      </c>
    </row>
    <row r="469" spans="1:18" x14ac:dyDescent="0.3">
      <c r="A469" s="19"/>
      <c r="B469" s="19"/>
      <c r="C469" s="15" t="str">
        <f>IF($A469="","",COUNTIF('Daily tracking'!$D$2:$D$2001,$A469))</f>
        <v/>
      </c>
      <c r="D469" s="16" t="str">
        <f>IF($A469="","",SUMIF('Daily tracking'!$D$2:$D$2001,$A469,'Daily tracking'!$G$2:$G$2001))</f>
        <v/>
      </c>
      <c r="E469" s="18" t="str">
        <f>IF($A469="","",IF($C469=0,"",_xlfn.MAXIFS('Daily tracking'!$A$2:$A$2001,'Daily tracking'!$D$2:$D$2001,$A469)))</f>
        <v/>
      </c>
      <c r="F469" s="6" t="str">
        <f t="shared" ca="1" si="49"/>
        <v/>
      </c>
      <c r="G469" s="3" t="str">
        <f t="shared" si="50"/>
        <v/>
      </c>
      <c r="H469" s="9" t="str">
        <f t="shared" si="51"/>
        <v/>
      </c>
      <c r="I469" s="20"/>
      <c r="J469" s="20"/>
      <c r="K469" s="19"/>
      <c r="L469" s="19"/>
      <c r="M469" s="19"/>
      <c r="N469" s="15" t="str">
        <f t="shared" si="52"/>
        <v/>
      </c>
      <c r="O469" s="3" t="str">
        <f t="shared" si="53"/>
        <v/>
      </c>
      <c r="P469" s="6" t="str">
        <f t="shared" ca="1" si="54"/>
        <v/>
      </c>
      <c r="Q469" s="21" t="str">
        <f>IF($A469="","",IF($C469=0,"",_xlfn.MINIFS('Daily tracking'!$A$2:$A$2001,'Daily tracking'!$D$2:$D$2001,$A469)))</f>
        <v/>
      </c>
      <c r="R469" s="6" t="str">
        <f t="shared" si="55"/>
        <v/>
      </c>
    </row>
    <row r="470" spans="1:18" x14ac:dyDescent="0.3">
      <c r="A470" s="19"/>
      <c r="B470" s="19"/>
      <c r="C470" s="15" t="str">
        <f>IF($A470="","",COUNTIF('Daily tracking'!$D$2:$D$2001,$A470))</f>
        <v/>
      </c>
      <c r="D470" s="16" t="str">
        <f>IF($A470="","",SUMIF('Daily tracking'!$D$2:$D$2001,$A470,'Daily tracking'!$G$2:$G$2001))</f>
        <v/>
      </c>
      <c r="E470" s="18" t="str">
        <f>IF($A470="","",IF($C470=0,"",_xlfn.MAXIFS('Daily tracking'!$A$2:$A$2001,'Daily tracking'!$D$2:$D$2001,$A470)))</f>
        <v/>
      </c>
      <c r="F470" s="6" t="str">
        <f t="shared" ca="1" si="49"/>
        <v/>
      </c>
      <c r="G470" s="3" t="str">
        <f t="shared" si="50"/>
        <v/>
      </c>
      <c r="H470" s="9" t="str">
        <f t="shared" si="51"/>
        <v/>
      </c>
      <c r="I470" s="20"/>
      <c r="J470" s="20"/>
      <c r="K470" s="19"/>
      <c r="L470" s="19"/>
      <c r="M470" s="19"/>
      <c r="N470" s="15" t="str">
        <f t="shared" si="52"/>
        <v/>
      </c>
      <c r="O470" s="3" t="str">
        <f t="shared" si="53"/>
        <v/>
      </c>
      <c r="P470" s="6" t="str">
        <f t="shared" ca="1" si="54"/>
        <v/>
      </c>
      <c r="Q470" s="21" t="str">
        <f>IF($A470="","",IF($C470=0,"",_xlfn.MINIFS('Daily tracking'!$A$2:$A$2001,'Daily tracking'!$D$2:$D$2001,$A470)))</f>
        <v/>
      </c>
      <c r="R470" s="6" t="str">
        <f t="shared" si="55"/>
        <v/>
      </c>
    </row>
    <row r="471" spans="1:18" x14ac:dyDescent="0.3">
      <c r="A471" s="19"/>
      <c r="B471" s="19"/>
      <c r="C471" s="15" t="str">
        <f>IF($A471="","",COUNTIF('Daily tracking'!$D$2:$D$2001,$A471))</f>
        <v/>
      </c>
      <c r="D471" s="16" t="str">
        <f>IF($A471="","",SUMIF('Daily tracking'!$D$2:$D$2001,$A471,'Daily tracking'!$G$2:$G$2001))</f>
        <v/>
      </c>
      <c r="E471" s="18" t="str">
        <f>IF($A471="","",IF($C471=0,"",_xlfn.MAXIFS('Daily tracking'!$A$2:$A$2001,'Daily tracking'!$D$2:$D$2001,$A471)))</f>
        <v/>
      </c>
      <c r="F471" s="6" t="str">
        <f t="shared" ca="1" si="49"/>
        <v/>
      </c>
      <c r="G471" s="3" t="str">
        <f t="shared" si="50"/>
        <v/>
      </c>
      <c r="H471" s="9" t="str">
        <f t="shared" si="51"/>
        <v/>
      </c>
      <c r="I471" s="20"/>
      <c r="J471" s="20"/>
      <c r="K471" s="19"/>
      <c r="L471" s="19"/>
      <c r="M471" s="19"/>
      <c r="N471" s="15" t="str">
        <f t="shared" si="52"/>
        <v/>
      </c>
      <c r="O471" s="3" t="str">
        <f t="shared" si="53"/>
        <v/>
      </c>
      <c r="P471" s="6" t="str">
        <f t="shared" ca="1" si="54"/>
        <v/>
      </c>
      <c r="Q471" s="21" t="str">
        <f>IF($A471="","",IF($C471=0,"",_xlfn.MINIFS('Daily tracking'!$A$2:$A$2001,'Daily tracking'!$D$2:$D$2001,$A471)))</f>
        <v/>
      </c>
      <c r="R471" s="6" t="str">
        <f t="shared" si="55"/>
        <v/>
      </c>
    </row>
    <row r="472" spans="1:18" x14ac:dyDescent="0.3">
      <c r="A472" s="19"/>
      <c r="B472" s="19"/>
      <c r="C472" s="15" t="str">
        <f>IF($A472="","",COUNTIF('Daily tracking'!$D$2:$D$2001,$A472))</f>
        <v/>
      </c>
      <c r="D472" s="16" t="str">
        <f>IF($A472="","",SUMIF('Daily tracking'!$D$2:$D$2001,$A472,'Daily tracking'!$G$2:$G$2001))</f>
        <v/>
      </c>
      <c r="E472" s="18" t="str">
        <f>IF($A472="","",IF($C472=0,"",_xlfn.MAXIFS('Daily tracking'!$A$2:$A$2001,'Daily tracking'!$D$2:$D$2001,$A472)))</f>
        <v/>
      </c>
      <c r="F472" s="6" t="str">
        <f t="shared" ca="1" si="49"/>
        <v/>
      </c>
      <c r="G472" s="3" t="str">
        <f t="shared" si="50"/>
        <v/>
      </c>
      <c r="H472" s="9" t="str">
        <f t="shared" si="51"/>
        <v/>
      </c>
      <c r="I472" s="20"/>
      <c r="J472" s="20"/>
      <c r="K472" s="19"/>
      <c r="L472" s="19"/>
      <c r="M472" s="19"/>
      <c r="N472" s="15" t="str">
        <f t="shared" si="52"/>
        <v/>
      </c>
      <c r="O472" s="3" t="str">
        <f t="shared" si="53"/>
        <v/>
      </c>
      <c r="P472" s="6" t="str">
        <f t="shared" ca="1" si="54"/>
        <v/>
      </c>
      <c r="Q472" s="21" t="str">
        <f>IF($A472="","",IF($C472=0,"",_xlfn.MINIFS('Daily tracking'!$A$2:$A$2001,'Daily tracking'!$D$2:$D$2001,$A472)))</f>
        <v/>
      </c>
      <c r="R472" s="6" t="str">
        <f t="shared" si="55"/>
        <v/>
      </c>
    </row>
    <row r="473" spans="1:18" x14ac:dyDescent="0.3">
      <c r="A473" s="19"/>
      <c r="B473" s="19"/>
      <c r="C473" s="15" t="str">
        <f>IF($A473="","",COUNTIF('Daily tracking'!$D$2:$D$2001,$A473))</f>
        <v/>
      </c>
      <c r="D473" s="16" t="str">
        <f>IF($A473="","",SUMIF('Daily tracking'!$D$2:$D$2001,$A473,'Daily tracking'!$G$2:$G$2001))</f>
        <v/>
      </c>
      <c r="E473" s="18" t="str">
        <f>IF($A473="","",IF($C473=0,"",_xlfn.MAXIFS('Daily tracking'!$A$2:$A$2001,'Daily tracking'!$D$2:$D$2001,$A473)))</f>
        <v/>
      </c>
      <c r="F473" s="6" t="str">
        <f t="shared" ca="1" si="49"/>
        <v/>
      </c>
      <c r="G473" s="3" t="str">
        <f t="shared" si="50"/>
        <v/>
      </c>
      <c r="H473" s="9" t="str">
        <f t="shared" si="51"/>
        <v/>
      </c>
      <c r="I473" s="20"/>
      <c r="J473" s="20"/>
      <c r="K473" s="19"/>
      <c r="L473" s="19"/>
      <c r="M473" s="19"/>
      <c r="N473" s="15" t="str">
        <f t="shared" si="52"/>
        <v/>
      </c>
      <c r="O473" s="3" t="str">
        <f t="shared" si="53"/>
        <v/>
      </c>
      <c r="P473" s="6" t="str">
        <f t="shared" ca="1" si="54"/>
        <v/>
      </c>
      <c r="Q473" s="21" t="str">
        <f>IF($A473="","",IF($C473=0,"",_xlfn.MINIFS('Daily tracking'!$A$2:$A$2001,'Daily tracking'!$D$2:$D$2001,$A473)))</f>
        <v/>
      </c>
      <c r="R473" s="6" t="str">
        <f t="shared" si="55"/>
        <v/>
      </c>
    </row>
    <row r="474" spans="1:18" x14ac:dyDescent="0.3">
      <c r="A474" s="19"/>
      <c r="B474" s="19"/>
      <c r="C474" s="15" t="str">
        <f>IF($A474="","",COUNTIF('Daily tracking'!$D$2:$D$2001,$A474))</f>
        <v/>
      </c>
      <c r="D474" s="16" t="str">
        <f>IF($A474="","",SUMIF('Daily tracking'!$D$2:$D$2001,$A474,'Daily tracking'!$G$2:$G$2001))</f>
        <v/>
      </c>
      <c r="E474" s="18" t="str">
        <f>IF($A474="","",IF($C474=0,"",_xlfn.MAXIFS('Daily tracking'!$A$2:$A$2001,'Daily tracking'!$D$2:$D$2001,$A474)))</f>
        <v/>
      </c>
      <c r="F474" s="6" t="str">
        <f t="shared" ca="1" si="49"/>
        <v/>
      </c>
      <c r="G474" s="3" t="str">
        <f t="shared" si="50"/>
        <v/>
      </c>
      <c r="H474" s="9" t="str">
        <f t="shared" si="51"/>
        <v/>
      </c>
      <c r="I474" s="20"/>
      <c r="J474" s="20"/>
      <c r="K474" s="19"/>
      <c r="L474" s="19"/>
      <c r="M474" s="19"/>
      <c r="N474" s="15" t="str">
        <f t="shared" si="52"/>
        <v/>
      </c>
      <c r="O474" s="3" t="str">
        <f t="shared" si="53"/>
        <v/>
      </c>
      <c r="P474" s="6" t="str">
        <f t="shared" ca="1" si="54"/>
        <v/>
      </c>
      <c r="Q474" s="21" t="str">
        <f>IF($A474="","",IF($C474=0,"",_xlfn.MINIFS('Daily tracking'!$A$2:$A$2001,'Daily tracking'!$D$2:$D$2001,$A474)))</f>
        <v/>
      </c>
      <c r="R474" s="6" t="str">
        <f t="shared" si="55"/>
        <v/>
      </c>
    </row>
    <row r="475" spans="1:18" x14ac:dyDescent="0.3">
      <c r="A475" s="19"/>
      <c r="B475" s="19"/>
      <c r="C475" s="15" t="str">
        <f>IF($A475="","",COUNTIF('Daily tracking'!$D$2:$D$2001,$A475))</f>
        <v/>
      </c>
      <c r="D475" s="16" t="str">
        <f>IF($A475="","",SUMIF('Daily tracking'!$D$2:$D$2001,$A475,'Daily tracking'!$G$2:$G$2001))</f>
        <v/>
      </c>
      <c r="E475" s="18" t="str">
        <f>IF($A475="","",IF($C475=0,"",_xlfn.MAXIFS('Daily tracking'!$A$2:$A$2001,'Daily tracking'!$D$2:$D$2001,$A475)))</f>
        <v/>
      </c>
      <c r="F475" s="6" t="str">
        <f t="shared" ca="1" si="49"/>
        <v/>
      </c>
      <c r="G475" s="3" t="str">
        <f t="shared" si="50"/>
        <v/>
      </c>
      <c r="H475" s="9" t="str">
        <f t="shared" si="51"/>
        <v/>
      </c>
      <c r="I475" s="20"/>
      <c r="J475" s="20"/>
      <c r="K475" s="19"/>
      <c r="L475" s="19"/>
      <c r="M475" s="19"/>
      <c r="N475" s="15" t="str">
        <f t="shared" si="52"/>
        <v/>
      </c>
      <c r="O475" s="3" t="str">
        <f t="shared" si="53"/>
        <v/>
      </c>
      <c r="P475" s="6" t="str">
        <f t="shared" ca="1" si="54"/>
        <v/>
      </c>
      <c r="Q475" s="21" t="str">
        <f>IF($A475="","",IF($C475=0,"",_xlfn.MINIFS('Daily tracking'!$A$2:$A$2001,'Daily tracking'!$D$2:$D$2001,$A475)))</f>
        <v/>
      </c>
      <c r="R475" s="6" t="str">
        <f t="shared" si="55"/>
        <v/>
      </c>
    </row>
    <row r="476" spans="1:18" x14ac:dyDescent="0.3">
      <c r="A476" s="19"/>
      <c r="B476" s="19"/>
      <c r="C476" s="15" t="str">
        <f>IF($A476="","",COUNTIF('Daily tracking'!$D$2:$D$2001,$A476))</f>
        <v/>
      </c>
      <c r="D476" s="16" t="str">
        <f>IF($A476="","",SUMIF('Daily tracking'!$D$2:$D$2001,$A476,'Daily tracking'!$G$2:$G$2001))</f>
        <v/>
      </c>
      <c r="E476" s="18" t="str">
        <f>IF($A476="","",IF($C476=0,"",_xlfn.MAXIFS('Daily tracking'!$A$2:$A$2001,'Daily tracking'!$D$2:$D$2001,$A476)))</f>
        <v/>
      </c>
      <c r="F476" s="6" t="str">
        <f t="shared" ca="1" si="49"/>
        <v/>
      </c>
      <c r="G476" s="3" t="str">
        <f t="shared" si="50"/>
        <v/>
      </c>
      <c r="H476" s="9" t="str">
        <f t="shared" si="51"/>
        <v/>
      </c>
      <c r="I476" s="20"/>
      <c r="J476" s="20"/>
      <c r="K476" s="19"/>
      <c r="L476" s="19"/>
      <c r="M476" s="19"/>
      <c r="N476" s="15" t="str">
        <f t="shared" si="52"/>
        <v/>
      </c>
      <c r="O476" s="3" t="str">
        <f t="shared" si="53"/>
        <v/>
      </c>
      <c r="P476" s="6" t="str">
        <f t="shared" ca="1" si="54"/>
        <v/>
      </c>
      <c r="Q476" s="21" t="str">
        <f>IF($A476="","",IF($C476=0,"",_xlfn.MINIFS('Daily tracking'!$A$2:$A$2001,'Daily tracking'!$D$2:$D$2001,$A476)))</f>
        <v/>
      </c>
      <c r="R476" s="6" t="str">
        <f t="shared" si="55"/>
        <v/>
      </c>
    </row>
    <row r="477" spans="1:18" x14ac:dyDescent="0.3">
      <c r="A477" s="19"/>
      <c r="B477" s="19"/>
      <c r="C477" s="15" t="str">
        <f>IF($A477="","",COUNTIF('Daily tracking'!$D$2:$D$2001,$A477))</f>
        <v/>
      </c>
      <c r="D477" s="16" t="str">
        <f>IF($A477="","",SUMIF('Daily tracking'!$D$2:$D$2001,$A477,'Daily tracking'!$G$2:$G$2001))</f>
        <v/>
      </c>
      <c r="E477" s="18" t="str">
        <f>IF($A477="","",IF($C477=0,"",_xlfn.MAXIFS('Daily tracking'!$A$2:$A$2001,'Daily tracking'!$D$2:$D$2001,$A477)))</f>
        <v/>
      </c>
      <c r="F477" s="6" t="str">
        <f t="shared" ca="1" si="49"/>
        <v/>
      </c>
      <c r="G477" s="3" t="str">
        <f t="shared" si="50"/>
        <v/>
      </c>
      <c r="H477" s="9" t="str">
        <f t="shared" si="51"/>
        <v/>
      </c>
      <c r="I477" s="20"/>
      <c r="J477" s="20"/>
      <c r="K477" s="19"/>
      <c r="L477" s="19"/>
      <c r="M477" s="19"/>
      <c r="N477" s="15" t="str">
        <f t="shared" si="52"/>
        <v/>
      </c>
      <c r="O477" s="3" t="str">
        <f t="shared" si="53"/>
        <v/>
      </c>
      <c r="P477" s="6" t="str">
        <f t="shared" ca="1" si="54"/>
        <v/>
      </c>
      <c r="Q477" s="21" t="str">
        <f>IF($A477="","",IF($C477=0,"",_xlfn.MINIFS('Daily tracking'!$A$2:$A$2001,'Daily tracking'!$D$2:$D$2001,$A477)))</f>
        <v/>
      </c>
      <c r="R477" s="6" t="str">
        <f t="shared" si="55"/>
        <v/>
      </c>
    </row>
    <row r="478" spans="1:18" x14ac:dyDescent="0.3">
      <c r="A478" s="19"/>
      <c r="B478" s="19"/>
      <c r="C478" s="15" t="str">
        <f>IF($A478="","",COUNTIF('Daily tracking'!$D$2:$D$2001,$A478))</f>
        <v/>
      </c>
      <c r="D478" s="16" t="str">
        <f>IF($A478="","",SUMIF('Daily tracking'!$D$2:$D$2001,$A478,'Daily tracking'!$G$2:$G$2001))</f>
        <v/>
      </c>
      <c r="E478" s="18" t="str">
        <f>IF($A478="","",IF($C478=0,"",_xlfn.MAXIFS('Daily tracking'!$A$2:$A$2001,'Daily tracking'!$D$2:$D$2001,$A478)))</f>
        <v/>
      </c>
      <c r="F478" s="6" t="str">
        <f t="shared" ca="1" si="49"/>
        <v/>
      </c>
      <c r="G478" s="3" t="str">
        <f t="shared" si="50"/>
        <v/>
      </c>
      <c r="H478" s="9" t="str">
        <f t="shared" si="51"/>
        <v/>
      </c>
      <c r="I478" s="20"/>
      <c r="J478" s="20"/>
      <c r="K478" s="19"/>
      <c r="L478" s="19"/>
      <c r="M478" s="19"/>
      <c r="N478" s="15" t="str">
        <f t="shared" si="52"/>
        <v/>
      </c>
      <c r="O478" s="3" t="str">
        <f t="shared" si="53"/>
        <v/>
      </c>
      <c r="P478" s="6" t="str">
        <f t="shared" ca="1" si="54"/>
        <v/>
      </c>
      <c r="Q478" s="21" t="str">
        <f>IF($A478="","",IF($C478=0,"",_xlfn.MINIFS('Daily tracking'!$A$2:$A$2001,'Daily tracking'!$D$2:$D$2001,$A478)))</f>
        <v/>
      </c>
      <c r="R478" s="6" t="str">
        <f t="shared" si="55"/>
        <v/>
      </c>
    </row>
    <row r="479" spans="1:18" x14ac:dyDescent="0.3">
      <c r="A479" s="19"/>
      <c r="B479" s="19"/>
      <c r="C479" s="15" t="str">
        <f>IF($A479="","",COUNTIF('Daily tracking'!$D$2:$D$2001,$A479))</f>
        <v/>
      </c>
      <c r="D479" s="16" t="str">
        <f>IF($A479="","",SUMIF('Daily tracking'!$D$2:$D$2001,$A479,'Daily tracking'!$G$2:$G$2001))</f>
        <v/>
      </c>
      <c r="E479" s="18" t="str">
        <f>IF($A479="","",IF($C479=0,"",_xlfn.MAXIFS('Daily tracking'!$A$2:$A$2001,'Daily tracking'!$D$2:$D$2001,$A479)))</f>
        <v/>
      </c>
      <c r="F479" s="6" t="str">
        <f t="shared" ca="1" si="49"/>
        <v/>
      </c>
      <c r="G479" s="3" t="str">
        <f t="shared" si="50"/>
        <v/>
      </c>
      <c r="H479" s="9" t="str">
        <f t="shared" si="51"/>
        <v/>
      </c>
      <c r="I479" s="20"/>
      <c r="J479" s="20"/>
      <c r="K479" s="19"/>
      <c r="L479" s="19"/>
      <c r="M479" s="19"/>
      <c r="N479" s="15" t="str">
        <f t="shared" si="52"/>
        <v/>
      </c>
      <c r="O479" s="3" t="str">
        <f t="shared" si="53"/>
        <v/>
      </c>
      <c r="P479" s="6" t="str">
        <f t="shared" ca="1" si="54"/>
        <v/>
      </c>
      <c r="Q479" s="21" t="str">
        <f>IF($A479="","",IF($C479=0,"",_xlfn.MINIFS('Daily tracking'!$A$2:$A$2001,'Daily tracking'!$D$2:$D$2001,$A479)))</f>
        <v/>
      </c>
      <c r="R479" s="6" t="str">
        <f t="shared" si="55"/>
        <v/>
      </c>
    </row>
    <row r="480" spans="1:18" x14ac:dyDescent="0.3">
      <c r="A480" s="19"/>
      <c r="B480" s="19"/>
      <c r="C480" s="15" t="str">
        <f>IF($A480="","",COUNTIF('Daily tracking'!$D$2:$D$2001,$A480))</f>
        <v/>
      </c>
      <c r="D480" s="16" t="str">
        <f>IF($A480="","",SUMIF('Daily tracking'!$D$2:$D$2001,$A480,'Daily tracking'!$G$2:$G$2001))</f>
        <v/>
      </c>
      <c r="E480" s="18" t="str">
        <f>IF($A480="","",IF($C480=0,"",_xlfn.MAXIFS('Daily tracking'!$A$2:$A$2001,'Daily tracking'!$D$2:$D$2001,$A480)))</f>
        <v/>
      </c>
      <c r="F480" s="6" t="str">
        <f t="shared" ca="1" si="49"/>
        <v/>
      </c>
      <c r="G480" s="3" t="str">
        <f t="shared" si="50"/>
        <v/>
      </c>
      <c r="H480" s="9" t="str">
        <f t="shared" si="51"/>
        <v/>
      </c>
      <c r="I480" s="20"/>
      <c r="J480" s="20"/>
      <c r="K480" s="19"/>
      <c r="L480" s="19"/>
      <c r="M480" s="19"/>
      <c r="N480" s="15" t="str">
        <f t="shared" si="52"/>
        <v/>
      </c>
      <c r="O480" s="3" t="str">
        <f t="shared" si="53"/>
        <v/>
      </c>
      <c r="P480" s="6" t="str">
        <f t="shared" ca="1" si="54"/>
        <v/>
      </c>
      <c r="Q480" s="21" t="str">
        <f>IF($A480="","",IF($C480=0,"",_xlfn.MINIFS('Daily tracking'!$A$2:$A$2001,'Daily tracking'!$D$2:$D$2001,$A480)))</f>
        <v/>
      </c>
      <c r="R480" s="6" t="str">
        <f t="shared" si="55"/>
        <v/>
      </c>
    </row>
    <row r="481" spans="1:18" x14ac:dyDescent="0.3">
      <c r="A481" s="19"/>
      <c r="B481" s="19"/>
      <c r="C481" s="15" t="str">
        <f>IF($A481="","",COUNTIF('Daily tracking'!$D$2:$D$2001,$A481))</f>
        <v/>
      </c>
      <c r="D481" s="16" t="str">
        <f>IF($A481="","",SUMIF('Daily tracking'!$D$2:$D$2001,$A481,'Daily tracking'!$G$2:$G$2001))</f>
        <v/>
      </c>
      <c r="E481" s="18" t="str">
        <f>IF($A481="","",IF($C481=0,"",_xlfn.MAXIFS('Daily tracking'!$A$2:$A$2001,'Daily tracking'!$D$2:$D$2001,$A481)))</f>
        <v/>
      </c>
      <c r="F481" s="6" t="str">
        <f t="shared" ca="1" si="49"/>
        <v/>
      </c>
      <c r="G481" s="3" t="str">
        <f t="shared" si="50"/>
        <v/>
      </c>
      <c r="H481" s="9" t="str">
        <f t="shared" si="51"/>
        <v/>
      </c>
      <c r="I481" s="20"/>
      <c r="J481" s="20"/>
      <c r="K481" s="19"/>
      <c r="L481" s="19"/>
      <c r="M481" s="19"/>
      <c r="N481" s="15" t="str">
        <f t="shared" si="52"/>
        <v/>
      </c>
      <c r="O481" s="3" t="str">
        <f t="shared" si="53"/>
        <v/>
      </c>
      <c r="P481" s="6" t="str">
        <f t="shared" ca="1" si="54"/>
        <v/>
      </c>
      <c r="Q481" s="21" t="str">
        <f>IF($A481="","",IF($C481=0,"",_xlfn.MINIFS('Daily tracking'!$A$2:$A$2001,'Daily tracking'!$D$2:$D$2001,$A481)))</f>
        <v/>
      </c>
      <c r="R481" s="6" t="str">
        <f t="shared" si="55"/>
        <v/>
      </c>
    </row>
    <row r="482" spans="1:18" x14ac:dyDescent="0.3">
      <c r="A482" s="19"/>
      <c r="B482" s="19"/>
      <c r="C482" s="15" t="str">
        <f>IF($A482="","",COUNTIF('Daily tracking'!$D$2:$D$2001,$A482))</f>
        <v/>
      </c>
      <c r="D482" s="16" t="str">
        <f>IF($A482="","",SUMIF('Daily tracking'!$D$2:$D$2001,$A482,'Daily tracking'!$G$2:$G$2001))</f>
        <v/>
      </c>
      <c r="E482" s="18" t="str">
        <f>IF($A482="","",IF($C482=0,"",_xlfn.MAXIFS('Daily tracking'!$A$2:$A$2001,'Daily tracking'!$D$2:$D$2001,$A482)))</f>
        <v/>
      </c>
      <c r="F482" s="6" t="str">
        <f t="shared" ca="1" si="49"/>
        <v/>
      </c>
      <c r="G482" s="3" t="str">
        <f t="shared" si="50"/>
        <v/>
      </c>
      <c r="H482" s="9" t="str">
        <f t="shared" si="51"/>
        <v/>
      </c>
      <c r="I482" s="20"/>
      <c r="J482" s="20"/>
      <c r="K482" s="19"/>
      <c r="L482" s="19"/>
      <c r="M482" s="19"/>
      <c r="N482" s="15" t="str">
        <f t="shared" si="52"/>
        <v/>
      </c>
      <c r="O482" s="3" t="str">
        <f t="shared" si="53"/>
        <v/>
      </c>
      <c r="P482" s="6" t="str">
        <f t="shared" ca="1" si="54"/>
        <v/>
      </c>
      <c r="Q482" s="21" t="str">
        <f>IF($A482="","",IF($C482=0,"",_xlfn.MINIFS('Daily tracking'!$A$2:$A$2001,'Daily tracking'!$D$2:$D$2001,$A482)))</f>
        <v/>
      </c>
      <c r="R482" s="6" t="str">
        <f t="shared" si="55"/>
        <v/>
      </c>
    </row>
    <row r="483" spans="1:18" x14ac:dyDescent="0.3">
      <c r="A483" s="19"/>
      <c r="B483" s="19"/>
      <c r="C483" s="15" t="str">
        <f>IF($A483="","",COUNTIF('Daily tracking'!$D$2:$D$2001,$A483))</f>
        <v/>
      </c>
      <c r="D483" s="16" t="str">
        <f>IF($A483="","",SUMIF('Daily tracking'!$D$2:$D$2001,$A483,'Daily tracking'!$G$2:$G$2001))</f>
        <v/>
      </c>
      <c r="E483" s="18" t="str">
        <f>IF($A483="","",IF($C483=0,"",_xlfn.MAXIFS('Daily tracking'!$A$2:$A$2001,'Daily tracking'!$D$2:$D$2001,$A483)))</f>
        <v/>
      </c>
      <c r="F483" s="6" t="str">
        <f t="shared" ca="1" si="49"/>
        <v/>
      </c>
      <c r="G483" s="3" t="str">
        <f t="shared" si="50"/>
        <v/>
      </c>
      <c r="H483" s="9" t="str">
        <f t="shared" si="51"/>
        <v/>
      </c>
      <c r="I483" s="20"/>
      <c r="J483" s="20"/>
      <c r="K483" s="19"/>
      <c r="L483" s="19"/>
      <c r="M483" s="19"/>
      <c r="N483" s="15" t="str">
        <f t="shared" si="52"/>
        <v/>
      </c>
      <c r="O483" s="3" t="str">
        <f t="shared" si="53"/>
        <v/>
      </c>
      <c r="P483" s="6" t="str">
        <f t="shared" ca="1" si="54"/>
        <v/>
      </c>
      <c r="Q483" s="21" t="str">
        <f>IF($A483="","",IF($C483=0,"",_xlfn.MINIFS('Daily tracking'!$A$2:$A$2001,'Daily tracking'!$D$2:$D$2001,$A483)))</f>
        <v/>
      </c>
      <c r="R483" s="6" t="str">
        <f t="shared" si="55"/>
        <v/>
      </c>
    </row>
    <row r="484" spans="1:18" x14ac:dyDescent="0.3">
      <c r="A484" s="19"/>
      <c r="B484" s="19"/>
      <c r="C484" s="15" t="str">
        <f>IF($A484="","",COUNTIF('Daily tracking'!$D$2:$D$2001,$A484))</f>
        <v/>
      </c>
      <c r="D484" s="16" t="str">
        <f>IF($A484="","",SUMIF('Daily tracking'!$D$2:$D$2001,$A484,'Daily tracking'!$G$2:$G$2001))</f>
        <v/>
      </c>
      <c r="E484" s="18" t="str">
        <f>IF($A484="","",IF($C484=0,"",_xlfn.MAXIFS('Daily tracking'!$A$2:$A$2001,'Daily tracking'!$D$2:$D$2001,$A484)))</f>
        <v/>
      </c>
      <c r="F484" s="6" t="str">
        <f t="shared" ca="1" si="49"/>
        <v/>
      </c>
      <c r="G484" s="3" t="str">
        <f t="shared" si="50"/>
        <v/>
      </c>
      <c r="H484" s="9" t="str">
        <f t="shared" si="51"/>
        <v/>
      </c>
      <c r="I484" s="20"/>
      <c r="J484" s="20"/>
      <c r="K484" s="19"/>
      <c r="L484" s="19"/>
      <c r="M484" s="19"/>
      <c r="N484" s="15" t="str">
        <f t="shared" si="52"/>
        <v/>
      </c>
      <c r="O484" s="3" t="str">
        <f t="shared" si="53"/>
        <v/>
      </c>
      <c r="P484" s="6" t="str">
        <f t="shared" ca="1" si="54"/>
        <v/>
      </c>
      <c r="Q484" s="21" t="str">
        <f>IF($A484="","",IF($C484=0,"",_xlfn.MINIFS('Daily tracking'!$A$2:$A$2001,'Daily tracking'!$D$2:$D$2001,$A484)))</f>
        <v/>
      </c>
      <c r="R484" s="6" t="str">
        <f t="shared" si="55"/>
        <v/>
      </c>
    </row>
    <row r="485" spans="1:18" x14ac:dyDescent="0.3">
      <c r="A485" s="19"/>
      <c r="B485" s="19"/>
      <c r="C485" s="15" t="str">
        <f>IF($A485="","",COUNTIF('Daily tracking'!$D$2:$D$2001,$A485))</f>
        <v/>
      </c>
      <c r="D485" s="16" t="str">
        <f>IF($A485="","",SUMIF('Daily tracking'!$D$2:$D$2001,$A485,'Daily tracking'!$G$2:$G$2001))</f>
        <v/>
      </c>
      <c r="E485" s="18" t="str">
        <f>IF($A485="","",IF($C485=0,"",_xlfn.MAXIFS('Daily tracking'!$A$2:$A$2001,'Daily tracking'!$D$2:$D$2001,$A485)))</f>
        <v/>
      </c>
      <c r="F485" s="6" t="str">
        <f t="shared" ca="1" si="49"/>
        <v/>
      </c>
      <c r="G485" s="3" t="str">
        <f t="shared" si="50"/>
        <v/>
      </c>
      <c r="H485" s="9" t="str">
        <f t="shared" si="51"/>
        <v/>
      </c>
      <c r="I485" s="20"/>
      <c r="J485" s="20"/>
      <c r="K485" s="19"/>
      <c r="L485" s="19"/>
      <c r="M485" s="19"/>
      <c r="N485" s="15" t="str">
        <f t="shared" si="52"/>
        <v/>
      </c>
      <c r="O485" s="3" t="str">
        <f t="shared" si="53"/>
        <v/>
      </c>
      <c r="P485" s="6" t="str">
        <f t="shared" ca="1" si="54"/>
        <v/>
      </c>
      <c r="Q485" s="21" t="str">
        <f>IF($A485="","",IF($C485=0,"",_xlfn.MINIFS('Daily tracking'!$A$2:$A$2001,'Daily tracking'!$D$2:$D$2001,$A485)))</f>
        <v/>
      </c>
      <c r="R485" s="6" t="str">
        <f t="shared" si="55"/>
        <v/>
      </c>
    </row>
    <row r="486" spans="1:18" x14ac:dyDescent="0.3">
      <c r="A486" s="19"/>
      <c r="B486" s="19"/>
      <c r="C486" s="15" t="str">
        <f>IF($A486="","",COUNTIF('Daily tracking'!$D$2:$D$2001,$A486))</f>
        <v/>
      </c>
      <c r="D486" s="16" t="str">
        <f>IF($A486="","",SUMIF('Daily tracking'!$D$2:$D$2001,$A486,'Daily tracking'!$G$2:$G$2001))</f>
        <v/>
      </c>
      <c r="E486" s="18" t="str">
        <f>IF($A486="","",IF($C486=0,"",_xlfn.MAXIFS('Daily tracking'!$A$2:$A$2001,'Daily tracking'!$D$2:$D$2001,$A486)))</f>
        <v/>
      </c>
      <c r="F486" s="6" t="str">
        <f t="shared" ca="1" si="49"/>
        <v/>
      </c>
      <c r="G486" s="3" t="str">
        <f t="shared" si="50"/>
        <v/>
      </c>
      <c r="H486" s="9" t="str">
        <f t="shared" si="51"/>
        <v/>
      </c>
      <c r="I486" s="20"/>
      <c r="J486" s="20"/>
      <c r="K486" s="19"/>
      <c r="L486" s="19"/>
      <c r="M486" s="19"/>
      <c r="N486" s="15" t="str">
        <f t="shared" si="52"/>
        <v/>
      </c>
      <c r="O486" s="3" t="str">
        <f t="shared" si="53"/>
        <v/>
      </c>
      <c r="P486" s="6" t="str">
        <f t="shared" ca="1" si="54"/>
        <v/>
      </c>
      <c r="Q486" s="21" t="str">
        <f>IF($A486="","",IF($C486=0,"",_xlfn.MINIFS('Daily tracking'!$A$2:$A$2001,'Daily tracking'!$D$2:$D$2001,$A486)))</f>
        <v/>
      </c>
      <c r="R486" s="6" t="str">
        <f t="shared" si="55"/>
        <v/>
      </c>
    </row>
    <row r="487" spans="1:18" x14ac:dyDescent="0.3">
      <c r="A487" s="19"/>
      <c r="B487" s="19"/>
      <c r="C487" s="15" t="str">
        <f>IF($A487="","",COUNTIF('Daily tracking'!$D$2:$D$2001,$A487))</f>
        <v/>
      </c>
      <c r="D487" s="16" t="str">
        <f>IF($A487="","",SUMIF('Daily tracking'!$D$2:$D$2001,$A487,'Daily tracking'!$G$2:$G$2001))</f>
        <v/>
      </c>
      <c r="E487" s="18" t="str">
        <f>IF($A487="","",IF($C487=0,"",_xlfn.MAXIFS('Daily tracking'!$A$2:$A$2001,'Daily tracking'!$D$2:$D$2001,$A487)))</f>
        <v/>
      </c>
      <c r="F487" s="6" t="str">
        <f t="shared" ca="1" si="49"/>
        <v/>
      </c>
      <c r="G487" s="3" t="str">
        <f t="shared" si="50"/>
        <v/>
      </c>
      <c r="H487" s="9" t="str">
        <f t="shared" si="51"/>
        <v/>
      </c>
      <c r="I487" s="20"/>
      <c r="J487" s="20"/>
      <c r="K487" s="19"/>
      <c r="L487" s="19"/>
      <c r="M487" s="19"/>
      <c r="N487" s="15" t="str">
        <f t="shared" si="52"/>
        <v/>
      </c>
      <c r="O487" s="3" t="str">
        <f t="shared" si="53"/>
        <v/>
      </c>
      <c r="P487" s="6" t="str">
        <f t="shared" ca="1" si="54"/>
        <v/>
      </c>
      <c r="Q487" s="21" t="str">
        <f>IF($A487="","",IF($C487=0,"",_xlfn.MINIFS('Daily tracking'!$A$2:$A$2001,'Daily tracking'!$D$2:$D$2001,$A487)))</f>
        <v/>
      </c>
      <c r="R487" s="6" t="str">
        <f t="shared" si="55"/>
        <v/>
      </c>
    </row>
    <row r="488" spans="1:18" x14ac:dyDescent="0.3">
      <c r="A488" s="19"/>
      <c r="B488" s="19"/>
      <c r="C488" s="15" t="str">
        <f>IF($A488="","",COUNTIF('Daily tracking'!$D$2:$D$2001,$A488))</f>
        <v/>
      </c>
      <c r="D488" s="16" t="str">
        <f>IF($A488="","",SUMIF('Daily tracking'!$D$2:$D$2001,$A488,'Daily tracking'!$G$2:$G$2001))</f>
        <v/>
      </c>
      <c r="E488" s="18" t="str">
        <f>IF($A488="","",IF($C488=0,"",_xlfn.MAXIFS('Daily tracking'!$A$2:$A$2001,'Daily tracking'!$D$2:$D$2001,$A488)))</f>
        <v/>
      </c>
      <c r="F488" s="6" t="str">
        <f t="shared" ca="1" si="49"/>
        <v/>
      </c>
      <c r="G488" s="3" t="str">
        <f t="shared" si="50"/>
        <v/>
      </c>
      <c r="H488" s="9" t="str">
        <f t="shared" si="51"/>
        <v/>
      </c>
      <c r="I488" s="20"/>
      <c r="J488" s="20"/>
      <c r="K488" s="19"/>
      <c r="L488" s="19"/>
      <c r="M488" s="19"/>
      <c r="N488" s="15" t="str">
        <f t="shared" si="52"/>
        <v/>
      </c>
      <c r="O488" s="3" t="str">
        <f t="shared" si="53"/>
        <v/>
      </c>
      <c r="P488" s="6" t="str">
        <f t="shared" ca="1" si="54"/>
        <v/>
      </c>
      <c r="Q488" s="21" t="str">
        <f>IF($A488="","",IF($C488=0,"",_xlfn.MINIFS('Daily tracking'!$A$2:$A$2001,'Daily tracking'!$D$2:$D$2001,$A488)))</f>
        <v/>
      </c>
      <c r="R488" s="6" t="str">
        <f t="shared" si="55"/>
        <v/>
      </c>
    </row>
    <row r="489" spans="1:18" x14ac:dyDescent="0.3">
      <c r="A489" s="19"/>
      <c r="B489" s="19"/>
      <c r="C489" s="15" t="str">
        <f>IF($A489="","",COUNTIF('Daily tracking'!$D$2:$D$2001,$A489))</f>
        <v/>
      </c>
      <c r="D489" s="16" t="str">
        <f>IF($A489="","",SUMIF('Daily tracking'!$D$2:$D$2001,$A489,'Daily tracking'!$G$2:$G$2001))</f>
        <v/>
      </c>
      <c r="E489" s="18" t="str">
        <f>IF($A489="","",IF($C489=0,"",_xlfn.MAXIFS('Daily tracking'!$A$2:$A$2001,'Daily tracking'!$D$2:$D$2001,$A489)))</f>
        <v/>
      </c>
      <c r="F489" s="6" t="str">
        <f t="shared" ca="1" si="49"/>
        <v/>
      </c>
      <c r="G489" s="3" t="str">
        <f t="shared" si="50"/>
        <v/>
      </c>
      <c r="H489" s="9" t="str">
        <f t="shared" si="51"/>
        <v/>
      </c>
      <c r="I489" s="20"/>
      <c r="J489" s="20"/>
      <c r="K489" s="19"/>
      <c r="L489" s="19"/>
      <c r="M489" s="19"/>
      <c r="N489" s="15" t="str">
        <f t="shared" si="52"/>
        <v/>
      </c>
      <c r="O489" s="3" t="str">
        <f t="shared" si="53"/>
        <v/>
      </c>
      <c r="P489" s="6" t="str">
        <f t="shared" ca="1" si="54"/>
        <v/>
      </c>
      <c r="Q489" s="21" t="str">
        <f>IF($A489="","",IF($C489=0,"",_xlfn.MINIFS('Daily tracking'!$A$2:$A$2001,'Daily tracking'!$D$2:$D$2001,$A489)))</f>
        <v/>
      </c>
      <c r="R489" s="6" t="str">
        <f t="shared" si="55"/>
        <v/>
      </c>
    </row>
    <row r="490" spans="1:18" x14ac:dyDescent="0.3">
      <c r="A490" s="19"/>
      <c r="B490" s="19"/>
      <c r="C490" s="15" t="str">
        <f>IF($A490="","",COUNTIF('Daily tracking'!$D$2:$D$2001,$A490))</f>
        <v/>
      </c>
      <c r="D490" s="16" t="str">
        <f>IF($A490="","",SUMIF('Daily tracking'!$D$2:$D$2001,$A490,'Daily tracking'!$G$2:$G$2001))</f>
        <v/>
      </c>
      <c r="E490" s="18" t="str">
        <f>IF($A490="","",IF($C490=0,"",_xlfn.MAXIFS('Daily tracking'!$A$2:$A$2001,'Daily tracking'!$D$2:$D$2001,$A490)))</f>
        <v/>
      </c>
      <c r="F490" s="6" t="str">
        <f t="shared" ca="1" si="49"/>
        <v/>
      </c>
      <c r="G490" s="3" t="str">
        <f t="shared" si="50"/>
        <v/>
      </c>
      <c r="H490" s="9" t="str">
        <f t="shared" si="51"/>
        <v/>
      </c>
      <c r="I490" s="20"/>
      <c r="J490" s="20"/>
      <c r="K490" s="19"/>
      <c r="L490" s="19"/>
      <c r="M490" s="19"/>
      <c r="N490" s="15" t="str">
        <f t="shared" si="52"/>
        <v/>
      </c>
      <c r="O490" s="3" t="str">
        <f t="shared" si="53"/>
        <v/>
      </c>
      <c r="P490" s="6" t="str">
        <f t="shared" ca="1" si="54"/>
        <v/>
      </c>
      <c r="Q490" s="21" t="str">
        <f>IF($A490="","",IF($C490=0,"",_xlfn.MINIFS('Daily tracking'!$A$2:$A$2001,'Daily tracking'!$D$2:$D$2001,$A490)))</f>
        <v/>
      </c>
      <c r="R490" s="6" t="str">
        <f t="shared" si="55"/>
        <v/>
      </c>
    </row>
    <row r="491" spans="1:18" x14ac:dyDescent="0.3">
      <c r="A491" s="19"/>
      <c r="B491" s="19"/>
      <c r="C491" s="15" t="str">
        <f>IF($A491="","",COUNTIF('Daily tracking'!$D$2:$D$2001,$A491))</f>
        <v/>
      </c>
      <c r="D491" s="16" t="str">
        <f>IF($A491="","",SUMIF('Daily tracking'!$D$2:$D$2001,$A491,'Daily tracking'!$G$2:$G$2001))</f>
        <v/>
      </c>
      <c r="E491" s="18" t="str">
        <f>IF($A491="","",IF($C491=0,"",_xlfn.MAXIFS('Daily tracking'!$A$2:$A$2001,'Daily tracking'!$D$2:$D$2001,$A491)))</f>
        <v/>
      </c>
      <c r="F491" s="6" t="str">
        <f t="shared" ca="1" si="49"/>
        <v/>
      </c>
      <c r="G491" s="3" t="str">
        <f t="shared" si="50"/>
        <v/>
      </c>
      <c r="H491" s="9" t="str">
        <f t="shared" si="51"/>
        <v/>
      </c>
      <c r="I491" s="20"/>
      <c r="J491" s="20"/>
      <c r="K491" s="19"/>
      <c r="L491" s="19"/>
      <c r="M491" s="19"/>
      <c r="N491" s="15" t="str">
        <f t="shared" si="52"/>
        <v/>
      </c>
      <c r="O491" s="3" t="str">
        <f t="shared" si="53"/>
        <v/>
      </c>
      <c r="P491" s="6" t="str">
        <f t="shared" ca="1" si="54"/>
        <v/>
      </c>
      <c r="Q491" s="21" t="str">
        <f>IF($A491="","",IF($C491=0,"",_xlfn.MINIFS('Daily tracking'!$A$2:$A$2001,'Daily tracking'!$D$2:$D$2001,$A491)))</f>
        <v/>
      </c>
      <c r="R491" s="6" t="str">
        <f t="shared" si="55"/>
        <v/>
      </c>
    </row>
    <row r="492" spans="1:18" x14ac:dyDescent="0.3">
      <c r="A492" s="19"/>
      <c r="B492" s="19"/>
      <c r="C492" s="15" t="str">
        <f>IF($A492="","",COUNTIF('Daily tracking'!$D$2:$D$2001,$A492))</f>
        <v/>
      </c>
      <c r="D492" s="16" t="str">
        <f>IF($A492="","",SUMIF('Daily tracking'!$D$2:$D$2001,$A492,'Daily tracking'!$G$2:$G$2001))</f>
        <v/>
      </c>
      <c r="E492" s="18" t="str">
        <f>IF($A492="","",IF($C492=0,"",_xlfn.MAXIFS('Daily tracking'!$A$2:$A$2001,'Daily tracking'!$D$2:$D$2001,$A492)))</f>
        <v/>
      </c>
      <c r="F492" s="6" t="str">
        <f t="shared" ca="1" si="49"/>
        <v/>
      </c>
      <c r="G492" s="3" t="str">
        <f t="shared" si="50"/>
        <v/>
      </c>
      <c r="H492" s="9" t="str">
        <f t="shared" si="51"/>
        <v/>
      </c>
      <c r="I492" s="20"/>
      <c r="J492" s="20"/>
      <c r="K492" s="19"/>
      <c r="L492" s="19"/>
      <c r="M492" s="19"/>
      <c r="N492" s="15" t="str">
        <f t="shared" si="52"/>
        <v/>
      </c>
      <c r="O492" s="3" t="str">
        <f t="shared" si="53"/>
        <v/>
      </c>
      <c r="P492" s="6" t="str">
        <f t="shared" ca="1" si="54"/>
        <v/>
      </c>
      <c r="Q492" s="21" t="str">
        <f>IF($A492="","",IF($C492=0,"",_xlfn.MINIFS('Daily tracking'!$A$2:$A$2001,'Daily tracking'!$D$2:$D$2001,$A492)))</f>
        <v/>
      </c>
      <c r="R492" s="6" t="str">
        <f t="shared" si="55"/>
        <v/>
      </c>
    </row>
    <row r="493" spans="1:18" x14ac:dyDescent="0.3">
      <c r="A493" s="19"/>
      <c r="B493" s="19"/>
      <c r="C493" s="15" t="str">
        <f>IF($A493="","",COUNTIF('Daily tracking'!$D$2:$D$2001,$A493))</f>
        <v/>
      </c>
      <c r="D493" s="16" t="str">
        <f>IF($A493="","",SUMIF('Daily tracking'!$D$2:$D$2001,$A493,'Daily tracking'!$G$2:$G$2001))</f>
        <v/>
      </c>
      <c r="E493" s="18" t="str">
        <f>IF($A493="","",IF($C493=0,"",_xlfn.MAXIFS('Daily tracking'!$A$2:$A$2001,'Daily tracking'!$D$2:$D$2001,$A493)))</f>
        <v/>
      </c>
      <c r="F493" s="6" t="str">
        <f t="shared" ca="1" si="49"/>
        <v/>
      </c>
      <c r="G493" s="3" t="str">
        <f t="shared" si="50"/>
        <v/>
      </c>
      <c r="H493" s="9" t="str">
        <f t="shared" si="51"/>
        <v/>
      </c>
      <c r="I493" s="20"/>
      <c r="J493" s="20"/>
      <c r="K493" s="19"/>
      <c r="L493" s="19"/>
      <c r="M493" s="19"/>
      <c r="N493" s="15" t="str">
        <f t="shared" si="52"/>
        <v/>
      </c>
      <c r="O493" s="3" t="str">
        <f t="shared" si="53"/>
        <v/>
      </c>
      <c r="P493" s="6" t="str">
        <f t="shared" ca="1" si="54"/>
        <v/>
      </c>
      <c r="Q493" s="21" t="str">
        <f>IF($A493="","",IF($C493=0,"",_xlfn.MINIFS('Daily tracking'!$A$2:$A$2001,'Daily tracking'!$D$2:$D$2001,$A493)))</f>
        <v/>
      </c>
      <c r="R493" s="6" t="str">
        <f t="shared" si="55"/>
        <v/>
      </c>
    </row>
    <row r="494" spans="1:18" x14ac:dyDescent="0.3">
      <c r="A494" s="19"/>
      <c r="B494" s="19"/>
      <c r="C494" s="15" t="str">
        <f>IF($A494="","",COUNTIF('Daily tracking'!$D$2:$D$2001,$A494))</f>
        <v/>
      </c>
      <c r="D494" s="16" t="str">
        <f>IF($A494="","",SUMIF('Daily tracking'!$D$2:$D$2001,$A494,'Daily tracking'!$G$2:$G$2001))</f>
        <v/>
      </c>
      <c r="E494" s="18" t="str">
        <f>IF($A494="","",IF($C494=0,"",_xlfn.MAXIFS('Daily tracking'!$A$2:$A$2001,'Daily tracking'!$D$2:$D$2001,$A494)))</f>
        <v/>
      </c>
      <c r="F494" s="6" t="str">
        <f t="shared" ca="1" si="49"/>
        <v/>
      </c>
      <c r="G494" s="3" t="str">
        <f t="shared" si="50"/>
        <v/>
      </c>
      <c r="H494" s="9" t="str">
        <f t="shared" si="51"/>
        <v/>
      </c>
      <c r="I494" s="20"/>
      <c r="J494" s="20"/>
      <c r="K494" s="19"/>
      <c r="L494" s="19"/>
      <c r="M494" s="19"/>
      <c r="N494" s="15" t="str">
        <f t="shared" si="52"/>
        <v/>
      </c>
      <c r="O494" s="3" t="str">
        <f t="shared" si="53"/>
        <v/>
      </c>
      <c r="P494" s="6" t="str">
        <f t="shared" ca="1" si="54"/>
        <v/>
      </c>
      <c r="Q494" s="21" t="str">
        <f>IF($A494="","",IF($C494=0,"",_xlfn.MINIFS('Daily tracking'!$A$2:$A$2001,'Daily tracking'!$D$2:$D$2001,$A494)))</f>
        <v/>
      </c>
      <c r="R494" s="6" t="str">
        <f t="shared" si="55"/>
        <v/>
      </c>
    </row>
    <row r="495" spans="1:18" x14ac:dyDescent="0.3">
      <c r="A495" s="19"/>
      <c r="B495" s="19"/>
      <c r="C495" s="15" t="str">
        <f>IF($A495="","",COUNTIF('Daily tracking'!$D$2:$D$2001,$A495))</f>
        <v/>
      </c>
      <c r="D495" s="16" t="str">
        <f>IF($A495="","",SUMIF('Daily tracking'!$D$2:$D$2001,$A495,'Daily tracking'!$G$2:$G$2001))</f>
        <v/>
      </c>
      <c r="E495" s="18" t="str">
        <f>IF($A495="","",IF($C495=0,"",_xlfn.MAXIFS('Daily tracking'!$A$2:$A$2001,'Daily tracking'!$D$2:$D$2001,$A495)))</f>
        <v/>
      </c>
      <c r="F495" s="6" t="str">
        <f t="shared" ca="1" si="49"/>
        <v/>
      </c>
      <c r="G495" s="3" t="str">
        <f t="shared" si="50"/>
        <v/>
      </c>
      <c r="H495" s="9" t="str">
        <f t="shared" si="51"/>
        <v/>
      </c>
      <c r="I495" s="20"/>
      <c r="J495" s="20"/>
      <c r="K495" s="19"/>
      <c r="L495" s="19"/>
      <c r="M495" s="19"/>
      <c r="N495" s="15" t="str">
        <f t="shared" si="52"/>
        <v/>
      </c>
      <c r="O495" s="3" t="str">
        <f t="shared" si="53"/>
        <v/>
      </c>
      <c r="P495" s="6" t="str">
        <f t="shared" ca="1" si="54"/>
        <v/>
      </c>
      <c r="Q495" s="21" t="str">
        <f>IF($A495="","",IF($C495=0,"",_xlfn.MINIFS('Daily tracking'!$A$2:$A$2001,'Daily tracking'!$D$2:$D$2001,$A495)))</f>
        <v/>
      </c>
      <c r="R495" s="6" t="str">
        <f t="shared" si="55"/>
        <v/>
      </c>
    </row>
    <row r="496" spans="1:18" x14ac:dyDescent="0.3">
      <c r="A496" s="19"/>
      <c r="B496" s="19"/>
      <c r="C496" s="15" t="str">
        <f>IF($A496="","",COUNTIF('Daily tracking'!$D$2:$D$2001,$A496))</f>
        <v/>
      </c>
      <c r="D496" s="16" t="str">
        <f>IF($A496="","",SUMIF('Daily tracking'!$D$2:$D$2001,$A496,'Daily tracking'!$G$2:$G$2001))</f>
        <v/>
      </c>
      <c r="E496" s="18" t="str">
        <f>IF($A496="","",IF($C496=0,"",_xlfn.MAXIFS('Daily tracking'!$A$2:$A$2001,'Daily tracking'!$D$2:$D$2001,$A496)))</f>
        <v/>
      </c>
      <c r="F496" s="6" t="str">
        <f t="shared" ca="1" si="49"/>
        <v/>
      </c>
      <c r="G496" s="3" t="str">
        <f t="shared" si="50"/>
        <v/>
      </c>
      <c r="H496" s="9" t="str">
        <f t="shared" si="51"/>
        <v/>
      </c>
      <c r="I496" s="20"/>
      <c r="J496" s="20"/>
      <c r="K496" s="19"/>
      <c r="L496" s="19"/>
      <c r="M496" s="19"/>
      <c r="N496" s="15" t="str">
        <f t="shared" si="52"/>
        <v/>
      </c>
      <c r="O496" s="3" t="str">
        <f t="shared" si="53"/>
        <v/>
      </c>
      <c r="P496" s="6" t="str">
        <f t="shared" ca="1" si="54"/>
        <v/>
      </c>
      <c r="Q496" s="21" t="str">
        <f>IF($A496="","",IF($C496=0,"",_xlfn.MINIFS('Daily tracking'!$A$2:$A$2001,'Daily tracking'!$D$2:$D$2001,$A496)))</f>
        <v/>
      </c>
      <c r="R496" s="6" t="str">
        <f t="shared" si="55"/>
        <v/>
      </c>
    </row>
    <row r="497" spans="1:18" x14ac:dyDescent="0.3">
      <c r="A497" s="19"/>
      <c r="B497" s="19"/>
      <c r="C497" s="15" t="str">
        <f>IF($A497="","",COUNTIF('Daily tracking'!$D$2:$D$2001,$A497))</f>
        <v/>
      </c>
      <c r="D497" s="16" t="str">
        <f>IF($A497="","",SUMIF('Daily tracking'!$D$2:$D$2001,$A497,'Daily tracking'!$G$2:$G$2001))</f>
        <v/>
      </c>
      <c r="E497" s="18" t="str">
        <f>IF($A497="","",IF($C497=0,"",_xlfn.MAXIFS('Daily tracking'!$A$2:$A$2001,'Daily tracking'!$D$2:$D$2001,$A497)))</f>
        <v/>
      </c>
      <c r="F497" s="6" t="str">
        <f t="shared" ca="1" si="49"/>
        <v/>
      </c>
      <c r="G497" s="3" t="str">
        <f t="shared" si="50"/>
        <v/>
      </c>
      <c r="H497" s="9" t="str">
        <f t="shared" si="51"/>
        <v/>
      </c>
      <c r="I497" s="20"/>
      <c r="J497" s="20"/>
      <c r="K497" s="19"/>
      <c r="L497" s="19"/>
      <c r="M497" s="19"/>
      <c r="N497" s="15" t="str">
        <f t="shared" si="52"/>
        <v/>
      </c>
      <c r="O497" s="3" t="str">
        <f t="shared" si="53"/>
        <v/>
      </c>
      <c r="P497" s="6" t="str">
        <f t="shared" ca="1" si="54"/>
        <v/>
      </c>
      <c r="Q497" s="21" t="str">
        <f>IF($A497="","",IF($C497=0,"",_xlfn.MINIFS('Daily tracking'!$A$2:$A$2001,'Daily tracking'!$D$2:$D$2001,$A497)))</f>
        <v/>
      </c>
      <c r="R497" s="6" t="str">
        <f t="shared" si="55"/>
        <v/>
      </c>
    </row>
    <row r="498" spans="1:18" x14ac:dyDescent="0.3">
      <c r="A498" s="19"/>
      <c r="B498" s="19"/>
      <c r="C498" s="15" t="str">
        <f>IF($A498="","",COUNTIF('Daily tracking'!$D$2:$D$2001,$A498))</f>
        <v/>
      </c>
      <c r="D498" s="16" t="str">
        <f>IF($A498="","",SUMIF('Daily tracking'!$D$2:$D$2001,$A498,'Daily tracking'!$G$2:$G$2001))</f>
        <v/>
      </c>
      <c r="E498" s="18" t="str">
        <f>IF($A498="","",IF($C498=0,"",_xlfn.MAXIFS('Daily tracking'!$A$2:$A$2001,'Daily tracking'!$D$2:$D$2001,$A498)))</f>
        <v/>
      </c>
      <c r="F498" s="6" t="str">
        <f t="shared" ca="1" si="49"/>
        <v/>
      </c>
      <c r="G498" s="3" t="str">
        <f t="shared" si="50"/>
        <v/>
      </c>
      <c r="H498" s="9" t="str">
        <f t="shared" si="51"/>
        <v/>
      </c>
      <c r="I498" s="20"/>
      <c r="J498" s="20"/>
      <c r="K498" s="19"/>
      <c r="L498" s="19"/>
      <c r="M498" s="19"/>
      <c r="N498" s="15" t="str">
        <f t="shared" si="52"/>
        <v/>
      </c>
      <c r="O498" s="3" t="str">
        <f t="shared" si="53"/>
        <v/>
      </c>
      <c r="P498" s="6" t="str">
        <f t="shared" ca="1" si="54"/>
        <v/>
      </c>
      <c r="Q498" s="21" t="str">
        <f>IF($A498="","",IF($C498=0,"",_xlfn.MINIFS('Daily tracking'!$A$2:$A$2001,'Daily tracking'!$D$2:$D$2001,$A498)))</f>
        <v/>
      </c>
      <c r="R498" s="6" t="str">
        <f t="shared" si="55"/>
        <v/>
      </c>
    </row>
    <row r="499" spans="1:18" x14ac:dyDescent="0.3">
      <c r="A499" s="19"/>
      <c r="B499" s="19"/>
      <c r="C499" s="15" t="str">
        <f>IF($A499="","",COUNTIF('Daily tracking'!$D$2:$D$2001,$A499))</f>
        <v/>
      </c>
      <c r="D499" s="16" t="str">
        <f>IF($A499="","",SUMIF('Daily tracking'!$D$2:$D$2001,$A499,'Daily tracking'!$G$2:$G$2001))</f>
        <v/>
      </c>
      <c r="E499" s="18" t="str">
        <f>IF($A499="","",IF($C499=0,"",_xlfn.MAXIFS('Daily tracking'!$A$2:$A$2001,'Daily tracking'!$D$2:$D$2001,$A499)))</f>
        <v/>
      </c>
      <c r="F499" s="6" t="str">
        <f t="shared" ca="1" si="49"/>
        <v/>
      </c>
      <c r="G499" s="3" t="str">
        <f t="shared" si="50"/>
        <v/>
      </c>
      <c r="H499" s="9" t="str">
        <f t="shared" si="51"/>
        <v/>
      </c>
      <c r="I499" s="20"/>
      <c r="J499" s="20"/>
      <c r="K499" s="19"/>
      <c r="L499" s="19"/>
      <c r="M499" s="19"/>
      <c r="N499" s="15" t="str">
        <f t="shared" si="52"/>
        <v/>
      </c>
      <c r="O499" s="3" t="str">
        <f t="shared" si="53"/>
        <v/>
      </c>
      <c r="P499" s="6" t="str">
        <f t="shared" ca="1" si="54"/>
        <v/>
      </c>
      <c r="Q499" s="21" t="str">
        <f>IF($A499="","",IF($C499=0,"",_xlfn.MINIFS('Daily tracking'!$A$2:$A$2001,'Daily tracking'!$D$2:$D$2001,$A499)))</f>
        <v/>
      </c>
      <c r="R499" s="6" t="str">
        <f t="shared" si="55"/>
        <v/>
      </c>
    </row>
    <row r="500" spans="1:18" x14ac:dyDescent="0.3">
      <c r="A500" s="19"/>
      <c r="B500" s="19"/>
      <c r="C500" s="15" t="str">
        <f>IF($A500="","",COUNTIF('Daily tracking'!$D$2:$D$2001,$A500))</f>
        <v/>
      </c>
      <c r="D500" s="16" t="str">
        <f>IF($A500="","",SUMIF('Daily tracking'!$D$2:$D$2001,$A500,'Daily tracking'!$G$2:$G$2001))</f>
        <v/>
      </c>
      <c r="E500" s="18" t="str">
        <f>IF($A500="","",IF($C500=0,"",_xlfn.MAXIFS('Daily tracking'!$A$2:$A$2001,'Daily tracking'!$D$2:$D$2001,$A500)))</f>
        <v/>
      </c>
      <c r="F500" s="6" t="str">
        <f t="shared" ca="1" si="49"/>
        <v/>
      </c>
      <c r="G500" s="3" t="str">
        <f t="shared" si="50"/>
        <v/>
      </c>
      <c r="H500" s="9" t="str">
        <f t="shared" si="51"/>
        <v/>
      </c>
      <c r="I500" s="20"/>
      <c r="J500" s="20"/>
      <c r="K500" s="19"/>
      <c r="L500" s="19"/>
      <c r="M500" s="19"/>
      <c r="N500" s="15" t="str">
        <f t="shared" si="52"/>
        <v/>
      </c>
      <c r="O500" s="3" t="str">
        <f t="shared" si="53"/>
        <v/>
      </c>
      <c r="P500" s="6" t="str">
        <f t="shared" ca="1" si="54"/>
        <v/>
      </c>
      <c r="Q500" s="21" t="str">
        <f>IF($A500="","",IF($C500=0,"",_xlfn.MINIFS('Daily tracking'!$A$2:$A$2001,'Daily tracking'!$D$2:$D$2001,$A500)))</f>
        <v/>
      </c>
      <c r="R500" s="6" t="str">
        <f t="shared" si="55"/>
        <v/>
      </c>
    </row>
    <row r="501" spans="1:18" x14ac:dyDescent="0.3">
      <c r="A501" s="19"/>
      <c r="B501" s="19"/>
      <c r="C501" s="15" t="str">
        <f>IF($A501="","",COUNTIF('Daily tracking'!$D$2:$D$2001,$A501))</f>
        <v/>
      </c>
      <c r="D501" s="16" t="str">
        <f>IF($A501="","",SUMIF('Daily tracking'!$D$2:$D$2001,$A501,'Daily tracking'!$G$2:$G$2001))</f>
        <v/>
      </c>
      <c r="E501" s="18" t="str">
        <f>IF($A501="","",IF($C501=0,"",_xlfn.MAXIFS('Daily tracking'!$A$2:$A$2001,'Daily tracking'!$D$2:$D$2001,$A501)))</f>
        <v/>
      </c>
      <c r="F501" s="6" t="str">
        <f t="shared" ca="1" si="49"/>
        <v/>
      </c>
      <c r="G501" s="3" t="str">
        <f t="shared" si="50"/>
        <v/>
      </c>
      <c r="H501" s="9" t="str">
        <f t="shared" si="51"/>
        <v/>
      </c>
      <c r="I501" s="20"/>
      <c r="J501" s="20"/>
      <c r="K501" s="19"/>
      <c r="L501" s="19"/>
      <c r="M501" s="19"/>
      <c r="N501" s="15" t="str">
        <f t="shared" si="52"/>
        <v/>
      </c>
      <c r="O501" s="3" t="str">
        <f t="shared" si="53"/>
        <v/>
      </c>
      <c r="P501" s="6" t="str">
        <f t="shared" ca="1" si="54"/>
        <v/>
      </c>
      <c r="Q501" s="21" t="str">
        <f>IF($A501="","",IF($C501=0,"",_xlfn.MINIFS('Daily tracking'!$A$2:$A$2001,'Daily tracking'!$D$2:$D$2001,$A501)))</f>
        <v/>
      </c>
      <c r="R501" s="6" t="str">
        <f t="shared" si="55"/>
        <v/>
      </c>
    </row>
  </sheetData>
  <dataValidations count="1">
    <dataValidation type="list" allowBlank="1" showErrorMessage="1" sqref="M2:M501" xr:uid="{00000000-0002-0000-0200-000000000000}">
      <formula1>"Walk-in,Instagram,Google,Referral,JustDial,WhatsApp,Facebook,Existing"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0"/>
  <sheetViews>
    <sheetView zoomScaleNormal="100" workbookViewId="0">
      <pane ySplit="1" topLeftCell="A67" activePane="bottomLeft" state="frozen"/>
      <selection pane="bottomLeft" activeCell="A86" sqref="A86"/>
    </sheetView>
  </sheetViews>
  <sheetFormatPr defaultColWidth="8.5546875" defaultRowHeight="14.4" x14ac:dyDescent="0.3"/>
  <cols>
    <col min="1" max="1" width="18" customWidth="1"/>
    <col min="2" max="2" width="22" customWidth="1"/>
    <col min="3" max="3" width="10" customWidth="1"/>
    <col min="4" max="4" width="34" customWidth="1"/>
    <col min="5" max="5" width="10" customWidth="1"/>
    <col min="6" max="6" width="11" customWidth="1"/>
    <col min="7" max="7" width="12" customWidth="1"/>
    <col min="8" max="8" width="9" customWidth="1"/>
    <col min="9" max="9" width="11" customWidth="1"/>
    <col min="10" max="10" width="12" customWidth="1"/>
    <col min="11" max="11" width="9" customWidth="1"/>
  </cols>
  <sheetData>
    <row r="1" spans="1:11" x14ac:dyDescent="0.3">
      <c r="A1" s="17" t="s">
        <v>7</v>
      </c>
      <c r="B1" s="17" t="s">
        <v>57</v>
      </c>
      <c r="C1" s="17" t="s">
        <v>82</v>
      </c>
      <c r="D1" s="17" t="s">
        <v>83</v>
      </c>
      <c r="E1" s="17" t="s">
        <v>63</v>
      </c>
      <c r="F1" s="17" t="s">
        <v>84</v>
      </c>
      <c r="G1" s="17" t="s">
        <v>8</v>
      </c>
      <c r="H1" s="17" t="s">
        <v>9</v>
      </c>
      <c r="I1" s="17" t="s">
        <v>85</v>
      </c>
      <c r="J1" s="17" t="s">
        <v>86</v>
      </c>
      <c r="K1" s="17" t="s">
        <v>87</v>
      </c>
    </row>
    <row r="2" spans="1:11" x14ac:dyDescent="0.3">
      <c r="A2" t="s">
        <v>11</v>
      </c>
      <c r="B2" t="s">
        <v>88</v>
      </c>
      <c r="C2" s="22">
        <v>30</v>
      </c>
      <c r="D2" s="6" t="str">
        <f t="shared" ref="D2:D33" si="0">IF(A2="","",A2&amp;" - "&amp;B2)</f>
        <v>Threading - Eyebrow</v>
      </c>
      <c r="E2" s="19" t="s">
        <v>57</v>
      </c>
      <c r="F2" s="23"/>
      <c r="G2" s="16">
        <f>IF($D2="","",SUMIF('Daily tracking'!$B$2:$B$2001,$D2,'Daily tracking'!$G$2:$G$2001))</f>
        <v>0</v>
      </c>
      <c r="H2" s="15">
        <f>IF($D2="","",COUNTIF('Daily tracking'!$B$2:$B$2001,$D2))</f>
        <v>0</v>
      </c>
      <c r="I2" s="9">
        <f t="shared" ref="I2:I33" si="1">IF($D2="","",$H2*IF($F2="",0,$F2))</f>
        <v>0</v>
      </c>
      <c r="J2" s="13">
        <f t="shared" ref="J2:J33" si="2">IF($D2="","",$G2-$I2)</f>
        <v>0</v>
      </c>
      <c r="K2" s="14" t="str">
        <f t="shared" ref="K2:K33" si="3">IF(OR($D2="",$G2=0),"",$J2/$G2)</f>
        <v/>
      </c>
    </row>
    <row r="3" spans="1:11" x14ac:dyDescent="0.3">
      <c r="A3" t="s">
        <v>11</v>
      </c>
      <c r="B3" t="s">
        <v>89</v>
      </c>
      <c r="C3" s="22">
        <v>30</v>
      </c>
      <c r="D3" s="6" t="str">
        <f t="shared" si="0"/>
        <v>Threading - Forehead</v>
      </c>
      <c r="E3" s="19" t="s">
        <v>57</v>
      </c>
      <c r="F3" s="23"/>
      <c r="G3" s="16">
        <f>IF($D3="","",SUMIF('Daily tracking'!$B$2:$B$2001,$D3,'Daily tracking'!$G$2:$G$2001))</f>
        <v>0</v>
      </c>
      <c r="H3" s="15">
        <f>IF($D3="","",COUNTIF('Daily tracking'!$B$2:$B$2001,$D3))</f>
        <v>0</v>
      </c>
      <c r="I3" s="9">
        <f t="shared" si="1"/>
        <v>0</v>
      </c>
      <c r="J3" s="13">
        <f t="shared" si="2"/>
        <v>0</v>
      </c>
      <c r="K3" s="14" t="str">
        <f t="shared" si="3"/>
        <v/>
      </c>
    </row>
    <row r="4" spans="1:11" x14ac:dyDescent="0.3">
      <c r="A4" t="s">
        <v>11</v>
      </c>
      <c r="B4" t="s">
        <v>90</v>
      </c>
      <c r="C4" s="22">
        <v>20</v>
      </c>
      <c r="D4" s="6" t="str">
        <f t="shared" si="0"/>
        <v>Threading - Upper lip</v>
      </c>
      <c r="E4" s="19" t="s">
        <v>57</v>
      </c>
      <c r="F4" s="23"/>
      <c r="G4" s="16">
        <f>IF($D4="","",SUMIF('Daily tracking'!$B$2:$B$2001,$D4,'Daily tracking'!$G$2:$G$2001))</f>
        <v>0</v>
      </c>
      <c r="H4" s="15">
        <f>IF($D4="","",COUNTIF('Daily tracking'!$B$2:$B$2001,$D4))</f>
        <v>0</v>
      </c>
      <c r="I4" s="9">
        <f t="shared" si="1"/>
        <v>0</v>
      </c>
      <c r="J4" s="13">
        <f t="shared" si="2"/>
        <v>0</v>
      </c>
      <c r="K4" s="14" t="str">
        <f t="shared" si="3"/>
        <v/>
      </c>
    </row>
    <row r="5" spans="1:11" x14ac:dyDescent="0.3">
      <c r="A5" t="s">
        <v>11</v>
      </c>
      <c r="B5" t="s">
        <v>91</v>
      </c>
      <c r="C5" s="22">
        <v>20</v>
      </c>
      <c r="D5" s="6" t="str">
        <f t="shared" si="0"/>
        <v>Threading - Chin</v>
      </c>
      <c r="E5" s="19" t="s">
        <v>57</v>
      </c>
      <c r="F5" s="23"/>
      <c r="G5" s="16">
        <f>IF($D5="","",SUMIF('Daily tracking'!$B$2:$B$2001,$D5,'Daily tracking'!$G$2:$G$2001))</f>
        <v>0</v>
      </c>
      <c r="H5" s="15">
        <f>IF($D5="","",COUNTIF('Daily tracking'!$B$2:$B$2001,$D5))</f>
        <v>0</v>
      </c>
      <c r="I5" s="9">
        <f t="shared" si="1"/>
        <v>0</v>
      </c>
      <c r="J5" s="13">
        <f t="shared" si="2"/>
        <v>0</v>
      </c>
      <c r="K5" s="14" t="str">
        <f t="shared" si="3"/>
        <v/>
      </c>
    </row>
    <row r="6" spans="1:11" x14ac:dyDescent="0.3">
      <c r="A6" t="s">
        <v>11</v>
      </c>
      <c r="B6" t="s">
        <v>92</v>
      </c>
      <c r="C6" s="22">
        <v>160</v>
      </c>
      <c r="D6" s="6" t="str">
        <f t="shared" si="0"/>
        <v>Threading - Full face</v>
      </c>
      <c r="E6" s="19" t="s">
        <v>57</v>
      </c>
      <c r="F6" s="23"/>
      <c r="G6" s="16">
        <f>IF($D6="","",SUMIF('Daily tracking'!$B$2:$B$2001,$D6,'Daily tracking'!$G$2:$G$2001))</f>
        <v>0</v>
      </c>
      <c r="H6" s="15">
        <f>IF($D6="","",COUNTIF('Daily tracking'!$B$2:$B$2001,$D6))</f>
        <v>0</v>
      </c>
      <c r="I6" s="9">
        <f t="shared" si="1"/>
        <v>0</v>
      </c>
      <c r="J6" s="13">
        <f t="shared" si="2"/>
        <v>0</v>
      </c>
      <c r="K6" s="14" t="str">
        <f t="shared" si="3"/>
        <v/>
      </c>
    </row>
    <row r="7" spans="1:11" x14ac:dyDescent="0.3">
      <c r="A7" t="s">
        <v>11</v>
      </c>
      <c r="B7" t="s">
        <v>93</v>
      </c>
      <c r="C7" s="22">
        <v>50</v>
      </c>
      <c r="D7" s="6" t="str">
        <f t="shared" si="0"/>
        <v>Threading - Sidelocks</v>
      </c>
      <c r="E7" s="19" t="s">
        <v>57</v>
      </c>
      <c r="F7" s="23"/>
      <c r="G7" s="16">
        <f>IF($D7="","",SUMIF('Daily tracking'!$B$2:$B$2001,$D7,'Daily tracking'!$G$2:$G$2001))</f>
        <v>0</v>
      </c>
      <c r="H7" s="15">
        <f>IF($D7="","",COUNTIF('Daily tracking'!$B$2:$B$2001,$D7))</f>
        <v>0</v>
      </c>
      <c r="I7" s="9">
        <f t="shared" si="1"/>
        <v>0</v>
      </c>
      <c r="J7" s="13">
        <f t="shared" si="2"/>
        <v>0</v>
      </c>
      <c r="K7" s="14" t="str">
        <f t="shared" si="3"/>
        <v/>
      </c>
    </row>
    <row r="8" spans="1:11" x14ac:dyDescent="0.3">
      <c r="A8" t="s">
        <v>13</v>
      </c>
      <c r="B8" t="s">
        <v>91</v>
      </c>
      <c r="C8" s="22">
        <v>80</v>
      </c>
      <c r="D8" s="6" t="str">
        <f t="shared" si="0"/>
        <v>Waxing - Chin</v>
      </c>
      <c r="E8" s="19" t="s">
        <v>57</v>
      </c>
      <c r="F8" s="23"/>
      <c r="G8" s="16">
        <f>IF($D8="","",SUMIF('Daily tracking'!$B$2:$B$2001,$D8,'Daily tracking'!$G$2:$G$2001))</f>
        <v>0</v>
      </c>
      <c r="H8" s="15">
        <f>IF($D8="","",COUNTIF('Daily tracking'!$B$2:$B$2001,$D8))</f>
        <v>0</v>
      </c>
      <c r="I8" s="9">
        <f t="shared" si="1"/>
        <v>0</v>
      </c>
      <c r="J8" s="13">
        <f t="shared" si="2"/>
        <v>0</v>
      </c>
      <c r="K8" s="14" t="str">
        <f t="shared" si="3"/>
        <v/>
      </c>
    </row>
    <row r="9" spans="1:11" x14ac:dyDescent="0.3">
      <c r="A9" t="s">
        <v>13</v>
      </c>
      <c r="B9" t="s">
        <v>90</v>
      </c>
      <c r="C9" s="22">
        <v>60</v>
      </c>
      <c r="D9" s="6" t="str">
        <f t="shared" si="0"/>
        <v>Waxing - Upper lip</v>
      </c>
      <c r="E9" s="19" t="s">
        <v>57</v>
      </c>
      <c r="F9" s="23"/>
      <c r="G9" s="16">
        <f>IF($D9="","",SUMIF('Daily tracking'!$B$2:$B$2001,$D9,'Daily tracking'!$G$2:$G$2001))</f>
        <v>0</v>
      </c>
      <c r="H9" s="15">
        <f>IF($D9="","",COUNTIF('Daily tracking'!$B$2:$B$2001,$D9))</f>
        <v>0</v>
      </c>
      <c r="I9" s="9">
        <f t="shared" si="1"/>
        <v>0</v>
      </c>
      <c r="J9" s="13">
        <f t="shared" si="2"/>
        <v>0</v>
      </c>
      <c r="K9" s="14" t="str">
        <f t="shared" si="3"/>
        <v/>
      </c>
    </row>
    <row r="10" spans="1:11" x14ac:dyDescent="0.3">
      <c r="A10" t="s">
        <v>13</v>
      </c>
      <c r="B10" t="s">
        <v>93</v>
      </c>
      <c r="C10" s="22">
        <v>80</v>
      </c>
      <c r="D10" s="6" t="str">
        <f t="shared" si="0"/>
        <v>Waxing - Sidelocks</v>
      </c>
      <c r="E10" s="19" t="s">
        <v>57</v>
      </c>
      <c r="F10" s="23"/>
      <c r="G10" s="16">
        <f>IF($D10="","",SUMIF('Daily tracking'!$B$2:$B$2001,$D10,'Daily tracking'!$G$2:$G$2001))</f>
        <v>0</v>
      </c>
      <c r="H10" s="15">
        <f>IF($D10="","",COUNTIF('Daily tracking'!$B$2:$B$2001,$D10))</f>
        <v>0</v>
      </c>
      <c r="I10" s="9">
        <f t="shared" si="1"/>
        <v>0</v>
      </c>
      <c r="J10" s="13">
        <f t="shared" si="2"/>
        <v>0</v>
      </c>
      <c r="K10" s="14" t="str">
        <f t="shared" si="3"/>
        <v/>
      </c>
    </row>
    <row r="11" spans="1:11" x14ac:dyDescent="0.3">
      <c r="A11" t="s">
        <v>13</v>
      </c>
      <c r="B11" t="s">
        <v>94</v>
      </c>
      <c r="C11" s="22">
        <v>100</v>
      </c>
      <c r="D11" s="6" t="str">
        <f t="shared" si="0"/>
        <v>Waxing - Neck</v>
      </c>
      <c r="E11" s="19" t="s">
        <v>57</v>
      </c>
      <c r="F11" s="23"/>
      <c r="G11" s="16">
        <f>IF($D11="","",SUMIF('Daily tracking'!$B$2:$B$2001,$D11,'Daily tracking'!$G$2:$G$2001))</f>
        <v>0</v>
      </c>
      <c r="H11" s="15">
        <f>IF($D11="","",COUNTIF('Daily tracking'!$B$2:$B$2001,$D11))</f>
        <v>0</v>
      </c>
      <c r="I11" s="9">
        <f t="shared" si="1"/>
        <v>0</v>
      </c>
      <c r="J11" s="13">
        <f t="shared" si="2"/>
        <v>0</v>
      </c>
      <c r="K11" s="14" t="str">
        <f t="shared" si="3"/>
        <v/>
      </c>
    </row>
    <row r="12" spans="1:11" x14ac:dyDescent="0.3">
      <c r="A12" t="s">
        <v>13</v>
      </c>
      <c r="B12" t="s">
        <v>95</v>
      </c>
      <c r="C12" s="22">
        <v>80</v>
      </c>
      <c r="D12" s="6" t="str">
        <f t="shared" si="0"/>
        <v>Waxing - Jawline</v>
      </c>
      <c r="E12" s="19" t="s">
        <v>57</v>
      </c>
      <c r="F12" s="23"/>
      <c r="G12" s="16">
        <f>IF($D12="","",SUMIF('Daily tracking'!$B$2:$B$2001,$D12,'Daily tracking'!$G$2:$G$2001))</f>
        <v>0</v>
      </c>
      <c r="H12" s="15">
        <f>IF($D12="","",COUNTIF('Daily tracking'!$B$2:$B$2001,$D12))</f>
        <v>0</v>
      </c>
      <c r="I12" s="9">
        <f t="shared" si="1"/>
        <v>0</v>
      </c>
      <c r="J12" s="13">
        <f t="shared" si="2"/>
        <v>0</v>
      </c>
      <c r="K12" s="14" t="str">
        <f t="shared" si="3"/>
        <v/>
      </c>
    </row>
    <row r="13" spans="1:11" x14ac:dyDescent="0.3">
      <c r="A13" t="s">
        <v>13</v>
      </c>
      <c r="B13" t="s">
        <v>89</v>
      </c>
      <c r="C13" s="22">
        <v>80</v>
      </c>
      <c r="D13" s="6" t="str">
        <f t="shared" si="0"/>
        <v>Waxing - Forehead</v>
      </c>
      <c r="E13" s="19" t="s">
        <v>57</v>
      </c>
      <c r="F13" s="23"/>
      <c r="G13" s="16">
        <f>IF($D13="","",SUMIF('Daily tracking'!$B$2:$B$2001,$D13,'Daily tracking'!$G$2:$G$2001))</f>
        <v>0</v>
      </c>
      <c r="H13" s="15">
        <f>IF($D13="","",COUNTIF('Daily tracking'!$B$2:$B$2001,$D13))</f>
        <v>0</v>
      </c>
      <c r="I13" s="9">
        <f t="shared" si="1"/>
        <v>0</v>
      </c>
      <c r="J13" s="13">
        <f t="shared" si="2"/>
        <v>0</v>
      </c>
      <c r="K13" s="14" t="str">
        <f t="shared" si="3"/>
        <v/>
      </c>
    </row>
    <row r="14" spans="1:11" x14ac:dyDescent="0.3">
      <c r="A14" t="s">
        <v>13</v>
      </c>
      <c r="B14" t="s">
        <v>92</v>
      </c>
      <c r="C14" s="22">
        <v>400</v>
      </c>
      <c r="D14" s="6" t="str">
        <f t="shared" si="0"/>
        <v>Waxing - Full face</v>
      </c>
      <c r="E14" s="19" t="s">
        <v>57</v>
      </c>
      <c r="F14" s="23"/>
      <c r="G14" s="16">
        <f>IF($D14="","",SUMIF('Daily tracking'!$B$2:$B$2001,$D14,'Daily tracking'!$G$2:$G$2001))</f>
        <v>0</v>
      </c>
      <c r="H14" s="15">
        <f>IF($D14="","",COUNTIF('Daily tracking'!$B$2:$B$2001,$D14))</f>
        <v>0</v>
      </c>
      <c r="I14" s="9">
        <f t="shared" si="1"/>
        <v>0</v>
      </c>
      <c r="J14" s="13">
        <f t="shared" si="2"/>
        <v>0</v>
      </c>
      <c r="K14" s="14" t="str">
        <f t="shared" si="3"/>
        <v/>
      </c>
    </row>
    <row r="15" spans="1:11" x14ac:dyDescent="0.3">
      <c r="A15" t="s">
        <v>15</v>
      </c>
      <c r="B15" t="s">
        <v>96</v>
      </c>
      <c r="C15" s="22">
        <v>460</v>
      </c>
      <c r="D15" s="6" t="str">
        <f t="shared" si="0"/>
        <v>Roll on - Wax - Half leg</v>
      </c>
      <c r="E15" s="19" t="s">
        <v>57</v>
      </c>
      <c r="F15" s="23"/>
      <c r="G15" s="16">
        <f>IF($D15="","",SUMIF('Daily tracking'!$B$2:$B$2001,$D15,'Daily tracking'!$G$2:$G$2001))</f>
        <v>0</v>
      </c>
      <c r="H15" s="15">
        <f>IF($D15="","",COUNTIF('Daily tracking'!$B$2:$B$2001,$D15))</f>
        <v>0</v>
      </c>
      <c r="I15" s="9">
        <f t="shared" si="1"/>
        <v>0</v>
      </c>
      <c r="J15" s="13">
        <f t="shared" si="2"/>
        <v>0</v>
      </c>
      <c r="K15" s="14" t="str">
        <f t="shared" si="3"/>
        <v/>
      </c>
    </row>
    <row r="16" spans="1:11" x14ac:dyDescent="0.3">
      <c r="A16" t="s">
        <v>15</v>
      </c>
      <c r="B16" t="s">
        <v>97</v>
      </c>
      <c r="C16" s="22">
        <v>490</v>
      </c>
      <c r="D16" s="6" t="str">
        <f t="shared" si="0"/>
        <v>Roll on - Wax - Hand</v>
      </c>
      <c r="E16" s="19" t="s">
        <v>57</v>
      </c>
      <c r="F16" s="23"/>
      <c r="G16" s="16">
        <f>IF($D16="","",SUMIF('Daily tracking'!$B$2:$B$2001,$D16,'Daily tracking'!$G$2:$G$2001))</f>
        <v>0</v>
      </c>
      <c r="H16" s="15">
        <f>IF($D16="","",COUNTIF('Daily tracking'!$B$2:$B$2001,$D16))</f>
        <v>0</v>
      </c>
      <c r="I16" s="9">
        <f t="shared" si="1"/>
        <v>0</v>
      </c>
      <c r="J16" s="13">
        <f t="shared" si="2"/>
        <v>0</v>
      </c>
      <c r="K16" s="14" t="str">
        <f t="shared" si="3"/>
        <v/>
      </c>
    </row>
    <row r="17" spans="1:11" x14ac:dyDescent="0.3">
      <c r="A17" t="s">
        <v>15</v>
      </c>
      <c r="B17" t="s">
        <v>98</v>
      </c>
      <c r="C17" s="22">
        <v>600</v>
      </c>
      <c r="D17" s="6" t="str">
        <f t="shared" si="0"/>
        <v>Roll on - Wax - Full leg</v>
      </c>
      <c r="E17" s="19" t="s">
        <v>57</v>
      </c>
      <c r="F17" s="23"/>
      <c r="G17" s="16">
        <f>IF($D17="","",SUMIF('Daily tracking'!$B$2:$B$2001,$D17,'Daily tracking'!$G$2:$G$2001))</f>
        <v>0</v>
      </c>
      <c r="H17" s="15">
        <f>IF($D17="","",COUNTIF('Daily tracking'!$B$2:$B$2001,$D17))</f>
        <v>0</v>
      </c>
      <c r="I17" s="9">
        <f t="shared" si="1"/>
        <v>0</v>
      </c>
      <c r="J17" s="13">
        <f t="shared" si="2"/>
        <v>0</v>
      </c>
      <c r="K17" s="14" t="str">
        <f t="shared" si="3"/>
        <v/>
      </c>
    </row>
    <row r="18" spans="1:11" x14ac:dyDescent="0.3">
      <c r="A18" t="s">
        <v>15</v>
      </c>
      <c r="B18" t="s">
        <v>99</v>
      </c>
      <c r="C18" s="22">
        <v>1200</v>
      </c>
      <c r="D18" s="6" t="str">
        <f t="shared" si="0"/>
        <v>Roll on - Wax - Full waxing</v>
      </c>
      <c r="E18" s="19" t="s">
        <v>57</v>
      </c>
      <c r="F18" s="23"/>
      <c r="G18" s="16">
        <f>IF($D18="","",SUMIF('Daily tracking'!$B$2:$B$2001,$D18,'Daily tracking'!$G$2:$G$2001))</f>
        <v>0</v>
      </c>
      <c r="H18" s="15">
        <f>IF($D18="","",COUNTIF('Daily tracking'!$B$2:$B$2001,$D18))</f>
        <v>0</v>
      </c>
      <c r="I18" s="9">
        <f t="shared" si="1"/>
        <v>0</v>
      </c>
      <c r="J18" s="13">
        <f t="shared" si="2"/>
        <v>0</v>
      </c>
      <c r="K18" s="14" t="str">
        <f t="shared" si="3"/>
        <v/>
      </c>
    </row>
    <row r="19" spans="1:11" x14ac:dyDescent="0.3">
      <c r="A19" t="s">
        <v>15</v>
      </c>
      <c r="B19" t="s">
        <v>100</v>
      </c>
      <c r="C19" s="22">
        <v>550</v>
      </c>
      <c r="D19" s="6" t="str">
        <f t="shared" si="0"/>
        <v>Roll on - Wax - Stomach</v>
      </c>
      <c r="E19" s="19" t="s">
        <v>57</v>
      </c>
      <c r="F19" s="23"/>
      <c r="G19" s="16">
        <f>IF($D19="","",SUMIF('Daily tracking'!$B$2:$B$2001,$D19,'Daily tracking'!$G$2:$G$2001))</f>
        <v>0</v>
      </c>
      <c r="H19" s="15">
        <f>IF($D19="","",COUNTIF('Daily tracking'!$B$2:$B$2001,$D19))</f>
        <v>0</v>
      </c>
      <c r="I19" s="9">
        <f t="shared" si="1"/>
        <v>0</v>
      </c>
      <c r="J19" s="13">
        <f t="shared" si="2"/>
        <v>0</v>
      </c>
      <c r="K19" s="14" t="str">
        <f t="shared" si="3"/>
        <v/>
      </c>
    </row>
    <row r="20" spans="1:11" x14ac:dyDescent="0.3">
      <c r="A20" t="s">
        <v>15</v>
      </c>
      <c r="B20" t="s">
        <v>101</v>
      </c>
      <c r="C20" s="22">
        <v>2500</v>
      </c>
      <c r="D20" s="6" t="str">
        <f t="shared" si="0"/>
        <v>Roll on - Wax - Full body</v>
      </c>
      <c r="E20" s="19" t="s">
        <v>57</v>
      </c>
      <c r="F20" s="23"/>
      <c r="G20" s="16">
        <f>IF($D20="","",SUMIF('Daily tracking'!$B$2:$B$2001,$D20,'Daily tracking'!$G$2:$G$2001))</f>
        <v>0</v>
      </c>
      <c r="H20" s="15">
        <f>IF($D20="","",COUNTIF('Daily tracking'!$B$2:$B$2001,$D20))</f>
        <v>0</v>
      </c>
      <c r="I20" s="9">
        <f t="shared" si="1"/>
        <v>0</v>
      </c>
      <c r="J20" s="13">
        <f t="shared" si="2"/>
        <v>0</v>
      </c>
      <c r="K20" s="14" t="str">
        <f t="shared" si="3"/>
        <v/>
      </c>
    </row>
    <row r="21" spans="1:11" x14ac:dyDescent="0.3">
      <c r="A21" t="s">
        <v>15</v>
      </c>
      <c r="B21" t="s">
        <v>102</v>
      </c>
      <c r="C21" s="22">
        <v>550</v>
      </c>
      <c r="D21" s="6" t="str">
        <f t="shared" si="0"/>
        <v>Roll on - Wax - Back</v>
      </c>
      <c r="E21" s="19" t="s">
        <v>57</v>
      </c>
      <c r="F21" s="23"/>
      <c r="G21" s="16">
        <f>IF($D21="","",SUMIF('Daily tracking'!$B$2:$B$2001,$D21,'Daily tracking'!$G$2:$G$2001))</f>
        <v>0</v>
      </c>
      <c r="H21" s="15">
        <f>IF($D21="","",COUNTIF('Daily tracking'!$B$2:$B$2001,$D21))</f>
        <v>0</v>
      </c>
      <c r="I21" s="9">
        <f t="shared" si="1"/>
        <v>0</v>
      </c>
      <c r="J21" s="13">
        <f t="shared" si="2"/>
        <v>0</v>
      </c>
      <c r="K21" s="14" t="str">
        <f t="shared" si="3"/>
        <v/>
      </c>
    </row>
    <row r="22" spans="1:11" x14ac:dyDescent="0.3">
      <c r="A22" t="s">
        <v>17</v>
      </c>
      <c r="B22" t="s">
        <v>99</v>
      </c>
      <c r="C22" s="22">
        <v>1000</v>
      </c>
      <c r="D22" s="6" t="str">
        <f t="shared" si="0"/>
        <v>Lipo - Wax - Full waxing</v>
      </c>
      <c r="E22" s="19" t="s">
        <v>57</v>
      </c>
      <c r="F22" s="23"/>
      <c r="G22" s="16">
        <f>IF($D22="","",SUMIF('Daily tracking'!$B$2:$B$2001,$D22,'Daily tracking'!$G$2:$G$2001))</f>
        <v>0</v>
      </c>
      <c r="H22" s="15">
        <f>IF($D22="","",COUNTIF('Daily tracking'!$B$2:$B$2001,$D22))</f>
        <v>0</v>
      </c>
      <c r="I22" s="9">
        <f t="shared" si="1"/>
        <v>0</v>
      </c>
      <c r="J22" s="13">
        <f t="shared" si="2"/>
        <v>0</v>
      </c>
      <c r="K22" s="14" t="str">
        <f t="shared" si="3"/>
        <v/>
      </c>
    </row>
    <row r="23" spans="1:11" x14ac:dyDescent="0.3">
      <c r="A23" t="s">
        <v>17</v>
      </c>
      <c r="B23" t="s">
        <v>98</v>
      </c>
      <c r="C23" s="22">
        <v>550</v>
      </c>
      <c r="D23" s="6" t="str">
        <f t="shared" si="0"/>
        <v>Lipo - Wax - Full leg</v>
      </c>
      <c r="E23" s="19" t="s">
        <v>57</v>
      </c>
      <c r="F23" s="23"/>
      <c r="G23" s="16">
        <f>IF($D23="","",SUMIF('Daily tracking'!$B$2:$B$2001,$D23,'Daily tracking'!$G$2:$G$2001))</f>
        <v>0</v>
      </c>
      <c r="H23" s="15">
        <f>IF($D23="","",COUNTIF('Daily tracking'!$B$2:$B$2001,$D23))</f>
        <v>0</v>
      </c>
      <c r="I23" s="9">
        <f t="shared" si="1"/>
        <v>0</v>
      </c>
      <c r="J23" s="13">
        <f t="shared" si="2"/>
        <v>0</v>
      </c>
      <c r="K23" s="14" t="str">
        <f t="shared" si="3"/>
        <v/>
      </c>
    </row>
    <row r="24" spans="1:11" x14ac:dyDescent="0.3">
      <c r="A24" t="s">
        <v>17</v>
      </c>
      <c r="B24" t="s">
        <v>96</v>
      </c>
      <c r="C24" s="22">
        <v>440</v>
      </c>
      <c r="D24" s="6" t="str">
        <f t="shared" si="0"/>
        <v>Lipo - Wax - Half leg</v>
      </c>
      <c r="E24" s="19" t="s">
        <v>57</v>
      </c>
      <c r="F24" s="23"/>
      <c r="G24" s="16">
        <f>IF($D24="","",SUMIF('Daily tracking'!$B$2:$B$2001,$D24,'Daily tracking'!$G$2:$G$2001))</f>
        <v>0</v>
      </c>
      <c r="H24" s="15">
        <f>IF($D24="","",COUNTIF('Daily tracking'!$B$2:$B$2001,$D24))</f>
        <v>0</v>
      </c>
      <c r="I24" s="9">
        <f t="shared" si="1"/>
        <v>0</v>
      </c>
      <c r="J24" s="13">
        <f t="shared" si="2"/>
        <v>0</v>
      </c>
      <c r="K24" s="14" t="str">
        <f t="shared" si="3"/>
        <v/>
      </c>
    </row>
    <row r="25" spans="1:11" x14ac:dyDescent="0.3">
      <c r="A25" t="s">
        <v>17</v>
      </c>
      <c r="B25" t="s">
        <v>97</v>
      </c>
      <c r="C25" s="22">
        <v>440</v>
      </c>
      <c r="D25" s="6" t="str">
        <f t="shared" si="0"/>
        <v>Lipo - Wax - Hand</v>
      </c>
      <c r="E25" s="19" t="s">
        <v>57</v>
      </c>
      <c r="F25" s="23"/>
      <c r="G25" s="16">
        <f>IF($D25="","",SUMIF('Daily tracking'!$B$2:$B$2001,$D25,'Daily tracking'!$G$2:$G$2001))</f>
        <v>0</v>
      </c>
      <c r="H25" s="15">
        <f>IF($D25="","",COUNTIF('Daily tracking'!$B$2:$B$2001,$D25))</f>
        <v>0</v>
      </c>
      <c r="I25" s="9">
        <f t="shared" si="1"/>
        <v>0</v>
      </c>
      <c r="J25" s="13">
        <f t="shared" si="2"/>
        <v>0</v>
      </c>
      <c r="K25" s="14" t="str">
        <f t="shared" si="3"/>
        <v/>
      </c>
    </row>
    <row r="26" spans="1:11" x14ac:dyDescent="0.3">
      <c r="A26" t="s">
        <v>17</v>
      </c>
      <c r="B26" t="s">
        <v>103</v>
      </c>
      <c r="C26" s="22">
        <v>500</v>
      </c>
      <c r="D26" s="6" t="str">
        <f t="shared" si="0"/>
        <v>Lipo - Wax - stomach</v>
      </c>
      <c r="E26" s="19" t="s">
        <v>57</v>
      </c>
      <c r="F26" s="23"/>
      <c r="G26" s="16">
        <f>IF($D26="","",SUMIF('Daily tracking'!$B$2:$B$2001,$D26,'Daily tracking'!$G$2:$G$2001))</f>
        <v>0</v>
      </c>
      <c r="H26" s="15">
        <f>IF($D26="","",COUNTIF('Daily tracking'!$B$2:$B$2001,$D26))</f>
        <v>0</v>
      </c>
      <c r="I26" s="9">
        <f t="shared" si="1"/>
        <v>0</v>
      </c>
      <c r="J26" s="13">
        <f t="shared" si="2"/>
        <v>0</v>
      </c>
      <c r="K26" s="14" t="str">
        <f t="shared" si="3"/>
        <v/>
      </c>
    </row>
    <row r="27" spans="1:11" x14ac:dyDescent="0.3">
      <c r="A27" t="s">
        <v>17</v>
      </c>
      <c r="B27" t="s">
        <v>102</v>
      </c>
      <c r="C27" s="22">
        <v>500</v>
      </c>
      <c r="D27" s="6" t="str">
        <f t="shared" si="0"/>
        <v>Lipo - Wax - Back</v>
      </c>
      <c r="E27" s="19" t="s">
        <v>57</v>
      </c>
      <c r="F27" s="23"/>
      <c r="G27" s="16">
        <f>IF($D27="","",SUMIF('Daily tracking'!$B$2:$B$2001,$D27,'Daily tracking'!$G$2:$G$2001))</f>
        <v>0</v>
      </c>
      <c r="H27" s="15">
        <f>IF($D27="","",COUNTIF('Daily tracking'!$B$2:$B$2001,$D27))</f>
        <v>0</v>
      </c>
      <c r="I27" s="9">
        <f t="shared" si="1"/>
        <v>0</v>
      </c>
      <c r="J27" s="13">
        <f t="shared" si="2"/>
        <v>0</v>
      </c>
      <c r="K27" s="14" t="str">
        <f t="shared" si="3"/>
        <v/>
      </c>
    </row>
    <row r="28" spans="1:11" x14ac:dyDescent="0.3">
      <c r="A28" t="s">
        <v>17</v>
      </c>
      <c r="B28" t="s">
        <v>101</v>
      </c>
      <c r="C28" s="22">
        <v>2400</v>
      </c>
      <c r="D28" s="6" t="str">
        <f t="shared" si="0"/>
        <v>Lipo - Wax - Full body</v>
      </c>
      <c r="E28" s="19" t="s">
        <v>57</v>
      </c>
      <c r="F28" s="23"/>
      <c r="G28" s="16">
        <f>IF($D28="","",SUMIF('Daily tracking'!$B$2:$B$2001,$D28,'Daily tracking'!$G$2:$G$2001))</f>
        <v>0</v>
      </c>
      <c r="H28" s="15">
        <f>IF($D28="","",COUNTIF('Daily tracking'!$B$2:$B$2001,$D28))</f>
        <v>0</v>
      </c>
      <c r="I28" s="9">
        <f t="shared" si="1"/>
        <v>0</v>
      </c>
      <c r="J28" s="13">
        <f t="shared" si="2"/>
        <v>0</v>
      </c>
      <c r="K28" s="14" t="str">
        <f t="shared" si="3"/>
        <v/>
      </c>
    </row>
    <row r="29" spans="1:11" x14ac:dyDescent="0.3">
      <c r="A29" t="s">
        <v>17</v>
      </c>
      <c r="B29" t="s">
        <v>104</v>
      </c>
      <c r="C29" s="22">
        <v>200</v>
      </c>
      <c r="D29" s="6" t="str">
        <f t="shared" si="0"/>
        <v>Lipo - Wax - Underarm</v>
      </c>
      <c r="E29" s="19" t="s">
        <v>57</v>
      </c>
      <c r="F29" s="23"/>
      <c r="G29" s="16">
        <f>IF($D29="","",SUMIF('Daily tracking'!$B$2:$B$2001,$D29,'Daily tracking'!$G$2:$G$2001))</f>
        <v>0</v>
      </c>
      <c r="H29" s="15">
        <f>IF($D29="","",COUNTIF('Daily tracking'!$B$2:$B$2001,$D29))</f>
        <v>0</v>
      </c>
      <c r="I29" s="9">
        <f t="shared" si="1"/>
        <v>0</v>
      </c>
      <c r="J29" s="13">
        <f t="shared" si="2"/>
        <v>0</v>
      </c>
      <c r="K29" s="14" t="str">
        <f t="shared" si="3"/>
        <v/>
      </c>
    </row>
    <row r="30" spans="1:11" x14ac:dyDescent="0.3">
      <c r="A30" t="s">
        <v>19</v>
      </c>
      <c r="B30" t="s">
        <v>105</v>
      </c>
      <c r="C30" s="22">
        <v>800</v>
      </c>
      <c r="D30" s="6" t="str">
        <f t="shared" si="0"/>
        <v>Spa - SKP - Spa</v>
      </c>
      <c r="E30" s="19" t="s">
        <v>57</v>
      </c>
      <c r="F30" s="23"/>
      <c r="G30" s="16">
        <f>IF($D30="","",SUMIF('Daily tracking'!$B$2:$B$2001,$D30,'Daily tracking'!$G$2:$G$2001))</f>
        <v>0</v>
      </c>
      <c r="H30" s="15">
        <f>IF($D30="","",COUNTIF('Daily tracking'!$B$2:$B$2001,$D30))</f>
        <v>0</v>
      </c>
      <c r="I30" s="9">
        <f t="shared" si="1"/>
        <v>0</v>
      </c>
      <c r="J30" s="13">
        <f t="shared" si="2"/>
        <v>0</v>
      </c>
      <c r="K30" s="14" t="str">
        <f t="shared" si="3"/>
        <v/>
      </c>
    </row>
    <row r="31" spans="1:11" x14ac:dyDescent="0.3">
      <c r="A31" t="s">
        <v>19</v>
      </c>
      <c r="B31" t="s">
        <v>106</v>
      </c>
      <c r="C31" s="22">
        <v>1000</v>
      </c>
      <c r="D31" s="6" t="str">
        <f t="shared" si="0"/>
        <v>Spa - Loreal - basic</v>
      </c>
      <c r="E31" s="19" t="s">
        <v>57</v>
      </c>
      <c r="F31" s="23"/>
      <c r="G31" s="16">
        <f>IF($D31="","",SUMIF('Daily tracking'!$B$2:$B$2001,$D31,'Daily tracking'!$G$2:$G$2001))</f>
        <v>0</v>
      </c>
      <c r="H31" s="15">
        <f>IF($D31="","",COUNTIF('Daily tracking'!$B$2:$B$2001,$D31))</f>
        <v>0</v>
      </c>
      <c r="I31" s="9">
        <f t="shared" si="1"/>
        <v>0</v>
      </c>
      <c r="J31" s="13">
        <f t="shared" si="2"/>
        <v>0</v>
      </c>
      <c r="K31" s="14" t="str">
        <f t="shared" si="3"/>
        <v/>
      </c>
    </row>
    <row r="32" spans="1:11" x14ac:dyDescent="0.3">
      <c r="A32" t="s">
        <v>19</v>
      </c>
      <c r="B32" t="s">
        <v>107</v>
      </c>
      <c r="C32" s="22">
        <v>1500</v>
      </c>
      <c r="D32" s="6" t="str">
        <f t="shared" si="0"/>
        <v>Spa - Loreal - repair</v>
      </c>
      <c r="E32" s="19" t="s">
        <v>57</v>
      </c>
      <c r="F32" s="23"/>
      <c r="G32" s="16">
        <f>IF($D32="","",SUMIF('Daily tracking'!$B$2:$B$2001,$D32,'Daily tracking'!$G$2:$G$2001))</f>
        <v>0</v>
      </c>
      <c r="H32" s="15">
        <f>IF($D32="","",COUNTIF('Daily tracking'!$B$2:$B$2001,$D32))</f>
        <v>0</v>
      </c>
      <c r="I32" s="9">
        <f t="shared" si="1"/>
        <v>0</v>
      </c>
      <c r="J32" s="13">
        <f t="shared" si="2"/>
        <v>0</v>
      </c>
      <c r="K32" s="14" t="str">
        <f t="shared" si="3"/>
        <v/>
      </c>
    </row>
    <row r="33" spans="1:11" x14ac:dyDescent="0.3">
      <c r="A33" t="s">
        <v>19</v>
      </c>
      <c r="B33" t="s">
        <v>108</v>
      </c>
      <c r="C33" s="22">
        <v>1800</v>
      </c>
      <c r="D33" s="6" t="str">
        <f t="shared" si="0"/>
        <v>Spa - Dfab</v>
      </c>
      <c r="E33" s="19" t="s">
        <v>57</v>
      </c>
      <c r="F33" s="23"/>
      <c r="G33" s="16">
        <f>IF($D33="","",SUMIF('Daily tracking'!$B$2:$B$2001,$D33,'Daily tracking'!$G$2:$G$2001))</f>
        <v>0</v>
      </c>
      <c r="H33" s="15">
        <f>IF($D33="","",COUNTIF('Daily tracking'!$B$2:$B$2001,$D33))</f>
        <v>0</v>
      </c>
      <c r="I33" s="9">
        <f t="shared" si="1"/>
        <v>0</v>
      </c>
      <c r="J33" s="13">
        <f t="shared" si="2"/>
        <v>0</v>
      </c>
      <c r="K33" s="14" t="str">
        <f t="shared" si="3"/>
        <v/>
      </c>
    </row>
    <row r="34" spans="1:11" x14ac:dyDescent="0.3">
      <c r="A34" t="s">
        <v>19</v>
      </c>
      <c r="B34" t="s">
        <v>109</v>
      </c>
      <c r="C34" s="22">
        <v>2400</v>
      </c>
      <c r="D34" s="6" t="str">
        <f t="shared" ref="D34:D65" si="4">IF(A34="","",A34&amp;" - "&amp;B34)</f>
        <v>Spa - Shea</v>
      </c>
      <c r="E34" s="19" t="s">
        <v>57</v>
      </c>
      <c r="F34" s="23"/>
      <c r="G34" s="16">
        <f>IF($D34="","",SUMIF('Daily tracking'!$B$2:$B$2001,$D34,'Daily tracking'!$G$2:$G$2001))</f>
        <v>0</v>
      </c>
      <c r="H34" s="15">
        <f>IF($D34="","",COUNTIF('Daily tracking'!$B$2:$B$2001,$D34))</f>
        <v>0</v>
      </c>
      <c r="I34" s="9">
        <f t="shared" ref="I34:I65" si="5">IF($D34="","",$H34*IF($F34="",0,$F34))</f>
        <v>0</v>
      </c>
      <c r="J34" s="13">
        <f t="shared" ref="J34:J65" si="6">IF($D34="","",$G34-$I34)</f>
        <v>0</v>
      </c>
      <c r="K34" s="14" t="str">
        <f t="shared" ref="K34:K65" si="7">IF(OR($D34="",$G34=0),"",$J34/$G34)</f>
        <v/>
      </c>
    </row>
    <row r="35" spans="1:11" x14ac:dyDescent="0.3">
      <c r="A35" t="s">
        <v>21</v>
      </c>
      <c r="B35" t="s">
        <v>110</v>
      </c>
      <c r="C35" s="22">
        <v>450</v>
      </c>
      <c r="D35" s="6" t="str">
        <f t="shared" si="4"/>
        <v>Pedicure - Basic</v>
      </c>
      <c r="E35" s="19" t="s">
        <v>57</v>
      </c>
      <c r="F35" s="23"/>
      <c r="G35" s="16">
        <f>IF($D35="","",SUMIF('Daily tracking'!$B$2:$B$2001,$D35,'Daily tracking'!$G$2:$G$2001))</f>
        <v>0</v>
      </c>
      <c r="H35" s="15">
        <f>IF($D35="","",COUNTIF('Daily tracking'!$B$2:$B$2001,$D35))</f>
        <v>0</v>
      </c>
      <c r="I35" s="9">
        <f t="shared" si="5"/>
        <v>0</v>
      </c>
      <c r="J35" s="13">
        <f t="shared" si="6"/>
        <v>0</v>
      </c>
      <c r="K35" s="14" t="str">
        <f t="shared" si="7"/>
        <v/>
      </c>
    </row>
    <row r="36" spans="1:11" x14ac:dyDescent="0.3">
      <c r="A36" t="s">
        <v>21</v>
      </c>
      <c r="B36" t="s">
        <v>111</v>
      </c>
      <c r="C36" s="22">
        <v>800</v>
      </c>
      <c r="D36" s="6" t="str">
        <f t="shared" si="4"/>
        <v>Pedicure - Strawberry burst</v>
      </c>
      <c r="E36" s="19" t="s">
        <v>57</v>
      </c>
      <c r="F36" s="23"/>
      <c r="G36" s="16">
        <f>IF($D36="","",SUMIF('Daily tracking'!$B$2:$B$2001,$D36,'Daily tracking'!$G$2:$G$2001))</f>
        <v>0</v>
      </c>
      <c r="H36" s="15">
        <f>IF($D36="","",COUNTIF('Daily tracking'!$B$2:$B$2001,$D36))</f>
        <v>0</v>
      </c>
      <c r="I36" s="9">
        <f t="shared" si="5"/>
        <v>0</v>
      </c>
      <c r="J36" s="13">
        <f t="shared" si="6"/>
        <v>0</v>
      </c>
      <c r="K36" s="14" t="str">
        <f t="shared" si="7"/>
        <v/>
      </c>
    </row>
    <row r="37" spans="1:11" x14ac:dyDescent="0.3">
      <c r="A37" t="s">
        <v>21</v>
      </c>
      <c r="B37" t="s">
        <v>112</v>
      </c>
      <c r="C37" s="22">
        <v>650</v>
      </c>
      <c r="D37" s="6" t="str">
        <f t="shared" si="4"/>
        <v>Pedicure - Rose kiss</v>
      </c>
      <c r="E37" s="19" t="s">
        <v>57</v>
      </c>
      <c r="F37" s="23"/>
      <c r="G37" s="16">
        <f>IF($D37="","",SUMIF('Daily tracking'!$B$2:$B$2001,$D37,'Daily tracking'!$G$2:$G$2001))</f>
        <v>0</v>
      </c>
      <c r="H37" s="15">
        <f>IF($D37="","",COUNTIF('Daily tracking'!$B$2:$B$2001,$D37))</f>
        <v>0</v>
      </c>
      <c r="I37" s="9">
        <f t="shared" si="5"/>
        <v>0</v>
      </c>
      <c r="J37" s="13">
        <f t="shared" si="6"/>
        <v>0</v>
      </c>
      <c r="K37" s="14" t="str">
        <f t="shared" si="7"/>
        <v/>
      </c>
    </row>
    <row r="38" spans="1:11" x14ac:dyDescent="0.3">
      <c r="A38" t="s">
        <v>21</v>
      </c>
      <c r="B38" t="s">
        <v>113</v>
      </c>
      <c r="C38" s="22">
        <v>1300</v>
      </c>
      <c r="D38" s="6" t="str">
        <f t="shared" si="4"/>
        <v>Pedicure - Prism bomb</v>
      </c>
      <c r="E38" s="19" t="s">
        <v>57</v>
      </c>
      <c r="F38" s="23"/>
      <c r="G38" s="16">
        <f>IF($D38="","",SUMIF('Daily tracking'!$B$2:$B$2001,$D38,'Daily tracking'!$G$2:$G$2001))</f>
        <v>0</v>
      </c>
      <c r="H38" s="15">
        <f>IF($D38="","",COUNTIF('Daily tracking'!$B$2:$B$2001,$D38))</f>
        <v>0</v>
      </c>
      <c r="I38" s="9">
        <f t="shared" si="5"/>
        <v>0</v>
      </c>
      <c r="J38" s="13">
        <f t="shared" si="6"/>
        <v>0</v>
      </c>
      <c r="K38" s="14" t="str">
        <f t="shared" si="7"/>
        <v/>
      </c>
    </row>
    <row r="39" spans="1:11" x14ac:dyDescent="0.3">
      <c r="A39" t="s">
        <v>23</v>
      </c>
      <c r="B39" t="s">
        <v>110</v>
      </c>
      <c r="C39" s="22">
        <v>400</v>
      </c>
      <c r="D39" s="6" t="str">
        <f t="shared" si="4"/>
        <v>Manicure - Basic</v>
      </c>
      <c r="E39" s="19" t="s">
        <v>57</v>
      </c>
      <c r="F39" s="23"/>
      <c r="G39" s="16">
        <f>IF($D39="","",SUMIF('Daily tracking'!$B$2:$B$2001,$D39,'Daily tracking'!$G$2:$G$2001))</f>
        <v>0</v>
      </c>
      <c r="H39" s="15">
        <f>IF($D39="","",COUNTIF('Daily tracking'!$B$2:$B$2001,$D39))</f>
        <v>0</v>
      </c>
      <c r="I39" s="9">
        <f t="shared" si="5"/>
        <v>0</v>
      </c>
      <c r="J39" s="13">
        <f t="shared" si="6"/>
        <v>0</v>
      </c>
      <c r="K39" s="14" t="str">
        <f t="shared" si="7"/>
        <v/>
      </c>
    </row>
    <row r="40" spans="1:11" x14ac:dyDescent="0.3">
      <c r="A40" t="s">
        <v>23</v>
      </c>
      <c r="B40" t="s">
        <v>111</v>
      </c>
      <c r="C40" s="22">
        <v>750</v>
      </c>
      <c r="D40" s="6" t="str">
        <f t="shared" si="4"/>
        <v>Manicure - Strawberry burst</v>
      </c>
      <c r="E40" s="19" t="s">
        <v>57</v>
      </c>
      <c r="F40" s="23"/>
      <c r="G40" s="16">
        <f>IF($D40="","",SUMIF('Daily tracking'!$B$2:$B$2001,$D40,'Daily tracking'!$G$2:$G$2001))</f>
        <v>0</v>
      </c>
      <c r="H40" s="15">
        <f>IF($D40="","",COUNTIF('Daily tracking'!$B$2:$B$2001,$D40))</f>
        <v>0</v>
      </c>
      <c r="I40" s="9">
        <f t="shared" si="5"/>
        <v>0</v>
      </c>
      <c r="J40" s="13">
        <f t="shared" si="6"/>
        <v>0</v>
      </c>
      <c r="K40" s="14" t="str">
        <f t="shared" si="7"/>
        <v/>
      </c>
    </row>
    <row r="41" spans="1:11" x14ac:dyDescent="0.3">
      <c r="A41" t="s">
        <v>23</v>
      </c>
      <c r="B41" t="s">
        <v>112</v>
      </c>
      <c r="C41" s="22">
        <v>600</v>
      </c>
      <c r="D41" s="6" t="str">
        <f t="shared" si="4"/>
        <v>Manicure - Rose kiss</v>
      </c>
      <c r="E41" s="19" t="s">
        <v>57</v>
      </c>
      <c r="F41" s="23"/>
      <c r="G41" s="16">
        <f>IF($D41="","",SUMIF('Daily tracking'!$B$2:$B$2001,$D41,'Daily tracking'!$G$2:$G$2001))</f>
        <v>0</v>
      </c>
      <c r="H41" s="15">
        <f>IF($D41="","",COUNTIF('Daily tracking'!$B$2:$B$2001,$D41))</f>
        <v>0</v>
      </c>
      <c r="I41" s="9">
        <f t="shared" si="5"/>
        <v>0</v>
      </c>
      <c r="J41" s="13">
        <f t="shared" si="6"/>
        <v>0</v>
      </c>
      <c r="K41" s="14" t="str">
        <f t="shared" si="7"/>
        <v/>
      </c>
    </row>
    <row r="42" spans="1:11" x14ac:dyDescent="0.3">
      <c r="A42" t="s">
        <v>23</v>
      </c>
      <c r="B42" t="s">
        <v>113</v>
      </c>
      <c r="C42" s="22">
        <v>1200</v>
      </c>
      <c r="D42" s="6" t="str">
        <f t="shared" si="4"/>
        <v>Manicure - Prism bomb</v>
      </c>
      <c r="E42" s="19" t="s">
        <v>57</v>
      </c>
      <c r="F42" s="23"/>
      <c r="G42" s="16">
        <f>IF($D42="","",SUMIF('Daily tracking'!$B$2:$B$2001,$D42,'Daily tracking'!$G$2:$G$2001))</f>
        <v>0</v>
      </c>
      <c r="H42" s="15">
        <f>IF($D42="","",COUNTIF('Daily tracking'!$B$2:$B$2001,$D42))</f>
        <v>0</v>
      </c>
      <c r="I42" s="9">
        <f t="shared" si="5"/>
        <v>0</v>
      </c>
      <c r="J42" s="13">
        <f t="shared" si="6"/>
        <v>0</v>
      </c>
      <c r="K42" s="14" t="str">
        <f t="shared" si="7"/>
        <v/>
      </c>
    </row>
    <row r="43" spans="1:11" x14ac:dyDescent="0.3">
      <c r="A43" t="s">
        <v>25</v>
      </c>
      <c r="B43" t="s">
        <v>110</v>
      </c>
      <c r="C43" s="22">
        <v>800</v>
      </c>
      <c r="D43" s="6" t="str">
        <f t="shared" si="4"/>
        <v>Combo - meni &amp; pedi - Basic</v>
      </c>
      <c r="E43" s="19" t="s">
        <v>57</v>
      </c>
      <c r="F43" s="23"/>
      <c r="G43" s="16">
        <f>IF($D43="","",SUMIF('Daily tracking'!$B$2:$B$2001,$D43,'Daily tracking'!$G$2:$G$2001))</f>
        <v>0</v>
      </c>
      <c r="H43" s="15">
        <f>IF($D43="","",COUNTIF('Daily tracking'!$B$2:$B$2001,$D43))</f>
        <v>0</v>
      </c>
      <c r="I43" s="9">
        <f t="shared" si="5"/>
        <v>0</v>
      </c>
      <c r="J43" s="13">
        <f t="shared" si="6"/>
        <v>0</v>
      </c>
      <c r="K43" s="14" t="str">
        <f t="shared" si="7"/>
        <v/>
      </c>
    </row>
    <row r="44" spans="1:11" x14ac:dyDescent="0.3">
      <c r="A44" t="s">
        <v>25</v>
      </c>
      <c r="B44" t="s">
        <v>111</v>
      </c>
      <c r="C44" s="22">
        <v>1500</v>
      </c>
      <c r="D44" s="6" t="str">
        <f t="shared" si="4"/>
        <v>Combo - meni &amp; pedi - Strawberry burst</v>
      </c>
      <c r="E44" s="19" t="s">
        <v>57</v>
      </c>
      <c r="F44" s="23"/>
      <c r="G44" s="16">
        <f>IF($D44="","",SUMIF('Daily tracking'!$B$2:$B$2001,$D44,'Daily tracking'!$G$2:$G$2001))</f>
        <v>0</v>
      </c>
      <c r="H44" s="15">
        <f>IF($D44="","",COUNTIF('Daily tracking'!$B$2:$B$2001,$D44))</f>
        <v>0</v>
      </c>
      <c r="I44" s="9">
        <f t="shared" si="5"/>
        <v>0</v>
      </c>
      <c r="J44" s="13">
        <f t="shared" si="6"/>
        <v>0</v>
      </c>
      <c r="K44" s="14" t="str">
        <f t="shared" si="7"/>
        <v/>
      </c>
    </row>
    <row r="45" spans="1:11" x14ac:dyDescent="0.3">
      <c r="A45" t="s">
        <v>25</v>
      </c>
      <c r="B45" t="s">
        <v>112</v>
      </c>
      <c r="C45" s="22">
        <v>1200</v>
      </c>
      <c r="D45" s="6" t="str">
        <f t="shared" si="4"/>
        <v>Combo - meni &amp; pedi - Rose kiss</v>
      </c>
      <c r="E45" s="19" t="s">
        <v>57</v>
      </c>
      <c r="F45" s="23"/>
      <c r="G45" s="16">
        <f>IF($D45="","",SUMIF('Daily tracking'!$B$2:$B$2001,$D45,'Daily tracking'!$G$2:$G$2001))</f>
        <v>0</v>
      </c>
      <c r="H45" s="15">
        <f>IF($D45="","",COUNTIF('Daily tracking'!$B$2:$B$2001,$D45))</f>
        <v>0</v>
      </c>
      <c r="I45" s="9">
        <f t="shared" si="5"/>
        <v>0</v>
      </c>
      <c r="J45" s="13">
        <f t="shared" si="6"/>
        <v>0</v>
      </c>
      <c r="K45" s="14" t="str">
        <f t="shared" si="7"/>
        <v/>
      </c>
    </row>
    <row r="46" spans="1:11" x14ac:dyDescent="0.3">
      <c r="A46" t="s">
        <v>25</v>
      </c>
      <c r="B46" t="s">
        <v>113</v>
      </c>
      <c r="C46" s="22">
        <v>2400</v>
      </c>
      <c r="D46" s="6" t="str">
        <f t="shared" si="4"/>
        <v>Combo - meni &amp; pedi - Prism bomb</v>
      </c>
      <c r="E46" s="19" t="s">
        <v>57</v>
      </c>
      <c r="F46" s="23"/>
      <c r="G46" s="16">
        <f>IF($D46="","",SUMIF('Daily tracking'!$B$2:$B$2001,$D46,'Daily tracking'!$G$2:$G$2001))</f>
        <v>0</v>
      </c>
      <c r="H46" s="15">
        <f>IF($D46="","",COUNTIF('Daily tracking'!$B$2:$B$2001,$D46))</f>
        <v>0</v>
      </c>
      <c r="I46" s="9">
        <f t="shared" si="5"/>
        <v>0</v>
      </c>
      <c r="J46" s="13">
        <f t="shared" si="6"/>
        <v>0</v>
      </c>
      <c r="K46" s="14" t="str">
        <f t="shared" si="7"/>
        <v/>
      </c>
    </row>
    <row r="47" spans="1:11" x14ac:dyDescent="0.3">
      <c r="A47" t="s">
        <v>27</v>
      </c>
      <c r="B47" t="s">
        <v>114</v>
      </c>
      <c r="C47" s="22">
        <v>1200</v>
      </c>
      <c r="D47" s="6" t="str">
        <f t="shared" si="4"/>
        <v>Nail extension - Gel polish</v>
      </c>
      <c r="E47" s="19" t="s">
        <v>57</v>
      </c>
      <c r="F47" s="23"/>
      <c r="G47" s="16">
        <f>IF($D47="","",SUMIF('Daily tracking'!$B$2:$B$2001,$D47,'Daily tracking'!$G$2:$G$2001))</f>
        <v>0</v>
      </c>
      <c r="H47" s="15">
        <f>IF($D47="","",COUNTIF('Daily tracking'!$B$2:$B$2001,$D47))</f>
        <v>0</v>
      </c>
      <c r="I47" s="9">
        <f t="shared" si="5"/>
        <v>0</v>
      </c>
      <c r="J47" s="13">
        <f t="shared" si="6"/>
        <v>0</v>
      </c>
      <c r="K47" s="14" t="str">
        <f t="shared" si="7"/>
        <v/>
      </c>
    </row>
    <row r="48" spans="1:11" x14ac:dyDescent="0.3">
      <c r="A48" t="s">
        <v>27</v>
      </c>
      <c r="B48" t="s">
        <v>115</v>
      </c>
      <c r="C48" s="22">
        <v>1500</v>
      </c>
      <c r="D48" s="6" t="str">
        <f t="shared" si="4"/>
        <v>Nail extension - Gel polish + chrome</v>
      </c>
      <c r="E48" s="19" t="s">
        <v>57</v>
      </c>
      <c r="F48" s="23"/>
      <c r="G48" s="16">
        <f>IF($D48="","",SUMIF('Daily tracking'!$B$2:$B$2001,$D48,'Daily tracking'!$G$2:$G$2001))</f>
        <v>0</v>
      </c>
      <c r="H48" s="15">
        <f>IF($D48="","",COUNTIF('Daily tracking'!$B$2:$B$2001,$D48))</f>
        <v>0</v>
      </c>
      <c r="I48" s="9">
        <f t="shared" si="5"/>
        <v>0</v>
      </c>
      <c r="J48" s="13">
        <f t="shared" si="6"/>
        <v>0</v>
      </c>
      <c r="K48" s="14" t="str">
        <f t="shared" si="7"/>
        <v/>
      </c>
    </row>
    <row r="49" spans="1:11" x14ac:dyDescent="0.3">
      <c r="A49" t="s">
        <v>27</v>
      </c>
      <c r="B49" t="s">
        <v>116</v>
      </c>
      <c r="C49" s="22">
        <v>1600</v>
      </c>
      <c r="D49" s="6" t="str">
        <f t="shared" si="4"/>
        <v>Nail extension - Gel polish + cat eye</v>
      </c>
      <c r="E49" s="19" t="s">
        <v>57</v>
      </c>
      <c r="F49" s="23"/>
      <c r="G49" s="16">
        <f>IF($D49="","",SUMIF('Daily tracking'!$B$2:$B$2001,$D49,'Daily tracking'!$G$2:$G$2001))</f>
        <v>0</v>
      </c>
      <c r="H49" s="15">
        <f>IF($D49="","",COUNTIF('Daily tracking'!$B$2:$B$2001,$D49))</f>
        <v>0</v>
      </c>
      <c r="I49" s="9">
        <f t="shared" si="5"/>
        <v>0</v>
      </c>
      <c r="J49" s="13">
        <f t="shared" si="6"/>
        <v>0</v>
      </c>
      <c r="K49" s="14" t="str">
        <f t="shared" si="7"/>
        <v/>
      </c>
    </row>
    <row r="50" spans="1:11" x14ac:dyDescent="0.3">
      <c r="A50" t="s">
        <v>29</v>
      </c>
      <c r="B50" t="s">
        <v>114</v>
      </c>
      <c r="C50" s="22">
        <v>400</v>
      </c>
      <c r="D50" s="6" t="str">
        <f t="shared" si="4"/>
        <v>Nail polish - Gel polish</v>
      </c>
      <c r="E50" s="19" t="s">
        <v>57</v>
      </c>
      <c r="F50" s="23"/>
      <c r="G50" s="16">
        <f>IF($D50="","",SUMIF('Daily tracking'!$B$2:$B$2001,$D50,'Daily tracking'!$G$2:$G$2001))</f>
        <v>0</v>
      </c>
      <c r="H50" s="15">
        <f>IF($D50="","",COUNTIF('Daily tracking'!$B$2:$B$2001,$D50))</f>
        <v>0</v>
      </c>
      <c r="I50" s="9">
        <f t="shared" si="5"/>
        <v>0</v>
      </c>
      <c r="J50" s="13">
        <f t="shared" si="6"/>
        <v>0</v>
      </c>
      <c r="K50" s="14" t="str">
        <f t="shared" si="7"/>
        <v/>
      </c>
    </row>
    <row r="51" spans="1:11" x14ac:dyDescent="0.3">
      <c r="A51" t="s">
        <v>29</v>
      </c>
      <c r="B51" t="s">
        <v>117</v>
      </c>
      <c r="C51" s="22">
        <v>500</v>
      </c>
      <c r="D51" s="6" t="str">
        <f t="shared" si="4"/>
        <v>Nail polish - Cat eye</v>
      </c>
      <c r="E51" s="19" t="s">
        <v>57</v>
      </c>
      <c r="F51" s="23"/>
      <c r="G51" s="16">
        <f>IF($D51="","",SUMIF('Daily tracking'!$B$2:$B$2001,$D51,'Daily tracking'!$G$2:$G$2001))</f>
        <v>0</v>
      </c>
      <c r="H51" s="15">
        <f>IF($D51="","",COUNTIF('Daily tracking'!$B$2:$B$2001,$D51))</f>
        <v>0</v>
      </c>
      <c r="I51" s="9">
        <f t="shared" si="5"/>
        <v>0</v>
      </c>
      <c r="J51" s="13">
        <f t="shared" si="6"/>
        <v>0</v>
      </c>
      <c r="K51" s="14" t="str">
        <f t="shared" si="7"/>
        <v/>
      </c>
    </row>
    <row r="52" spans="1:11" x14ac:dyDescent="0.3">
      <c r="A52" t="s">
        <v>29</v>
      </c>
      <c r="B52" t="s">
        <v>115</v>
      </c>
      <c r="C52" s="22">
        <v>700</v>
      </c>
      <c r="D52" s="6" t="str">
        <f t="shared" si="4"/>
        <v>Nail polish - Gel polish + chrome</v>
      </c>
      <c r="E52" s="19" t="s">
        <v>57</v>
      </c>
      <c r="F52" s="23"/>
      <c r="G52" s="16">
        <f>IF($D52="","",SUMIF('Daily tracking'!$B$2:$B$2001,$D52,'Daily tracking'!$G$2:$G$2001))</f>
        <v>0</v>
      </c>
      <c r="H52" s="15">
        <f>IF($D52="","",COUNTIF('Daily tracking'!$B$2:$B$2001,$D52))</f>
        <v>0</v>
      </c>
      <c r="I52" s="9">
        <f t="shared" si="5"/>
        <v>0</v>
      </c>
      <c r="J52" s="13">
        <f t="shared" si="6"/>
        <v>0</v>
      </c>
      <c r="K52" s="14" t="str">
        <f t="shared" si="7"/>
        <v/>
      </c>
    </row>
    <row r="53" spans="1:11" x14ac:dyDescent="0.3">
      <c r="A53" t="s">
        <v>29</v>
      </c>
      <c r="B53" t="s">
        <v>118</v>
      </c>
      <c r="C53" s="22">
        <v>300</v>
      </c>
      <c r="D53" s="6" t="str">
        <f t="shared" si="4"/>
        <v>Nail polish - Cut + file + polish</v>
      </c>
      <c r="E53" s="19" t="s">
        <v>57</v>
      </c>
      <c r="F53" s="23"/>
      <c r="G53" s="16">
        <f>IF($D53="","",SUMIF('Daily tracking'!$B$2:$B$2001,$D53,'Daily tracking'!$G$2:$G$2001))</f>
        <v>0</v>
      </c>
      <c r="H53" s="15">
        <f>IF($D53="","",COUNTIF('Daily tracking'!$B$2:$B$2001,$D53))</f>
        <v>0</v>
      </c>
      <c r="I53" s="9">
        <f t="shared" si="5"/>
        <v>0</v>
      </c>
      <c r="J53" s="13">
        <f t="shared" si="6"/>
        <v>0</v>
      </c>
      <c r="K53" s="14" t="str">
        <f t="shared" si="7"/>
        <v/>
      </c>
    </row>
    <row r="54" spans="1:11" x14ac:dyDescent="0.3">
      <c r="A54" t="s">
        <v>29</v>
      </c>
      <c r="B54" t="s">
        <v>119</v>
      </c>
      <c r="C54" s="22">
        <v>500</v>
      </c>
      <c r="D54" s="6" t="str">
        <f t="shared" si="4"/>
        <v>Nail polish - Nail art</v>
      </c>
      <c r="E54" s="19" t="s">
        <v>57</v>
      </c>
      <c r="F54" s="23"/>
      <c r="G54" s="16">
        <f>IF($D54="","",SUMIF('Daily tracking'!$B$2:$B$2001,$D54,'Daily tracking'!$G$2:$G$2001))</f>
        <v>0</v>
      </c>
      <c r="H54" s="15">
        <f>IF($D54="","",COUNTIF('Daily tracking'!$B$2:$B$2001,$D54))</f>
        <v>0</v>
      </c>
      <c r="I54" s="9">
        <f t="shared" si="5"/>
        <v>0</v>
      </c>
      <c r="J54" s="13">
        <f t="shared" si="6"/>
        <v>0</v>
      </c>
      <c r="K54" s="14" t="str">
        <f t="shared" si="7"/>
        <v/>
      </c>
    </row>
    <row r="55" spans="1:11" x14ac:dyDescent="0.3">
      <c r="A55" t="s">
        <v>31</v>
      </c>
      <c r="B55" t="s">
        <v>120</v>
      </c>
      <c r="C55" s="22">
        <v>550</v>
      </c>
      <c r="D55" s="6" t="str">
        <f t="shared" si="4"/>
        <v>Hair - Hair cut</v>
      </c>
      <c r="E55" s="19" t="s">
        <v>57</v>
      </c>
      <c r="F55" s="23"/>
      <c r="G55" s="16">
        <f>IF($D55="","",SUMIF('Daily tracking'!$B$2:$B$2001,$D55,'Daily tracking'!$G$2:$G$2001))</f>
        <v>0</v>
      </c>
      <c r="H55" s="15">
        <f>IF($D55="","",COUNTIF('Daily tracking'!$B$2:$B$2001,$D55))</f>
        <v>0</v>
      </c>
      <c r="I55" s="9">
        <f t="shared" si="5"/>
        <v>0</v>
      </c>
      <c r="J55" s="13">
        <f t="shared" si="6"/>
        <v>0</v>
      </c>
      <c r="K55" s="14" t="str">
        <f t="shared" si="7"/>
        <v/>
      </c>
    </row>
    <row r="56" spans="1:11" x14ac:dyDescent="0.3">
      <c r="A56" t="s">
        <v>31</v>
      </c>
      <c r="B56" t="s">
        <v>121</v>
      </c>
      <c r="C56" s="22">
        <v>300</v>
      </c>
      <c r="D56" s="6" t="str">
        <f t="shared" si="4"/>
        <v>Hair - Hair cut - kid</v>
      </c>
      <c r="E56" s="19" t="s">
        <v>57</v>
      </c>
      <c r="F56" s="23"/>
      <c r="G56" s="16">
        <f>IF($D56="","",SUMIF('Daily tracking'!$B$2:$B$2001,$D56,'Daily tracking'!$G$2:$G$2001))</f>
        <v>0</v>
      </c>
      <c r="H56" s="15">
        <f>IF($D56="","",COUNTIF('Daily tracking'!$B$2:$B$2001,$D56))</f>
        <v>0</v>
      </c>
      <c r="I56" s="9">
        <f t="shared" si="5"/>
        <v>0</v>
      </c>
      <c r="J56" s="13">
        <f t="shared" si="6"/>
        <v>0</v>
      </c>
      <c r="K56" s="14" t="str">
        <f t="shared" si="7"/>
        <v/>
      </c>
    </row>
    <row r="57" spans="1:11" x14ac:dyDescent="0.3">
      <c r="A57" t="s">
        <v>31</v>
      </c>
      <c r="B57" t="s">
        <v>122</v>
      </c>
      <c r="C57" s="22">
        <v>400</v>
      </c>
      <c r="D57" s="6" t="str">
        <f t="shared" si="4"/>
        <v>Hair - Hair oil massage</v>
      </c>
      <c r="E57" s="19" t="s">
        <v>57</v>
      </c>
      <c r="F57" s="23"/>
      <c r="G57" s="16">
        <f>IF($D57="","",SUMIF('Daily tracking'!$B$2:$B$2001,$D57,'Daily tracking'!$G$2:$G$2001))</f>
        <v>0</v>
      </c>
      <c r="H57" s="15">
        <f>IF($D57="","",COUNTIF('Daily tracking'!$B$2:$B$2001,$D57))</f>
        <v>0</v>
      </c>
      <c r="I57" s="9">
        <f t="shared" si="5"/>
        <v>0</v>
      </c>
      <c r="J57" s="13">
        <f t="shared" si="6"/>
        <v>0</v>
      </c>
      <c r="K57" s="14" t="str">
        <f t="shared" si="7"/>
        <v/>
      </c>
    </row>
    <row r="58" spans="1:11" x14ac:dyDescent="0.3">
      <c r="A58" t="s">
        <v>31</v>
      </c>
      <c r="B58" t="s">
        <v>123</v>
      </c>
      <c r="C58" s="22">
        <v>550</v>
      </c>
      <c r="D58" s="6" t="str">
        <f t="shared" si="4"/>
        <v>Hair - Wash &amp; blow dry</v>
      </c>
      <c r="E58" s="19" t="s">
        <v>57</v>
      </c>
      <c r="F58" s="23"/>
      <c r="G58" s="16">
        <f>IF($D58="","",SUMIF('Daily tracking'!$B$2:$B$2001,$D58,'Daily tracking'!$G$2:$G$2001))</f>
        <v>0</v>
      </c>
      <c r="H58" s="15">
        <f>IF($D58="","",COUNTIF('Daily tracking'!$B$2:$B$2001,$D58))</f>
        <v>0</v>
      </c>
      <c r="I58" s="9">
        <f t="shared" si="5"/>
        <v>0</v>
      </c>
      <c r="J58" s="13">
        <f t="shared" si="6"/>
        <v>0</v>
      </c>
      <c r="K58" s="14" t="str">
        <f t="shared" si="7"/>
        <v/>
      </c>
    </row>
    <row r="59" spans="1:11" x14ac:dyDescent="0.3">
      <c r="A59" t="s">
        <v>31</v>
      </c>
      <c r="B59" t="s">
        <v>124</v>
      </c>
      <c r="C59" s="22">
        <v>500</v>
      </c>
      <c r="D59" s="6" t="str">
        <f t="shared" si="4"/>
        <v>Hair - Ironing</v>
      </c>
      <c r="E59" s="19" t="s">
        <v>57</v>
      </c>
      <c r="F59" s="23"/>
      <c r="G59" s="16">
        <f>IF($D59="","",SUMIF('Daily tracking'!$B$2:$B$2001,$D59,'Daily tracking'!$G$2:$G$2001))</f>
        <v>0</v>
      </c>
      <c r="H59" s="15">
        <f>IF($D59="","",COUNTIF('Daily tracking'!$B$2:$B$2001,$D59))</f>
        <v>0</v>
      </c>
      <c r="I59" s="9">
        <f t="shared" si="5"/>
        <v>0</v>
      </c>
      <c r="J59" s="13">
        <f t="shared" si="6"/>
        <v>0</v>
      </c>
      <c r="K59" s="14" t="str">
        <f t="shared" si="7"/>
        <v/>
      </c>
    </row>
    <row r="60" spans="1:11" x14ac:dyDescent="0.3">
      <c r="A60" t="s">
        <v>31</v>
      </c>
      <c r="B60" t="s">
        <v>125</v>
      </c>
      <c r="C60" s="22">
        <v>500</v>
      </c>
      <c r="D60" s="6" t="str">
        <f t="shared" si="4"/>
        <v>Hair - Curling</v>
      </c>
      <c r="E60" s="19" t="s">
        <v>57</v>
      </c>
      <c r="F60" s="23"/>
      <c r="G60" s="16">
        <f>IF($D60="","",SUMIF('Daily tracking'!$B$2:$B$2001,$D60,'Daily tracking'!$G$2:$G$2001))</f>
        <v>0</v>
      </c>
      <c r="H60" s="15">
        <f>IF($D60="","",COUNTIF('Daily tracking'!$B$2:$B$2001,$D60))</f>
        <v>0</v>
      </c>
      <c r="I60" s="9">
        <f t="shared" si="5"/>
        <v>0</v>
      </c>
      <c r="J60" s="13">
        <f t="shared" si="6"/>
        <v>0</v>
      </c>
      <c r="K60" s="14" t="str">
        <f t="shared" si="7"/>
        <v/>
      </c>
    </row>
    <row r="61" spans="1:11" x14ac:dyDescent="0.3">
      <c r="A61" t="s">
        <v>31</v>
      </c>
      <c r="B61" t="s">
        <v>126</v>
      </c>
      <c r="C61" s="22">
        <v>1299</v>
      </c>
      <c r="D61" s="6" t="str">
        <f t="shared" si="4"/>
        <v>Hair - Dandruff care</v>
      </c>
      <c r="E61" s="19" t="s">
        <v>57</v>
      </c>
      <c r="F61" s="23"/>
      <c r="G61" s="16">
        <f>IF($D61="","",SUMIF('Daily tracking'!$B$2:$B$2001,$D61,'Daily tracking'!$G$2:$G$2001))</f>
        <v>0</v>
      </c>
      <c r="H61" s="15">
        <f>IF($D61="","",COUNTIF('Daily tracking'!$B$2:$B$2001,$D61))</f>
        <v>0</v>
      </c>
      <c r="I61" s="9">
        <f t="shared" si="5"/>
        <v>0</v>
      </c>
      <c r="J61" s="13">
        <f t="shared" si="6"/>
        <v>0</v>
      </c>
      <c r="K61" s="14" t="str">
        <f t="shared" si="7"/>
        <v/>
      </c>
    </row>
    <row r="62" spans="1:11" x14ac:dyDescent="0.3">
      <c r="A62" t="s">
        <v>31</v>
      </c>
      <c r="B62" t="s">
        <v>127</v>
      </c>
      <c r="C62" s="22">
        <v>1299</v>
      </c>
      <c r="D62" s="6" t="str">
        <f t="shared" si="4"/>
        <v>Hair - Hydra Bliss</v>
      </c>
      <c r="E62" s="19" t="s">
        <v>57</v>
      </c>
      <c r="F62" s="23"/>
      <c r="G62" s="16">
        <f>IF($D62="","",SUMIF('Daily tracking'!$B$2:$B$2001,$D62,'Daily tracking'!$G$2:$G$2001))</f>
        <v>0</v>
      </c>
      <c r="H62" s="15">
        <f>IF($D62="","",COUNTIF('Daily tracking'!$B$2:$B$2001,$D62))</f>
        <v>0</v>
      </c>
      <c r="I62" s="9">
        <f t="shared" si="5"/>
        <v>0</v>
      </c>
      <c r="J62" s="13">
        <f t="shared" si="6"/>
        <v>0</v>
      </c>
      <c r="K62" s="14" t="str">
        <f t="shared" si="7"/>
        <v/>
      </c>
    </row>
    <row r="63" spans="1:11" x14ac:dyDescent="0.3">
      <c r="A63" t="s">
        <v>31</v>
      </c>
      <c r="B63" t="s">
        <v>128</v>
      </c>
      <c r="C63" s="22">
        <v>1499</v>
      </c>
      <c r="D63" s="6" t="str">
        <f t="shared" si="4"/>
        <v>Hair - Moisture rebirth</v>
      </c>
      <c r="E63" s="19" t="s">
        <v>57</v>
      </c>
      <c r="F63" s="23"/>
      <c r="G63" s="16">
        <f>IF($D63="","",SUMIF('Daily tracking'!$B$2:$B$2001,$D63,'Daily tracking'!$G$2:$G$2001))</f>
        <v>0</v>
      </c>
      <c r="H63" s="15">
        <f>IF($D63="","",COUNTIF('Daily tracking'!$B$2:$B$2001,$D63))</f>
        <v>0</v>
      </c>
      <c r="I63" s="9">
        <f t="shared" si="5"/>
        <v>0</v>
      </c>
      <c r="J63" s="13">
        <f t="shared" si="6"/>
        <v>0</v>
      </c>
      <c r="K63" s="14" t="str">
        <f t="shared" si="7"/>
        <v/>
      </c>
    </row>
    <row r="64" spans="1:11" x14ac:dyDescent="0.3">
      <c r="A64" t="s">
        <v>33</v>
      </c>
      <c r="B64" t="s">
        <v>129</v>
      </c>
      <c r="C64" s="22">
        <v>3000</v>
      </c>
      <c r="D64" s="6" t="str">
        <f t="shared" si="4"/>
        <v>Hair treatment - Straightening</v>
      </c>
      <c r="E64" s="19" t="s">
        <v>57</v>
      </c>
      <c r="F64" s="23"/>
      <c r="G64" s="16">
        <f>IF($D64="","",SUMIF('Daily tracking'!$B$2:$B$2001,$D64,'Daily tracking'!$G$2:$G$2001))</f>
        <v>0</v>
      </c>
      <c r="H64" s="15">
        <f>IF($D64="","",COUNTIF('Daily tracking'!$B$2:$B$2001,$D64))</f>
        <v>0</v>
      </c>
      <c r="I64" s="9">
        <f t="shared" si="5"/>
        <v>0</v>
      </c>
      <c r="J64" s="13">
        <f t="shared" si="6"/>
        <v>0</v>
      </c>
      <c r="K64" s="14" t="str">
        <f t="shared" si="7"/>
        <v/>
      </c>
    </row>
    <row r="65" spans="1:11" x14ac:dyDescent="0.3">
      <c r="A65" t="s">
        <v>33</v>
      </c>
      <c r="B65" t="s">
        <v>130</v>
      </c>
      <c r="C65" s="22">
        <v>3500</v>
      </c>
      <c r="D65" s="6" t="str">
        <f t="shared" si="4"/>
        <v>Hair treatment - Smoothening</v>
      </c>
      <c r="E65" s="19" t="s">
        <v>57</v>
      </c>
      <c r="F65" s="23"/>
      <c r="G65" s="16">
        <f>IF($D65="","",SUMIF('Daily tracking'!$B$2:$B$2001,$D65,'Daily tracking'!$G$2:$G$2001))</f>
        <v>0</v>
      </c>
      <c r="H65" s="15">
        <f>IF($D65="","",COUNTIF('Daily tracking'!$B$2:$B$2001,$D65))</f>
        <v>0</v>
      </c>
      <c r="I65" s="9">
        <f t="shared" si="5"/>
        <v>0</v>
      </c>
      <c r="J65" s="13">
        <f t="shared" si="6"/>
        <v>0</v>
      </c>
      <c r="K65" s="14" t="str">
        <f t="shared" si="7"/>
        <v/>
      </c>
    </row>
    <row r="66" spans="1:11" x14ac:dyDescent="0.3">
      <c r="A66" t="s">
        <v>33</v>
      </c>
      <c r="B66" t="s">
        <v>131</v>
      </c>
      <c r="C66" s="22">
        <v>4999</v>
      </c>
      <c r="D66" s="6" t="str">
        <f t="shared" ref="D66:D97" si="8">IF(A66="","",A66&amp;" - "&amp;B66)</f>
        <v>Hair treatment - Botox</v>
      </c>
      <c r="E66" s="19" t="s">
        <v>57</v>
      </c>
      <c r="F66" s="23"/>
      <c r="G66" s="16">
        <f>IF($D66="","",SUMIF('Daily tracking'!$B$2:$B$2001,$D66,'Daily tracking'!$G$2:$G$2001))</f>
        <v>0</v>
      </c>
      <c r="H66" s="15">
        <f>IF($D66="","",COUNTIF('Daily tracking'!$B$2:$B$2001,$D66))</f>
        <v>0</v>
      </c>
      <c r="I66" s="9">
        <f t="shared" ref="I66:I97" si="9">IF($D66="","",$H66*IF($F66="",0,$F66))</f>
        <v>0</v>
      </c>
      <c r="J66" s="13">
        <f t="shared" ref="J66:J97" si="10">IF($D66="","",$G66-$I66)</f>
        <v>0</v>
      </c>
      <c r="K66" s="14" t="str">
        <f t="shared" ref="K66:K97" si="11">IF(OR($D66="",$G66=0),"",$J66/$G66)</f>
        <v/>
      </c>
    </row>
    <row r="67" spans="1:11" x14ac:dyDescent="0.3">
      <c r="A67" t="s">
        <v>33</v>
      </c>
      <c r="B67" t="s">
        <v>132</v>
      </c>
      <c r="C67" s="22">
        <v>5999</v>
      </c>
      <c r="D67" s="6" t="str">
        <f t="shared" si="8"/>
        <v>Hair treatment - Nanoplasty</v>
      </c>
      <c r="E67" s="19" t="s">
        <v>57</v>
      </c>
      <c r="F67" s="23"/>
      <c r="G67" s="16">
        <f>IF($D67="","",SUMIF('Daily tracking'!$B$2:$B$2001,$D67,'Daily tracking'!$G$2:$G$2001))</f>
        <v>0</v>
      </c>
      <c r="H67" s="15">
        <f>IF($D67="","",COUNTIF('Daily tracking'!$B$2:$B$2001,$D67))</f>
        <v>0</v>
      </c>
      <c r="I67" s="9">
        <f t="shared" si="9"/>
        <v>0</v>
      </c>
      <c r="J67" s="13">
        <f t="shared" si="10"/>
        <v>0</v>
      </c>
      <c r="K67" s="14" t="str">
        <f t="shared" si="11"/>
        <v/>
      </c>
    </row>
    <row r="68" spans="1:11" x14ac:dyDescent="0.3">
      <c r="A68" t="s">
        <v>34</v>
      </c>
      <c r="B68" t="s">
        <v>133</v>
      </c>
      <c r="C68" s="22">
        <v>1000</v>
      </c>
      <c r="D68" s="6" t="str">
        <f t="shared" si="8"/>
        <v>Hair color - Root touch up - streax</v>
      </c>
      <c r="E68" s="19" t="s">
        <v>57</v>
      </c>
      <c r="F68" s="23"/>
      <c r="G68" s="16">
        <f>IF($D68="","",SUMIF('Daily tracking'!$B$2:$B$2001,$D68,'Daily tracking'!$G$2:$G$2001))</f>
        <v>0</v>
      </c>
      <c r="H68" s="15">
        <f>IF($D68="","",COUNTIF('Daily tracking'!$B$2:$B$2001,$D68))</f>
        <v>0</v>
      </c>
      <c r="I68" s="9">
        <f t="shared" si="9"/>
        <v>0</v>
      </c>
      <c r="J68" s="13">
        <f t="shared" si="10"/>
        <v>0</v>
      </c>
      <c r="K68" s="14" t="str">
        <f t="shared" si="11"/>
        <v/>
      </c>
    </row>
    <row r="69" spans="1:11" x14ac:dyDescent="0.3">
      <c r="A69" t="s">
        <v>34</v>
      </c>
      <c r="B69" t="s">
        <v>134</v>
      </c>
      <c r="C69" s="22">
        <v>1200</v>
      </c>
      <c r="D69" s="6" t="str">
        <f t="shared" si="8"/>
        <v>Hair color - Root touch up - Loreal</v>
      </c>
      <c r="E69" s="19" t="s">
        <v>57</v>
      </c>
      <c r="F69" s="23"/>
      <c r="G69" s="16">
        <f>IF($D69="","",SUMIF('Daily tracking'!$B$2:$B$2001,$D69,'Daily tracking'!$G$2:$G$2001))</f>
        <v>0</v>
      </c>
      <c r="H69" s="15">
        <f>IF($D69="","",COUNTIF('Daily tracking'!$B$2:$B$2001,$D69))</f>
        <v>0</v>
      </c>
      <c r="I69" s="9">
        <f t="shared" si="9"/>
        <v>0</v>
      </c>
      <c r="J69" s="13">
        <f t="shared" si="10"/>
        <v>0</v>
      </c>
      <c r="K69" s="14" t="str">
        <f t="shared" si="11"/>
        <v/>
      </c>
    </row>
    <row r="70" spans="1:11" x14ac:dyDescent="0.3">
      <c r="A70" t="s">
        <v>34</v>
      </c>
      <c r="B70" t="s">
        <v>135</v>
      </c>
      <c r="C70" s="22">
        <v>1400</v>
      </c>
      <c r="D70" s="6" t="str">
        <f t="shared" si="8"/>
        <v>Hair color - Root touch up - SKP</v>
      </c>
      <c r="E70" s="19" t="s">
        <v>57</v>
      </c>
      <c r="F70" s="23"/>
      <c r="G70" s="16">
        <f>IF($D70="","",SUMIF('Daily tracking'!$B$2:$B$2001,$D70,'Daily tracking'!$G$2:$G$2001))</f>
        <v>0</v>
      </c>
      <c r="H70" s="15">
        <f>IF($D70="","",COUNTIF('Daily tracking'!$B$2:$B$2001,$D70))</f>
        <v>0</v>
      </c>
      <c r="I70" s="9">
        <f t="shared" si="9"/>
        <v>0</v>
      </c>
      <c r="J70" s="13">
        <f t="shared" si="10"/>
        <v>0</v>
      </c>
      <c r="K70" s="14" t="str">
        <f t="shared" si="11"/>
        <v/>
      </c>
    </row>
    <row r="71" spans="1:11" x14ac:dyDescent="0.3">
      <c r="A71" t="s">
        <v>34</v>
      </c>
      <c r="B71" t="s">
        <v>136</v>
      </c>
      <c r="C71" s="22">
        <v>2500</v>
      </c>
      <c r="D71" s="6" t="str">
        <f t="shared" si="8"/>
        <v>Hair color - Global</v>
      </c>
      <c r="E71" s="19" t="s">
        <v>57</v>
      </c>
      <c r="F71" s="23"/>
      <c r="G71" s="16">
        <f>IF($D71="","",SUMIF('Daily tracking'!$B$2:$B$2001,$D71,'Daily tracking'!$G$2:$G$2001))</f>
        <v>0</v>
      </c>
      <c r="H71" s="15">
        <f>IF($D71="","",COUNTIF('Daily tracking'!$B$2:$B$2001,$D71))</f>
        <v>0</v>
      </c>
      <c r="I71" s="9">
        <f t="shared" si="9"/>
        <v>0</v>
      </c>
      <c r="J71" s="13">
        <f t="shared" si="10"/>
        <v>0</v>
      </c>
      <c r="K71" s="14" t="str">
        <f t="shared" si="11"/>
        <v/>
      </c>
    </row>
    <row r="72" spans="1:11" x14ac:dyDescent="0.3">
      <c r="A72" t="s">
        <v>34</v>
      </c>
      <c r="B72" t="s">
        <v>137</v>
      </c>
      <c r="C72" s="22">
        <v>6499</v>
      </c>
      <c r="D72" s="6" t="str">
        <f t="shared" si="8"/>
        <v>Hair color - Balayage/Ombre</v>
      </c>
      <c r="E72" s="19" t="s">
        <v>57</v>
      </c>
      <c r="F72" s="23"/>
      <c r="G72" s="16">
        <f>IF($D72="","",SUMIF('Daily tracking'!$B$2:$B$2001,$D72,'Daily tracking'!$G$2:$G$2001))</f>
        <v>0</v>
      </c>
      <c r="H72" s="15">
        <f>IF($D72="","",COUNTIF('Daily tracking'!$B$2:$B$2001,$D72))</f>
        <v>0</v>
      </c>
      <c r="I72" s="9">
        <f t="shared" si="9"/>
        <v>0</v>
      </c>
      <c r="J72" s="13">
        <f t="shared" si="10"/>
        <v>0</v>
      </c>
      <c r="K72" s="14" t="str">
        <f t="shared" si="11"/>
        <v/>
      </c>
    </row>
    <row r="73" spans="1:11" x14ac:dyDescent="0.3">
      <c r="A73" t="s">
        <v>34</v>
      </c>
      <c r="B73" t="s">
        <v>138</v>
      </c>
      <c r="C73" s="22">
        <v>250</v>
      </c>
      <c r="D73" s="6" t="str">
        <f t="shared" si="8"/>
        <v>Hair color - Highlights/streak</v>
      </c>
      <c r="E73" s="19" t="s">
        <v>57</v>
      </c>
      <c r="F73" s="23"/>
      <c r="G73" s="16">
        <f>IF($D73="","",SUMIF('Daily tracking'!$B$2:$B$2001,$D73,'Daily tracking'!$G$2:$G$2001))</f>
        <v>0</v>
      </c>
      <c r="H73" s="15">
        <f>IF($D73="","",COUNTIF('Daily tracking'!$B$2:$B$2001,$D73))</f>
        <v>0</v>
      </c>
      <c r="I73" s="9">
        <f t="shared" si="9"/>
        <v>0</v>
      </c>
      <c r="J73" s="13">
        <f t="shared" si="10"/>
        <v>0</v>
      </c>
      <c r="K73" s="14" t="str">
        <f t="shared" si="11"/>
        <v/>
      </c>
    </row>
    <row r="74" spans="1:11" x14ac:dyDescent="0.3">
      <c r="A74" t="s">
        <v>34</v>
      </c>
      <c r="B74" t="s">
        <v>139</v>
      </c>
      <c r="C74" s="22">
        <v>3899</v>
      </c>
      <c r="D74" s="6" t="str">
        <f t="shared" si="8"/>
        <v>Hair color - Global highlights</v>
      </c>
      <c r="E74" s="19" t="s">
        <v>57</v>
      </c>
      <c r="F74" s="23"/>
      <c r="G74" s="16">
        <f>IF($D74="","",SUMIF('Daily tracking'!$B$2:$B$2001,$D74,'Daily tracking'!$G$2:$G$2001))</f>
        <v>0</v>
      </c>
      <c r="H74" s="15">
        <f>IF($D74="","",COUNTIF('Daily tracking'!$B$2:$B$2001,$D74))</f>
        <v>0</v>
      </c>
      <c r="I74" s="9">
        <f t="shared" si="9"/>
        <v>0</v>
      </c>
      <c r="J74" s="13">
        <f t="shared" si="10"/>
        <v>0</v>
      </c>
      <c r="K74" s="14" t="str">
        <f t="shared" si="11"/>
        <v/>
      </c>
    </row>
    <row r="75" spans="1:11" x14ac:dyDescent="0.3">
      <c r="A75" t="s">
        <v>36</v>
      </c>
      <c r="B75" t="s">
        <v>140</v>
      </c>
      <c r="C75" s="22">
        <v>600</v>
      </c>
      <c r="D75" s="6" t="str">
        <f t="shared" si="8"/>
        <v>Facial - Clean up - Lotus</v>
      </c>
      <c r="E75" s="19" t="s">
        <v>57</v>
      </c>
      <c r="F75" s="23"/>
      <c r="G75" s="16">
        <f>IF($D75="","",SUMIF('Daily tracking'!$B$2:$B$2001,$D75,'Daily tracking'!$G$2:$G$2001))</f>
        <v>0</v>
      </c>
      <c r="H75" s="15">
        <f>IF($D75="","",COUNTIF('Daily tracking'!$B$2:$B$2001,$D75))</f>
        <v>0</v>
      </c>
      <c r="I75" s="9">
        <f t="shared" si="9"/>
        <v>0</v>
      </c>
      <c r="J75" s="13">
        <f t="shared" si="10"/>
        <v>0</v>
      </c>
      <c r="K75" s="14" t="str">
        <f t="shared" si="11"/>
        <v/>
      </c>
    </row>
    <row r="76" spans="1:11" x14ac:dyDescent="0.3">
      <c r="A76" t="s">
        <v>36</v>
      </c>
      <c r="B76" t="s">
        <v>141</v>
      </c>
      <c r="C76" s="22">
        <v>500</v>
      </c>
      <c r="D76" s="6" t="str">
        <f t="shared" si="8"/>
        <v>Facial - Clean up - Raga</v>
      </c>
      <c r="E76" s="19" t="s">
        <v>57</v>
      </c>
      <c r="F76" s="23"/>
      <c r="G76" s="16">
        <f>IF($D76="","",SUMIF('Daily tracking'!$B$2:$B$2001,$D76,'Daily tracking'!$G$2:$G$2001))</f>
        <v>0</v>
      </c>
      <c r="H76" s="15">
        <f>IF($D76="","",COUNTIF('Daily tracking'!$B$2:$B$2001,$D76))</f>
        <v>0</v>
      </c>
      <c r="I76" s="9">
        <f t="shared" si="9"/>
        <v>0</v>
      </c>
      <c r="J76" s="13">
        <f t="shared" si="10"/>
        <v>0</v>
      </c>
      <c r="K76" s="14" t="str">
        <f t="shared" si="11"/>
        <v/>
      </c>
    </row>
    <row r="77" spans="1:11" x14ac:dyDescent="0.3">
      <c r="A77" t="s">
        <v>36</v>
      </c>
      <c r="B77" t="s">
        <v>142</v>
      </c>
      <c r="C77" s="22">
        <v>350</v>
      </c>
      <c r="D77" s="6" t="str">
        <f t="shared" si="8"/>
        <v>Facial - Detan</v>
      </c>
      <c r="E77" s="19" t="s">
        <v>57</v>
      </c>
      <c r="F77" s="23"/>
      <c r="G77" s="16">
        <f>IF($D77="","",SUMIF('Daily tracking'!$B$2:$B$2001,$D77,'Daily tracking'!$G$2:$G$2001))</f>
        <v>0</v>
      </c>
      <c r="H77" s="15">
        <f>IF($D77="","",COUNTIF('Daily tracking'!$B$2:$B$2001,$D77))</f>
        <v>0</v>
      </c>
      <c r="I77" s="9">
        <f t="shared" si="9"/>
        <v>0</v>
      </c>
      <c r="J77" s="13">
        <f t="shared" si="10"/>
        <v>0</v>
      </c>
      <c r="K77" s="14" t="str">
        <f t="shared" si="11"/>
        <v/>
      </c>
    </row>
    <row r="78" spans="1:11" x14ac:dyDescent="0.3">
      <c r="A78" t="s">
        <v>36</v>
      </c>
      <c r="B78" t="s">
        <v>143</v>
      </c>
      <c r="C78" s="22">
        <v>800</v>
      </c>
      <c r="D78" s="6" t="str">
        <f t="shared" si="8"/>
        <v>Facial - Raga</v>
      </c>
      <c r="E78" s="19" t="s">
        <v>57</v>
      </c>
      <c r="F78" s="23"/>
      <c r="G78" s="16">
        <f>IF($D78="","",SUMIF('Daily tracking'!$B$2:$B$2001,$D78,'Daily tracking'!$G$2:$G$2001))</f>
        <v>0</v>
      </c>
      <c r="H78" s="15">
        <f>IF($D78="","",COUNTIF('Daily tracking'!$B$2:$B$2001,$D78))</f>
        <v>0</v>
      </c>
      <c r="I78" s="9">
        <f t="shared" si="9"/>
        <v>0</v>
      </c>
      <c r="J78" s="13">
        <f t="shared" si="10"/>
        <v>0</v>
      </c>
      <c r="K78" s="14" t="str">
        <f t="shared" si="11"/>
        <v/>
      </c>
    </row>
    <row r="79" spans="1:11" x14ac:dyDescent="0.3">
      <c r="A79" t="s">
        <v>36</v>
      </c>
      <c r="B79" t="s">
        <v>144</v>
      </c>
      <c r="C79" s="22">
        <v>1000</v>
      </c>
      <c r="D79" s="6" t="str">
        <f t="shared" si="8"/>
        <v>Facial - Lotus - Basic</v>
      </c>
      <c r="E79" s="19" t="s">
        <v>57</v>
      </c>
      <c r="F79" s="23"/>
      <c r="G79" s="16">
        <f>IF($D79="","",SUMIF('Daily tracking'!$B$2:$B$2001,$D79,'Daily tracking'!$G$2:$G$2001))</f>
        <v>0</v>
      </c>
      <c r="H79" s="15">
        <f>IF($D79="","",COUNTIF('Daily tracking'!$B$2:$B$2001,$D79))</f>
        <v>0</v>
      </c>
      <c r="I79" s="9">
        <f t="shared" si="9"/>
        <v>0</v>
      </c>
      <c r="J79" s="13">
        <f t="shared" si="10"/>
        <v>0</v>
      </c>
      <c r="K79" s="14" t="str">
        <f t="shared" si="11"/>
        <v/>
      </c>
    </row>
    <row r="80" spans="1:11" x14ac:dyDescent="0.3">
      <c r="A80" t="s">
        <v>36</v>
      </c>
      <c r="B80" t="s">
        <v>145</v>
      </c>
      <c r="C80" s="22">
        <v>2200</v>
      </c>
      <c r="D80" s="6" t="str">
        <f t="shared" si="8"/>
        <v>Facial - Lotus - Gold</v>
      </c>
      <c r="E80" s="19" t="s">
        <v>57</v>
      </c>
      <c r="F80" s="23"/>
      <c r="G80" s="16">
        <f>IF($D80="","",SUMIF('Daily tracking'!$B$2:$B$2001,$D80,'Daily tracking'!$G$2:$G$2001))</f>
        <v>0</v>
      </c>
      <c r="H80" s="15">
        <f>IF($D80="","",COUNTIF('Daily tracking'!$B$2:$B$2001,$D80))</f>
        <v>0</v>
      </c>
      <c r="I80" s="9">
        <f t="shared" si="9"/>
        <v>0</v>
      </c>
      <c r="J80" s="13">
        <f t="shared" si="10"/>
        <v>0</v>
      </c>
      <c r="K80" s="14" t="str">
        <f t="shared" si="11"/>
        <v/>
      </c>
    </row>
    <row r="81" spans="1:11" x14ac:dyDescent="0.3">
      <c r="A81" t="s">
        <v>36</v>
      </c>
      <c r="B81" t="s">
        <v>146</v>
      </c>
      <c r="C81" s="22">
        <v>2200</v>
      </c>
      <c r="D81" s="6" t="str">
        <f t="shared" si="8"/>
        <v>Facial - Sara - Diamond</v>
      </c>
      <c r="E81" s="19" t="s">
        <v>57</v>
      </c>
      <c r="F81" s="23"/>
      <c r="G81" s="16">
        <f>IF($D81="","",SUMIF('Daily tracking'!$B$2:$B$2001,$D81,'Daily tracking'!$G$2:$G$2001))</f>
        <v>0</v>
      </c>
      <c r="H81" s="15">
        <f>IF($D81="","",COUNTIF('Daily tracking'!$B$2:$B$2001,$D81))</f>
        <v>0</v>
      </c>
      <c r="I81" s="9">
        <f t="shared" si="9"/>
        <v>0</v>
      </c>
      <c r="J81" s="13">
        <f t="shared" si="10"/>
        <v>0</v>
      </c>
      <c r="K81" s="14" t="str">
        <f t="shared" si="11"/>
        <v/>
      </c>
    </row>
    <row r="82" spans="1:11" x14ac:dyDescent="0.3">
      <c r="A82" t="s">
        <v>36</v>
      </c>
      <c r="B82" t="s">
        <v>147</v>
      </c>
      <c r="C82" s="22">
        <v>1800</v>
      </c>
      <c r="D82" s="6" t="str">
        <f t="shared" si="8"/>
        <v>Facial - Sara - Gold</v>
      </c>
      <c r="E82" s="19" t="s">
        <v>57</v>
      </c>
      <c r="F82" s="23"/>
      <c r="G82" s="16">
        <f>IF($D82="","",SUMIF('Daily tracking'!$B$2:$B$2001,$D82,'Daily tracking'!$G$2:$G$2001))</f>
        <v>0</v>
      </c>
      <c r="H82" s="15">
        <f>IF($D82="","",COUNTIF('Daily tracking'!$B$2:$B$2001,$D82))</f>
        <v>0</v>
      </c>
      <c r="I82" s="9">
        <f t="shared" si="9"/>
        <v>0</v>
      </c>
      <c r="J82" s="13">
        <f t="shared" si="10"/>
        <v>0</v>
      </c>
      <c r="K82" s="14" t="str">
        <f t="shared" si="11"/>
        <v/>
      </c>
    </row>
    <row r="83" spans="1:11" x14ac:dyDescent="0.3">
      <c r="A83" t="s">
        <v>36</v>
      </c>
      <c r="B83" t="s">
        <v>148</v>
      </c>
      <c r="C83" s="22">
        <v>1600</v>
      </c>
      <c r="D83" s="6" t="str">
        <f t="shared" si="8"/>
        <v>Facial - O3 detan facial</v>
      </c>
      <c r="E83" s="19" t="s">
        <v>57</v>
      </c>
      <c r="F83" s="23"/>
      <c r="G83" s="16">
        <f>IF($D83="","",SUMIF('Daily tracking'!$B$2:$B$2001,$D83,'Daily tracking'!$G$2:$G$2001))</f>
        <v>0</v>
      </c>
      <c r="H83" s="15">
        <f>IF($D83="","",COUNTIF('Daily tracking'!$B$2:$B$2001,$D83))</f>
        <v>0</v>
      </c>
      <c r="I83" s="9">
        <f t="shared" si="9"/>
        <v>0</v>
      </c>
      <c r="J83" s="13">
        <f t="shared" si="10"/>
        <v>0</v>
      </c>
      <c r="K83" s="14" t="str">
        <f t="shared" si="11"/>
        <v/>
      </c>
    </row>
    <row r="84" spans="1:11" x14ac:dyDescent="0.3">
      <c r="A84" t="s">
        <v>36</v>
      </c>
      <c r="B84" t="s">
        <v>149</v>
      </c>
      <c r="C84" s="22">
        <v>2000</v>
      </c>
      <c r="D84" s="6" t="str">
        <f t="shared" si="8"/>
        <v>Facial - Hydrating</v>
      </c>
      <c r="E84" s="19" t="s">
        <v>57</v>
      </c>
      <c r="F84" s="23"/>
      <c r="G84" s="16">
        <f>IF($D84="","",SUMIF('Daily tracking'!$B$2:$B$2001,$D84,'Daily tracking'!$G$2:$G$2001))</f>
        <v>0</v>
      </c>
      <c r="H84" s="15">
        <f>IF($D84="","",COUNTIF('Daily tracking'!$B$2:$B$2001,$D84))</f>
        <v>0</v>
      </c>
      <c r="I84" s="9">
        <f t="shared" si="9"/>
        <v>0</v>
      </c>
      <c r="J84" s="13">
        <f t="shared" si="10"/>
        <v>0</v>
      </c>
      <c r="K84" s="14" t="str">
        <f t="shared" si="11"/>
        <v/>
      </c>
    </row>
    <row r="85" spans="1:11" x14ac:dyDescent="0.3">
      <c r="A85" t="s">
        <v>36</v>
      </c>
      <c r="B85" t="s">
        <v>150</v>
      </c>
      <c r="C85" s="22">
        <v>2000</v>
      </c>
      <c r="D85" s="6" t="str">
        <f t="shared" si="8"/>
        <v>Facial - Brightening</v>
      </c>
      <c r="E85" s="19" t="s">
        <v>57</v>
      </c>
      <c r="F85" s="23"/>
      <c r="G85" s="16">
        <f>IF($D85="","",SUMIF('Daily tracking'!$B$2:$B$2001,$D85,'Daily tracking'!$G$2:$G$2001))</f>
        <v>0</v>
      </c>
      <c r="H85" s="15">
        <f>IF($D85="","",COUNTIF('Daily tracking'!$B$2:$B$2001,$D85))</f>
        <v>0</v>
      </c>
      <c r="I85" s="9">
        <f t="shared" si="9"/>
        <v>0</v>
      </c>
      <c r="J85" s="13">
        <f t="shared" si="10"/>
        <v>0</v>
      </c>
      <c r="K85" s="14" t="str">
        <f t="shared" si="11"/>
        <v/>
      </c>
    </row>
    <row r="86" spans="1:11" x14ac:dyDescent="0.3">
      <c r="A86" t="s">
        <v>36</v>
      </c>
      <c r="B86" t="s">
        <v>151</v>
      </c>
      <c r="C86" s="22">
        <v>2400</v>
      </c>
      <c r="D86" s="6" t="str">
        <f t="shared" si="8"/>
        <v>Facial - Bridal</v>
      </c>
      <c r="E86" s="19" t="s">
        <v>57</v>
      </c>
      <c r="F86" s="23"/>
      <c r="G86" s="16">
        <f>IF($D86="","",SUMIF('Daily tracking'!$B$2:$B$2001,$D86,'Daily tracking'!$G$2:$G$2001))</f>
        <v>0</v>
      </c>
      <c r="H86" s="15">
        <f>IF($D86="","",COUNTIF('Daily tracking'!$B$2:$B$2001,$D86))</f>
        <v>0</v>
      </c>
      <c r="I86" s="9">
        <f t="shared" si="9"/>
        <v>0</v>
      </c>
      <c r="J86" s="13">
        <f t="shared" si="10"/>
        <v>0</v>
      </c>
      <c r="K86" s="14" t="str">
        <f t="shared" si="11"/>
        <v/>
      </c>
    </row>
    <row r="87" spans="1:11" x14ac:dyDescent="0.3">
      <c r="C87" s="22"/>
      <c r="D87" s="6" t="str">
        <f t="shared" si="8"/>
        <v/>
      </c>
      <c r="E87" s="19"/>
      <c r="F87" s="23"/>
      <c r="G87" s="16" t="str">
        <f>IF($D87="","",SUMIF('Daily tracking'!$B$2:$B$2001,$D87,'Daily tracking'!$G$2:$G$2001))</f>
        <v/>
      </c>
      <c r="H87" s="15" t="str">
        <f>IF($D87="","",COUNTIF('Daily tracking'!$B$2:$B$2001,$D87))</f>
        <v/>
      </c>
      <c r="I87" s="9" t="str">
        <f t="shared" si="9"/>
        <v/>
      </c>
      <c r="J87" s="13" t="str">
        <f t="shared" si="10"/>
        <v/>
      </c>
      <c r="K87" s="14" t="str">
        <f t="shared" si="11"/>
        <v/>
      </c>
    </row>
    <row r="88" spans="1:11" x14ac:dyDescent="0.3">
      <c r="C88" s="22"/>
      <c r="D88" s="6" t="str">
        <f t="shared" si="8"/>
        <v/>
      </c>
      <c r="E88" s="19"/>
      <c r="F88" s="23"/>
      <c r="G88" s="16" t="str">
        <f>IF($D88="","",SUMIF('Daily tracking'!$B$2:$B$2001,$D88,'Daily tracking'!$G$2:$G$2001))</f>
        <v/>
      </c>
      <c r="H88" s="15" t="str">
        <f>IF($D88="","",COUNTIF('Daily tracking'!$B$2:$B$2001,$D88))</f>
        <v/>
      </c>
      <c r="I88" s="9" t="str">
        <f t="shared" si="9"/>
        <v/>
      </c>
      <c r="J88" s="13" t="str">
        <f t="shared" si="10"/>
        <v/>
      </c>
      <c r="K88" s="14" t="str">
        <f t="shared" si="11"/>
        <v/>
      </c>
    </row>
    <row r="89" spans="1:11" x14ac:dyDescent="0.3">
      <c r="C89" s="22"/>
      <c r="D89" s="6" t="str">
        <f t="shared" si="8"/>
        <v/>
      </c>
      <c r="E89" s="19"/>
      <c r="F89" s="23"/>
      <c r="G89" s="16" t="str">
        <f>IF($D89="","",SUMIF('Daily tracking'!$B$2:$B$2001,$D89,'Daily tracking'!$G$2:$G$2001))</f>
        <v/>
      </c>
      <c r="H89" s="15" t="str">
        <f>IF($D89="","",COUNTIF('Daily tracking'!$B$2:$B$2001,$D89))</f>
        <v/>
      </c>
      <c r="I89" s="9" t="str">
        <f t="shared" si="9"/>
        <v/>
      </c>
      <c r="J89" s="13" t="str">
        <f t="shared" si="10"/>
        <v/>
      </c>
      <c r="K89" s="14" t="str">
        <f t="shared" si="11"/>
        <v/>
      </c>
    </row>
    <row r="90" spans="1:11" x14ac:dyDescent="0.3">
      <c r="C90" s="22"/>
      <c r="D90" s="6" t="str">
        <f t="shared" si="8"/>
        <v/>
      </c>
      <c r="E90" s="19"/>
      <c r="F90" s="23"/>
      <c r="G90" s="16" t="str">
        <f>IF($D90="","",SUMIF('Daily tracking'!$B$2:$B$2001,$D90,'Daily tracking'!$G$2:$G$2001))</f>
        <v/>
      </c>
      <c r="H90" s="15" t="str">
        <f>IF($D90="","",COUNTIF('Daily tracking'!$B$2:$B$2001,$D90))</f>
        <v/>
      </c>
      <c r="I90" s="9" t="str">
        <f t="shared" si="9"/>
        <v/>
      </c>
      <c r="J90" s="13" t="str">
        <f t="shared" si="10"/>
        <v/>
      </c>
      <c r="K90" s="14" t="str">
        <f t="shared" si="11"/>
        <v/>
      </c>
    </row>
    <row r="91" spans="1:11" x14ac:dyDescent="0.3">
      <c r="C91" s="22"/>
      <c r="D91" s="6" t="str">
        <f t="shared" si="8"/>
        <v/>
      </c>
      <c r="E91" s="19"/>
      <c r="F91" s="23"/>
      <c r="G91" s="16" t="str">
        <f>IF($D91="","",SUMIF('Daily tracking'!$B$2:$B$2001,$D91,'Daily tracking'!$G$2:$G$2001))</f>
        <v/>
      </c>
      <c r="H91" s="15" t="str">
        <f>IF($D91="","",COUNTIF('Daily tracking'!$B$2:$B$2001,$D91))</f>
        <v/>
      </c>
      <c r="I91" s="9" t="str">
        <f t="shared" si="9"/>
        <v/>
      </c>
      <c r="J91" s="13" t="str">
        <f t="shared" si="10"/>
        <v/>
      </c>
      <c r="K91" s="14" t="str">
        <f t="shared" si="11"/>
        <v/>
      </c>
    </row>
    <row r="92" spans="1:11" x14ac:dyDescent="0.3">
      <c r="C92" s="22"/>
      <c r="D92" s="6" t="str">
        <f t="shared" si="8"/>
        <v/>
      </c>
      <c r="E92" s="19"/>
      <c r="F92" s="23"/>
      <c r="G92" s="16" t="str">
        <f>IF($D92="","",SUMIF('Daily tracking'!$B$2:$B$2001,$D92,'Daily tracking'!$G$2:$G$2001))</f>
        <v/>
      </c>
      <c r="H92" s="15" t="str">
        <f>IF($D92="","",COUNTIF('Daily tracking'!$B$2:$B$2001,$D92))</f>
        <v/>
      </c>
      <c r="I92" s="9" t="str">
        <f t="shared" si="9"/>
        <v/>
      </c>
      <c r="J92" s="13" t="str">
        <f t="shared" si="10"/>
        <v/>
      </c>
      <c r="K92" s="14" t="str">
        <f t="shared" si="11"/>
        <v/>
      </c>
    </row>
    <row r="93" spans="1:11" x14ac:dyDescent="0.3">
      <c r="C93" s="22"/>
      <c r="D93" s="6" t="str">
        <f t="shared" si="8"/>
        <v/>
      </c>
      <c r="E93" s="19"/>
      <c r="F93" s="23"/>
      <c r="G93" s="16" t="str">
        <f>IF($D93="","",SUMIF('Daily tracking'!$B$2:$B$2001,$D93,'Daily tracking'!$G$2:$G$2001))</f>
        <v/>
      </c>
      <c r="H93" s="15" t="str">
        <f>IF($D93="","",COUNTIF('Daily tracking'!$B$2:$B$2001,$D93))</f>
        <v/>
      </c>
      <c r="I93" s="9" t="str">
        <f t="shared" si="9"/>
        <v/>
      </c>
      <c r="J93" s="13" t="str">
        <f t="shared" si="10"/>
        <v/>
      </c>
      <c r="K93" s="14" t="str">
        <f t="shared" si="11"/>
        <v/>
      </c>
    </row>
    <row r="94" spans="1:11" x14ac:dyDescent="0.3">
      <c r="C94" s="22"/>
      <c r="D94" s="6" t="str">
        <f t="shared" si="8"/>
        <v/>
      </c>
      <c r="E94" s="19"/>
      <c r="F94" s="23"/>
      <c r="G94" s="16" t="str">
        <f>IF($D94="","",SUMIF('Daily tracking'!$B$2:$B$2001,$D94,'Daily tracking'!$G$2:$G$2001))</f>
        <v/>
      </c>
      <c r="H94" s="15" t="str">
        <f>IF($D94="","",COUNTIF('Daily tracking'!$B$2:$B$2001,$D94))</f>
        <v/>
      </c>
      <c r="I94" s="9" t="str">
        <f t="shared" si="9"/>
        <v/>
      </c>
      <c r="J94" s="13" t="str">
        <f t="shared" si="10"/>
        <v/>
      </c>
      <c r="K94" s="14" t="str">
        <f t="shared" si="11"/>
        <v/>
      </c>
    </row>
    <row r="95" spans="1:11" x14ac:dyDescent="0.3">
      <c r="C95" s="22"/>
      <c r="D95" s="6" t="str">
        <f t="shared" si="8"/>
        <v/>
      </c>
      <c r="E95" s="19"/>
      <c r="F95" s="23"/>
      <c r="G95" s="16" t="str">
        <f>IF($D95="","",SUMIF('Daily tracking'!$B$2:$B$2001,$D95,'Daily tracking'!$G$2:$G$2001))</f>
        <v/>
      </c>
      <c r="H95" s="15" t="str">
        <f>IF($D95="","",COUNTIF('Daily tracking'!$B$2:$B$2001,$D95))</f>
        <v/>
      </c>
      <c r="I95" s="9" t="str">
        <f t="shared" si="9"/>
        <v/>
      </c>
      <c r="J95" s="13" t="str">
        <f t="shared" si="10"/>
        <v/>
      </c>
      <c r="K95" s="14" t="str">
        <f t="shared" si="11"/>
        <v/>
      </c>
    </row>
    <row r="96" spans="1:11" x14ac:dyDescent="0.3">
      <c r="C96" s="22"/>
      <c r="D96" s="6" t="str">
        <f t="shared" si="8"/>
        <v/>
      </c>
      <c r="E96" s="19"/>
      <c r="F96" s="23"/>
      <c r="G96" s="16" t="str">
        <f>IF($D96="","",SUMIF('Daily tracking'!$B$2:$B$2001,$D96,'Daily tracking'!$G$2:$G$2001))</f>
        <v/>
      </c>
      <c r="H96" s="15" t="str">
        <f>IF($D96="","",COUNTIF('Daily tracking'!$B$2:$B$2001,$D96))</f>
        <v/>
      </c>
      <c r="I96" s="9" t="str">
        <f t="shared" si="9"/>
        <v/>
      </c>
      <c r="J96" s="13" t="str">
        <f t="shared" si="10"/>
        <v/>
      </c>
      <c r="K96" s="14" t="str">
        <f t="shared" si="11"/>
        <v/>
      </c>
    </row>
    <row r="97" spans="3:11" x14ac:dyDescent="0.3">
      <c r="C97" s="22"/>
      <c r="D97" s="6" t="str">
        <f t="shared" si="8"/>
        <v/>
      </c>
      <c r="E97" s="19"/>
      <c r="F97" s="23"/>
      <c r="G97" s="16" t="str">
        <f>IF($D97="","",SUMIF('Daily tracking'!$B$2:$B$2001,$D97,'Daily tracking'!$G$2:$G$2001))</f>
        <v/>
      </c>
      <c r="H97" s="15" t="str">
        <f>IF($D97="","",COUNTIF('Daily tracking'!$B$2:$B$2001,$D97))</f>
        <v/>
      </c>
      <c r="I97" s="9" t="str">
        <f t="shared" si="9"/>
        <v/>
      </c>
      <c r="J97" s="13" t="str">
        <f t="shared" si="10"/>
        <v/>
      </c>
      <c r="K97" s="14" t="str">
        <f t="shared" si="11"/>
        <v/>
      </c>
    </row>
    <row r="98" spans="3:11" x14ac:dyDescent="0.3">
      <c r="C98" s="22"/>
      <c r="D98" s="6" t="str">
        <f t="shared" ref="D98:D120" si="12">IF(A98="","",A98&amp;" - "&amp;B98)</f>
        <v/>
      </c>
      <c r="E98" s="19"/>
      <c r="F98" s="23"/>
      <c r="G98" s="16" t="str">
        <f>IF($D98="","",SUMIF('Daily tracking'!$B$2:$B$2001,$D98,'Daily tracking'!$G$2:$G$2001))</f>
        <v/>
      </c>
      <c r="H98" s="15" t="str">
        <f>IF($D98="","",COUNTIF('Daily tracking'!$B$2:$B$2001,$D98))</f>
        <v/>
      </c>
      <c r="I98" s="9" t="str">
        <f t="shared" ref="I98:I120" si="13">IF($D98="","",$H98*IF($F98="",0,$F98))</f>
        <v/>
      </c>
      <c r="J98" s="13" t="str">
        <f t="shared" ref="J98:J120" si="14">IF($D98="","",$G98-$I98)</f>
        <v/>
      </c>
      <c r="K98" s="14" t="str">
        <f t="shared" ref="K98:K120" si="15">IF(OR($D98="",$G98=0),"",$J98/$G98)</f>
        <v/>
      </c>
    </row>
    <row r="99" spans="3:11" x14ac:dyDescent="0.3">
      <c r="C99" s="22"/>
      <c r="D99" s="6" t="str">
        <f t="shared" si="12"/>
        <v/>
      </c>
      <c r="E99" s="19"/>
      <c r="F99" s="23"/>
      <c r="G99" s="16" t="str">
        <f>IF($D99="","",SUMIF('Daily tracking'!$B$2:$B$2001,$D99,'Daily tracking'!$G$2:$G$2001))</f>
        <v/>
      </c>
      <c r="H99" s="15" t="str">
        <f>IF($D99="","",COUNTIF('Daily tracking'!$B$2:$B$2001,$D99))</f>
        <v/>
      </c>
      <c r="I99" s="9" t="str">
        <f t="shared" si="13"/>
        <v/>
      </c>
      <c r="J99" s="13" t="str">
        <f t="shared" si="14"/>
        <v/>
      </c>
      <c r="K99" s="14" t="str">
        <f t="shared" si="15"/>
        <v/>
      </c>
    </row>
    <row r="100" spans="3:11" x14ac:dyDescent="0.3">
      <c r="C100" s="22"/>
      <c r="D100" s="6" t="str">
        <f t="shared" si="12"/>
        <v/>
      </c>
      <c r="E100" s="19"/>
      <c r="F100" s="23"/>
      <c r="G100" s="16" t="str">
        <f>IF($D100="","",SUMIF('Daily tracking'!$B$2:$B$2001,$D100,'Daily tracking'!$G$2:$G$2001))</f>
        <v/>
      </c>
      <c r="H100" s="15" t="str">
        <f>IF($D100="","",COUNTIF('Daily tracking'!$B$2:$B$2001,$D100))</f>
        <v/>
      </c>
      <c r="I100" s="9" t="str">
        <f t="shared" si="13"/>
        <v/>
      </c>
      <c r="J100" s="13" t="str">
        <f t="shared" si="14"/>
        <v/>
      </c>
      <c r="K100" s="14" t="str">
        <f t="shared" si="15"/>
        <v/>
      </c>
    </row>
    <row r="101" spans="3:11" x14ac:dyDescent="0.3">
      <c r="C101" s="22"/>
      <c r="D101" s="6" t="str">
        <f t="shared" si="12"/>
        <v/>
      </c>
      <c r="E101" s="19"/>
      <c r="F101" s="23"/>
      <c r="G101" s="16" t="str">
        <f>IF($D101="","",SUMIF('Daily tracking'!$B$2:$B$2001,$D101,'Daily tracking'!$G$2:$G$2001))</f>
        <v/>
      </c>
      <c r="H101" s="15" t="str">
        <f>IF($D101="","",COUNTIF('Daily tracking'!$B$2:$B$2001,$D101))</f>
        <v/>
      </c>
      <c r="I101" s="9" t="str">
        <f t="shared" si="13"/>
        <v/>
      </c>
      <c r="J101" s="13" t="str">
        <f t="shared" si="14"/>
        <v/>
      </c>
      <c r="K101" s="14" t="str">
        <f t="shared" si="15"/>
        <v/>
      </c>
    </row>
    <row r="102" spans="3:11" x14ac:dyDescent="0.3">
      <c r="C102" s="22"/>
      <c r="D102" s="6" t="str">
        <f t="shared" si="12"/>
        <v/>
      </c>
      <c r="E102" s="19"/>
      <c r="F102" s="23"/>
      <c r="G102" s="16" t="str">
        <f>IF($D102="","",SUMIF('Daily tracking'!$B$2:$B$2001,$D102,'Daily tracking'!$G$2:$G$2001))</f>
        <v/>
      </c>
      <c r="H102" s="15" t="str">
        <f>IF($D102="","",COUNTIF('Daily tracking'!$B$2:$B$2001,$D102))</f>
        <v/>
      </c>
      <c r="I102" s="9" t="str">
        <f t="shared" si="13"/>
        <v/>
      </c>
      <c r="J102" s="13" t="str">
        <f t="shared" si="14"/>
        <v/>
      </c>
      <c r="K102" s="14" t="str">
        <f t="shared" si="15"/>
        <v/>
      </c>
    </row>
    <row r="103" spans="3:11" x14ac:dyDescent="0.3">
      <c r="C103" s="22"/>
      <c r="D103" s="6" t="str">
        <f t="shared" si="12"/>
        <v/>
      </c>
      <c r="E103" s="19"/>
      <c r="F103" s="23"/>
      <c r="G103" s="16" t="str">
        <f>IF($D103="","",SUMIF('Daily tracking'!$B$2:$B$2001,$D103,'Daily tracking'!$G$2:$G$2001))</f>
        <v/>
      </c>
      <c r="H103" s="15" t="str">
        <f>IF($D103="","",COUNTIF('Daily tracking'!$B$2:$B$2001,$D103))</f>
        <v/>
      </c>
      <c r="I103" s="9" t="str">
        <f t="shared" si="13"/>
        <v/>
      </c>
      <c r="J103" s="13" t="str">
        <f t="shared" si="14"/>
        <v/>
      </c>
      <c r="K103" s="14" t="str">
        <f t="shared" si="15"/>
        <v/>
      </c>
    </row>
    <row r="104" spans="3:11" x14ac:dyDescent="0.3">
      <c r="C104" s="22"/>
      <c r="D104" s="6" t="str">
        <f t="shared" si="12"/>
        <v/>
      </c>
      <c r="E104" s="19"/>
      <c r="F104" s="23"/>
      <c r="G104" s="16" t="str">
        <f>IF($D104="","",SUMIF('Daily tracking'!$B$2:$B$2001,$D104,'Daily tracking'!$G$2:$G$2001))</f>
        <v/>
      </c>
      <c r="H104" s="15" t="str">
        <f>IF($D104="","",COUNTIF('Daily tracking'!$B$2:$B$2001,$D104))</f>
        <v/>
      </c>
      <c r="I104" s="9" t="str">
        <f t="shared" si="13"/>
        <v/>
      </c>
      <c r="J104" s="13" t="str">
        <f t="shared" si="14"/>
        <v/>
      </c>
      <c r="K104" s="14" t="str">
        <f t="shared" si="15"/>
        <v/>
      </c>
    </row>
    <row r="105" spans="3:11" x14ac:dyDescent="0.3">
      <c r="C105" s="22"/>
      <c r="D105" s="6" t="str">
        <f t="shared" si="12"/>
        <v/>
      </c>
      <c r="E105" s="19"/>
      <c r="F105" s="23"/>
      <c r="G105" s="16" t="str">
        <f>IF($D105="","",SUMIF('Daily tracking'!$B$2:$B$2001,$D105,'Daily tracking'!$G$2:$G$2001))</f>
        <v/>
      </c>
      <c r="H105" s="15" t="str">
        <f>IF($D105="","",COUNTIF('Daily tracking'!$B$2:$B$2001,$D105))</f>
        <v/>
      </c>
      <c r="I105" s="9" t="str">
        <f t="shared" si="13"/>
        <v/>
      </c>
      <c r="J105" s="13" t="str">
        <f t="shared" si="14"/>
        <v/>
      </c>
      <c r="K105" s="14" t="str">
        <f t="shared" si="15"/>
        <v/>
      </c>
    </row>
    <row r="106" spans="3:11" x14ac:dyDescent="0.3">
      <c r="C106" s="22"/>
      <c r="D106" s="6" t="str">
        <f t="shared" si="12"/>
        <v/>
      </c>
      <c r="E106" s="19"/>
      <c r="F106" s="23"/>
      <c r="G106" s="16" t="str">
        <f>IF($D106="","",SUMIF('Daily tracking'!$B$2:$B$2001,$D106,'Daily tracking'!$G$2:$G$2001))</f>
        <v/>
      </c>
      <c r="H106" s="15" t="str">
        <f>IF($D106="","",COUNTIF('Daily tracking'!$B$2:$B$2001,$D106))</f>
        <v/>
      </c>
      <c r="I106" s="9" t="str">
        <f t="shared" si="13"/>
        <v/>
      </c>
      <c r="J106" s="13" t="str">
        <f t="shared" si="14"/>
        <v/>
      </c>
      <c r="K106" s="14" t="str">
        <f t="shared" si="15"/>
        <v/>
      </c>
    </row>
    <row r="107" spans="3:11" x14ac:dyDescent="0.3">
      <c r="C107" s="22"/>
      <c r="D107" s="6" t="str">
        <f t="shared" si="12"/>
        <v/>
      </c>
      <c r="E107" s="19"/>
      <c r="F107" s="23"/>
      <c r="G107" s="16" t="str">
        <f>IF($D107="","",SUMIF('Daily tracking'!$B$2:$B$2001,$D107,'Daily tracking'!$G$2:$G$2001))</f>
        <v/>
      </c>
      <c r="H107" s="15" t="str">
        <f>IF($D107="","",COUNTIF('Daily tracking'!$B$2:$B$2001,$D107))</f>
        <v/>
      </c>
      <c r="I107" s="9" t="str">
        <f t="shared" si="13"/>
        <v/>
      </c>
      <c r="J107" s="13" t="str">
        <f t="shared" si="14"/>
        <v/>
      </c>
      <c r="K107" s="14" t="str">
        <f t="shared" si="15"/>
        <v/>
      </c>
    </row>
    <row r="108" spans="3:11" x14ac:dyDescent="0.3">
      <c r="C108" s="22"/>
      <c r="D108" s="6" t="str">
        <f t="shared" si="12"/>
        <v/>
      </c>
      <c r="E108" s="19"/>
      <c r="F108" s="23"/>
      <c r="G108" s="16" t="str">
        <f>IF($D108="","",SUMIF('Daily tracking'!$B$2:$B$2001,$D108,'Daily tracking'!$G$2:$G$2001))</f>
        <v/>
      </c>
      <c r="H108" s="15" t="str">
        <f>IF($D108="","",COUNTIF('Daily tracking'!$B$2:$B$2001,$D108))</f>
        <v/>
      </c>
      <c r="I108" s="9" t="str">
        <f t="shared" si="13"/>
        <v/>
      </c>
      <c r="J108" s="13" t="str">
        <f t="shared" si="14"/>
        <v/>
      </c>
      <c r="K108" s="14" t="str">
        <f t="shared" si="15"/>
        <v/>
      </c>
    </row>
    <row r="109" spans="3:11" x14ac:dyDescent="0.3">
      <c r="C109" s="22"/>
      <c r="D109" s="6" t="str">
        <f t="shared" si="12"/>
        <v/>
      </c>
      <c r="E109" s="19"/>
      <c r="F109" s="23"/>
      <c r="G109" s="16" t="str">
        <f>IF($D109="","",SUMIF('Daily tracking'!$B$2:$B$2001,$D109,'Daily tracking'!$G$2:$G$2001))</f>
        <v/>
      </c>
      <c r="H109" s="15" t="str">
        <f>IF($D109="","",COUNTIF('Daily tracking'!$B$2:$B$2001,$D109))</f>
        <v/>
      </c>
      <c r="I109" s="9" t="str">
        <f t="shared" si="13"/>
        <v/>
      </c>
      <c r="J109" s="13" t="str">
        <f t="shared" si="14"/>
        <v/>
      </c>
      <c r="K109" s="14" t="str">
        <f t="shared" si="15"/>
        <v/>
      </c>
    </row>
    <row r="110" spans="3:11" x14ac:dyDescent="0.3">
      <c r="C110" s="22"/>
      <c r="D110" s="6" t="str">
        <f t="shared" si="12"/>
        <v/>
      </c>
      <c r="E110" s="19"/>
      <c r="F110" s="23"/>
      <c r="G110" s="16" t="str">
        <f>IF($D110="","",SUMIF('Daily tracking'!$B$2:$B$2001,$D110,'Daily tracking'!$G$2:$G$2001))</f>
        <v/>
      </c>
      <c r="H110" s="15" t="str">
        <f>IF($D110="","",COUNTIF('Daily tracking'!$B$2:$B$2001,$D110))</f>
        <v/>
      </c>
      <c r="I110" s="9" t="str">
        <f t="shared" si="13"/>
        <v/>
      </c>
      <c r="J110" s="13" t="str">
        <f t="shared" si="14"/>
        <v/>
      </c>
      <c r="K110" s="14" t="str">
        <f t="shared" si="15"/>
        <v/>
      </c>
    </row>
    <row r="111" spans="3:11" x14ac:dyDescent="0.3">
      <c r="C111" s="22"/>
      <c r="D111" s="6" t="str">
        <f t="shared" si="12"/>
        <v/>
      </c>
      <c r="E111" s="19"/>
      <c r="F111" s="23"/>
      <c r="G111" s="16" t="str">
        <f>IF($D111="","",SUMIF('Daily tracking'!$B$2:$B$2001,$D111,'Daily tracking'!$G$2:$G$2001))</f>
        <v/>
      </c>
      <c r="H111" s="15" t="str">
        <f>IF($D111="","",COUNTIF('Daily tracking'!$B$2:$B$2001,$D111))</f>
        <v/>
      </c>
      <c r="I111" s="9" t="str">
        <f t="shared" si="13"/>
        <v/>
      </c>
      <c r="J111" s="13" t="str">
        <f t="shared" si="14"/>
        <v/>
      </c>
      <c r="K111" s="14" t="str">
        <f t="shared" si="15"/>
        <v/>
      </c>
    </row>
    <row r="112" spans="3:11" x14ac:dyDescent="0.3">
      <c r="C112" s="22"/>
      <c r="D112" s="6" t="str">
        <f t="shared" si="12"/>
        <v/>
      </c>
      <c r="E112" s="19"/>
      <c r="F112" s="23"/>
      <c r="G112" s="16" t="str">
        <f>IF($D112="","",SUMIF('Daily tracking'!$B$2:$B$2001,$D112,'Daily tracking'!$G$2:$G$2001))</f>
        <v/>
      </c>
      <c r="H112" s="15" t="str">
        <f>IF($D112="","",COUNTIF('Daily tracking'!$B$2:$B$2001,$D112))</f>
        <v/>
      </c>
      <c r="I112" s="9" t="str">
        <f t="shared" si="13"/>
        <v/>
      </c>
      <c r="J112" s="13" t="str">
        <f t="shared" si="14"/>
        <v/>
      </c>
      <c r="K112" s="14" t="str">
        <f t="shared" si="15"/>
        <v/>
      </c>
    </row>
    <row r="113" spans="3:11" x14ac:dyDescent="0.3">
      <c r="C113" s="22"/>
      <c r="D113" s="6" t="str">
        <f t="shared" si="12"/>
        <v/>
      </c>
      <c r="E113" s="19"/>
      <c r="F113" s="23"/>
      <c r="G113" s="16" t="str">
        <f>IF($D113="","",SUMIF('Daily tracking'!$B$2:$B$2001,$D113,'Daily tracking'!$G$2:$G$2001))</f>
        <v/>
      </c>
      <c r="H113" s="15" t="str">
        <f>IF($D113="","",COUNTIF('Daily tracking'!$B$2:$B$2001,$D113))</f>
        <v/>
      </c>
      <c r="I113" s="9" t="str">
        <f t="shared" si="13"/>
        <v/>
      </c>
      <c r="J113" s="13" t="str">
        <f t="shared" si="14"/>
        <v/>
      </c>
      <c r="K113" s="14" t="str">
        <f t="shared" si="15"/>
        <v/>
      </c>
    </row>
    <row r="114" spans="3:11" x14ac:dyDescent="0.3">
      <c r="C114" s="22"/>
      <c r="D114" s="6" t="str">
        <f t="shared" si="12"/>
        <v/>
      </c>
      <c r="E114" s="19"/>
      <c r="F114" s="23"/>
      <c r="G114" s="16" t="str">
        <f>IF($D114="","",SUMIF('Daily tracking'!$B$2:$B$2001,$D114,'Daily tracking'!$G$2:$G$2001))</f>
        <v/>
      </c>
      <c r="H114" s="15" t="str">
        <f>IF($D114="","",COUNTIF('Daily tracking'!$B$2:$B$2001,$D114))</f>
        <v/>
      </c>
      <c r="I114" s="9" t="str">
        <f t="shared" si="13"/>
        <v/>
      </c>
      <c r="J114" s="13" t="str">
        <f t="shared" si="14"/>
        <v/>
      </c>
      <c r="K114" s="14" t="str">
        <f t="shared" si="15"/>
        <v/>
      </c>
    </row>
    <row r="115" spans="3:11" x14ac:dyDescent="0.3">
      <c r="C115" s="22"/>
      <c r="D115" s="6" t="str">
        <f t="shared" si="12"/>
        <v/>
      </c>
      <c r="E115" s="19"/>
      <c r="F115" s="23"/>
      <c r="G115" s="16" t="str">
        <f>IF($D115="","",SUMIF('Daily tracking'!$B$2:$B$2001,$D115,'Daily tracking'!$G$2:$G$2001))</f>
        <v/>
      </c>
      <c r="H115" s="15" t="str">
        <f>IF($D115="","",COUNTIF('Daily tracking'!$B$2:$B$2001,$D115))</f>
        <v/>
      </c>
      <c r="I115" s="9" t="str">
        <f t="shared" si="13"/>
        <v/>
      </c>
      <c r="J115" s="13" t="str">
        <f t="shared" si="14"/>
        <v/>
      </c>
      <c r="K115" s="14" t="str">
        <f t="shared" si="15"/>
        <v/>
      </c>
    </row>
    <row r="116" spans="3:11" x14ac:dyDescent="0.3">
      <c r="C116" s="22"/>
      <c r="D116" s="6" t="str">
        <f t="shared" si="12"/>
        <v/>
      </c>
      <c r="E116" s="19"/>
      <c r="F116" s="23"/>
      <c r="G116" s="16" t="str">
        <f>IF($D116="","",SUMIF('Daily tracking'!$B$2:$B$2001,$D116,'Daily tracking'!$G$2:$G$2001))</f>
        <v/>
      </c>
      <c r="H116" s="15" t="str">
        <f>IF($D116="","",COUNTIF('Daily tracking'!$B$2:$B$2001,$D116))</f>
        <v/>
      </c>
      <c r="I116" s="9" t="str">
        <f t="shared" si="13"/>
        <v/>
      </c>
      <c r="J116" s="13" t="str">
        <f t="shared" si="14"/>
        <v/>
      </c>
      <c r="K116" s="14" t="str">
        <f t="shared" si="15"/>
        <v/>
      </c>
    </row>
    <row r="117" spans="3:11" x14ac:dyDescent="0.3">
      <c r="C117" s="22"/>
      <c r="D117" s="6" t="str">
        <f t="shared" si="12"/>
        <v/>
      </c>
      <c r="E117" s="19"/>
      <c r="F117" s="23"/>
      <c r="G117" s="16" t="str">
        <f>IF($D117="","",SUMIF('Daily tracking'!$B$2:$B$2001,$D117,'Daily tracking'!$G$2:$G$2001))</f>
        <v/>
      </c>
      <c r="H117" s="15" t="str">
        <f>IF($D117="","",COUNTIF('Daily tracking'!$B$2:$B$2001,$D117))</f>
        <v/>
      </c>
      <c r="I117" s="9" t="str">
        <f t="shared" si="13"/>
        <v/>
      </c>
      <c r="J117" s="13" t="str">
        <f t="shared" si="14"/>
        <v/>
      </c>
      <c r="K117" s="14" t="str">
        <f t="shared" si="15"/>
        <v/>
      </c>
    </row>
    <row r="118" spans="3:11" x14ac:dyDescent="0.3">
      <c r="C118" s="22"/>
      <c r="D118" s="6" t="str">
        <f t="shared" si="12"/>
        <v/>
      </c>
      <c r="E118" s="19"/>
      <c r="F118" s="23"/>
      <c r="G118" s="16" t="str">
        <f>IF($D118="","",SUMIF('Daily tracking'!$B$2:$B$2001,$D118,'Daily tracking'!$G$2:$G$2001))</f>
        <v/>
      </c>
      <c r="H118" s="15" t="str">
        <f>IF($D118="","",COUNTIF('Daily tracking'!$B$2:$B$2001,$D118))</f>
        <v/>
      </c>
      <c r="I118" s="9" t="str">
        <f t="shared" si="13"/>
        <v/>
      </c>
      <c r="J118" s="13" t="str">
        <f t="shared" si="14"/>
        <v/>
      </c>
      <c r="K118" s="14" t="str">
        <f t="shared" si="15"/>
        <v/>
      </c>
    </row>
    <row r="119" spans="3:11" x14ac:dyDescent="0.3">
      <c r="C119" s="22"/>
      <c r="D119" s="6" t="str">
        <f t="shared" si="12"/>
        <v/>
      </c>
      <c r="E119" s="19"/>
      <c r="F119" s="23"/>
      <c r="G119" s="16" t="str">
        <f>IF($D119="","",SUMIF('Daily tracking'!$B$2:$B$2001,$D119,'Daily tracking'!$G$2:$G$2001))</f>
        <v/>
      </c>
      <c r="H119" s="15" t="str">
        <f>IF($D119="","",COUNTIF('Daily tracking'!$B$2:$B$2001,$D119))</f>
        <v/>
      </c>
      <c r="I119" s="9" t="str">
        <f t="shared" si="13"/>
        <v/>
      </c>
      <c r="J119" s="13" t="str">
        <f t="shared" si="14"/>
        <v/>
      </c>
      <c r="K119" s="14" t="str">
        <f t="shared" si="15"/>
        <v/>
      </c>
    </row>
    <row r="120" spans="3:11" x14ac:dyDescent="0.3">
      <c r="C120" s="22"/>
      <c r="D120" s="6" t="str">
        <f t="shared" si="12"/>
        <v/>
      </c>
      <c r="E120" s="19"/>
      <c r="F120" s="23"/>
      <c r="G120" s="16" t="str">
        <f>IF($D120="","",SUMIF('Daily tracking'!$B$2:$B$2001,$D120,'Daily tracking'!$G$2:$G$2001))</f>
        <v/>
      </c>
      <c r="H120" s="15" t="str">
        <f>IF($D120="","",COUNTIF('Daily tracking'!$B$2:$B$2001,$D120))</f>
        <v/>
      </c>
      <c r="I120" s="9" t="str">
        <f t="shared" si="13"/>
        <v/>
      </c>
      <c r="J120" s="13" t="str">
        <f t="shared" si="14"/>
        <v/>
      </c>
      <c r="K120" s="14" t="str">
        <f t="shared" si="15"/>
        <v/>
      </c>
    </row>
  </sheetData>
  <dataValidations count="1">
    <dataValidation type="list" allowBlank="1" showErrorMessage="1" sqref="E2:E120" xr:uid="{00000000-0002-0000-0300-000000000000}">
      <formula1>"Service,Retail"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zoomScaleNormal="100" workbookViewId="0">
      <pane ySplit="1" topLeftCell="A2" activePane="bottomLeft" state="frozen"/>
      <selection pane="bottomLeft" activeCell="A4" sqref="A4"/>
    </sheetView>
  </sheetViews>
  <sheetFormatPr defaultColWidth="8.5546875" defaultRowHeight="14.4" x14ac:dyDescent="0.3"/>
  <cols>
    <col min="1" max="1" width="16" customWidth="1"/>
    <col min="2" max="2" width="11" customWidth="1"/>
    <col min="3" max="3" width="13" customWidth="1"/>
    <col min="4" max="4" width="17" customWidth="1"/>
    <col min="5" max="5" width="19" customWidth="1"/>
    <col min="6" max="6" width="17" customWidth="1"/>
    <col min="7" max="7" width="13" customWidth="1"/>
    <col min="8" max="8" width="20" customWidth="1"/>
    <col min="9" max="9" width="23" customWidth="1"/>
  </cols>
  <sheetData>
    <row r="1" spans="1:9" x14ac:dyDescent="0.3">
      <c r="A1" s="17" t="s">
        <v>64</v>
      </c>
      <c r="B1" s="17" t="s">
        <v>152</v>
      </c>
      <c r="C1" s="17" t="s">
        <v>153</v>
      </c>
      <c r="D1" s="17" t="s">
        <v>154</v>
      </c>
      <c r="E1" s="17" t="s">
        <v>155</v>
      </c>
      <c r="F1" s="17" t="s">
        <v>156</v>
      </c>
      <c r="G1" s="17" t="s">
        <v>157</v>
      </c>
      <c r="H1" s="17" t="s">
        <v>158</v>
      </c>
      <c r="I1" s="17" t="s">
        <v>159</v>
      </c>
    </row>
    <row r="2" spans="1:9" x14ac:dyDescent="0.3">
      <c r="A2" s="19" t="s">
        <v>160</v>
      </c>
      <c r="B2" s="23">
        <v>15000</v>
      </c>
      <c r="C2" s="15">
        <f>IF($A2="","",COUNTIF('Daily tracking'!$C$2:$C$2001,$A2))</f>
        <v>0</v>
      </c>
      <c r="D2" s="16">
        <f>IF($A2="","",SUMIF('Daily tracking'!$C$2:$C$2001,$A2,'Daily tracking'!$G$2:$G$2001))</f>
        <v>0</v>
      </c>
      <c r="E2" s="16">
        <f ca="1">IF($A2="","",SUMIFS('Daily tracking'!$G$2:$G$2001,'Daily tracking'!$C$2:$C$2001,$A2,'Daily tracking'!$A$2:$A$2001,"&gt;="&amp;EOMONTH(TODAY(),-1)+1,'Daily tracking'!$A$2:$A$2001,"&lt;="&amp;EOMONTH(TODAY(),0)))</f>
        <v>0</v>
      </c>
      <c r="F2" s="24">
        <f t="shared" ref="F2:F21" si="0">IF(OR($A2="",$B2=0),"",$D2/$B2)</f>
        <v>0</v>
      </c>
      <c r="G2" s="25"/>
      <c r="H2" s="9">
        <f t="shared" ref="H2:H21" ca="1" si="1">IF($A2="","",$E2*IF($G2="",0,$G2))</f>
        <v>0</v>
      </c>
      <c r="I2" s="13">
        <f t="shared" ref="I2:I21" ca="1" si="2">IF($A2="","",IF($B2="",0,$B2)+$H2)</f>
        <v>15000</v>
      </c>
    </row>
    <row r="3" spans="1:9" x14ac:dyDescent="0.3">
      <c r="A3" s="19" t="s">
        <v>161</v>
      </c>
      <c r="B3" s="23">
        <v>22000</v>
      </c>
      <c r="C3" s="15">
        <f>IF($A3="","",COUNTIF('Daily tracking'!$C$2:$C$2001,$A3))</f>
        <v>0</v>
      </c>
      <c r="D3" s="16">
        <f>IF($A3="","",SUMIF('Daily tracking'!$C$2:$C$2001,$A3,'Daily tracking'!$G$2:$G$2001))</f>
        <v>0</v>
      </c>
      <c r="E3" s="16">
        <f ca="1">IF($A3="","",SUMIFS('Daily tracking'!$G$2:$G$2001,'Daily tracking'!$C$2:$C$2001,$A3,'Daily tracking'!$A$2:$A$2001,"&gt;="&amp;EOMONTH(TODAY(),-1)+1,'Daily tracking'!$A$2:$A$2001,"&lt;="&amp;EOMONTH(TODAY(),0)))</f>
        <v>0</v>
      </c>
      <c r="F3" s="24">
        <f t="shared" si="0"/>
        <v>0</v>
      </c>
      <c r="G3" s="25"/>
      <c r="H3" s="9">
        <f t="shared" ca="1" si="1"/>
        <v>0</v>
      </c>
      <c r="I3" s="13">
        <f t="shared" ca="1" si="2"/>
        <v>22000</v>
      </c>
    </row>
    <row r="4" spans="1:9" x14ac:dyDescent="0.3">
      <c r="A4" s="19" t="s">
        <v>162</v>
      </c>
      <c r="B4" s="23">
        <v>4000</v>
      </c>
      <c r="C4" s="15">
        <f>IF($A4="","",COUNTIF('Daily tracking'!$C$2:$C$2001,$A4))</f>
        <v>0</v>
      </c>
      <c r="D4" s="16">
        <f>IF($A4="","",SUMIF('Daily tracking'!$C$2:$C$2001,$A4,'Daily tracking'!$G$2:$G$2001))</f>
        <v>0</v>
      </c>
      <c r="E4" s="16">
        <f ca="1">IF($A4="","",SUMIFS('Daily tracking'!$G$2:$G$2001,'Daily tracking'!$C$2:$C$2001,$A4,'Daily tracking'!$A$2:$A$2001,"&gt;="&amp;EOMONTH(TODAY(),-1)+1,'Daily tracking'!$A$2:$A$2001,"&lt;="&amp;EOMONTH(TODAY(),0)))</f>
        <v>0</v>
      </c>
      <c r="F4" s="24">
        <f t="shared" si="0"/>
        <v>0</v>
      </c>
      <c r="G4" s="25"/>
      <c r="H4" s="9">
        <f t="shared" ca="1" si="1"/>
        <v>0</v>
      </c>
      <c r="I4" s="13">
        <f t="shared" ca="1" si="2"/>
        <v>4000</v>
      </c>
    </row>
    <row r="5" spans="1:9" x14ac:dyDescent="0.3">
      <c r="A5" s="19" t="s">
        <v>163</v>
      </c>
      <c r="B5" s="23">
        <v>7000</v>
      </c>
      <c r="C5" s="15">
        <f>IF($A5="","",COUNTIF('Daily tracking'!$C$2:$C$2001,$A5))</f>
        <v>0</v>
      </c>
      <c r="D5" s="16">
        <f>IF($A5="","",SUMIF('Daily tracking'!$C$2:$C$2001,$A5,'Daily tracking'!$G$2:$G$2001))</f>
        <v>0</v>
      </c>
      <c r="E5" s="16">
        <f ca="1">IF($A5="","",SUMIFS('Daily tracking'!$G$2:$G$2001,'Daily tracking'!$C$2:$C$2001,$A5,'Daily tracking'!$A$2:$A$2001,"&gt;="&amp;EOMONTH(TODAY(),-1)+1,'Daily tracking'!$A$2:$A$2001,"&lt;="&amp;EOMONTH(TODAY(),0)))</f>
        <v>0</v>
      </c>
      <c r="F5" s="24">
        <f t="shared" si="0"/>
        <v>0</v>
      </c>
      <c r="G5" s="25"/>
      <c r="H5" s="9">
        <f t="shared" ca="1" si="1"/>
        <v>0</v>
      </c>
      <c r="I5" s="13">
        <f t="shared" ca="1" si="2"/>
        <v>7000</v>
      </c>
    </row>
    <row r="6" spans="1:9" x14ac:dyDescent="0.3">
      <c r="A6" s="19"/>
      <c r="B6" s="23"/>
      <c r="C6" s="15" t="str">
        <f>IF($A6="","",COUNTIF('Daily tracking'!$C$2:$C$2001,$A6))</f>
        <v/>
      </c>
      <c r="D6" s="16" t="str">
        <f>IF($A6="","",SUMIF('Daily tracking'!$C$2:$C$2001,$A6,'Daily tracking'!$G$2:$G$2001))</f>
        <v/>
      </c>
      <c r="E6" s="16" t="str">
        <f ca="1">IF($A6="","",SUMIFS('Daily tracking'!$G$2:$G$2001,'Daily tracking'!$C$2:$C$2001,$A6,'Daily tracking'!$A$2:$A$2001,"&gt;="&amp;EOMONTH(TODAY(),-1)+1,'Daily tracking'!$A$2:$A$2001,"&lt;="&amp;EOMONTH(TODAY(),0)))</f>
        <v/>
      </c>
      <c r="F6" s="24" t="str">
        <f t="shared" si="0"/>
        <v/>
      </c>
      <c r="G6" s="25"/>
      <c r="H6" s="9" t="str">
        <f t="shared" si="1"/>
        <v/>
      </c>
      <c r="I6" s="13" t="str">
        <f t="shared" si="2"/>
        <v/>
      </c>
    </row>
    <row r="7" spans="1:9" x14ac:dyDescent="0.3">
      <c r="A7" s="19"/>
      <c r="B7" s="23"/>
      <c r="C7" s="15" t="str">
        <f>IF($A7="","",COUNTIF('Daily tracking'!$C$2:$C$2001,$A7))</f>
        <v/>
      </c>
      <c r="D7" s="16" t="str">
        <f>IF($A7="","",SUMIF('Daily tracking'!$C$2:$C$2001,$A7,'Daily tracking'!$G$2:$G$2001))</f>
        <v/>
      </c>
      <c r="E7" s="16" t="str">
        <f ca="1">IF($A7="","",SUMIFS('Daily tracking'!$G$2:$G$2001,'Daily tracking'!$C$2:$C$2001,$A7,'Daily tracking'!$A$2:$A$2001,"&gt;="&amp;EOMONTH(TODAY(),-1)+1,'Daily tracking'!$A$2:$A$2001,"&lt;="&amp;EOMONTH(TODAY(),0)))</f>
        <v/>
      </c>
      <c r="F7" s="24" t="str">
        <f t="shared" si="0"/>
        <v/>
      </c>
      <c r="G7" s="25"/>
      <c r="H7" s="9" t="str">
        <f t="shared" si="1"/>
        <v/>
      </c>
      <c r="I7" s="13" t="str">
        <f t="shared" si="2"/>
        <v/>
      </c>
    </row>
    <row r="8" spans="1:9" x14ac:dyDescent="0.3">
      <c r="A8" s="19"/>
      <c r="B8" s="23"/>
      <c r="C8" s="15" t="str">
        <f>IF($A8="","",COUNTIF('Daily tracking'!$C$2:$C$2001,$A8))</f>
        <v/>
      </c>
      <c r="D8" s="16" t="str">
        <f>IF($A8="","",SUMIF('Daily tracking'!$C$2:$C$2001,$A8,'Daily tracking'!$G$2:$G$2001))</f>
        <v/>
      </c>
      <c r="E8" s="16" t="str">
        <f ca="1">IF($A8="","",SUMIFS('Daily tracking'!$G$2:$G$2001,'Daily tracking'!$C$2:$C$2001,$A8,'Daily tracking'!$A$2:$A$2001,"&gt;="&amp;EOMONTH(TODAY(),-1)+1,'Daily tracking'!$A$2:$A$2001,"&lt;="&amp;EOMONTH(TODAY(),0)))</f>
        <v/>
      </c>
      <c r="F8" s="24" t="str">
        <f t="shared" si="0"/>
        <v/>
      </c>
      <c r="G8" s="25"/>
      <c r="H8" s="9" t="str">
        <f t="shared" si="1"/>
        <v/>
      </c>
      <c r="I8" s="13" t="str">
        <f t="shared" si="2"/>
        <v/>
      </c>
    </row>
    <row r="9" spans="1:9" x14ac:dyDescent="0.3">
      <c r="A9" s="19"/>
      <c r="B9" s="23"/>
      <c r="C9" s="15" t="str">
        <f>IF($A9="","",COUNTIF('Daily tracking'!$C$2:$C$2001,$A9))</f>
        <v/>
      </c>
      <c r="D9" s="16" t="str">
        <f>IF($A9="","",SUMIF('Daily tracking'!$C$2:$C$2001,$A9,'Daily tracking'!$G$2:$G$2001))</f>
        <v/>
      </c>
      <c r="E9" s="16" t="str">
        <f ca="1">IF($A9="","",SUMIFS('Daily tracking'!$G$2:$G$2001,'Daily tracking'!$C$2:$C$2001,$A9,'Daily tracking'!$A$2:$A$2001,"&gt;="&amp;EOMONTH(TODAY(),-1)+1,'Daily tracking'!$A$2:$A$2001,"&lt;="&amp;EOMONTH(TODAY(),0)))</f>
        <v/>
      </c>
      <c r="F9" s="24" t="str">
        <f t="shared" si="0"/>
        <v/>
      </c>
      <c r="G9" s="25"/>
      <c r="H9" s="9" t="str">
        <f t="shared" si="1"/>
        <v/>
      </c>
      <c r="I9" s="13" t="str">
        <f t="shared" si="2"/>
        <v/>
      </c>
    </row>
    <row r="10" spans="1:9" x14ac:dyDescent="0.3">
      <c r="A10" s="19"/>
      <c r="B10" s="23"/>
      <c r="C10" s="15" t="str">
        <f>IF($A10="","",COUNTIF('Daily tracking'!$C$2:$C$2001,$A10))</f>
        <v/>
      </c>
      <c r="D10" s="16" t="str">
        <f>IF($A10="","",SUMIF('Daily tracking'!$C$2:$C$2001,$A10,'Daily tracking'!$G$2:$G$2001))</f>
        <v/>
      </c>
      <c r="E10" s="16" t="str">
        <f ca="1">IF($A10="","",SUMIFS('Daily tracking'!$G$2:$G$2001,'Daily tracking'!$C$2:$C$2001,$A10,'Daily tracking'!$A$2:$A$2001,"&gt;="&amp;EOMONTH(TODAY(),-1)+1,'Daily tracking'!$A$2:$A$2001,"&lt;="&amp;EOMONTH(TODAY(),0)))</f>
        <v/>
      </c>
      <c r="F10" s="24" t="str">
        <f t="shared" si="0"/>
        <v/>
      </c>
      <c r="G10" s="25"/>
      <c r="H10" s="9" t="str">
        <f t="shared" si="1"/>
        <v/>
      </c>
      <c r="I10" s="13" t="str">
        <f t="shared" si="2"/>
        <v/>
      </c>
    </row>
    <row r="11" spans="1:9" x14ac:dyDescent="0.3">
      <c r="A11" s="19"/>
      <c r="B11" s="23"/>
      <c r="C11" s="15" t="str">
        <f>IF($A11="","",COUNTIF('Daily tracking'!$C$2:$C$2001,$A11))</f>
        <v/>
      </c>
      <c r="D11" s="16" t="str">
        <f>IF($A11="","",SUMIF('Daily tracking'!$C$2:$C$2001,$A11,'Daily tracking'!$G$2:$G$2001))</f>
        <v/>
      </c>
      <c r="E11" s="16" t="str">
        <f ca="1">IF($A11="","",SUMIFS('Daily tracking'!$G$2:$G$2001,'Daily tracking'!$C$2:$C$2001,$A11,'Daily tracking'!$A$2:$A$2001,"&gt;="&amp;EOMONTH(TODAY(),-1)+1,'Daily tracking'!$A$2:$A$2001,"&lt;="&amp;EOMONTH(TODAY(),0)))</f>
        <v/>
      </c>
      <c r="F11" s="24" t="str">
        <f t="shared" si="0"/>
        <v/>
      </c>
      <c r="G11" s="25"/>
      <c r="H11" s="9" t="str">
        <f t="shared" si="1"/>
        <v/>
      </c>
      <c r="I11" s="13" t="str">
        <f t="shared" si="2"/>
        <v/>
      </c>
    </row>
    <row r="12" spans="1:9" x14ac:dyDescent="0.3">
      <c r="A12" s="19"/>
      <c r="B12" s="23"/>
      <c r="C12" s="15" t="str">
        <f>IF($A12="","",COUNTIF('Daily tracking'!$C$2:$C$2001,$A12))</f>
        <v/>
      </c>
      <c r="D12" s="16" t="str">
        <f>IF($A12="","",SUMIF('Daily tracking'!$C$2:$C$2001,$A12,'Daily tracking'!$G$2:$G$2001))</f>
        <v/>
      </c>
      <c r="E12" s="16" t="str">
        <f ca="1">IF($A12="","",SUMIFS('Daily tracking'!$G$2:$G$2001,'Daily tracking'!$C$2:$C$2001,$A12,'Daily tracking'!$A$2:$A$2001,"&gt;="&amp;EOMONTH(TODAY(),-1)+1,'Daily tracking'!$A$2:$A$2001,"&lt;="&amp;EOMONTH(TODAY(),0)))</f>
        <v/>
      </c>
      <c r="F12" s="24" t="str">
        <f t="shared" si="0"/>
        <v/>
      </c>
      <c r="G12" s="25"/>
      <c r="H12" s="9" t="str">
        <f t="shared" si="1"/>
        <v/>
      </c>
      <c r="I12" s="13" t="str">
        <f t="shared" si="2"/>
        <v/>
      </c>
    </row>
    <row r="13" spans="1:9" x14ac:dyDescent="0.3">
      <c r="A13" s="19"/>
      <c r="B13" s="23"/>
      <c r="C13" s="15" t="str">
        <f>IF($A13="","",COUNTIF('Daily tracking'!$C$2:$C$2001,$A13))</f>
        <v/>
      </c>
      <c r="D13" s="16" t="str">
        <f>IF($A13="","",SUMIF('Daily tracking'!$C$2:$C$2001,$A13,'Daily tracking'!$G$2:$G$2001))</f>
        <v/>
      </c>
      <c r="E13" s="16" t="str">
        <f ca="1">IF($A13="","",SUMIFS('Daily tracking'!$G$2:$G$2001,'Daily tracking'!$C$2:$C$2001,$A13,'Daily tracking'!$A$2:$A$2001,"&gt;="&amp;EOMONTH(TODAY(),-1)+1,'Daily tracking'!$A$2:$A$2001,"&lt;="&amp;EOMONTH(TODAY(),0)))</f>
        <v/>
      </c>
      <c r="F13" s="24" t="str">
        <f t="shared" si="0"/>
        <v/>
      </c>
      <c r="G13" s="25"/>
      <c r="H13" s="9" t="str">
        <f t="shared" si="1"/>
        <v/>
      </c>
      <c r="I13" s="13" t="str">
        <f t="shared" si="2"/>
        <v/>
      </c>
    </row>
    <row r="14" spans="1:9" x14ac:dyDescent="0.3">
      <c r="A14" s="19"/>
      <c r="B14" s="23"/>
      <c r="C14" s="15" t="str">
        <f>IF($A14="","",COUNTIF('Daily tracking'!$C$2:$C$2001,$A14))</f>
        <v/>
      </c>
      <c r="D14" s="16" t="str">
        <f>IF($A14="","",SUMIF('Daily tracking'!$C$2:$C$2001,$A14,'Daily tracking'!$G$2:$G$2001))</f>
        <v/>
      </c>
      <c r="E14" s="16" t="str">
        <f ca="1">IF($A14="","",SUMIFS('Daily tracking'!$G$2:$G$2001,'Daily tracking'!$C$2:$C$2001,$A14,'Daily tracking'!$A$2:$A$2001,"&gt;="&amp;EOMONTH(TODAY(),-1)+1,'Daily tracking'!$A$2:$A$2001,"&lt;="&amp;EOMONTH(TODAY(),0)))</f>
        <v/>
      </c>
      <c r="F14" s="24" t="str">
        <f t="shared" si="0"/>
        <v/>
      </c>
      <c r="G14" s="25"/>
      <c r="H14" s="9" t="str">
        <f t="shared" si="1"/>
        <v/>
      </c>
      <c r="I14" s="13" t="str">
        <f t="shared" si="2"/>
        <v/>
      </c>
    </row>
    <row r="15" spans="1:9" x14ac:dyDescent="0.3">
      <c r="A15" s="19"/>
      <c r="B15" s="23"/>
      <c r="C15" s="15" t="str">
        <f>IF($A15="","",COUNTIF('Daily tracking'!$C$2:$C$2001,$A15))</f>
        <v/>
      </c>
      <c r="D15" s="16" t="str">
        <f>IF($A15="","",SUMIF('Daily tracking'!$C$2:$C$2001,$A15,'Daily tracking'!$G$2:$G$2001))</f>
        <v/>
      </c>
      <c r="E15" s="16" t="str">
        <f ca="1">IF($A15="","",SUMIFS('Daily tracking'!$G$2:$G$2001,'Daily tracking'!$C$2:$C$2001,$A15,'Daily tracking'!$A$2:$A$2001,"&gt;="&amp;EOMONTH(TODAY(),-1)+1,'Daily tracking'!$A$2:$A$2001,"&lt;="&amp;EOMONTH(TODAY(),0)))</f>
        <v/>
      </c>
      <c r="F15" s="24" t="str">
        <f t="shared" si="0"/>
        <v/>
      </c>
      <c r="G15" s="25"/>
      <c r="H15" s="9" t="str">
        <f t="shared" si="1"/>
        <v/>
      </c>
      <c r="I15" s="13" t="str">
        <f t="shared" si="2"/>
        <v/>
      </c>
    </row>
    <row r="16" spans="1:9" x14ac:dyDescent="0.3">
      <c r="A16" s="19"/>
      <c r="B16" s="23"/>
      <c r="C16" s="15" t="str">
        <f>IF($A16="","",COUNTIF('Daily tracking'!$C$2:$C$2001,$A16))</f>
        <v/>
      </c>
      <c r="D16" s="16" t="str">
        <f>IF($A16="","",SUMIF('Daily tracking'!$C$2:$C$2001,$A16,'Daily tracking'!$G$2:$G$2001))</f>
        <v/>
      </c>
      <c r="E16" s="16" t="str">
        <f ca="1">IF($A16="","",SUMIFS('Daily tracking'!$G$2:$G$2001,'Daily tracking'!$C$2:$C$2001,$A16,'Daily tracking'!$A$2:$A$2001,"&gt;="&amp;EOMONTH(TODAY(),-1)+1,'Daily tracking'!$A$2:$A$2001,"&lt;="&amp;EOMONTH(TODAY(),0)))</f>
        <v/>
      </c>
      <c r="F16" s="24" t="str">
        <f t="shared" si="0"/>
        <v/>
      </c>
      <c r="G16" s="25"/>
      <c r="H16" s="9" t="str">
        <f t="shared" si="1"/>
        <v/>
      </c>
      <c r="I16" s="13" t="str">
        <f t="shared" si="2"/>
        <v/>
      </c>
    </row>
    <row r="17" spans="1:9" x14ac:dyDescent="0.3">
      <c r="A17" s="19"/>
      <c r="B17" s="23"/>
      <c r="C17" s="15" t="str">
        <f>IF($A17="","",COUNTIF('Daily tracking'!$C$2:$C$2001,$A17))</f>
        <v/>
      </c>
      <c r="D17" s="16" t="str">
        <f>IF($A17="","",SUMIF('Daily tracking'!$C$2:$C$2001,$A17,'Daily tracking'!$G$2:$G$2001))</f>
        <v/>
      </c>
      <c r="E17" s="16" t="str">
        <f ca="1">IF($A17="","",SUMIFS('Daily tracking'!$G$2:$G$2001,'Daily tracking'!$C$2:$C$2001,$A17,'Daily tracking'!$A$2:$A$2001,"&gt;="&amp;EOMONTH(TODAY(),-1)+1,'Daily tracking'!$A$2:$A$2001,"&lt;="&amp;EOMONTH(TODAY(),0)))</f>
        <v/>
      </c>
      <c r="F17" s="24" t="str">
        <f t="shared" si="0"/>
        <v/>
      </c>
      <c r="G17" s="25"/>
      <c r="H17" s="9" t="str">
        <f t="shared" si="1"/>
        <v/>
      </c>
      <c r="I17" s="13" t="str">
        <f t="shared" si="2"/>
        <v/>
      </c>
    </row>
    <row r="18" spans="1:9" x14ac:dyDescent="0.3">
      <c r="A18" s="19"/>
      <c r="B18" s="23"/>
      <c r="C18" s="15" t="str">
        <f>IF($A18="","",COUNTIF('Daily tracking'!$C$2:$C$2001,$A18))</f>
        <v/>
      </c>
      <c r="D18" s="16" t="str">
        <f>IF($A18="","",SUMIF('Daily tracking'!$C$2:$C$2001,$A18,'Daily tracking'!$G$2:$G$2001))</f>
        <v/>
      </c>
      <c r="E18" s="16" t="str">
        <f ca="1">IF($A18="","",SUMIFS('Daily tracking'!$G$2:$G$2001,'Daily tracking'!$C$2:$C$2001,$A18,'Daily tracking'!$A$2:$A$2001,"&gt;="&amp;EOMONTH(TODAY(),-1)+1,'Daily tracking'!$A$2:$A$2001,"&lt;="&amp;EOMONTH(TODAY(),0)))</f>
        <v/>
      </c>
      <c r="F18" s="24" t="str">
        <f t="shared" si="0"/>
        <v/>
      </c>
      <c r="G18" s="25"/>
      <c r="H18" s="9" t="str">
        <f t="shared" si="1"/>
        <v/>
      </c>
      <c r="I18" s="13" t="str">
        <f t="shared" si="2"/>
        <v/>
      </c>
    </row>
    <row r="19" spans="1:9" x14ac:dyDescent="0.3">
      <c r="A19" s="19"/>
      <c r="B19" s="23"/>
      <c r="C19" s="15" t="str">
        <f>IF($A19="","",COUNTIF('Daily tracking'!$C$2:$C$2001,$A19))</f>
        <v/>
      </c>
      <c r="D19" s="16" t="str">
        <f>IF($A19="","",SUMIF('Daily tracking'!$C$2:$C$2001,$A19,'Daily tracking'!$G$2:$G$2001))</f>
        <v/>
      </c>
      <c r="E19" s="16" t="str">
        <f ca="1">IF($A19="","",SUMIFS('Daily tracking'!$G$2:$G$2001,'Daily tracking'!$C$2:$C$2001,$A19,'Daily tracking'!$A$2:$A$2001,"&gt;="&amp;EOMONTH(TODAY(),-1)+1,'Daily tracking'!$A$2:$A$2001,"&lt;="&amp;EOMONTH(TODAY(),0)))</f>
        <v/>
      </c>
      <c r="F19" s="24" t="str">
        <f t="shared" si="0"/>
        <v/>
      </c>
      <c r="G19" s="25"/>
      <c r="H19" s="9" t="str">
        <f t="shared" si="1"/>
        <v/>
      </c>
      <c r="I19" s="13" t="str">
        <f t="shared" si="2"/>
        <v/>
      </c>
    </row>
    <row r="20" spans="1:9" x14ac:dyDescent="0.3">
      <c r="A20" s="19"/>
      <c r="B20" s="23"/>
      <c r="C20" s="15" t="str">
        <f>IF($A20="","",COUNTIF('Daily tracking'!$C$2:$C$2001,$A20))</f>
        <v/>
      </c>
      <c r="D20" s="16" t="str">
        <f>IF($A20="","",SUMIF('Daily tracking'!$C$2:$C$2001,$A20,'Daily tracking'!$G$2:$G$2001))</f>
        <v/>
      </c>
      <c r="E20" s="16" t="str">
        <f ca="1">IF($A20="","",SUMIFS('Daily tracking'!$G$2:$G$2001,'Daily tracking'!$C$2:$C$2001,$A20,'Daily tracking'!$A$2:$A$2001,"&gt;="&amp;EOMONTH(TODAY(),-1)+1,'Daily tracking'!$A$2:$A$2001,"&lt;="&amp;EOMONTH(TODAY(),0)))</f>
        <v/>
      </c>
      <c r="F20" s="24" t="str">
        <f t="shared" si="0"/>
        <v/>
      </c>
      <c r="G20" s="25"/>
      <c r="H20" s="9" t="str">
        <f t="shared" si="1"/>
        <v/>
      </c>
      <c r="I20" s="13" t="str">
        <f t="shared" si="2"/>
        <v/>
      </c>
    </row>
    <row r="21" spans="1:9" x14ac:dyDescent="0.3">
      <c r="A21" s="19"/>
      <c r="B21" s="23"/>
      <c r="C21" s="15" t="str">
        <f>IF($A21="","",COUNTIF('Daily tracking'!$C$2:$C$2001,$A21))</f>
        <v/>
      </c>
      <c r="D21" s="16" t="str">
        <f>IF($A21="","",SUMIF('Daily tracking'!$C$2:$C$2001,$A21,'Daily tracking'!$G$2:$G$2001))</f>
        <v/>
      </c>
      <c r="E21" s="16" t="str">
        <f ca="1">IF($A21="","",SUMIFS('Daily tracking'!$G$2:$G$2001,'Daily tracking'!$C$2:$C$2001,$A21,'Daily tracking'!$A$2:$A$2001,"&gt;="&amp;EOMONTH(TODAY(),-1)+1,'Daily tracking'!$A$2:$A$2001,"&lt;="&amp;EOMONTH(TODAY(),0)))</f>
        <v/>
      </c>
      <c r="F21" s="24" t="str">
        <f t="shared" si="0"/>
        <v/>
      </c>
      <c r="G21" s="25"/>
      <c r="H21" s="9" t="str">
        <f t="shared" si="1"/>
        <v/>
      </c>
      <c r="I21" s="13" t="str">
        <f t="shared" si="2"/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1"/>
  <sheetViews>
    <sheetView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13" customWidth="1"/>
    <col min="2" max="2" width="16" customWidth="1"/>
    <col min="3" max="3" width="12" customWidth="1"/>
    <col min="4" max="4" width="30" customWidth="1"/>
  </cols>
  <sheetData>
    <row r="1" spans="1:6" x14ac:dyDescent="0.3">
      <c r="A1" s="17" t="s">
        <v>56</v>
      </c>
      <c r="B1" s="17" t="s">
        <v>7</v>
      </c>
      <c r="C1" s="17" t="s">
        <v>164</v>
      </c>
      <c r="D1" s="17" t="s">
        <v>165</v>
      </c>
      <c r="F1" s="2" t="s">
        <v>166</v>
      </c>
    </row>
    <row r="2" spans="1:6" x14ac:dyDescent="0.3">
      <c r="A2" s="20"/>
      <c r="B2" s="19"/>
      <c r="C2" s="23"/>
      <c r="D2" s="19"/>
    </row>
    <row r="3" spans="1:6" x14ac:dyDescent="0.3">
      <c r="A3" s="20"/>
      <c r="B3" s="19"/>
      <c r="C3" s="23"/>
      <c r="D3" s="19"/>
    </row>
    <row r="4" spans="1:6" x14ac:dyDescent="0.3">
      <c r="A4" s="20"/>
      <c r="B4" s="19"/>
      <c r="C4" s="23"/>
      <c r="D4" s="19"/>
    </row>
    <row r="5" spans="1:6" x14ac:dyDescent="0.3">
      <c r="A5" s="20"/>
      <c r="B5" s="19"/>
      <c r="C5" s="23"/>
      <c r="D5" s="19"/>
    </row>
    <row r="6" spans="1:6" x14ac:dyDescent="0.3">
      <c r="A6" s="20"/>
      <c r="B6" s="19"/>
      <c r="C6" s="23"/>
      <c r="D6" s="19"/>
    </row>
    <row r="7" spans="1:6" x14ac:dyDescent="0.3">
      <c r="A7" s="20"/>
      <c r="B7" s="19"/>
      <c r="C7" s="23"/>
      <c r="D7" s="19"/>
    </row>
    <row r="8" spans="1:6" x14ac:dyDescent="0.3">
      <c r="A8" s="20"/>
      <c r="B8" s="19"/>
      <c r="C8" s="23"/>
      <c r="D8" s="19"/>
    </row>
    <row r="9" spans="1:6" x14ac:dyDescent="0.3">
      <c r="A9" s="20"/>
      <c r="B9" s="19"/>
      <c r="C9" s="23"/>
      <c r="D9" s="19"/>
    </row>
    <row r="10" spans="1:6" x14ac:dyDescent="0.3">
      <c r="A10" s="20"/>
      <c r="B10" s="19"/>
      <c r="C10" s="23"/>
      <c r="D10" s="19"/>
    </row>
    <row r="11" spans="1:6" x14ac:dyDescent="0.3">
      <c r="A11" s="20"/>
      <c r="B11" s="19"/>
      <c r="C11" s="23"/>
      <c r="D11" s="19"/>
    </row>
    <row r="12" spans="1:6" x14ac:dyDescent="0.3">
      <c r="A12" s="20"/>
      <c r="B12" s="19"/>
      <c r="C12" s="23"/>
      <c r="D12" s="19"/>
    </row>
    <row r="13" spans="1:6" x14ac:dyDescent="0.3">
      <c r="A13" s="20"/>
      <c r="B13" s="19"/>
      <c r="C13" s="23"/>
      <c r="D13" s="19"/>
    </row>
    <row r="14" spans="1:6" x14ac:dyDescent="0.3">
      <c r="A14" s="20"/>
      <c r="B14" s="19"/>
      <c r="C14" s="23"/>
      <c r="D14" s="19"/>
    </row>
    <row r="15" spans="1:6" x14ac:dyDescent="0.3">
      <c r="A15" s="20"/>
      <c r="B15" s="19"/>
      <c r="C15" s="23"/>
      <c r="D15" s="19"/>
    </row>
    <row r="16" spans="1:6" x14ac:dyDescent="0.3">
      <c r="A16" s="20"/>
      <c r="B16" s="19"/>
      <c r="C16" s="23"/>
      <c r="D16" s="19"/>
    </row>
    <row r="17" spans="1:4" x14ac:dyDescent="0.3">
      <c r="A17" s="20"/>
      <c r="B17" s="19"/>
      <c r="C17" s="23"/>
      <c r="D17" s="19"/>
    </row>
    <row r="18" spans="1:4" x14ac:dyDescent="0.3">
      <c r="A18" s="20"/>
      <c r="B18" s="19"/>
      <c r="C18" s="23"/>
      <c r="D18" s="19"/>
    </row>
    <row r="19" spans="1:4" x14ac:dyDescent="0.3">
      <c r="A19" s="20"/>
      <c r="B19" s="19"/>
      <c r="C19" s="23"/>
      <c r="D19" s="19"/>
    </row>
    <row r="20" spans="1:4" x14ac:dyDescent="0.3">
      <c r="A20" s="20"/>
      <c r="B20" s="19"/>
      <c r="C20" s="23"/>
      <c r="D20" s="19"/>
    </row>
    <row r="21" spans="1:4" x14ac:dyDescent="0.3">
      <c r="A21" s="20"/>
      <c r="B21" s="19"/>
      <c r="C21" s="23"/>
      <c r="D21" s="19"/>
    </row>
    <row r="22" spans="1:4" x14ac:dyDescent="0.3">
      <c r="A22" s="20"/>
      <c r="B22" s="19"/>
      <c r="C22" s="23"/>
      <c r="D22" s="19"/>
    </row>
    <row r="23" spans="1:4" x14ac:dyDescent="0.3">
      <c r="A23" s="20"/>
      <c r="B23" s="19"/>
      <c r="C23" s="23"/>
      <c r="D23" s="19"/>
    </row>
    <row r="24" spans="1:4" x14ac:dyDescent="0.3">
      <c r="A24" s="20"/>
      <c r="B24" s="19"/>
      <c r="C24" s="23"/>
      <c r="D24" s="19"/>
    </row>
    <row r="25" spans="1:4" x14ac:dyDescent="0.3">
      <c r="A25" s="20"/>
      <c r="B25" s="19"/>
      <c r="C25" s="23"/>
      <c r="D25" s="19"/>
    </row>
    <row r="26" spans="1:4" x14ac:dyDescent="0.3">
      <c r="A26" s="20"/>
      <c r="B26" s="19"/>
      <c r="C26" s="23"/>
      <c r="D26" s="19"/>
    </row>
    <row r="27" spans="1:4" x14ac:dyDescent="0.3">
      <c r="A27" s="20"/>
      <c r="B27" s="19"/>
      <c r="C27" s="23"/>
      <c r="D27" s="19"/>
    </row>
    <row r="28" spans="1:4" x14ac:dyDescent="0.3">
      <c r="A28" s="20"/>
      <c r="B28" s="19"/>
      <c r="C28" s="23"/>
      <c r="D28" s="19"/>
    </row>
    <row r="29" spans="1:4" x14ac:dyDescent="0.3">
      <c r="A29" s="20"/>
      <c r="B29" s="19"/>
      <c r="C29" s="23"/>
      <c r="D29" s="19"/>
    </row>
    <row r="30" spans="1:4" x14ac:dyDescent="0.3">
      <c r="A30" s="20"/>
      <c r="B30" s="19"/>
      <c r="C30" s="23"/>
      <c r="D30" s="19"/>
    </row>
    <row r="31" spans="1:4" x14ac:dyDescent="0.3">
      <c r="A31" s="20"/>
      <c r="B31" s="19"/>
      <c r="C31" s="23"/>
      <c r="D31" s="19"/>
    </row>
    <row r="32" spans="1:4" x14ac:dyDescent="0.3">
      <c r="A32" s="20"/>
      <c r="B32" s="19"/>
      <c r="C32" s="23"/>
      <c r="D32" s="19"/>
    </row>
    <row r="33" spans="1:4" x14ac:dyDescent="0.3">
      <c r="A33" s="20"/>
      <c r="B33" s="19"/>
      <c r="C33" s="23"/>
      <c r="D33" s="19"/>
    </row>
    <row r="34" spans="1:4" x14ac:dyDescent="0.3">
      <c r="A34" s="20"/>
      <c r="B34" s="19"/>
      <c r="C34" s="23"/>
      <c r="D34" s="19"/>
    </row>
    <row r="35" spans="1:4" x14ac:dyDescent="0.3">
      <c r="A35" s="20"/>
      <c r="B35" s="19"/>
      <c r="C35" s="23"/>
      <c r="D35" s="19"/>
    </row>
    <row r="36" spans="1:4" x14ac:dyDescent="0.3">
      <c r="A36" s="20"/>
      <c r="B36" s="19"/>
      <c r="C36" s="23"/>
      <c r="D36" s="19"/>
    </row>
    <row r="37" spans="1:4" x14ac:dyDescent="0.3">
      <c r="A37" s="20"/>
      <c r="B37" s="19"/>
      <c r="C37" s="23"/>
      <c r="D37" s="19"/>
    </row>
    <row r="38" spans="1:4" x14ac:dyDescent="0.3">
      <c r="A38" s="20"/>
      <c r="B38" s="19"/>
      <c r="C38" s="23"/>
      <c r="D38" s="19"/>
    </row>
    <row r="39" spans="1:4" x14ac:dyDescent="0.3">
      <c r="A39" s="20"/>
      <c r="B39" s="19"/>
      <c r="C39" s="23"/>
      <c r="D39" s="19"/>
    </row>
    <row r="40" spans="1:4" x14ac:dyDescent="0.3">
      <c r="A40" s="20"/>
      <c r="B40" s="19"/>
      <c r="C40" s="23"/>
      <c r="D40" s="19"/>
    </row>
    <row r="41" spans="1:4" x14ac:dyDescent="0.3">
      <c r="A41" s="20"/>
      <c r="B41" s="19"/>
      <c r="C41" s="23"/>
      <c r="D41" s="19"/>
    </row>
    <row r="42" spans="1:4" x14ac:dyDescent="0.3">
      <c r="A42" s="20"/>
      <c r="B42" s="19"/>
      <c r="C42" s="23"/>
      <c r="D42" s="19"/>
    </row>
    <row r="43" spans="1:4" x14ac:dyDescent="0.3">
      <c r="A43" s="20"/>
      <c r="B43" s="19"/>
      <c r="C43" s="23"/>
      <c r="D43" s="19"/>
    </row>
    <row r="44" spans="1:4" x14ac:dyDescent="0.3">
      <c r="A44" s="20"/>
      <c r="B44" s="19"/>
      <c r="C44" s="23"/>
      <c r="D44" s="19"/>
    </row>
    <row r="45" spans="1:4" x14ac:dyDescent="0.3">
      <c r="A45" s="20"/>
      <c r="B45" s="19"/>
      <c r="C45" s="23"/>
      <c r="D45" s="19"/>
    </row>
    <row r="46" spans="1:4" x14ac:dyDescent="0.3">
      <c r="A46" s="20"/>
      <c r="B46" s="19"/>
      <c r="C46" s="23"/>
      <c r="D46" s="19"/>
    </row>
    <row r="47" spans="1:4" x14ac:dyDescent="0.3">
      <c r="A47" s="20"/>
      <c r="B47" s="19"/>
      <c r="C47" s="23"/>
      <c r="D47" s="19"/>
    </row>
    <row r="48" spans="1:4" x14ac:dyDescent="0.3">
      <c r="A48" s="20"/>
      <c r="B48" s="19"/>
      <c r="C48" s="23"/>
      <c r="D48" s="19"/>
    </row>
    <row r="49" spans="1:4" x14ac:dyDescent="0.3">
      <c r="A49" s="20"/>
      <c r="B49" s="19"/>
      <c r="C49" s="23"/>
      <c r="D49" s="19"/>
    </row>
    <row r="50" spans="1:4" x14ac:dyDescent="0.3">
      <c r="A50" s="20"/>
      <c r="B50" s="19"/>
      <c r="C50" s="23"/>
      <c r="D50" s="19"/>
    </row>
    <row r="51" spans="1:4" x14ac:dyDescent="0.3">
      <c r="A51" s="20"/>
      <c r="B51" s="19"/>
      <c r="C51" s="23"/>
      <c r="D51" s="19"/>
    </row>
    <row r="52" spans="1:4" x14ac:dyDescent="0.3">
      <c r="A52" s="20"/>
      <c r="B52" s="19"/>
      <c r="C52" s="23"/>
      <c r="D52" s="19"/>
    </row>
    <row r="53" spans="1:4" x14ac:dyDescent="0.3">
      <c r="A53" s="20"/>
      <c r="B53" s="19"/>
      <c r="C53" s="23"/>
      <c r="D53" s="19"/>
    </row>
    <row r="54" spans="1:4" x14ac:dyDescent="0.3">
      <c r="A54" s="20"/>
      <c r="B54" s="19"/>
      <c r="C54" s="23"/>
      <c r="D54" s="19"/>
    </row>
    <row r="55" spans="1:4" x14ac:dyDescent="0.3">
      <c r="A55" s="20"/>
      <c r="B55" s="19"/>
      <c r="C55" s="23"/>
      <c r="D55" s="19"/>
    </row>
    <row r="56" spans="1:4" x14ac:dyDescent="0.3">
      <c r="A56" s="20"/>
      <c r="B56" s="19"/>
      <c r="C56" s="23"/>
      <c r="D56" s="19"/>
    </row>
    <row r="57" spans="1:4" x14ac:dyDescent="0.3">
      <c r="A57" s="20"/>
      <c r="B57" s="19"/>
      <c r="C57" s="23"/>
      <c r="D57" s="19"/>
    </row>
    <row r="58" spans="1:4" x14ac:dyDescent="0.3">
      <c r="A58" s="20"/>
      <c r="B58" s="19"/>
      <c r="C58" s="23"/>
      <c r="D58" s="19"/>
    </row>
    <row r="59" spans="1:4" x14ac:dyDescent="0.3">
      <c r="A59" s="20"/>
      <c r="B59" s="19"/>
      <c r="C59" s="23"/>
      <c r="D59" s="19"/>
    </row>
    <row r="60" spans="1:4" x14ac:dyDescent="0.3">
      <c r="A60" s="20"/>
      <c r="B60" s="19"/>
      <c r="C60" s="23"/>
      <c r="D60" s="19"/>
    </row>
    <row r="61" spans="1:4" x14ac:dyDescent="0.3">
      <c r="A61" s="20"/>
      <c r="B61" s="19"/>
      <c r="C61" s="23"/>
      <c r="D61" s="19"/>
    </row>
    <row r="62" spans="1:4" x14ac:dyDescent="0.3">
      <c r="A62" s="20"/>
      <c r="B62" s="19"/>
      <c r="C62" s="23"/>
      <c r="D62" s="19"/>
    </row>
    <row r="63" spans="1:4" x14ac:dyDescent="0.3">
      <c r="A63" s="20"/>
      <c r="B63" s="19"/>
      <c r="C63" s="23"/>
      <c r="D63" s="19"/>
    </row>
    <row r="64" spans="1:4" x14ac:dyDescent="0.3">
      <c r="A64" s="20"/>
      <c r="B64" s="19"/>
      <c r="C64" s="23"/>
      <c r="D64" s="19"/>
    </row>
    <row r="65" spans="1:4" x14ac:dyDescent="0.3">
      <c r="A65" s="20"/>
      <c r="B65" s="19"/>
      <c r="C65" s="23"/>
      <c r="D65" s="19"/>
    </row>
    <row r="66" spans="1:4" x14ac:dyDescent="0.3">
      <c r="A66" s="20"/>
      <c r="B66" s="19"/>
      <c r="C66" s="23"/>
      <c r="D66" s="19"/>
    </row>
    <row r="67" spans="1:4" x14ac:dyDescent="0.3">
      <c r="A67" s="20"/>
      <c r="B67" s="19"/>
      <c r="C67" s="23"/>
      <c r="D67" s="19"/>
    </row>
    <row r="68" spans="1:4" x14ac:dyDescent="0.3">
      <c r="A68" s="20"/>
      <c r="B68" s="19"/>
      <c r="C68" s="23"/>
      <c r="D68" s="19"/>
    </row>
    <row r="69" spans="1:4" x14ac:dyDescent="0.3">
      <c r="A69" s="20"/>
      <c r="B69" s="19"/>
      <c r="C69" s="23"/>
      <c r="D69" s="19"/>
    </row>
    <row r="70" spans="1:4" x14ac:dyDescent="0.3">
      <c r="A70" s="20"/>
      <c r="B70" s="19"/>
      <c r="C70" s="23"/>
      <c r="D70" s="19"/>
    </row>
    <row r="71" spans="1:4" x14ac:dyDescent="0.3">
      <c r="A71" s="20"/>
      <c r="B71" s="19"/>
      <c r="C71" s="23"/>
      <c r="D71" s="19"/>
    </row>
    <row r="72" spans="1:4" x14ac:dyDescent="0.3">
      <c r="A72" s="20"/>
      <c r="B72" s="19"/>
      <c r="C72" s="23"/>
      <c r="D72" s="19"/>
    </row>
    <row r="73" spans="1:4" x14ac:dyDescent="0.3">
      <c r="A73" s="20"/>
      <c r="B73" s="19"/>
      <c r="C73" s="23"/>
      <c r="D73" s="19"/>
    </row>
    <row r="74" spans="1:4" x14ac:dyDescent="0.3">
      <c r="A74" s="20"/>
      <c r="B74" s="19"/>
      <c r="C74" s="23"/>
      <c r="D74" s="19"/>
    </row>
    <row r="75" spans="1:4" x14ac:dyDescent="0.3">
      <c r="A75" s="20"/>
      <c r="B75" s="19"/>
      <c r="C75" s="23"/>
      <c r="D75" s="19"/>
    </row>
    <row r="76" spans="1:4" x14ac:dyDescent="0.3">
      <c r="A76" s="20"/>
      <c r="B76" s="19"/>
      <c r="C76" s="23"/>
      <c r="D76" s="19"/>
    </row>
    <row r="77" spans="1:4" x14ac:dyDescent="0.3">
      <c r="A77" s="20"/>
      <c r="B77" s="19"/>
      <c r="C77" s="23"/>
      <c r="D77" s="19"/>
    </row>
    <row r="78" spans="1:4" x14ac:dyDescent="0.3">
      <c r="A78" s="20"/>
      <c r="B78" s="19"/>
      <c r="C78" s="23"/>
      <c r="D78" s="19"/>
    </row>
    <row r="79" spans="1:4" x14ac:dyDescent="0.3">
      <c r="A79" s="20"/>
      <c r="B79" s="19"/>
      <c r="C79" s="23"/>
      <c r="D79" s="19"/>
    </row>
    <row r="80" spans="1:4" x14ac:dyDescent="0.3">
      <c r="A80" s="20"/>
      <c r="B80" s="19"/>
      <c r="C80" s="23"/>
      <c r="D80" s="19"/>
    </row>
    <row r="81" spans="1:4" x14ac:dyDescent="0.3">
      <c r="A81" s="20"/>
      <c r="B81" s="19"/>
      <c r="C81" s="23"/>
      <c r="D81" s="19"/>
    </row>
    <row r="82" spans="1:4" x14ac:dyDescent="0.3">
      <c r="A82" s="20"/>
      <c r="B82" s="19"/>
      <c r="C82" s="23"/>
      <c r="D82" s="19"/>
    </row>
    <row r="83" spans="1:4" x14ac:dyDescent="0.3">
      <c r="A83" s="20"/>
      <c r="B83" s="19"/>
      <c r="C83" s="23"/>
      <c r="D83" s="19"/>
    </row>
    <row r="84" spans="1:4" x14ac:dyDescent="0.3">
      <c r="A84" s="20"/>
      <c r="B84" s="19"/>
      <c r="C84" s="23"/>
      <c r="D84" s="19"/>
    </row>
    <row r="85" spans="1:4" x14ac:dyDescent="0.3">
      <c r="A85" s="20"/>
      <c r="B85" s="19"/>
      <c r="C85" s="23"/>
      <c r="D85" s="19"/>
    </row>
    <row r="86" spans="1:4" x14ac:dyDescent="0.3">
      <c r="A86" s="20"/>
      <c r="B86" s="19"/>
      <c r="C86" s="23"/>
      <c r="D86" s="19"/>
    </row>
    <row r="87" spans="1:4" x14ac:dyDescent="0.3">
      <c r="A87" s="20"/>
      <c r="B87" s="19"/>
      <c r="C87" s="23"/>
      <c r="D87" s="19"/>
    </row>
    <row r="88" spans="1:4" x14ac:dyDescent="0.3">
      <c r="A88" s="20"/>
      <c r="B88" s="19"/>
      <c r="C88" s="23"/>
      <c r="D88" s="19"/>
    </row>
    <row r="89" spans="1:4" x14ac:dyDescent="0.3">
      <c r="A89" s="20"/>
      <c r="B89" s="19"/>
      <c r="C89" s="23"/>
      <c r="D89" s="19"/>
    </row>
    <row r="90" spans="1:4" x14ac:dyDescent="0.3">
      <c r="A90" s="20"/>
      <c r="B90" s="19"/>
      <c r="C90" s="23"/>
      <c r="D90" s="19"/>
    </row>
    <row r="91" spans="1:4" x14ac:dyDescent="0.3">
      <c r="A91" s="20"/>
      <c r="B91" s="19"/>
      <c r="C91" s="23"/>
      <c r="D91" s="19"/>
    </row>
    <row r="92" spans="1:4" x14ac:dyDescent="0.3">
      <c r="A92" s="20"/>
      <c r="B92" s="19"/>
      <c r="C92" s="23"/>
      <c r="D92" s="19"/>
    </row>
    <row r="93" spans="1:4" x14ac:dyDescent="0.3">
      <c r="A93" s="20"/>
      <c r="B93" s="19"/>
      <c r="C93" s="23"/>
      <c r="D93" s="19"/>
    </row>
    <row r="94" spans="1:4" x14ac:dyDescent="0.3">
      <c r="A94" s="20"/>
      <c r="B94" s="19"/>
      <c r="C94" s="23"/>
      <c r="D94" s="19"/>
    </row>
    <row r="95" spans="1:4" x14ac:dyDescent="0.3">
      <c r="A95" s="20"/>
      <c r="B95" s="19"/>
      <c r="C95" s="23"/>
      <c r="D95" s="19"/>
    </row>
    <row r="96" spans="1:4" x14ac:dyDescent="0.3">
      <c r="A96" s="20"/>
      <c r="B96" s="19"/>
      <c r="C96" s="23"/>
      <c r="D96" s="19"/>
    </row>
    <row r="97" spans="1:4" x14ac:dyDescent="0.3">
      <c r="A97" s="20"/>
      <c r="B97" s="19"/>
      <c r="C97" s="23"/>
      <c r="D97" s="19"/>
    </row>
    <row r="98" spans="1:4" x14ac:dyDescent="0.3">
      <c r="A98" s="20"/>
      <c r="B98" s="19"/>
      <c r="C98" s="23"/>
      <c r="D98" s="19"/>
    </row>
    <row r="99" spans="1:4" x14ac:dyDescent="0.3">
      <c r="A99" s="20"/>
      <c r="B99" s="19"/>
      <c r="C99" s="23"/>
      <c r="D99" s="19"/>
    </row>
    <row r="100" spans="1:4" x14ac:dyDescent="0.3">
      <c r="A100" s="20"/>
      <c r="B100" s="19"/>
      <c r="C100" s="23"/>
      <c r="D100" s="19"/>
    </row>
    <row r="101" spans="1:4" x14ac:dyDescent="0.3">
      <c r="A101" s="20"/>
      <c r="B101" s="19"/>
      <c r="C101" s="23"/>
      <c r="D101" s="19"/>
    </row>
    <row r="102" spans="1:4" x14ac:dyDescent="0.3">
      <c r="A102" s="20"/>
      <c r="B102" s="19"/>
      <c r="C102" s="23"/>
      <c r="D102" s="19"/>
    </row>
    <row r="103" spans="1:4" x14ac:dyDescent="0.3">
      <c r="A103" s="20"/>
      <c r="B103" s="19"/>
      <c r="C103" s="23"/>
      <c r="D103" s="19"/>
    </row>
    <row r="104" spans="1:4" x14ac:dyDescent="0.3">
      <c r="A104" s="20"/>
      <c r="B104" s="19"/>
      <c r="C104" s="23"/>
      <c r="D104" s="19"/>
    </row>
    <row r="105" spans="1:4" x14ac:dyDescent="0.3">
      <c r="A105" s="20"/>
      <c r="B105" s="19"/>
      <c r="C105" s="23"/>
      <c r="D105" s="19"/>
    </row>
    <row r="106" spans="1:4" x14ac:dyDescent="0.3">
      <c r="A106" s="20"/>
      <c r="B106" s="19"/>
      <c r="C106" s="23"/>
      <c r="D106" s="19"/>
    </row>
    <row r="107" spans="1:4" x14ac:dyDescent="0.3">
      <c r="A107" s="20"/>
      <c r="B107" s="19"/>
      <c r="C107" s="23"/>
      <c r="D107" s="19"/>
    </row>
    <row r="108" spans="1:4" x14ac:dyDescent="0.3">
      <c r="A108" s="20"/>
      <c r="B108" s="19"/>
      <c r="C108" s="23"/>
      <c r="D108" s="19"/>
    </row>
    <row r="109" spans="1:4" x14ac:dyDescent="0.3">
      <c r="A109" s="20"/>
      <c r="B109" s="19"/>
      <c r="C109" s="23"/>
      <c r="D109" s="19"/>
    </row>
    <row r="110" spans="1:4" x14ac:dyDescent="0.3">
      <c r="A110" s="20"/>
      <c r="B110" s="19"/>
      <c r="C110" s="23"/>
      <c r="D110" s="19"/>
    </row>
    <row r="111" spans="1:4" x14ac:dyDescent="0.3">
      <c r="A111" s="20"/>
      <c r="B111" s="19"/>
      <c r="C111" s="23"/>
      <c r="D111" s="19"/>
    </row>
    <row r="112" spans="1:4" x14ac:dyDescent="0.3">
      <c r="A112" s="20"/>
      <c r="B112" s="19"/>
      <c r="C112" s="23"/>
      <c r="D112" s="19"/>
    </row>
    <row r="113" spans="1:4" x14ac:dyDescent="0.3">
      <c r="A113" s="20"/>
      <c r="B113" s="19"/>
      <c r="C113" s="23"/>
      <c r="D113" s="19"/>
    </row>
    <row r="114" spans="1:4" x14ac:dyDescent="0.3">
      <c r="A114" s="20"/>
      <c r="B114" s="19"/>
      <c r="C114" s="23"/>
      <c r="D114" s="19"/>
    </row>
    <row r="115" spans="1:4" x14ac:dyDescent="0.3">
      <c r="A115" s="20"/>
      <c r="B115" s="19"/>
      <c r="C115" s="23"/>
      <c r="D115" s="19"/>
    </row>
    <row r="116" spans="1:4" x14ac:dyDescent="0.3">
      <c r="A116" s="20"/>
      <c r="B116" s="19"/>
      <c r="C116" s="23"/>
      <c r="D116" s="19"/>
    </row>
    <row r="117" spans="1:4" x14ac:dyDescent="0.3">
      <c r="A117" s="20"/>
      <c r="B117" s="19"/>
      <c r="C117" s="23"/>
      <c r="D117" s="19"/>
    </row>
    <row r="118" spans="1:4" x14ac:dyDescent="0.3">
      <c r="A118" s="20"/>
      <c r="B118" s="19"/>
      <c r="C118" s="23"/>
      <c r="D118" s="19"/>
    </row>
    <row r="119" spans="1:4" x14ac:dyDescent="0.3">
      <c r="A119" s="20"/>
      <c r="B119" s="19"/>
      <c r="C119" s="23"/>
      <c r="D119" s="19"/>
    </row>
    <row r="120" spans="1:4" x14ac:dyDescent="0.3">
      <c r="A120" s="20"/>
      <c r="B120" s="19"/>
      <c r="C120" s="23"/>
      <c r="D120" s="19"/>
    </row>
    <row r="121" spans="1:4" x14ac:dyDescent="0.3">
      <c r="A121" s="20"/>
      <c r="B121" s="19"/>
      <c r="C121" s="23"/>
      <c r="D121" s="19"/>
    </row>
    <row r="122" spans="1:4" x14ac:dyDescent="0.3">
      <c r="A122" s="20"/>
      <c r="B122" s="19"/>
      <c r="C122" s="23"/>
      <c r="D122" s="19"/>
    </row>
    <row r="123" spans="1:4" x14ac:dyDescent="0.3">
      <c r="A123" s="20"/>
      <c r="B123" s="19"/>
      <c r="C123" s="23"/>
      <c r="D123" s="19"/>
    </row>
    <row r="124" spans="1:4" x14ac:dyDescent="0.3">
      <c r="A124" s="20"/>
      <c r="B124" s="19"/>
      <c r="C124" s="23"/>
      <c r="D124" s="19"/>
    </row>
    <row r="125" spans="1:4" x14ac:dyDescent="0.3">
      <c r="A125" s="20"/>
      <c r="B125" s="19"/>
      <c r="C125" s="23"/>
      <c r="D125" s="19"/>
    </row>
    <row r="126" spans="1:4" x14ac:dyDescent="0.3">
      <c r="A126" s="20"/>
      <c r="B126" s="19"/>
      <c r="C126" s="23"/>
      <c r="D126" s="19"/>
    </row>
    <row r="127" spans="1:4" x14ac:dyDescent="0.3">
      <c r="A127" s="20"/>
      <c r="B127" s="19"/>
      <c r="C127" s="23"/>
      <c r="D127" s="19"/>
    </row>
    <row r="128" spans="1:4" x14ac:dyDescent="0.3">
      <c r="A128" s="20"/>
      <c r="B128" s="19"/>
      <c r="C128" s="23"/>
      <c r="D128" s="19"/>
    </row>
    <row r="129" spans="1:4" x14ac:dyDescent="0.3">
      <c r="A129" s="20"/>
      <c r="B129" s="19"/>
      <c r="C129" s="23"/>
      <c r="D129" s="19"/>
    </row>
    <row r="130" spans="1:4" x14ac:dyDescent="0.3">
      <c r="A130" s="20"/>
      <c r="B130" s="19"/>
      <c r="C130" s="23"/>
      <c r="D130" s="19"/>
    </row>
    <row r="131" spans="1:4" x14ac:dyDescent="0.3">
      <c r="A131" s="20"/>
      <c r="B131" s="19"/>
      <c r="C131" s="23"/>
      <c r="D131" s="19"/>
    </row>
    <row r="132" spans="1:4" x14ac:dyDescent="0.3">
      <c r="A132" s="20"/>
      <c r="B132" s="19"/>
      <c r="C132" s="23"/>
      <c r="D132" s="19"/>
    </row>
    <row r="133" spans="1:4" x14ac:dyDescent="0.3">
      <c r="A133" s="20"/>
      <c r="B133" s="19"/>
      <c r="C133" s="23"/>
      <c r="D133" s="19"/>
    </row>
    <row r="134" spans="1:4" x14ac:dyDescent="0.3">
      <c r="A134" s="20"/>
      <c r="B134" s="19"/>
      <c r="C134" s="23"/>
      <c r="D134" s="19"/>
    </row>
    <row r="135" spans="1:4" x14ac:dyDescent="0.3">
      <c r="A135" s="20"/>
      <c r="B135" s="19"/>
      <c r="C135" s="23"/>
      <c r="D135" s="19"/>
    </row>
    <row r="136" spans="1:4" x14ac:dyDescent="0.3">
      <c r="A136" s="20"/>
      <c r="B136" s="19"/>
      <c r="C136" s="23"/>
      <c r="D136" s="19"/>
    </row>
    <row r="137" spans="1:4" x14ac:dyDescent="0.3">
      <c r="A137" s="20"/>
      <c r="B137" s="19"/>
      <c r="C137" s="23"/>
      <c r="D137" s="19"/>
    </row>
    <row r="138" spans="1:4" x14ac:dyDescent="0.3">
      <c r="A138" s="20"/>
      <c r="B138" s="19"/>
      <c r="C138" s="23"/>
      <c r="D138" s="19"/>
    </row>
    <row r="139" spans="1:4" x14ac:dyDescent="0.3">
      <c r="A139" s="20"/>
      <c r="B139" s="19"/>
      <c r="C139" s="23"/>
      <c r="D139" s="19"/>
    </row>
    <row r="140" spans="1:4" x14ac:dyDescent="0.3">
      <c r="A140" s="20"/>
      <c r="B140" s="19"/>
      <c r="C140" s="23"/>
      <c r="D140" s="19"/>
    </row>
    <row r="141" spans="1:4" x14ac:dyDescent="0.3">
      <c r="A141" s="20"/>
      <c r="B141" s="19"/>
      <c r="C141" s="23"/>
      <c r="D141" s="19"/>
    </row>
    <row r="142" spans="1:4" x14ac:dyDescent="0.3">
      <c r="A142" s="20"/>
      <c r="B142" s="19"/>
      <c r="C142" s="23"/>
      <c r="D142" s="19"/>
    </row>
    <row r="143" spans="1:4" x14ac:dyDescent="0.3">
      <c r="A143" s="20"/>
      <c r="B143" s="19"/>
      <c r="C143" s="23"/>
      <c r="D143" s="19"/>
    </row>
    <row r="144" spans="1:4" x14ac:dyDescent="0.3">
      <c r="A144" s="20"/>
      <c r="B144" s="19"/>
      <c r="C144" s="23"/>
      <c r="D144" s="19"/>
    </row>
    <row r="145" spans="1:4" x14ac:dyDescent="0.3">
      <c r="A145" s="20"/>
      <c r="B145" s="19"/>
      <c r="C145" s="23"/>
      <c r="D145" s="19"/>
    </row>
    <row r="146" spans="1:4" x14ac:dyDescent="0.3">
      <c r="A146" s="20"/>
      <c r="B146" s="19"/>
      <c r="C146" s="23"/>
      <c r="D146" s="19"/>
    </row>
    <row r="147" spans="1:4" x14ac:dyDescent="0.3">
      <c r="A147" s="20"/>
      <c r="B147" s="19"/>
      <c r="C147" s="23"/>
      <c r="D147" s="19"/>
    </row>
    <row r="148" spans="1:4" x14ac:dyDescent="0.3">
      <c r="A148" s="20"/>
      <c r="B148" s="19"/>
      <c r="C148" s="23"/>
      <c r="D148" s="19"/>
    </row>
    <row r="149" spans="1:4" x14ac:dyDescent="0.3">
      <c r="A149" s="20"/>
      <c r="B149" s="19"/>
      <c r="C149" s="23"/>
      <c r="D149" s="19"/>
    </row>
    <row r="150" spans="1:4" x14ac:dyDescent="0.3">
      <c r="A150" s="20"/>
      <c r="B150" s="19"/>
      <c r="C150" s="23"/>
      <c r="D150" s="19"/>
    </row>
    <row r="151" spans="1:4" x14ac:dyDescent="0.3">
      <c r="A151" s="20"/>
      <c r="B151" s="19"/>
      <c r="C151" s="23"/>
      <c r="D151" s="19"/>
    </row>
    <row r="152" spans="1:4" x14ac:dyDescent="0.3">
      <c r="A152" s="20"/>
      <c r="B152" s="19"/>
      <c r="C152" s="23"/>
      <c r="D152" s="19"/>
    </row>
    <row r="153" spans="1:4" x14ac:dyDescent="0.3">
      <c r="A153" s="20"/>
      <c r="B153" s="19"/>
      <c r="C153" s="23"/>
      <c r="D153" s="19"/>
    </row>
    <row r="154" spans="1:4" x14ac:dyDescent="0.3">
      <c r="A154" s="20"/>
      <c r="B154" s="19"/>
      <c r="C154" s="23"/>
      <c r="D154" s="19"/>
    </row>
    <row r="155" spans="1:4" x14ac:dyDescent="0.3">
      <c r="A155" s="20"/>
      <c r="B155" s="19"/>
      <c r="C155" s="23"/>
      <c r="D155" s="19"/>
    </row>
    <row r="156" spans="1:4" x14ac:dyDescent="0.3">
      <c r="A156" s="20"/>
      <c r="B156" s="19"/>
      <c r="C156" s="23"/>
      <c r="D156" s="19"/>
    </row>
    <row r="157" spans="1:4" x14ac:dyDescent="0.3">
      <c r="A157" s="20"/>
      <c r="B157" s="19"/>
      <c r="C157" s="23"/>
      <c r="D157" s="19"/>
    </row>
    <row r="158" spans="1:4" x14ac:dyDescent="0.3">
      <c r="A158" s="20"/>
      <c r="B158" s="19"/>
      <c r="C158" s="23"/>
      <c r="D158" s="19"/>
    </row>
    <row r="159" spans="1:4" x14ac:dyDescent="0.3">
      <c r="A159" s="20"/>
      <c r="B159" s="19"/>
      <c r="C159" s="23"/>
      <c r="D159" s="19"/>
    </row>
    <row r="160" spans="1:4" x14ac:dyDescent="0.3">
      <c r="A160" s="20"/>
      <c r="B160" s="19"/>
      <c r="C160" s="23"/>
      <c r="D160" s="19"/>
    </row>
    <row r="161" spans="1:4" x14ac:dyDescent="0.3">
      <c r="A161" s="20"/>
      <c r="B161" s="19"/>
      <c r="C161" s="23"/>
      <c r="D161" s="19"/>
    </row>
    <row r="162" spans="1:4" x14ac:dyDescent="0.3">
      <c r="A162" s="20"/>
      <c r="B162" s="19"/>
      <c r="C162" s="23"/>
      <c r="D162" s="19"/>
    </row>
    <row r="163" spans="1:4" x14ac:dyDescent="0.3">
      <c r="A163" s="20"/>
      <c r="B163" s="19"/>
      <c r="C163" s="23"/>
      <c r="D163" s="19"/>
    </row>
    <row r="164" spans="1:4" x14ac:dyDescent="0.3">
      <c r="A164" s="20"/>
      <c r="B164" s="19"/>
      <c r="C164" s="23"/>
      <c r="D164" s="19"/>
    </row>
    <row r="165" spans="1:4" x14ac:dyDescent="0.3">
      <c r="A165" s="20"/>
      <c r="B165" s="19"/>
      <c r="C165" s="23"/>
      <c r="D165" s="19"/>
    </row>
    <row r="166" spans="1:4" x14ac:dyDescent="0.3">
      <c r="A166" s="20"/>
      <c r="B166" s="19"/>
      <c r="C166" s="23"/>
      <c r="D166" s="19"/>
    </row>
    <row r="167" spans="1:4" x14ac:dyDescent="0.3">
      <c r="A167" s="20"/>
      <c r="B167" s="19"/>
      <c r="C167" s="23"/>
      <c r="D167" s="19"/>
    </row>
    <row r="168" spans="1:4" x14ac:dyDescent="0.3">
      <c r="A168" s="20"/>
      <c r="B168" s="19"/>
      <c r="C168" s="23"/>
      <c r="D168" s="19"/>
    </row>
    <row r="169" spans="1:4" x14ac:dyDescent="0.3">
      <c r="A169" s="20"/>
      <c r="B169" s="19"/>
      <c r="C169" s="23"/>
      <c r="D169" s="19"/>
    </row>
    <row r="170" spans="1:4" x14ac:dyDescent="0.3">
      <c r="A170" s="20"/>
      <c r="B170" s="19"/>
      <c r="C170" s="23"/>
      <c r="D170" s="19"/>
    </row>
    <row r="171" spans="1:4" x14ac:dyDescent="0.3">
      <c r="A171" s="20"/>
      <c r="B171" s="19"/>
      <c r="C171" s="23"/>
      <c r="D171" s="19"/>
    </row>
    <row r="172" spans="1:4" x14ac:dyDescent="0.3">
      <c r="A172" s="20"/>
      <c r="B172" s="19"/>
      <c r="C172" s="23"/>
      <c r="D172" s="19"/>
    </row>
    <row r="173" spans="1:4" x14ac:dyDescent="0.3">
      <c r="A173" s="20"/>
      <c r="B173" s="19"/>
      <c r="C173" s="23"/>
      <c r="D173" s="19"/>
    </row>
    <row r="174" spans="1:4" x14ac:dyDescent="0.3">
      <c r="A174" s="20"/>
      <c r="B174" s="19"/>
      <c r="C174" s="23"/>
      <c r="D174" s="19"/>
    </row>
    <row r="175" spans="1:4" x14ac:dyDescent="0.3">
      <c r="A175" s="20"/>
      <c r="B175" s="19"/>
      <c r="C175" s="23"/>
      <c r="D175" s="19"/>
    </row>
    <row r="176" spans="1:4" x14ac:dyDescent="0.3">
      <c r="A176" s="20"/>
      <c r="B176" s="19"/>
      <c r="C176" s="23"/>
      <c r="D176" s="19"/>
    </row>
    <row r="177" spans="1:4" x14ac:dyDescent="0.3">
      <c r="A177" s="20"/>
      <c r="B177" s="19"/>
      <c r="C177" s="23"/>
      <c r="D177" s="19"/>
    </row>
    <row r="178" spans="1:4" x14ac:dyDescent="0.3">
      <c r="A178" s="20"/>
      <c r="B178" s="19"/>
      <c r="C178" s="23"/>
      <c r="D178" s="19"/>
    </row>
    <row r="179" spans="1:4" x14ac:dyDescent="0.3">
      <c r="A179" s="20"/>
      <c r="B179" s="19"/>
      <c r="C179" s="23"/>
      <c r="D179" s="19"/>
    </row>
    <row r="180" spans="1:4" x14ac:dyDescent="0.3">
      <c r="A180" s="20"/>
      <c r="B180" s="19"/>
      <c r="C180" s="23"/>
      <c r="D180" s="19"/>
    </row>
    <row r="181" spans="1:4" x14ac:dyDescent="0.3">
      <c r="A181" s="20"/>
      <c r="B181" s="19"/>
      <c r="C181" s="23"/>
      <c r="D181" s="19"/>
    </row>
    <row r="182" spans="1:4" x14ac:dyDescent="0.3">
      <c r="A182" s="20"/>
      <c r="B182" s="19"/>
      <c r="C182" s="23"/>
      <c r="D182" s="19"/>
    </row>
    <row r="183" spans="1:4" x14ac:dyDescent="0.3">
      <c r="A183" s="20"/>
      <c r="B183" s="19"/>
      <c r="C183" s="23"/>
      <c r="D183" s="19"/>
    </row>
    <row r="184" spans="1:4" x14ac:dyDescent="0.3">
      <c r="A184" s="20"/>
      <c r="B184" s="19"/>
      <c r="C184" s="23"/>
      <c r="D184" s="19"/>
    </row>
    <row r="185" spans="1:4" x14ac:dyDescent="0.3">
      <c r="A185" s="20"/>
      <c r="B185" s="19"/>
      <c r="C185" s="23"/>
      <c r="D185" s="19"/>
    </row>
    <row r="186" spans="1:4" x14ac:dyDescent="0.3">
      <c r="A186" s="20"/>
      <c r="B186" s="19"/>
      <c r="C186" s="23"/>
      <c r="D186" s="19"/>
    </row>
    <row r="187" spans="1:4" x14ac:dyDescent="0.3">
      <c r="A187" s="20"/>
      <c r="B187" s="19"/>
      <c r="C187" s="23"/>
      <c r="D187" s="19"/>
    </row>
    <row r="188" spans="1:4" x14ac:dyDescent="0.3">
      <c r="A188" s="20"/>
      <c r="B188" s="19"/>
      <c r="C188" s="23"/>
      <c r="D188" s="19"/>
    </row>
    <row r="189" spans="1:4" x14ac:dyDescent="0.3">
      <c r="A189" s="20"/>
      <c r="B189" s="19"/>
      <c r="C189" s="23"/>
      <c r="D189" s="19"/>
    </row>
    <row r="190" spans="1:4" x14ac:dyDescent="0.3">
      <c r="A190" s="20"/>
      <c r="B190" s="19"/>
      <c r="C190" s="23"/>
      <c r="D190" s="19"/>
    </row>
    <row r="191" spans="1:4" x14ac:dyDescent="0.3">
      <c r="A191" s="20"/>
      <c r="B191" s="19"/>
      <c r="C191" s="23"/>
      <c r="D191" s="19"/>
    </row>
    <row r="192" spans="1:4" x14ac:dyDescent="0.3">
      <c r="A192" s="20"/>
      <c r="B192" s="19"/>
      <c r="C192" s="23"/>
      <c r="D192" s="19"/>
    </row>
    <row r="193" spans="1:4" x14ac:dyDescent="0.3">
      <c r="A193" s="20"/>
      <c r="B193" s="19"/>
      <c r="C193" s="23"/>
      <c r="D193" s="19"/>
    </row>
    <row r="194" spans="1:4" x14ac:dyDescent="0.3">
      <c r="A194" s="20"/>
      <c r="B194" s="19"/>
      <c r="C194" s="23"/>
      <c r="D194" s="19"/>
    </row>
    <row r="195" spans="1:4" x14ac:dyDescent="0.3">
      <c r="A195" s="20"/>
      <c r="B195" s="19"/>
      <c r="C195" s="23"/>
      <c r="D195" s="19"/>
    </row>
    <row r="196" spans="1:4" x14ac:dyDescent="0.3">
      <c r="A196" s="20"/>
      <c r="B196" s="19"/>
      <c r="C196" s="23"/>
      <c r="D196" s="19"/>
    </row>
    <row r="197" spans="1:4" x14ac:dyDescent="0.3">
      <c r="A197" s="20"/>
      <c r="B197" s="19"/>
      <c r="C197" s="23"/>
      <c r="D197" s="19"/>
    </row>
    <row r="198" spans="1:4" x14ac:dyDescent="0.3">
      <c r="A198" s="20"/>
      <c r="B198" s="19"/>
      <c r="C198" s="23"/>
      <c r="D198" s="19"/>
    </row>
    <row r="199" spans="1:4" x14ac:dyDescent="0.3">
      <c r="A199" s="20"/>
      <c r="B199" s="19"/>
      <c r="C199" s="23"/>
      <c r="D199" s="19"/>
    </row>
    <row r="200" spans="1:4" x14ac:dyDescent="0.3">
      <c r="A200" s="20"/>
      <c r="B200" s="19"/>
      <c r="C200" s="23"/>
      <c r="D200" s="19"/>
    </row>
    <row r="201" spans="1:4" x14ac:dyDescent="0.3">
      <c r="A201" s="20"/>
      <c r="B201" s="19"/>
      <c r="C201" s="23"/>
      <c r="D201" s="19"/>
    </row>
    <row r="202" spans="1:4" x14ac:dyDescent="0.3">
      <c r="A202" s="20"/>
      <c r="B202" s="19"/>
      <c r="C202" s="23"/>
      <c r="D202" s="19"/>
    </row>
    <row r="203" spans="1:4" x14ac:dyDescent="0.3">
      <c r="A203" s="20"/>
      <c r="B203" s="19"/>
      <c r="C203" s="23"/>
      <c r="D203" s="19"/>
    </row>
    <row r="204" spans="1:4" x14ac:dyDescent="0.3">
      <c r="A204" s="20"/>
      <c r="B204" s="19"/>
      <c r="C204" s="23"/>
      <c r="D204" s="19"/>
    </row>
    <row r="205" spans="1:4" x14ac:dyDescent="0.3">
      <c r="A205" s="20"/>
      <c r="B205" s="19"/>
      <c r="C205" s="23"/>
      <c r="D205" s="19"/>
    </row>
    <row r="206" spans="1:4" x14ac:dyDescent="0.3">
      <c r="A206" s="20"/>
      <c r="B206" s="19"/>
      <c r="C206" s="23"/>
      <c r="D206" s="19"/>
    </row>
    <row r="207" spans="1:4" x14ac:dyDescent="0.3">
      <c r="A207" s="20"/>
      <c r="B207" s="19"/>
      <c r="C207" s="23"/>
      <c r="D207" s="19"/>
    </row>
    <row r="208" spans="1:4" x14ac:dyDescent="0.3">
      <c r="A208" s="20"/>
      <c r="B208" s="19"/>
      <c r="C208" s="23"/>
      <c r="D208" s="19"/>
    </row>
    <row r="209" spans="1:4" x14ac:dyDescent="0.3">
      <c r="A209" s="20"/>
      <c r="B209" s="19"/>
      <c r="C209" s="23"/>
      <c r="D209" s="19"/>
    </row>
    <row r="210" spans="1:4" x14ac:dyDescent="0.3">
      <c r="A210" s="20"/>
      <c r="B210" s="19"/>
      <c r="C210" s="23"/>
      <c r="D210" s="19"/>
    </row>
    <row r="211" spans="1:4" x14ac:dyDescent="0.3">
      <c r="A211" s="20"/>
      <c r="B211" s="19"/>
      <c r="C211" s="23"/>
      <c r="D211" s="19"/>
    </row>
    <row r="212" spans="1:4" x14ac:dyDescent="0.3">
      <c r="A212" s="20"/>
      <c r="B212" s="19"/>
      <c r="C212" s="23"/>
      <c r="D212" s="19"/>
    </row>
    <row r="213" spans="1:4" x14ac:dyDescent="0.3">
      <c r="A213" s="20"/>
      <c r="B213" s="19"/>
      <c r="C213" s="23"/>
      <c r="D213" s="19"/>
    </row>
    <row r="214" spans="1:4" x14ac:dyDescent="0.3">
      <c r="A214" s="20"/>
      <c r="B214" s="19"/>
      <c r="C214" s="23"/>
      <c r="D214" s="19"/>
    </row>
    <row r="215" spans="1:4" x14ac:dyDescent="0.3">
      <c r="A215" s="20"/>
      <c r="B215" s="19"/>
      <c r="C215" s="23"/>
      <c r="D215" s="19"/>
    </row>
    <row r="216" spans="1:4" x14ac:dyDescent="0.3">
      <c r="A216" s="20"/>
      <c r="B216" s="19"/>
      <c r="C216" s="23"/>
      <c r="D216" s="19"/>
    </row>
    <row r="217" spans="1:4" x14ac:dyDescent="0.3">
      <c r="A217" s="20"/>
      <c r="B217" s="19"/>
      <c r="C217" s="23"/>
      <c r="D217" s="19"/>
    </row>
    <row r="218" spans="1:4" x14ac:dyDescent="0.3">
      <c r="A218" s="20"/>
      <c r="B218" s="19"/>
      <c r="C218" s="23"/>
      <c r="D218" s="19"/>
    </row>
    <row r="219" spans="1:4" x14ac:dyDescent="0.3">
      <c r="A219" s="20"/>
      <c r="B219" s="19"/>
      <c r="C219" s="23"/>
      <c r="D219" s="19"/>
    </row>
    <row r="220" spans="1:4" x14ac:dyDescent="0.3">
      <c r="A220" s="20"/>
      <c r="B220" s="19"/>
      <c r="C220" s="23"/>
      <c r="D220" s="19"/>
    </row>
    <row r="221" spans="1:4" x14ac:dyDescent="0.3">
      <c r="A221" s="20"/>
      <c r="B221" s="19"/>
      <c r="C221" s="23"/>
      <c r="D221" s="19"/>
    </row>
    <row r="222" spans="1:4" x14ac:dyDescent="0.3">
      <c r="A222" s="20"/>
      <c r="B222" s="19"/>
      <c r="C222" s="23"/>
      <c r="D222" s="19"/>
    </row>
    <row r="223" spans="1:4" x14ac:dyDescent="0.3">
      <c r="A223" s="20"/>
      <c r="B223" s="19"/>
      <c r="C223" s="23"/>
      <c r="D223" s="19"/>
    </row>
    <row r="224" spans="1:4" x14ac:dyDescent="0.3">
      <c r="A224" s="20"/>
      <c r="B224" s="19"/>
      <c r="C224" s="23"/>
      <c r="D224" s="19"/>
    </row>
    <row r="225" spans="1:4" x14ac:dyDescent="0.3">
      <c r="A225" s="20"/>
      <c r="B225" s="19"/>
      <c r="C225" s="23"/>
      <c r="D225" s="19"/>
    </row>
    <row r="226" spans="1:4" x14ac:dyDescent="0.3">
      <c r="A226" s="20"/>
      <c r="B226" s="19"/>
      <c r="C226" s="23"/>
      <c r="D226" s="19"/>
    </row>
    <row r="227" spans="1:4" x14ac:dyDescent="0.3">
      <c r="A227" s="20"/>
      <c r="B227" s="19"/>
      <c r="C227" s="23"/>
      <c r="D227" s="19"/>
    </row>
    <row r="228" spans="1:4" x14ac:dyDescent="0.3">
      <c r="A228" s="20"/>
      <c r="B228" s="19"/>
      <c r="C228" s="23"/>
      <c r="D228" s="19"/>
    </row>
    <row r="229" spans="1:4" x14ac:dyDescent="0.3">
      <c r="A229" s="20"/>
      <c r="B229" s="19"/>
      <c r="C229" s="23"/>
      <c r="D229" s="19"/>
    </row>
    <row r="230" spans="1:4" x14ac:dyDescent="0.3">
      <c r="A230" s="20"/>
      <c r="B230" s="19"/>
      <c r="C230" s="23"/>
      <c r="D230" s="19"/>
    </row>
    <row r="231" spans="1:4" x14ac:dyDescent="0.3">
      <c r="A231" s="20"/>
      <c r="B231" s="19"/>
      <c r="C231" s="23"/>
      <c r="D231" s="19"/>
    </row>
    <row r="232" spans="1:4" x14ac:dyDescent="0.3">
      <c r="A232" s="20"/>
      <c r="B232" s="19"/>
      <c r="C232" s="23"/>
      <c r="D232" s="19"/>
    </row>
    <row r="233" spans="1:4" x14ac:dyDescent="0.3">
      <c r="A233" s="20"/>
      <c r="B233" s="19"/>
      <c r="C233" s="23"/>
      <c r="D233" s="19"/>
    </row>
    <row r="234" spans="1:4" x14ac:dyDescent="0.3">
      <c r="A234" s="20"/>
      <c r="B234" s="19"/>
      <c r="C234" s="23"/>
      <c r="D234" s="19"/>
    </row>
    <row r="235" spans="1:4" x14ac:dyDescent="0.3">
      <c r="A235" s="20"/>
      <c r="B235" s="19"/>
      <c r="C235" s="23"/>
      <c r="D235" s="19"/>
    </row>
    <row r="236" spans="1:4" x14ac:dyDescent="0.3">
      <c r="A236" s="20"/>
      <c r="B236" s="19"/>
      <c r="C236" s="23"/>
      <c r="D236" s="19"/>
    </row>
    <row r="237" spans="1:4" x14ac:dyDescent="0.3">
      <c r="A237" s="20"/>
      <c r="B237" s="19"/>
      <c r="C237" s="23"/>
      <c r="D237" s="19"/>
    </row>
    <row r="238" spans="1:4" x14ac:dyDescent="0.3">
      <c r="A238" s="20"/>
      <c r="B238" s="19"/>
      <c r="C238" s="23"/>
      <c r="D238" s="19"/>
    </row>
    <row r="239" spans="1:4" x14ac:dyDescent="0.3">
      <c r="A239" s="20"/>
      <c r="B239" s="19"/>
      <c r="C239" s="23"/>
      <c r="D239" s="19"/>
    </row>
    <row r="240" spans="1:4" x14ac:dyDescent="0.3">
      <c r="A240" s="20"/>
      <c r="B240" s="19"/>
      <c r="C240" s="23"/>
      <c r="D240" s="19"/>
    </row>
    <row r="241" spans="1:4" x14ac:dyDescent="0.3">
      <c r="A241" s="20"/>
      <c r="B241" s="19"/>
      <c r="C241" s="23"/>
      <c r="D241" s="19"/>
    </row>
    <row r="242" spans="1:4" x14ac:dyDescent="0.3">
      <c r="A242" s="20"/>
      <c r="B242" s="19"/>
      <c r="C242" s="23"/>
      <c r="D242" s="19"/>
    </row>
    <row r="243" spans="1:4" x14ac:dyDescent="0.3">
      <c r="A243" s="20"/>
      <c r="B243" s="19"/>
      <c r="C243" s="23"/>
      <c r="D243" s="19"/>
    </row>
    <row r="244" spans="1:4" x14ac:dyDescent="0.3">
      <c r="A244" s="20"/>
      <c r="B244" s="19"/>
      <c r="C244" s="23"/>
      <c r="D244" s="19"/>
    </row>
    <row r="245" spans="1:4" x14ac:dyDescent="0.3">
      <c r="A245" s="20"/>
      <c r="B245" s="19"/>
      <c r="C245" s="23"/>
      <c r="D245" s="19"/>
    </row>
    <row r="246" spans="1:4" x14ac:dyDescent="0.3">
      <c r="A246" s="20"/>
      <c r="B246" s="19"/>
      <c r="C246" s="23"/>
      <c r="D246" s="19"/>
    </row>
    <row r="247" spans="1:4" x14ac:dyDescent="0.3">
      <c r="A247" s="20"/>
      <c r="B247" s="19"/>
      <c r="C247" s="23"/>
      <c r="D247" s="19"/>
    </row>
    <row r="248" spans="1:4" x14ac:dyDescent="0.3">
      <c r="A248" s="20"/>
      <c r="B248" s="19"/>
      <c r="C248" s="23"/>
      <c r="D248" s="19"/>
    </row>
    <row r="249" spans="1:4" x14ac:dyDescent="0.3">
      <c r="A249" s="20"/>
      <c r="B249" s="19"/>
      <c r="C249" s="23"/>
      <c r="D249" s="19"/>
    </row>
    <row r="250" spans="1:4" x14ac:dyDescent="0.3">
      <c r="A250" s="20"/>
      <c r="B250" s="19"/>
      <c r="C250" s="23"/>
      <c r="D250" s="19"/>
    </row>
    <row r="251" spans="1:4" x14ac:dyDescent="0.3">
      <c r="A251" s="20"/>
      <c r="B251" s="19"/>
      <c r="C251" s="23"/>
      <c r="D251" s="19"/>
    </row>
    <row r="252" spans="1:4" x14ac:dyDescent="0.3">
      <c r="A252" s="20"/>
      <c r="B252" s="19"/>
      <c r="C252" s="23"/>
      <c r="D252" s="19"/>
    </row>
    <row r="253" spans="1:4" x14ac:dyDescent="0.3">
      <c r="A253" s="20"/>
      <c r="B253" s="19"/>
      <c r="C253" s="23"/>
      <c r="D253" s="19"/>
    </row>
    <row r="254" spans="1:4" x14ac:dyDescent="0.3">
      <c r="A254" s="20"/>
      <c r="B254" s="19"/>
      <c r="C254" s="23"/>
      <c r="D254" s="19"/>
    </row>
    <row r="255" spans="1:4" x14ac:dyDescent="0.3">
      <c r="A255" s="20"/>
      <c r="B255" s="19"/>
      <c r="C255" s="23"/>
      <c r="D255" s="19"/>
    </row>
    <row r="256" spans="1:4" x14ac:dyDescent="0.3">
      <c r="A256" s="20"/>
      <c r="B256" s="19"/>
      <c r="C256" s="23"/>
      <c r="D256" s="19"/>
    </row>
    <row r="257" spans="1:4" x14ac:dyDescent="0.3">
      <c r="A257" s="20"/>
      <c r="B257" s="19"/>
      <c r="C257" s="23"/>
      <c r="D257" s="19"/>
    </row>
    <row r="258" spans="1:4" x14ac:dyDescent="0.3">
      <c r="A258" s="20"/>
      <c r="B258" s="19"/>
      <c r="C258" s="23"/>
      <c r="D258" s="19"/>
    </row>
    <row r="259" spans="1:4" x14ac:dyDescent="0.3">
      <c r="A259" s="20"/>
      <c r="B259" s="19"/>
      <c r="C259" s="23"/>
      <c r="D259" s="19"/>
    </row>
    <row r="260" spans="1:4" x14ac:dyDescent="0.3">
      <c r="A260" s="20"/>
      <c r="B260" s="19"/>
      <c r="C260" s="23"/>
      <c r="D260" s="19"/>
    </row>
    <row r="261" spans="1:4" x14ac:dyDescent="0.3">
      <c r="A261" s="20"/>
      <c r="B261" s="19"/>
      <c r="C261" s="23"/>
      <c r="D261" s="19"/>
    </row>
    <row r="262" spans="1:4" x14ac:dyDescent="0.3">
      <c r="A262" s="20"/>
      <c r="B262" s="19"/>
      <c r="C262" s="23"/>
      <c r="D262" s="19"/>
    </row>
    <row r="263" spans="1:4" x14ac:dyDescent="0.3">
      <c r="A263" s="20"/>
      <c r="B263" s="19"/>
      <c r="C263" s="23"/>
      <c r="D263" s="19"/>
    </row>
    <row r="264" spans="1:4" x14ac:dyDescent="0.3">
      <c r="A264" s="20"/>
      <c r="B264" s="19"/>
      <c r="C264" s="23"/>
      <c r="D264" s="19"/>
    </row>
    <row r="265" spans="1:4" x14ac:dyDescent="0.3">
      <c r="A265" s="20"/>
      <c r="B265" s="19"/>
      <c r="C265" s="23"/>
      <c r="D265" s="19"/>
    </row>
    <row r="266" spans="1:4" x14ac:dyDescent="0.3">
      <c r="A266" s="20"/>
      <c r="B266" s="19"/>
      <c r="C266" s="23"/>
      <c r="D266" s="19"/>
    </row>
    <row r="267" spans="1:4" x14ac:dyDescent="0.3">
      <c r="A267" s="20"/>
      <c r="B267" s="19"/>
      <c r="C267" s="23"/>
      <c r="D267" s="19"/>
    </row>
    <row r="268" spans="1:4" x14ac:dyDescent="0.3">
      <c r="A268" s="20"/>
      <c r="B268" s="19"/>
      <c r="C268" s="23"/>
      <c r="D268" s="19"/>
    </row>
    <row r="269" spans="1:4" x14ac:dyDescent="0.3">
      <c r="A269" s="20"/>
      <c r="B269" s="19"/>
      <c r="C269" s="23"/>
      <c r="D269" s="19"/>
    </row>
    <row r="270" spans="1:4" x14ac:dyDescent="0.3">
      <c r="A270" s="20"/>
      <c r="B270" s="19"/>
      <c r="C270" s="23"/>
      <c r="D270" s="19"/>
    </row>
    <row r="271" spans="1:4" x14ac:dyDescent="0.3">
      <c r="A271" s="20"/>
      <c r="B271" s="19"/>
      <c r="C271" s="23"/>
      <c r="D271" s="19"/>
    </row>
    <row r="272" spans="1:4" x14ac:dyDescent="0.3">
      <c r="A272" s="20"/>
      <c r="B272" s="19"/>
      <c r="C272" s="23"/>
      <c r="D272" s="19"/>
    </row>
    <row r="273" spans="1:4" x14ac:dyDescent="0.3">
      <c r="A273" s="20"/>
      <c r="B273" s="19"/>
      <c r="C273" s="23"/>
      <c r="D273" s="19"/>
    </row>
    <row r="274" spans="1:4" x14ac:dyDescent="0.3">
      <c r="A274" s="20"/>
      <c r="B274" s="19"/>
      <c r="C274" s="23"/>
      <c r="D274" s="19"/>
    </row>
    <row r="275" spans="1:4" x14ac:dyDescent="0.3">
      <c r="A275" s="20"/>
      <c r="B275" s="19"/>
      <c r="C275" s="23"/>
      <c r="D275" s="19"/>
    </row>
    <row r="276" spans="1:4" x14ac:dyDescent="0.3">
      <c r="A276" s="20"/>
      <c r="B276" s="19"/>
      <c r="C276" s="23"/>
      <c r="D276" s="19"/>
    </row>
    <row r="277" spans="1:4" x14ac:dyDescent="0.3">
      <c r="A277" s="20"/>
      <c r="B277" s="19"/>
      <c r="C277" s="23"/>
      <c r="D277" s="19"/>
    </row>
    <row r="278" spans="1:4" x14ac:dyDescent="0.3">
      <c r="A278" s="20"/>
      <c r="B278" s="19"/>
      <c r="C278" s="23"/>
      <c r="D278" s="19"/>
    </row>
    <row r="279" spans="1:4" x14ac:dyDescent="0.3">
      <c r="A279" s="20"/>
      <c r="B279" s="19"/>
      <c r="C279" s="23"/>
      <c r="D279" s="19"/>
    </row>
    <row r="280" spans="1:4" x14ac:dyDescent="0.3">
      <c r="A280" s="20"/>
      <c r="B280" s="19"/>
      <c r="C280" s="23"/>
      <c r="D280" s="19"/>
    </row>
    <row r="281" spans="1:4" x14ac:dyDescent="0.3">
      <c r="A281" s="20"/>
      <c r="B281" s="19"/>
      <c r="C281" s="23"/>
      <c r="D281" s="19"/>
    </row>
    <row r="282" spans="1:4" x14ac:dyDescent="0.3">
      <c r="A282" s="20"/>
      <c r="B282" s="19"/>
      <c r="C282" s="23"/>
      <c r="D282" s="19"/>
    </row>
    <row r="283" spans="1:4" x14ac:dyDescent="0.3">
      <c r="A283" s="20"/>
      <c r="B283" s="19"/>
      <c r="C283" s="23"/>
      <c r="D283" s="19"/>
    </row>
    <row r="284" spans="1:4" x14ac:dyDescent="0.3">
      <c r="A284" s="20"/>
      <c r="B284" s="19"/>
      <c r="C284" s="23"/>
      <c r="D284" s="19"/>
    </row>
    <row r="285" spans="1:4" x14ac:dyDescent="0.3">
      <c r="A285" s="20"/>
      <c r="B285" s="19"/>
      <c r="C285" s="23"/>
      <c r="D285" s="19"/>
    </row>
    <row r="286" spans="1:4" x14ac:dyDescent="0.3">
      <c r="A286" s="20"/>
      <c r="B286" s="19"/>
      <c r="C286" s="23"/>
      <c r="D286" s="19"/>
    </row>
    <row r="287" spans="1:4" x14ac:dyDescent="0.3">
      <c r="A287" s="20"/>
      <c r="B287" s="19"/>
      <c r="C287" s="23"/>
      <c r="D287" s="19"/>
    </row>
    <row r="288" spans="1:4" x14ac:dyDescent="0.3">
      <c r="A288" s="20"/>
      <c r="B288" s="19"/>
      <c r="C288" s="23"/>
      <c r="D288" s="19"/>
    </row>
    <row r="289" spans="1:4" x14ac:dyDescent="0.3">
      <c r="A289" s="20"/>
      <c r="B289" s="19"/>
      <c r="C289" s="23"/>
      <c r="D289" s="19"/>
    </row>
    <row r="290" spans="1:4" x14ac:dyDescent="0.3">
      <c r="A290" s="20"/>
      <c r="B290" s="19"/>
      <c r="C290" s="23"/>
      <c r="D290" s="19"/>
    </row>
    <row r="291" spans="1:4" x14ac:dyDescent="0.3">
      <c r="A291" s="20"/>
      <c r="B291" s="19"/>
      <c r="C291" s="23"/>
      <c r="D291" s="19"/>
    </row>
    <row r="292" spans="1:4" x14ac:dyDescent="0.3">
      <c r="A292" s="20"/>
      <c r="B292" s="19"/>
      <c r="C292" s="23"/>
      <c r="D292" s="19"/>
    </row>
    <row r="293" spans="1:4" x14ac:dyDescent="0.3">
      <c r="A293" s="20"/>
      <c r="B293" s="19"/>
      <c r="C293" s="23"/>
      <c r="D293" s="19"/>
    </row>
    <row r="294" spans="1:4" x14ac:dyDescent="0.3">
      <c r="A294" s="20"/>
      <c r="B294" s="19"/>
      <c r="C294" s="23"/>
      <c r="D294" s="19"/>
    </row>
    <row r="295" spans="1:4" x14ac:dyDescent="0.3">
      <c r="A295" s="20"/>
      <c r="B295" s="19"/>
      <c r="C295" s="23"/>
      <c r="D295" s="19"/>
    </row>
    <row r="296" spans="1:4" x14ac:dyDescent="0.3">
      <c r="A296" s="20"/>
      <c r="B296" s="19"/>
      <c r="C296" s="23"/>
      <c r="D296" s="19"/>
    </row>
    <row r="297" spans="1:4" x14ac:dyDescent="0.3">
      <c r="A297" s="20"/>
      <c r="B297" s="19"/>
      <c r="C297" s="23"/>
      <c r="D297" s="19"/>
    </row>
    <row r="298" spans="1:4" x14ac:dyDescent="0.3">
      <c r="A298" s="20"/>
      <c r="B298" s="19"/>
      <c r="C298" s="23"/>
      <c r="D298" s="19"/>
    </row>
    <row r="299" spans="1:4" x14ac:dyDescent="0.3">
      <c r="A299" s="20"/>
      <c r="B299" s="19"/>
      <c r="C299" s="23"/>
      <c r="D299" s="19"/>
    </row>
    <row r="300" spans="1:4" x14ac:dyDescent="0.3">
      <c r="A300" s="20"/>
      <c r="B300" s="19"/>
      <c r="C300" s="23"/>
      <c r="D300" s="19"/>
    </row>
    <row r="301" spans="1:4" x14ac:dyDescent="0.3">
      <c r="A301" s="20"/>
      <c r="B301" s="19"/>
      <c r="C301" s="23"/>
      <c r="D301" s="19"/>
    </row>
    <row r="302" spans="1:4" x14ac:dyDescent="0.3">
      <c r="A302" s="20"/>
      <c r="B302" s="19"/>
      <c r="C302" s="23"/>
      <c r="D302" s="19"/>
    </row>
    <row r="303" spans="1:4" x14ac:dyDescent="0.3">
      <c r="A303" s="20"/>
      <c r="B303" s="19"/>
      <c r="C303" s="23"/>
      <c r="D303" s="19"/>
    </row>
    <row r="304" spans="1:4" x14ac:dyDescent="0.3">
      <c r="A304" s="20"/>
      <c r="B304" s="19"/>
      <c r="C304" s="23"/>
      <c r="D304" s="19"/>
    </row>
    <row r="305" spans="1:4" x14ac:dyDescent="0.3">
      <c r="A305" s="20"/>
      <c r="B305" s="19"/>
      <c r="C305" s="23"/>
      <c r="D305" s="19"/>
    </row>
    <row r="306" spans="1:4" x14ac:dyDescent="0.3">
      <c r="A306" s="20"/>
      <c r="B306" s="19"/>
      <c r="C306" s="23"/>
      <c r="D306" s="19"/>
    </row>
    <row r="307" spans="1:4" x14ac:dyDescent="0.3">
      <c r="A307" s="20"/>
      <c r="B307" s="19"/>
      <c r="C307" s="23"/>
      <c r="D307" s="19"/>
    </row>
    <row r="308" spans="1:4" x14ac:dyDescent="0.3">
      <c r="A308" s="20"/>
      <c r="B308" s="19"/>
      <c r="C308" s="23"/>
      <c r="D308" s="19"/>
    </row>
    <row r="309" spans="1:4" x14ac:dyDescent="0.3">
      <c r="A309" s="20"/>
      <c r="B309" s="19"/>
      <c r="C309" s="23"/>
      <c r="D309" s="19"/>
    </row>
    <row r="310" spans="1:4" x14ac:dyDescent="0.3">
      <c r="A310" s="20"/>
      <c r="B310" s="19"/>
      <c r="C310" s="23"/>
      <c r="D310" s="19"/>
    </row>
    <row r="311" spans="1:4" x14ac:dyDescent="0.3">
      <c r="A311" s="20"/>
      <c r="B311" s="19"/>
      <c r="C311" s="23"/>
      <c r="D311" s="19"/>
    </row>
    <row r="312" spans="1:4" x14ac:dyDescent="0.3">
      <c r="A312" s="20"/>
      <c r="B312" s="19"/>
      <c r="C312" s="23"/>
      <c r="D312" s="19"/>
    </row>
    <row r="313" spans="1:4" x14ac:dyDescent="0.3">
      <c r="A313" s="20"/>
      <c r="B313" s="19"/>
      <c r="C313" s="23"/>
      <c r="D313" s="19"/>
    </row>
    <row r="314" spans="1:4" x14ac:dyDescent="0.3">
      <c r="A314" s="20"/>
      <c r="B314" s="19"/>
      <c r="C314" s="23"/>
      <c r="D314" s="19"/>
    </row>
    <row r="315" spans="1:4" x14ac:dyDescent="0.3">
      <c r="A315" s="20"/>
      <c r="B315" s="19"/>
      <c r="C315" s="23"/>
      <c r="D315" s="19"/>
    </row>
    <row r="316" spans="1:4" x14ac:dyDescent="0.3">
      <c r="A316" s="20"/>
      <c r="B316" s="19"/>
      <c r="C316" s="23"/>
      <c r="D316" s="19"/>
    </row>
    <row r="317" spans="1:4" x14ac:dyDescent="0.3">
      <c r="A317" s="20"/>
      <c r="B317" s="19"/>
      <c r="C317" s="23"/>
      <c r="D317" s="19"/>
    </row>
    <row r="318" spans="1:4" x14ac:dyDescent="0.3">
      <c r="A318" s="20"/>
      <c r="B318" s="19"/>
      <c r="C318" s="23"/>
      <c r="D318" s="19"/>
    </row>
    <row r="319" spans="1:4" x14ac:dyDescent="0.3">
      <c r="A319" s="20"/>
      <c r="B319" s="19"/>
      <c r="C319" s="23"/>
      <c r="D319" s="19"/>
    </row>
    <row r="320" spans="1:4" x14ac:dyDescent="0.3">
      <c r="A320" s="20"/>
      <c r="B320" s="19"/>
      <c r="C320" s="23"/>
      <c r="D320" s="19"/>
    </row>
    <row r="321" spans="1:4" x14ac:dyDescent="0.3">
      <c r="A321" s="20"/>
      <c r="B321" s="19"/>
      <c r="C321" s="23"/>
      <c r="D321" s="19"/>
    </row>
    <row r="322" spans="1:4" x14ac:dyDescent="0.3">
      <c r="A322" s="20"/>
      <c r="B322" s="19"/>
      <c r="C322" s="23"/>
      <c r="D322" s="19"/>
    </row>
    <row r="323" spans="1:4" x14ac:dyDescent="0.3">
      <c r="A323" s="20"/>
      <c r="B323" s="19"/>
      <c r="C323" s="23"/>
      <c r="D323" s="19"/>
    </row>
    <row r="324" spans="1:4" x14ac:dyDescent="0.3">
      <c r="A324" s="20"/>
      <c r="B324" s="19"/>
      <c r="C324" s="23"/>
      <c r="D324" s="19"/>
    </row>
    <row r="325" spans="1:4" x14ac:dyDescent="0.3">
      <c r="A325" s="20"/>
      <c r="B325" s="19"/>
      <c r="C325" s="23"/>
      <c r="D325" s="19"/>
    </row>
    <row r="326" spans="1:4" x14ac:dyDescent="0.3">
      <c r="A326" s="20"/>
      <c r="B326" s="19"/>
      <c r="C326" s="23"/>
      <c r="D326" s="19"/>
    </row>
    <row r="327" spans="1:4" x14ac:dyDescent="0.3">
      <c r="A327" s="20"/>
      <c r="B327" s="19"/>
      <c r="C327" s="23"/>
      <c r="D327" s="19"/>
    </row>
    <row r="328" spans="1:4" x14ac:dyDescent="0.3">
      <c r="A328" s="20"/>
      <c r="B328" s="19"/>
      <c r="C328" s="23"/>
      <c r="D328" s="19"/>
    </row>
    <row r="329" spans="1:4" x14ac:dyDescent="0.3">
      <c r="A329" s="20"/>
      <c r="B329" s="19"/>
      <c r="C329" s="23"/>
      <c r="D329" s="19"/>
    </row>
    <row r="330" spans="1:4" x14ac:dyDescent="0.3">
      <c r="A330" s="20"/>
      <c r="B330" s="19"/>
      <c r="C330" s="23"/>
      <c r="D330" s="19"/>
    </row>
    <row r="331" spans="1:4" x14ac:dyDescent="0.3">
      <c r="A331" s="20"/>
      <c r="B331" s="19"/>
      <c r="C331" s="23"/>
      <c r="D331" s="19"/>
    </row>
    <row r="332" spans="1:4" x14ac:dyDescent="0.3">
      <c r="A332" s="20"/>
      <c r="B332" s="19"/>
      <c r="C332" s="23"/>
      <c r="D332" s="19"/>
    </row>
    <row r="333" spans="1:4" x14ac:dyDescent="0.3">
      <c r="A333" s="20"/>
      <c r="B333" s="19"/>
      <c r="C333" s="23"/>
      <c r="D333" s="19"/>
    </row>
    <row r="334" spans="1:4" x14ac:dyDescent="0.3">
      <c r="A334" s="20"/>
      <c r="B334" s="19"/>
      <c r="C334" s="23"/>
      <c r="D334" s="19"/>
    </row>
    <row r="335" spans="1:4" x14ac:dyDescent="0.3">
      <c r="A335" s="20"/>
      <c r="B335" s="19"/>
      <c r="C335" s="23"/>
      <c r="D335" s="19"/>
    </row>
    <row r="336" spans="1:4" x14ac:dyDescent="0.3">
      <c r="A336" s="20"/>
      <c r="B336" s="19"/>
      <c r="C336" s="23"/>
      <c r="D336" s="19"/>
    </row>
    <row r="337" spans="1:4" x14ac:dyDescent="0.3">
      <c r="A337" s="20"/>
      <c r="B337" s="19"/>
      <c r="C337" s="23"/>
      <c r="D337" s="19"/>
    </row>
    <row r="338" spans="1:4" x14ac:dyDescent="0.3">
      <c r="A338" s="20"/>
      <c r="B338" s="19"/>
      <c r="C338" s="23"/>
      <c r="D338" s="19"/>
    </row>
    <row r="339" spans="1:4" x14ac:dyDescent="0.3">
      <c r="A339" s="20"/>
      <c r="B339" s="19"/>
      <c r="C339" s="23"/>
      <c r="D339" s="19"/>
    </row>
    <row r="340" spans="1:4" x14ac:dyDescent="0.3">
      <c r="A340" s="20"/>
      <c r="B340" s="19"/>
      <c r="C340" s="23"/>
      <c r="D340" s="19"/>
    </row>
    <row r="341" spans="1:4" x14ac:dyDescent="0.3">
      <c r="A341" s="20"/>
      <c r="B341" s="19"/>
      <c r="C341" s="23"/>
      <c r="D341" s="19"/>
    </row>
    <row r="342" spans="1:4" x14ac:dyDescent="0.3">
      <c r="A342" s="20"/>
      <c r="B342" s="19"/>
      <c r="C342" s="23"/>
      <c r="D342" s="19"/>
    </row>
    <row r="343" spans="1:4" x14ac:dyDescent="0.3">
      <c r="A343" s="20"/>
      <c r="B343" s="19"/>
      <c r="C343" s="23"/>
      <c r="D343" s="19"/>
    </row>
    <row r="344" spans="1:4" x14ac:dyDescent="0.3">
      <c r="A344" s="20"/>
      <c r="B344" s="19"/>
      <c r="C344" s="23"/>
      <c r="D344" s="19"/>
    </row>
    <row r="345" spans="1:4" x14ac:dyDescent="0.3">
      <c r="A345" s="20"/>
      <c r="B345" s="19"/>
      <c r="C345" s="23"/>
      <c r="D345" s="19"/>
    </row>
    <row r="346" spans="1:4" x14ac:dyDescent="0.3">
      <c r="A346" s="20"/>
      <c r="B346" s="19"/>
      <c r="C346" s="23"/>
      <c r="D346" s="19"/>
    </row>
    <row r="347" spans="1:4" x14ac:dyDescent="0.3">
      <c r="A347" s="20"/>
      <c r="B347" s="19"/>
      <c r="C347" s="23"/>
      <c r="D347" s="19"/>
    </row>
    <row r="348" spans="1:4" x14ac:dyDescent="0.3">
      <c r="A348" s="20"/>
      <c r="B348" s="19"/>
      <c r="C348" s="23"/>
      <c r="D348" s="19"/>
    </row>
    <row r="349" spans="1:4" x14ac:dyDescent="0.3">
      <c r="A349" s="20"/>
      <c r="B349" s="19"/>
      <c r="C349" s="23"/>
      <c r="D349" s="19"/>
    </row>
    <row r="350" spans="1:4" x14ac:dyDescent="0.3">
      <c r="A350" s="20"/>
      <c r="B350" s="19"/>
      <c r="C350" s="23"/>
      <c r="D350" s="19"/>
    </row>
    <row r="351" spans="1:4" x14ac:dyDescent="0.3">
      <c r="A351" s="20"/>
      <c r="B351" s="19"/>
      <c r="C351" s="23"/>
      <c r="D351" s="19"/>
    </row>
    <row r="352" spans="1:4" x14ac:dyDescent="0.3">
      <c r="A352" s="20"/>
      <c r="B352" s="19"/>
      <c r="C352" s="23"/>
      <c r="D352" s="19"/>
    </row>
    <row r="353" spans="1:4" x14ac:dyDescent="0.3">
      <c r="A353" s="20"/>
      <c r="B353" s="19"/>
      <c r="C353" s="23"/>
      <c r="D353" s="19"/>
    </row>
    <row r="354" spans="1:4" x14ac:dyDescent="0.3">
      <c r="A354" s="20"/>
      <c r="B354" s="19"/>
      <c r="C354" s="23"/>
      <c r="D354" s="19"/>
    </row>
    <row r="355" spans="1:4" x14ac:dyDescent="0.3">
      <c r="A355" s="20"/>
      <c r="B355" s="19"/>
      <c r="C355" s="23"/>
      <c r="D355" s="19"/>
    </row>
    <row r="356" spans="1:4" x14ac:dyDescent="0.3">
      <c r="A356" s="20"/>
      <c r="B356" s="19"/>
      <c r="C356" s="23"/>
      <c r="D356" s="19"/>
    </row>
    <row r="357" spans="1:4" x14ac:dyDescent="0.3">
      <c r="A357" s="20"/>
      <c r="B357" s="19"/>
      <c r="C357" s="23"/>
      <c r="D357" s="19"/>
    </row>
    <row r="358" spans="1:4" x14ac:dyDescent="0.3">
      <c r="A358" s="20"/>
      <c r="B358" s="19"/>
      <c r="C358" s="23"/>
      <c r="D358" s="19"/>
    </row>
    <row r="359" spans="1:4" x14ac:dyDescent="0.3">
      <c r="A359" s="20"/>
      <c r="B359" s="19"/>
      <c r="C359" s="23"/>
      <c r="D359" s="19"/>
    </row>
    <row r="360" spans="1:4" x14ac:dyDescent="0.3">
      <c r="A360" s="20"/>
      <c r="B360" s="19"/>
      <c r="C360" s="23"/>
      <c r="D360" s="19"/>
    </row>
    <row r="361" spans="1:4" x14ac:dyDescent="0.3">
      <c r="A361" s="20"/>
      <c r="B361" s="19"/>
      <c r="C361" s="23"/>
      <c r="D361" s="19"/>
    </row>
    <row r="362" spans="1:4" x14ac:dyDescent="0.3">
      <c r="A362" s="20"/>
      <c r="B362" s="19"/>
      <c r="C362" s="23"/>
      <c r="D362" s="19"/>
    </row>
    <row r="363" spans="1:4" x14ac:dyDescent="0.3">
      <c r="A363" s="20"/>
      <c r="B363" s="19"/>
      <c r="C363" s="23"/>
      <c r="D363" s="19"/>
    </row>
    <row r="364" spans="1:4" x14ac:dyDescent="0.3">
      <c r="A364" s="20"/>
      <c r="B364" s="19"/>
      <c r="C364" s="23"/>
      <c r="D364" s="19"/>
    </row>
    <row r="365" spans="1:4" x14ac:dyDescent="0.3">
      <c r="A365" s="20"/>
      <c r="B365" s="19"/>
      <c r="C365" s="23"/>
      <c r="D365" s="19"/>
    </row>
    <row r="366" spans="1:4" x14ac:dyDescent="0.3">
      <c r="A366" s="20"/>
      <c r="B366" s="19"/>
      <c r="C366" s="23"/>
      <c r="D366" s="19"/>
    </row>
    <row r="367" spans="1:4" x14ac:dyDescent="0.3">
      <c r="A367" s="20"/>
      <c r="B367" s="19"/>
      <c r="C367" s="23"/>
      <c r="D367" s="19"/>
    </row>
    <row r="368" spans="1:4" x14ac:dyDescent="0.3">
      <c r="A368" s="20"/>
      <c r="B368" s="19"/>
      <c r="C368" s="23"/>
      <c r="D368" s="19"/>
    </row>
    <row r="369" spans="1:4" x14ac:dyDescent="0.3">
      <c r="A369" s="20"/>
      <c r="B369" s="19"/>
      <c r="C369" s="23"/>
      <c r="D369" s="19"/>
    </row>
    <row r="370" spans="1:4" x14ac:dyDescent="0.3">
      <c r="A370" s="20"/>
      <c r="B370" s="19"/>
      <c r="C370" s="23"/>
      <c r="D370" s="19"/>
    </row>
    <row r="371" spans="1:4" x14ac:dyDescent="0.3">
      <c r="A371" s="20"/>
      <c r="B371" s="19"/>
      <c r="C371" s="23"/>
      <c r="D371" s="19"/>
    </row>
    <row r="372" spans="1:4" x14ac:dyDescent="0.3">
      <c r="A372" s="20"/>
      <c r="B372" s="19"/>
      <c r="C372" s="23"/>
      <c r="D372" s="19"/>
    </row>
    <row r="373" spans="1:4" x14ac:dyDescent="0.3">
      <c r="A373" s="20"/>
      <c r="B373" s="19"/>
      <c r="C373" s="23"/>
      <c r="D373" s="19"/>
    </row>
    <row r="374" spans="1:4" x14ac:dyDescent="0.3">
      <c r="A374" s="20"/>
      <c r="B374" s="19"/>
      <c r="C374" s="23"/>
      <c r="D374" s="19"/>
    </row>
    <row r="375" spans="1:4" x14ac:dyDescent="0.3">
      <c r="A375" s="20"/>
      <c r="B375" s="19"/>
      <c r="C375" s="23"/>
      <c r="D375" s="19"/>
    </row>
    <row r="376" spans="1:4" x14ac:dyDescent="0.3">
      <c r="A376" s="20"/>
      <c r="B376" s="19"/>
      <c r="C376" s="23"/>
      <c r="D376" s="19"/>
    </row>
    <row r="377" spans="1:4" x14ac:dyDescent="0.3">
      <c r="A377" s="20"/>
      <c r="B377" s="19"/>
      <c r="C377" s="23"/>
      <c r="D377" s="19"/>
    </row>
    <row r="378" spans="1:4" x14ac:dyDescent="0.3">
      <c r="A378" s="20"/>
      <c r="B378" s="19"/>
      <c r="C378" s="23"/>
      <c r="D378" s="19"/>
    </row>
    <row r="379" spans="1:4" x14ac:dyDescent="0.3">
      <c r="A379" s="20"/>
      <c r="B379" s="19"/>
      <c r="C379" s="23"/>
      <c r="D379" s="19"/>
    </row>
    <row r="380" spans="1:4" x14ac:dyDescent="0.3">
      <c r="A380" s="20"/>
      <c r="B380" s="19"/>
      <c r="C380" s="23"/>
      <c r="D380" s="19"/>
    </row>
    <row r="381" spans="1:4" x14ac:dyDescent="0.3">
      <c r="A381" s="20"/>
      <c r="B381" s="19"/>
      <c r="C381" s="23"/>
      <c r="D381" s="19"/>
    </row>
    <row r="382" spans="1:4" x14ac:dyDescent="0.3">
      <c r="A382" s="20"/>
      <c r="B382" s="19"/>
      <c r="C382" s="23"/>
      <c r="D382" s="19"/>
    </row>
    <row r="383" spans="1:4" x14ac:dyDescent="0.3">
      <c r="A383" s="20"/>
      <c r="B383" s="19"/>
      <c r="C383" s="23"/>
      <c r="D383" s="19"/>
    </row>
    <row r="384" spans="1:4" x14ac:dyDescent="0.3">
      <c r="A384" s="20"/>
      <c r="B384" s="19"/>
      <c r="C384" s="23"/>
      <c r="D384" s="19"/>
    </row>
    <row r="385" spans="1:4" x14ac:dyDescent="0.3">
      <c r="A385" s="20"/>
      <c r="B385" s="19"/>
      <c r="C385" s="23"/>
      <c r="D385" s="19"/>
    </row>
    <row r="386" spans="1:4" x14ac:dyDescent="0.3">
      <c r="A386" s="20"/>
      <c r="B386" s="19"/>
      <c r="C386" s="23"/>
      <c r="D386" s="19"/>
    </row>
    <row r="387" spans="1:4" x14ac:dyDescent="0.3">
      <c r="A387" s="20"/>
      <c r="B387" s="19"/>
      <c r="C387" s="23"/>
      <c r="D387" s="19"/>
    </row>
    <row r="388" spans="1:4" x14ac:dyDescent="0.3">
      <c r="A388" s="20"/>
      <c r="B388" s="19"/>
      <c r="C388" s="23"/>
      <c r="D388" s="19"/>
    </row>
    <row r="389" spans="1:4" x14ac:dyDescent="0.3">
      <c r="A389" s="20"/>
      <c r="B389" s="19"/>
      <c r="C389" s="23"/>
      <c r="D389" s="19"/>
    </row>
    <row r="390" spans="1:4" x14ac:dyDescent="0.3">
      <c r="A390" s="20"/>
      <c r="B390" s="19"/>
      <c r="C390" s="23"/>
      <c r="D390" s="19"/>
    </row>
    <row r="391" spans="1:4" x14ac:dyDescent="0.3">
      <c r="A391" s="20"/>
      <c r="B391" s="19"/>
      <c r="C391" s="23"/>
      <c r="D391" s="19"/>
    </row>
    <row r="392" spans="1:4" x14ac:dyDescent="0.3">
      <c r="A392" s="20"/>
      <c r="B392" s="19"/>
      <c r="C392" s="23"/>
      <c r="D392" s="19"/>
    </row>
    <row r="393" spans="1:4" x14ac:dyDescent="0.3">
      <c r="A393" s="20"/>
      <c r="B393" s="19"/>
      <c r="C393" s="23"/>
      <c r="D393" s="19"/>
    </row>
    <row r="394" spans="1:4" x14ac:dyDescent="0.3">
      <c r="A394" s="20"/>
      <c r="B394" s="19"/>
      <c r="C394" s="23"/>
      <c r="D394" s="19"/>
    </row>
    <row r="395" spans="1:4" x14ac:dyDescent="0.3">
      <c r="A395" s="20"/>
      <c r="B395" s="19"/>
      <c r="C395" s="23"/>
      <c r="D395" s="19"/>
    </row>
    <row r="396" spans="1:4" x14ac:dyDescent="0.3">
      <c r="A396" s="20"/>
      <c r="B396" s="19"/>
      <c r="C396" s="23"/>
      <c r="D396" s="19"/>
    </row>
    <row r="397" spans="1:4" x14ac:dyDescent="0.3">
      <c r="A397" s="20"/>
      <c r="B397" s="19"/>
      <c r="C397" s="23"/>
      <c r="D397" s="19"/>
    </row>
    <row r="398" spans="1:4" x14ac:dyDescent="0.3">
      <c r="A398" s="20"/>
      <c r="B398" s="19"/>
      <c r="C398" s="23"/>
      <c r="D398" s="19"/>
    </row>
    <row r="399" spans="1:4" x14ac:dyDescent="0.3">
      <c r="A399" s="20"/>
      <c r="B399" s="19"/>
      <c r="C399" s="23"/>
      <c r="D399" s="19"/>
    </row>
    <row r="400" spans="1:4" x14ac:dyDescent="0.3">
      <c r="A400" s="20"/>
      <c r="B400" s="19"/>
      <c r="C400" s="23"/>
      <c r="D400" s="19"/>
    </row>
    <row r="401" spans="1:4" x14ac:dyDescent="0.3">
      <c r="A401" s="20"/>
      <c r="B401" s="19"/>
      <c r="C401" s="23"/>
      <c r="D401" s="19"/>
    </row>
    <row r="402" spans="1:4" x14ac:dyDescent="0.3">
      <c r="A402" s="20"/>
      <c r="B402" s="19"/>
      <c r="C402" s="23"/>
      <c r="D402" s="19"/>
    </row>
    <row r="403" spans="1:4" x14ac:dyDescent="0.3">
      <c r="A403" s="20"/>
      <c r="B403" s="19"/>
      <c r="C403" s="23"/>
      <c r="D403" s="19"/>
    </row>
    <row r="404" spans="1:4" x14ac:dyDescent="0.3">
      <c r="A404" s="20"/>
      <c r="B404" s="19"/>
      <c r="C404" s="23"/>
      <c r="D404" s="19"/>
    </row>
    <row r="405" spans="1:4" x14ac:dyDescent="0.3">
      <c r="A405" s="20"/>
      <c r="B405" s="19"/>
      <c r="C405" s="23"/>
      <c r="D405" s="19"/>
    </row>
    <row r="406" spans="1:4" x14ac:dyDescent="0.3">
      <c r="A406" s="20"/>
      <c r="B406" s="19"/>
      <c r="C406" s="23"/>
      <c r="D406" s="19"/>
    </row>
    <row r="407" spans="1:4" x14ac:dyDescent="0.3">
      <c r="A407" s="20"/>
      <c r="B407" s="19"/>
      <c r="C407" s="23"/>
      <c r="D407" s="19"/>
    </row>
    <row r="408" spans="1:4" x14ac:dyDescent="0.3">
      <c r="A408" s="20"/>
      <c r="B408" s="19"/>
      <c r="C408" s="23"/>
      <c r="D408" s="19"/>
    </row>
    <row r="409" spans="1:4" x14ac:dyDescent="0.3">
      <c r="A409" s="20"/>
      <c r="B409" s="19"/>
      <c r="C409" s="23"/>
      <c r="D409" s="19"/>
    </row>
    <row r="410" spans="1:4" x14ac:dyDescent="0.3">
      <c r="A410" s="20"/>
      <c r="B410" s="19"/>
      <c r="C410" s="23"/>
      <c r="D410" s="19"/>
    </row>
    <row r="411" spans="1:4" x14ac:dyDescent="0.3">
      <c r="A411" s="20"/>
      <c r="B411" s="19"/>
      <c r="C411" s="23"/>
      <c r="D411" s="19"/>
    </row>
    <row r="412" spans="1:4" x14ac:dyDescent="0.3">
      <c r="A412" s="20"/>
      <c r="B412" s="19"/>
      <c r="C412" s="23"/>
      <c r="D412" s="19"/>
    </row>
    <row r="413" spans="1:4" x14ac:dyDescent="0.3">
      <c r="A413" s="20"/>
      <c r="B413" s="19"/>
      <c r="C413" s="23"/>
      <c r="D413" s="19"/>
    </row>
    <row r="414" spans="1:4" x14ac:dyDescent="0.3">
      <c r="A414" s="20"/>
      <c r="B414" s="19"/>
      <c r="C414" s="23"/>
      <c r="D414" s="19"/>
    </row>
    <row r="415" spans="1:4" x14ac:dyDescent="0.3">
      <c r="A415" s="20"/>
      <c r="B415" s="19"/>
      <c r="C415" s="23"/>
      <c r="D415" s="19"/>
    </row>
    <row r="416" spans="1:4" x14ac:dyDescent="0.3">
      <c r="A416" s="20"/>
      <c r="B416" s="19"/>
      <c r="C416" s="23"/>
      <c r="D416" s="19"/>
    </row>
    <row r="417" spans="1:4" x14ac:dyDescent="0.3">
      <c r="A417" s="20"/>
      <c r="B417" s="19"/>
      <c r="C417" s="23"/>
      <c r="D417" s="19"/>
    </row>
    <row r="418" spans="1:4" x14ac:dyDescent="0.3">
      <c r="A418" s="20"/>
      <c r="B418" s="19"/>
      <c r="C418" s="23"/>
      <c r="D418" s="19"/>
    </row>
    <row r="419" spans="1:4" x14ac:dyDescent="0.3">
      <c r="A419" s="20"/>
      <c r="B419" s="19"/>
      <c r="C419" s="23"/>
      <c r="D419" s="19"/>
    </row>
    <row r="420" spans="1:4" x14ac:dyDescent="0.3">
      <c r="A420" s="20"/>
      <c r="B420" s="19"/>
      <c r="C420" s="23"/>
      <c r="D420" s="19"/>
    </row>
    <row r="421" spans="1:4" x14ac:dyDescent="0.3">
      <c r="A421" s="20"/>
      <c r="B421" s="19"/>
      <c r="C421" s="23"/>
      <c r="D421" s="19"/>
    </row>
    <row r="422" spans="1:4" x14ac:dyDescent="0.3">
      <c r="A422" s="20"/>
      <c r="B422" s="19"/>
      <c r="C422" s="23"/>
      <c r="D422" s="19"/>
    </row>
    <row r="423" spans="1:4" x14ac:dyDescent="0.3">
      <c r="A423" s="20"/>
      <c r="B423" s="19"/>
      <c r="C423" s="23"/>
      <c r="D423" s="19"/>
    </row>
    <row r="424" spans="1:4" x14ac:dyDescent="0.3">
      <c r="A424" s="20"/>
      <c r="B424" s="19"/>
      <c r="C424" s="23"/>
      <c r="D424" s="19"/>
    </row>
    <row r="425" spans="1:4" x14ac:dyDescent="0.3">
      <c r="A425" s="20"/>
      <c r="B425" s="19"/>
      <c r="C425" s="23"/>
      <c r="D425" s="19"/>
    </row>
    <row r="426" spans="1:4" x14ac:dyDescent="0.3">
      <c r="A426" s="20"/>
      <c r="B426" s="19"/>
      <c r="C426" s="23"/>
      <c r="D426" s="19"/>
    </row>
    <row r="427" spans="1:4" x14ac:dyDescent="0.3">
      <c r="A427" s="20"/>
      <c r="B427" s="19"/>
      <c r="C427" s="23"/>
      <c r="D427" s="19"/>
    </row>
    <row r="428" spans="1:4" x14ac:dyDescent="0.3">
      <c r="A428" s="20"/>
      <c r="B428" s="19"/>
      <c r="C428" s="23"/>
      <c r="D428" s="19"/>
    </row>
    <row r="429" spans="1:4" x14ac:dyDescent="0.3">
      <c r="A429" s="20"/>
      <c r="B429" s="19"/>
      <c r="C429" s="23"/>
      <c r="D429" s="19"/>
    </row>
    <row r="430" spans="1:4" x14ac:dyDescent="0.3">
      <c r="A430" s="20"/>
      <c r="B430" s="19"/>
      <c r="C430" s="23"/>
      <c r="D430" s="19"/>
    </row>
    <row r="431" spans="1:4" x14ac:dyDescent="0.3">
      <c r="A431" s="20"/>
      <c r="B431" s="19"/>
      <c r="C431" s="23"/>
      <c r="D431" s="19"/>
    </row>
    <row r="432" spans="1:4" x14ac:dyDescent="0.3">
      <c r="A432" s="20"/>
      <c r="B432" s="19"/>
      <c r="C432" s="23"/>
      <c r="D432" s="19"/>
    </row>
    <row r="433" spans="1:4" x14ac:dyDescent="0.3">
      <c r="A433" s="20"/>
      <c r="B433" s="19"/>
      <c r="C433" s="23"/>
      <c r="D433" s="19"/>
    </row>
    <row r="434" spans="1:4" x14ac:dyDescent="0.3">
      <c r="A434" s="20"/>
      <c r="B434" s="19"/>
      <c r="C434" s="23"/>
      <c r="D434" s="19"/>
    </row>
    <row r="435" spans="1:4" x14ac:dyDescent="0.3">
      <c r="A435" s="20"/>
      <c r="B435" s="19"/>
      <c r="C435" s="23"/>
      <c r="D435" s="19"/>
    </row>
    <row r="436" spans="1:4" x14ac:dyDescent="0.3">
      <c r="A436" s="20"/>
      <c r="B436" s="19"/>
      <c r="C436" s="23"/>
      <c r="D436" s="19"/>
    </row>
    <row r="437" spans="1:4" x14ac:dyDescent="0.3">
      <c r="A437" s="20"/>
      <c r="B437" s="19"/>
      <c r="C437" s="23"/>
      <c r="D437" s="19"/>
    </row>
    <row r="438" spans="1:4" x14ac:dyDescent="0.3">
      <c r="A438" s="20"/>
      <c r="B438" s="19"/>
      <c r="C438" s="23"/>
      <c r="D438" s="19"/>
    </row>
    <row r="439" spans="1:4" x14ac:dyDescent="0.3">
      <c r="A439" s="20"/>
      <c r="B439" s="19"/>
      <c r="C439" s="23"/>
      <c r="D439" s="19"/>
    </row>
    <row r="440" spans="1:4" x14ac:dyDescent="0.3">
      <c r="A440" s="20"/>
      <c r="B440" s="19"/>
      <c r="C440" s="23"/>
      <c r="D440" s="19"/>
    </row>
    <row r="441" spans="1:4" x14ac:dyDescent="0.3">
      <c r="A441" s="20"/>
      <c r="B441" s="19"/>
      <c r="C441" s="23"/>
      <c r="D441" s="19"/>
    </row>
    <row r="442" spans="1:4" x14ac:dyDescent="0.3">
      <c r="A442" s="20"/>
      <c r="B442" s="19"/>
      <c r="C442" s="23"/>
      <c r="D442" s="19"/>
    </row>
    <row r="443" spans="1:4" x14ac:dyDescent="0.3">
      <c r="A443" s="20"/>
      <c r="B443" s="19"/>
      <c r="C443" s="23"/>
      <c r="D443" s="19"/>
    </row>
    <row r="444" spans="1:4" x14ac:dyDescent="0.3">
      <c r="A444" s="20"/>
      <c r="B444" s="19"/>
      <c r="C444" s="23"/>
      <c r="D444" s="19"/>
    </row>
    <row r="445" spans="1:4" x14ac:dyDescent="0.3">
      <c r="A445" s="20"/>
      <c r="B445" s="19"/>
      <c r="C445" s="23"/>
      <c r="D445" s="19"/>
    </row>
    <row r="446" spans="1:4" x14ac:dyDescent="0.3">
      <c r="A446" s="20"/>
      <c r="B446" s="19"/>
      <c r="C446" s="23"/>
      <c r="D446" s="19"/>
    </row>
    <row r="447" spans="1:4" x14ac:dyDescent="0.3">
      <c r="A447" s="20"/>
      <c r="B447" s="19"/>
      <c r="C447" s="23"/>
      <c r="D447" s="19"/>
    </row>
    <row r="448" spans="1:4" x14ac:dyDescent="0.3">
      <c r="A448" s="20"/>
      <c r="B448" s="19"/>
      <c r="C448" s="23"/>
      <c r="D448" s="19"/>
    </row>
    <row r="449" spans="1:4" x14ac:dyDescent="0.3">
      <c r="A449" s="20"/>
      <c r="B449" s="19"/>
      <c r="C449" s="23"/>
      <c r="D449" s="19"/>
    </row>
    <row r="450" spans="1:4" x14ac:dyDescent="0.3">
      <c r="A450" s="20"/>
      <c r="B450" s="19"/>
      <c r="C450" s="23"/>
      <c r="D450" s="19"/>
    </row>
    <row r="451" spans="1:4" x14ac:dyDescent="0.3">
      <c r="A451" s="20"/>
      <c r="B451" s="19"/>
      <c r="C451" s="23"/>
      <c r="D451" s="19"/>
    </row>
    <row r="452" spans="1:4" x14ac:dyDescent="0.3">
      <c r="A452" s="20"/>
      <c r="B452" s="19"/>
      <c r="C452" s="23"/>
      <c r="D452" s="19"/>
    </row>
    <row r="453" spans="1:4" x14ac:dyDescent="0.3">
      <c r="A453" s="20"/>
      <c r="B453" s="19"/>
      <c r="C453" s="23"/>
      <c r="D453" s="19"/>
    </row>
    <row r="454" spans="1:4" x14ac:dyDescent="0.3">
      <c r="A454" s="20"/>
      <c r="B454" s="19"/>
      <c r="C454" s="23"/>
      <c r="D454" s="19"/>
    </row>
    <row r="455" spans="1:4" x14ac:dyDescent="0.3">
      <c r="A455" s="20"/>
      <c r="B455" s="19"/>
      <c r="C455" s="23"/>
      <c r="D455" s="19"/>
    </row>
    <row r="456" spans="1:4" x14ac:dyDescent="0.3">
      <c r="A456" s="20"/>
      <c r="B456" s="19"/>
      <c r="C456" s="23"/>
      <c r="D456" s="19"/>
    </row>
    <row r="457" spans="1:4" x14ac:dyDescent="0.3">
      <c r="A457" s="20"/>
      <c r="B457" s="19"/>
      <c r="C457" s="23"/>
      <c r="D457" s="19"/>
    </row>
    <row r="458" spans="1:4" x14ac:dyDescent="0.3">
      <c r="A458" s="20"/>
      <c r="B458" s="19"/>
      <c r="C458" s="23"/>
      <c r="D458" s="19"/>
    </row>
    <row r="459" spans="1:4" x14ac:dyDescent="0.3">
      <c r="A459" s="20"/>
      <c r="B459" s="19"/>
      <c r="C459" s="23"/>
      <c r="D459" s="19"/>
    </row>
    <row r="460" spans="1:4" x14ac:dyDescent="0.3">
      <c r="A460" s="20"/>
      <c r="B460" s="19"/>
      <c r="C460" s="23"/>
      <c r="D460" s="19"/>
    </row>
    <row r="461" spans="1:4" x14ac:dyDescent="0.3">
      <c r="A461" s="20"/>
      <c r="B461" s="19"/>
      <c r="C461" s="23"/>
      <c r="D461" s="19"/>
    </row>
    <row r="462" spans="1:4" x14ac:dyDescent="0.3">
      <c r="A462" s="20"/>
      <c r="B462" s="19"/>
      <c r="C462" s="23"/>
      <c r="D462" s="19"/>
    </row>
    <row r="463" spans="1:4" x14ac:dyDescent="0.3">
      <c r="A463" s="20"/>
      <c r="B463" s="19"/>
      <c r="C463" s="23"/>
      <c r="D463" s="19"/>
    </row>
    <row r="464" spans="1:4" x14ac:dyDescent="0.3">
      <c r="A464" s="20"/>
      <c r="B464" s="19"/>
      <c r="C464" s="23"/>
      <c r="D464" s="19"/>
    </row>
    <row r="465" spans="1:4" x14ac:dyDescent="0.3">
      <c r="A465" s="20"/>
      <c r="B465" s="19"/>
      <c r="C465" s="23"/>
      <c r="D465" s="19"/>
    </row>
    <row r="466" spans="1:4" x14ac:dyDescent="0.3">
      <c r="A466" s="20"/>
      <c r="B466" s="19"/>
      <c r="C466" s="23"/>
      <c r="D466" s="19"/>
    </row>
    <row r="467" spans="1:4" x14ac:dyDescent="0.3">
      <c r="A467" s="20"/>
      <c r="B467" s="19"/>
      <c r="C467" s="23"/>
      <c r="D467" s="19"/>
    </row>
    <row r="468" spans="1:4" x14ac:dyDescent="0.3">
      <c r="A468" s="20"/>
      <c r="B468" s="19"/>
      <c r="C468" s="23"/>
      <c r="D468" s="19"/>
    </row>
    <row r="469" spans="1:4" x14ac:dyDescent="0.3">
      <c r="A469" s="20"/>
      <c r="B469" s="19"/>
      <c r="C469" s="23"/>
      <c r="D469" s="19"/>
    </row>
    <row r="470" spans="1:4" x14ac:dyDescent="0.3">
      <c r="A470" s="20"/>
      <c r="B470" s="19"/>
      <c r="C470" s="23"/>
      <c r="D470" s="19"/>
    </row>
    <row r="471" spans="1:4" x14ac:dyDescent="0.3">
      <c r="A471" s="20"/>
      <c r="B471" s="19"/>
      <c r="C471" s="23"/>
      <c r="D471" s="19"/>
    </row>
    <row r="472" spans="1:4" x14ac:dyDescent="0.3">
      <c r="A472" s="20"/>
      <c r="B472" s="19"/>
      <c r="C472" s="23"/>
      <c r="D472" s="19"/>
    </row>
    <row r="473" spans="1:4" x14ac:dyDescent="0.3">
      <c r="A473" s="20"/>
      <c r="B473" s="19"/>
      <c r="C473" s="23"/>
      <c r="D473" s="19"/>
    </row>
    <row r="474" spans="1:4" x14ac:dyDescent="0.3">
      <c r="A474" s="20"/>
      <c r="B474" s="19"/>
      <c r="C474" s="23"/>
      <c r="D474" s="19"/>
    </row>
    <row r="475" spans="1:4" x14ac:dyDescent="0.3">
      <c r="A475" s="20"/>
      <c r="B475" s="19"/>
      <c r="C475" s="23"/>
      <c r="D475" s="19"/>
    </row>
    <row r="476" spans="1:4" x14ac:dyDescent="0.3">
      <c r="A476" s="20"/>
      <c r="B476" s="19"/>
      <c r="C476" s="23"/>
      <c r="D476" s="19"/>
    </row>
    <row r="477" spans="1:4" x14ac:dyDescent="0.3">
      <c r="A477" s="20"/>
      <c r="B477" s="19"/>
      <c r="C477" s="23"/>
      <c r="D477" s="19"/>
    </row>
    <row r="478" spans="1:4" x14ac:dyDescent="0.3">
      <c r="A478" s="20"/>
      <c r="B478" s="19"/>
      <c r="C478" s="23"/>
      <c r="D478" s="19"/>
    </row>
    <row r="479" spans="1:4" x14ac:dyDescent="0.3">
      <c r="A479" s="20"/>
      <c r="B479" s="19"/>
      <c r="C479" s="23"/>
      <c r="D479" s="19"/>
    </row>
    <row r="480" spans="1:4" x14ac:dyDescent="0.3">
      <c r="A480" s="20"/>
      <c r="B480" s="19"/>
      <c r="C480" s="23"/>
      <c r="D480" s="19"/>
    </row>
    <row r="481" spans="1:4" x14ac:dyDescent="0.3">
      <c r="A481" s="20"/>
      <c r="B481" s="19"/>
      <c r="C481" s="23"/>
      <c r="D481" s="19"/>
    </row>
    <row r="482" spans="1:4" x14ac:dyDescent="0.3">
      <c r="A482" s="20"/>
      <c r="B482" s="19"/>
      <c r="C482" s="23"/>
      <c r="D482" s="19"/>
    </row>
    <row r="483" spans="1:4" x14ac:dyDescent="0.3">
      <c r="A483" s="20"/>
      <c r="B483" s="19"/>
      <c r="C483" s="23"/>
      <c r="D483" s="19"/>
    </row>
    <row r="484" spans="1:4" x14ac:dyDescent="0.3">
      <c r="A484" s="20"/>
      <c r="B484" s="19"/>
      <c r="C484" s="23"/>
      <c r="D484" s="19"/>
    </row>
    <row r="485" spans="1:4" x14ac:dyDescent="0.3">
      <c r="A485" s="20"/>
      <c r="B485" s="19"/>
      <c r="C485" s="23"/>
      <c r="D485" s="19"/>
    </row>
    <row r="486" spans="1:4" x14ac:dyDescent="0.3">
      <c r="A486" s="20"/>
      <c r="B486" s="19"/>
      <c r="C486" s="23"/>
      <c r="D486" s="19"/>
    </row>
    <row r="487" spans="1:4" x14ac:dyDescent="0.3">
      <c r="A487" s="20"/>
      <c r="B487" s="19"/>
      <c r="C487" s="23"/>
      <c r="D487" s="19"/>
    </row>
    <row r="488" spans="1:4" x14ac:dyDescent="0.3">
      <c r="A488" s="20"/>
      <c r="B488" s="19"/>
      <c r="C488" s="23"/>
      <c r="D488" s="19"/>
    </row>
    <row r="489" spans="1:4" x14ac:dyDescent="0.3">
      <c r="A489" s="20"/>
      <c r="B489" s="19"/>
      <c r="C489" s="23"/>
      <c r="D489" s="19"/>
    </row>
    <row r="490" spans="1:4" x14ac:dyDescent="0.3">
      <c r="A490" s="20"/>
      <c r="B490" s="19"/>
      <c r="C490" s="23"/>
      <c r="D490" s="19"/>
    </row>
    <row r="491" spans="1:4" x14ac:dyDescent="0.3">
      <c r="A491" s="20"/>
      <c r="B491" s="19"/>
      <c r="C491" s="23"/>
      <c r="D491" s="19"/>
    </row>
    <row r="492" spans="1:4" x14ac:dyDescent="0.3">
      <c r="A492" s="20"/>
      <c r="B492" s="19"/>
      <c r="C492" s="23"/>
      <c r="D492" s="19"/>
    </row>
    <row r="493" spans="1:4" x14ac:dyDescent="0.3">
      <c r="A493" s="20"/>
      <c r="B493" s="19"/>
      <c r="C493" s="23"/>
      <c r="D493" s="19"/>
    </row>
    <row r="494" spans="1:4" x14ac:dyDescent="0.3">
      <c r="A494" s="20"/>
      <c r="B494" s="19"/>
      <c r="C494" s="23"/>
      <c r="D494" s="19"/>
    </row>
    <row r="495" spans="1:4" x14ac:dyDescent="0.3">
      <c r="A495" s="20"/>
      <c r="B495" s="19"/>
      <c r="C495" s="23"/>
      <c r="D495" s="19"/>
    </row>
    <row r="496" spans="1:4" x14ac:dyDescent="0.3">
      <c r="A496" s="20"/>
      <c r="B496" s="19"/>
      <c r="C496" s="23"/>
      <c r="D496" s="19"/>
    </row>
    <row r="497" spans="1:4" x14ac:dyDescent="0.3">
      <c r="A497" s="20"/>
      <c r="B497" s="19"/>
      <c r="C497" s="23"/>
      <c r="D497" s="19"/>
    </row>
    <row r="498" spans="1:4" x14ac:dyDescent="0.3">
      <c r="A498" s="20"/>
      <c r="B498" s="19"/>
      <c r="C498" s="23"/>
      <c r="D498" s="19"/>
    </row>
    <row r="499" spans="1:4" x14ac:dyDescent="0.3">
      <c r="A499" s="20"/>
      <c r="B499" s="19"/>
      <c r="C499" s="23"/>
      <c r="D499" s="19"/>
    </row>
    <row r="500" spans="1:4" x14ac:dyDescent="0.3">
      <c r="A500" s="20"/>
      <c r="B500" s="19"/>
      <c r="C500" s="23"/>
      <c r="D500" s="19"/>
    </row>
    <row r="501" spans="1:4" x14ac:dyDescent="0.3">
      <c r="A501" s="20"/>
      <c r="B501" s="19"/>
      <c r="C501" s="23"/>
      <c r="D501" s="19"/>
    </row>
  </sheetData>
  <dataValidations count="1">
    <dataValidation type="list" allowBlank="1" showErrorMessage="1" sqref="B2:B501" xr:uid="{00000000-0002-0000-0500-000000000000}">
      <formula1>"Rent,Electricity,Internet,Utilities,Marketing,Maintenance,Misc"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1"/>
  <sheetViews>
    <sheetView zoomScaleNormal="100" workbookViewId="0">
      <pane ySplit="1" topLeftCell="A2" activePane="bottomLeft" state="frozen"/>
      <selection pane="bottomLeft" activeCell="E19" sqref="E19"/>
    </sheetView>
  </sheetViews>
  <sheetFormatPr defaultColWidth="8.5546875" defaultRowHeight="14.4" x14ac:dyDescent="0.3"/>
  <cols>
    <col min="1" max="1" width="13" customWidth="1"/>
    <col min="2" max="2" width="24" customWidth="1"/>
    <col min="3" max="3" width="8" customWidth="1"/>
    <col min="4" max="4" width="11" customWidth="1"/>
    <col min="5" max="5" width="12" customWidth="1"/>
    <col min="6" max="6" width="18" customWidth="1"/>
    <col min="7" max="7" width="24" customWidth="1"/>
  </cols>
  <sheetData>
    <row r="1" spans="1:7" x14ac:dyDescent="0.3">
      <c r="A1" s="17" t="s">
        <v>56</v>
      </c>
      <c r="B1" s="17" t="s">
        <v>167</v>
      </c>
      <c r="C1" s="17" t="s">
        <v>168</v>
      </c>
      <c r="D1" s="17" t="s">
        <v>84</v>
      </c>
      <c r="E1" s="17" t="s">
        <v>85</v>
      </c>
      <c r="F1" s="17" t="s">
        <v>169</v>
      </c>
      <c r="G1" s="17" t="s">
        <v>165</v>
      </c>
    </row>
    <row r="2" spans="1:7" x14ac:dyDescent="0.3">
      <c r="A2" s="20"/>
      <c r="B2" s="6"/>
      <c r="C2" s="19"/>
      <c r="D2" s="23"/>
      <c r="E2" s="9" t="str">
        <f t="shared" ref="E2:E65" si="0">IF($B2="","",$C2*$D2)</f>
        <v/>
      </c>
      <c r="F2" s="19"/>
      <c r="G2" s="19"/>
    </row>
    <row r="3" spans="1:7" x14ac:dyDescent="0.3">
      <c r="A3" s="20"/>
      <c r="B3" s="6"/>
      <c r="C3" s="19"/>
      <c r="D3" s="23"/>
      <c r="E3" s="9" t="str">
        <f t="shared" si="0"/>
        <v/>
      </c>
      <c r="F3" s="19"/>
      <c r="G3" s="19"/>
    </row>
    <row r="4" spans="1:7" x14ac:dyDescent="0.3">
      <c r="A4" s="20"/>
      <c r="B4" s="6"/>
      <c r="C4" s="19"/>
      <c r="D4" s="23"/>
      <c r="E4" s="9" t="str">
        <f t="shared" si="0"/>
        <v/>
      </c>
      <c r="F4" s="19"/>
      <c r="G4" s="19"/>
    </row>
    <row r="5" spans="1:7" x14ac:dyDescent="0.3">
      <c r="A5" s="20"/>
      <c r="B5" s="6"/>
      <c r="C5" s="19"/>
      <c r="D5" s="23"/>
      <c r="E5" s="9" t="str">
        <f t="shared" si="0"/>
        <v/>
      </c>
      <c r="F5" s="19"/>
      <c r="G5" s="19"/>
    </row>
    <row r="6" spans="1:7" x14ac:dyDescent="0.3">
      <c r="A6" s="20"/>
      <c r="B6" s="6"/>
      <c r="C6" s="19"/>
      <c r="D6" s="23"/>
      <c r="E6" s="9" t="str">
        <f t="shared" si="0"/>
        <v/>
      </c>
      <c r="F6" s="19"/>
      <c r="G6" s="19"/>
    </row>
    <row r="7" spans="1:7" x14ac:dyDescent="0.3">
      <c r="A7" s="20"/>
      <c r="B7" s="6"/>
      <c r="C7" s="19"/>
      <c r="D7" s="23"/>
      <c r="E7" s="9" t="str">
        <f t="shared" si="0"/>
        <v/>
      </c>
      <c r="F7" s="19"/>
      <c r="G7" s="19"/>
    </row>
    <row r="8" spans="1:7" x14ac:dyDescent="0.3">
      <c r="A8" s="20"/>
      <c r="B8" s="6"/>
      <c r="C8" s="19"/>
      <c r="D8" s="23"/>
      <c r="E8" s="9" t="str">
        <f t="shared" si="0"/>
        <v/>
      </c>
      <c r="F8" s="19"/>
      <c r="G8" s="19"/>
    </row>
    <row r="9" spans="1:7" x14ac:dyDescent="0.3">
      <c r="A9" s="20"/>
      <c r="B9" s="6"/>
      <c r="C9" s="19"/>
      <c r="D9" s="23"/>
      <c r="E9" s="9" t="str">
        <f t="shared" si="0"/>
        <v/>
      </c>
      <c r="F9" s="19"/>
      <c r="G9" s="19"/>
    </row>
    <row r="10" spans="1:7" x14ac:dyDescent="0.3">
      <c r="A10" s="20"/>
      <c r="B10" s="6"/>
      <c r="C10" s="19"/>
      <c r="D10" s="23"/>
      <c r="E10" s="9" t="str">
        <f t="shared" si="0"/>
        <v/>
      </c>
      <c r="F10" s="19"/>
      <c r="G10" s="19"/>
    </row>
    <row r="11" spans="1:7" x14ac:dyDescent="0.3">
      <c r="A11" s="20"/>
      <c r="B11" s="6"/>
      <c r="C11" s="19"/>
      <c r="D11" s="23"/>
      <c r="E11" s="9" t="str">
        <f t="shared" si="0"/>
        <v/>
      </c>
      <c r="F11" s="19"/>
      <c r="G11" s="19"/>
    </row>
    <row r="12" spans="1:7" x14ac:dyDescent="0.3">
      <c r="A12" s="20"/>
      <c r="B12" s="6"/>
      <c r="C12" s="19"/>
      <c r="D12" s="23"/>
      <c r="E12" s="9" t="str">
        <f t="shared" si="0"/>
        <v/>
      </c>
      <c r="F12" s="19"/>
      <c r="G12" s="19"/>
    </row>
    <row r="13" spans="1:7" x14ac:dyDescent="0.3">
      <c r="A13" s="20"/>
      <c r="B13" s="6"/>
      <c r="C13" s="19"/>
      <c r="D13" s="23"/>
      <c r="E13" s="9" t="str">
        <f t="shared" si="0"/>
        <v/>
      </c>
      <c r="F13" s="19"/>
      <c r="G13" s="19"/>
    </row>
    <row r="14" spans="1:7" x14ac:dyDescent="0.3">
      <c r="A14" s="20"/>
      <c r="B14" s="6"/>
      <c r="C14" s="19"/>
      <c r="D14" s="23"/>
      <c r="E14" s="9" t="str">
        <f t="shared" si="0"/>
        <v/>
      </c>
      <c r="F14" s="19"/>
      <c r="G14" s="19"/>
    </row>
    <row r="15" spans="1:7" x14ac:dyDescent="0.3">
      <c r="A15" s="20"/>
      <c r="B15" s="6"/>
      <c r="C15" s="19"/>
      <c r="D15" s="23"/>
      <c r="E15" s="9" t="str">
        <f t="shared" si="0"/>
        <v/>
      </c>
      <c r="F15" s="19"/>
      <c r="G15" s="19"/>
    </row>
    <row r="16" spans="1:7" x14ac:dyDescent="0.3">
      <c r="A16" s="20"/>
      <c r="B16" s="6"/>
      <c r="C16" s="19"/>
      <c r="D16" s="23"/>
      <c r="E16" s="9" t="str">
        <f t="shared" si="0"/>
        <v/>
      </c>
      <c r="F16" s="19"/>
      <c r="G16" s="19"/>
    </row>
    <row r="17" spans="1:7" x14ac:dyDescent="0.3">
      <c r="A17" s="20"/>
      <c r="B17" s="6"/>
      <c r="C17" s="19"/>
      <c r="D17" s="23"/>
      <c r="E17" s="9" t="str">
        <f t="shared" si="0"/>
        <v/>
      </c>
      <c r="F17" s="19"/>
      <c r="G17" s="19"/>
    </row>
    <row r="18" spans="1:7" x14ac:dyDescent="0.3">
      <c r="A18" s="20"/>
      <c r="B18" s="6"/>
      <c r="C18" s="19"/>
      <c r="D18" s="23"/>
      <c r="E18" s="9" t="str">
        <f t="shared" si="0"/>
        <v/>
      </c>
      <c r="F18" s="19"/>
      <c r="G18" s="19"/>
    </row>
    <row r="19" spans="1:7" x14ac:dyDescent="0.3">
      <c r="A19" s="20"/>
      <c r="B19" s="6"/>
      <c r="C19" s="19"/>
      <c r="D19" s="23"/>
      <c r="E19" s="9" t="str">
        <f t="shared" si="0"/>
        <v/>
      </c>
      <c r="F19" s="19"/>
      <c r="G19" s="19"/>
    </row>
    <row r="20" spans="1:7" x14ac:dyDescent="0.3">
      <c r="A20" s="20"/>
      <c r="B20" s="6"/>
      <c r="C20" s="19"/>
      <c r="D20" s="23"/>
      <c r="E20" s="9" t="str">
        <f t="shared" si="0"/>
        <v/>
      </c>
      <c r="F20" s="19"/>
      <c r="G20" s="19"/>
    </row>
    <row r="21" spans="1:7" x14ac:dyDescent="0.3">
      <c r="A21" s="20"/>
      <c r="B21" s="6"/>
      <c r="C21" s="19"/>
      <c r="D21" s="23"/>
      <c r="E21" s="9" t="str">
        <f t="shared" si="0"/>
        <v/>
      </c>
      <c r="F21" s="19"/>
      <c r="G21" s="19"/>
    </row>
    <row r="22" spans="1:7" x14ac:dyDescent="0.3">
      <c r="A22" s="20"/>
      <c r="B22" s="6"/>
      <c r="C22" s="19"/>
      <c r="D22" s="23"/>
      <c r="E22" s="9" t="str">
        <f t="shared" si="0"/>
        <v/>
      </c>
      <c r="F22" s="19"/>
      <c r="G22" s="19"/>
    </row>
    <row r="23" spans="1:7" x14ac:dyDescent="0.3">
      <c r="A23" s="20"/>
      <c r="B23" s="6"/>
      <c r="C23" s="19"/>
      <c r="D23" s="23"/>
      <c r="E23" s="9" t="str">
        <f t="shared" si="0"/>
        <v/>
      </c>
      <c r="F23" s="19"/>
      <c r="G23" s="19"/>
    </row>
    <row r="24" spans="1:7" x14ac:dyDescent="0.3">
      <c r="A24" s="20"/>
      <c r="B24" s="6"/>
      <c r="C24" s="19"/>
      <c r="D24" s="23"/>
      <c r="E24" s="9" t="str">
        <f t="shared" si="0"/>
        <v/>
      </c>
      <c r="F24" s="19"/>
      <c r="G24" s="19"/>
    </row>
    <row r="25" spans="1:7" x14ac:dyDescent="0.3">
      <c r="A25" s="20"/>
      <c r="B25" s="6"/>
      <c r="C25" s="19"/>
      <c r="D25" s="23"/>
      <c r="E25" s="9" t="str">
        <f t="shared" si="0"/>
        <v/>
      </c>
      <c r="F25" s="19"/>
      <c r="G25" s="19"/>
    </row>
    <row r="26" spans="1:7" x14ac:dyDescent="0.3">
      <c r="A26" s="20"/>
      <c r="B26" s="6"/>
      <c r="C26" s="19"/>
      <c r="D26" s="23"/>
      <c r="E26" s="9" t="str">
        <f t="shared" si="0"/>
        <v/>
      </c>
      <c r="F26" s="19"/>
      <c r="G26" s="19"/>
    </row>
    <row r="27" spans="1:7" x14ac:dyDescent="0.3">
      <c r="A27" s="20"/>
      <c r="B27" s="6"/>
      <c r="C27" s="19"/>
      <c r="D27" s="23"/>
      <c r="E27" s="9" t="str">
        <f t="shared" si="0"/>
        <v/>
      </c>
      <c r="F27" s="19"/>
      <c r="G27" s="19"/>
    </row>
    <row r="28" spans="1:7" x14ac:dyDescent="0.3">
      <c r="A28" s="20"/>
      <c r="B28" s="6"/>
      <c r="C28" s="19"/>
      <c r="D28" s="23"/>
      <c r="E28" s="9" t="str">
        <f t="shared" si="0"/>
        <v/>
      </c>
      <c r="F28" s="19"/>
      <c r="G28" s="19"/>
    </row>
    <row r="29" spans="1:7" x14ac:dyDescent="0.3">
      <c r="A29" s="20"/>
      <c r="B29" s="6"/>
      <c r="C29" s="19"/>
      <c r="D29" s="23"/>
      <c r="E29" s="9" t="str">
        <f t="shared" si="0"/>
        <v/>
      </c>
      <c r="F29" s="19"/>
      <c r="G29" s="19"/>
    </row>
    <row r="30" spans="1:7" x14ac:dyDescent="0.3">
      <c r="A30" s="20"/>
      <c r="B30" s="6"/>
      <c r="C30" s="19"/>
      <c r="D30" s="23"/>
      <c r="E30" s="9" t="str">
        <f t="shared" si="0"/>
        <v/>
      </c>
      <c r="F30" s="19"/>
      <c r="G30" s="19"/>
    </row>
    <row r="31" spans="1:7" x14ac:dyDescent="0.3">
      <c r="A31" s="20"/>
      <c r="B31" s="6"/>
      <c r="C31" s="19"/>
      <c r="D31" s="23"/>
      <c r="E31" s="9" t="str">
        <f t="shared" si="0"/>
        <v/>
      </c>
      <c r="F31" s="19"/>
      <c r="G31" s="19"/>
    </row>
    <row r="32" spans="1:7" x14ac:dyDescent="0.3">
      <c r="A32" s="20"/>
      <c r="B32" s="6"/>
      <c r="C32" s="19"/>
      <c r="D32" s="23"/>
      <c r="E32" s="9" t="str">
        <f t="shared" si="0"/>
        <v/>
      </c>
      <c r="F32" s="19"/>
      <c r="G32" s="19"/>
    </row>
    <row r="33" spans="1:7" x14ac:dyDescent="0.3">
      <c r="A33" s="20"/>
      <c r="B33" s="6"/>
      <c r="C33" s="19"/>
      <c r="D33" s="23"/>
      <c r="E33" s="9" t="str">
        <f t="shared" si="0"/>
        <v/>
      </c>
      <c r="F33" s="19"/>
      <c r="G33" s="19"/>
    </row>
    <row r="34" spans="1:7" x14ac:dyDescent="0.3">
      <c r="A34" s="20"/>
      <c r="B34" s="6"/>
      <c r="C34" s="19"/>
      <c r="D34" s="23"/>
      <c r="E34" s="9" t="str">
        <f t="shared" si="0"/>
        <v/>
      </c>
      <c r="F34" s="19"/>
      <c r="G34" s="19"/>
    </row>
    <row r="35" spans="1:7" x14ac:dyDescent="0.3">
      <c r="A35" s="20"/>
      <c r="B35" s="6"/>
      <c r="C35" s="19"/>
      <c r="D35" s="23"/>
      <c r="E35" s="9" t="str">
        <f t="shared" si="0"/>
        <v/>
      </c>
      <c r="F35" s="19"/>
      <c r="G35" s="19"/>
    </row>
    <row r="36" spans="1:7" x14ac:dyDescent="0.3">
      <c r="A36" s="20"/>
      <c r="B36" s="6"/>
      <c r="C36" s="19"/>
      <c r="D36" s="23"/>
      <c r="E36" s="9" t="str">
        <f t="shared" si="0"/>
        <v/>
      </c>
      <c r="F36" s="19"/>
      <c r="G36" s="19"/>
    </row>
    <row r="37" spans="1:7" x14ac:dyDescent="0.3">
      <c r="A37" s="20"/>
      <c r="B37" s="6"/>
      <c r="C37" s="19"/>
      <c r="D37" s="23"/>
      <c r="E37" s="9" t="str">
        <f t="shared" si="0"/>
        <v/>
      </c>
      <c r="F37" s="19"/>
      <c r="G37" s="19"/>
    </row>
    <row r="38" spans="1:7" x14ac:dyDescent="0.3">
      <c r="A38" s="20"/>
      <c r="B38" s="6"/>
      <c r="C38" s="19"/>
      <c r="D38" s="23"/>
      <c r="E38" s="9" t="str">
        <f t="shared" si="0"/>
        <v/>
      </c>
      <c r="F38" s="19"/>
      <c r="G38" s="19"/>
    </row>
    <row r="39" spans="1:7" x14ac:dyDescent="0.3">
      <c r="A39" s="20"/>
      <c r="B39" s="6"/>
      <c r="C39" s="19"/>
      <c r="D39" s="23"/>
      <c r="E39" s="9" t="str">
        <f t="shared" si="0"/>
        <v/>
      </c>
      <c r="F39" s="19"/>
      <c r="G39" s="19"/>
    </row>
    <row r="40" spans="1:7" x14ac:dyDescent="0.3">
      <c r="A40" s="20"/>
      <c r="B40" s="6"/>
      <c r="C40" s="19"/>
      <c r="D40" s="23"/>
      <c r="E40" s="9" t="str">
        <f t="shared" si="0"/>
        <v/>
      </c>
      <c r="F40" s="19"/>
      <c r="G40" s="19"/>
    </row>
    <row r="41" spans="1:7" x14ac:dyDescent="0.3">
      <c r="A41" s="20"/>
      <c r="B41" s="6"/>
      <c r="C41" s="19"/>
      <c r="D41" s="23"/>
      <c r="E41" s="9" t="str">
        <f t="shared" si="0"/>
        <v/>
      </c>
      <c r="F41" s="19"/>
      <c r="G41" s="19"/>
    </row>
    <row r="42" spans="1:7" x14ac:dyDescent="0.3">
      <c r="A42" s="20"/>
      <c r="B42" s="6"/>
      <c r="C42" s="19"/>
      <c r="D42" s="23"/>
      <c r="E42" s="9" t="str">
        <f t="shared" si="0"/>
        <v/>
      </c>
      <c r="F42" s="19"/>
      <c r="G42" s="19"/>
    </row>
    <row r="43" spans="1:7" x14ac:dyDescent="0.3">
      <c r="A43" s="20"/>
      <c r="B43" s="6"/>
      <c r="C43" s="19"/>
      <c r="D43" s="23"/>
      <c r="E43" s="9" t="str">
        <f t="shared" si="0"/>
        <v/>
      </c>
      <c r="F43" s="19"/>
      <c r="G43" s="19"/>
    </row>
    <row r="44" spans="1:7" x14ac:dyDescent="0.3">
      <c r="A44" s="20"/>
      <c r="B44" s="6"/>
      <c r="C44" s="19"/>
      <c r="D44" s="23"/>
      <c r="E44" s="9" t="str">
        <f t="shared" si="0"/>
        <v/>
      </c>
      <c r="F44" s="19"/>
      <c r="G44" s="19"/>
    </row>
    <row r="45" spans="1:7" x14ac:dyDescent="0.3">
      <c r="A45" s="20"/>
      <c r="B45" s="6"/>
      <c r="C45" s="19"/>
      <c r="D45" s="23"/>
      <c r="E45" s="9" t="str">
        <f t="shared" si="0"/>
        <v/>
      </c>
      <c r="F45" s="19"/>
      <c r="G45" s="19"/>
    </row>
    <row r="46" spans="1:7" x14ac:dyDescent="0.3">
      <c r="A46" s="20"/>
      <c r="B46" s="6"/>
      <c r="C46" s="19"/>
      <c r="D46" s="23"/>
      <c r="E46" s="9" t="str">
        <f t="shared" si="0"/>
        <v/>
      </c>
      <c r="F46" s="19"/>
      <c r="G46" s="19"/>
    </row>
    <row r="47" spans="1:7" x14ac:dyDescent="0.3">
      <c r="A47" s="20"/>
      <c r="B47" s="6"/>
      <c r="C47" s="19"/>
      <c r="D47" s="23"/>
      <c r="E47" s="9" t="str">
        <f t="shared" si="0"/>
        <v/>
      </c>
      <c r="F47" s="19"/>
      <c r="G47" s="19"/>
    </row>
    <row r="48" spans="1:7" x14ac:dyDescent="0.3">
      <c r="A48" s="20"/>
      <c r="B48" s="6"/>
      <c r="C48" s="19"/>
      <c r="D48" s="23"/>
      <c r="E48" s="9" t="str">
        <f t="shared" si="0"/>
        <v/>
      </c>
      <c r="F48" s="19"/>
      <c r="G48" s="19"/>
    </row>
    <row r="49" spans="1:7" x14ac:dyDescent="0.3">
      <c r="A49" s="20"/>
      <c r="B49" s="6"/>
      <c r="C49" s="19"/>
      <c r="D49" s="23"/>
      <c r="E49" s="9" t="str">
        <f t="shared" si="0"/>
        <v/>
      </c>
      <c r="F49" s="19"/>
      <c r="G49" s="19"/>
    </row>
    <row r="50" spans="1:7" x14ac:dyDescent="0.3">
      <c r="A50" s="20"/>
      <c r="B50" s="6"/>
      <c r="C50" s="19"/>
      <c r="D50" s="23"/>
      <c r="E50" s="9" t="str">
        <f t="shared" si="0"/>
        <v/>
      </c>
      <c r="F50" s="19"/>
      <c r="G50" s="19"/>
    </row>
    <row r="51" spans="1:7" x14ac:dyDescent="0.3">
      <c r="A51" s="20"/>
      <c r="B51" s="6"/>
      <c r="C51" s="19"/>
      <c r="D51" s="23"/>
      <c r="E51" s="9" t="str">
        <f t="shared" si="0"/>
        <v/>
      </c>
      <c r="F51" s="19"/>
      <c r="G51" s="19"/>
    </row>
    <row r="52" spans="1:7" x14ac:dyDescent="0.3">
      <c r="A52" s="20"/>
      <c r="B52" s="6"/>
      <c r="C52" s="19"/>
      <c r="D52" s="23"/>
      <c r="E52" s="9" t="str">
        <f t="shared" si="0"/>
        <v/>
      </c>
      <c r="F52" s="19"/>
      <c r="G52" s="19"/>
    </row>
    <row r="53" spans="1:7" x14ac:dyDescent="0.3">
      <c r="A53" s="20"/>
      <c r="B53" s="6"/>
      <c r="C53" s="19"/>
      <c r="D53" s="23"/>
      <c r="E53" s="9" t="str">
        <f t="shared" si="0"/>
        <v/>
      </c>
      <c r="F53" s="19"/>
      <c r="G53" s="19"/>
    </row>
    <row r="54" spans="1:7" x14ac:dyDescent="0.3">
      <c r="A54" s="20"/>
      <c r="B54" s="6"/>
      <c r="C54" s="19"/>
      <c r="D54" s="23"/>
      <c r="E54" s="9" t="str">
        <f t="shared" si="0"/>
        <v/>
      </c>
      <c r="F54" s="19"/>
      <c r="G54" s="19"/>
    </row>
    <row r="55" spans="1:7" x14ac:dyDescent="0.3">
      <c r="A55" s="20"/>
      <c r="B55" s="6"/>
      <c r="C55" s="19"/>
      <c r="D55" s="23"/>
      <c r="E55" s="9" t="str">
        <f t="shared" si="0"/>
        <v/>
      </c>
      <c r="F55" s="19"/>
      <c r="G55" s="19"/>
    </row>
    <row r="56" spans="1:7" x14ac:dyDescent="0.3">
      <c r="A56" s="20"/>
      <c r="B56" s="6"/>
      <c r="C56" s="19"/>
      <c r="D56" s="23"/>
      <c r="E56" s="9" t="str">
        <f t="shared" si="0"/>
        <v/>
      </c>
      <c r="F56" s="19"/>
      <c r="G56" s="19"/>
    </row>
    <row r="57" spans="1:7" x14ac:dyDescent="0.3">
      <c r="A57" s="20"/>
      <c r="B57" s="6"/>
      <c r="C57" s="19"/>
      <c r="D57" s="23"/>
      <c r="E57" s="9" t="str">
        <f t="shared" si="0"/>
        <v/>
      </c>
      <c r="F57" s="19"/>
      <c r="G57" s="19"/>
    </row>
    <row r="58" spans="1:7" x14ac:dyDescent="0.3">
      <c r="A58" s="20"/>
      <c r="B58" s="6"/>
      <c r="C58" s="19"/>
      <c r="D58" s="23"/>
      <c r="E58" s="9" t="str">
        <f t="shared" si="0"/>
        <v/>
      </c>
      <c r="F58" s="19"/>
      <c r="G58" s="19"/>
    </row>
    <row r="59" spans="1:7" x14ac:dyDescent="0.3">
      <c r="A59" s="20"/>
      <c r="B59" s="6"/>
      <c r="C59" s="19"/>
      <c r="D59" s="23"/>
      <c r="E59" s="9" t="str">
        <f t="shared" si="0"/>
        <v/>
      </c>
      <c r="F59" s="19"/>
      <c r="G59" s="19"/>
    </row>
    <row r="60" spans="1:7" x14ac:dyDescent="0.3">
      <c r="A60" s="20"/>
      <c r="B60" s="6"/>
      <c r="C60" s="19"/>
      <c r="D60" s="23"/>
      <c r="E60" s="9" t="str">
        <f t="shared" si="0"/>
        <v/>
      </c>
      <c r="F60" s="19"/>
      <c r="G60" s="19"/>
    </row>
    <row r="61" spans="1:7" x14ac:dyDescent="0.3">
      <c r="A61" s="20"/>
      <c r="B61" s="6"/>
      <c r="C61" s="19"/>
      <c r="D61" s="23"/>
      <c r="E61" s="9" t="str">
        <f t="shared" si="0"/>
        <v/>
      </c>
      <c r="F61" s="19"/>
      <c r="G61" s="19"/>
    </row>
    <row r="62" spans="1:7" x14ac:dyDescent="0.3">
      <c r="A62" s="20"/>
      <c r="B62" s="6"/>
      <c r="C62" s="19"/>
      <c r="D62" s="23"/>
      <c r="E62" s="9" t="str">
        <f t="shared" si="0"/>
        <v/>
      </c>
      <c r="F62" s="19"/>
      <c r="G62" s="19"/>
    </row>
    <row r="63" spans="1:7" x14ac:dyDescent="0.3">
      <c r="A63" s="20"/>
      <c r="B63" s="6"/>
      <c r="C63" s="19"/>
      <c r="D63" s="23"/>
      <c r="E63" s="9" t="str">
        <f t="shared" si="0"/>
        <v/>
      </c>
      <c r="F63" s="19"/>
      <c r="G63" s="19"/>
    </row>
    <row r="64" spans="1:7" x14ac:dyDescent="0.3">
      <c r="A64" s="20"/>
      <c r="B64" s="6"/>
      <c r="C64" s="19"/>
      <c r="D64" s="23"/>
      <c r="E64" s="9" t="str">
        <f t="shared" si="0"/>
        <v/>
      </c>
      <c r="F64" s="19"/>
      <c r="G64" s="19"/>
    </row>
    <row r="65" spans="1:7" x14ac:dyDescent="0.3">
      <c r="A65" s="20"/>
      <c r="B65" s="6"/>
      <c r="C65" s="19"/>
      <c r="D65" s="23"/>
      <c r="E65" s="9" t="str">
        <f t="shared" si="0"/>
        <v/>
      </c>
      <c r="F65" s="19"/>
      <c r="G65" s="19"/>
    </row>
    <row r="66" spans="1:7" x14ac:dyDescent="0.3">
      <c r="A66" s="20"/>
      <c r="B66" s="6"/>
      <c r="C66" s="19"/>
      <c r="D66" s="23"/>
      <c r="E66" s="9" t="str">
        <f t="shared" ref="E66:E129" si="1">IF($B66="","",$C66*$D66)</f>
        <v/>
      </c>
      <c r="F66" s="19"/>
      <c r="G66" s="19"/>
    </row>
    <row r="67" spans="1:7" x14ac:dyDescent="0.3">
      <c r="A67" s="20"/>
      <c r="B67" s="6"/>
      <c r="C67" s="19"/>
      <c r="D67" s="23"/>
      <c r="E67" s="9" t="str">
        <f t="shared" si="1"/>
        <v/>
      </c>
      <c r="F67" s="19"/>
      <c r="G67" s="19"/>
    </row>
    <row r="68" spans="1:7" x14ac:dyDescent="0.3">
      <c r="A68" s="20"/>
      <c r="B68" s="6"/>
      <c r="C68" s="19"/>
      <c r="D68" s="23"/>
      <c r="E68" s="9" t="str">
        <f t="shared" si="1"/>
        <v/>
      </c>
      <c r="F68" s="19"/>
      <c r="G68" s="19"/>
    </row>
    <row r="69" spans="1:7" x14ac:dyDescent="0.3">
      <c r="A69" s="20"/>
      <c r="B69" s="6"/>
      <c r="C69" s="19"/>
      <c r="D69" s="23"/>
      <c r="E69" s="9" t="str">
        <f t="shared" si="1"/>
        <v/>
      </c>
      <c r="F69" s="19"/>
      <c r="G69" s="19"/>
    </row>
    <row r="70" spans="1:7" x14ac:dyDescent="0.3">
      <c r="A70" s="20"/>
      <c r="B70" s="6"/>
      <c r="C70" s="19"/>
      <c r="D70" s="23"/>
      <c r="E70" s="9" t="str">
        <f t="shared" si="1"/>
        <v/>
      </c>
      <c r="F70" s="19"/>
      <c r="G70" s="19"/>
    </row>
    <row r="71" spans="1:7" x14ac:dyDescent="0.3">
      <c r="A71" s="20"/>
      <c r="B71" s="6"/>
      <c r="C71" s="19"/>
      <c r="D71" s="23"/>
      <c r="E71" s="9" t="str">
        <f t="shared" si="1"/>
        <v/>
      </c>
      <c r="F71" s="19"/>
      <c r="G71" s="19"/>
    </row>
    <row r="72" spans="1:7" x14ac:dyDescent="0.3">
      <c r="A72" s="20"/>
      <c r="B72" s="6"/>
      <c r="C72" s="19"/>
      <c r="D72" s="23"/>
      <c r="E72" s="9" t="str">
        <f t="shared" si="1"/>
        <v/>
      </c>
      <c r="F72" s="19"/>
      <c r="G72" s="19"/>
    </row>
    <row r="73" spans="1:7" x14ac:dyDescent="0.3">
      <c r="A73" s="20"/>
      <c r="B73" s="6"/>
      <c r="C73" s="19"/>
      <c r="D73" s="23"/>
      <c r="E73" s="9" t="str">
        <f t="shared" si="1"/>
        <v/>
      </c>
      <c r="F73" s="19"/>
      <c r="G73" s="19"/>
    </row>
    <row r="74" spans="1:7" x14ac:dyDescent="0.3">
      <c r="A74" s="20"/>
      <c r="B74" s="6"/>
      <c r="C74" s="19"/>
      <c r="D74" s="23"/>
      <c r="E74" s="9" t="str">
        <f t="shared" si="1"/>
        <v/>
      </c>
      <c r="F74" s="19"/>
      <c r="G74" s="19"/>
    </row>
    <row r="75" spans="1:7" x14ac:dyDescent="0.3">
      <c r="A75" s="20"/>
      <c r="B75" s="6"/>
      <c r="C75" s="19"/>
      <c r="D75" s="23"/>
      <c r="E75" s="9" t="str">
        <f t="shared" si="1"/>
        <v/>
      </c>
      <c r="F75" s="19"/>
      <c r="G75" s="19"/>
    </row>
    <row r="76" spans="1:7" x14ac:dyDescent="0.3">
      <c r="A76" s="20"/>
      <c r="B76" s="6"/>
      <c r="C76" s="19"/>
      <c r="D76" s="23"/>
      <c r="E76" s="9" t="str">
        <f t="shared" si="1"/>
        <v/>
      </c>
      <c r="F76" s="19"/>
      <c r="G76" s="19"/>
    </row>
    <row r="77" spans="1:7" x14ac:dyDescent="0.3">
      <c r="A77" s="20"/>
      <c r="B77" s="6"/>
      <c r="C77" s="19"/>
      <c r="D77" s="23"/>
      <c r="E77" s="9" t="str">
        <f t="shared" si="1"/>
        <v/>
      </c>
      <c r="F77" s="19"/>
      <c r="G77" s="19"/>
    </row>
    <row r="78" spans="1:7" x14ac:dyDescent="0.3">
      <c r="A78" s="20"/>
      <c r="B78" s="6"/>
      <c r="C78" s="19"/>
      <c r="D78" s="23"/>
      <c r="E78" s="9" t="str">
        <f t="shared" si="1"/>
        <v/>
      </c>
      <c r="F78" s="19"/>
      <c r="G78" s="19"/>
    </row>
    <row r="79" spans="1:7" x14ac:dyDescent="0.3">
      <c r="A79" s="20"/>
      <c r="B79" s="6"/>
      <c r="C79" s="19"/>
      <c r="D79" s="23"/>
      <c r="E79" s="9" t="str">
        <f t="shared" si="1"/>
        <v/>
      </c>
      <c r="F79" s="19"/>
      <c r="G79" s="19"/>
    </row>
    <row r="80" spans="1:7" x14ac:dyDescent="0.3">
      <c r="A80" s="20"/>
      <c r="B80" s="6"/>
      <c r="C80" s="19"/>
      <c r="D80" s="23"/>
      <c r="E80" s="9" t="str">
        <f t="shared" si="1"/>
        <v/>
      </c>
      <c r="F80" s="19"/>
      <c r="G80" s="19"/>
    </row>
    <row r="81" spans="1:7" x14ac:dyDescent="0.3">
      <c r="A81" s="20"/>
      <c r="B81" s="6"/>
      <c r="C81" s="19"/>
      <c r="D81" s="23"/>
      <c r="E81" s="9" t="str">
        <f t="shared" si="1"/>
        <v/>
      </c>
      <c r="F81" s="19"/>
      <c r="G81" s="19"/>
    </row>
    <row r="82" spans="1:7" x14ac:dyDescent="0.3">
      <c r="A82" s="20"/>
      <c r="B82" s="6"/>
      <c r="C82" s="19"/>
      <c r="D82" s="23"/>
      <c r="E82" s="9" t="str">
        <f t="shared" si="1"/>
        <v/>
      </c>
      <c r="F82" s="19"/>
      <c r="G82" s="19"/>
    </row>
    <row r="83" spans="1:7" x14ac:dyDescent="0.3">
      <c r="A83" s="20"/>
      <c r="B83" s="6"/>
      <c r="C83" s="19"/>
      <c r="D83" s="23"/>
      <c r="E83" s="9" t="str">
        <f t="shared" si="1"/>
        <v/>
      </c>
      <c r="F83" s="19"/>
      <c r="G83" s="19"/>
    </row>
    <row r="84" spans="1:7" x14ac:dyDescent="0.3">
      <c r="A84" s="20"/>
      <c r="B84" s="6"/>
      <c r="C84" s="19"/>
      <c r="D84" s="23"/>
      <c r="E84" s="9" t="str">
        <f t="shared" si="1"/>
        <v/>
      </c>
      <c r="F84" s="19"/>
      <c r="G84" s="19"/>
    </row>
    <row r="85" spans="1:7" x14ac:dyDescent="0.3">
      <c r="A85" s="20"/>
      <c r="B85" s="6"/>
      <c r="C85" s="19"/>
      <c r="D85" s="23"/>
      <c r="E85" s="9" t="str">
        <f t="shared" si="1"/>
        <v/>
      </c>
      <c r="F85" s="19"/>
      <c r="G85" s="19"/>
    </row>
    <row r="86" spans="1:7" x14ac:dyDescent="0.3">
      <c r="A86" s="20"/>
      <c r="B86" s="6"/>
      <c r="C86" s="19"/>
      <c r="D86" s="23"/>
      <c r="E86" s="9" t="str">
        <f t="shared" si="1"/>
        <v/>
      </c>
      <c r="F86" s="19"/>
      <c r="G86" s="19"/>
    </row>
    <row r="87" spans="1:7" x14ac:dyDescent="0.3">
      <c r="A87" s="20"/>
      <c r="B87" s="6"/>
      <c r="C87" s="19"/>
      <c r="D87" s="23"/>
      <c r="E87" s="9" t="str">
        <f t="shared" si="1"/>
        <v/>
      </c>
      <c r="F87" s="19"/>
      <c r="G87" s="19"/>
    </row>
    <row r="88" spans="1:7" x14ac:dyDescent="0.3">
      <c r="A88" s="20"/>
      <c r="B88" s="6"/>
      <c r="C88" s="19"/>
      <c r="D88" s="23"/>
      <c r="E88" s="9" t="str">
        <f t="shared" si="1"/>
        <v/>
      </c>
      <c r="F88" s="19"/>
      <c r="G88" s="19"/>
    </row>
    <row r="89" spans="1:7" x14ac:dyDescent="0.3">
      <c r="A89" s="20"/>
      <c r="B89" s="6"/>
      <c r="C89" s="19"/>
      <c r="D89" s="23"/>
      <c r="E89" s="9" t="str">
        <f t="shared" si="1"/>
        <v/>
      </c>
      <c r="F89" s="19"/>
      <c r="G89" s="19"/>
    </row>
    <row r="90" spans="1:7" x14ac:dyDescent="0.3">
      <c r="A90" s="20"/>
      <c r="B90" s="6"/>
      <c r="C90" s="19"/>
      <c r="D90" s="23"/>
      <c r="E90" s="9" t="str">
        <f t="shared" si="1"/>
        <v/>
      </c>
      <c r="F90" s="19"/>
      <c r="G90" s="19"/>
    </row>
    <row r="91" spans="1:7" x14ac:dyDescent="0.3">
      <c r="A91" s="20"/>
      <c r="B91" s="6"/>
      <c r="C91" s="19"/>
      <c r="D91" s="23"/>
      <c r="E91" s="9" t="str">
        <f t="shared" si="1"/>
        <v/>
      </c>
      <c r="F91" s="19"/>
      <c r="G91" s="19"/>
    </row>
    <row r="92" spans="1:7" x14ac:dyDescent="0.3">
      <c r="A92" s="20"/>
      <c r="B92" s="6"/>
      <c r="C92" s="19"/>
      <c r="D92" s="23"/>
      <c r="E92" s="9" t="str">
        <f t="shared" si="1"/>
        <v/>
      </c>
      <c r="F92" s="19"/>
      <c r="G92" s="19"/>
    </row>
    <row r="93" spans="1:7" x14ac:dyDescent="0.3">
      <c r="A93" s="20"/>
      <c r="B93" s="6"/>
      <c r="C93" s="19"/>
      <c r="D93" s="23"/>
      <c r="E93" s="9" t="str">
        <f t="shared" si="1"/>
        <v/>
      </c>
      <c r="F93" s="19"/>
      <c r="G93" s="19"/>
    </row>
    <row r="94" spans="1:7" x14ac:dyDescent="0.3">
      <c r="A94" s="20"/>
      <c r="B94" s="6"/>
      <c r="C94" s="19"/>
      <c r="D94" s="23"/>
      <c r="E94" s="9" t="str">
        <f t="shared" si="1"/>
        <v/>
      </c>
      <c r="F94" s="19"/>
      <c r="G94" s="19"/>
    </row>
    <row r="95" spans="1:7" x14ac:dyDescent="0.3">
      <c r="A95" s="20"/>
      <c r="B95" s="6"/>
      <c r="C95" s="19"/>
      <c r="D95" s="23"/>
      <c r="E95" s="9" t="str">
        <f t="shared" si="1"/>
        <v/>
      </c>
      <c r="F95" s="19"/>
      <c r="G95" s="19"/>
    </row>
    <row r="96" spans="1:7" x14ac:dyDescent="0.3">
      <c r="A96" s="20"/>
      <c r="B96" s="6"/>
      <c r="C96" s="19"/>
      <c r="D96" s="23"/>
      <c r="E96" s="9" t="str">
        <f t="shared" si="1"/>
        <v/>
      </c>
      <c r="F96" s="19"/>
      <c r="G96" s="19"/>
    </row>
    <row r="97" spans="1:7" x14ac:dyDescent="0.3">
      <c r="A97" s="20"/>
      <c r="B97" s="6"/>
      <c r="C97" s="19"/>
      <c r="D97" s="23"/>
      <c r="E97" s="9" t="str">
        <f t="shared" si="1"/>
        <v/>
      </c>
      <c r="F97" s="19"/>
      <c r="G97" s="19"/>
    </row>
    <row r="98" spans="1:7" x14ac:dyDescent="0.3">
      <c r="A98" s="20"/>
      <c r="B98" s="6"/>
      <c r="C98" s="19"/>
      <c r="D98" s="23"/>
      <c r="E98" s="9" t="str">
        <f t="shared" si="1"/>
        <v/>
      </c>
      <c r="F98" s="19"/>
      <c r="G98" s="19"/>
    </row>
    <row r="99" spans="1:7" x14ac:dyDescent="0.3">
      <c r="A99" s="20"/>
      <c r="B99" s="6"/>
      <c r="C99" s="19"/>
      <c r="D99" s="23"/>
      <c r="E99" s="9" t="str">
        <f t="shared" si="1"/>
        <v/>
      </c>
      <c r="F99" s="19"/>
      <c r="G99" s="19"/>
    </row>
    <row r="100" spans="1:7" x14ac:dyDescent="0.3">
      <c r="A100" s="20"/>
      <c r="B100" s="6"/>
      <c r="C100" s="19"/>
      <c r="D100" s="23"/>
      <c r="E100" s="9" t="str">
        <f t="shared" si="1"/>
        <v/>
      </c>
      <c r="F100" s="19"/>
      <c r="G100" s="19"/>
    </row>
    <row r="101" spans="1:7" x14ac:dyDescent="0.3">
      <c r="A101" s="20"/>
      <c r="B101" s="6"/>
      <c r="C101" s="19"/>
      <c r="D101" s="23"/>
      <c r="E101" s="9" t="str">
        <f t="shared" si="1"/>
        <v/>
      </c>
      <c r="F101" s="19"/>
      <c r="G101" s="19"/>
    </row>
    <row r="102" spans="1:7" x14ac:dyDescent="0.3">
      <c r="A102" s="20"/>
      <c r="B102" s="6"/>
      <c r="C102" s="19"/>
      <c r="D102" s="23"/>
      <c r="E102" s="9" t="str">
        <f t="shared" si="1"/>
        <v/>
      </c>
      <c r="F102" s="19"/>
      <c r="G102" s="19"/>
    </row>
    <row r="103" spans="1:7" x14ac:dyDescent="0.3">
      <c r="A103" s="20"/>
      <c r="B103" s="6"/>
      <c r="C103" s="19"/>
      <c r="D103" s="23"/>
      <c r="E103" s="9" t="str">
        <f t="shared" si="1"/>
        <v/>
      </c>
      <c r="F103" s="19"/>
      <c r="G103" s="19"/>
    </row>
    <row r="104" spans="1:7" x14ac:dyDescent="0.3">
      <c r="A104" s="20"/>
      <c r="B104" s="6"/>
      <c r="C104" s="19"/>
      <c r="D104" s="23"/>
      <c r="E104" s="9" t="str">
        <f t="shared" si="1"/>
        <v/>
      </c>
      <c r="F104" s="19"/>
      <c r="G104" s="19"/>
    </row>
    <row r="105" spans="1:7" x14ac:dyDescent="0.3">
      <c r="A105" s="20"/>
      <c r="B105" s="6"/>
      <c r="C105" s="19"/>
      <c r="D105" s="23"/>
      <c r="E105" s="9" t="str">
        <f t="shared" si="1"/>
        <v/>
      </c>
      <c r="F105" s="19"/>
      <c r="G105" s="19"/>
    </row>
    <row r="106" spans="1:7" x14ac:dyDescent="0.3">
      <c r="A106" s="20"/>
      <c r="B106" s="6"/>
      <c r="C106" s="19"/>
      <c r="D106" s="23"/>
      <c r="E106" s="9" t="str">
        <f t="shared" si="1"/>
        <v/>
      </c>
      <c r="F106" s="19"/>
      <c r="G106" s="19"/>
    </row>
    <row r="107" spans="1:7" x14ac:dyDescent="0.3">
      <c r="A107" s="20"/>
      <c r="B107" s="6"/>
      <c r="C107" s="19"/>
      <c r="D107" s="23"/>
      <c r="E107" s="9" t="str">
        <f t="shared" si="1"/>
        <v/>
      </c>
      <c r="F107" s="19"/>
      <c r="G107" s="19"/>
    </row>
    <row r="108" spans="1:7" x14ac:dyDescent="0.3">
      <c r="A108" s="20"/>
      <c r="B108" s="6"/>
      <c r="C108" s="19"/>
      <c r="D108" s="23"/>
      <c r="E108" s="9" t="str">
        <f t="shared" si="1"/>
        <v/>
      </c>
      <c r="F108" s="19"/>
      <c r="G108" s="19"/>
    </row>
    <row r="109" spans="1:7" x14ac:dyDescent="0.3">
      <c r="A109" s="20"/>
      <c r="B109" s="6"/>
      <c r="C109" s="19"/>
      <c r="D109" s="23"/>
      <c r="E109" s="9" t="str">
        <f t="shared" si="1"/>
        <v/>
      </c>
      <c r="F109" s="19"/>
      <c r="G109" s="19"/>
    </row>
    <row r="110" spans="1:7" x14ac:dyDescent="0.3">
      <c r="A110" s="20"/>
      <c r="B110" s="6"/>
      <c r="C110" s="19"/>
      <c r="D110" s="23"/>
      <c r="E110" s="9" t="str">
        <f t="shared" si="1"/>
        <v/>
      </c>
      <c r="F110" s="19"/>
      <c r="G110" s="19"/>
    </row>
    <row r="111" spans="1:7" x14ac:dyDescent="0.3">
      <c r="A111" s="20"/>
      <c r="B111" s="6"/>
      <c r="C111" s="19"/>
      <c r="D111" s="23"/>
      <c r="E111" s="9" t="str">
        <f t="shared" si="1"/>
        <v/>
      </c>
      <c r="F111" s="19"/>
      <c r="G111" s="19"/>
    </row>
    <row r="112" spans="1:7" x14ac:dyDescent="0.3">
      <c r="A112" s="20"/>
      <c r="B112" s="6"/>
      <c r="C112" s="19"/>
      <c r="D112" s="23"/>
      <c r="E112" s="9" t="str">
        <f t="shared" si="1"/>
        <v/>
      </c>
      <c r="F112" s="19"/>
      <c r="G112" s="19"/>
    </row>
    <row r="113" spans="1:7" x14ac:dyDescent="0.3">
      <c r="A113" s="20"/>
      <c r="B113" s="6"/>
      <c r="C113" s="19"/>
      <c r="D113" s="23"/>
      <c r="E113" s="9" t="str">
        <f t="shared" si="1"/>
        <v/>
      </c>
      <c r="F113" s="19"/>
      <c r="G113" s="19"/>
    </row>
    <row r="114" spans="1:7" x14ac:dyDescent="0.3">
      <c r="A114" s="20"/>
      <c r="B114" s="6"/>
      <c r="C114" s="19"/>
      <c r="D114" s="23"/>
      <c r="E114" s="9" t="str">
        <f t="shared" si="1"/>
        <v/>
      </c>
      <c r="F114" s="19"/>
      <c r="G114" s="19"/>
    </row>
    <row r="115" spans="1:7" x14ac:dyDescent="0.3">
      <c r="A115" s="20"/>
      <c r="B115" s="6"/>
      <c r="C115" s="19"/>
      <c r="D115" s="23"/>
      <c r="E115" s="9" t="str">
        <f t="shared" si="1"/>
        <v/>
      </c>
      <c r="F115" s="19"/>
      <c r="G115" s="19"/>
    </row>
    <row r="116" spans="1:7" x14ac:dyDescent="0.3">
      <c r="A116" s="20"/>
      <c r="B116" s="6"/>
      <c r="C116" s="19"/>
      <c r="D116" s="23"/>
      <c r="E116" s="9" t="str">
        <f t="shared" si="1"/>
        <v/>
      </c>
      <c r="F116" s="19"/>
      <c r="G116" s="19"/>
    </row>
    <row r="117" spans="1:7" x14ac:dyDescent="0.3">
      <c r="A117" s="20"/>
      <c r="B117" s="6"/>
      <c r="C117" s="19"/>
      <c r="D117" s="23"/>
      <c r="E117" s="9" t="str">
        <f t="shared" si="1"/>
        <v/>
      </c>
      <c r="F117" s="19"/>
      <c r="G117" s="19"/>
    </row>
    <row r="118" spans="1:7" x14ac:dyDescent="0.3">
      <c r="A118" s="20"/>
      <c r="B118" s="6"/>
      <c r="C118" s="19"/>
      <c r="D118" s="23"/>
      <c r="E118" s="9" t="str">
        <f t="shared" si="1"/>
        <v/>
      </c>
      <c r="F118" s="19"/>
      <c r="G118" s="19"/>
    </row>
    <row r="119" spans="1:7" x14ac:dyDescent="0.3">
      <c r="A119" s="20"/>
      <c r="B119" s="6"/>
      <c r="C119" s="19"/>
      <c r="D119" s="23"/>
      <c r="E119" s="9" t="str">
        <f t="shared" si="1"/>
        <v/>
      </c>
      <c r="F119" s="19"/>
      <c r="G119" s="19"/>
    </row>
    <row r="120" spans="1:7" x14ac:dyDescent="0.3">
      <c r="A120" s="20"/>
      <c r="B120" s="6"/>
      <c r="C120" s="19"/>
      <c r="D120" s="23"/>
      <c r="E120" s="9" t="str">
        <f t="shared" si="1"/>
        <v/>
      </c>
      <c r="F120" s="19"/>
      <c r="G120" s="19"/>
    </row>
    <row r="121" spans="1:7" x14ac:dyDescent="0.3">
      <c r="A121" s="20"/>
      <c r="B121" s="6"/>
      <c r="C121" s="19"/>
      <c r="D121" s="23"/>
      <c r="E121" s="9" t="str">
        <f t="shared" si="1"/>
        <v/>
      </c>
      <c r="F121" s="19"/>
      <c r="G121" s="19"/>
    </row>
    <row r="122" spans="1:7" x14ac:dyDescent="0.3">
      <c r="A122" s="20"/>
      <c r="B122" s="6"/>
      <c r="C122" s="19"/>
      <c r="D122" s="23"/>
      <c r="E122" s="9" t="str">
        <f t="shared" si="1"/>
        <v/>
      </c>
      <c r="F122" s="19"/>
      <c r="G122" s="19"/>
    </row>
    <row r="123" spans="1:7" x14ac:dyDescent="0.3">
      <c r="A123" s="20"/>
      <c r="B123" s="6"/>
      <c r="C123" s="19"/>
      <c r="D123" s="23"/>
      <c r="E123" s="9" t="str">
        <f t="shared" si="1"/>
        <v/>
      </c>
      <c r="F123" s="19"/>
      <c r="G123" s="19"/>
    </row>
    <row r="124" spans="1:7" x14ac:dyDescent="0.3">
      <c r="A124" s="20"/>
      <c r="B124" s="6"/>
      <c r="C124" s="19"/>
      <c r="D124" s="23"/>
      <c r="E124" s="9" t="str">
        <f t="shared" si="1"/>
        <v/>
      </c>
      <c r="F124" s="19"/>
      <c r="G124" s="19"/>
    </row>
    <row r="125" spans="1:7" x14ac:dyDescent="0.3">
      <c r="A125" s="20"/>
      <c r="B125" s="6"/>
      <c r="C125" s="19"/>
      <c r="D125" s="23"/>
      <c r="E125" s="9" t="str">
        <f t="shared" si="1"/>
        <v/>
      </c>
      <c r="F125" s="19"/>
      <c r="G125" s="19"/>
    </row>
    <row r="126" spans="1:7" x14ac:dyDescent="0.3">
      <c r="A126" s="20"/>
      <c r="B126" s="6"/>
      <c r="C126" s="19"/>
      <c r="D126" s="23"/>
      <c r="E126" s="9" t="str">
        <f t="shared" si="1"/>
        <v/>
      </c>
      <c r="F126" s="19"/>
      <c r="G126" s="19"/>
    </row>
    <row r="127" spans="1:7" x14ac:dyDescent="0.3">
      <c r="A127" s="20"/>
      <c r="B127" s="6"/>
      <c r="C127" s="19"/>
      <c r="D127" s="23"/>
      <c r="E127" s="9" t="str">
        <f t="shared" si="1"/>
        <v/>
      </c>
      <c r="F127" s="19"/>
      <c r="G127" s="19"/>
    </row>
    <row r="128" spans="1:7" x14ac:dyDescent="0.3">
      <c r="A128" s="20"/>
      <c r="B128" s="6"/>
      <c r="C128" s="19"/>
      <c r="D128" s="23"/>
      <c r="E128" s="9" t="str">
        <f t="shared" si="1"/>
        <v/>
      </c>
      <c r="F128" s="19"/>
      <c r="G128" s="19"/>
    </row>
    <row r="129" spans="1:7" x14ac:dyDescent="0.3">
      <c r="A129" s="20"/>
      <c r="B129" s="6"/>
      <c r="C129" s="19"/>
      <c r="D129" s="23"/>
      <c r="E129" s="9" t="str">
        <f t="shared" si="1"/>
        <v/>
      </c>
      <c r="F129" s="19"/>
      <c r="G129" s="19"/>
    </row>
    <row r="130" spans="1:7" x14ac:dyDescent="0.3">
      <c r="A130" s="20"/>
      <c r="B130" s="6"/>
      <c r="C130" s="19"/>
      <c r="D130" s="23"/>
      <c r="E130" s="9" t="str">
        <f t="shared" ref="E130:E193" si="2">IF($B130="","",$C130*$D130)</f>
        <v/>
      </c>
      <c r="F130" s="19"/>
      <c r="G130" s="19"/>
    </row>
    <row r="131" spans="1:7" x14ac:dyDescent="0.3">
      <c r="A131" s="20"/>
      <c r="B131" s="6"/>
      <c r="C131" s="19"/>
      <c r="D131" s="23"/>
      <c r="E131" s="9" t="str">
        <f t="shared" si="2"/>
        <v/>
      </c>
      <c r="F131" s="19"/>
      <c r="G131" s="19"/>
    </row>
    <row r="132" spans="1:7" x14ac:dyDescent="0.3">
      <c r="A132" s="20"/>
      <c r="B132" s="6"/>
      <c r="C132" s="19"/>
      <c r="D132" s="23"/>
      <c r="E132" s="9" t="str">
        <f t="shared" si="2"/>
        <v/>
      </c>
      <c r="F132" s="19"/>
      <c r="G132" s="19"/>
    </row>
    <row r="133" spans="1:7" x14ac:dyDescent="0.3">
      <c r="A133" s="20"/>
      <c r="B133" s="6"/>
      <c r="C133" s="19"/>
      <c r="D133" s="23"/>
      <c r="E133" s="9" t="str">
        <f t="shared" si="2"/>
        <v/>
      </c>
      <c r="F133" s="19"/>
      <c r="G133" s="19"/>
    </row>
    <row r="134" spans="1:7" x14ac:dyDescent="0.3">
      <c r="A134" s="20"/>
      <c r="B134" s="6"/>
      <c r="C134" s="19"/>
      <c r="D134" s="23"/>
      <c r="E134" s="9" t="str">
        <f t="shared" si="2"/>
        <v/>
      </c>
      <c r="F134" s="19"/>
      <c r="G134" s="19"/>
    </row>
    <row r="135" spans="1:7" x14ac:dyDescent="0.3">
      <c r="A135" s="20"/>
      <c r="B135" s="6"/>
      <c r="C135" s="19"/>
      <c r="D135" s="23"/>
      <c r="E135" s="9" t="str">
        <f t="shared" si="2"/>
        <v/>
      </c>
      <c r="F135" s="19"/>
      <c r="G135" s="19"/>
    </row>
    <row r="136" spans="1:7" x14ac:dyDescent="0.3">
      <c r="A136" s="20"/>
      <c r="B136" s="6"/>
      <c r="C136" s="19"/>
      <c r="D136" s="23"/>
      <c r="E136" s="9" t="str">
        <f t="shared" si="2"/>
        <v/>
      </c>
      <c r="F136" s="19"/>
      <c r="G136" s="19"/>
    </row>
    <row r="137" spans="1:7" x14ac:dyDescent="0.3">
      <c r="A137" s="20"/>
      <c r="B137" s="6"/>
      <c r="C137" s="19"/>
      <c r="D137" s="23"/>
      <c r="E137" s="9" t="str">
        <f t="shared" si="2"/>
        <v/>
      </c>
      <c r="F137" s="19"/>
      <c r="G137" s="19"/>
    </row>
    <row r="138" spans="1:7" x14ac:dyDescent="0.3">
      <c r="A138" s="20"/>
      <c r="B138" s="6"/>
      <c r="C138" s="19"/>
      <c r="D138" s="23"/>
      <c r="E138" s="9" t="str">
        <f t="shared" si="2"/>
        <v/>
      </c>
      <c r="F138" s="19"/>
      <c r="G138" s="19"/>
    </row>
    <row r="139" spans="1:7" x14ac:dyDescent="0.3">
      <c r="A139" s="20"/>
      <c r="B139" s="6"/>
      <c r="C139" s="19"/>
      <c r="D139" s="23"/>
      <c r="E139" s="9" t="str">
        <f t="shared" si="2"/>
        <v/>
      </c>
      <c r="F139" s="19"/>
      <c r="G139" s="19"/>
    </row>
    <row r="140" spans="1:7" x14ac:dyDescent="0.3">
      <c r="A140" s="20"/>
      <c r="B140" s="6"/>
      <c r="C140" s="19"/>
      <c r="D140" s="23"/>
      <c r="E140" s="9" t="str">
        <f t="shared" si="2"/>
        <v/>
      </c>
      <c r="F140" s="19"/>
      <c r="G140" s="19"/>
    </row>
    <row r="141" spans="1:7" x14ac:dyDescent="0.3">
      <c r="A141" s="20"/>
      <c r="B141" s="6"/>
      <c r="C141" s="19"/>
      <c r="D141" s="23"/>
      <c r="E141" s="9" t="str">
        <f t="shared" si="2"/>
        <v/>
      </c>
      <c r="F141" s="19"/>
      <c r="G141" s="19"/>
    </row>
    <row r="142" spans="1:7" x14ac:dyDescent="0.3">
      <c r="A142" s="20"/>
      <c r="B142" s="6"/>
      <c r="C142" s="19"/>
      <c r="D142" s="23"/>
      <c r="E142" s="9" t="str">
        <f t="shared" si="2"/>
        <v/>
      </c>
      <c r="F142" s="19"/>
      <c r="G142" s="19"/>
    </row>
    <row r="143" spans="1:7" x14ac:dyDescent="0.3">
      <c r="A143" s="20"/>
      <c r="B143" s="6"/>
      <c r="C143" s="19"/>
      <c r="D143" s="23"/>
      <c r="E143" s="9" t="str">
        <f t="shared" si="2"/>
        <v/>
      </c>
      <c r="F143" s="19"/>
      <c r="G143" s="19"/>
    </row>
    <row r="144" spans="1:7" x14ac:dyDescent="0.3">
      <c r="A144" s="20"/>
      <c r="B144" s="6"/>
      <c r="C144" s="19"/>
      <c r="D144" s="23"/>
      <c r="E144" s="9" t="str">
        <f t="shared" si="2"/>
        <v/>
      </c>
      <c r="F144" s="19"/>
      <c r="G144" s="19"/>
    </row>
    <row r="145" spans="1:7" x14ac:dyDescent="0.3">
      <c r="A145" s="20"/>
      <c r="B145" s="6"/>
      <c r="C145" s="19"/>
      <c r="D145" s="23"/>
      <c r="E145" s="9" t="str">
        <f t="shared" si="2"/>
        <v/>
      </c>
      <c r="F145" s="19"/>
      <c r="G145" s="19"/>
    </row>
    <row r="146" spans="1:7" x14ac:dyDescent="0.3">
      <c r="A146" s="20"/>
      <c r="B146" s="6"/>
      <c r="C146" s="19"/>
      <c r="D146" s="23"/>
      <c r="E146" s="9" t="str">
        <f t="shared" si="2"/>
        <v/>
      </c>
      <c r="F146" s="19"/>
      <c r="G146" s="19"/>
    </row>
    <row r="147" spans="1:7" x14ac:dyDescent="0.3">
      <c r="A147" s="20"/>
      <c r="B147" s="6"/>
      <c r="C147" s="19"/>
      <c r="D147" s="23"/>
      <c r="E147" s="9" t="str">
        <f t="shared" si="2"/>
        <v/>
      </c>
      <c r="F147" s="19"/>
      <c r="G147" s="19"/>
    </row>
    <row r="148" spans="1:7" x14ac:dyDescent="0.3">
      <c r="A148" s="20"/>
      <c r="B148" s="6"/>
      <c r="C148" s="19"/>
      <c r="D148" s="23"/>
      <c r="E148" s="9" t="str">
        <f t="shared" si="2"/>
        <v/>
      </c>
      <c r="F148" s="19"/>
      <c r="G148" s="19"/>
    </row>
    <row r="149" spans="1:7" x14ac:dyDescent="0.3">
      <c r="A149" s="20"/>
      <c r="B149" s="6"/>
      <c r="C149" s="19"/>
      <c r="D149" s="23"/>
      <c r="E149" s="9" t="str">
        <f t="shared" si="2"/>
        <v/>
      </c>
      <c r="F149" s="19"/>
      <c r="G149" s="19"/>
    </row>
    <row r="150" spans="1:7" x14ac:dyDescent="0.3">
      <c r="A150" s="20"/>
      <c r="B150" s="6"/>
      <c r="C150" s="19"/>
      <c r="D150" s="23"/>
      <c r="E150" s="9" t="str">
        <f t="shared" si="2"/>
        <v/>
      </c>
      <c r="F150" s="19"/>
      <c r="G150" s="19"/>
    </row>
    <row r="151" spans="1:7" x14ac:dyDescent="0.3">
      <c r="A151" s="20"/>
      <c r="B151" s="6"/>
      <c r="C151" s="19"/>
      <c r="D151" s="23"/>
      <c r="E151" s="9" t="str">
        <f t="shared" si="2"/>
        <v/>
      </c>
      <c r="F151" s="19"/>
      <c r="G151" s="19"/>
    </row>
    <row r="152" spans="1:7" x14ac:dyDescent="0.3">
      <c r="A152" s="20"/>
      <c r="B152" s="6"/>
      <c r="C152" s="19"/>
      <c r="D152" s="23"/>
      <c r="E152" s="9" t="str">
        <f t="shared" si="2"/>
        <v/>
      </c>
      <c r="F152" s="19"/>
      <c r="G152" s="19"/>
    </row>
    <row r="153" spans="1:7" x14ac:dyDescent="0.3">
      <c r="A153" s="20"/>
      <c r="B153" s="6"/>
      <c r="C153" s="19"/>
      <c r="D153" s="23"/>
      <c r="E153" s="9" t="str">
        <f t="shared" si="2"/>
        <v/>
      </c>
      <c r="F153" s="19"/>
      <c r="G153" s="19"/>
    </row>
    <row r="154" spans="1:7" x14ac:dyDescent="0.3">
      <c r="A154" s="20"/>
      <c r="B154" s="6"/>
      <c r="C154" s="19"/>
      <c r="D154" s="23"/>
      <c r="E154" s="9" t="str">
        <f t="shared" si="2"/>
        <v/>
      </c>
      <c r="F154" s="19"/>
      <c r="G154" s="19"/>
    </row>
    <row r="155" spans="1:7" x14ac:dyDescent="0.3">
      <c r="A155" s="20"/>
      <c r="B155" s="6"/>
      <c r="C155" s="19"/>
      <c r="D155" s="23"/>
      <c r="E155" s="9" t="str">
        <f t="shared" si="2"/>
        <v/>
      </c>
      <c r="F155" s="19"/>
      <c r="G155" s="19"/>
    </row>
    <row r="156" spans="1:7" x14ac:dyDescent="0.3">
      <c r="A156" s="20"/>
      <c r="B156" s="6"/>
      <c r="C156" s="19"/>
      <c r="D156" s="23"/>
      <c r="E156" s="9" t="str">
        <f t="shared" si="2"/>
        <v/>
      </c>
      <c r="F156" s="19"/>
      <c r="G156" s="19"/>
    </row>
    <row r="157" spans="1:7" x14ac:dyDescent="0.3">
      <c r="A157" s="20"/>
      <c r="B157" s="6"/>
      <c r="C157" s="19"/>
      <c r="D157" s="23"/>
      <c r="E157" s="9" t="str">
        <f t="shared" si="2"/>
        <v/>
      </c>
      <c r="F157" s="19"/>
      <c r="G157" s="19"/>
    </row>
    <row r="158" spans="1:7" x14ac:dyDescent="0.3">
      <c r="A158" s="20"/>
      <c r="B158" s="6"/>
      <c r="C158" s="19"/>
      <c r="D158" s="23"/>
      <c r="E158" s="9" t="str">
        <f t="shared" si="2"/>
        <v/>
      </c>
      <c r="F158" s="19"/>
      <c r="G158" s="19"/>
    </row>
    <row r="159" spans="1:7" x14ac:dyDescent="0.3">
      <c r="A159" s="20"/>
      <c r="B159" s="6"/>
      <c r="C159" s="19"/>
      <c r="D159" s="23"/>
      <c r="E159" s="9" t="str">
        <f t="shared" si="2"/>
        <v/>
      </c>
      <c r="F159" s="19"/>
      <c r="G159" s="19"/>
    </row>
    <row r="160" spans="1:7" x14ac:dyDescent="0.3">
      <c r="A160" s="20"/>
      <c r="B160" s="6"/>
      <c r="C160" s="19"/>
      <c r="D160" s="23"/>
      <c r="E160" s="9" t="str">
        <f t="shared" si="2"/>
        <v/>
      </c>
      <c r="F160" s="19"/>
      <c r="G160" s="19"/>
    </row>
    <row r="161" spans="1:7" x14ac:dyDescent="0.3">
      <c r="A161" s="20"/>
      <c r="B161" s="6"/>
      <c r="C161" s="19"/>
      <c r="D161" s="23"/>
      <c r="E161" s="9" t="str">
        <f t="shared" si="2"/>
        <v/>
      </c>
      <c r="F161" s="19"/>
      <c r="G161" s="19"/>
    </row>
    <row r="162" spans="1:7" x14ac:dyDescent="0.3">
      <c r="A162" s="20"/>
      <c r="B162" s="6"/>
      <c r="C162" s="19"/>
      <c r="D162" s="23"/>
      <c r="E162" s="9" t="str">
        <f t="shared" si="2"/>
        <v/>
      </c>
      <c r="F162" s="19"/>
      <c r="G162" s="19"/>
    </row>
    <row r="163" spans="1:7" x14ac:dyDescent="0.3">
      <c r="A163" s="20"/>
      <c r="B163" s="6"/>
      <c r="C163" s="19"/>
      <c r="D163" s="23"/>
      <c r="E163" s="9" t="str">
        <f t="shared" si="2"/>
        <v/>
      </c>
      <c r="F163" s="19"/>
      <c r="G163" s="19"/>
    </row>
    <row r="164" spans="1:7" x14ac:dyDescent="0.3">
      <c r="A164" s="20"/>
      <c r="B164" s="6"/>
      <c r="C164" s="19"/>
      <c r="D164" s="23"/>
      <c r="E164" s="9" t="str">
        <f t="shared" si="2"/>
        <v/>
      </c>
      <c r="F164" s="19"/>
      <c r="G164" s="19"/>
    </row>
    <row r="165" spans="1:7" x14ac:dyDescent="0.3">
      <c r="A165" s="20"/>
      <c r="B165" s="6"/>
      <c r="C165" s="19"/>
      <c r="D165" s="23"/>
      <c r="E165" s="9" t="str">
        <f t="shared" si="2"/>
        <v/>
      </c>
      <c r="F165" s="19"/>
      <c r="G165" s="19"/>
    </row>
    <row r="166" spans="1:7" x14ac:dyDescent="0.3">
      <c r="A166" s="20"/>
      <c r="B166" s="6"/>
      <c r="C166" s="19"/>
      <c r="D166" s="23"/>
      <c r="E166" s="9" t="str">
        <f t="shared" si="2"/>
        <v/>
      </c>
      <c r="F166" s="19"/>
      <c r="G166" s="19"/>
    </row>
    <row r="167" spans="1:7" x14ac:dyDescent="0.3">
      <c r="A167" s="20"/>
      <c r="B167" s="6"/>
      <c r="C167" s="19"/>
      <c r="D167" s="23"/>
      <c r="E167" s="9" t="str">
        <f t="shared" si="2"/>
        <v/>
      </c>
      <c r="F167" s="19"/>
      <c r="G167" s="19"/>
    </row>
    <row r="168" spans="1:7" x14ac:dyDescent="0.3">
      <c r="A168" s="20"/>
      <c r="B168" s="6"/>
      <c r="C168" s="19"/>
      <c r="D168" s="23"/>
      <c r="E168" s="9" t="str">
        <f t="shared" si="2"/>
        <v/>
      </c>
      <c r="F168" s="19"/>
      <c r="G168" s="19"/>
    </row>
    <row r="169" spans="1:7" x14ac:dyDescent="0.3">
      <c r="A169" s="20"/>
      <c r="B169" s="6"/>
      <c r="C169" s="19"/>
      <c r="D169" s="23"/>
      <c r="E169" s="9" t="str">
        <f t="shared" si="2"/>
        <v/>
      </c>
      <c r="F169" s="19"/>
      <c r="G169" s="19"/>
    </row>
    <row r="170" spans="1:7" x14ac:dyDescent="0.3">
      <c r="A170" s="20"/>
      <c r="B170" s="6"/>
      <c r="C170" s="19"/>
      <c r="D170" s="23"/>
      <c r="E170" s="9" t="str">
        <f t="shared" si="2"/>
        <v/>
      </c>
      <c r="F170" s="19"/>
      <c r="G170" s="19"/>
    </row>
    <row r="171" spans="1:7" x14ac:dyDescent="0.3">
      <c r="A171" s="20"/>
      <c r="B171" s="6"/>
      <c r="C171" s="19"/>
      <c r="D171" s="23"/>
      <c r="E171" s="9" t="str">
        <f t="shared" si="2"/>
        <v/>
      </c>
      <c r="F171" s="19"/>
      <c r="G171" s="19"/>
    </row>
    <row r="172" spans="1:7" x14ac:dyDescent="0.3">
      <c r="A172" s="20"/>
      <c r="B172" s="6"/>
      <c r="C172" s="19"/>
      <c r="D172" s="23"/>
      <c r="E172" s="9" t="str">
        <f t="shared" si="2"/>
        <v/>
      </c>
      <c r="F172" s="19"/>
      <c r="G172" s="19"/>
    </row>
    <row r="173" spans="1:7" x14ac:dyDescent="0.3">
      <c r="A173" s="20"/>
      <c r="B173" s="6"/>
      <c r="C173" s="19"/>
      <c r="D173" s="23"/>
      <c r="E173" s="9" t="str">
        <f t="shared" si="2"/>
        <v/>
      </c>
      <c r="F173" s="19"/>
      <c r="G173" s="19"/>
    </row>
    <row r="174" spans="1:7" x14ac:dyDescent="0.3">
      <c r="A174" s="20"/>
      <c r="B174" s="6"/>
      <c r="C174" s="19"/>
      <c r="D174" s="23"/>
      <c r="E174" s="9" t="str">
        <f t="shared" si="2"/>
        <v/>
      </c>
      <c r="F174" s="19"/>
      <c r="G174" s="19"/>
    </row>
    <row r="175" spans="1:7" x14ac:dyDescent="0.3">
      <c r="A175" s="20"/>
      <c r="B175" s="6"/>
      <c r="C175" s="19"/>
      <c r="D175" s="23"/>
      <c r="E175" s="9" t="str">
        <f t="shared" si="2"/>
        <v/>
      </c>
      <c r="F175" s="19"/>
      <c r="G175" s="19"/>
    </row>
    <row r="176" spans="1:7" x14ac:dyDescent="0.3">
      <c r="A176" s="20"/>
      <c r="B176" s="6"/>
      <c r="C176" s="19"/>
      <c r="D176" s="23"/>
      <c r="E176" s="9" t="str">
        <f t="shared" si="2"/>
        <v/>
      </c>
      <c r="F176" s="19"/>
      <c r="G176" s="19"/>
    </row>
    <row r="177" spans="1:7" x14ac:dyDescent="0.3">
      <c r="A177" s="20"/>
      <c r="B177" s="6"/>
      <c r="C177" s="19"/>
      <c r="D177" s="23"/>
      <c r="E177" s="9" t="str">
        <f t="shared" si="2"/>
        <v/>
      </c>
      <c r="F177" s="19"/>
      <c r="G177" s="19"/>
    </row>
    <row r="178" spans="1:7" x14ac:dyDescent="0.3">
      <c r="A178" s="20"/>
      <c r="B178" s="6"/>
      <c r="C178" s="19"/>
      <c r="D178" s="23"/>
      <c r="E178" s="9" t="str">
        <f t="shared" si="2"/>
        <v/>
      </c>
      <c r="F178" s="19"/>
      <c r="G178" s="19"/>
    </row>
    <row r="179" spans="1:7" x14ac:dyDescent="0.3">
      <c r="A179" s="20"/>
      <c r="B179" s="6"/>
      <c r="C179" s="19"/>
      <c r="D179" s="23"/>
      <c r="E179" s="9" t="str">
        <f t="shared" si="2"/>
        <v/>
      </c>
      <c r="F179" s="19"/>
      <c r="G179" s="19"/>
    </row>
    <row r="180" spans="1:7" x14ac:dyDescent="0.3">
      <c r="A180" s="20"/>
      <c r="B180" s="6"/>
      <c r="C180" s="19"/>
      <c r="D180" s="23"/>
      <c r="E180" s="9" t="str">
        <f t="shared" si="2"/>
        <v/>
      </c>
      <c r="F180" s="19"/>
      <c r="G180" s="19"/>
    </row>
    <row r="181" spans="1:7" x14ac:dyDescent="0.3">
      <c r="A181" s="20"/>
      <c r="B181" s="6"/>
      <c r="C181" s="19"/>
      <c r="D181" s="23"/>
      <c r="E181" s="9" t="str">
        <f t="shared" si="2"/>
        <v/>
      </c>
      <c r="F181" s="19"/>
      <c r="G181" s="19"/>
    </row>
    <row r="182" spans="1:7" x14ac:dyDescent="0.3">
      <c r="A182" s="20"/>
      <c r="B182" s="6"/>
      <c r="C182" s="19"/>
      <c r="D182" s="23"/>
      <c r="E182" s="9" t="str">
        <f t="shared" si="2"/>
        <v/>
      </c>
      <c r="F182" s="19"/>
      <c r="G182" s="19"/>
    </row>
    <row r="183" spans="1:7" x14ac:dyDescent="0.3">
      <c r="A183" s="20"/>
      <c r="B183" s="6"/>
      <c r="C183" s="19"/>
      <c r="D183" s="23"/>
      <c r="E183" s="9" t="str">
        <f t="shared" si="2"/>
        <v/>
      </c>
      <c r="F183" s="19"/>
      <c r="G183" s="19"/>
    </row>
    <row r="184" spans="1:7" x14ac:dyDescent="0.3">
      <c r="A184" s="20"/>
      <c r="B184" s="6"/>
      <c r="C184" s="19"/>
      <c r="D184" s="23"/>
      <c r="E184" s="9" t="str">
        <f t="shared" si="2"/>
        <v/>
      </c>
      <c r="F184" s="19"/>
      <c r="G184" s="19"/>
    </row>
    <row r="185" spans="1:7" x14ac:dyDescent="0.3">
      <c r="A185" s="20"/>
      <c r="B185" s="6"/>
      <c r="C185" s="19"/>
      <c r="D185" s="23"/>
      <c r="E185" s="9" t="str">
        <f t="shared" si="2"/>
        <v/>
      </c>
      <c r="F185" s="19"/>
      <c r="G185" s="19"/>
    </row>
    <row r="186" spans="1:7" x14ac:dyDescent="0.3">
      <c r="A186" s="20"/>
      <c r="B186" s="6"/>
      <c r="C186" s="19"/>
      <c r="D186" s="23"/>
      <c r="E186" s="9" t="str">
        <f t="shared" si="2"/>
        <v/>
      </c>
      <c r="F186" s="19"/>
      <c r="G186" s="19"/>
    </row>
    <row r="187" spans="1:7" x14ac:dyDescent="0.3">
      <c r="A187" s="20"/>
      <c r="B187" s="6"/>
      <c r="C187" s="19"/>
      <c r="D187" s="23"/>
      <c r="E187" s="9" t="str">
        <f t="shared" si="2"/>
        <v/>
      </c>
      <c r="F187" s="19"/>
      <c r="G187" s="19"/>
    </row>
    <row r="188" spans="1:7" x14ac:dyDescent="0.3">
      <c r="A188" s="20"/>
      <c r="B188" s="6"/>
      <c r="C188" s="19"/>
      <c r="D188" s="23"/>
      <c r="E188" s="9" t="str">
        <f t="shared" si="2"/>
        <v/>
      </c>
      <c r="F188" s="19"/>
      <c r="G188" s="19"/>
    </row>
    <row r="189" spans="1:7" x14ac:dyDescent="0.3">
      <c r="A189" s="20"/>
      <c r="B189" s="6"/>
      <c r="C189" s="19"/>
      <c r="D189" s="23"/>
      <c r="E189" s="9" t="str">
        <f t="shared" si="2"/>
        <v/>
      </c>
      <c r="F189" s="19"/>
      <c r="G189" s="19"/>
    </row>
    <row r="190" spans="1:7" x14ac:dyDescent="0.3">
      <c r="A190" s="20"/>
      <c r="B190" s="6"/>
      <c r="C190" s="19"/>
      <c r="D190" s="23"/>
      <c r="E190" s="9" t="str">
        <f t="shared" si="2"/>
        <v/>
      </c>
      <c r="F190" s="19"/>
      <c r="G190" s="19"/>
    </row>
    <row r="191" spans="1:7" x14ac:dyDescent="0.3">
      <c r="A191" s="20"/>
      <c r="B191" s="6"/>
      <c r="C191" s="19"/>
      <c r="D191" s="23"/>
      <c r="E191" s="9" t="str">
        <f t="shared" si="2"/>
        <v/>
      </c>
      <c r="F191" s="19"/>
      <c r="G191" s="19"/>
    </row>
    <row r="192" spans="1:7" x14ac:dyDescent="0.3">
      <c r="A192" s="20"/>
      <c r="B192" s="6"/>
      <c r="C192" s="19"/>
      <c r="D192" s="23"/>
      <c r="E192" s="9" t="str">
        <f t="shared" si="2"/>
        <v/>
      </c>
      <c r="F192" s="19"/>
      <c r="G192" s="19"/>
    </row>
    <row r="193" spans="1:7" x14ac:dyDescent="0.3">
      <c r="A193" s="20"/>
      <c r="B193" s="6"/>
      <c r="C193" s="19"/>
      <c r="D193" s="23"/>
      <c r="E193" s="9" t="str">
        <f t="shared" si="2"/>
        <v/>
      </c>
      <c r="F193" s="19"/>
      <c r="G193" s="19"/>
    </row>
    <row r="194" spans="1:7" x14ac:dyDescent="0.3">
      <c r="A194" s="20"/>
      <c r="B194" s="6"/>
      <c r="C194" s="19"/>
      <c r="D194" s="23"/>
      <c r="E194" s="9" t="str">
        <f t="shared" ref="E194:E257" si="3">IF($B194="","",$C194*$D194)</f>
        <v/>
      </c>
      <c r="F194" s="19"/>
      <c r="G194" s="19"/>
    </row>
    <row r="195" spans="1:7" x14ac:dyDescent="0.3">
      <c r="A195" s="20"/>
      <c r="B195" s="6"/>
      <c r="C195" s="19"/>
      <c r="D195" s="23"/>
      <c r="E195" s="9" t="str">
        <f t="shared" si="3"/>
        <v/>
      </c>
      <c r="F195" s="19"/>
      <c r="G195" s="19"/>
    </row>
    <row r="196" spans="1:7" x14ac:dyDescent="0.3">
      <c r="A196" s="20"/>
      <c r="B196" s="6"/>
      <c r="C196" s="19"/>
      <c r="D196" s="23"/>
      <c r="E196" s="9" t="str">
        <f t="shared" si="3"/>
        <v/>
      </c>
      <c r="F196" s="19"/>
      <c r="G196" s="19"/>
    </row>
    <row r="197" spans="1:7" x14ac:dyDescent="0.3">
      <c r="A197" s="20"/>
      <c r="B197" s="6"/>
      <c r="C197" s="19"/>
      <c r="D197" s="23"/>
      <c r="E197" s="9" t="str">
        <f t="shared" si="3"/>
        <v/>
      </c>
      <c r="F197" s="19"/>
      <c r="G197" s="19"/>
    </row>
    <row r="198" spans="1:7" x14ac:dyDescent="0.3">
      <c r="A198" s="20"/>
      <c r="B198" s="6"/>
      <c r="C198" s="19"/>
      <c r="D198" s="23"/>
      <c r="E198" s="9" t="str">
        <f t="shared" si="3"/>
        <v/>
      </c>
      <c r="F198" s="19"/>
      <c r="G198" s="19"/>
    </row>
    <row r="199" spans="1:7" x14ac:dyDescent="0.3">
      <c r="A199" s="20"/>
      <c r="B199" s="6"/>
      <c r="C199" s="19"/>
      <c r="D199" s="23"/>
      <c r="E199" s="9" t="str">
        <f t="shared" si="3"/>
        <v/>
      </c>
      <c r="F199" s="19"/>
      <c r="G199" s="19"/>
    </row>
    <row r="200" spans="1:7" x14ac:dyDescent="0.3">
      <c r="A200" s="20"/>
      <c r="B200" s="6"/>
      <c r="C200" s="19"/>
      <c r="D200" s="23"/>
      <c r="E200" s="9" t="str">
        <f t="shared" si="3"/>
        <v/>
      </c>
      <c r="F200" s="19"/>
      <c r="G200" s="19"/>
    </row>
    <row r="201" spans="1:7" x14ac:dyDescent="0.3">
      <c r="A201" s="20"/>
      <c r="B201" s="6"/>
      <c r="C201" s="19"/>
      <c r="D201" s="23"/>
      <c r="E201" s="9" t="str">
        <f t="shared" si="3"/>
        <v/>
      </c>
      <c r="F201" s="19"/>
      <c r="G201" s="19"/>
    </row>
    <row r="202" spans="1:7" x14ac:dyDescent="0.3">
      <c r="A202" s="20"/>
      <c r="B202" s="6"/>
      <c r="C202" s="19"/>
      <c r="D202" s="23"/>
      <c r="E202" s="9" t="str">
        <f t="shared" si="3"/>
        <v/>
      </c>
      <c r="F202" s="19"/>
      <c r="G202" s="19"/>
    </row>
    <row r="203" spans="1:7" x14ac:dyDescent="0.3">
      <c r="A203" s="20"/>
      <c r="B203" s="6"/>
      <c r="C203" s="19"/>
      <c r="D203" s="23"/>
      <c r="E203" s="9" t="str">
        <f t="shared" si="3"/>
        <v/>
      </c>
      <c r="F203" s="19"/>
      <c r="G203" s="19"/>
    </row>
    <row r="204" spans="1:7" x14ac:dyDescent="0.3">
      <c r="A204" s="20"/>
      <c r="B204" s="6"/>
      <c r="C204" s="19"/>
      <c r="D204" s="23"/>
      <c r="E204" s="9" t="str">
        <f t="shared" si="3"/>
        <v/>
      </c>
      <c r="F204" s="19"/>
      <c r="G204" s="19"/>
    </row>
    <row r="205" spans="1:7" x14ac:dyDescent="0.3">
      <c r="A205" s="20"/>
      <c r="B205" s="6"/>
      <c r="C205" s="19"/>
      <c r="D205" s="23"/>
      <c r="E205" s="9" t="str">
        <f t="shared" si="3"/>
        <v/>
      </c>
      <c r="F205" s="19"/>
      <c r="G205" s="19"/>
    </row>
    <row r="206" spans="1:7" x14ac:dyDescent="0.3">
      <c r="A206" s="20"/>
      <c r="B206" s="6"/>
      <c r="C206" s="19"/>
      <c r="D206" s="23"/>
      <c r="E206" s="9" t="str">
        <f t="shared" si="3"/>
        <v/>
      </c>
      <c r="F206" s="19"/>
      <c r="G206" s="19"/>
    </row>
    <row r="207" spans="1:7" x14ac:dyDescent="0.3">
      <c r="A207" s="20"/>
      <c r="B207" s="6"/>
      <c r="C207" s="19"/>
      <c r="D207" s="23"/>
      <c r="E207" s="9" t="str">
        <f t="shared" si="3"/>
        <v/>
      </c>
      <c r="F207" s="19"/>
      <c r="G207" s="19"/>
    </row>
    <row r="208" spans="1:7" x14ac:dyDescent="0.3">
      <c r="A208" s="20"/>
      <c r="B208" s="6"/>
      <c r="C208" s="19"/>
      <c r="D208" s="23"/>
      <c r="E208" s="9" t="str">
        <f t="shared" si="3"/>
        <v/>
      </c>
      <c r="F208" s="19"/>
      <c r="G208" s="19"/>
    </row>
    <row r="209" spans="1:7" x14ac:dyDescent="0.3">
      <c r="A209" s="20"/>
      <c r="B209" s="6"/>
      <c r="C209" s="19"/>
      <c r="D209" s="23"/>
      <c r="E209" s="9" t="str">
        <f t="shared" si="3"/>
        <v/>
      </c>
      <c r="F209" s="19"/>
      <c r="G209" s="19"/>
    </row>
    <row r="210" spans="1:7" x14ac:dyDescent="0.3">
      <c r="A210" s="20"/>
      <c r="B210" s="6"/>
      <c r="C210" s="19"/>
      <c r="D210" s="23"/>
      <c r="E210" s="9" t="str">
        <f t="shared" si="3"/>
        <v/>
      </c>
      <c r="F210" s="19"/>
      <c r="G210" s="19"/>
    </row>
    <row r="211" spans="1:7" x14ac:dyDescent="0.3">
      <c r="A211" s="20"/>
      <c r="B211" s="6"/>
      <c r="C211" s="19"/>
      <c r="D211" s="23"/>
      <c r="E211" s="9" t="str">
        <f t="shared" si="3"/>
        <v/>
      </c>
      <c r="F211" s="19"/>
      <c r="G211" s="19"/>
    </row>
    <row r="212" spans="1:7" x14ac:dyDescent="0.3">
      <c r="A212" s="20"/>
      <c r="B212" s="6"/>
      <c r="C212" s="19"/>
      <c r="D212" s="23"/>
      <c r="E212" s="9" t="str">
        <f t="shared" si="3"/>
        <v/>
      </c>
      <c r="F212" s="19"/>
      <c r="G212" s="19"/>
    </row>
    <row r="213" spans="1:7" x14ac:dyDescent="0.3">
      <c r="A213" s="20"/>
      <c r="B213" s="6"/>
      <c r="C213" s="19"/>
      <c r="D213" s="23"/>
      <c r="E213" s="9" t="str">
        <f t="shared" si="3"/>
        <v/>
      </c>
      <c r="F213" s="19"/>
      <c r="G213" s="19"/>
    </row>
    <row r="214" spans="1:7" x14ac:dyDescent="0.3">
      <c r="A214" s="20"/>
      <c r="B214" s="6"/>
      <c r="C214" s="19"/>
      <c r="D214" s="23"/>
      <c r="E214" s="9" t="str">
        <f t="shared" si="3"/>
        <v/>
      </c>
      <c r="F214" s="19"/>
      <c r="G214" s="19"/>
    </row>
    <row r="215" spans="1:7" x14ac:dyDescent="0.3">
      <c r="A215" s="20"/>
      <c r="B215" s="6"/>
      <c r="C215" s="19"/>
      <c r="D215" s="23"/>
      <c r="E215" s="9" t="str">
        <f t="shared" si="3"/>
        <v/>
      </c>
      <c r="F215" s="19"/>
      <c r="G215" s="19"/>
    </row>
    <row r="216" spans="1:7" x14ac:dyDescent="0.3">
      <c r="A216" s="20"/>
      <c r="B216" s="6"/>
      <c r="C216" s="19"/>
      <c r="D216" s="23"/>
      <c r="E216" s="9" t="str">
        <f t="shared" si="3"/>
        <v/>
      </c>
      <c r="F216" s="19"/>
      <c r="G216" s="19"/>
    </row>
    <row r="217" spans="1:7" x14ac:dyDescent="0.3">
      <c r="A217" s="20"/>
      <c r="B217" s="6"/>
      <c r="C217" s="19"/>
      <c r="D217" s="23"/>
      <c r="E217" s="9" t="str">
        <f t="shared" si="3"/>
        <v/>
      </c>
      <c r="F217" s="19"/>
      <c r="G217" s="19"/>
    </row>
    <row r="218" spans="1:7" x14ac:dyDescent="0.3">
      <c r="A218" s="20"/>
      <c r="B218" s="6"/>
      <c r="C218" s="19"/>
      <c r="D218" s="23"/>
      <c r="E218" s="9" t="str">
        <f t="shared" si="3"/>
        <v/>
      </c>
      <c r="F218" s="19"/>
      <c r="G218" s="19"/>
    </row>
    <row r="219" spans="1:7" x14ac:dyDescent="0.3">
      <c r="A219" s="20"/>
      <c r="B219" s="6"/>
      <c r="C219" s="19"/>
      <c r="D219" s="23"/>
      <c r="E219" s="9" t="str">
        <f t="shared" si="3"/>
        <v/>
      </c>
      <c r="F219" s="19"/>
      <c r="G219" s="19"/>
    </row>
    <row r="220" spans="1:7" x14ac:dyDescent="0.3">
      <c r="A220" s="20"/>
      <c r="B220" s="6"/>
      <c r="C220" s="19"/>
      <c r="D220" s="23"/>
      <c r="E220" s="9" t="str">
        <f t="shared" si="3"/>
        <v/>
      </c>
      <c r="F220" s="19"/>
      <c r="G220" s="19"/>
    </row>
    <row r="221" spans="1:7" x14ac:dyDescent="0.3">
      <c r="A221" s="20"/>
      <c r="B221" s="6"/>
      <c r="C221" s="19"/>
      <c r="D221" s="23"/>
      <c r="E221" s="9" t="str">
        <f t="shared" si="3"/>
        <v/>
      </c>
      <c r="F221" s="19"/>
      <c r="G221" s="19"/>
    </row>
    <row r="222" spans="1:7" x14ac:dyDescent="0.3">
      <c r="A222" s="20"/>
      <c r="B222" s="6"/>
      <c r="C222" s="19"/>
      <c r="D222" s="23"/>
      <c r="E222" s="9" t="str">
        <f t="shared" si="3"/>
        <v/>
      </c>
      <c r="F222" s="19"/>
      <c r="G222" s="19"/>
    </row>
    <row r="223" spans="1:7" x14ac:dyDescent="0.3">
      <c r="A223" s="20"/>
      <c r="B223" s="6"/>
      <c r="C223" s="19"/>
      <c r="D223" s="23"/>
      <c r="E223" s="9" t="str">
        <f t="shared" si="3"/>
        <v/>
      </c>
      <c r="F223" s="19"/>
      <c r="G223" s="19"/>
    </row>
    <row r="224" spans="1:7" x14ac:dyDescent="0.3">
      <c r="A224" s="20"/>
      <c r="B224" s="6"/>
      <c r="C224" s="19"/>
      <c r="D224" s="23"/>
      <c r="E224" s="9" t="str">
        <f t="shared" si="3"/>
        <v/>
      </c>
      <c r="F224" s="19"/>
      <c r="G224" s="19"/>
    </row>
    <row r="225" spans="1:7" x14ac:dyDescent="0.3">
      <c r="A225" s="20"/>
      <c r="B225" s="6"/>
      <c r="C225" s="19"/>
      <c r="D225" s="23"/>
      <c r="E225" s="9" t="str">
        <f t="shared" si="3"/>
        <v/>
      </c>
      <c r="F225" s="19"/>
      <c r="G225" s="19"/>
    </row>
    <row r="226" spans="1:7" x14ac:dyDescent="0.3">
      <c r="A226" s="20"/>
      <c r="B226" s="6"/>
      <c r="C226" s="19"/>
      <c r="D226" s="23"/>
      <c r="E226" s="9" t="str">
        <f t="shared" si="3"/>
        <v/>
      </c>
      <c r="F226" s="19"/>
      <c r="G226" s="19"/>
    </row>
    <row r="227" spans="1:7" x14ac:dyDescent="0.3">
      <c r="A227" s="20"/>
      <c r="B227" s="6"/>
      <c r="C227" s="19"/>
      <c r="D227" s="23"/>
      <c r="E227" s="9" t="str">
        <f t="shared" si="3"/>
        <v/>
      </c>
      <c r="F227" s="19"/>
      <c r="G227" s="19"/>
    </row>
    <row r="228" spans="1:7" x14ac:dyDescent="0.3">
      <c r="A228" s="20"/>
      <c r="B228" s="6"/>
      <c r="C228" s="19"/>
      <c r="D228" s="23"/>
      <c r="E228" s="9" t="str">
        <f t="shared" si="3"/>
        <v/>
      </c>
      <c r="F228" s="19"/>
      <c r="G228" s="19"/>
    </row>
    <row r="229" spans="1:7" x14ac:dyDescent="0.3">
      <c r="A229" s="20"/>
      <c r="B229" s="6"/>
      <c r="C229" s="19"/>
      <c r="D229" s="23"/>
      <c r="E229" s="9" t="str">
        <f t="shared" si="3"/>
        <v/>
      </c>
      <c r="F229" s="19"/>
      <c r="G229" s="19"/>
    </row>
    <row r="230" spans="1:7" x14ac:dyDescent="0.3">
      <c r="A230" s="20"/>
      <c r="B230" s="6"/>
      <c r="C230" s="19"/>
      <c r="D230" s="23"/>
      <c r="E230" s="9" t="str">
        <f t="shared" si="3"/>
        <v/>
      </c>
      <c r="F230" s="19"/>
      <c r="G230" s="19"/>
    </row>
    <row r="231" spans="1:7" x14ac:dyDescent="0.3">
      <c r="A231" s="20"/>
      <c r="B231" s="6"/>
      <c r="C231" s="19"/>
      <c r="D231" s="23"/>
      <c r="E231" s="9" t="str">
        <f t="shared" si="3"/>
        <v/>
      </c>
      <c r="F231" s="19"/>
      <c r="G231" s="19"/>
    </row>
    <row r="232" spans="1:7" x14ac:dyDescent="0.3">
      <c r="A232" s="20"/>
      <c r="B232" s="6"/>
      <c r="C232" s="19"/>
      <c r="D232" s="23"/>
      <c r="E232" s="9" t="str">
        <f t="shared" si="3"/>
        <v/>
      </c>
      <c r="F232" s="19"/>
      <c r="G232" s="19"/>
    </row>
    <row r="233" spans="1:7" x14ac:dyDescent="0.3">
      <c r="A233" s="20"/>
      <c r="B233" s="6"/>
      <c r="C233" s="19"/>
      <c r="D233" s="23"/>
      <c r="E233" s="9" t="str">
        <f t="shared" si="3"/>
        <v/>
      </c>
      <c r="F233" s="19"/>
      <c r="G233" s="19"/>
    </row>
    <row r="234" spans="1:7" x14ac:dyDescent="0.3">
      <c r="A234" s="20"/>
      <c r="B234" s="6"/>
      <c r="C234" s="19"/>
      <c r="D234" s="23"/>
      <c r="E234" s="9" t="str">
        <f t="shared" si="3"/>
        <v/>
      </c>
      <c r="F234" s="19"/>
      <c r="G234" s="19"/>
    </row>
    <row r="235" spans="1:7" x14ac:dyDescent="0.3">
      <c r="A235" s="20"/>
      <c r="B235" s="6"/>
      <c r="C235" s="19"/>
      <c r="D235" s="23"/>
      <c r="E235" s="9" t="str">
        <f t="shared" si="3"/>
        <v/>
      </c>
      <c r="F235" s="19"/>
      <c r="G235" s="19"/>
    </row>
    <row r="236" spans="1:7" x14ac:dyDescent="0.3">
      <c r="A236" s="20"/>
      <c r="B236" s="6"/>
      <c r="C236" s="19"/>
      <c r="D236" s="23"/>
      <c r="E236" s="9" t="str">
        <f t="shared" si="3"/>
        <v/>
      </c>
      <c r="F236" s="19"/>
      <c r="G236" s="19"/>
    </row>
    <row r="237" spans="1:7" x14ac:dyDescent="0.3">
      <c r="A237" s="20"/>
      <c r="B237" s="6"/>
      <c r="C237" s="19"/>
      <c r="D237" s="23"/>
      <c r="E237" s="9" t="str">
        <f t="shared" si="3"/>
        <v/>
      </c>
      <c r="F237" s="19"/>
      <c r="G237" s="19"/>
    </row>
    <row r="238" spans="1:7" x14ac:dyDescent="0.3">
      <c r="A238" s="20"/>
      <c r="B238" s="6"/>
      <c r="C238" s="19"/>
      <c r="D238" s="23"/>
      <c r="E238" s="9" t="str">
        <f t="shared" si="3"/>
        <v/>
      </c>
      <c r="F238" s="19"/>
      <c r="G238" s="19"/>
    </row>
    <row r="239" spans="1:7" x14ac:dyDescent="0.3">
      <c r="A239" s="20"/>
      <c r="B239" s="6"/>
      <c r="C239" s="19"/>
      <c r="D239" s="23"/>
      <c r="E239" s="9" t="str">
        <f t="shared" si="3"/>
        <v/>
      </c>
      <c r="F239" s="19"/>
      <c r="G239" s="19"/>
    </row>
    <row r="240" spans="1:7" x14ac:dyDescent="0.3">
      <c r="A240" s="20"/>
      <c r="B240" s="6"/>
      <c r="C240" s="19"/>
      <c r="D240" s="23"/>
      <c r="E240" s="9" t="str">
        <f t="shared" si="3"/>
        <v/>
      </c>
      <c r="F240" s="19"/>
      <c r="G240" s="19"/>
    </row>
    <row r="241" spans="1:7" x14ac:dyDescent="0.3">
      <c r="A241" s="20"/>
      <c r="B241" s="6"/>
      <c r="C241" s="19"/>
      <c r="D241" s="23"/>
      <c r="E241" s="9" t="str">
        <f t="shared" si="3"/>
        <v/>
      </c>
      <c r="F241" s="19"/>
      <c r="G241" s="19"/>
    </row>
    <row r="242" spans="1:7" x14ac:dyDescent="0.3">
      <c r="A242" s="20"/>
      <c r="B242" s="6"/>
      <c r="C242" s="19"/>
      <c r="D242" s="23"/>
      <c r="E242" s="9" t="str">
        <f t="shared" si="3"/>
        <v/>
      </c>
      <c r="F242" s="19"/>
      <c r="G242" s="19"/>
    </row>
    <row r="243" spans="1:7" x14ac:dyDescent="0.3">
      <c r="A243" s="20"/>
      <c r="B243" s="6"/>
      <c r="C243" s="19"/>
      <c r="D243" s="23"/>
      <c r="E243" s="9" t="str">
        <f t="shared" si="3"/>
        <v/>
      </c>
      <c r="F243" s="19"/>
      <c r="G243" s="19"/>
    </row>
    <row r="244" spans="1:7" x14ac:dyDescent="0.3">
      <c r="A244" s="20"/>
      <c r="B244" s="6"/>
      <c r="C244" s="19"/>
      <c r="D244" s="23"/>
      <c r="E244" s="9" t="str">
        <f t="shared" si="3"/>
        <v/>
      </c>
      <c r="F244" s="19"/>
      <c r="G244" s="19"/>
    </row>
    <row r="245" spans="1:7" x14ac:dyDescent="0.3">
      <c r="A245" s="20"/>
      <c r="B245" s="6"/>
      <c r="C245" s="19"/>
      <c r="D245" s="23"/>
      <c r="E245" s="9" t="str">
        <f t="shared" si="3"/>
        <v/>
      </c>
      <c r="F245" s="19"/>
      <c r="G245" s="19"/>
    </row>
    <row r="246" spans="1:7" x14ac:dyDescent="0.3">
      <c r="A246" s="20"/>
      <c r="B246" s="6"/>
      <c r="C246" s="19"/>
      <c r="D246" s="23"/>
      <c r="E246" s="9" t="str">
        <f t="shared" si="3"/>
        <v/>
      </c>
      <c r="F246" s="19"/>
      <c r="G246" s="19"/>
    </row>
    <row r="247" spans="1:7" x14ac:dyDescent="0.3">
      <c r="A247" s="20"/>
      <c r="B247" s="6"/>
      <c r="C247" s="19"/>
      <c r="D247" s="23"/>
      <c r="E247" s="9" t="str">
        <f t="shared" si="3"/>
        <v/>
      </c>
      <c r="F247" s="19"/>
      <c r="G247" s="19"/>
    </row>
    <row r="248" spans="1:7" x14ac:dyDescent="0.3">
      <c r="A248" s="20"/>
      <c r="B248" s="6"/>
      <c r="C248" s="19"/>
      <c r="D248" s="23"/>
      <c r="E248" s="9" t="str">
        <f t="shared" si="3"/>
        <v/>
      </c>
      <c r="F248" s="19"/>
      <c r="G248" s="19"/>
    </row>
    <row r="249" spans="1:7" x14ac:dyDescent="0.3">
      <c r="A249" s="20"/>
      <c r="B249" s="6"/>
      <c r="C249" s="19"/>
      <c r="D249" s="23"/>
      <c r="E249" s="9" t="str">
        <f t="shared" si="3"/>
        <v/>
      </c>
      <c r="F249" s="19"/>
      <c r="G249" s="19"/>
    </row>
    <row r="250" spans="1:7" x14ac:dyDescent="0.3">
      <c r="A250" s="20"/>
      <c r="B250" s="6"/>
      <c r="C250" s="19"/>
      <c r="D250" s="23"/>
      <c r="E250" s="9" t="str">
        <f t="shared" si="3"/>
        <v/>
      </c>
      <c r="F250" s="19"/>
      <c r="G250" s="19"/>
    </row>
    <row r="251" spans="1:7" x14ac:dyDescent="0.3">
      <c r="A251" s="20"/>
      <c r="B251" s="6"/>
      <c r="C251" s="19"/>
      <c r="D251" s="23"/>
      <c r="E251" s="9" t="str">
        <f t="shared" si="3"/>
        <v/>
      </c>
      <c r="F251" s="19"/>
      <c r="G251" s="19"/>
    </row>
    <row r="252" spans="1:7" x14ac:dyDescent="0.3">
      <c r="A252" s="20"/>
      <c r="B252" s="6"/>
      <c r="C252" s="19"/>
      <c r="D252" s="23"/>
      <c r="E252" s="9" t="str">
        <f t="shared" si="3"/>
        <v/>
      </c>
      <c r="F252" s="19"/>
      <c r="G252" s="19"/>
    </row>
    <row r="253" spans="1:7" x14ac:dyDescent="0.3">
      <c r="A253" s="20"/>
      <c r="B253" s="6"/>
      <c r="C253" s="19"/>
      <c r="D253" s="23"/>
      <c r="E253" s="9" t="str">
        <f t="shared" si="3"/>
        <v/>
      </c>
      <c r="F253" s="19"/>
      <c r="G253" s="19"/>
    </row>
    <row r="254" spans="1:7" x14ac:dyDescent="0.3">
      <c r="A254" s="20"/>
      <c r="B254" s="6"/>
      <c r="C254" s="19"/>
      <c r="D254" s="23"/>
      <c r="E254" s="9" t="str">
        <f t="shared" si="3"/>
        <v/>
      </c>
      <c r="F254" s="19"/>
      <c r="G254" s="19"/>
    </row>
    <row r="255" spans="1:7" x14ac:dyDescent="0.3">
      <c r="A255" s="20"/>
      <c r="B255" s="6"/>
      <c r="C255" s="19"/>
      <c r="D255" s="23"/>
      <c r="E255" s="9" t="str">
        <f t="shared" si="3"/>
        <v/>
      </c>
      <c r="F255" s="19"/>
      <c r="G255" s="19"/>
    </row>
    <row r="256" spans="1:7" x14ac:dyDescent="0.3">
      <c r="A256" s="20"/>
      <c r="B256" s="6"/>
      <c r="C256" s="19"/>
      <c r="D256" s="23"/>
      <c r="E256" s="9" t="str">
        <f t="shared" si="3"/>
        <v/>
      </c>
      <c r="F256" s="19"/>
      <c r="G256" s="19"/>
    </row>
    <row r="257" spans="1:7" x14ac:dyDescent="0.3">
      <c r="A257" s="20"/>
      <c r="B257" s="6"/>
      <c r="C257" s="19"/>
      <c r="D257" s="23"/>
      <c r="E257" s="9" t="str">
        <f t="shared" si="3"/>
        <v/>
      </c>
      <c r="F257" s="19"/>
      <c r="G257" s="19"/>
    </row>
    <row r="258" spans="1:7" x14ac:dyDescent="0.3">
      <c r="A258" s="20"/>
      <c r="B258" s="6"/>
      <c r="C258" s="19"/>
      <c r="D258" s="23"/>
      <c r="E258" s="9" t="str">
        <f t="shared" ref="E258:E321" si="4">IF($B258="","",$C258*$D258)</f>
        <v/>
      </c>
      <c r="F258" s="19"/>
      <c r="G258" s="19"/>
    </row>
    <row r="259" spans="1:7" x14ac:dyDescent="0.3">
      <c r="A259" s="20"/>
      <c r="B259" s="6"/>
      <c r="C259" s="19"/>
      <c r="D259" s="23"/>
      <c r="E259" s="9" t="str">
        <f t="shared" si="4"/>
        <v/>
      </c>
      <c r="F259" s="19"/>
      <c r="G259" s="19"/>
    </row>
    <row r="260" spans="1:7" x14ac:dyDescent="0.3">
      <c r="A260" s="20"/>
      <c r="B260" s="6"/>
      <c r="C260" s="19"/>
      <c r="D260" s="23"/>
      <c r="E260" s="9" t="str">
        <f t="shared" si="4"/>
        <v/>
      </c>
      <c r="F260" s="19"/>
      <c r="G260" s="19"/>
    </row>
    <row r="261" spans="1:7" x14ac:dyDescent="0.3">
      <c r="A261" s="20"/>
      <c r="B261" s="6"/>
      <c r="C261" s="19"/>
      <c r="D261" s="23"/>
      <c r="E261" s="9" t="str">
        <f t="shared" si="4"/>
        <v/>
      </c>
      <c r="F261" s="19"/>
      <c r="G261" s="19"/>
    </row>
    <row r="262" spans="1:7" x14ac:dyDescent="0.3">
      <c r="A262" s="20"/>
      <c r="B262" s="6"/>
      <c r="C262" s="19"/>
      <c r="D262" s="23"/>
      <c r="E262" s="9" t="str">
        <f t="shared" si="4"/>
        <v/>
      </c>
      <c r="F262" s="19"/>
      <c r="G262" s="19"/>
    </row>
    <row r="263" spans="1:7" x14ac:dyDescent="0.3">
      <c r="A263" s="20"/>
      <c r="B263" s="6"/>
      <c r="C263" s="19"/>
      <c r="D263" s="23"/>
      <c r="E263" s="9" t="str">
        <f t="shared" si="4"/>
        <v/>
      </c>
      <c r="F263" s="19"/>
      <c r="G263" s="19"/>
    </row>
    <row r="264" spans="1:7" x14ac:dyDescent="0.3">
      <c r="A264" s="20"/>
      <c r="B264" s="6"/>
      <c r="C264" s="19"/>
      <c r="D264" s="23"/>
      <c r="E264" s="9" t="str">
        <f t="shared" si="4"/>
        <v/>
      </c>
      <c r="F264" s="19"/>
      <c r="G264" s="19"/>
    </row>
    <row r="265" spans="1:7" x14ac:dyDescent="0.3">
      <c r="A265" s="20"/>
      <c r="B265" s="6"/>
      <c r="C265" s="19"/>
      <c r="D265" s="23"/>
      <c r="E265" s="9" t="str">
        <f t="shared" si="4"/>
        <v/>
      </c>
      <c r="F265" s="19"/>
      <c r="G265" s="19"/>
    </row>
    <row r="266" spans="1:7" x14ac:dyDescent="0.3">
      <c r="A266" s="20"/>
      <c r="B266" s="6"/>
      <c r="C266" s="19"/>
      <c r="D266" s="23"/>
      <c r="E266" s="9" t="str">
        <f t="shared" si="4"/>
        <v/>
      </c>
      <c r="F266" s="19"/>
      <c r="G266" s="19"/>
    </row>
    <row r="267" spans="1:7" x14ac:dyDescent="0.3">
      <c r="A267" s="20"/>
      <c r="B267" s="6"/>
      <c r="C267" s="19"/>
      <c r="D267" s="23"/>
      <c r="E267" s="9" t="str">
        <f t="shared" si="4"/>
        <v/>
      </c>
      <c r="F267" s="19"/>
      <c r="G267" s="19"/>
    </row>
    <row r="268" spans="1:7" x14ac:dyDescent="0.3">
      <c r="A268" s="20"/>
      <c r="B268" s="6"/>
      <c r="C268" s="19"/>
      <c r="D268" s="23"/>
      <c r="E268" s="9" t="str">
        <f t="shared" si="4"/>
        <v/>
      </c>
      <c r="F268" s="19"/>
      <c r="G268" s="19"/>
    </row>
    <row r="269" spans="1:7" x14ac:dyDescent="0.3">
      <c r="A269" s="20"/>
      <c r="B269" s="6"/>
      <c r="C269" s="19"/>
      <c r="D269" s="23"/>
      <c r="E269" s="9" t="str">
        <f t="shared" si="4"/>
        <v/>
      </c>
      <c r="F269" s="19"/>
      <c r="G269" s="19"/>
    </row>
    <row r="270" spans="1:7" x14ac:dyDescent="0.3">
      <c r="A270" s="20"/>
      <c r="B270" s="6"/>
      <c r="C270" s="19"/>
      <c r="D270" s="23"/>
      <c r="E270" s="9" t="str">
        <f t="shared" si="4"/>
        <v/>
      </c>
      <c r="F270" s="19"/>
      <c r="G270" s="19"/>
    </row>
    <row r="271" spans="1:7" x14ac:dyDescent="0.3">
      <c r="A271" s="20"/>
      <c r="B271" s="6"/>
      <c r="C271" s="19"/>
      <c r="D271" s="23"/>
      <c r="E271" s="9" t="str">
        <f t="shared" si="4"/>
        <v/>
      </c>
      <c r="F271" s="19"/>
      <c r="G271" s="19"/>
    </row>
    <row r="272" spans="1:7" x14ac:dyDescent="0.3">
      <c r="A272" s="20"/>
      <c r="B272" s="6"/>
      <c r="C272" s="19"/>
      <c r="D272" s="23"/>
      <c r="E272" s="9" t="str">
        <f t="shared" si="4"/>
        <v/>
      </c>
      <c r="F272" s="19"/>
      <c r="G272" s="19"/>
    </row>
    <row r="273" spans="1:7" x14ac:dyDescent="0.3">
      <c r="A273" s="20"/>
      <c r="B273" s="6"/>
      <c r="C273" s="19"/>
      <c r="D273" s="23"/>
      <c r="E273" s="9" t="str">
        <f t="shared" si="4"/>
        <v/>
      </c>
      <c r="F273" s="19"/>
      <c r="G273" s="19"/>
    </row>
    <row r="274" spans="1:7" x14ac:dyDescent="0.3">
      <c r="A274" s="20"/>
      <c r="B274" s="6"/>
      <c r="C274" s="19"/>
      <c r="D274" s="23"/>
      <c r="E274" s="9" t="str">
        <f t="shared" si="4"/>
        <v/>
      </c>
      <c r="F274" s="19"/>
      <c r="G274" s="19"/>
    </row>
    <row r="275" spans="1:7" x14ac:dyDescent="0.3">
      <c r="A275" s="20"/>
      <c r="B275" s="6"/>
      <c r="C275" s="19"/>
      <c r="D275" s="23"/>
      <c r="E275" s="9" t="str">
        <f t="shared" si="4"/>
        <v/>
      </c>
      <c r="F275" s="19"/>
      <c r="G275" s="19"/>
    </row>
    <row r="276" spans="1:7" x14ac:dyDescent="0.3">
      <c r="A276" s="20"/>
      <c r="B276" s="6"/>
      <c r="C276" s="19"/>
      <c r="D276" s="23"/>
      <c r="E276" s="9" t="str">
        <f t="shared" si="4"/>
        <v/>
      </c>
      <c r="F276" s="19"/>
      <c r="G276" s="19"/>
    </row>
    <row r="277" spans="1:7" x14ac:dyDescent="0.3">
      <c r="A277" s="20"/>
      <c r="B277" s="6"/>
      <c r="C277" s="19"/>
      <c r="D277" s="23"/>
      <c r="E277" s="9" t="str">
        <f t="shared" si="4"/>
        <v/>
      </c>
      <c r="F277" s="19"/>
      <c r="G277" s="19"/>
    </row>
    <row r="278" spans="1:7" x14ac:dyDescent="0.3">
      <c r="A278" s="20"/>
      <c r="B278" s="6"/>
      <c r="C278" s="19"/>
      <c r="D278" s="23"/>
      <c r="E278" s="9" t="str">
        <f t="shared" si="4"/>
        <v/>
      </c>
      <c r="F278" s="19"/>
      <c r="G278" s="19"/>
    </row>
    <row r="279" spans="1:7" x14ac:dyDescent="0.3">
      <c r="A279" s="20"/>
      <c r="B279" s="6"/>
      <c r="C279" s="19"/>
      <c r="D279" s="23"/>
      <c r="E279" s="9" t="str">
        <f t="shared" si="4"/>
        <v/>
      </c>
      <c r="F279" s="19"/>
      <c r="G279" s="19"/>
    </row>
    <row r="280" spans="1:7" x14ac:dyDescent="0.3">
      <c r="A280" s="20"/>
      <c r="B280" s="6"/>
      <c r="C280" s="19"/>
      <c r="D280" s="23"/>
      <c r="E280" s="9" t="str">
        <f t="shared" si="4"/>
        <v/>
      </c>
      <c r="F280" s="19"/>
      <c r="G280" s="19"/>
    </row>
    <row r="281" spans="1:7" x14ac:dyDescent="0.3">
      <c r="A281" s="20"/>
      <c r="B281" s="6"/>
      <c r="C281" s="19"/>
      <c r="D281" s="23"/>
      <c r="E281" s="9" t="str">
        <f t="shared" si="4"/>
        <v/>
      </c>
      <c r="F281" s="19"/>
      <c r="G281" s="19"/>
    </row>
    <row r="282" spans="1:7" x14ac:dyDescent="0.3">
      <c r="A282" s="20"/>
      <c r="B282" s="6"/>
      <c r="C282" s="19"/>
      <c r="D282" s="23"/>
      <c r="E282" s="9" t="str">
        <f t="shared" si="4"/>
        <v/>
      </c>
      <c r="F282" s="19"/>
      <c r="G282" s="19"/>
    </row>
    <row r="283" spans="1:7" x14ac:dyDescent="0.3">
      <c r="A283" s="20"/>
      <c r="B283" s="6"/>
      <c r="C283" s="19"/>
      <c r="D283" s="23"/>
      <c r="E283" s="9" t="str">
        <f t="shared" si="4"/>
        <v/>
      </c>
      <c r="F283" s="19"/>
      <c r="G283" s="19"/>
    </row>
    <row r="284" spans="1:7" x14ac:dyDescent="0.3">
      <c r="A284" s="20"/>
      <c r="B284" s="6"/>
      <c r="C284" s="19"/>
      <c r="D284" s="23"/>
      <c r="E284" s="9" t="str">
        <f t="shared" si="4"/>
        <v/>
      </c>
      <c r="F284" s="19"/>
      <c r="G284" s="19"/>
    </row>
    <row r="285" spans="1:7" x14ac:dyDescent="0.3">
      <c r="A285" s="20"/>
      <c r="B285" s="6"/>
      <c r="C285" s="19"/>
      <c r="D285" s="23"/>
      <c r="E285" s="9" t="str">
        <f t="shared" si="4"/>
        <v/>
      </c>
      <c r="F285" s="19"/>
      <c r="G285" s="19"/>
    </row>
    <row r="286" spans="1:7" x14ac:dyDescent="0.3">
      <c r="A286" s="20"/>
      <c r="B286" s="6"/>
      <c r="C286" s="19"/>
      <c r="D286" s="23"/>
      <c r="E286" s="9" t="str">
        <f t="shared" si="4"/>
        <v/>
      </c>
      <c r="F286" s="19"/>
      <c r="G286" s="19"/>
    </row>
    <row r="287" spans="1:7" x14ac:dyDescent="0.3">
      <c r="A287" s="20"/>
      <c r="B287" s="6"/>
      <c r="C287" s="19"/>
      <c r="D287" s="23"/>
      <c r="E287" s="9" t="str">
        <f t="shared" si="4"/>
        <v/>
      </c>
      <c r="F287" s="19"/>
      <c r="G287" s="19"/>
    </row>
    <row r="288" spans="1:7" x14ac:dyDescent="0.3">
      <c r="A288" s="20"/>
      <c r="B288" s="6"/>
      <c r="C288" s="19"/>
      <c r="D288" s="23"/>
      <c r="E288" s="9" t="str">
        <f t="shared" si="4"/>
        <v/>
      </c>
      <c r="F288" s="19"/>
      <c r="G288" s="19"/>
    </row>
    <row r="289" spans="1:7" x14ac:dyDescent="0.3">
      <c r="A289" s="20"/>
      <c r="B289" s="6"/>
      <c r="C289" s="19"/>
      <c r="D289" s="23"/>
      <c r="E289" s="9" t="str">
        <f t="shared" si="4"/>
        <v/>
      </c>
      <c r="F289" s="19"/>
      <c r="G289" s="19"/>
    </row>
    <row r="290" spans="1:7" x14ac:dyDescent="0.3">
      <c r="A290" s="20"/>
      <c r="B290" s="6"/>
      <c r="C290" s="19"/>
      <c r="D290" s="23"/>
      <c r="E290" s="9" t="str">
        <f t="shared" si="4"/>
        <v/>
      </c>
      <c r="F290" s="19"/>
      <c r="G290" s="19"/>
    </row>
    <row r="291" spans="1:7" x14ac:dyDescent="0.3">
      <c r="A291" s="20"/>
      <c r="B291" s="6"/>
      <c r="C291" s="19"/>
      <c r="D291" s="23"/>
      <c r="E291" s="9" t="str">
        <f t="shared" si="4"/>
        <v/>
      </c>
      <c r="F291" s="19"/>
      <c r="G291" s="19"/>
    </row>
    <row r="292" spans="1:7" x14ac:dyDescent="0.3">
      <c r="A292" s="20"/>
      <c r="B292" s="6"/>
      <c r="C292" s="19"/>
      <c r="D292" s="23"/>
      <c r="E292" s="9" t="str">
        <f t="shared" si="4"/>
        <v/>
      </c>
      <c r="F292" s="19"/>
      <c r="G292" s="19"/>
    </row>
    <row r="293" spans="1:7" x14ac:dyDescent="0.3">
      <c r="A293" s="20"/>
      <c r="B293" s="6"/>
      <c r="C293" s="19"/>
      <c r="D293" s="23"/>
      <c r="E293" s="9" t="str">
        <f t="shared" si="4"/>
        <v/>
      </c>
      <c r="F293" s="19"/>
      <c r="G293" s="19"/>
    </row>
    <row r="294" spans="1:7" x14ac:dyDescent="0.3">
      <c r="A294" s="20"/>
      <c r="B294" s="6"/>
      <c r="C294" s="19"/>
      <c r="D294" s="23"/>
      <c r="E294" s="9" t="str">
        <f t="shared" si="4"/>
        <v/>
      </c>
      <c r="F294" s="19"/>
      <c r="G294" s="19"/>
    </row>
    <row r="295" spans="1:7" x14ac:dyDescent="0.3">
      <c r="A295" s="20"/>
      <c r="B295" s="6"/>
      <c r="C295" s="19"/>
      <c r="D295" s="23"/>
      <c r="E295" s="9" t="str">
        <f t="shared" si="4"/>
        <v/>
      </c>
      <c r="F295" s="19"/>
      <c r="G295" s="19"/>
    </row>
    <row r="296" spans="1:7" x14ac:dyDescent="0.3">
      <c r="A296" s="20"/>
      <c r="B296" s="6"/>
      <c r="C296" s="19"/>
      <c r="D296" s="23"/>
      <c r="E296" s="9" t="str">
        <f t="shared" si="4"/>
        <v/>
      </c>
      <c r="F296" s="19"/>
      <c r="G296" s="19"/>
    </row>
    <row r="297" spans="1:7" x14ac:dyDescent="0.3">
      <c r="A297" s="20"/>
      <c r="B297" s="6"/>
      <c r="C297" s="19"/>
      <c r="D297" s="23"/>
      <c r="E297" s="9" t="str">
        <f t="shared" si="4"/>
        <v/>
      </c>
      <c r="F297" s="19"/>
      <c r="G297" s="19"/>
    </row>
    <row r="298" spans="1:7" x14ac:dyDescent="0.3">
      <c r="A298" s="20"/>
      <c r="B298" s="6"/>
      <c r="C298" s="19"/>
      <c r="D298" s="23"/>
      <c r="E298" s="9" t="str">
        <f t="shared" si="4"/>
        <v/>
      </c>
      <c r="F298" s="19"/>
      <c r="G298" s="19"/>
    </row>
    <row r="299" spans="1:7" x14ac:dyDescent="0.3">
      <c r="A299" s="20"/>
      <c r="B299" s="6"/>
      <c r="C299" s="19"/>
      <c r="D299" s="23"/>
      <c r="E299" s="9" t="str">
        <f t="shared" si="4"/>
        <v/>
      </c>
      <c r="F299" s="19"/>
      <c r="G299" s="19"/>
    </row>
    <row r="300" spans="1:7" x14ac:dyDescent="0.3">
      <c r="A300" s="20"/>
      <c r="B300" s="6"/>
      <c r="C300" s="19"/>
      <c r="D300" s="23"/>
      <c r="E300" s="9" t="str">
        <f t="shared" si="4"/>
        <v/>
      </c>
      <c r="F300" s="19"/>
      <c r="G300" s="19"/>
    </row>
    <row r="301" spans="1:7" x14ac:dyDescent="0.3">
      <c r="A301" s="20"/>
      <c r="B301" s="6"/>
      <c r="C301" s="19"/>
      <c r="D301" s="23"/>
      <c r="E301" s="9" t="str">
        <f t="shared" si="4"/>
        <v/>
      </c>
      <c r="F301" s="19"/>
      <c r="G301" s="19"/>
    </row>
    <row r="302" spans="1:7" x14ac:dyDescent="0.3">
      <c r="A302" s="20"/>
      <c r="B302" s="6"/>
      <c r="C302" s="19"/>
      <c r="D302" s="23"/>
      <c r="E302" s="9" t="str">
        <f t="shared" si="4"/>
        <v/>
      </c>
      <c r="F302" s="19"/>
      <c r="G302" s="19"/>
    </row>
    <row r="303" spans="1:7" x14ac:dyDescent="0.3">
      <c r="A303" s="20"/>
      <c r="B303" s="6"/>
      <c r="C303" s="19"/>
      <c r="D303" s="23"/>
      <c r="E303" s="9" t="str">
        <f t="shared" si="4"/>
        <v/>
      </c>
      <c r="F303" s="19"/>
      <c r="G303" s="19"/>
    </row>
    <row r="304" spans="1:7" x14ac:dyDescent="0.3">
      <c r="A304" s="20"/>
      <c r="B304" s="6"/>
      <c r="C304" s="19"/>
      <c r="D304" s="23"/>
      <c r="E304" s="9" t="str">
        <f t="shared" si="4"/>
        <v/>
      </c>
      <c r="F304" s="19"/>
      <c r="G304" s="19"/>
    </row>
    <row r="305" spans="1:7" x14ac:dyDescent="0.3">
      <c r="A305" s="20"/>
      <c r="B305" s="6"/>
      <c r="C305" s="19"/>
      <c r="D305" s="23"/>
      <c r="E305" s="9" t="str">
        <f t="shared" si="4"/>
        <v/>
      </c>
      <c r="F305" s="19"/>
      <c r="G305" s="19"/>
    </row>
    <row r="306" spans="1:7" x14ac:dyDescent="0.3">
      <c r="A306" s="20"/>
      <c r="B306" s="6"/>
      <c r="C306" s="19"/>
      <c r="D306" s="23"/>
      <c r="E306" s="9" t="str">
        <f t="shared" si="4"/>
        <v/>
      </c>
      <c r="F306" s="19"/>
      <c r="G306" s="19"/>
    </row>
    <row r="307" spans="1:7" x14ac:dyDescent="0.3">
      <c r="A307" s="20"/>
      <c r="B307" s="6"/>
      <c r="C307" s="19"/>
      <c r="D307" s="23"/>
      <c r="E307" s="9" t="str">
        <f t="shared" si="4"/>
        <v/>
      </c>
      <c r="F307" s="19"/>
      <c r="G307" s="19"/>
    </row>
    <row r="308" spans="1:7" x14ac:dyDescent="0.3">
      <c r="A308" s="20"/>
      <c r="B308" s="6"/>
      <c r="C308" s="19"/>
      <c r="D308" s="23"/>
      <c r="E308" s="9" t="str">
        <f t="shared" si="4"/>
        <v/>
      </c>
      <c r="F308" s="19"/>
      <c r="G308" s="19"/>
    </row>
    <row r="309" spans="1:7" x14ac:dyDescent="0.3">
      <c r="A309" s="20"/>
      <c r="B309" s="6"/>
      <c r="C309" s="19"/>
      <c r="D309" s="23"/>
      <c r="E309" s="9" t="str">
        <f t="shared" si="4"/>
        <v/>
      </c>
      <c r="F309" s="19"/>
      <c r="G309" s="19"/>
    </row>
    <row r="310" spans="1:7" x14ac:dyDescent="0.3">
      <c r="A310" s="20"/>
      <c r="B310" s="6"/>
      <c r="C310" s="19"/>
      <c r="D310" s="23"/>
      <c r="E310" s="9" t="str">
        <f t="shared" si="4"/>
        <v/>
      </c>
      <c r="F310" s="19"/>
      <c r="G310" s="19"/>
    </row>
    <row r="311" spans="1:7" x14ac:dyDescent="0.3">
      <c r="A311" s="20"/>
      <c r="B311" s="6"/>
      <c r="C311" s="19"/>
      <c r="D311" s="23"/>
      <c r="E311" s="9" t="str">
        <f t="shared" si="4"/>
        <v/>
      </c>
      <c r="F311" s="19"/>
      <c r="G311" s="19"/>
    </row>
    <row r="312" spans="1:7" x14ac:dyDescent="0.3">
      <c r="A312" s="20"/>
      <c r="B312" s="6"/>
      <c r="C312" s="19"/>
      <c r="D312" s="23"/>
      <c r="E312" s="9" t="str">
        <f t="shared" si="4"/>
        <v/>
      </c>
      <c r="F312" s="19"/>
      <c r="G312" s="19"/>
    </row>
    <row r="313" spans="1:7" x14ac:dyDescent="0.3">
      <c r="A313" s="20"/>
      <c r="B313" s="6"/>
      <c r="C313" s="19"/>
      <c r="D313" s="23"/>
      <c r="E313" s="9" t="str">
        <f t="shared" si="4"/>
        <v/>
      </c>
      <c r="F313" s="19"/>
      <c r="G313" s="19"/>
    </row>
    <row r="314" spans="1:7" x14ac:dyDescent="0.3">
      <c r="A314" s="20"/>
      <c r="B314" s="6"/>
      <c r="C314" s="19"/>
      <c r="D314" s="23"/>
      <c r="E314" s="9" t="str">
        <f t="shared" si="4"/>
        <v/>
      </c>
      <c r="F314" s="19"/>
      <c r="G314" s="19"/>
    </row>
    <row r="315" spans="1:7" x14ac:dyDescent="0.3">
      <c r="A315" s="20"/>
      <c r="B315" s="6"/>
      <c r="C315" s="19"/>
      <c r="D315" s="23"/>
      <c r="E315" s="9" t="str">
        <f t="shared" si="4"/>
        <v/>
      </c>
      <c r="F315" s="19"/>
      <c r="G315" s="19"/>
    </row>
    <row r="316" spans="1:7" x14ac:dyDescent="0.3">
      <c r="A316" s="20"/>
      <c r="B316" s="6"/>
      <c r="C316" s="19"/>
      <c r="D316" s="23"/>
      <c r="E316" s="9" t="str">
        <f t="shared" si="4"/>
        <v/>
      </c>
      <c r="F316" s="19"/>
      <c r="G316" s="19"/>
    </row>
    <row r="317" spans="1:7" x14ac:dyDescent="0.3">
      <c r="A317" s="20"/>
      <c r="B317" s="6"/>
      <c r="C317" s="19"/>
      <c r="D317" s="23"/>
      <c r="E317" s="9" t="str">
        <f t="shared" si="4"/>
        <v/>
      </c>
      <c r="F317" s="19"/>
      <c r="G317" s="19"/>
    </row>
    <row r="318" spans="1:7" x14ac:dyDescent="0.3">
      <c r="A318" s="20"/>
      <c r="B318" s="6"/>
      <c r="C318" s="19"/>
      <c r="D318" s="23"/>
      <c r="E318" s="9" t="str">
        <f t="shared" si="4"/>
        <v/>
      </c>
      <c r="F318" s="19"/>
      <c r="G318" s="19"/>
    </row>
    <row r="319" spans="1:7" x14ac:dyDescent="0.3">
      <c r="A319" s="20"/>
      <c r="B319" s="6"/>
      <c r="C319" s="19"/>
      <c r="D319" s="23"/>
      <c r="E319" s="9" t="str">
        <f t="shared" si="4"/>
        <v/>
      </c>
      <c r="F319" s="19"/>
      <c r="G319" s="19"/>
    </row>
    <row r="320" spans="1:7" x14ac:dyDescent="0.3">
      <c r="A320" s="20"/>
      <c r="B320" s="6"/>
      <c r="C320" s="19"/>
      <c r="D320" s="23"/>
      <c r="E320" s="9" t="str">
        <f t="shared" si="4"/>
        <v/>
      </c>
      <c r="F320" s="19"/>
      <c r="G320" s="19"/>
    </row>
    <row r="321" spans="1:7" x14ac:dyDescent="0.3">
      <c r="A321" s="20"/>
      <c r="B321" s="6"/>
      <c r="C321" s="19"/>
      <c r="D321" s="23"/>
      <c r="E321" s="9" t="str">
        <f t="shared" si="4"/>
        <v/>
      </c>
      <c r="F321" s="19"/>
      <c r="G321" s="19"/>
    </row>
    <row r="322" spans="1:7" x14ac:dyDescent="0.3">
      <c r="A322" s="20"/>
      <c r="B322" s="6"/>
      <c r="C322" s="19"/>
      <c r="D322" s="23"/>
      <c r="E322" s="9" t="str">
        <f t="shared" ref="E322:E385" si="5">IF($B322="","",$C322*$D322)</f>
        <v/>
      </c>
      <c r="F322" s="19"/>
      <c r="G322" s="19"/>
    </row>
    <row r="323" spans="1:7" x14ac:dyDescent="0.3">
      <c r="A323" s="20"/>
      <c r="B323" s="6"/>
      <c r="C323" s="19"/>
      <c r="D323" s="23"/>
      <c r="E323" s="9" t="str">
        <f t="shared" si="5"/>
        <v/>
      </c>
      <c r="F323" s="19"/>
      <c r="G323" s="19"/>
    </row>
    <row r="324" spans="1:7" x14ac:dyDescent="0.3">
      <c r="A324" s="20"/>
      <c r="B324" s="6"/>
      <c r="C324" s="19"/>
      <c r="D324" s="23"/>
      <c r="E324" s="9" t="str">
        <f t="shared" si="5"/>
        <v/>
      </c>
      <c r="F324" s="19"/>
      <c r="G324" s="19"/>
    </row>
    <row r="325" spans="1:7" x14ac:dyDescent="0.3">
      <c r="A325" s="20"/>
      <c r="B325" s="6"/>
      <c r="C325" s="19"/>
      <c r="D325" s="23"/>
      <c r="E325" s="9" t="str">
        <f t="shared" si="5"/>
        <v/>
      </c>
      <c r="F325" s="19"/>
      <c r="G325" s="19"/>
    </row>
    <row r="326" spans="1:7" x14ac:dyDescent="0.3">
      <c r="A326" s="20"/>
      <c r="B326" s="6"/>
      <c r="C326" s="19"/>
      <c r="D326" s="23"/>
      <c r="E326" s="9" t="str">
        <f t="shared" si="5"/>
        <v/>
      </c>
      <c r="F326" s="19"/>
      <c r="G326" s="19"/>
    </row>
    <row r="327" spans="1:7" x14ac:dyDescent="0.3">
      <c r="A327" s="20"/>
      <c r="B327" s="6"/>
      <c r="C327" s="19"/>
      <c r="D327" s="23"/>
      <c r="E327" s="9" t="str">
        <f t="shared" si="5"/>
        <v/>
      </c>
      <c r="F327" s="19"/>
      <c r="G327" s="19"/>
    </row>
    <row r="328" spans="1:7" x14ac:dyDescent="0.3">
      <c r="A328" s="20"/>
      <c r="B328" s="6"/>
      <c r="C328" s="19"/>
      <c r="D328" s="23"/>
      <c r="E328" s="9" t="str">
        <f t="shared" si="5"/>
        <v/>
      </c>
      <c r="F328" s="19"/>
      <c r="G328" s="19"/>
    </row>
    <row r="329" spans="1:7" x14ac:dyDescent="0.3">
      <c r="A329" s="20"/>
      <c r="B329" s="6"/>
      <c r="C329" s="19"/>
      <c r="D329" s="23"/>
      <c r="E329" s="9" t="str">
        <f t="shared" si="5"/>
        <v/>
      </c>
      <c r="F329" s="19"/>
      <c r="G329" s="19"/>
    </row>
    <row r="330" spans="1:7" x14ac:dyDescent="0.3">
      <c r="A330" s="20"/>
      <c r="B330" s="6"/>
      <c r="C330" s="19"/>
      <c r="D330" s="23"/>
      <c r="E330" s="9" t="str">
        <f t="shared" si="5"/>
        <v/>
      </c>
      <c r="F330" s="19"/>
      <c r="G330" s="19"/>
    </row>
    <row r="331" spans="1:7" x14ac:dyDescent="0.3">
      <c r="A331" s="20"/>
      <c r="B331" s="6"/>
      <c r="C331" s="19"/>
      <c r="D331" s="23"/>
      <c r="E331" s="9" t="str">
        <f t="shared" si="5"/>
        <v/>
      </c>
      <c r="F331" s="19"/>
      <c r="G331" s="19"/>
    </row>
    <row r="332" spans="1:7" x14ac:dyDescent="0.3">
      <c r="A332" s="20"/>
      <c r="B332" s="6"/>
      <c r="C332" s="19"/>
      <c r="D332" s="23"/>
      <c r="E332" s="9" t="str">
        <f t="shared" si="5"/>
        <v/>
      </c>
      <c r="F332" s="19"/>
      <c r="G332" s="19"/>
    </row>
    <row r="333" spans="1:7" x14ac:dyDescent="0.3">
      <c r="A333" s="20"/>
      <c r="B333" s="6"/>
      <c r="C333" s="19"/>
      <c r="D333" s="23"/>
      <c r="E333" s="9" t="str">
        <f t="shared" si="5"/>
        <v/>
      </c>
      <c r="F333" s="19"/>
      <c r="G333" s="19"/>
    </row>
    <row r="334" spans="1:7" x14ac:dyDescent="0.3">
      <c r="A334" s="20"/>
      <c r="B334" s="6"/>
      <c r="C334" s="19"/>
      <c r="D334" s="23"/>
      <c r="E334" s="9" t="str">
        <f t="shared" si="5"/>
        <v/>
      </c>
      <c r="F334" s="19"/>
      <c r="G334" s="19"/>
    </row>
    <row r="335" spans="1:7" x14ac:dyDescent="0.3">
      <c r="A335" s="20"/>
      <c r="B335" s="6"/>
      <c r="C335" s="19"/>
      <c r="D335" s="23"/>
      <c r="E335" s="9" t="str">
        <f t="shared" si="5"/>
        <v/>
      </c>
      <c r="F335" s="19"/>
      <c r="G335" s="19"/>
    </row>
    <row r="336" spans="1:7" x14ac:dyDescent="0.3">
      <c r="A336" s="20"/>
      <c r="B336" s="6"/>
      <c r="C336" s="19"/>
      <c r="D336" s="23"/>
      <c r="E336" s="9" t="str">
        <f t="shared" si="5"/>
        <v/>
      </c>
      <c r="F336" s="19"/>
      <c r="G336" s="19"/>
    </row>
    <row r="337" spans="1:7" x14ac:dyDescent="0.3">
      <c r="A337" s="20"/>
      <c r="B337" s="6"/>
      <c r="C337" s="19"/>
      <c r="D337" s="23"/>
      <c r="E337" s="9" t="str">
        <f t="shared" si="5"/>
        <v/>
      </c>
      <c r="F337" s="19"/>
      <c r="G337" s="19"/>
    </row>
    <row r="338" spans="1:7" x14ac:dyDescent="0.3">
      <c r="A338" s="20"/>
      <c r="B338" s="6"/>
      <c r="C338" s="19"/>
      <c r="D338" s="23"/>
      <c r="E338" s="9" t="str">
        <f t="shared" si="5"/>
        <v/>
      </c>
      <c r="F338" s="19"/>
      <c r="G338" s="19"/>
    </row>
    <row r="339" spans="1:7" x14ac:dyDescent="0.3">
      <c r="A339" s="20"/>
      <c r="B339" s="6"/>
      <c r="C339" s="19"/>
      <c r="D339" s="23"/>
      <c r="E339" s="9" t="str">
        <f t="shared" si="5"/>
        <v/>
      </c>
      <c r="F339" s="19"/>
      <c r="G339" s="19"/>
    </row>
    <row r="340" spans="1:7" x14ac:dyDescent="0.3">
      <c r="A340" s="20"/>
      <c r="B340" s="6"/>
      <c r="C340" s="19"/>
      <c r="D340" s="23"/>
      <c r="E340" s="9" t="str">
        <f t="shared" si="5"/>
        <v/>
      </c>
      <c r="F340" s="19"/>
      <c r="G340" s="19"/>
    </row>
    <row r="341" spans="1:7" x14ac:dyDescent="0.3">
      <c r="A341" s="20"/>
      <c r="B341" s="6"/>
      <c r="C341" s="19"/>
      <c r="D341" s="23"/>
      <c r="E341" s="9" t="str">
        <f t="shared" si="5"/>
        <v/>
      </c>
      <c r="F341" s="19"/>
      <c r="G341" s="19"/>
    </row>
    <row r="342" spans="1:7" x14ac:dyDescent="0.3">
      <c r="A342" s="20"/>
      <c r="B342" s="6"/>
      <c r="C342" s="19"/>
      <c r="D342" s="23"/>
      <c r="E342" s="9" t="str">
        <f t="shared" si="5"/>
        <v/>
      </c>
      <c r="F342" s="19"/>
      <c r="G342" s="19"/>
    </row>
    <row r="343" spans="1:7" x14ac:dyDescent="0.3">
      <c r="A343" s="20"/>
      <c r="B343" s="6"/>
      <c r="C343" s="19"/>
      <c r="D343" s="23"/>
      <c r="E343" s="9" t="str">
        <f t="shared" si="5"/>
        <v/>
      </c>
      <c r="F343" s="19"/>
      <c r="G343" s="19"/>
    </row>
    <row r="344" spans="1:7" x14ac:dyDescent="0.3">
      <c r="A344" s="20"/>
      <c r="B344" s="6"/>
      <c r="C344" s="19"/>
      <c r="D344" s="23"/>
      <c r="E344" s="9" t="str">
        <f t="shared" si="5"/>
        <v/>
      </c>
      <c r="F344" s="19"/>
      <c r="G344" s="19"/>
    </row>
    <row r="345" spans="1:7" x14ac:dyDescent="0.3">
      <c r="A345" s="20"/>
      <c r="B345" s="6"/>
      <c r="C345" s="19"/>
      <c r="D345" s="23"/>
      <c r="E345" s="9" t="str">
        <f t="shared" si="5"/>
        <v/>
      </c>
      <c r="F345" s="19"/>
      <c r="G345" s="19"/>
    </row>
    <row r="346" spans="1:7" x14ac:dyDescent="0.3">
      <c r="A346" s="20"/>
      <c r="B346" s="6"/>
      <c r="C346" s="19"/>
      <c r="D346" s="23"/>
      <c r="E346" s="9" t="str">
        <f t="shared" si="5"/>
        <v/>
      </c>
      <c r="F346" s="19"/>
      <c r="G346" s="19"/>
    </row>
    <row r="347" spans="1:7" x14ac:dyDescent="0.3">
      <c r="A347" s="20"/>
      <c r="B347" s="6"/>
      <c r="C347" s="19"/>
      <c r="D347" s="23"/>
      <c r="E347" s="9" t="str">
        <f t="shared" si="5"/>
        <v/>
      </c>
      <c r="F347" s="19"/>
      <c r="G347" s="19"/>
    </row>
    <row r="348" spans="1:7" x14ac:dyDescent="0.3">
      <c r="A348" s="20"/>
      <c r="B348" s="6"/>
      <c r="C348" s="19"/>
      <c r="D348" s="23"/>
      <c r="E348" s="9" t="str">
        <f t="shared" si="5"/>
        <v/>
      </c>
      <c r="F348" s="19"/>
      <c r="G348" s="19"/>
    </row>
    <row r="349" spans="1:7" x14ac:dyDescent="0.3">
      <c r="A349" s="20"/>
      <c r="B349" s="6"/>
      <c r="C349" s="19"/>
      <c r="D349" s="23"/>
      <c r="E349" s="9" t="str">
        <f t="shared" si="5"/>
        <v/>
      </c>
      <c r="F349" s="19"/>
      <c r="G349" s="19"/>
    </row>
    <row r="350" spans="1:7" x14ac:dyDescent="0.3">
      <c r="A350" s="20"/>
      <c r="B350" s="6"/>
      <c r="C350" s="19"/>
      <c r="D350" s="23"/>
      <c r="E350" s="9" t="str">
        <f t="shared" si="5"/>
        <v/>
      </c>
      <c r="F350" s="19"/>
      <c r="G350" s="19"/>
    </row>
    <row r="351" spans="1:7" x14ac:dyDescent="0.3">
      <c r="A351" s="20"/>
      <c r="B351" s="6"/>
      <c r="C351" s="19"/>
      <c r="D351" s="23"/>
      <c r="E351" s="9" t="str">
        <f t="shared" si="5"/>
        <v/>
      </c>
      <c r="F351" s="19"/>
      <c r="G351" s="19"/>
    </row>
    <row r="352" spans="1:7" x14ac:dyDescent="0.3">
      <c r="A352" s="20"/>
      <c r="B352" s="6"/>
      <c r="C352" s="19"/>
      <c r="D352" s="23"/>
      <c r="E352" s="9" t="str">
        <f t="shared" si="5"/>
        <v/>
      </c>
      <c r="F352" s="19"/>
      <c r="G352" s="19"/>
    </row>
    <row r="353" spans="1:7" x14ac:dyDescent="0.3">
      <c r="A353" s="20"/>
      <c r="B353" s="6"/>
      <c r="C353" s="19"/>
      <c r="D353" s="23"/>
      <c r="E353" s="9" t="str">
        <f t="shared" si="5"/>
        <v/>
      </c>
      <c r="F353" s="19"/>
      <c r="G353" s="19"/>
    </row>
    <row r="354" spans="1:7" x14ac:dyDescent="0.3">
      <c r="A354" s="20"/>
      <c r="B354" s="6"/>
      <c r="C354" s="19"/>
      <c r="D354" s="23"/>
      <c r="E354" s="9" t="str">
        <f t="shared" si="5"/>
        <v/>
      </c>
      <c r="F354" s="19"/>
      <c r="G354" s="19"/>
    </row>
    <row r="355" spans="1:7" x14ac:dyDescent="0.3">
      <c r="A355" s="20"/>
      <c r="B355" s="6"/>
      <c r="C355" s="19"/>
      <c r="D355" s="23"/>
      <c r="E355" s="9" t="str">
        <f t="shared" si="5"/>
        <v/>
      </c>
      <c r="F355" s="19"/>
      <c r="G355" s="19"/>
    </row>
    <row r="356" spans="1:7" x14ac:dyDescent="0.3">
      <c r="A356" s="20"/>
      <c r="B356" s="6"/>
      <c r="C356" s="19"/>
      <c r="D356" s="23"/>
      <c r="E356" s="9" t="str">
        <f t="shared" si="5"/>
        <v/>
      </c>
      <c r="F356" s="19"/>
      <c r="G356" s="19"/>
    </row>
    <row r="357" spans="1:7" x14ac:dyDescent="0.3">
      <c r="A357" s="20"/>
      <c r="B357" s="6"/>
      <c r="C357" s="19"/>
      <c r="D357" s="23"/>
      <c r="E357" s="9" t="str">
        <f t="shared" si="5"/>
        <v/>
      </c>
      <c r="F357" s="19"/>
      <c r="G357" s="19"/>
    </row>
    <row r="358" spans="1:7" x14ac:dyDescent="0.3">
      <c r="A358" s="20"/>
      <c r="B358" s="6"/>
      <c r="C358" s="19"/>
      <c r="D358" s="23"/>
      <c r="E358" s="9" t="str">
        <f t="shared" si="5"/>
        <v/>
      </c>
      <c r="F358" s="19"/>
      <c r="G358" s="19"/>
    </row>
    <row r="359" spans="1:7" x14ac:dyDescent="0.3">
      <c r="A359" s="20"/>
      <c r="B359" s="6"/>
      <c r="C359" s="19"/>
      <c r="D359" s="23"/>
      <c r="E359" s="9" t="str">
        <f t="shared" si="5"/>
        <v/>
      </c>
      <c r="F359" s="19"/>
      <c r="G359" s="19"/>
    </row>
    <row r="360" spans="1:7" x14ac:dyDescent="0.3">
      <c r="A360" s="20"/>
      <c r="B360" s="6"/>
      <c r="C360" s="19"/>
      <c r="D360" s="23"/>
      <c r="E360" s="9" t="str">
        <f t="shared" si="5"/>
        <v/>
      </c>
      <c r="F360" s="19"/>
      <c r="G360" s="19"/>
    </row>
    <row r="361" spans="1:7" x14ac:dyDescent="0.3">
      <c r="A361" s="20"/>
      <c r="B361" s="6"/>
      <c r="C361" s="19"/>
      <c r="D361" s="23"/>
      <c r="E361" s="9" t="str">
        <f t="shared" si="5"/>
        <v/>
      </c>
      <c r="F361" s="19"/>
      <c r="G361" s="19"/>
    </row>
    <row r="362" spans="1:7" x14ac:dyDescent="0.3">
      <c r="A362" s="20"/>
      <c r="B362" s="6"/>
      <c r="C362" s="19"/>
      <c r="D362" s="23"/>
      <c r="E362" s="9" t="str">
        <f t="shared" si="5"/>
        <v/>
      </c>
      <c r="F362" s="19"/>
      <c r="G362" s="19"/>
    </row>
    <row r="363" spans="1:7" x14ac:dyDescent="0.3">
      <c r="A363" s="20"/>
      <c r="B363" s="6"/>
      <c r="C363" s="19"/>
      <c r="D363" s="23"/>
      <c r="E363" s="9" t="str">
        <f t="shared" si="5"/>
        <v/>
      </c>
      <c r="F363" s="19"/>
      <c r="G363" s="19"/>
    </row>
    <row r="364" spans="1:7" x14ac:dyDescent="0.3">
      <c r="A364" s="20"/>
      <c r="B364" s="6"/>
      <c r="C364" s="19"/>
      <c r="D364" s="23"/>
      <c r="E364" s="9" t="str">
        <f t="shared" si="5"/>
        <v/>
      </c>
      <c r="F364" s="19"/>
      <c r="G364" s="19"/>
    </row>
    <row r="365" spans="1:7" x14ac:dyDescent="0.3">
      <c r="A365" s="20"/>
      <c r="B365" s="6"/>
      <c r="C365" s="19"/>
      <c r="D365" s="23"/>
      <c r="E365" s="9" t="str">
        <f t="shared" si="5"/>
        <v/>
      </c>
      <c r="F365" s="19"/>
      <c r="G365" s="19"/>
    </row>
    <row r="366" spans="1:7" x14ac:dyDescent="0.3">
      <c r="A366" s="20"/>
      <c r="B366" s="6"/>
      <c r="C366" s="19"/>
      <c r="D366" s="23"/>
      <c r="E366" s="9" t="str">
        <f t="shared" si="5"/>
        <v/>
      </c>
      <c r="F366" s="19"/>
      <c r="G366" s="19"/>
    </row>
    <row r="367" spans="1:7" x14ac:dyDescent="0.3">
      <c r="A367" s="20"/>
      <c r="B367" s="6"/>
      <c r="C367" s="19"/>
      <c r="D367" s="23"/>
      <c r="E367" s="9" t="str">
        <f t="shared" si="5"/>
        <v/>
      </c>
      <c r="F367" s="19"/>
      <c r="G367" s="19"/>
    </row>
    <row r="368" spans="1:7" x14ac:dyDescent="0.3">
      <c r="A368" s="20"/>
      <c r="B368" s="6"/>
      <c r="C368" s="19"/>
      <c r="D368" s="23"/>
      <c r="E368" s="9" t="str">
        <f t="shared" si="5"/>
        <v/>
      </c>
      <c r="F368" s="19"/>
      <c r="G368" s="19"/>
    </row>
    <row r="369" spans="1:7" x14ac:dyDescent="0.3">
      <c r="A369" s="20"/>
      <c r="B369" s="6"/>
      <c r="C369" s="19"/>
      <c r="D369" s="23"/>
      <c r="E369" s="9" t="str">
        <f t="shared" si="5"/>
        <v/>
      </c>
      <c r="F369" s="19"/>
      <c r="G369" s="19"/>
    </row>
    <row r="370" spans="1:7" x14ac:dyDescent="0.3">
      <c r="A370" s="20"/>
      <c r="B370" s="6"/>
      <c r="C370" s="19"/>
      <c r="D370" s="23"/>
      <c r="E370" s="9" t="str">
        <f t="shared" si="5"/>
        <v/>
      </c>
      <c r="F370" s="19"/>
      <c r="G370" s="19"/>
    </row>
    <row r="371" spans="1:7" x14ac:dyDescent="0.3">
      <c r="A371" s="20"/>
      <c r="B371" s="6"/>
      <c r="C371" s="19"/>
      <c r="D371" s="23"/>
      <c r="E371" s="9" t="str">
        <f t="shared" si="5"/>
        <v/>
      </c>
      <c r="F371" s="19"/>
      <c r="G371" s="19"/>
    </row>
    <row r="372" spans="1:7" x14ac:dyDescent="0.3">
      <c r="A372" s="20"/>
      <c r="B372" s="6"/>
      <c r="C372" s="19"/>
      <c r="D372" s="23"/>
      <c r="E372" s="9" t="str">
        <f t="shared" si="5"/>
        <v/>
      </c>
      <c r="F372" s="19"/>
      <c r="G372" s="19"/>
    </row>
    <row r="373" spans="1:7" x14ac:dyDescent="0.3">
      <c r="A373" s="20"/>
      <c r="B373" s="6"/>
      <c r="C373" s="19"/>
      <c r="D373" s="23"/>
      <c r="E373" s="9" t="str">
        <f t="shared" si="5"/>
        <v/>
      </c>
      <c r="F373" s="19"/>
      <c r="G373" s="19"/>
    </row>
    <row r="374" spans="1:7" x14ac:dyDescent="0.3">
      <c r="A374" s="20"/>
      <c r="B374" s="6"/>
      <c r="C374" s="19"/>
      <c r="D374" s="23"/>
      <c r="E374" s="9" t="str">
        <f t="shared" si="5"/>
        <v/>
      </c>
      <c r="F374" s="19"/>
      <c r="G374" s="19"/>
    </row>
    <row r="375" spans="1:7" x14ac:dyDescent="0.3">
      <c r="A375" s="20"/>
      <c r="B375" s="6"/>
      <c r="C375" s="19"/>
      <c r="D375" s="23"/>
      <c r="E375" s="9" t="str">
        <f t="shared" si="5"/>
        <v/>
      </c>
      <c r="F375" s="19"/>
      <c r="G375" s="19"/>
    </row>
    <row r="376" spans="1:7" x14ac:dyDescent="0.3">
      <c r="A376" s="20"/>
      <c r="B376" s="6"/>
      <c r="C376" s="19"/>
      <c r="D376" s="23"/>
      <c r="E376" s="9" t="str">
        <f t="shared" si="5"/>
        <v/>
      </c>
      <c r="F376" s="19"/>
      <c r="G376" s="19"/>
    </row>
    <row r="377" spans="1:7" x14ac:dyDescent="0.3">
      <c r="A377" s="20"/>
      <c r="B377" s="6"/>
      <c r="C377" s="19"/>
      <c r="D377" s="23"/>
      <c r="E377" s="9" t="str">
        <f t="shared" si="5"/>
        <v/>
      </c>
      <c r="F377" s="19"/>
      <c r="G377" s="19"/>
    </row>
    <row r="378" spans="1:7" x14ac:dyDescent="0.3">
      <c r="A378" s="20"/>
      <c r="B378" s="6"/>
      <c r="C378" s="19"/>
      <c r="D378" s="23"/>
      <c r="E378" s="9" t="str">
        <f t="shared" si="5"/>
        <v/>
      </c>
      <c r="F378" s="19"/>
      <c r="G378" s="19"/>
    </row>
    <row r="379" spans="1:7" x14ac:dyDescent="0.3">
      <c r="A379" s="20"/>
      <c r="B379" s="6"/>
      <c r="C379" s="19"/>
      <c r="D379" s="23"/>
      <c r="E379" s="9" t="str">
        <f t="shared" si="5"/>
        <v/>
      </c>
      <c r="F379" s="19"/>
      <c r="G379" s="19"/>
    </row>
    <row r="380" spans="1:7" x14ac:dyDescent="0.3">
      <c r="A380" s="20"/>
      <c r="B380" s="6"/>
      <c r="C380" s="19"/>
      <c r="D380" s="23"/>
      <c r="E380" s="9" t="str">
        <f t="shared" si="5"/>
        <v/>
      </c>
      <c r="F380" s="19"/>
      <c r="G380" s="19"/>
    </row>
    <row r="381" spans="1:7" x14ac:dyDescent="0.3">
      <c r="A381" s="20"/>
      <c r="B381" s="6"/>
      <c r="C381" s="19"/>
      <c r="D381" s="23"/>
      <c r="E381" s="9" t="str">
        <f t="shared" si="5"/>
        <v/>
      </c>
      <c r="F381" s="19"/>
      <c r="G381" s="19"/>
    </row>
    <row r="382" spans="1:7" x14ac:dyDescent="0.3">
      <c r="A382" s="20"/>
      <c r="B382" s="6"/>
      <c r="C382" s="19"/>
      <c r="D382" s="23"/>
      <c r="E382" s="9" t="str">
        <f t="shared" si="5"/>
        <v/>
      </c>
      <c r="F382" s="19"/>
      <c r="G382" s="19"/>
    </row>
    <row r="383" spans="1:7" x14ac:dyDescent="0.3">
      <c r="A383" s="20"/>
      <c r="B383" s="6"/>
      <c r="C383" s="19"/>
      <c r="D383" s="23"/>
      <c r="E383" s="9" t="str">
        <f t="shared" si="5"/>
        <v/>
      </c>
      <c r="F383" s="19"/>
      <c r="G383" s="19"/>
    </row>
    <row r="384" spans="1:7" x14ac:dyDescent="0.3">
      <c r="A384" s="20"/>
      <c r="B384" s="6"/>
      <c r="C384" s="19"/>
      <c r="D384" s="23"/>
      <c r="E384" s="9" t="str">
        <f t="shared" si="5"/>
        <v/>
      </c>
      <c r="F384" s="19"/>
      <c r="G384" s="19"/>
    </row>
    <row r="385" spans="1:7" x14ac:dyDescent="0.3">
      <c r="A385" s="20"/>
      <c r="B385" s="6"/>
      <c r="C385" s="19"/>
      <c r="D385" s="23"/>
      <c r="E385" s="9" t="str">
        <f t="shared" si="5"/>
        <v/>
      </c>
      <c r="F385" s="19"/>
      <c r="G385" s="19"/>
    </row>
    <row r="386" spans="1:7" x14ac:dyDescent="0.3">
      <c r="A386" s="20"/>
      <c r="B386" s="6"/>
      <c r="C386" s="19"/>
      <c r="D386" s="23"/>
      <c r="E386" s="9" t="str">
        <f t="shared" ref="E386:E449" si="6">IF($B386="","",$C386*$D386)</f>
        <v/>
      </c>
      <c r="F386" s="19"/>
      <c r="G386" s="19"/>
    </row>
    <row r="387" spans="1:7" x14ac:dyDescent="0.3">
      <c r="A387" s="20"/>
      <c r="B387" s="6"/>
      <c r="C387" s="19"/>
      <c r="D387" s="23"/>
      <c r="E387" s="9" t="str">
        <f t="shared" si="6"/>
        <v/>
      </c>
      <c r="F387" s="19"/>
      <c r="G387" s="19"/>
    </row>
    <row r="388" spans="1:7" x14ac:dyDescent="0.3">
      <c r="A388" s="20"/>
      <c r="B388" s="6"/>
      <c r="C388" s="19"/>
      <c r="D388" s="23"/>
      <c r="E388" s="9" t="str">
        <f t="shared" si="6"/>
        <v/>
      </c>
      <c r="F388" s="19"/>
      <c r="G388" s="19"/>
    </row>
    <row r="389" spans="1:7" x14ac:dyDescent="0.3">
      <c r="A389" s="20"/>
      <c r="B389" s="6"/>
      <c r="C389" s="19"/>
      <c r="D389" s="23"/>
      <c r="E389" s="9" t="str">
        <f t="shared" si="6"/>
        <v/>
      </c>
      <c r="F389" s="19"/>
      <c r="G389" s="19"/>
    </row>
    <row r="390" spans="1:7" x14ac:dyDescent="0.3">
      <c r="A390" s="20"/>
      <c r="B390" s="6"/>
      <c r="C390" s="19"/>
      <c r="D390" s="23"/>
      <c r="E390" s="9" t="str">
        <f t="shared" si="6"/>
        <v/>
      </c>
      <c r="F390" s="19"/>
      <c r="G390" s="19"/>
    </row>
    <row r="391" spans="1:7" x14ac:dyDescent="0.3">
      <c r="A391" s="20"/>
      <c r="B391" s="6"/>
      <c r="C391" s="19"/>
      <c r="D391" s="23"/>
      <c r="E391" s="9" t="str">
        <f t="shared" si="6"/>
        <v/>
      </c>
      <c r="F391" s="19"/>
      <c r="G391" s="19"/>
    </row>
    <row r="392" spans="1:7" x14ac:dyDescent="0.3">
      <c r="A392" s="20"/>
      <c r="B392" s="6"/>
      <c r="C392" s="19"/>
      <c r="D392" s="23"/>
      <c r="E392" s="9" t="str">
        <f t="shared" si="6"/>
        <v/>
      </c>
      <c r="F392" s="19"/>
      <c r="G392" s="19"/>
    </row>
    <row r="393" spans="1:7" x14ac:dyDescent="0.3">
      <c r="A393" s="20"/>
      <c r="B393" s="6"/>
      <c r="C393" s="19"/>
      <c r="D393" s="23"/>
      <c r="E393" s="9" t="str">
        <f t="shared" si="6"/>
        <v/>
      </c>
      <c r="F393" s="19"/>
      <c r="G393" s="19"/>
    </row>
    <row r="394" spans="1:7" x14ac:dyDescent="0.3">
      <c r="A394" s="20"/>
      <c r="B394" s="6"/>
      <c r="C394" s="19"/>
      <c r="D394" s="23"/>
      <c r="E394" s="9" t="str">
        <f t="shared" si="6"/>
        <v/>
      </c>
      <c r="F394" s="19"/>
      <c r="G394" s="19"/>
    </row>
    <row r="395" spans="1:7" x14ac:dyDescent="0.3">
      <c r="A395" s="20"/>
      <c r="B395" s="6"/>
      <c r="C395" s="19"/>
      <c r="D395" s="23"/>
      <c r="E395" s="9" t="str">
        <f t="shared" si="6"/>
        <v/>
      </c>
      <c r="F395" s="19"/>
      <c r="G395" s="19"/>
    </row>
    <row r="396" spans="1:7" x14ac:dyDescent="0.3">
      <c r="A396" s="20"/>
      <c r="B396" s="6"/>
      <c r="C396" s="19"/>
      <c r="D396" s="23"/>
      <c r="E396" s="9" t="str">
        <f t="shared" si="6"/>
        <v/>
      </c>
      <c r="F396" s="19"/>
      <c r="G396" s="19"/>
    </row>
    <row r="397" spans="1:7" x14ac:dyDescent="0.3">
      <c r="A397" s="20"/>
      <c r="B397" s="6"/>
      <c r="C397" s="19"/>
      <c r="D397" s="23"/>
      <c r="E397" s="9" t="str">
        <f t="shared" si="6"/>
        <v/>
      </c>
      <c r="F397" s="19"/>
      <c r="G397" s="19"/>
    </row>
    <row r="398" spans="1:7" x14ac:dyDescent="0.3">
      <c r="A398" s="20"/>
      <c r="B398" s="6"/>
      <c r="C398" s="19"/>
      <c r="D398" s="23"/>
      <c r="E398" s="9" t="str">
        <f t="shared" si="6"/>
        <v/>
      </c>
      <c r="F398" s="19"/>
      <c r="G398" s="19"/>
    </row>
    <row r="399" spans="1:7" x14ac:dyDescent="0.3">
      <c r="A399" s="20"/>
      <c r="B399" s="6"/>
      <c r="C399" s="19"/>
      <c r="D399" s="23"/>
      <c r="E399" s="9" t="str">
        <f t="shared" si="6"/>
        <v/>
      </c>
      <c r="F399" s="19"/>
      <c r="G399" s="19"/>
    </row>
    <row r="400" spans="1:7" x14ac:dyDescent="0.3">
      <c r="A400" s="20"/>
      <c r="B400" s="6"/>
      <c r="C400" s="19"/>
      <c r="D400" s="23"/>
      <c r="E400" s="9" t="str">
        <f t="shared" si="6"/>
        <v/>
      </c>
      <c r="F400" s="19"/>
      <c r="G400" s="19"/>
    </row>
    <row r="401" spans="1:7" x14ac:dyDescent="0.3">
      <c r="A401" s="20"/>
      <c r="B401" s="6"/>
      <c r="C401" s="19"/>
      <c r="D401" s="23"/>
      <c r="E401" s="9" t="str">
        <f t="shared" si="6"/>
        <v/>
      </c>
      <c r="F401" s="19"/>
      <c r="G401" s="19"/>
    </row>
    <row r="402" spans="1:7" x14ac:dyDescent="0.3">
      <c r="A402" s="20"/>
      <c r="B402" s="6"/>
      <c r="C402" s="19"/>
      <c r="D402" s="23"/>
      <c r="E402" s="9" t="str">
        <f t="shared" si="6"/>
        <v/>
      </c>
      <c r="F402" s="19"/>
      <c r="G402" s="19"/>
    </row>
    <row r="403" spans="1:7" x14ac:dyDescent="0.3">
      <c r="A403" s="20"/>
      <c r="B403" s="6"/>
      <c r="C403" s="19"/>
      <c r="D403" s="23"/>
      <c r="E403" s="9" t="str">
        <f t="shared" si="6"/>
        <v/>
      </c>
      <c r="F403" s="19"/>
      <c r="G403" s="19"/>
    </row>
    <row r="404" spans="1:7" x14ac:dyDescent="0.3">
      <c r="A404" s="20"/>
      <c r="B404" s="6"/>
      <c r="C404" s="19"/>
      <c r="D404" s="23"/>
      <c r="E404" s="9" t="str">
        <f t="shared" si="6"/>
        <v/>
      </c>
      <c r="F404" s="19"/>
      <c r="G404" s="19"/>
    </row>
    <row r="405" spans="1:7" x14ac:dyDescent="0.3">
      <c r="A405" s="20"/>
      <c r="B405" s="6"/>
      <c r="C405" s="19"/>
      <c r="D405" s="23"/>
      <c r="E405" s="9" t="str">
        <f t="shared" si="6"/>
        <v/>
      </c>
      <c r="F405" s="19"/>
      <c r="G405" s="19"/>
    </row>
    <row r="406" spans="1:7" x14ac:dyDescent="0.3">
      <c r="A406" s="20"/>
      <c r="B406" s="6"/>
      <c r="C406" s="19"/>
      <c r="D406" s="23"/>
      <c r="E406" s="9" t="str">
        <f t="shared" si="6"/>
        <v/>
      </c>
      <c r="F406" s="19"/>
      <c r="G406" s="19"/>
    </row>
    <row r="407" spans="1:7" x14ac:dyDescent="0.3">
      <c r="A407" s="20"/>
      <c r="B407" s="6"/>
      <c r="C407" s="19"/>
      <c r="D407" s="23"/>
      <c r="E407" s="9" t="str">
        <f t="shared" si="6"/>
        <v/>
      </c>
      <c r="F407" s="19"/>
      <c r="G407" s="19"/>
    </row>
    <row r="408" spans="1:7" x14ac:dyDescent="0.3">
      <c r="A408" s="20"/>
      <c r="B408" s="6"/>
      <c r="C408" s="19"/>
      <c r="D408" s="23"/>
      <c r="E408" s="9" t="str">
        <f t="shared" si="6"/>
        <v/>
      </c>
      <c r="F408" s="19"/>
      <c r="G408" s="19"/>
    </row>
    <row r="409" spans="1:7" x14ac:dyDescent="0.3">
      <c r="A409" s="20"/>
      <c r="B409" s="6"/>
      <c r="C409" s="19"/>
      <c r="D409" s="23"/>
      <c r="E409" s="9" t="str">
        <f t="shared" si="6"/>
        <v/>
      </c>
      <c r="F409" s="19"/>
      <c r="G409" s="19"/>
    </row>
    <row r="410" spans="1:7" x14ac:dyDescent="0.3">
      <c r="A410" s="20"/>
      <c r="B410" s="6"/>
      <c r="C410" s="19"/>
      <c r="D410" s="23"/>
      <c r="E410" s="9" t="str">
        <f t="shared" si="6"/>
        <v/>
      </c>
      <c r="F410" s="19"/>
      <c r="G410" s="19"/>
    </row>
    <row r="411" spans="1:7" x14ac:dyDescent="0.3">
      <c r="A411" s="20"/>
      <c r="B411" s="6"/>
      <c r="C411" s="19"/>
      <c r="D411" s="23"/>
      <c r="E411" s="9" t="str">
        <f t="shared" si="6"/>
        <v/>
      </c>
      <c r="F411" s="19"/>
      <c r="G411" s="19"/>
    </row>
    <row r="412" spans="1:7" x14ac:dyDescent="0.3">
      <c r="A412" s="20"/>
      <c r="B412" s="6"/>
      <c r="C412" s="19"/>
      <c r="D412" s="23"/>
      <c r="E412" s="9" t="str">
        <f t="shared" si="6"/>
        <v/>
      </c>
      <c r="F412" s="19"/>
      <c r="G412" s="19"/>
    </row>
    <row r="413" spans="1:7" x14ac:dyDescent="0.3">
      <c r="A413" s="20"/>
      <c r="B413" s="6"/>
      <c r="C413" s="19"/>
      <c r="D413" s="23"/>
      <c r="E413" s="9" t="str">
        <f t="shared" si="6"/>
        <v/>
      </c>
      <c r="F413" s="19"/>
      <c r="G413" s="19"/>
    </row>
    <row r="414" spans="1:7" x14ac:dyDescent="0.3">
      <c r="A414" s="20"/>
      <c r="B414" s="6"/>
      <c r="C414" s="19"/>
      <c r="D414" s="23"/>
      <c r="E414" s="9" t="str">
        <f t="shared" si="6"/>
        <v/>
      </c>
      <c r="F414" s="19"/>
      <c r="G414" s="19"/>
    </row>
    <row r="415" spans="1:7" x14ac:dyDescent="0.3">
      <c r="A415" s="20"/>
      <c r="B415" s="6"/>
      <c r="C415" s="19"/>
      <c r="D415" s="23"/>
      <c r="E415" s="9" t="str">
        <f t="shared" si="6"/>
        <v/>
      </c>
      <c r="F415" s="19"/>
      <c r="G415" s="19"/>
    </row>
    <row r="416" spans="1:7" x14ac:dyDescent="0.3">
      <c r="A416" s="20"/>
      <c r="B416" s="6"/>
      <c r="C416" s="19"/>
      <c r="D416" s="23"/>
      <c r="E416" s="9" t="str">
        <f t="shared" si="6"/>
        <v/>
      </c>
      <c r="F416" s="19"/>
      <c r="G416" s="19"/>
    </row>
    <row r="417" spans="1:7" x14ac:dyDescent="0.3">
      <c r="A417" s="20"/>
      <c r="B417" s="6"/>
      <c r="C417" s="19"/>
      <c r="D417" s="23"/>
      <c r="E417" s="9" t="str">
        <f t="shared" si="6"/>
        <v/>
      </c>
      <c r="F417" s="19"/>
      <c r="G417" s="19"/>
    </row>
    <row r="418" spans="1:7" x14ac:dyDescent="0.3">
      <c r="A418" s="20"/>
      <c r="B418" s="6"/>
      <c r="C418" s="19"/>
      <c r="D418" s="23"/>
      <c r="E418" s="9" t="str">
        <f t="shared" si="6"/>
        <v/>
      </c>
      <c r="F418" s="19"/>
      <c r="G418" s="19"/>
    </row>
    <row r="419" spans="1:7" x14ac:dyDescent="0.3">
      <c r="A419" s="20"/>
      <c r="B419" s="6"/>
      <c r="C419" s="19"/>
      <c r="D419" s="23"/>
      <c r="E419" s="9" t="str">
        <f t="shared" si="6"/>
        <v/>
      </c>
      <c r="F419" s="19"/>
      <c r="G419" s="19"/>
    </row>
    <row r="420" spans="1:7" x14ac:dyDescent="0.3">
      <c r="A420" s="20"/>
      <c r="B420" s="6"/>
      <c r="C420" s="19"/>
      <c r="D420" s="23"/>
      <c r="E420" s="9" t="str">
        <f t="shared" si="6"/>
        <v/>
      </c>
      <c r="F420" s="19"/>
      <c r="G420" s="19"/>
    </row>
    <row r="421" spans="1:7" x14ac:dyDescent="0.3">
      <c r="A421" s="20"/>
      <c r="B421" s="6"/>
      <c r="C421" s="19"/>
      <c r="D421" s="23"/>
      <c r="E421" s="9" t="str">
        <f t="shared" si="6"/>
        <v/>
      </c>
      <c r="F421" s="19"/>
      <c r="G421" s="19"/>
    </row>
    <row r="422" spans="1:7" x14ac:dyDescent="0.3">
      <c r="A422" s="20"/>
      <c r="B422" s="6"/>
      <c r="C422" s="19"/>
      <c r="D422" s="23"/>
      <c r="E422" s="9" t="str">
        <f t="shared" si="6"/>
        <v/>
      </c>
      <c r="F422" s="19"/>
      <c r="G422" s="19"/>
    </row>
    <row r="423" spans="1:7" x14ac:dyDescent="0.3">
      <c r="A423" s="20"/>
      <c r="B423" s="6"/>
      <c r="C423" s="19"/>
      <c r="D423" s="23"/>
      <c r="E423" s="9" t="str">
        <f t="shared" si="6"/>
        <v/>
      </c>
      <c r="F423" s="19"/>
      <c r="G423" s="19"/>
    </row>
    <row r="424" spans="1:7" x14ac:dyDescent="0.3">
      <c r="A424" s="20"/>
      <c r="B424" s="6"/>
      <c r="C424" s="19"/>
      <c r="D424" s="23"/>
      <c r="E424" s="9" t="str">
        <f t="shared" si="6"/>
        <v/>
      </c>
      <c r="F424" s="19"/>
      <c r="G424" s="19"/>
    </row>
    <row r="425" spans="1:7" x14ac:dyDescent="0.3">
      <c r="A425" s="20"/>
      <c r="B425" s="6"/>
      <c r="C425" s="19"/>
      <c r="D425" s="23"/>
      <c r="E425" s="9" t="str">
        <f t="shared" si="6"/>
        <v/>
      </c>
      <c r="F425" s="19"/>
      <c r="G425" s="19"/>
    </row>
    <row r="426" spans="1:7" x14ac:dyDescent="0.3">
      <c r="A426" s="20"/>
      <c r="B426" s="6"/>
      <c r="C426" s="19"/>
      <c r="D426" s="23"/>
      <c r="E426" s="9" t="str">
        <f t="shared" si="6"/>
        <v/>
      </c>
      <c r="F426" s="19"/>
      <c r="G426" s="19"/>
    </row>
    <row r="427" spans="1:7" x14ac:dyDescent="0.3">
      <c r="A427" s="20"/>
      <c r="B427" s="6"/>
      <c r="C427" s="19"/>
      <c r="D427" s="23"/>
      <c r="E427" s="9" t="str">
        <f t="shared" si="6"/>
        <v/>
      </c>
      <c r="F427" s="19"/>
      <c r="G427" s="19"/>
    </row>
    <row r="428" spans="1:7" x14ac:dyDescent="0.3">
      <c r="A428" s="20"/>
      <c r="B428" s="6"/>
      <c r="C428" s="19"/>
      <c r="D428" s="23"/>
      <c r="E428" s="9" t="str">
        <f t="shared" si="6"/>
        <v/>
      </c>
      <c r="F428" s="19"/>
      <c r="G428" s="19"/>
    </row>
    <row r="429" spans="1:7" x14ac:dyDescent="0.3">
      <c r="A429" s="20"/>
      <c r="B429" s="6"/>
      <c r="C429" s="19"/>
      <c r="D429" s="23"/>
      <c r="E429" s="9" t="str">
        <f t="shared" si="6"/>
        <v/>
      </c>
      <c r="F429" s="19"/>
      <c r="G429" s="19"/>
    </row>
    <row r="430" spans="1:7" x14ac:dyDescent="0.3">
      <c r="A430" s="20"/>
      <c r="B430" s="6"/>
      <c r="C430" s="19"/>
      <c r="D430" s="23"/>
      <c r="E430" s="9" t="str">
        <f t="shared" si="6"/>
        <v/>
      </c>
      <c r="F430" s="19"/>
      <c r="G430" s="19"/>
    </row>
    <row r="431" spans="1:7" x14ac:dyDescent="0.3">
      <c r="A431" s="20"/>
      <c r="B431" s="6"/>
      <c r="C431" s="19"/>
      <c r="D431" s="23"/>
      <c r="E431" s="9" t="str">
        <f t="shared" si="6"/>
        <v/>
      </c>
      <c r="F431" s="19"/>
      <c r="G431" s="19"/>
    </row>
    <row r="432" spans="1:7" x14ac:dyDescent="0.3">
      <c r="A432" s="20"/>
      <c r="B432" s="6"/>
      <c r="C432" s="19"/>
      <c r="D432" s="23"/>
      <c r="E432" s="9" t="str">
        <f t="shared" si="6"/>
        <v/>
      </c>
      <c r="F432" s="19"/>
      <c r="G432" s="19"/>
    </row>
    <row r="433" spans="1:7" x14ac:dyDescent="0.3">
      <c r="A433" s="20"/>
      <c r="B433" s="6"/>
      <c r="C433" s="19"/>
      <c r="D433" s="23"/>
      <c r="E433" s="9" t="str">
        <f t="shared" si="6"/>
        <v/>
      </c>
      <c r="F433" s="19"/>
      <c r="G433" s="19"/>
    </row>
    <row r="434" spans="1:7" x14ac:dyDescent="0.3">
      <c r="A434" s="20"/>
      <c r="B434" s="6"/>
      <c r="C434" s="19"/>
      <c r="D434" s="23"/>
      <c r="E434" s="9" t="str">
        <f t="shared" si="6"/>
        <v/>
      </c>
      <c r="F434" s="19"/>
      <c r="G434" s="19"/>
    </row>
    <row r="435" spans="1:7" x14ac:dyDescent="0.3">
      <c r="A435" s="20"/>
      <c r="B435" s="6"/>
      <c r="C435" s="19"/>
      <c r="D435" s="23"/>
      <c r="E435" s="9" t="str">
        <f t="shared" si="6"/>
        <v/>
      </c>
      <c r="F435" s="19"/>
      <c r="G435" s="19"/>
    </row>
    <row r="436" spans="1:7" x14ac:dyDescent="0.3">
      <c r="A436" s="20"/>
      <c r="B436" s="6"/>
      <c r="C436" s="19"/>
      <c r="D436" s="23"/>
      <c r="E436" s="9" t="str">
        <f t="shared" si="6"/>
        <v/>
      </c>
      <c r="F436" s="19"/>
      <c r="G436" s="19"/>
    </row>
    <row r="437" spans="1:7" x14ac:dyDescent="0.3">
      <c r="A437" s="20"/>
      <c r="B437" s="6"/>
      <c r="C437" s="19"/>
      <c r="D437" s="23"/>
      <c r="E437" s="9" t="str">
        <f t="shared" si="6"/>
        <v/>
      </c>
      <c r="F437" s="19"/>
      <c r="G437" s="19"/>
    </row>
    <row r="438" spans="1:7" x14ac:dyDescent="0.3">
      <c r="A438" s="20"/>
      <c r="B438" s="6"/>
      <c r="C438" s="19"/>
      <c r="D438" s="23"/>
      <c r="E438" s="9" t="str">
        <f t="shared" si="6"/>
        <v/>
      </c>
      <c r="F438" s="19"/>
      <c r="G438" s="19"/>
    </row>
    <row r="439" spans="1:7" x14ac:dyDescent="0.3">
      <c r="A439" s="20"/>
      <c r="B439" s="6"/>
      <c r="C439" s="19"/>
      <c r="D439" s="23"/>
      <c r="E439" s="9" t="str">
        <f t="shared" si="6"/>
        <v/>
      </c>
      <c r="F439" s="19"/>
      <c r="G439" s="19"/>
    </row>
    <row r="440" spans="1:7" x14ac:dyDescent="0.3">
      <c r="A440" s="20"/>
      <c r="B440" s="6"/>
      <c r="C440" s="19"/>
      <c r="D440" s="23"/>
      <c r="E440" s="9" t="str">
        <f t="shared" si="6"/>
        <v/>
      </c>
      <c r="F440" s="19"/>
      <c r="G440" s="19"/>
    </row>
    <row r="441" spans="1:7" x14ac:dyDescent="0.3">
      <c r="A441" s="20"/>
      <c r="B441" s="6"/>
      <c r="C441" s="19"/>
      <c r="D441" s="23"/>
      <c r="E441" s="9" t="str">
        <f t="shared" si="6"/>
        <v/>
      </c>
      <c r="F441" s="19"/>
      <c r="G441" s="19"/>
    </row>
    <row r="442" spans="1:7" x14ac:dyDescent="0.3">
      <c r="A442" s="20"/>
      <c r="B442" s="6"/>
      <c r="C442" s="19"/>
      <c r="D442" s="23"/>
      <c r="E442" s="9" t="str">
        <f t="shared" si="6"/>
        <v/>
      </c>
      <c r="F442" s="19"/>
      <c r="G442" s="19"/>
    </row>
    <row r="443" spans="1:7" x14ac:dyDescent="0.3">
      <c r="A443" s="20"/>
      <c r="B443" s="6"/>
      <c r="C443" s="19"/>
      <c r="D443" s="23"/>
      <c r="E443" s="9" t="str">
        <f t="shared" si="6"/>
        <v/>
      </c>
      <c r="F443" s="19"/>
      <c r="G443" s="19"/>
    </row>
    <row r="444" spans="1:7" x14ac:dyDescent="0.3">
      <c r="A444" s="20"/>
      <c r="B444" s="6"/>
      <c r="C444" s="19"/>
      <c r="D444" s="23"/>
      <c r="E444" s="9" t="str">
        <f t="shared" si="6"/>
        <v/>
      </c>
      <c r="F444" s="19"/>
      <c r="G444" s="19"/>
    </row>
    <row r="445" spans="1:7" x14ac:dyDescent="0.3">
      <c r="A445" s="20"/>
      <c r="B445" s="6"/>
      <c r="C445" s="19"/>
      <c r="D445" s="23"/>
      <c r="E445" s="9" t="str">
        <f t="shared" si="6"/>
        <v/>
      </c>
      <c r="F445" s="19"/>
      <c r="G445" s="19"/>
    </row>
    <row r="446" spans="1:7" x14ac:dyDescent="0.3">
      <c r="A446" s="20"/>
      <c r="B446" s="6"/>
      <c r="C446" s="19"/>
      <c r="D446" s="23"/>
      <c r="E446" s="9" t="str">
        <f t="shared" si="6"/>
        <v/>
      </c>
      <c r="F446" s="19"/>
      <c r="G446" s="19"/>
    </row>
    <row r="447" spans="1:7" x14ac:dyDescent="0.3">
      <c r="A447" s="20"/>
      <c r="B447" s="6"/>
      <c r="C447" s="19"/>
      <c r="D447" s="23"/>
      <c r="E447" s="9" t="str">
        <f t="shared" si="6"/>
        <v/>
      </c>
      <c r="F447" s="19"/>
      <c r="G447" s="19"/>
    </row>
    <row r="448" spans="1:7" x14ac:dyDescent="0.3">
      <c r="A448" s="20"/>
      <c r="B448" s="6"/>
      <c r="C448" s="19"/>
      <c r="D448" s="23"/>
      <c r="E448" s="9" t="str">
        <f t="shared" si="6"/>
        <v/>
      </c>
      <c r="F448" s="19"/>
      <c r="G448" s="19"/>
    </row>
    <row r="449" spans="1:7" x14ac:dyDescent="0.3">
      <c r="A449" s="20"/>
      <c r="B449" s="6"/>
      <c r="C449" s="19"/>
      <c r="D449" s="23"/>
      <c r="E449" s="9" t="str">
        <f t="shared" si="6"/>
        <v/>
      </c>
      <c r="F449" s="19"/>
      <c r="G449" s="19"/>
    </row>
    <row r="450" spans="1:7" x14ac:dyDescent="0.3">
      <c r="A450" s="20"/>
      <c r="B450" s="6"/>
      <c r="C450" s="19"/>
      <c r="D450" s="23"/>
      <c r="E450" s="9" t="str">
        <f t="shared" ref="E450:E513" si="7">IF($B450="","",$C450*$D450)</f>
        <v/>
      </c>
      <c r="F450" s="19"/>
      <c r="G450" s="19"/>
    </row>
    <row r="451" spans="1:7" x14ac:dyDescent="0.3">
      <c r="A451" s="20"/>
      <c r="B451" s="6"/>
      <c r="C451" s="19"/>
      <c r="D451" s="23"/>
      <c r="E451" s="9" t="str">
        <f t="shared" si="7"/>
        <v/>
      </c>
      <c r="F451" s="19"/>
      <c r="G451" s="19"/>
    </row>
    <row r="452" spans="1:7" x14ac:dyDescent="0.3">
      <c r="A452" s="20"/>
      <c r="B452" s="6"/>
      <c r="C452" s="19"/>
      <c r="D452" s="23"/>
      <c r="E452" s="9" t="str">
        <f t="shared" si="7"/>
        <v/>
      </c>
      <c r="F452" s="19"/>
      <c r="G452" s="19"/>
    </row>
    <row r="453" spans="1:7" x14ac:dyDescent="0.3">
      <c r="A453" s="20"/>
      <c r="B453" s="6"/>
      <c r="C453" s="19"/>
      <c r="D453" s="23"/>
      <c r="E453" s="9" t="str">
        <f t="shared" si="7"/>
        <v/>
      </c>
      <c r="F453" s="19"/>
      <c r="G453" s="19"/>
    </row>
    <row r="454" spans="1:7" x14ac:dyDescent="0.3">
      <c r="A454" s="20"/>
      <c r="B454" s="6"/>
      <c r="C454" s="19"/>
      <c r="D454" s="23"/>
      <c r="E454" s="9" t="str">
        <f t="shared" si="7"/>
        <v/>
      </c>
      <c r="F454" s="19"/>
      <c r="G454" s="19"/>
    </row>
    <row r="455" spans="1:7" x14ac:dyDescent="0.3">
      <c r="A455" s="20"/>
      <c r="B455" s="6"/>
      <c r="C455" s="19"/>
      <c r="D455" s="23"/>
      <c r="E455" s="9" t="str">
        <f t="shared" si="7"/>
        <v/>
      </c>
      <c r="F455" s="19"/>
      <c r="G455" s="19"/>
    </row>
    <row r="456" spans="1:7" x14ac:dyDescent="0.3">
      <c r="A456" s="20"/>
      <c r="B456" s="6"/>
      <c r="C456" s="19"/>
      <c r="D456" s="23"/>
      <c r="E456" s="9" t="str">
        <f t="shared" si="7"/>
        <v/>
      </c>
      <c r="F456" s="19"/>
      <c r="G456" s="19"/>
    </row>
    <row r="457" spans="1:7" x14ac:dyDescent="0.3">
      <c r="A457" s="20"/>
      <c r="B457" s="6"/>
      <c r="C457" s="19"/>
      <c r="D457" s="23"/>
      <c r="E457" s="9" t="str">
        <f t="shared" si="7"/>
        <v/>
      </c>
      <c r="F457" s="19"/>
      <c r="G457" s="19"/>
    </row>
    <row r="458" spans="1:7" x14ac:dyDescent="0.3">
      <c r="A458" s="20"/>
      <c r="B458" s="6"/>
      <c r="C458" s="19"/>
      <c r="D458" s="23"/>
      <c r="E458" s="9" t="str">
        <f t="shared" si="7"/>
        <v/>
      </c>
      <c r="F458" s="19"/>
      <c r="G458" s="19"/>
    </row>
    <row r="459" spans="1:7" x14ac:dyDescent="0.3">
      <c r="A459" s="20"/>
      <c r="B459" s="6"/>
      <c r="C459" s="19"/>
      <c r="D459" s="23"/>
      <c r="E459" s="9" t="str">
        <f t="shared" si="7"/>
        <v/>
      </c>
      <c r="F459" s="19"/>
      <c r="G459" s="19"/>
    </row>
    <row r="460" spans="1:7" x14ac:dyDescent="0.3">
      <c r="A460" s="20"/>
      <c r="B460" s="6"/>
      <c r="C460" s="19"/>
      <c r="D460" s="23"/>
      <c r="E460" s="9" t="str">
        <f t="shared" si="7"/>
        <v/>
      </c>
      <c r="F460" s="19"/>
      <c r="G460" s="19"/>
    </row>
    <row r="461" spans="1:7" x14ac:dyDescent="0.3">
      <c r="A461" s="20"/>
      <c r="B461" s="6"/>
      <c r="C461" s="19"/>
      <c r="D461" s="23"/>
      <c r="E461" s="9" t="str">
        <f t="shared" si="7"/>
        <v/>
      </c>
      <c r="F461" s="19"/>
      <c r="G461" s="19"/>
    </row>
    <row r="462" spans="1:7" x14ac:dyDescent="0.3">
      <c r="A462" s="20"/>
      <c r="B462" s="6"/>
      <c r="C462" s="19"/>
      <c r="D462" s="23"/>
      <c r="E462" s="9" t="str">
        <f t="shared" si="7"/>
        <v/>
      </c>
      <c r="F462" s="19"/>
      <c r="G462" s="19"/>
    </row>
    <row r="463" spans="1:7" x14ac:dyDescent="0.3">
      <c r="A463" s="20"/>
      <c r="B463" s="6"/>
      <c r="C463" s="19"/>
      <c r="D463" s="23"/>
      <c r="E463" s="9" t="str">
        <f t="shared" si="7"/>
        <v/>
      </c>
      <c r="F463" s="19"/>
      <c r="G463" s="19"/>
    </row>
    <row r="464" spans="1:7" x14ac:dyDescent="0.3">
      <c r="A464" s="20"/>
      <c r="B464" s="6"/>
      <c r="C464" s="19"/>
      <c r="D464" s="23"/>
      <c r="E464" s="9" t="str">
        <f t="shared" si="7"/>
        <v/>
      </c>
      <c r="F464" s="19"/>
      <c r="G464" s="19"/>
    </row>
    <row r="465" spans="1:7" x14ac:dyDescent="0.3">
      <c r="A465" s="20"/>
      <c r="B465" s="6"/>
      <c r="C465" s="19"/>
      <c r="D465" s="23"/>
      <c r="E465" s="9" t="str">
        <f t="shared" si="7"/>
        <v/>
      </c>
      <c r="F465" s="19"/>
      <c r="G465" s="19"/>
    </row>
    <row r="466" spans="1:7" x14ac:dyDescent="0.3">
      <c r="A466" s="20"/>
      <c r="B466" s="6"/>
      <c r="C466" s="19"/>
      <c r="D466" s="23"/>
      <c r="E466" s="9" t="str">
        <f t="shared" si="7"/>
        <v/>
      </c>
      <c r="F466" s="19"/>
      <c r="G466" s="19"/>
    </row>
    <row r="467" spans="1:7" x14ac:dyDescent="0.3">
      <c r="A467" s="20"/>
      <c r="B467" s="6"/>
      <c r="C467" s="19"/>
      <c r="D467" s="23"/>
      <c r="E467" s="9" t="str">
        <f t="shared" si="7"/>
        <v/>
      </c>
      <c r="F467" s="19"/>
      <c r="G467" s="19"/>
    </row>
    <row r="468" spans="1:7" x14ac:dyDescent="0.3">
      <c r="A468" s="20"/>
      <c r="B468" s="6"/>
      <c r="C468" s="19"/>
      <c r="D468" s="23"/>
      <c r="E468" s="9" t="str">
        <f t="shared" si="7"/>
        <v/>
      </c>
      <c r="F468" s="19"/>
      <c r="G468" s="19"/>
    </row>
    <row r="469" spans="1:7" x14ac:dyDescent="0.3">
      <c r="A469" s="20"/>
      <c r="B469" s="6"/>
      <c r="C469" s="19"/>
      <c r="D469" s="23"/>
      <c r="E469" s="9" t="str">
        <f t="shared" si="7"/>
        <v/>
      </c>
      <c r="F469" s="19"/>
      <c r="G469" s="19"/>
    </row>
    <row r="470" spans="1:7" x14ac:dyDescent="0.3">
      <c r="A470" s="20"/>
      <c r="B470" s="6"/>
      <c r="C470" s="19"/>
      <c r="D470" s="23"/>
      <c r="E470" s="9" t="str">
        <f t="shared" si="7"/>
        <v/>
      </c>
      <c r="F470" s="19"/>
      <c r="G470" s="19"/>
    </row>
    <row r="471" spans="1:7" x14ac:dyDescent="0.3">
      <c r="A471" s="20"/>
      <c r="B471" s="6"/>
      <c r="C471" s="19"/>
      <c r="D471" s="23"/>
      <c r="E471" s="9" t="str">
        <f t="shared" si="7"/>
        <v/>
      </c>
      <c r="F471" s="19"/>
      <c r="G471" s="19"/>
    </row>
    <row r="472" spans="1:7" x14ac:dyDescent="0.3">
      <c r="A472" s="20"/>
      <c r="B472" s="6"/>
      <c r="C472" s="19"/>
      <c r="D472" s="23"/>
      <c r="E472" s="9" t="str">
        <f t="shared" si="7"/>
        <v/>
      </c>
      <c r="F472" s="19"/>
      <c r="G472" s="19"/>
    </row>
    <row r="473" spans="1:7" x14ac:dyDescent="0.3">
      <c r="A473" s="20"/>
      <c r="B473" s="6"/>
      <c r="C473" s="19"/>
      <c r="D473" s="23"/>
      <c r="E473" s="9" t="str">
        <f t="shared" si="7"/>
        <v/>
      </c>
      <c r="F473" s="19"/>
      <c r="G473" s="19"/>
    </row>
    <row r="474" spans="1:7" x14ac:dyDescent="0.3">
      <c r="A474" s="20"/>
      <c r="B474" s="6"/>
      <c r="C474" s="19"/>
      <c r="D474" s="23"/>
      <c r="E474" s="9" t="str">
        <f t="shared" si="7"/>
        <v/>
      </c>
      <c r="F474" s="19"/>
      <c r="G474" s="19"/>
    </row>
    <row r="475" spans="1:7" x14ac:dyDescent="0.3">
      <c r="A475" s="20"/>
      <c r="B475" s="6"/>
      <c r="C475" s="19"/>
      <c r="D475" s="23"/>
      <c r="E475" s="9" t="str">
        <f t="shared" si="7"/>
        <v/>
      </c>
      <c r="F475" s="19"/>
      <c r="G475" s="19"/>
    </row>
    <row r="476" spans="1:7" x14ac:dyDescent="0.3">
      <c r="A476" s="20"/>
      <c r="B476" s="6"/>
      <c r="C476" s="19"/>
      <c r="D476" s="23"/>
      <c r="E476" s="9" t="str">
        <f t="shared" si="7"/>
        <v/>
      </c>
      <c r="F476" s="19"/>
      <c r="G476" s="19"/>
    </row>
    <row r="477" spans="1:7" x14ac:dyDescent="0.3">
      <c r="A477" s="20"/>
      <c r="B477" s="6"/>
      <c r="C477" s="19"/>
      <c r="D477" s="23"/>
      <c r="E477" s="9" t="str">
        <f t="shared" si="7"/>
        <v/>
      </c>
      <c r="F477" s="19"/>
      <c r="G477" s="19"/>
    </row>
    <row r="478" spans="1:7" x14ac:dyDescent="0.3">
      <c r="A478" s="20"/>
      <c r="B478" s="6"/>
      <c r="C478" s="19"/>
      <c r="D478" s="23"/>
      <c r="E478" s="9" t="str">
        <f t="shared" si="7"/>
        <v/>
      </c>
      <c r="F478" s="19"/>
      <c r="G478" s="19"/>
    </row>
    <row r="479" spans="1:7" x14ac:dyDescent="0.3">
      <c r="A479" s="20"/>
      <c r="B479" s="6"/>
      <c r="C479" s="19"/>
      <c r="D479" s="23"/>
      <c r="E479" s="9" t="str">
        <f t="shared" si="7"/>
        <v/>
      </c>
      <c r="F479" s="19"/>
      <c r="G479" s="19"/>
    </row>
    <row r="480" spans="1:7" x14ac:dyDescent="0.3">
      <c r="A480" s="20"/>
      <c r="B480" s="6"/>
      <c r="C480" s="19"/>
      <c r="D480" s="23"/>
      <c r="E480" s="9" t="str">
        <f t="shared" si="7"/>
        <v/>
      </c>
      <c r="F480" s="19"/>
      <c r="G480" s="19"/>
    </row>
    <row r="481" spans="1:7" x14ac:dyDescent="0.3">
      <c r="A481" s="20"/>
      <c r="B481" s="6"/>
      <c r="C481" s="19"/>
      <c r="D481" s="23"/>
      <c r="E481" s="9" t="str">
        <f t="shared" si="7"/>
        <v/>
      </c>
      <c r="F481" s="19"/>
      <c r="G481" s="19"/>
    </row>
    <row r="482" spans="1:7" x14ac:dyDescent="0.3">
      <c r="A482" s="20"/>
      <c r="B482" s="6"/>
      <c r="C482" s="19"/>
      <c r="D482" s="23"/>
      <c r="E482" s="9" t="str">
        <f t="shared" si="7"/>
        <v/>
      </c>
      <c r="F482" s="19"/>
      <c r="G482" s="19"/>
    </row>
    <row r="483" spans="1:7" x14ac:dyDescent="0.3">
      <c r="A483" s="20"/>
      <c r="B483" s="6"/>
      <c r="C483" s="19"/>
      <c r="D483" s="23"/>
      <c r="E483" s="9" t="str">
        <f t="shared" si="7"/>
        <v/>
      </c>
      <c r="F483" s="19"/>
      <c r="G483" s="19"/>
    </row>
    <row r="484" spans="1:7" x14ac:dyDescent="0.3">
      <c r="A484" s="20"/>
      <c r="B484" s="6"/>
      <c r="C484" s="19"/>
      <c r="D484" s="23"/>
      <c r="E484" s="9" t="str">
        <f t="shared" si="7"/>
        <v/>
      </c>
      <c r="F484" s="19"/>
      <c r="G484" s="19"/>
    </row>
    <row r="485" spans="1:7" x14ac:dyDescent="0.3">
      <c r="A485" s="20"/>
      <c r="B485" s="6"/>
      <c r="C485" s="19"/>
      <c r="D485" s="23"/>
      <c r="E485" s="9" t="str">
        <f t="shared" si="7"/>
        <v/>
      </c>
      <c r="F485" s="19"/>
      <c r="G485" s="19"/>
    </row>
    <row r="486" spans="1:7" x14ac:dyDescent="0.3">
      <c r="A486" s="20"/>
      <c r="B486" s="6"/>
      <c r="C486" s="19"/>
      <c r="D486" s="23"/>
      <c r="E486" s="9" t="str">
        <f t="shared" si="7"/>
        <v/>
      </c>
      <c r="F486" s="19"/>
      <c r="G486" s="19"/>
    </row>
    <row r="487" spans="1:7" x14ac:dyDescent="0.3">
      <c r="A487" s="20"/>
      <c r="B487" s="6"/>
      <c r="C487" s="19"/>
      <c r="D487" s="23"/>
      <c r="E487" s="9" t="str">
        <f t="shared" si="7"/>
        <v/>
      </c>
      <c r="F487" s="19"/>
      <c r="G487" s="19"/>
    </row>
    <row r="488" spans="1:7" x14ac:dyDescent="0.3">
      <c r="A488" s="20"/>
      <c r="B488" s="6"/>
      <c r="C488" s="19"/>
      <c r="D488" s="23"/>
      <c r="E488" s="9" t="str">
        <f t="shared" si="7"/>
        <v/>
      </c>
      <c r="F488" s="19"/>
      <c r="G488" s="19"/>
    </row>
    <row r="489" spans="1:7" x14ac:dyDescent="0.3">
      <c r="A489" s="20"/>
      <c r="B489" s="6"/>
      <c r="C489" s="19"/>
      <c r="D489" s="23"/>
      <c r="E489" s="9" t="str">
        <f t="shared" si="7"/>
        <v/>
      </c>
      <c r="F489" s="19"/>
      <c r="G489" s="19"/>
    </row>
    <row r="490" spans="1:7" x14ac:dyDescent="0.3">
      <c r="A490" s="20"/>
      <c r="B490" s="6"/>
      <c r="C490" s="19"/>
      <c r="D490" s="23"/>
      <c r="E490" s="9" t="str">
        <f t="shared" si="7"/>
        <v/>
      </c>
      <c r="F490" s="19"/>
      <c r="G490" s="19"/>
    </row>
    <row r="491" spans="1:7" x14ac:dyDescent="0.3">
      <c r="A491" s="20"/>
      <c r="B491" s="6"/>
      <c r="C491" s="19"/>
      <c r="D491" s="23"/>
      <c r="E491" s="9" t="str">
        <f t="shared" si="7"/>
        <v/>
      </c>
      <c r="F491" s="19"/>
      <c r="G491" s="19"/>
    </row>
    <row r="492" spans="1:7" x14ac:dyDescent="0.3">
      <c r="A492" s="20"/>
      <c r="B492" s="6"/>
      <c r="C492" s="19"/>
      <c r="D492" s="23"/>
      <c r="E492" s="9" t="str">
        <f t="shared" si="7"/>
        <v/>
      </c>
      <c r="F492" s="19"/>
      <c r="G492" s="19"/>
    </row>
    <row r="493" spans="1:7" x14ac:dyDescent="0.3">
      <c r="A493" s="20"/>
      <c r="B493" s="6"/>
      <c r="C493" s="19"/>
      <c r="D493" s="23"/>
      <c r="E493" s="9" t="str">
        <f t="shared" si="7"/>
        <v/>
      </c>
      <c r="F493" s="19"/>
      <c r="G493" s="19"/>
    </row>
    <row r="494" spans="1:7" x14ac:dyDescent="0.3">
      <c r="A494" s="20"/>
      <c r="B494" s="6"/>
      <c r="C494" s="19"/>
      <c r="D494" s="23"/>
      <c r="E494" s="9" t="str">
        <f t="shared" si="7"/>
        <v/>
      </c>
      <c r="F494" s="19"/>
      <c r="G494" s="19"/>
    </row>
    <row r="495" spans="1:7" x14ac:dyDescent="0.3">
      <c r="A495" s="20"/>
      <c r="B495" s="6"/>
      <c r="C495" s="19"/>
      <c r="D495" s="23"/>
      <c r="E495" s="9" t="str">
        <f t="shared" si="7"/>
        <v/>
      </c>
      <c r="F495" s="19"/>
      <c r="G495" s="19"/>
    </row>
    <row r="496" spans="1:7" x14ac:dyDescent="0.3">
      <c r="A496" s="20"/>
      <c r="B496" s="6"/>
      <c r="C496" s="19"/>
      <c r="D496" s="23"/>
      <c r="E496" s="9" t="str">
        <f t="shared" si="7"/>
        <v/>
      </c>
      <c r="F496" s="19"/>
      <c r="G496" s="19"/>
    </row>
    <row r="497" spans="1:7" x14ac:dyDescent="0.3">
      <c r="A497" s="20"/>
      <c r="B497" s="6"/>
      <c r="C497" s="19"/>
      <c r="D497" s="23"/>
      <c r="E497" s="9" t="str">
        <f t="shared" si="7"/>
        <v/>
      </c>
      <c r="F497" s="19"/>
      <c r="G497" s="19"/>
    </row>
    <row r="498" spans="1:7" x14ac:dyDescent="0.3">
      <c r="A498" s="20"/>
      <c r="B498" s="6"/>
      <c r="C498" s="19"/>
      <c r="D498" s="23"/>
      <c r="E498" s="9" t="str">
        <f t="shared" si="7"/>
        <v/>
      </c>
      <c r="F498" s="19"/>
      <c r="G498" s="19"/>
    </row>
    <row r="499" spans="1:7" x14ac:dyDescent="0.3">
      <c r="A499" s="20"/>
      <c r="B499" s="6"/>
      <c r="C499" s="19"/>
      <c r="D499" s="23"/>
      <c r="E499" s="9" t="str">
        <f t="shared" si="7"/>
        <v/>
      </c>
      <c r="F499" s="19"/>
      <c r="G499" s="19"/>
    </row>
    <row r="500" spans="1:7" x14ac:dyDescent="0.3">
      <c r="A500" s="20"/>
      <c r="B500" s="6"/>
      <c r="C500" s="19"/>
      <c r="D500" s="23"/>
      <c r="E500" s="9" t="str">
        <f t="shared" si="7"/>
        <v/>
      </c>
      <c r="F500" s="19"/>
      <c r="G500" s="19"/>
    </row>
    <row r="501" spans="1:7" x14ac:dyDescent="0.3">
      <c r="A501" s="20"/>
      <c r="B501" s="6"/>
      <c r="C501" s="19"/>
      <c r="D501" s="23"/>
      <c r="E501" s="9" t="str">
        <f t="shared" si="7"/>
        <v/>
      </c>
      <c r="F501" s="19"/>
      <c r="G501" s="19"/>
    </row>
    <row r="502" spans="1:7" x14ac:dyDescent="0.3">
      <c r="A502" s="20"/>
      <c r="B502" s="6"/>
      <c r="C502" s="19"/>
      <c r="D502" s="23"/>
      <c r="E502" s="9" t="str">
        <f t="shared" si="7"/>
        <v/>
      </c>
      <c r="F502" s="19"/>
      <c r="G502" s="19"/>
    </row>
    <row r="503" spans="1:7" x14ac:dyDescent="0.3">
      <c r="A503" s="20"/>
      <c r="B503" s="6"/>
      <c r="C503" s="19"/>
      <c r="D503" s="23"/>
      <c r="E503" s="9" t="str">
        <f t="shared" si="7"/>
        <v/>
      </c>
      <c r="F503" s="19"/>
      <c r="G503" s="19"/>
    </row>
    <row r="504" spans="1:7" x14ac:dyDescent="0.3">
      <c r="A504" s="20"/>
      <c r="B504" s="6"/>
      <c r="C504" s="19"/>
      <c r="D504" s="23"/>
      <c r="E504" s="9" t="str">
        <f t="shared" si="7"/>
        <v/>
      </c>
      <c r="F504" s="19"/>
      <c r="G504" s="19"/>
    </row>
    <row r="505" spans="1:7" x14ac:dyDescent="0.3">
      <c r="A505" s="20"/>
      <c r="B505" s="6"/>
      <c r="C505" s="19"/>
      <c r="D505" s="23"/>
      <c r="E505" s="9" t="str">
        <f t="shared" si="7"/>
        <v/>
      </c>
      <c r="F505" s="19"/>
      <c r="G505" s="19"/>
    </row>
    <row r="506" spans="1:7" x14ac:dyDescent="0.3">
      <c r="A506" s="20"/>
      <c r="B506" s="6"/>
      <c r="C506" s="19"/>
      <c r="D506" s="23"/>
      <c r="E506" s="9" t="str">
        <f t="shared" si="7"/>
        <v/>
      </c>
      <c r="F506" s="19"/>
      <c r="G506" s="19"/>
    </row>
    <row r="507" spans="1:7" x14ac:dyDescent="0.3">
      <c r="A507" s="20"/>
      <c r="B507" s="6"/>
      <c r="C507" s="19"/>
      <c r="D507" s="23"/>
      <c r="E507" s="9" t="str">
        <f t="shared" si="7"/>
        <v/>
      </c>
      <c r="F507" s="19"/>
      <c r="G507" s="19"/>
    </row>
    <row r="508" spans="1:7" x14ac:dyDescent="0.3">
      <c r="A508" s="20"/>
      <c r="B508" s="6"/>
      <c r="C508" s="19"/>
      <c r="D508" s="23"/>
      <c r="E508" s="9" t="str">
        <f t="shared" si="7"/>
        <v/>
      </c>
      <c r="F508" s="19"/>
      <c r="G508" s="19"/>
    </row>
    <row r="509" spans="1:7" x14ac:dyDescent="0.3">
      <c r="A509" s="20"/>
      <c r="B509" s="6"/>
      <c r="C509" s="19"/>
      <c r="D509" s="23"/>
      <c r="E509" s="9" t="str">
        <f t="shared" si="7"/>
        <v/>
      </c>
      <c r="F509" s="19"/>
      <c r="G509" s="19"/>
    </row>
    <row r="510" spans="1:7" x14ac:dyDescent="0.3">
      <c r="A510" s="20"/>
      <c r="B510" s="6"/>
      <c r="C510" s="19"/>
      <c r="D510" s="23"/>
      <c r="E510" s="9" t="str">
        <f t="shared" si="7"/>
        <v/>
      </c>
      <c r="F510" s="19"/>
      <c r="G510" s="19"/>
    </row>
    <row r="511" spans="1:7" x14ac:dyDescent="0.3">
      <c r="A511" s="20"/>
      <c r="B511" s="6"/>
      <c r="C511" s="19"/>
      <c r="D511" s="23"/>
      <c r="E511" s="9" t="str">
        <f t="shared" si="7"/>
        <v/>
      </c>
      <c r="F511" s="19"/>
      <c r="G511" s="19"/>
    </row>
    <row r="512" spans="1:7" x14ac:dyDescent="0.3">
      <c r="A512" s="20"/>
      <c r="B512" s="6"/>
      <c r="C512" s="19"/>
      <c r="D512" s="23"/>
      <c r="E512" s="9" t="str">
        <f t="shared" si="7"/>
        <v/>
      </c>
      <c r="F512" s="19"/>
      <c r="G512" s="19"/>
    </row>
    <row r="513" spans="1:7" x14ac:dyDescent="0.3">
      <c r="A513" s="20"/>
      <c r="B513" s="6"/>
      <c r="C513" s="19"/>
      <c r="D513" s="23"/>
      <c r="E513" s="9" t="str">
        <f t="shared" si="7"/>
        <v/>
      </c>
      <c r="F513" s="19"/>
      <c r="G513" s="19"/>
    </row>
    <row r="514" spans="1:7" x14ac:dyDescent="0.3">
      <c r="A514" s="20"/>
      <c r="B514" s="6"/>
      <c r="C514" s="19"/>
      <c r="D514" s="23"/>
      <c r="E514" s="9" t="str">
        <f t="shared" ref="E514:E577" si="8">IF($B514="","",$C514*$D514)</f>
        <v/>
      </c>
      <c r="F514" s="19"/>
      <c r="G514" s="19"/>
    </row>
    <row r="515" spans="1:7" x14ac:dyDescent="0.3">
      <c r="A515" s="20"/>
      <c r="B515" s="6"/>
      <c r="C515" s="19"/>
      <c r="D515" s="23"/>
      <c r="E515" s="9" t="str">
        <f t="shared" si="8"/>
        <v/>
      </c>
      <c r="F515" s="19"/>
      <c r="G515" s="19"/>
    </row>
    <row r="516" spans="1:7" x14ac:dyDescent="0.3">
      <c r="A516" s="20"/>
      <c r="B516" s="6"/>
      <c r="C516" s="19"/>
      <c r="D516" s="23"/>
      <c r="E516" s="9" t="str">
        <f t="shared" si="8"/>
        <v/>
      </c>
      <c r="F516" s="19"/>
      <c r="G516" s="19"/>
    </row>
    <row r="517" spans="1:7" x14ac:dyDescent="0.3">
      <c r="A517" s="20"/>
      <c r="B517" s="6"/>
      <c r="C517" s="19"/>
      <c r="D517" s="23"/>
      <c r="E517" s="9" t="str">
        <f t="shared" si="8"/>
        <v/>
      </c>
      <c r="F517" s="19"/>
      <c r="G517" s="19"/>
    </row>
    <row r="518" spans="1:7" x14ac:dyDescent="0.3">
      <c r="A518" s="20"/>
      <c r="B518" s="6"/>
      <c r="C518" s="19"/>
      <c r="D518" s="23"/>
      <c r="E518" s="9" t="str">
        <f t="shared" si="8"/>
        <v/>
      </c>
      <c r="F518" s="19"/>
      <c r="G518" s="19"/>
    </row>
    <row r="519" spans="1:7" x14ac:dyDescent="0.3">
      <c r="A519" s="20"/>
      <c r="B519" s="6"/>
      <c r="C519" s="19"/>
      <c r="D519" s="23"/>
      <c r="E519" s="9" t="str">
        <f t="shared" si="8"/>
        <v/>
      </c>
      <c r="F519" s="19"/>
      <c r="G519" s="19"/>
    </row>
    <row r="520" spans="1:7" x14ac:dyDescent="0.3">
      <c r="A520" s="20"/>
      <c r="B520" s="6"/>
      <c r="C520" s="19"/>
      <c r="D520" s="23"/>
      <c r="E520" s="9" t="str">
        <f t="shared" si="8"/>
        <v/>
      </c>
      <c r="F520" s="19"/>
      <c r="G520" s="19"/>
    </row>
    <row r="521" spans="1:7" x14ac:dyDescent="0.3">
      <c r="A521" s="20"/>
      <c r="B521" s="6"/>
      <c r="C521" s="19"/>
      <c r="D521" s="23"/>
      <c r="E521" s="9" t="str">
        <f t="shared" si="8"/>
        <v/>
      </c>
      <c r="F521" s="19"/>
      <c r="G521" s="19"/>
    </row>
    <row r="522" spans="1:7" x14ac:dyDescent="0.3">
      <c r="A522" s="20"/>
      <c r="B522" s="6"/>
      <c r="C522" s="19"/>
      <c r="D522" s="23"/>
      <c r="E522" s="9" t="str">
        <f t="shared" si="8"/>
        <v/>
      </c>
      <c r="F522" s="19"/>
      <c r="G522" s="19"/>
    </row>
    <row r="523" spans="1:7" x14ac:dyDescent="0.3">
      <c r="A523" s="20"/>
      <c r="B523" s="6"/>
      <c r="C523" s="19"/>
      <c r="D523" s="23"/>
      <c r="E523" s="9" t="str">
        <f t="shared" si="8"/>
        <v/>
      </c>
      <c r="F523" s="19"/>
      <c r="G523" s="19"/>
    </row>
    <row r="524" spans="1:7" x14ac:dyDescent="0.3">
      <c r="A524" s="20"/>
      <c r="B524" s="6"/>
      <c r="C524" s="19"/>
      <c r="D524" s="23"/>
      <c r="E524" s="9" t="str">
        <f t="shared" si="8"/>
        <v/>
      </c>
      <c r="F524" s="19"/>
      <c r="G524" s="19"/>
    </row>
    <row r="525" spans="1:7" x14ac:dyDescent="0.3">
      <c r="A525" s="20"/>
      <c r="B525" s="6"/>
      <c r="C525" s="19"/>
      <c r="D525" s="23"/>
      <c r="E525" s="9" t="str">
        <f t="shared" si="8"/>
        <v/>
      </c>
      <c r="F525" s="19"/>
      <c r="G525" s="19"/>
    </row>
    <row r="526" spans="1:7" x14ac:dyDescent="0.3">
      <c r="A526" s="20"/>
      <c r="B526" s="6"/>
      <c r="C526" s="19"/>
      <c r="D526" s="23"/>
      <c r="E526" s="9" t="str">
        <f t="shared" si="8"/>
        <v/>
      </c>
      <c r="F526" s="19"/>
      <c r="G526" s="19"/>
    </row>
    <row r="527" spans="1:7" x14ac:dyDescent="0.3">
      <c r="A527" s="20"/>
      <c r="B527" s="6"/>
      <c r="C527" s="19"/>
      <c r="D527" s="23"/>
      <c r="E527" s="9" t="str">
        <f t="shared" si="8"/>
        <v/>
      </c>
      <c r="F527" s="19"/>
      <c r="G527" s="19"/>
    </row>
    <row r="528" spans="1:7" x14ac:dyDescent="0.3">
      <c r="A528" s="20"/>
      <c r="B528" s="6"/>
      <c r="C528" s="19"/>
      <c r="D528" s="23"/>
      <c r="E528" s="9" t="str">
        <f t="shared" si="8"/>
        <v/>
      </c>
      <c r="F528" s="19"/>
      <c r="G528" s="19"/>
    </row>
    <row r="529" spans="1:7" x14ac:dyDescent="0.3">
      <c r="A529" s="20"/>
      <c r="B529" s="6"/>
      <c r="C529" s="19"/>
      <c r="D529" s="23"/>
      <c r="E529" s="9" t="str">
        <f t="shared" si="8"/>
        <v/>
      </c>
      <c r="F529" s="19"/>
      <c r="G529" s="19"/>
    </row>
    <row r="530" spans="1:7" x14ac:dyDescent="0.3">
      <c r="A530" s="20"/>
      <c r="B530" s="6"/>
      <c r="C530" s="19"/>
      <c r="D530" s="23"/>
      <c r="E530" s="9" t="str">
        <f t="shared" si="8"/>
        <v/>
      </c>
      <c r="F530" s="19"/>
      <c r="G530" s="19"/>
    </row>
    <row r="531" spans="1:7" x14ac:dyDescent="0.3">
      <c r="A531" s="20"/>
      <c r="B531" s="6"/>
      <c r="C531" s="19"/>
      <c r="D531" s="23"/>
      <c r="E531" s="9" t="str">
        <f t="shared" si="8"/>
        <v/>
      </c>
      <c r="F531" s="19"/>
      <c r="G531" s="19"/>
    </row>
    <row r="532" spans="1:7" x14ac:dyDescent="0.3">
      <c r="A532" s="20"/>
      <c r="B532" s="6"/>
      <c r="C532" s="19"/>
      <c r="D532" s="23"/>
      <c r="E532" s="9" t="str">
        <f t="shared" si="8"/>
        <v/>
      </c>
      <c r="F532" s="19"/>
      <c r="G532" s="19"/>
    </row>
    <row r="533" spans="1:7" x14ac:dyDescent="0.3">
      <c r="A533" s="20"/>
      <c r="B533" s="6"/>
      <c r="C533" s="19"/>
      <c r="D533" s="23"/>
      <c r="E533" s="9" t="str">
        <f t="shared" si="8"/>
        <v/>
      </c>
      <c r="F533" s="19"/>
      <c r="G533" s="19"/>
    </row>
    <row r="534" spans="1:7" x14ac:dyDescent="0.3">
      <c r="A534" s="20"/>
      <c r="B534" s="6"/>
      <c r="C534" s="19"/>
      <c r="D534" s="23"/>
      <c r="E534" s="9" t="str">
        <f t="shared" si="8"/>
        <v/>
      </c>
      <c r="F534" s="19"/>
      <c r="G534" s="19"/>
    </row>
    <row r="535" spans="1:7" x14ac:dyDescent="0.3">
      <c r="A535" s="20"/>
      <c r="B535" s="6"/>
      <c r="C535" s="19"/>
      <c r="D535" s="23"/>
      <c r="E535" s="9" t="str">
        <f t="shared" si="8"/>
        <v/>
      </c>
      <c r="F535" s="19"/>
      <c r="G535" s="19"/>
    </row>
    <row r="536" spans="1:7" x14ac:dyDescent="0.3">
      <c r="A536" s="20"/>
      <c r="B536" s="6"/>
      <c r="C536" s="19"/>
      <c r="D536" s="23"/>
      <c r="E536" s="9" t="str">
        <f t="shared" si="8"/>
        <v/>
      </c>
      <c r="F536" s="19"/>
      <c r="G536" s="19"/>
    </row>
    <row r="537" spans="1:7" x14ac:dyDescent="0.3">
      <c r="A537" s="20"/>
      <c r="B537" s="6"/>
      <c r="C537" s="19"/>
      <c r="D537" s="23"/>
      <c r="E537" s="9" t="str">
        <f t="shared" si="8"/>
        <v/>
      </c>
      <c r="F537" s="19"/>
      <c r="G537" s="19"/>
    </row>
    <row r="538" spans="1:7" x14ac:dyDescent="0.3">
      <c r="A538" s="20"/>
      <c r="B538" s="6"/>
      <c r="C538" s="19"/>
      <c r="D538" s="23"/>
      <c r="E538" s="9" t="str">
        <f t="shared" si="8"/>
        <v/>
      </c>
      <c r="F538" s="19"/>
      <c r="G538" s="19"/>
    </row>
    <row r="539" spans="1:7" x14ac:dyDescent="0.3">
      <c r="A539" s="20"/>
      <c r="B539" s="6"/>
      <c r="C539" s="19"/>
      <c r="D539" s="23"/>
      <c r="E539" s="9" t="str">
        <f t="shared" si="8"/>
        <v/>
      </c>
      <c r="F539" s="19"/>
      <c r="G539" s="19"/>
    </row>
    <row r="540" spans="1:7" x14ac:dyDescent="0.3">
      <c r="A540" s="20"/>
      <c r="B540" s="6"/>
      <c r="C540" s="19"/>
      <c r="D540" s="23"/>
      <c r="E540" s="9" t="str">
        <f t="shared" si="8"/>
        <v/>
      </c>
      <c r="F540" s="19"/>
      <c r="G540" s="19"/>
    </row>
    <row r="541" spans="1:7" x14ac:dyDescent="0.3">
      <c r="A541" s="20"/>
      <c r="B541" s="6"/>
      <c r="C541" s="19"/>
      <c r="D541" s="23"/>
      <c r="E541" s="9" t="str">
        <f t="shared" si="8"/>
        <v/>
      </c>
      <c r="F541" s="19"/>
      <c r="G541" s="19"/>
    </row>
    <row r="542" spans="1:7" x14ac:dyDescent="0.3">
      <c r="A542" s="20"/>
      <c r="B542" s="6"/>
      <c r="C542" s="19"/>
      <c r="D542" s="23"/>
      <c r="E542" s="9" t="str">
        <f t="shared" si="8"/>
        <v/>
      </c>
      <c r="F542" s="19"/>
      <c r="G542" s="19"/>
    </row>
    <row r="543" spans="1:7" x14ac:dyDescent="0.3">
      <c r="A543" s="20"/>
      <c r="B543" s="6"/>
      <c r="C543" s="19"/>
      <c r="D543" s="23"/>
      <c r="E543" s="9" t="str">
        <f t="shared" si="8"/>
        <v/>
      </c>
      <c r="F543" s="19"/>
      <c r="G543" s="19"/>
    </row>
    <row r="544" spans="1:7" x14ac:dyDescent="0.3">
      <c r="A544" s="20"/>
      <c r="B544" s="6"/>
      <c r="C544" s="19"/>
      <c r="D544" s="23"/>
      <c r="E544" s="9" t="str">
        <f t="shared" si="8"/>
        <v/>
      </c>
      <c r="F544" s="19"/>
      <c r="G544" s="19"/>
    </row>
    <row r="545" spans="1:7" x14ac:dyDescent="0.3">
      <c r="A545" s="20"/>
      <c r="B545" s="6"/>
      <c r="C545" s="19"/>
      <c r="D545" s="23"/>
      <c r="E545" s="9" t="str">
        <f t="shared" si="8"/>
        <v/>
      </c>
      <c r="F545" s="19"/>
      <c r="G545" s="19"/>
    </row>
    <row r="546" spans="1:7" x14ac:dyDescent="0.3">
      <c r="A546" s="20"/>
      <c r="B546" s="6"/>
      <c r="C546" s="19"/>
      <c r="D546" s="23"/>
      <c r="E546" s="9" t="str">
        <f t="shared" si="8"/>
        <v/>
      </c>
      <c r="F546" s="19"/>
      <c r="G546" s="19"/>
    </row>
    <row r="547" spans="1:7" x14ac:dyDescent="0.3">
      <c r="A547" s="20"/>
      <c r="B547" s="6"/>
      <c r="C547" s="19"/>
      <c r="D547" s="23"/>
      <c r="E547" s="9" t="str">
        <f t="shared" si="8"/>
        <v/>
      </c>
      <c r="F547" s="19"/>
      <c r="G547" s="19"/>
    </row>
    <row r="548" spans="1:7" x14ac:dyDescent="0.3">
      <c r="A548" s="20"/>
      <c r="B548" s="6"/>
      <c r="C548" s="19"/>
      <c r="D548" s="23"/>
      <c r="E548" s="9" t="str">
        <f t="shared" si="8"/>
        <v/>
      </c>
      <c r="F548" s="19"/>
      <c r="G548" s="19"/>
    </row>
    <row r="549" spans="1:7" x14ac:dyDescent="0.3">
      <c r="A549" s="20"/>
      <c r="B549" s="6"/>
      <c r="C549" s="19"/>
      <c r="D549" s="23"/>
      <c r="E549" s="9" t="str">
        <f t="shared" si="8"/>
        <v/>
      </c>
      <c r="F549" s="19"/>
      <c r="G549" s="19"/>
    </row>
    <row r="550" spans="1:7" x14ac:dyDescent="0.3">
      <c r="A550" s="20"/>
      <c r="B550" s="6"/>
      <c r="C550" s="19"/>
      <c r="D550" s="23"/>
      <c r="E550" s="9" t="str">
        <f t="shared" si="8"/>
        <v/>
      </c>
      <c r="F550" s="19"/>
      <c r="G550" s="19"/>
    </row>
    <row r="551" spans="1:7" x14ac:dyDescent="0.3">
      <c r="A551" s="20"/>
      <c r="B551" s="6"/>
      <c r="C551" s="19"/>
      <c r="D551" s="23"/>
      <c r="E551" s="9" t="str">
        <f t="shared" si="8"/>
        <v/>
      </c>
      <c r="F551" s="19"/>
      <c r="G551" s="19"/>
    </row>
    <row r="552" spans="1:7" x14ac:dyDescent="0.3">
      <c r="A552" s="20"/>
      <c r="B552" s="6"/>
      <c r="C552" s="19"/>
      <c r="D552" s="23"/>
      <c r="E552" s="9" t="str">
        <f t="shared" si="8"/>
        <v/>
      </c>
      <c r="F552" s="19"/>
      <c r="G552" s="19"/>
    </row>
    <row r="553" spans="1:7" x14ac:dyDescent="0.3">
      <c r="A553" s="20"/>
      <c r="B553" s="6"/>
      <c r="C553" s="19"/>
      <c r="D553" s="23"/>
      <c r="E553" s="9" t="str">
        <f t="shared" si="8"/>
        <v/>
      </c>
      <c r="F553" s="19"/>
      <c r="G553" s="19"/>
    </row>
    <row r="554" spans="1:7" x14ac:dyDescent="0.3">
      <c r="A554" s="20"/>
      <c r="B554" s="6"/>
      <c r="C554" s="19"/>
      <c r="D554" s="23"/>
      <c r="E554" s="9" t="str">
        <f t="shared" si="8"/>
        <v/>
      </c>
      <c r="F554" s="19"/>
      <c r="G554" s="19"/>
    </row>
    <row r="555" spans="1:7" x14ac:dyDescent="0.3">
      <c r="A555" s="20"/>
      <c r="B555" s="6"/>
      <c r="C555" s="19"/>
      <c r="D555" s="23"/>
      <c r="E555" s="9" t="str">
        <f t="shared" si="8"/>
        <v/>
      </c>
      <c r="F555" s="19"/>
      <c r="G555" s="19"/>
    </row>
    <row r="556" spans="1:7" x14ac:dyDescent="0.3">
      <c r="A556" s="20"/>
      <c r="B556" s="6"/>
      <c r="C556" s="19"/>
      <c r="D556" s="23"/>
      <c r="E556" s="9" t="str">
        <f t="shared" si="8"/>
        <v/>
      </c>
      <c r="F556" s="19"/>
      <c r="G556" s="19"/>
    </row>
    <row r="557" spans="1:7" x14ac:dyDescent="0.3">
      <c r="A557" s="20"/>
      <c r="B557" s="6"/>
      <c r="C557" s="19"/>
      <c r="D557" s="23"/>
      <c r="E557" s="9" t="str">
        <f t="shared" si="8"/>
        <v/>
      </c>
      <c r="F557" s="19"/>
      <c r="G557" s="19"/>
    </row>
    <row r="558" spans="1:7" x14ac:dyDescent="0.3">
      <c r="A558" s="20"/>
      <c r="B558" s="6"/>
      <c r="C558" s="19"/>
      <c r="D558" s="23"/>
      <c r="E558" s="9" t="str">
        <f t="shared" si="8"/>
        <v/>
      </c>
      <c r="F558" s="19"/>
      <c r="G558" s="19"/>
    </row>
    <row r="559" spans="1:7" x14ac:dyDescent="0.3">
      <c r="A559" s="20"/>
      <c r="B559" s="6"/>
      <c r="C559" s="19"/>
      <c r="D559" s="23"/>
      <c r="E559" s="9" t="str">
        <f t="shared" si="8"/>
        <v/>
      </c>
      <c r="F559" s="19"/>
      <c r="G559" s="19"/>
    </row>
    <row r="560" spans="1:7" x14ac:dyDescent="0.3">
      <c r="A560" s="20"/>
      <c r="B560" s="6"/>
      <c r="C560" s="19"/>
      <c r="D560" s="23"/>
      <c r="E560" s="9" t="str">
        <f t="shared" si="8"/>
        <v/>
      </c>
      <c r="F560" s="19"/>
      <c r="G560" s="19"/>
    </row>
    <row r="561" spans="1:7" x14ac:dyDescent="0.3">
      <c r="A561" s="20"/>
      <c r="B561" s="6"/>
      <c r="C561" s="19"/>
      <c r="D561" s="23"/>
      <c r="E561" s="9" t="str">
        <f t="shared" si="8"/>
        <v/>
      </c>
      <c r="F561" s="19"/>
      <c r="G561" s="19"/>
    </row>
    <row r="562" spans="1:7" x14ac:dyDescent="0.3">
      <c r="A562" s="20"/>
      <c r="B562" s="6"/>
      <c r="C562" s="19"/>
      <c r="D562" s="23"/>
      <c r="E562" s="9" t="str">
        <f t="shared" si="8"/>
        <v/>
      </c>
      <c r="F562" s="19"/>
      <c r="G562" s="19"/>
    </row>
    <row r="563" spans="1:7" x14ac:dyDescent="0.3">
      <c r="A563" s="20"/>
      <c r="B563" s="6"/>
      <c r="C563" s="19"/>
      <c r="D563" s="23"/>
      <c r="E563" s="9" t="str">
        <f t="shared" si="8"/>
        <v/>
      </c>
      <c r="F563" s="19"/>
      <c r="G563" s="19"/>
    </row>
    <row r="564" spans="1:7" x14ac:dyDescent="0.3">
      <c r="A564" s="20"/>
      <c r="B564" s="6"/>
      <c r="C564" s="19"/>
      <c r="D564" s="23"/>
      <c r="E564" s="9" t="str">
        <f t="shared" si="8"/>
        <v/>
      </c>
      <c r="F564" s="19"/>
      <c r="G564" s="19"/>
    </row>
    <row r="565" spans="1:7" x14ac:dyDescent="0.3">
      <c r="A565" s="20"/>
      <c r="B565" s="6"/>
      <c r="C565" s="19"/>
      <c r="D565" s="23"/>
      <c r="E565" s="9" t="str">
        <f t="shared" si="8"/>
        <v/>
      </c>
      <c r="F565" s="19"/>
      <c r="G565" s="19"/>
    </row>
    <row r="566" spans="1:7" x14ac:dyDescent="0.3">
      <c r="A566" s="20"/>
      <c r="B566" s="6"/>
      <c r="C566" s="19"/>
      <c r="D566" s="23"/>
      <c r="E566" s="9" t="str">
        <f t="shared" si="8"/>
        <v/>
      </c>
      <c r="F566" s="19"/>
      <c r="G566" s="19"/>
    </row>
    <row r="567" spans="1:7" x14ac:dyDescent="0.3">
      <c r="A567" s="20"/>
      <c r="B567" s="6"/>
      <c r="C567" s="19"/>
      <c r="D567" s="23"/>
      <c r="E567" s="9" t="str">
        <f t="shared" si="8"/>
        <v/>
      </c>
      <c r="F567" s="19"/>
      <c r="G567" s="19"/>
    </row>
    <row r="568" spans="1:7" x14ac:dyDescent="0.3">
      <c r="A568" s="20"/>
      <c r="B568" s="6"/>
      <c r="C568" s="19"/>
      <c r="D568" s="23"/>
      <c r="E568" s="9" t="str">
        <f t="shared" si="8"/>
        <v/>
      </c>
      <c r="F568" s="19"/>
      <c r="G568" s="19"/>
    </row>
    <row r="569" spans="1:7" x14ac:dyDescent="0.3">
      <c r="A569" s="20"/>
      <c r="B569" s="6"/>
      <c r="C569" s="19"/>
      <c r="D569" s="23"/>
      <c r="E569" s="9" t="str">
        <f t="shared" si="8"/>
        <v/>
      </c>
      <c r="F569" s="19"/>
      <c r="G569" s="19"/>
    </row>
    <row r="570" spans="1:7" x14ac:dyDescent="0.3">
      <c r="A570" s="20"/>
      <c r="B570" s="6"/>
      <c r="C570" s="19"/>
      <c r="D570" s="23"/>
      <c r="E570" s="9" t="str">
        <f t="shared" si="8"/>
        <v/>
      </c>
      <c r="F570" s="19"/>
      <c r="G570" s="19"/>
    </row>
    <row r="571" spans="1:7" x14ac:dyDescent="0.3">
      <c r="A571" s="20"/>
      <c r="B571" s="6"/>
      <c r="C571" s="19"/>
      <c r="D571" s="23"/>
      <c r="E571" s="9" t="str">
        <f t="shared" si="8"/>
        <v/>
      </c>
      <c r="F571" s="19"/>
      <c r="G571" s="19"/>
    </row>
    <row r="572" spans="1:7" x14ac:dyDescent="0.3">
      <c r="A572" s="20"/>
      <c r="B572" s="6"/>
      <c r="C572" s="19"/>
      <c r="D572" s="23"/>
      <c r="E572" s="9" t="str">
        <f t="shared" si="8"/>
        <v/>
      </c>
      <c r="F572" s="19"/>
      <c r="G572" s="19"/>
    </row>
    <row r="573" spans="1:7" x14ac:dyDescent="0.3">
      <c r="A573" s="20"/>
      <c r="B573" s="6"/>
      <c r="C573" s="19"/>
      <c r="D573" s="23"/>
      <c r="E573" s="9" t="str">
        <f t="shared" si="8"/>
        <v/>
      </c>
      <c r="F573" s="19"/>
      <c r="G573" s="19"/>
    </row>
    <row r="574" spans="1:7" x14ac:dyDescent="0.3">
      <c r="A574" s="20"/>
      <c r="B574" s="6"/>
      <c r="C574" s="19"/>
      <c r="D574" s="23"/>
      <c r="E574" s="9" t="str">
        <f t="shared" si="8"/>
        <v/>
      </c>
      <c r="F574" s="19"/>
      <c r="G574" s="19"/>
    </row>
    <row r="575" spans="1:7" x14ac:dyDescent="0.3">
      <c r="A575" s="20"/>
      <c r="B575" s="6"/>
      <c r="C575" s="19"/>
      <c r="D575" s="23"/>
      <c r="E575" s="9" t="str">
        <f t="shared" si="8"/>
        <v/>
      </c>
      <c r="F575" s="19"/>
      <c r="G575" s="19"/>
    </row>
    <row r="576" spans="1:7" x14ac:dyDescent="0.3">
      <c r="A576" s="20"/>
      <c r="B576" s="6"/>
      <c r="C576" s="19"/>
      <c r="D576" s="23"/>
      <c r="E576" s="9" t="str">
        <f t="shared" si="8"/>
        <v/>
      </c>
      <c r="F576" s="19"/>
      <c r="G576" s="19"/>
    </row>
    <row r="577" spans="1:7" x14ac:dyDescent="0.3">
      <c r="A577" s="20"/>
      <c r="B577" s="6"/>
      <c r="C577" s="19"/>
      <c r="D577" s="23"/>
      <c r="E577" s="9" t="str">
        <f t="shared" si="8"/>
        <v/>
      </c>
      <c r="F577" s="19"/>
      <c r="G577" s="19"/>
    </row>
    <row r="578" spans="1:7" x14ac:dyDescent="0.3">
      <c r="A578" s="20"/>
      <c r="B578" s="6"/>
      <c r="C578" s="19"/>
      <c r="D578" s="23"/>
      <c r="E578" s="9" t="str">
        <f t="shared" ref="E578:E641" si="9">IF($B578="","",$C578*$D578)</f>
        <v/>
      </c>
      <c r="F578" s="19"/>
      <c r="G578" s="19"/>
    </row>
    <row r="579" spans="1:7" x14ac:dyDescent="0.3">
      <c r="A579" s="20"/>
      <c r="B579" s="6"/>
      <c r="C579" s="19"/>
      <c r="D579" s="23"/>
      <c r="E579" s="9" t="str">
        <f t="shared" si="9"/>
        <v/>
      </c>
      <c r="F579" s="19"/>
      <c r="G579" s="19"/>
    </row>
    <row r="580" spans="1:7" x14ac:dyDescent="0.3">
      <c r="A580" s="20"/>
      <c r="B580" s="6"/>
      <c r="C580" s="19"/>
      <c r="D580" s="23"/>
      <c r="E580" s="9" t="str">
        <f t="shared" si="9"/>
        <v/>
      </c>
      <c r="F580" s="19"/>
      <c r="G580" s="19"/>
    </row>
    <row r="581" spans="1:7" x14ac:dyDescent="0.3">
      <c r="A581" s="20"/>
      <c r="B581" s="6"/>
      <c r="C581" s="19"/>
      <c r="D581" s="23"/>
      <c r="E581" s="9" t="str">
        <f t="shared" si="9"/>
        <v/>
      </c>
      <c r="F581" s="19"/>
      <c r="G581" s="19"/>
    </row>
    <row r="582" spans="1:7" x14ac:dyDescent="0.3">
      <c r="A582" s="20"/>
      <c r="B582" s="6"/>
      <c r="C582" s="19"/>
      <c r="D582" s="23"/>
      <c r="E582" s="9" t="str">
        <f t="shared" si="9"/>
        <v/>
      </c>
      <c r="F582" s="19"/>
      <c r="G582" s="19"/>
    </row>
    <row r="583" spans="1:7" x14ac:dyDescent="0.3">
      <c r="A583" s="20"/>
      <c r="B583" s="6"/>
      <c r="C583" s="19"/>
      <c r="D583" s="23"/>
      <c r="E583" s="9" t="str">
        <f t="shared" si="9"/>
        <v/>
      </c>
      <c r="F583" s="19"/>
      <c r="G583" s="19"/>
    </row>
    <row r="584" spans="1:7" x14ac:dyDescent="0.3">
      <c r="A584" s="20"/>
      <c r="B584" s="6"/>
      <c r="C584" s="19"/>
      <c r="D584" s="23"/>
      <c r="E584" s="9" t="str">
        <f t="shared" si="9"/>
        <v/>
      </c>
      <c r="F584" s="19"/>
      <c r="G584" s="19"/>
    </row>
    <row r="585" spans="1:7" x14ac:dyDescent="0.3">
      <c r="A585" s="20"/>
      <c r="B585" s="6"/>
      <c r="C585" s="19"/>
      <c r="D585" s="23"/>
      <c r="E585" s="9" t="str">
        <f t="shared" si="9"/>
        <v/>
      </c>
      <c r="F585" s="19"/>
      <c r="G585" s="19"/>
    </row>
    <row r="586" spans="1:7" x14ac:dyDescent="0.3">
      <c r="A586" s="20"/>
      <c r="B586" s="6"/>
      <c r="C586" s="19"/>
      <c r="D586" s="23"/>
      <c r="E586" s="9" t="str">
        <f t="shared" si="9"/>
        <v/>
      </c>
      <c r="F586" s="19"/>
      <c r="G586" s="19"/>
    </row>
    <row r="587" spans="1:7" x14ac:dyDescent="0.3">
      <c r="A587" s="20"/>
      <c r="B587" s="6"/>
      <c r="C587" s="19"/>
      <c r="D587" s="23"/>
      <c r="E587" s="9" t="str">
        <f t="shared" si="9"/>
        <v/>
      </c>
      <c r="F587" s="19"/>
      <c r="G587" s="19"/>
    </row>
    <row r="588" spans="1:7" x14ac:dyDescent="0.3">
      <c r="A588" s="20"/>
      <c r="B588" s="6"/>
      <c r="C588" s="19"/>
      <c r="D588" s="23"/>
      <c r="E588" s="9" t="str">
        <f t="shared" si="9"/>
        <v/>
      </c>
      <c r="F588" s="19"/>
      <c r="G588" s="19"/>
    </row>
    <row r="589" spans="1:7" x14ac:dyDescent="0.3">
      <c r="A589" s="20"/>
      <c r="B589" s="6"/>
      <c r="C589" s="19"/>
      <c r="D589" s="23"/>
      <c r="E589" s="9" t="str">
        <f t="shared" si="9"/>
        <v/>
      </c>
      <c r="F589" s="19"/>
      <c r="G589" s="19"/>
    </row>
    <row r="590" spans="1:7" x14ac:dyDescent="0.3">
      <c r="A590" s="20"/>
      <c r="B590" s="6"/>
      <c r="C590" s="19"/>
      <c r="D590" s="23"/>
      <c r="E590" s="9" t="str">
        <f t="shared" si="9"/>
        <v/>
      </c>
      <c r="F590" s="19"/>
      <c r="G590" s="19"/>
    </row>
    <row r="591" spans="1:7" x14ac:dyDescent="0.3">
      <c r="A591" s="20"/>
      <c r="B591" s="6"/>
      <c r="C591" s="19"/>
      <c r="D591" s="23"/>
      <c r="E591" s="9" t="str">
        <f t="shared" si="9"/>
        <v/>
      </c>
      <c r="F591" s="19"/>
      <c r="G591" s="19"/>
    </row>
    <row r="592" spans="1:7" x14ac:dyDescent="0.3">
      <c r="A592" s="20"/>
      <c r="B592" s="6"/>
      <c r="C592" s="19"/>
      <c r="D592" s="23"/>
      <c r="E592" s="9" t="str">
        <f t="shared" si="9"/>
        <v/>
      </c>
      <c r="F592" s="19"/>
      <c r="G592" s="19"/>
    </row>
    <row r="593" spans="1:7" x14ac:dyDescent="0.3">
      <c r="A593" s="20"/>
      <c r="B593" s="6"/>
      <c r="C593" s="19"/>
      <c r="D593" s="23"/>
      <c r="E593" s="9" t="str">
        <f t="shared" si="9"/>
        <v/>
      </c>
      <c r="F593" s="19"/>
      <c r="G593" s="19"/>
    </row>
    <row r="594" spans="1:7" x14ac:dyDescent="0.3">
      <c r="A594" s="20"/>
      <c r="B594" s="6"/>
      <c r="C594" s="19"/>
      <c r="D594" s="23"/>
      <c r="E594" s="9" t="str">
        <f t="shared" si="9"/>
        <v/>
      </c>
      <c r="F594" s="19"/>
      <c r="G594" s="19"/>
    </row>
    <row r="595" spans="1:7" x14ac:dyDescent="0.3">
      <c r="A595" s="20"/>
      <c r="B595" s="6"/>
      <c r="C595" s="19"/>
      <c r="D595" s="23"/>
      <c r="E595" s="9" t="str">
        <f t="shared" si="9"/>
        <v/>
      </c>
      <c r="F595" s="19"/>
      <c r="G595" s="19"/>
    </row>
    <row r="596" spans="1:7" x14ac:dyDescent="0.3">
      <c r="A596" s="20"/>
      <c r="B596" s="6"/>
      <c r="C596" s="19"/>
      <c r="D596" s="23"/>
      <c r="E596" s="9" t="str">
        <f t="shared" si="9"/>
        <v/>
      </c>
      <c r="F596" s="19"/>
      <c r="G596" s="19"/>
    </row>
    <row r="597" spans="1:7" x14ac:dyDescent="0.3">
      <c r="A597" s="20"/>
      <c r="B597" s="6"/>
      <c r="C597" s="19"/>
      <c r="D597" s="23"/>
      <c r="E597" s="9" t="str">
        <f t="shared" si="9"/>
        <v/>
      </c>
      <c r="F597" s="19"/>
      <c r="G597" s="19"/>
    </row>
    <row r="598" spans="1:7" x14ac:dyDescent="0.3">
      <c r="A598" s="20"/>
      <c r="B598" s="6"/>
      <c r="C598" s="19"/>
      <c r="D598" s="23"/>
      <c r="E598" s="9" t="str">
        <f t="shared" si="9"/>
        <v/>
      </c>
      <c r="F598" s="19"/>
      <c r="G598" s="19"/>
    </row>
    <row r="599" spans="1:7" x14ac:dyDescent="0.3">
      <c r="A599" s="20"/>
      <c r="B599" s="6"/>
      <c r="C599" s="19"/>
      <c r="D599" s="23"/>
      <c r="E599" s="9" t="str">
        <f t="shared" si="9"/>
        <v/>
      </c>
      <c r="F599" s="19"/>
      <c r="G599" s="19"/>
    </row>
    <row r="600" spans="1:7" x14ac:dyDescent="0.3">
      <c r="A600" s="20"/>
      <c r="B600" s="6"/>
      <c r="C600" s="19"/>
      <c r="D600" s="23"/>
      <c r="E600" s="9" t="str">
        <f t="shared" si="9"/>
        <v/>
      </c>
      <c r="F600" s="19"/>
      <c r="G600" s="19"/>
    </row>
    <row r="601" spans="1:7" x14ac:dyDescent="0.3">
      <c r="A601" s="20"/>
      <c r="B601" s="6"/>
      <c r="C601" s="19"/>
      <c r="D601" s="23"/>
      <c r="E601" s="9" t="str">
        <f t="shared" si="9"/>
        <v/>
      </c>
      <c r="F601" s="19"/>
      <c r="G601" s="19"/>
    </row>
    <row r="602" spans="1:7" x14ac:dyDescent="0.3">
      <c r="A602" s="20"/>
      <c r="B602" s="6"/>
      <c r="C602" s="19"/>
      <c r="D602" s="23"/>
      <c r="E602" s="9" t="str">
        <f t="shared" si="9"/>
        <v/>
      </c>
      <c r="F602" s="19"/>
      <c r="G602" s="19"/>
    </row>
    <row r="603" spans="1:7" x14ac:dyDescent="0.3">
      <c r="A603" s="20"/>
      <c r="B603" s="6"/>
      <c r="C603" s="19"/>
      <c r="D603" s="23"/>
      <c r="E603" s="9" t="str">
        <f t="shared" si="9"/>
        <v/>
      </c>
      <c r="F603" s="19"/>
      <c r="G603" s="19"/>
    </row>
    <row r="604" spans="1:7" x14ac:dyDescent="0.3">
      <c r="A604" s="20"/>
      <c r="B604" s="6"/>
      <c r="C604" s="19"/>
      <c r="D604" s="23"/>
      <c r="E604" s="9" t="str">
        <f t="shared" si="9"/>
        <v/>
      </c>
      <c r="F604" s="19"/>
      <c r="G604" s="19"/>
    </row>
    <row r="605" spans="1:7" x14ac:dyDescent="0.3">
      <c r="A605" s="20"/>
      <c r="B605" s="6"/>
      <c r="C605" s="19"/>
      <c r="D605" s="23"/>
      <c r="E605" s="9" t="str">
        <f t="shared" si="9"/>
        <v/>
      </c>
      <c r="F605" s="19"/>
      <c r="G605" s="19"/>
    </row>
    <row r="606" spans="1:7" x14ac:dyDescent="0.3">
      <c r="A606" s="20"/>
      <c r="B606" s="6"/>
      <c r="C606" s="19"/>
      <c r="D606" s="23"/>
      <c r="E606" s="9" t="str">
        <f t="shared" si="9"/>
        <v/>
      </c>
      <c r="F606" s="19"/>
      <c r="G606" s="19"/>
    </row>
    <row r="607" spans="1:7" x14ac:dyDescent="0.3">
      <c r="A607" s="20"/>
      <c r="B607" s="6"/>
      <c r="C607" s="19"/>
      <c r="D607" s="23"/>
      <c r="E607" s="9" t="str">
        <f t="shared" si="9"/>
        <v/>
      </c>
      <c r="F607" s="19"/>
      <c r="G607" s="19"/>
    </row>
    <row r="608" spans="1:7" x14ac:dyDescent="0.3">
      <c r="A608" s="20"/>
      <c r="B608" s="6"/>
      <c r="C608" s="19"/>
      <c r="D608" s="23"/>
      <c r="E608" s="9" t="str">
        <f t="shared" si="9"/>
        <v/>
      </c>
      <c r="F608" s="19"/>
      <c r="G608" s="19"/>
    </row>
    <row r="609" spans="1:7" x14ac:dyDescent="0.3">
      <c r="A609" s="20"/>
      <c r="B609" s="6"/>
      <c r="C609" s="19"/>
      <c r="D609" s="23"/>
      <c r="E609" s="9" t="str">
        <f t="shared" si="9"/>
        <v/>
      </c>
      <c r="F609" s="19"/>
      <c r="G609" s="19"/>
    </row>
    <row r="610" spans="1:7" x14ac:dyDescent="0.3">
      <c r="A610" s="20"/>
      <c r="B610" s="6"/>
      <c r="C610" s="19"/>
      <c r="D610" s="23"/>
      <c r="E610" s="9" t="str">
        <f t="shared" si="9"/>
        <v/>
      </c>
      <c r="F610" s="19"/>
      <c r="G610" s="19"/>
    </row>
    <row r="611" spans="1:7" x14ac:dyDescent="0.3">
      <c r="A611" s="20"/>
      <c r="B611" s="6"/>
      <c r="C611" s="19"/>
      <c r="D611" s="23"/>
      <c r="E611" s="9" t="str">
        <f t="shared" si="9"/>
        <v/>
      </c>
      <c r="F611" s="19"/>
      <c r="G611" s="19"/>
    </row>
    <row r="612" spans="1:7" x14ac:dyDescent="0.3">
      <c r="A612" s="20"/>
      <c r="B612" s="6"/>
      <c r="C612" s="19"/>
      <c r="D612" s="23"/>
      <c r="E612" s="9" t="str">
        <f t="shared" si="9"/>
        <v/>
      </c>
      <c r="F612" s="19"/>
      <c r="G612" s="19"/>
    </row>
    <row r="613" spans="1:7" x14ac:dyDescent="0.3">
      <c r="A613" s="20"/>
      <c r="B613" s="6"/>
      <c r="C613" s="19"/>
      <c r="D613" s="23"/>
      <c r="E613" s="9" t="str">
        <f t="shared" si="9"/>
        <v/>
      </c>
      <c r="F613" s="19"/>
      <c r="G613" s="19"/>
    </row>
    <row r="614" spans="1:7" x14ac:dyDescent="0.3">
      <c r="A614" s="20"/>
      <c r="B614" s="6"/>
      <c r="C614" s="19"/>
      <c r="D614" s="23"/>
      <c r="E614" s="9" t="str">
        <f t="shared" si="9"/>
        <v/>
      </c>
      <c r="F614" s="19"/>
      <c r="G614" s="19"/>
    </row>
    <row r="615" spans="1:7" x14ac:dyDescent="0.3">
      <c r="A615" s="20"/>
      <c r="B615" s="6"/>
      <c r="C615" s="19"/>
      <c r="D615" s="23"/>
      <c r="E615" s="9" t="str">
        <f t="shared" si="9"/>
        <v/>
      </c>
      <c r="F615" s="19"/>
      <c r="G615" s="19"/>
    </row>
    <row r="616" spans="1:7" x14ac:dyDescent="0.3">
      <c r="A616" s="20"/>
      <c r="B616" s="6"/>
      <c r="C616" s="19"/>
      <c r="D616" s="23"/>
      <c r="E616" s="9" t="str">
        <f t="shared" si="9"/>
        <v/>
      </c>
      <c r="F616" s="19"/>
      <c r="G616" s="19"/>
    </row>
    <row r="617" spans="1:7" x14ac:dyDescent="0.3">
      <c r="A617" s="20"/>
      <c r="B617" s="6"/>
      <c r="C617" s="19"/>
      <c r="D617" s="23"/>
      <c r="E617" s="9" t="str">
        <f t="shared" si="9"/>
        <v/>
      </c>
      <c r="F617" s="19"/>
      <c r="G617" s="19"/>
    </row>
    <row r="618" spans="1:7" x14ac:dyDescent="0.3">
      <c r="A618" s="20"/>
      <c r="B618" s="6"/>
      <c r="C618" s="19"/>
      <c r="D618" s="23"/>
      <c r="E618" s="9" t="str">
        <f t="shared" si="9"/>
        <v/>
      </c>
      <c r="F618" s="19"/>
      <c r="G618" s="19"/>
    </row>
    <row r="619" spans="1:7" x14ac:dyDescent="0.3">
      <c r="A619" s="20"/>
      <c r="B619" s="6"/>
      <c r="C619" s="19"/>
      <c r="D619" s="23"/>
      <c r="E619" s="9" t="str">
        <f t="shared" si="9"/>
        <v/>
      </c>
      <c r="F619" s="19"/>
      <c r="G619" s="19"/>
    </row>
    <row r="620" spans="1:7" x14ac:dyDescent="0.3">
      <c r="A620" s="20"/>
      <c r="B620" s="6"/>
      <c r="C620" s="19"/>
      <c r="D620" s="23"/>
      <c r="E620" s="9" t="str">
        <f t="shared" si="9"/>
        <v/>
      </c>
      <c r="F620" s="19"/>
      <c r="G620" s="19"/>
    </row>
    <row r="621" spans="1:7" x14ac:dyDescent="0.3">
      <c r="A621" s="20"/>
      <c r="B621" s="6"/>
      <c r="C621" s="19"/>
      <c r="D621" s="23"/>
      <c r="E621" s="9" t="str">
        <f t="shared" si="9"/>
        <v/>
      </c>
      <c r="F621" s="19"/>
      <c r="G621" s="19"/>
    </row>
    <row r="622" spans="1:7" x14ac:dyDescent="0.3">
      <c r="A622" s="20"/>
      <c r="B622" s="6"/>
      <c r="C622" s="19"/>
      <c r="D622" s="23"/>
      <c r="E622" s="9" t="str">
        <f t="shared" si="9"/>
        <v/>
      </c>
      <c r="F622" s="19"/>
      <c r="G622" s="19"/>
    </row>
    <row r="623" spans="1:7" x14ac:dyDescent="0.3">
      <c r="A623" s="20"/>
      <c r="B623" s="6"/>
      <c r="C623" s="19"/>
      <c r="D623" s="23"/>
      <c r="E623" s="9" t="str">
        <f t="shared" si="9"/>
        <v/>
      </c>
      <c r="F623" s="19"/>
      <c r="G623" s="19"/>
    </row>
    <row r="624" spans="1:7" x14ac:dyDescent="0.3">
      <c r="A624" s="20"/>
      <c r="B624" s="6"/>
      <c r="C624" s="19"/>
      <c r="D624" s="23"/>
      <c r="E624" s="9" t="str">
        <f t="shared" si="9"/>
        <v/>
      </c>
      <c r="F624" s="19"/>
      <c r="G624" s="19"/>
    </row>
    <row r="625" spans="1:7" x14ac:dyDescent="0.3">
      <c r="A625" s="20"/>
      <c r="B625" s="6"/>
      <c r="C625" s="19"/>
      <c r="D625" s="23"/>
      <c r="E625" s="9" t="str">
        <f t="shared" si="9"/>
        <v/>
      </c>
      <c r="F625" s="19"/>
      <c r="G625" s="19"/>
    </row>
    <row r="626" spans="1:7" x14ac:dyDescent="0.3">
      <c r="A626" s="20"/>
      <c r="B626" s="6"/>
      <c r="C626" s="19"/>
      <c r="D626" s="23"/>
      <c r="E626" s="9" t="str">
        <f t="shared" si="9"/>
        <v/>
      </c>
      <c r="F626" s="19"/>
      <c r="G626" s="19"/>
    </row>
    <row r="627" spans="1:7" x14ac:dyDescent="0.3">
      <c r="A627" s="20"/>
      <c r="B627" s="6"/>
      <c r="C627" s="19"/>
      <c r="D627" s="23"/>
      <c r="E627" s="9" t="str">
        <f t="shared" si="9"/>
        <v/>
      </c>
      <c r="F627" s="19"/>
      <c r="G627" s="19"/>
    </row>
    <row r="628" spans="1:7" x14ac:dyDescent="0.3">
      <c r="A628" s="20"/>
      <c r="B628" s="6"/>
      <c r="C628" s="19"/>
      <c r="D628" s="23"/>
      <c r="E628" s="9" t="str">
        <f t="shared" si="9"/>
        <v/>
      </c>
      <c r="F628" s="19"/>
      <c r="G628" s="19"/>
    </row>
    <row r="629" spans="1:7" x14ac:dyDescent="0.3">
      <c r="A629" s="20"/>
      <c r="B629" s="6"/>
      <c r="C629" s="19"/>
      <c r="D629" s="23"/>
      <c r="E629" s="9" t="str">
        <f t="shared" si="9"/>
        <v/>
      </c>
      <c r="F629" s="19"/>
      <c r="G629" s="19"/>
    </row>
    <row r="630" spans="1:7" x14ac:dyDescent="0.3">
      <c r="A630" s="20"/>
      <c r="B630" s="6"/>
      <c r="C630" s="19"/>
      <c r="D630" s="23"/>
      <c r="E630" s="9" t="str">
        <f t="shared" si="9"/>
        <v/>
      </c>
      <c r="F630" s="19"/>
      <c r="G630" s="19"/>
    </row>
    <row r="631" spans="1:7" x14ac:dyDescent="0.3">
      <c r="A631" s="20"/>
      <c r="B631" s="6"/>
      <c r="C631" s="19"/>
      <c r="D631" s="23"/>
      <c r="E631" s="9" t="str">
        <f t="shared" si="9"/>
        <v/>
      </c>
      <c r="F631" s="19"/>
      <c r="G631" s="19"/>
    </row>
    <row r="632" spans="1:7" x14ac:dyDescent="0.3">
      <c r="A632" s="20"/>
      <c r="B632" s="6"/>
      <c r="C632" s="19"/>
      <c r="D632" s="23"/>
      <c r="E632" s="9" t="str">
        <f t="shared" si="9"/>
        <v/>
      </c>
      <c r="F632" s="19"/>
      <c r="G632" s="19"/>
    </row>
    <row r="633" spans="1:7" x14ac:dyDescent="0.3">
      <c r="A633" s="20"/>
      <c r="B633" s="6"/>
      <c r="C633" s="19"/>
      <c r="D633" s="23"/>
      <c r="E633" s="9" t="str">
        <f t="shared" si="9"/>
        <v/>
      </c>
      <c r="F633" s="19"/>
      <c r="G633" s="19"/>
    </row>
    <row r="634" spans="1:7" x14ac:dyDescent="0.3">
      <c r="A634" s="20"/>
      <c r="B634" s="6"/>
      <c r="C634" s="19"/>
      <c r="D634" s="23"/>
      <c r="E634" s="9" t="str">
        <f t="shared" si="9"/>
        <v/>
      </c>
      <c r="F634" s="19"/>
      <c r="G634" s="19"/>
    </row>
    <row r="635" spans="1:7" x14ac:dyDescent="0.3">
      <c r="A635" s="20"/>
      <c r="B635" s="6"/>
      <c r="C635" s="19"/>
      <c r="D635" s="23"/>
      <c r="E635" s="9" t="str">
        <f t="shared" si="9"/>
        <v/>
      </c>
      <c r="F635" s="19"/>
      <c r="G635" s="19"/>
    </row>
    <row r="636" spans="1:7" x14ac:dyDescent="0.3">
      <c r="A636" s="20"/>
      <c r="B636" s="6"/>
      <c r="C636" s="19"/>
      <c r="D636" s="23"/>
      <c r="E636" s="9" t="str">
        <f t="shared" si="9"/>
        <v/>
      </c>
      <c r="F636" s="19"/>
      <c r="G636" s="19"/>
    </row>
    <row r="637" spans="1:7" x14ac:dyDescent="0.3">
      <c r="A637" s="20"/>
      <c r="B637" s="6"/>
      <c r="C637" s="19"/>
      <c r="D637" s="23"/>
      <c r="E637" s="9" t="str">
        <f t="shared" si="9"/>
        <v/>
      </c>
      <c r="F637" s="19"/>
      <c r="G637" s="19"/>
    </row>
    <row r="638" spans="1:7" x14ac:dyDescent="0.3">
      <c r="A638" s="20"/>
      <c r="B638" s="6"/>
      <c r="C638" s="19"/>
      <c r="D638" s="23"/>
      <c r="E638" s="9" t="str">
        <f t="shared" si="9"/>
        <v/>
      </c>
      <c r="F638" s="19"/>
      <c r="G638" s="19"/>
    </row>
    <row r="639" spans="1:7" x14ac:dyDescent="0.3">
      <c r="A639" s="20"/>
      <c r="B639" s="6"/>
      <c r="C639" s="19"/>
      <c r="D639" s="23"/>
      <c r="E639" s="9" t="str">
        <f t="shared" si="9"/>
        <v/>
      </c>
      <c r="F639" s="19"/>
      <c r="G639" s="19"/>
    </row>
    <row r="640" spans="1:7" x14ac:dyDescent="0.3">
      <c r="A640" s="20"/>
      <c r="B640" s="6"/>
      <c r="C640" s="19"/>
      <c r="D640" s="23"/>
      <c r="E640" s="9" t="str">
        <f t="shared" si="9"/>
        <v/>
      </c>
      <c r="F640" s="19"/>
      <c r="G640" s="19"/>
    </row>
    <row r="641" spans="1:7" x14ac:dyDescent="0.3">
      <c r="A641" s="20"/>
      <c r="B641" s="6"/>
      <c r="C641" s="19"/>
      <c r="D641" s="23"/>
      <c r="E641" s="9" t="str">
        <f t="shared" si="9"/>
        <v/>
      </c>
      <c r="F641" s="19"/>
      <c r="G641" s="19"/>
    </row>
    <row r="642" spans="1:7" x14ac:dyDescent="0.3">
      <c r="A642" s="20"/>
      <c r="B642" s="6"/>
      <c r="C642" s="19"/>
      <c r="D642" s="23"/>
      <c r="E642" s="9" t="str">
        <f t="shared" ref="E642:E705" si="10">IF($B642="","",$C642*$D642)</f>
        <v/>
      </c>
      <c r="F642" s="19"/>
      <c r="G642" s="19"/>
    </row>
    <row r="643" spans="1:7" x14ac:dyDescent="0.3">
      <c r="A643" s="20"/>
      <c r="B643" s="6"/>
      <c r="C643" s="19"/>
      <c r="D643" s="23"/>
      <c r="E643" s="9" t="str">
        <f t="shared" si="10"/>
        <v/>
      </c>
      <c r="F643" s="19"/>
      <c r="G643" s="19"/>
    </row>
    <row r="644" spans="1:7" x14ac:dyDescent="0.3">
      <c r="A644" s="20"/>
      <c r="B644" s="6"/>
      <c r="C644" s="19"/>
      <c r="D644" s="23"/>
      <c r="E644" s="9" t="str">
        <f t="shared" si="10"/>
        <v/>
      </c>
      <c r="F644" s="19"/>
      <c r="G644" s="19"/>
    </row>
    <row r="645" spans="1:7" x14ac:dyDescent="0.3">
      <c r="A645" s="20"/>
      <c r="B645" s="6"/>
      <c r="C645" s="19"/>
      <c r="D645" s="23"/>
      <c r="E645" s="9" t="str">
        <f t="shared" si="10"/>
        <v/>
      </c>
      <c r="F645" s="19"/>
      <c r="G645" s="19"/>
    </row>
    <row r="646" spans="1:7" x14ac:dyDescent="0.3">
      <c r="A646" s="20"/>
      <c r="B646" s="6"/>
      <c r="C646" s="19"/>
      <c r="D646" s="23"/>
      <c r="E646" s="9" t="str">
        <f t="shared" si="10"/>
        <v/>
      </c>
      <c r="F646" s="19"/>
      <c r="G646" s="19"/>
    </row>
    <row r="647" spans="1:7" x14ac:dyDescent="0.3">
      <c r="A647" s="20"/>
      <c r="B647" s="6"/>
      <c r="C647" s="19"/>
      <c r="D647" s="23"/>
      <c r="E647" s="9" t="str">
        <f t="shared" si="10"/>
        <v/>
      </c>
      <c r="F647" s="19"/>
      <c r="G647" s="19"/>
    </row>
    <row r="648" spans="1:7" x14ac:dyDescent="0.3">
      <c r="A648" s="20"/>
      <c r="B648" s="6"/>
      <c r="C648" s="19"/>
      <c r="D648" s="23"/>
      <c r="E648" s="9" t="str">
        <f t="shared" si="10"/>
        <v/>
      </c>
      <c r="F648" s="19"/>
      <c r="G648" s="19"/>
    </row>
    <row r="649" spans="1:7" x14ac:dyDescent="0.3">
      <c r="A649" s="20"/>
      <c r="B649" s="6"/>
      <c r="C649" s="19"/>
      <c r="D649" s="23"/>
      <c r="E649" s="9" t="str">
        <f t="shared" si="10"/>
        <v/>
      </c>
      <c r="F649" s="19"/>
      <c r="G649" s="19"/>
    </row>
    <row r="650" spans="1:7" x14ac:dyDescent="0.3">
      <c r="A650" s="20"/>
      <c r="B650" s="6"/>
      <c r="C650" s="19"/>
      <c r="D650" s="23"/>
      <c r="E650" s="9" t="str">
        <f t="shared" si="10"/>
        <v/>
      </c>
      <c r="F650" s="19"/>
      <c r="G650" s="19"/>
    </row>
    <row r="651" spans="1:7" x14ac:dyDescent="0.3">
      <c r="A651" s="20"/>
      <c r="B651" s="6"/>
      <c r="C651" s="19"/>
      <c r="D651" s="23"/>
      <c r="E651" s="9" t="str">
        <f t="shared" si="10"/>
        <v/>
      </c>
      <c r="F651" s="19"/>
      <c r="G651" s="19"/>
    </row>
    <row r="652" spans="1:7" x14ac:dyDescent="0.3">
      <c r="A652" s="20"/>
      <c r="B652" s="6"/>
      <c r="C652" s="19"/>
      <c r="D652" s="23"/>
      <c r="E652" s="9" t="str">
        <f t="shared" si="10"/>
        <v/>
      </c>
      <c r="F652" s="19"/>
      <c r="G652" s="19"/>
    </row>
    <row r="653" spans="1:7" x14ac:dyDescent="0.3">
      <c r="A653" s="20"/>
      <c r="B653" s="6"/>
      <c r="C653" s="19"/>
      <c r="D653" s="23"/>
      <c r="E653" s="9" t="str">
        <f t="shared" si="10"/>
        <v/>
      </c>
      <c r="F653" s="19"/>
      <c r="G653" s="19"/>
    </row>
    <row r="654" spans="1:7" x14ac:dyDescent="0.3">
      <c r="A654" s="20"/>
      <c r="B654" s="6"/>
      <c r="C654" s="19"/>
      <c r="D654" s="23"/>
      <c r="E654" s="9" t="str">
        <f t="shared" si="10"/>
        <v/>
      </c>
      <c r="F654" s="19"/>
      <c r="G654" s="19"/>
    </row>
    <row r="655" spans="1:7" x14ac:dyDescent="0.3">
      <c r="A655" s="20"/>
      <c r="B655" s="6"/>
      <c r="C655" s="19"/>
      <c r="D655" s="23"/>
      <c r="E655" s="9" t="str">
        <f t="shared" si="10"/>
        <v/>
      </c>
      <c r="F655" s="19"/>
      <c r="G655" s="19"/>
    </row>
    <row r="656" spans="1:7" x14ac:dyDescent="0.3">
      <c r="A656" s="20"/>
      <c r="B656" s="6"/>
      <c r="C656" s="19"/>
      <c r="D656" s="23"/>
      <c r="E656" s="9" t="str">
        <f t="shared" si="10"/>
        <v/>
      </c>
      <c r="F656" s="19"/>
      <c r="G656" s="19"/>
    </row>
    <row r="657" spans="1:7" x14ac:dyDescent="0.3">
      <c r="A657" s="20"/>
      <c r="B657" s="6"/>
      <c r="C657" s="19"/>
      <c r="D657" s="23"/>
      <c r="E657" s="9" t="str">
        <f t="shared" si="10"/>
        <v/>
      </c>
      <c r="F657" s="19"/>
      <c r="G657" s="19"/>
    </row>
    <row r="658" spans="1:7" x14ac:dyDescent="0.3">
      <c r="A658" s="20"/>
      <c r="B658" s="6"/>
      <c r="C658" s="19"/>
      <c r="D658" s="23"/>
      <c r="E658" s="9" t="str">
        <f t="shared" si="10"/>
        <v/>
      </c>
      <c r="F658" s="19"/>
      <c r="G658" s="19"/>
    </row>
    <row r="659" spans="1:7" x14ac:dyDescent="0.3">
      <c r="A659" s="20"/>
      <c r="B659" s="6"/>
      <c r="C659" s="19"/>
      <c r="D659" s="23"/>
      <c r="E659" s="9" t="str">
        <f t="shared" si="10"/>
        <v/>
      </c>
      <c r="F659" s="19"/>
      <c r="G659" s="19"/>
    </row>
    <row r="660" spans="1:7" x14ac:dyDescent="0.3">
      <c r="A660" s="20"/>
      <c r="B660" s="6"/>
      <c r="C660" s="19"/>
      <c r="D660" s="23"/>
      <c r="E660" s="9" t="str">
        <f t="shared" si="10"/>
        <v/>
      </c>
      <c r="F660" s="19"/>
      <c r="G660" s="19"/>
    </row>
    <row r="661" spans="1:7" x14ac:dyDescent="0.3">
      <c r="A661" s="20"/>
      <c r="B661" s="6"/>
      <c r="C661" s="19"/>
      <c r="D661" s="23"/>
      <c r="E661" s="9" t="str">
        <f t="shared" si="10"/>
        <v/>
      </c>
      <c r="F661" s="19"/>
      <c r="G661" s="19"/>
    </row>
    <row r="662" spans="1:7" x14ac:dyDescent="0.3">
      <c r="A662" s="20"/>
      <c r="B662" s="6"/>
      <c r="C662" s="19"/>
      <c r="D662" s="23"/>
      <c r="E662" s="9" t="str">
        <f t="shared" si="10"/>
        <v/>
      </c>
      <c r="F662" s="19"/>
      <c r="G662" s="19"/>
    </row>
    <row r="663" spans="1:7" x14ac:dyDescent="0.3">
      <c r="A663" s="20"/>
      <c r="B663" s="6"/>
      <c r="C663" s="19"/>
      <c r="D663" s="23"/>
      <c r="E663" s="9" t="str">
        <f t="shared" si="10"/>
        <v/>
      </c>
      <c r="F663" s="19"/>
      <c r="G663" s="19"/>
    </row>
    <row r="664" spans="1:7" x14ac:dyDescent="0.3">
      <c r="A664" s="20"/>
      <c r="B664" s="6"/>
      <c r="C664" s="19"/>
      <c r="D664" s="23"/>
      <c r="E664" s="9" t="str">
        <f t="shared" si="10"/>
        <v/>
      </c>
      <c r="F664" s="19"/>
      <c r="G664" s="19"/>
    </row>
    <row r="665" spans="1:7" x14ac:dyDescent="0.3">
      <c r="A665" s="20"/>
      <c r="B665" s="6"/>
      <c r="C665" s="19"/>
      <c r="D665" s="23"/>
      <c r="E665" s="9" t="str">
        <f t="shared" si="10"/>
        <v/>
      </c>
      <c r="F665" s="19"/>
      <c r="G665" s="19"/>
    </row>
    <row r="666" spans="1:7" x14ac:dyDescent="0.3">
      <c r="A666" s="20"/>
      <c r="B666" s="6"/>
      <c r="C666" s="19"/>
      <c r="D666" s="23"/>
      <c r="E666" s="9" t="str">
        <f t="shared" si="10"/>
        <v/>
      </c>
      <c r="F666" s="19"/>
      <c r="G666" s="19"/>
    </row>
    <row r="667" spans="1:7" x14ac:dyDescent="0.3">
      <c r="A667" s="20"/>
      <c r="B667" s="6"/>
      <c r="C667" s="19"/>
      <c r="D667" s="23"/>
      <c r="E667" s="9" t="str">
        <f t="shared" si="10"/>
        <v/>
      </c>
      <c r="F667" s="19"/>
      <c r="G667" s="19"/>
    </row>
    <row r="668" spans="1:7" x14ac:dyDescent="0.3">
      <c r="A668" s="20"/>
      <c r="B668" s="6"/>
      <c r="C668" s="19"/>
      <c r="D668" s="23"/>
      <c r="E668" s="9" t="str">
        <f t="shared" si="10"/>
        <v/>
      </c>
      <c r="F668" s="19"/>
      <c r="G668" s="19"/>
    </row>
    <row r="669" spans="1:7" x14ac:dyDescent="0.3">
      <c r="A669" s="20"/>
      <c r="B669" s="6"/>
      <c r="C669" s="19"/>
      <c r="D669" s="23"/>
      <c r="E669" s="9" t="str">
        <f t="shared" si="10"/>
        <v/>
      </c>
      <c r="F669" s="19"/>
      <c r="G669" s="19"/>
    </row>
    <row r="670" spans="1:7" x14ac:dyDescent="0.3">
      <c r="A670" s="20"/>
      <c r="B670" s="6"/>
      <c r="C670" s="19"/>
      <c r="D670" s="23"/>
      <c r="E670" s="9" t="str">
        <f t="shared" si="10"/>
        <v/>
      </c>
      <c r="F670" s="19"/>
      <c r="G670" s="19"/>
    </row>
    <row r="671" spans="1:7" x14ac:dyDescent="0.3">
      <c r="A671" s="20"/>
      <c r="B671" s="6"/>
      <c r="C671" s="19"/>
      <c r="D671" s="23"/>
      <c r="E671" s="9" t="str">
        <f t="shared" si="10"/>
        <v/>
      </c>
      <c r="F671" s="19"/>
      <c r="G671" s="19"/>
    </row>
    <row r="672" spans="1:7" x14ac:dyDescent="0.3">
      <c r="A672" s="20"/>
      <c r="B672" s="6"/>
      <c r="C672" s="19"/>
      <c r="D672" s="23"/>
      <c r="E672" s="9" t="str">
        <f t="shared" si="10"/>
        <v/>
      </c>
      <c r="F672" s="19"/>
      <c r="G672" s="19"/>
    </row>
    <row r="673" spans="1:7" x14ac:dyDescent="0.3">
      <c r="A673" s="20"/>
      <c r="B673" s="6"/>
      <c r="C673" s="19"/>
      <c r="D673" s="23"/>
      <c r="E673" s="9" t="str">
        <f t="shared" si="10"/>
        <v/>
      </c>
      <c r="F673" s="19"/>
      <c r="G673" s="19"/>
    </row>
    <row r="674" spans="1:7" x14ac:dyDescent="0.3">
      <c r="A674" s="20"/>
      <c r="B674" s="6"/>
      <c r="C674" s="19"/>
      <c r="D674" s="23"/>
      <c r="E674" s="9" t="str">
        <f t="shared" si="10"/>
        <v/>
      </c>
      <c r="F674" s="19"/>
      <c r="G674" s="19"/>
    </row>
    <row r="675" spans="1:7" x14ac:dyDescent="0.3">
      <c r="A675" s="20"/>
      <c r="B675" s="6"/>
      <c r="C675" s="19"/>
      <c r="D675" s="23"/>
      <c r="E675" s="9" t="str">
        <f t="shared" si="10"/>
        <v/>
      </c>
      <c r="F675" s="19"/>
      <c r="G675" s="19"/>
    </row>
    <row r="676" spans="1:7" x14ac:dyDescent="0.3">
      <c r="A676" s="20"/>
      <c r="B676" s="6"/>
      <c r="C676" s="19"/>
      <c r="D676" s="23"/>
      <c r="E676" s="9" t="str">
        <f t="shared" si="10"/>
        <v/>
      </c>
      <c r="F676" s="19"/>
      <c r="G676" s="19"/>
    </row>
    <row r="677" spans="1:7" x14ac:dyDescent="0.3">
      <c r="A677" s="20"/>
      <c r="B677" s="6"/>
      <c r="C677" s="19"/>
      <c r="D677" s="23"/>
      <c r="E677" s="9" t="str">
        <f t="shared" si="10"/>
        <v/>
      </c>
      <c r="F677" s="19"/>
      <c r="G677" s="19"/>
    </row>
    <row r="678" spans="1:7" x14ac:dyDescent="0.3">
      <c r="A678" s="20"/>
      <c r="B678" s="6"/>
      <c r="C678" s="19"/>
      <c r="D678" s="23"/>
      <c r="E678" s="9" t="str">
        <f t="shared" si="10"/>
        <v/>
      </c>
      <c r="F678" s="19"/>
      <c r="G678" s="19"/>
    </row>
    <row r="679" spans="1:7" x14ac:dyDescent="0.3">
      <c r="A679" s="20"/>
      <c r="B679" s="6"/>
      <c r="C679" s="19"/>
      <c r="D679" s="23"/>
      <c r="E679" s="9" t="str">
        <f t="shared" si="10"/>
        <v/>
      </c>
      <c r="F679" s="19"/>
      <c r="G679" s="19"/>
    </row>
    <row r="680" spans="1:7" x14ac:dyDescent="0.3">
      <c r="A680" s="20"/>
      <c r="B680" s="6"/>
      <c r="C680" s="19"/>
      <c r="D680" s="23"/>
      <c r="E680" s="9" t="str">
        <f t="shared" si="10"/>
        <v/>
      </c>
      <c r="F680" s="19"/>
      <c r="G680" s="19"/>
    </row>
    <row r="681" spans="1:7" x14ac:dyDescent="0.3">
      <c r="A681" s="20"/>
      <c r="B681" s="6"/>
      <c r="C681" s="19"/>
      <c r="D681" s="23"/>
      <c r="E681" s="9" t="str">
        <f t="shared" si="10"/>
        <v/>
      </c>
      <c r="F681" s="19"/>
      <c r="G681" s="19"/>
    </row>
    <row r="682" spans="1:7" x14ac:dyDescent="0.3">
      <c r="A682" s="20"/>
      <c r="B682" s="6"/>
      <c r="C682" s="19"/>
      <c r="D682" s="23"/>
      <c r="E682" s="9" t="str">
        <f t="shared" si="10"/>
        <v/>
      </c>
      <c r="F682" s="19"/>
      <c r="G682" s="19"/>
    </row>
    <row r="683" spans="1:7" x14ac:dyDescent="0.3">
      <c r="A683" s="20"/>
      <c r="B683" s="6"/>
      <c r="C683" s="19"/>
      <c r="D683" s="23"/>
      <c r="E683" s="9" t="str">
        <f t="shared" si="10"/>
        <v/>
      </c>
      <c r="F683" s="19"/>
      <c r="G683" s="19"/>
    </row>
    <row r="684" spans="1:7" x14ac:dyDescent="0.3">
      <c r="A684" s="20"/>
      <c r="B684" s="6"/>
      <c r="C684" s="19"/>
      <c r="D684" s="23"/>
      <c r="E684" s="9" t="str">
        <f t="shared" si="10"/>
        <v/>
      </c>
      <c r="F684" s="19"/>
      <c r="G684" s="19"/>
    </row>
    <row r="685" spans="1:7" x14ac:dyDescent="0.3">
      <c r="A685" s="20"/>
      <c r="B685" s="6"/>
      <c r="C685" s="19"/>
      <c r="D685" s="23"/>
      <c r="E685" s="9" t="str">
        <f t="shared" si="10"/>
        <v/>
      </c>
      <c r="F685" s="19"/>
      <c r="G685" s="19"/>
    </row>
    <row r="686" spans="1:7" x14ac:dyDescent="0.3">
      <c r="A686" s="20"/>
      <c r="B686" s="6"/>
      <c r="C686" s="19"/>
      <c r="D686" s="23"/>
      <c r="E686" s="9" t="str">
        <f t="shared" si="10"/>
        <v/>
      </c>
      <c r="F686" s="19"/>
      <c r="G686" s="19"/>
    </row>
    <row r="687" spans="1:7" x14ac:dyDescent="0.3">
      <c r="A687" s="20"/>
      <c r="B687" s="6"/>
      <c r="C687" s="19"/>
      <c r="D687" s="23"/>
      <c r="E687" s="9" t="str">
        <f t="shared" si="10"/>
        <v/>
      </c>
      <c r="F687" s="19"/>
      <c r="G687" s="19"/>
    </row>
    <row r="688" spans="1:7" x14ac:dyDescent="0.3">
      <c r="A688" s="20"/>
      <c r="B688" s="6"/>
      <c r="C688" s="19"/>
      <c r="D688" s="23"/>
      <c r="E688" s="9" t="str">
        <f t="shared" si="10"/>
        <v/>
      </c>
      <c r="F688" s="19"/>
      <c r="G688" s="19"/>
    </row>
    <row r="689" spans="1:7" x14ac:dyDescent="0.3">
      <c r="A689" s="20"/>
      <c r="B689" s="6"/>
      <c r="C689" s="19"/>
      <c r="D689" s="23"/>
      <c r="E689" s="9" t="str">
        <f t="shared" si="10"/>
        <v/>
      </c>
      <c r="F689" s="19"/>
      <c r="G689" s="19"/>
    </row>
    <row r="690" spans="1:7" x14ac:dyDescent="0.3">
      <c r="A690" s="20"/>
      <c r="B690" s="6"/>
      <c r="C690" s="19"/>
      <c r="D690" s="23"/>
      <c r="E690" s="9" t="str">
        <f t="shared" si="10"/>
        <v/>
      </c>
      <c r="F690" s="19"/>
      <c r="G690" s="19"/>
    </row>
    <row r="691" spans="1:7" x14ac:dyDescent="0.3">
      <c r="A691" s="20"/>
      <c r="B691" s="6"/>
      <c r="C691" s="19"/>
      <c r="D691" s="23"/>
      <c r="E691" s="9" t="str">
        <f t="shared" si="10"/>
        <v/>
      </c>
      <c r="F691" s="19"/>
      <c r="G691" s="19"/>
    </row>
    <row r="692" spans="1:7" x14ac:dyDescent="0.3">
      <c r="A692" s="20"/>
      <c r="B692" s="6"/>
      <c r="C692" s="19"/>
      <c r="D692" s="23"/>
      <c r="E692" s="9" t="str">
        <f t="shared" si="10"/>
        <v/>
      </c>
      <c r="F692" s="19"/>
      <c r="G692" s="19"/>
    </row>
    <row r="693" spans="1:7" x14ac:dyDescent="0.3">
      <c r="A693" s="20"/>
      <c r="B693" s="6"/>
      <c r="C693" s="19"/>
      <c r="D693" s="23"/>
      <c r="E693" s="9" t="str">
        <f t="shared" si="10"/>
        <v/>
      </c>
      <c r="F693" s="19"/>
      <c r="G693" s="19"/>
    </row>
    <row r="694" spans="1:7" x14ac:dyDescent="0.3">
      <c r="A694" s="20"/>
      <c r="B694" s="6"/>
      <c r="C694" s="19"/>
      <c r="D694" s="23"/>
      <c r="E694" s="9" t="str">
        <f t="shared" si="10"/>
        <v/>
      </c>
      <c r="F694" s="19"/>
      <c r="G694" s="19"/>
    </row>
    <row r="695" spans="1:7" x14ac:dyDescent="0.3">
      <c r="A695" s="20"/>
      <c r="B695" s="6"/>
      <c r="C695" s="19"/>
      <c r="D695" s="23"/>
      <c r="E695" s="9" t="str">
        <f t="shared" si="10"/>
        <v/>
      </c>
      <c r="F695" s="19"/>
      <c r="G695" s="19"/>
    </row>
    <row r="696" spans="1:7" x14ac:dyDescent="0.3">
      <c r="A696" s="20"/>
      <c r="B696" s="6"/>
      <c r="C696" s="19"/>
      <c r="D696" s="23"/>
      <c r="E696" s="9" t="str">
        <f t="shared" si="10"/>
        <v/>
      </c>
      <c r="F696" s="19"/>
      <c r="G696" s="19"/>
    </row>
    <row r="697" spans="1:7" x14ac:dyDescent="0.3">
      <c r="A697" s="20"/>
      <c r="B697" s="6"/>
      <c r="C697" s="19"/>
      <c r="D697" s="23"/>
      <c r="E697" s="9" t="str">
        <f t="shared" si="10"/>
        <v/>
      </c>
      <c r="F697" s="19"/>
      <c r="G697" s="19"/>
    </row>
    <row r="698" spans="1:7" x14ac:dyDescent="0.3">
      <c r="A698" s="20"/>
      <c r="B698" s="6"/>
      <c r="C698" s="19"/>
      <c r="D698" s="23"/>
      <c r="E698" s="9" t="str">
        <f t="shared" si="10"/>
        <v/>
      </c>
      <c r="F698" s="19"/>
      <c r="G698" s="19"/>
    </row>
    <row r="699" spans="1:7" x14ac:dyDescent="0.3">
      <c r="A699" s="20"/>
      <c r="B699" s="6"/>
      <c r="C699" s="19"/>
      <c r="D699" s="23"/>
      <c r="E699" s="9" t="str">
        <f t="shared" si="10"/>
        <v/>
      </c>
      <c r="F699" s="19"/>
      <c r="G699" s="19"/>
    </row>
    <row r="700" spans="1:7" x14ac:dyDescent="0.3">
      <c r="A700" s="20"/>
      <c r="B700" s="6"/>
      <c r="C700" s="19"/>
      <c r="D700" s="23"/>
      <c r="E700" s="9" t="str">
        <f t="shared" si="10"/>
        <v/>
      </c>
      <c r="F700" s="19"/>
      <c r="G700" s="19"/>
    </row>
    <row r="701" spans="1:7" x14ac:dyDescent="0.3">
      <c r="A701" s="20"/>
      <c r="B701" s="6"/>
      <c r="C701" s="19"/>
      <c r="D701" s="23"/>
      <c r="E701" s="9" t="str">
        <f t="shared" si="10"/>
        <v/>
      </c>
      <c r="F701" s="19"/>
      <c r="G701" s="19"/>
    </row>
    <row r="702" spans="1:7" x14ac:dyDescent="0.3">
      <c r="A702" s="20"/>
      <c r="B702" s="6"/>
      <c r="C702" s="19"/>
      <c r="D702" s="23"/>
      <c r="E702" s="9" t="str">
        <f t="shared" si="10"/>
        <v/>
      </c>
      <c r="F702" s="19"/>
      <c r="G702" s="19"/>
    </row>
    <row r="703" spans="1:7" x14ac:dyDescent="0.3">
      <c r="A703" s="20"/>
      <c r="B703" s="6"/>
      <c r="C703" s="19"/>
      <c r="D703" s="23"/>
      <c r="E703" s="9" t="str">
        <f t="shared" si="10"/>
        <v/>
      </c>
      <c r="F703" s="19"/>
      <c r="G703" s="19"/>
    </row>
    <row r="704" spans="1:7" x14ac:dyDescent="0.3">
      <c r="A704" s="20"/>
      <c r="B704" s="6"/>
      <c r="C704" s="19"/>
      <c r="D704" s="23"/>
      <c r="E704" s="9" t="str">
        <f t="shared" si="10"/>
        <v/>
      </c>
      <c r="F704" s="19"/>
      <c r="G704" s="19"/>
    </row>
    <row r="705" spans="1:7" x14ac:dyDescent="0.3">
      <c r="A705" s="20"/>
      <c r="B705" s="6"/>
      <c r="C705" s="19"/>
      <c r="D705" s="23"/>
      <c r="E705" s="9" t="str">
        <f t="shared" si="10"/>
        <v/>
      </c>
      <c r="F705" s="19"/>
      <c r="G705" s="19"/>
    </row>
    <row r="706" spans="1:7" x14ac:dyDescent="0.3">
      <c r="A706" s="20"/>
      <c r="B706" s="6"/>
      <c r="C706" s="19"/>
      <c r="D706" s="23"/>
      <c r="E706" s="9" t="str">
        <f t="shared" ref="E706:E769" si="11">IF($B706="","",$C706*$D706)</f>
        <v/>
      </c>
      <c r="F706" s="19"/>
      <c r="G706" s="19"/>
    </row>
    <row r="707" spans="1:7" x14ac:dyDescent="0.3">
      <c r="A707" s="20"/>
      <c r="B707" s="6"/>
      <c r="C707" s="19"/>
      <c r="D707" s="23"/>
      <c r="E707" s="9" t="str">
        <f t="shared" si="11"/>
        <v/>
      </c>
      <c r="F707" s="19"/>
      <c r="G707" s="19"/>
    </row>
    <row r="708" spans="1:7" x14ac:dyDescent="0.3">
      <c r="A708" s="20"/>
      <c r="B708" s="6"/>
      <c r="C708" s="19"/>
      <c r="D708" s="23"/>
      <c r="E708" s="9" t="str">
        <f t="shared" si="11"/>
        <v/>
      </c>
      <c r="F708" s="19"/>
      <c r="G708" s="19"/>
    </row>
    <row r="709" spans="1:7" x14ac:dyDescent="0.3">
      <c r="A709" s="20"/>
      <c r="B709" s="6"/>
      <c r="C709" s="19"/>
      <c r="D709" s="23"/>
      <c r="E709" s="9" t="str">
        <f t="shared" si="11"/>
        <v/>
      </c>
      <c r="F709" s="19"/>
      <c r="G709" s="19"/>
    </row>
    <row r="710" spans="1:7" x14ac:dyDescent="0.3">
      <c r="A710" s="20"/>
      <c r="B710" s="6"/>
      <c r="C710" s="19"/>
      <c r="D710" s="23"/>
      <c r="E710" s="9" t="str">
        <f t="shared" si="11"/>
        <v/>
      </c>
      <c r="F710" s="19"/>
      <c r="G710" s="19"/>
    </row>
    <row r="711" spans="1:7" x14ac:dyDescent="0.3">
      <c r="A711" s="20"/>
      <c r="B711" s="6"/>
      <c r="C711" s="19"/>
      <c r="D711" s="23"/>
      <c r="E711" s="9" t="str">
        <f t="shared" si="11"/>
        <v/>
      </c>
      <c r="F711" s="19"/>
      <c r="G711" s="19"/>
    </row>
    <row r="712" spans="1:7" x14ac:dyDescent="0.3">
      <c r="A712" s="20"/>
      <c r="B712" s="6"/>
      <c r="C712" s="19"/>
      <c r="D712" s="23"/>
      <c r="E712" s="9" t="str">
        <f t="shared" si="11"/>
        <v/>
      </c>
      <c r="F712" s="19"/>
      <c r="G712" s="19"/>
    </row>
    <row r="713" spans="1:7" x14ac:dyDescent="0.3">
      <c r="A713" s="20"/>
      <c r="B713" s="6"/>
      <c r="C713" s="19"/>
      <c r="D713" s="23"/>
      <c r="E713" s="9" t="str">
        <f t="shared" si="11"/>
        <v/>
      </c>
      <c r="F713" s="19"/>
      <c r="G713" s="19"/>
    </row>
    <row r="714" spans="1:7" x14ac:dyDescent="0.3">
      <c r="A714" s="20"/>
      <c r="B714" s="6"/>
      <c r="C714" s="19"/>
      <c r="D714" s="23"/>
      <c r="E714" s="9" t="str">
        <f t="shared" si="11"/>
        <v/>
      </c>
      <c r="F714" s="19"/>
      <c r="G714" s="19"/>
    </row>
    <row r="715" spans="1:7" x14ac:dyDescent="0.3">
      <c r="A715" s="20"/>
      <c r="B715" s="6"/>
      <c r="C715" s="19"/>
      <c r="D715" s="23"/>
      <c r="E715" s="9" t="str">
        <f t="shared" si="11"/>
        <v/>
      </c>
      <c r="F715" s="19"/>
      <c r="G715" s="19"/>
    </row>
    <row r="716" spans="1:7" x14ac:dyDescent="0.3">
      <c r="A716" s="20"/>
      <c r="B716" s="6"/>
      <c r="C716" s="19"/>
      <c r="D716" s="23"/>
      <c r="E716" s="9" t="str">
        <f t="shared" si="11"/>
        <v/>
      </c>
      <c r="F716" s="19"/>
      <c r="G716" s="19"/>
    </row>
    <row r="717" spans="1:7" x14ac:dyDescent="0.3">
      <c r="A717" s="20"/>
      <c r="B717" s="6"/>
      <c r="C717" s="19"/>
      <c r="D717" s="23"/>
      <c r="E717" s="9" t="str">
        <f t="shared" si="11"/>
        <v/>
      </c>
      <c r="F717" s="19"/>
      <c r="G717" s="19"/>
    </row>
    <row r="718" spans="1:7" x14ac:dyDescent="0.3">
      <c r="A718" s="20"/>
      <c r="B718" s="6"/>
      <c r="C718" s="19"/>
      <c r="D718" s="23"/>
      <c r="E718" s="9" t="str">
        <f t="shared" si="11"/>
        <v/>
      </c>
      <c r="F718" s="19"/>
      <c r="G718" s="19"/>
    </row>
    <row r="719" spans="1:7" x14ac:dyDescent="0.3">
      <c r="A719" s="20"/>
      <c r="B719" s="6"/>
      <c r="C719" s="19"/>
      <c r="D719" s="23"/>
      <c r="E719" s="9" t="str">
        <f t="shared" si="11"/>
        <v/>
      </c>
      <c r="F719" s="19"/>
      <c r="G719" s="19"/>
    </row>
    <row r="720" spans="1:7" x14ac:dyDescent="0.3">
      <c r="A720" s="20"/>
      <c r="B720" s="6"/>
      <c r="C720" s="19"/>
      <c r="D720" s="23"/>
      <c r="E720" s="9" t="str">
        <f t="shared" si="11"/>
        <v/>
      </c>
      <c r="F720" s="19"/>
      <c r="G720" s="19"/>
    </row>
    <row r="721" spans="1:7" x14ac:dyDescent="0.3">
      <c r="A721" s="20"/>
      <c r="B721" s="6"/>
      <c r="C721" s="19"/>
      <c r="D721" s="23"/>
      <c r="E721" s="9" t="str">
        <f t="shared" si="11"/>
        <v/>
      </c>
      <c r="F721" s="19"/>
      <c r="G721" s="19"/>
    </row>
    <row r="722" spans="1:7" x14ac:dyDescent="0.3">
      <c r="A722" s="20"/>
      <c r="B722" s="6"/>
      <c r="C722" s="19"/>
      <c r="D722" s="23"/>
      <c r="E722" s="9" t="str">
        <f t="shared" si="11"/>
        <v/>
      </c>
      <c r="F722" s="19"/>
      <c r="G722" s="19"/>
    </row>
    <row r="723" spans="1:7" x14ac:dyDescent="0.3">
      <c r="A723" s="20"/>
      <c r="B723" s="6"/>
      <c r="C723" s="19"/>
      <c r="D723" s="23"/>
      <c r="E723" s="9" t="str">
        <f t="shared" si="11"/>
        <v/>
      </c>
      <c r="F723" s="19"/>
      <c r="G723" s="19"/>
    </row>
    <row r="724" spans="1:7" x14ac:dyDescent="0.3">
      <c r="A724" s="20"/>
      <c r="B724" s="6"/>
      <c r="C724" s="19"/>
      <c r="D724" s="23"/>
      <c r="E724" s="9" t="str">
        <f t="shared" si="11"/>
        <v/>
      </c>
      <c r="F724" s="19"/>
      <c r="G724" s="19"/>
    </row>
    <row r="725" spans="1:7" x14ac:dyDescent="0.3">
      <c r="A725" s="20"/>
      <c r="B725" s="6"/>
      <c r="C725" s="19"/>
      <c r="D725" s="23"/>
      <c r="E725" s="9" t="str">
        <f t="shared" si="11"/>
        <v/>
      </c>
      <c r="F725" s="19"/>
      <c r="G725" s="19"/>
    </row>
    <row r="726" spans="1:7" x14ac:dyDescent="0.3">
      <c r="A726" s="20"/>
      <c r="B726" s="6"/>
      <c r="C726" s="19"/>
      <c r="D726" s="23"/>
      <c r="E726" s="9" t="str">
        <f t="shared" si="11"/>
        <v/>
      </c>
      <c r="F726" s="19"/>
      <c r="G726" s="19"/>
    </row>
    <row r="727" spans="1:7" x14ac:dyDescent="0.3">
      <c r="A727" s="20"/>
      <c r="B727" s="6"/>
      <c r="C727" s="19"/>
      <c r="D727" s="23"/>
      <c r="E727" s="9" t="str">
        <f t="shared" si="11"/>
        <v/>
      </c>
      <c r="F727" s="19"/>
      <c r="G727" s="19"/>
    </row>
    <row r="728" spans="1:7" x14ac:dyDescent="0.3">
      <c r="A728" s="20"/>
      <c r="B728" s="6"/>
      <c r="C728" s="19"/>
      <c r="D728" s="23"/>
      <c r="E728" s="9" t="str">
        <f t="shared" si="11"/>
        <v/>
      </c>
      <c r="F728" s="19"/>
      <c r="G728" s="19"/>
    </row>
    <row r="729" spans="1:7" x14ac:dyDescent="0.3">
      <c r="A729" s="20"/>
      <c r="B729" s="6"/>
      <c r="C729" s="19"/>
      <c r="D729" s="23"/>
      <c r="E729" s="9" t="str">
        <f t="shared" si="11"/>
        <v/>
      </c>
      <c r="F729" s="19"/>
      <c r="G729" s="19"/>
    </row>
    <row r="730" spans="1:7" x14ac:dyDescent="0.3">
      <c r="A730" s="20"/>
      <c r="B730" s="6"/>
      <c r="C730" s="19"/>
      <c r="D730" s="23"/>
      <c r="E730" s="9" t="str">
        <f t="shared" si="11"/>
        <v/>
      </c>
      <c r="F730" s="19"/>
      <c r="G730" s="19"/>
    </row>
    <row r="731" spans="1:7" x14ac:dyDescent="0.3">
      <c r="A731" s="20"/>
      <c r="B731" s="6"/>
      <c r="C731" s="19"/>
      <c r="D731" s="23"/>
      <c r="E731" s="9" t="str">
        <f t="shared" si="11"/>
        <v/>
      </c>
      <c r="F731" s="19"/>
      <c r="G731" s="19"/>
    </row>
    <row r="732" spans="1:7" x14ac:dyDescent="0.3">
      <c r="A732" s="20"/>
      <c r="B732" s="6"/>
      <c r="C732" s="19"/>
      <c r="D732" s="23"/>
      <c r="E732" s="9" t="str">
        <f t="shared" si="11"/>
        <v/>
      </c>
      <c r="F732" s="19"/>
      <c r="G732" s="19"/>
    </row>
    <row r="733" spans="1:7" x14ac:dyDescent="0.3">
      <c r="A733" s="20"/>
      <c r="B733" s="6"/>
      <c r="C733" s="19"/>
      <c r="D733" s="23"/>
      <c r="E733" s="9" t="str">
        <f t="shared" si="11"/>
        <v/>
      </c>
      <c r="F733" s="19"/>
      <c r="G733" s="19"/>
    </row>
    <row r="734" spans="1:7" x14ac:dyDescent="0.3">
      <c r="A734" s="20"/>
      <c r="B734" s="6"/>
      <c r="C734" s="19"/>
      <c r="D734" s="23"/>
      <c r="E734" s="9" t="str">
        <f t="shared" si="11"/>
        <v/>
      </c>
      <c r="F734" s="19"/>
      <c r="G734" s="19"/>
    </row>
    <row r="735" spans="1:7" x14ac:dyDescent="0.3">
      <c r="A735" s="20"/>
      <c r="B735" s="6"/>
      <c r="C735" s="19"/>
      <c r="D735" s="23"/>
      <c r="E735" s="9" t="str">
        <f t="shared" si="11"/>
        <v/>
      </c>
      <c r="F735" s="19"/>
      <c r="G735" s="19"/>
    </row>
    <row r="736" spans="1:7" x14ac:dyDescent="0.3">
      <c r="A736" s="20"/>
      <c r="B736" s="6"/>
      <c r="C736" s="19"/>
      <c r="D736" s="23"/>
      <c r="E736" s="9" t="str">
        <f t="shared" si="11"/>
        <v/>
      </c>
      <c r="F736" s="19"/>
      <c r="G736" s="19"/>
    </row>
    <row r="737" spans="1:7" x14ac:dyDescent="0.3">
      <c r="A737" s="20"/>
      <c r="B737" s="6"/>
      <c r="C737" s="19"/>
      <c r="D737" s="23"/>
      <c r="E737" s="9" t="str">
        <f t="shared" si="11"/>
        <v/>
      </c>
      <c r="F737" s="19"/>
      <c r="G737" s="19"/>
    </row>
    <row r="738" spans="1:7" x14ac:dyDescent="0.3">
      <c r="A738" s="20"/>
      <c r="B738" s="6"/>
      <c r="C738" s="19"/>
      <c r="D738" s="23"/>
      <c r="E738" s="9" t="str">
        <f t="shared" si="11"/>
        <v/>
      </c>
      <c r="F738" s="19"/>
      <c r="G738" s="19"/>
    </row>
    <row r="739" spans="1:7" x14ac:dyDescent="0.3">
      <c r="A739" s="20"/>
      <c r="B739" s="6"/>
      <c r="C739" s="19"/>
      <c r="D739" s="23"/>
      <c r="E739" s="9" t="str">
        <f t="shared" si="11"/>
        <v/>
      </c>
      <c r="F739" s="19"/>
      <c r="G739" s="19"/>
    </row>
    <row r="740" spans="1:7" x14ac:dyDescent="0.3">
      <c r="A740" s="20"/>
      <c r="B740" s="6"/>
      <c r="C740" s="19"/>
      <c r="D740" s="23"/>
      <c r="E740" s="9" t="str">
        <f t="shared" si="11"/>
        <v/>
      </c>
      <c r="F740" s="19"/>
      <c r="G740" s="19"/>
    </row>
    <row r="741" spans="1:7" x14ac:dyDescent="0.3">
      <c r="A741" s="20"/>
      <c r="B741" s="6"/>
      <c r="C741" s="19"/>
      <c r="D741" s="23"/>
      <c r="E741" s="9" t="str">
        <f t="shared" si="11"/>
        <v/>
      </c>
      <c r="F741" s="19"/>
      <c r="G741" s="19"/>
    </row>
    <row r="742" spans="1:7" x14ac:dyDescent="0.3">
      <c r="A742" s="20"/>
      <c r="B742" s="6"/>
      <c r="C742" s="19"/>
      <c r="D742" s="23"/>
      <c r="E742" s="9" t="str">
        <f t="shared" si="11"/>
        <v/>
      </c>
      <c r="F742" s="19"/>
      <c r="G742" s="19"/>
    </row>
    <row r="743" spans="1:7" x14ac:dyDescent="0.3">
      <c r="A743" s="20"/>
      <c r="B743" s="6"/>
      <c r="C743" s="19"/>
      <c r="D743" s="23"/>
      <c r="E743" s="9" t="str">
        <f t="shared" si="11"/>
        <v/>
      </c>
      <c r="F743" s="19"/>
      <c r="G743" s="19"/>
    </row>
    <row r="744" spans="1:7" x14ac:dyDescent="0.3">
      <c r="A744" s="20"/>
      <c r="B744" s="6"/>
      <c r="C744" s="19"/>
      <c r="D744" s="23"/>
      <c r="E744" s="9" t="str">
        <f t="shared" si="11"/>
        <v/>
      </c>
      <c r="F744" s="19"/>
      <c r="G744" s="19"/>
    </row>
    <row r="745" spans="1:7" x14ac:dyDescent="0.3">
      <c r="A745" s="20"/>
      <c r="B745" s="6"/>
      <c r="C745" s="19"/>
      <c r="D745" s="23"/>
      <c r="E745" s="9" t="str">
        <f t="shared" si="11"/>
        <v/>
      </c>
      <c r="F745" s="19"/>
      <c r="G745" s="19"/>
    </row>
    <row r="746" spans="1:7" x14ac:dyDescent="0.3">
      <c r="A746" s="20"/>
      <c r="B746" s="6"/>
      <c r="C746" s="19"/>
      <c r="D746" s="23"/>
      <c r="E746" s="9" t="str">
        <f t="shared" si="11"/>
        <v/>
      </c>
      <c r="F746" s="19"/>
      <c r="G746" s="19"/>
    </row>
    <row r="747" spans="1:7" x14ac:dyDescent="0.3">
      <c r="A747" s="20"/>
      <c r="B747" s="6"/>
      <c r="C747" s="19"/>
      <c r="D747" s="23"/>
      <c r="E747" s="9" t="str">
        <f t="shared" si="11"/>
        <v/>
      </c>
      <c r="F747" s="19"/>
      <c r="G747" s="19"/>
    </row>
    <row r="748" spans="1:7" x14ac:dyDescent="0.3">
      <c r="A748" s="20"/>
      <c r="B748" s="6"/>
      <c r="C748" s="19"/>
      <c r="D748" s="23"/>
      <c r="E748" s="9" t="str">
        <f t="shared" si="11"/>
        <v/>
      </c>
      <c r="F748" s="19"/>
      <c r="G748" s="19"/>
    </row>
    <row r="749" spans="1:7" x14ac:dyDescent="0.3">
      <c r="A749" s="20"/>
      <c r="B749" s="6"/>
      <c r="C749" s="19"/>
      <c r="D749" s="23"/>
      <c r="E749" s="9" t="str">
        <f t="shared" si="11"/>
        <v/>
      </c>
      <c r="F749" s="19"/>
      <c r="G749" s="19"/>
    </row>
    <row r="750" spans="1:7" x14ac:dyDescent="0.3">
      <c r="A750" s="20"/>
      <c r="B750" s="6"/>
      <c r="C750" s="19"/>
      <c r="D750" s="23"/>
      <c r="E750" s="9" t="str">
        <f t="shared" si="11"/>
        <v/>
      </c>
      <c r="F750" s="19"/>
      <c r="G750" s="19"/>
    </row>
    <row r="751" spans="1:7" x14ac:dyDescent="0.3">
      <c r="A751" s="20"/>
      <c r="B751" s="6"/>
      <c r="C751" s="19"/>
      <c r="D751" s="23"/>
      <c r="E751" s="9" t="str">
        <f t="shared" si="11"/>
        <v/>
      </c>
      <c r="F751" s="19"/>
      <c r="G751" s="19"/>
    </row>
    <row r="752" spans="1:7" x14ac:dyDescent="0.3">
      <c r="A752" s="20"/>
      <c r="B752" s="6"/>
      <c r="C752" s="19"/>
      <c r="D752" s="23"/>
      <c r="E752" s="9" t="str">
        <f t="shared" si="11"/>
        <v/>
      </c>
      <c r="F752" s="19"/>
      <c r="G752" s="19"/>
    </row>
    <row r="753" spans="1:7" x14ac:dyDescent="0.3">
      <c r="A753" s="20"/>
      <c r="B753" s="6"/>
      <c r="C753" s="19"/>
      <c r="D753" s="23"/>
      <c r="E753" s="9" t="str">
        <f t="shared" si="11"/>
        <v/>
      </c>
      <c r="F753" s="19"/>
      <c r="G753" s="19"/>
    </row>
    <row r="754" spans="1:7" x14ac:dyDescent="0.3">
      <c r="A754" s="20"/>
      <c r="B754" s="6"/>
      <c r="C754" s="19"/>
      <c r="D754" s="23"/>
      <c r="E754" s="9" t="str">
        <f t="shared" si="11"/>
        <v/>
      </c>
      <c r="F754" s="19"/>
      <c r="G754" s="19"/>
    </row>
    <row r="755" spans="1:7" x14ac:dyDescent="0.3">
      <c r="A755" s="20"/>
      <c r="B755" s="6"/>
      <c r="C755" s="19"/>
      <c r="D755" s="23"/>
      <c r="E755" s="9" t="str">
        <f t="shared" si="11"/>
        <v/>
      </c>
      <c r="F755" s="19"/>
      <c r="G755" s="19"/>
    </row>
    <row r="756" spans="1:7" x14ac:dyDescent="0.3">
      <c r="A756" s="20"/>
      <c r="B756" s="6"/>
      <c r="C756" s="19"/>
      <c r="D756" s="23"/>
      <c r="E756" s="9" t="str">
        <f t="shared" si="11"/>
        <v/>
      </c>
      <c r="F756" s="19"/>
      <c r="G756" s="19"/>
    </row>
    <row r="757" spans="1:7" x14ac:dyDescent="0.3">
      <c r="A757" s="20"/>
      <c r="B757" s="6"/>
      <c r="C757" s="19"/>
      <c r="D757" s="23"/>
      <c r="E757" s="9" t="str">
        <f t="shared" si="11"/>
        <v/>
      </c>
      <c r="F757" s="19"/>
      <c r="G757" s="19"/>
    </row>
    <row r="758" spans="1:7" x14ac:dyDescent="0.3">
      <c r="A758" s="20"/>
      <c r="B758" s="6"/>
      <c r="C758" s="19"/>
      <c r="D758" s="23"/>
      <c r="E758" s="9" t="str">
        <f t="shared" si="11"/>
        <v/>
      </c>
      <c r="F758" s="19"/>
      <c r="G758" s="19"/>
    </row>
    <row r="759" spans="1:7" x14ac:dyDescent="0.3">
      <c r="A759" s="20"/>
      <c r="B759" s="6"/>
      <c r="C759" s="19"/>
      <c r="D759" s="23"/>
      <c r="E759" s="9" t="str">
        <f t="shared" si="11"/>
        <v/>
      </c>
      <c r="F759" s="19"/>
      <c r="G759" s="19"/>
    </row>
    <row r="760" spans="1:7" x14ac:dyDescent="0.3">
      <c r="A760" s="20"/>
      <c r="B760" s="6"/>
      <c r="C760" s="19"/>
      <c r="D760" s="23"/>
      <c r="E760" s="9" t="str">
        <f t="shared" si="11"/>
        <v/>
      </c>
      <c r="F760" s="19"/>
      <c r="G760" s="19"/>
    </row>
    <row r="761" spans="1:7" x14ac:dyDescent="0.3">
      <c r="A761" s="20"/>
      <c r="B761" s="6"/>
      <c r="C761" s="19"/>
      <c r="D761" s="23"/>
      <c r="E761" s="9" t="str">
        <f t="shared" si="11"/>
        <v/>
      </c>
      <c r="F761" s="19"/>
      <c r="G761" s="19"/>
    </row>
    <row r="762" spans="1:7" x14ac:dyDescent="0.3">
      <c r="A762" s="20"/>
      <c r="B762" s="6"/>
      <c r="C762" s="19"/>
      <c r="D762" s="23"/>
      <c r="E762" s="9" t="str">
        <f t="shared" si="11"/>
        <v/>
      </c>
      <c r="F762" s="19"/>
      <c r="G762" s="19"/>
    </row>
    <row r="763" spans="1:7" x14ac:dyDescent="0.3">
      <c r="A763" s="20"/>
      <c r="B763" s="6"/>
      <c r="C763" s="19"/>
      <c r="D763" s="23"/>
      <c r="E763" s="9" t="str">
        <f t="shared" si="11"/>
        <v/>
      </c>
      <c r="F763" s="19"/>
      <c r="G763" s="19"/>
    </row>
    <row r="764" spans="1:7" x14ac:dyDescent="0.3">
      <c r="A764" s="20"/>
      <c r="B764" s="6"/>
      <c r="C764" s="19"/>
      <c r="D764" s="23"/>
      <c r="E764" s="9" t="str">
        <f t="shared" si="11"/>
        <v/>
      </c>
      <c r="F764" s="19"/>
      <c r="G764" s="19"/>
    </row>
    <row r="765" spans="1:7" x14ac:dyDescent="0.3">
      <c r="A765" s="20"/>
      <c r="B765" s="6"/>
      <c r="C765" s="19"/>
      <c r="D765" s="23"/>
      <c r="E765" s="9" t="str">
        <f t="shared" si="11"/>
        <v/>
      </c>
      <c r="F765" s="19"/>
      <c r="G765" s="19"/>
    </row>
    <row r="766" spans="1:7" x14ac:dyDescent="0.3">
      <c r="A766" s="20"/>
      <c r="B766" s="6"/>
      <c r="C766" s="19"/>
      <c r="D766" s="23"/>
      <c r="E766" s="9" t="str">
        <f t="shared" si="11"/>
        <v/>
      </c>
      <c r="F766" s="19"/>
      <c r="G766" s="19"/>
    </row>
    <row r="767" spans="1:7" x14ac:dyDescent="0.3">
      <c r="A767" s="20"/>
      <c r="B767" s="6"/>
      <c r="C767" s="19"/>
      <c r="D767" s="23"/>
      <c r="E767" s="9" t="str">
        <f t="shared" si="11"/>
        <v/>
      </c>
      <c r="F767" s="19"/>
      <c r="G767" s="19"/>
    </row>
    <row r="768" spans="1:7" x14ac:dyDescent="0.3">
      <c r="A768" s="20"/>
      <c r="B768" s="6"/>
      <c r="C768" s="19"/>
      <c r="D768" s="23"/>
      <c r="E768" s="9" t="str">
        <f t="shared" si="11"/>
        <v/>
      </c>
      <c r="F768" s="19"/>
      <c r="G768" s="19"/>
    </row>
    <row r="769" spans="1:7" x14ac:dyDescent="0.3">
      <c r="A769" s="20"/>
      <c r="B769" s="6"/>
      <c r="C769" s="19"/>
      <c r="D769" s="23"/>
      <c r="E769" s="9" t="str">
        <f t="shared" si="11"/>
        <v/>
      </c>
      <c r="F769" s="19"/>
      <c r="G769" s="19"/>
    </row>
    <row r="770" spans="1:7" x14ac:dyDescent="0.3">
      <c r="A770" s="20"/>
      <c r="B770" s="6"/>
      <c r="C770" s="19"/>
      <c r="D770" s="23"/>
      <c r="E770" s="9" t="str">
        <f t="shared" ref="E770:E833" si="12">IF($B770="","",$C770*$D770)</f>
        <v/>
      </c>
      <c r="F770" s="19"/>
      <c r="G770" s="19"/>
    </row>
    <row r="771" spans="1:7" x14ac:dyDescent="0.3">
      <c r="A771" s="20"/>
      <c r="B771" s="6"/>
      <c r="C771" s="19"/>
      <c r="D771" s="23"/>
      <c r="E771" s="9" t="str">
        <f t="shared" si="12"/>
        <v/>
      </c>
      <c r="F771" s="19"/>
      <c r="G771" s="19"/>
    </row>
    <row r="772" spans="1:7" x14ac:dyDescent="0.3">
      <c r="A772" s="20"/>
      <c r="B772" s="6"/>
      <c r="C772" s="19"/>
      <c r="D772" s="23"/>
      <c r="E772" s="9" t="str">
        <f t="shared" si="12"/>
        <v/>
      </c>
      <c r="F772" s="19"/>
      <c r="G772" s="19"/>
    </row>
    <row r="773" spans="1:7" x14ac:dyDescent="0.3">
      <c r="A773" s="20"/>
      <c r="B773" s="6"/>
      <c r="C773" s="19"/>
      <c r="D773" s="23"/>
      <c r="E773" s="9" t="str">
        <f t="shared" si="12"/>
        <v/>
      </c>
      <c r="F773" s="19"/>
      <c r="G773" s="19"/>
    </row>
    <row r="774" spans="1:7" x14ac:dyDescent="0.3">
      <c r="A774" s="20"/>
      <c r="B774" s="6"/>
      <c r="C774" s="19"/>
      <c r="D774" s="23"/>
      <c r="E774" s="9" t="str">
        <f t="shared" si="12"/>
        <v/>
      </c>
      <c r="F774" s="19"/>
      <c r="G774" s="19"/>
    </row>
    <row r="775" spans="1:7" x14ac:dyDescent="0.3">
      <c r="A775" s="20"/>
      <c r="B775" s="6"/>
      <c r="C775" s="19"/>
      <c r="D775" s="23"/>
      <c r="E775" s="9" t="str">
        <f t="shared" si="12"/>
        <v/>
      </c>
      <c r="F775" s="19"/>
      <c r="G775" s="19"/>
    </row>
    <row r="776" spans="1:7" x14ac:dyDescent="0.3">
      <c r="A776" s="20"/>
      <c r="B776" s="6"/>
      <c r="C776" s="19"/>
      <c r="D776" s="23"/>
      <c r="E776" s="9" t="str">
        <f t="shared" si="12"/>
        <v/>
      </c>
      <c r="F776" s="19"/>
      <c r="G776" s="19"/>
    </row>
    <row r="777" spans="1:7" x14ac:dyDescent="0.3">
      <c r="A777" s="20"/>
      <c r="B777" s="6"/>
      <c r="C777" s="19"/>
      <c r="D777" s="23"/>
      <c r="E777" s="9" t="str">
        <f t="shared" si="12"/>
        <v/>
      </c>
      <c r="F777" s="19"/>
      <c r="G777" s="19"/>
    </row>
    <row r="778" spans="1:7" x14ac:dyDescent="0.3">
      <c r="A778" s="20"/>
      <c r="B778" s="6"/>
      <c r="C778" s="19"/>
      <c r="D778" s="23"/>
      <c r="E778" s="9" t="str">
        <f t="shared" si="12"/>
        <v/>
      </c>
      <c r="F778" s="19"/>
      <c r="G778" s="19"/>
    </row>
    <row r="779" spans="1:7" x14ac:dyDescent="0.3">
      <c r="A779" s="20"/>
      <c r="B779" s="6"/>
      <c r="C779" s="19"/>
      <c r="D779" s="23"/>
      <c r="E779" s="9" t="str">
        <f t="shared" si="12"/>
        <v/>
      </c>
      <c r="F779" s="19"/>
      <c r="G779" s="19"/>
    </row>
    <row r="780" spans="1:7" x14ac:dyDescent="0.3">
      <c r="A780" s="20"/>
      <c r="B780" s="6"/>
      <c r="C780" s="19"/>
      <c r="D780" s="23"/>
      <c r="E780" s="9" t="str">
        <f t="shared" si="12"/>
        <v/>
      </c>
      <c r="F780" s="19"/>
      <c r="G780" s="19"/>
    </row>
    <row r="781" spans="1:7" x14ac:dyDescent="0.3">
      <c r="A781" s="20"/>
      <c r="B781" s="6"/>
      <c r="C781" s="19"/>
      <c r="D781" s="23"/>
      <c r="E781" s="9" t="str">
        <f t="shared" si="12"/>
        <v/>
      </c>
      <c r="F781" s="19"/>
      <c r="G781" s="19"/>
    </row>
    <row r="782" spans="1:7" x14ac:dyDescent="0.3">
      <c r="A782" s="20"/>
      <c r="B782" s="6"/>
      <c r="C782" s="19"/>
      <c r="D782" s="23"/>
      <c r="E782" s="9" t="str">
        <f t="shared" si="12"/>
        <v/>
      </c>
      <c r="F782" s="19"/>
      <c r="G782" s="19"/>
    </row>
    <row r="783" spans="1:7" x14ac:dyDescent="0.3">
      <c r="A783" s="20"/>
      <c r="B783" s="6"/>
      <c r="C783" s="19"/>
      <c r="D783" s="23"/>
      <c r="E783" s="9" t="str">
        <f t="shared" si="12"/>
        <v/>
      </c>
      <c r="F783" s="19"/>
      <c r="G783" s="19"/>
    </row>
    <row r="784" spans="1:7" x14ac:dyDescent="0.3">
      <c r="A784" s="20"/>
      <c r="B784" s="6"/>
      <c r="C784" s="19"/>
      <c r="D784" s="23"/>
      <c r="E784" s="9" t="str">
        <f t="shared" si="12"/>
        <v/>
      </c>
      <c r="F784" s="19"/>
      <c r="G784" s="19"/>
    </row>
    <row r="785" spans="1:7" x14ac:dyDescent="0.3">
      <c r="A785" s="20"/>
      <c r="B785" s="6"/>
      <c r="C785" s="19"/>
      <c r="D785" s="23"/>
      <c r="E785" s="9" t="str">
        <f t="shared" si="12"/>
        <v/>
      </c>
      <c r="F785" s="19"/>
      <c r="G785" s="19"/>
    </row>
    <row r="786" spans="1:7" x14ac:dyDescent="0.3">
      <c r="A786" s="20"/>
      <c r="B786" s="6"/>
      <c r="C786" s="19"/>
      <c r="D786" s="23"/>
      <c r="E786" s="9" t="str">
        <f t="shared" si="12"/>
        <v/>
      </c>
      <c r="F786" s="19"/>
      <c r="G786" s="19"/>
    </row>
    <row r="787" spans="1:7" x14ac:dyDescent="0.3">
      <c r="A787" s="20"/>
      <c r="B787" s="6"/>
      <c r="C787" s="19"/>
      <c r="D787" s="23"/>
      <c r="E787" s="9" t="str">
        <f t="shared" si="12"/>
        <v/>
      </c>
      <c r="F787" s="19"/>
      <c r="G787" s="19"/>
    </row>
    <row r="788" spans="1:7" x14ac:dyDescent="0.3">
      <c r="A788" s="20"/>
      <c r="B788" s="6"/>
      <c r="C788" s="19"/>
      <c r="D788" s="23"/>
      <c r="E788" s="9" t="str">
        <f t="shared" si="12"/>
        <v/>
      </c>
      <c r="F788" s="19"/>
      <c r="G788" s="19"/>
    </row>
    <row r="789" spans="1:7" x14ac:dyDescent="0.3">
      <c r="A789" s="20"/>
      <c r="B789" s="6"/>
      <c r="C789" s="19"/>
      <c r="D789" s="23"/>
      <c r="E789" s="9" t="str">
        <f t="shared" si="12"/>
        <v/>
      </c>
      <c r="F789" s="19"/>
      <c r="G789" s="19"/>
    </row>
    <row r="790" spans="1:7" x14ac:dyDescent="0.3">
      <c r="A790" s="20"/>
      <c r="B790" s="6"/>
      <c r="C790" s="19"/>
      <c r="D790" s="23"/>
      <c r="E790" s="9" t="str">
        <f t="shared" si="12"/>
        <v/>
      </c>
      <c r="F790" s="19"/>
      <c r="G790" s="19"/>
    </row>
    <row r="791" spans="1:7" x14ac:dyDescent="0.3">
      <c r="A791" s="20"/>
      <c r="B791" s="6"/>
      <c r="C791" s="19"/>
      <c r="D791" s="23"/>
      <c r="E791" s="9" t="str">
        <f t="shared" si="12"/>
        <v/>
      </c>
      <c r="F791" s="19"/>
      <c r="G791" s="19"/>
    </row>
    <row r="792" spans="1:7" x14ac:dyDescent="0.3">
      <c r="A792" s="20"/>
      <c r="B792" s="6"/>
      <c r="C792" s="19"/>
      <c r="D792" s="23"/>
      <c r="E792" s="9" t="str">
        <f t="shared" si="12"/>
        <v/>
      </c>
      <c r="F792" s="19"/>
      <c r="G792" s="19"/>
    </row>
    <row r="793" spans="1:7" x14ac:dyDescent="0.3">
      <c r="A793" s="20"/>
      <c r="B793" s="6"/>
      <c r="C793" s="19"/>
      <c r="D793" s="23"/>
      <c r="E793" s="9" t="str">
        <f t="shared" si="12"/>
        <v/>
      </c>
      <c r="F793" s="19"/>
      <c r="G793" s="19"/>
    </row>
    <row r="794" spans="1:7" x14ac:dyDescent="0.3">
      <c r="A794" s="20"/>
      <c r="B794" s="6"/>
      <c r="C794" s="19"/>
      <c r="D794" s="23"/>
      <c r="E794" s="9" t="str">
        <f t="shared" si="12"/>
        <v/>
      </c>
      <c r="F794" s="19"/>
      <c r="G794" s="19"/>
    </row>
    <row r="795" spans="1:7" x14ac:dyDescent="0.3">
      <c r="A795" s="20"/>
      <c r="B795" s="6"/>
      <c r="C795" s="19"/>
      <c r="D795" s="23"/>
      <c r="E795" s="9" t="str">
        <f t="shared" si="12"/>
        <v/>
      </c>
      <c r="F795" s="19"/>
      <c r="G795" s="19"/>
    </row>
    <row r="796" spans="1:7" x14ac:dyDescent="0.3">
      <c r="A796" s="20"/>
      <c r="B796" s="6"/>
      <c r="C796" s="19"/>
      <c r="D796" s="23"/>
      <c r="E796" s="9" t="str">
        <f t="shared" si="12"/>
        <v/>
      </c>
      <c r="F796" s="19"/>
      <c r="G796" s="19"/>
    </row>
    <row r="797" spans="1:7" x14ac:dyDescent="0.3">
      <c r="A797" s="20"/>
      <c r="B797" s="6"/>
      <c r="C797" s="19"/>
      <c r="D797" s="23"/>
      <c r="E797" s="9" t="str">
        <f t="shared" si="12"/>
        <v/>
      </c>
      <c r="F797" s="19"/>
      <c r="G797" s="19"/>
    </row>
    <row r="798" spans="1:7" x14ac:dyDescent="0.3">
      <c r="A798" s="20"/>
      <c r="B798" s="6"/>
      <c r="C798" s="19"/>
      <c r="D798" s="23"/>
      <c r="E798" s="9" t="str">
        <f t="shared" si="12"/>
        <v/>
      </c>
      <c r="F798" s="19"/>
      <c r="G798" s="19"/>
    </row>
    <row r="799" spans="1:7" x14ac:dyDescent="0.3">
      <c r="A799" s="20"/>
      <c r="B799" s="6"/>
      <c r="C799" s="19"/>
      <c r="D799" s="23"/>
      <c r="E799" s="9" t="str">
        <f t="shared" si="12"/>
        <v/>
      </c>
      <c r="F799" s="19"/>
      <c r="G799" s="19"/>
    </row>
    <row r="800" spans="1:7" x14ac:dyDescent="0.3">
      <c r="A800" s="20"/>
      <c r="B800" s="6"/>
      <c r="C800" s="19"/>
      <c r="D800" s="23"/>
      <c r="E800" s="9" t="str">
        <f t="shared" si="12"/>
        <v/>
      </c>
      <c r="F800" s="19"/>
      <c r="G800" s="19"/>
    </row>
    <row r="801" spans="1:7" x14ac:dyDescent="0.3">
      <c r="A801" s="20"/>
      <c r="B801" s="6"/>
      <c r="C801" s="19"/>
      <c r="D801" s="23"/>
      <c r="E801" s="9" t="str">
        <f t="shared" si="12"/>
        <v/>
      </c>
      <c r="F801" s="19"/>
      <c r="G801" s="19"/>
    </row>
    <row r="802" spans="1:7" x14ac:dyDescent="0.3">
      <c r="A802" s="20"/>
      <c r="B802" s="6"/>
      <c r="C802" s="19"/>
      <c r="D802" s="23"/>
      <c r="E802" s="9" t="str">
        <f t="shared" si="12"/>
        <v/>
      </c>
      <c r="F802" s="19"/>
      <c r="G802" s="19"/>
    </row>
    <row r="803" spans="1:7" x14ac:dyDescent="0.3">
      <c r="A803" s="20"/>
      <c r="B803" s="6"/>
      <c r="C803" s="19"/>
      <c r="D803" s="23"/>
      <c r="E803" s="9" t="str">
        <f t="shared" si="12"/>
        <v/>
      </c>
      <c r="F803" s="19"/>
      <c r="G803" s="19"/>
    </row>
    <row r="804" spans="1:7" x14ac:dyDescent="0.3">
      <c r="A804" s="20"/>
      <c r="B804" s="6"/>
      <c r="C804" s="19"/>
      <c r="D804" s="23"/>
      <c r="E804" s="9" t="str">
        <f t="shared" si="12"/>
        <v/>
      </c>
      <c r="F804" s="19"/>
      <c r="G804" s="19"/>
    </row>
    <row r="805" spans="1:7" x14ac:dyDescent="0.3">
      <c r="A805" s="20"/>
      <c r="B805" s="6"/>
      <c r="C805" s="19"/>
      <c r="D805" s="23"/>
      <c r="E805" s="9" t="str">
        <f t="shared" si="12"/>
        <v/>
      </c>
      <c r="F805" s="19"/>
      <c r="G805" s="19"/>
    </row>
    <row r="806" spans="1:7" x14ac:dyDescent="0.3">
      <c r="A806" s="20"/>
      <c r="B806" s="6"/>
      <c r="C806" s="19"/>
      <c r="D806" s="23"/>
      <c r="E806" s="9" t="str">
        <f t="shared" si="12"/>
        <v/>
      </c>
      <c r="F806" s="19"/>
      <c r="G806" s="19"/>
    </row>
    <row r="807" spans="1:7" x14ac:dyDescent="0.3">
      <c r="A807" s="20"/>
      <c r="B807" s="6"/>
      <c r="C807" s="19"/>
      <c r="D807" s="23"/>
      <c r="E807" s="9" t="str">
        <f t="shared" si="12"/>
        <v/>
      </c>
      <c r="F807" s="19"/>
      <c r="G807" s="19"/>
    </row>
    <row r="808" spans="1:7" x14ac:dyDescent="0.3">
      <c r="A808" s="20"/>
      <c r="B808" s="6"/>
      <c r="C808" s="19"/>
      <c r="D808" s="23"/>
      <c r="E808" s="9" t="str">
        <f t="shared" si="12"/>
        <v/>
      </c>
      <c r="F808" s="19"/>
      <c r="G808" s="19"/>
    </row>
    <row r="809" spans="1:7" x14ac:dyDescent="0.3">
      <c r="A809" s="20"/>
      <c r="B809" s="6"/>
      <c r="C809" s="19"/>
      <c r="D809" s="23"/>
      <c r="E809" s="9" t="str">
        <f t="shared" si="12"/>
        <v/>
      </c>
      <c r="F809" s="19"/>
      <c r="G809" s="19"/>
    </row>
    <row r="810" spans="1:7" x14ac:dyDescent="0.3">
      <c r="A810" s="20"/>
      <c r="B810" s="6"/>
      <c r="C810" s="19"/>
      <c r="D810" s="23"/>
      <c r="E810" s="9" t="str">
        <f t="shared" si="12"/>
        <v/>
      </c>
      <c r="F810" s="19"/>
      <c r="G810" s="19"/>
    </row>
    <row r="811" spans="1:7" x14ac:dyDescent="0.3">
      <c r="A811" s="20"/>
      <c r="B811" s="6"/>
      <c r="C811" s="19"/>
      <c r="D811" s="23"/>
      <c r="E811" s="9" t="str">
        <f t="shared" si="12"/>
        <v/>
      </c>
      <c r="F811" s="19"/>
      <c r="G811" s="19"/>
    </row>
    <row r="812" spans="1:7" x14ac:dyDescent="0.3">
      <c r="A812" s="20"/>
      <c r="B812" s="6"/>
      <c r="C812" s="19"/>
      <c r="D812" s="23"/>
      <c r="E812" s="9" t="str">
        <f t="shared" si="12"/>
        <v/>
      </c>
      <c r="F812" s="19"/>
      <c r="G812" s="19"/>
    </row>
    <row r="813" spans="1:7" x14ac:dyDescent="0.3">
      <c r="A813" s="20"/>
      <c r="B813" s="6"/>
      <c r="C813" s="19"/>
      <c r="D813" s="23"/>
      <c r="E813" s="9" t="str">
        <f t="shared" si="12"/>
        <v/>
      </c>
      <c r="F813" s="19"/>
      <c r="G813" s="19"/>
    </row>
    <row r="814" spans="1:7" x14ac:dyDescent="0.3">
      <c r="A814" s="20"/>
      <c r="B814" s="6"/>
      <c r="C814" s="19"/>
      <c r="D814" s="23"/>
      <c r="E814" s="9" t="str">
        <f t="shared" si="12"/>
        <v/>
      </c>
      <c r="F814" s="19"/>
      <c r="G814" s="19"/>
    </row>
    <row r="815" spans="1:7" x14ac:dyDescent="0.3">
      <c r="A815" s="20"/>
      <c r="B815" s="6"/>
      <c r="C815" s="19"/>
      <c r="D815" s="23"/>
      <c r="E815" s="9" t="str">
        <f t="shared" si="12"/>
        <v/>
      </c>
      <c r="F815" s="19"/>
      <c r="G815" s="19"/>
    </row>
    <row r="816" spans="1:7" x14ac:dyDescent="0.3">
      <c r="A816" s="20"/>
      <c r="B816" s="6"/>
      <c r="C816" s="19"/>
      <c r="D816" s="23"/>
      <c r="E816" s="9" t="str">
        <f t="shared" si="12"/>
        <v/>
      </c>
      <c r="F816" s="19"/>
      <c r="G816" s="19"/>
    </row>
    <row r="817" spans="1:7" x14ac:dyDescent="0.3">
      <c r="A817" s="20"/>
      <c r="B817" s="6"/>
      <c r="C817" s="19"/>
      <c r="D817" s="23"/>
      <c r="E817" s="9" t="str">
        <f t="shared" si="12"/>
        <v/>
      </c>
      <c r="F817" s="19"/>
      <c r="G817" s="19"/>
    </row>
    <row r="818" spans="1:7" x14ac:dyDescent="0.3">
      <c r="A818" s="20"/>
      <c r="B818" s="6"/>
      <c r="C818" s="19"/>
      <c r="D818" s="23"/>
      <c r="E818" s="9" t="str">
        <f t="shared" si="12"/>
        <v/>
      </c>
      <c r="F818" s="19"/>
      <c r="G818" s="19"/>
    </row>
    <row r="819" spans="1:7" x14ac:dyDescent="0.3">
      <c r="A819" s="20"/>
      <c r="B819" s="6"/>
      <c r="C819" s="19"/>
      <c r="D819" s="23"/>
      <c r="E819" s="9" t="str">
        <f t="shared" si="12"/>
        <v/>
      </c>
      <c r="F819" s="19"/>
      <c r="G819" s="19"/>
    </row>
    <row r="820" spans="1:7" x14ac:dyDescent="0.3">
      <c r="A820" s="20"/>
      <c r="B820" s="6"/>
      <c r="C820" s="19"/>
      <c r="D820" s="23"/>
      <c r="E820" s="9" t="str">
        <f t="shared" si="12"/>
        <v/>
      </c>
      <c r="F820" s="19"/>
      <c r="G820" s="19"/>
    </row>
    <row r="821" spans="1:7" x14ac:dyDescent="0.3">
      <c r="A821" s="20"/>
      <c r="B821" s="6"/>
      <c r="C821" s="19"/>
      <c r="D821" s="23"/>
      <c r="E821" s="9" t="str">
        <f t="shared" si="12"/>
        <v/>
      </c>
      <c r="F821" s="19"/>
      <c r="G821" s="19"/>
    </row>
    <row r="822" spans="1:7" x14ac:dyDescent="0.3">
      <c r="A822" s="20"/>
      <c r="B822" s="6"/>
      <c r="C822" s="19"/>
      <c r="D822" s="23"/>
      <c r="E822" s="9" t="str">
        <f t="shared" si="12"/>
        <v/>
      </c>
      <c r="F822" s="19"/>
      <c r="G822" s="19"/>
    </row>
    <row r="823" spans="1:7" x14ac:dyDescent="0.3">
      <c r="A823" s="20"/>
      <c r="B823" s="6"/>
      <c r="C823" s="19"/>
      <c r="D823" s="23"/>
      <c r="E823" s="9" t="str">
        <f t="shared" si="12"/>
        <v/>
      </c>
      <c r="F823" s="19"/>
      <c r="G823" s="19"/>
    </row>
    <row r="824" spans="1:7" x14ac:dyDescent="0.3">
      <c r="A824" s="20"/>
      <c r="B824" s="6"/>
      <c r="C824" s="19"/>
      <c r="D824" s="23"/>
      <c r="E824" s="9" t="str">
        <f t="shared" si="12"/>
        <v/>
      </c>
      <c r="F824" s="19"/>
      <c r="G824" s="19"/>
    </row>
    <row r="825" spans="1:7" x14ac:dyDescent="0.3">
      <c r="A825" s="20"/>
      <c r="B825" s="6"/>
      <c r="C825" s="19"/>
      <c r="D825" s="23"/>
      <c r="E825" s="9" t="str">
        <f t="shared" si="12"/>
        <v/>
      </c>
      <c r="F825" s="19"/>
      <c r="G825" s="19"/>
    </row>
    <row r="826" spans="1:7" x14ac:dyDescent="0.3">
      <c r="A826" s="20"/>
      <c r="B826" s="6"/>
      <c r="C826" s="19"/>
      <c r="D826" s="23"/>
      <c r="E826" s="9" t="str">
        <f t="shared" si="12"/>
        <v/>
      </c>
      <c r="F826" s="19"/>
      <c r="G826" s="19"/>
    </row>
    <row r="827" spans="1:7" x14ac:dyDescent="0.3">
      <c r="A827" s="20"/>
      <c r="B827" s="6"/>
      <c r="C827" s="19"/>
      <c r="D827" s="23"/>
      <c r="E827" s="9" t="str">
        <f t="shared" si="12"/>
        <v/>
      </c>
      <c r="F827" s="19"/>
      <c r="G827" s="19"/>
    </row>
    <row r="828" spans="1:7" x14ac:dyDescent="0.3">
      <c r="A828" s="20"/>
      <c r="B828" s="6"/>
      <c r="C828" s="19"/>
      <c r="D828" s="23"/>
      <c r="E828" s="9" t="str">
        <f t="shared" si="12"/>
        <v/>
      </c>
      <c r="F828" s="19"/>
      <c r="G828" s="19"/>
    </row>
    <row r="829" spans="1:7" x14ac:dyDescent="0.3">
      <c r="A829" s="20"/>
      <c r="B829" s="6"/>
      <c r="C829" s="19"/>
      <c r="D829" s="23"/>
      <c r="E829" s="9" t="str">
        <f t="shared" si="12"/>
        <v/>
      </c>
      <c r="F829" s="19"/>
      <c r="G829" s="19"/>
    </row>
    <row r="830" spans="1:7" x14ac:dyDescent="0.3">
      <c r="A830" s="20"/>
      <c r="B830" s="6"/>
      <c r="C830" s="19"/>
      <c r="D830" s="23"/>
      <c r="E830" s="9" t="str">
        <f t="shared" si="12"/>
        <v/>
      </c>
      <c r="F830" s="19"/>
      <c r="G830" s="19"/>
    </row>
    <row r="831" spans="1:7" x14ac:dyDescent="0.3">
      <c r="A831" s="20"/>
      <c r="B831" s="6"/>
      <c r="C831" s="19"/>
      <c r="D831" s="23"/>
      <c r="E831" s="9" t="str">
        <f t="shared" si="12"/>
        <v/>
      </c>
      <c r="F831" s="19"/>
      <c r="G831" s="19"/>
    </row>
    <row r="832" spans="1:7" x14ac:dyDescent="0.3">
      <c r="A832" s="20"/>
      <c r="B832" s="6"/>
      <c r="C832" s="19"/>
      <c r="D832" s="23"/>
      <c r="E832" s="9" t="str">
        <f t="shared" si="12"/>
        <v/>
      </c>
      <c r="F832" s="19"/>
      <c r="G832" s="19"/>
    </row>
    <row r="833" spans="1:7" x14ac:dyDescent="0.3">
      <c r="A833" s="20"/>
      <c r="B833" s="6"/>
      <c r="C833" s="19"/>
      <c r="D833" s="23"/>
      <c r="E833" s="9" t="str">
        <f t="shared" si="12"/>
        <v/>
      </c>
      <c r="F833" s="19"/>
      <c r="G833" s="19"/>
    </row>
    <row r="834" spans="1:7" x14ac:dyDescent="0.3">
      <c r="A834" s="20"/>
      <c r="B834" s="6"/>
      <c r="C834" s="19"/>
      <c r="D834" s="23"/>
      <c r="E834" s="9" t="str">
        <f t="shared" ref="E834:E897" si="13">IF($B834="","",$C834*$D834)</f>
        <v/>
      </c>
      <c r="F834" s="19"/>
      <c r="G834" s="19"/>
    </row>
    <row r="835" spans="1:7" x14ac:dyDescent="0.3">
      <c r="A835" s="20"/>
      <c r="B835" s="6"/>
      <c r="C835" s="19"/>
      <c r="D835" s="23"/>
      <c r="E835" s="9" t="str">
        <f t="shared" si="13"/>
        <v/>
      </c>
      <c r="F835" s="19"/>
      <c r="G835" s="19"/>
    </row>
    <row r="836" spans="1:7" x14ac:dyDescent="0.3">
      <c r="A836" s="20"/>
      <c r="B836" s="6"/>
      <c r="C836" s="19"/>
      <c r="D836" s="23"/>
      <c r="E836" s="9" t="str">
        <f t="shared" si="13"/>
        <v/>
      </c>
      <c r="F836" s="19"/>
      <c r="G836" s="19"/>
    </row>
    <row r="837" spans="1:7" x14ac:dyDescent="0.3">
      <c r="A837" s="20"/>
      <c r="B837" s="6"/>
      <c r="C837" s="19"/>
      <c r="D837" s="23"/>
      <c r="E837" s="9" t="str">
        <f t="shared" si="13"/>
        <v/>
      </c>
      <c r="F837" s="19"/>
      <c r="G837" s="19"/>
    </row>
    <row r="838" spans="1:7" x14ac:dyDescent="0.3">
      <c r="A838" s="20"/>
      <c r="B838" s="6"/>
      <c r="C838" s="19"/>
      <c r="D838" s="23"/>
      <c r="E838" s="9" t="str">
        <f t="shared" si="13"/>
        <v/>
      </c>
      <c r="F838" s="19"/>
      <c r="G838" s="19"/>
    </row>
    <row r="839" spans="1:7" x14ac:dyDescent="0.3">
      <c r="A839" s="20"/>
      <c r="B839" s="6"/>
      <c r="C839" s="19"/>
      <c r="D839" s="23"/>
      <c r="E839" s="9" t="str">
        <f t="shared" si="13"/>
        <v/>
      </c>
      <c r="F839" s="19"/>
      <c r="G839" s="19"/>
    </row>
    <row r="840" spans="1:7" x14ac:dyDescent="0.3">
      <c r="A840" s="20"/>
      <c r="B840" s="6"/>
      <c r="C840" s="19"/>
      <c r="D840" s="23"/>
      <c r="E840" s="9" t="str">
        <f t="shared" si="13"/>
        <v/>
      </c>
      <c r="F840" s="19"/>
      <c r="G840" s="19"/>
    </row>
    <row r="841" spans="1:7" x14ac:dyDescent="0.3">
      <c r="A841" s="20"/>
      <c r="B841" s="6"/>
      <c r="C841" s="19"/>
      <c r="D841" s="23"/>
      <c r="E841" s="9" t="str">
        <f t="shared" si="13"/>
        <v/>
      </c>
      <c r="F841" s="19"/>
      <c r="G841" s="19"/>
    </row>
    <row r="842" spans="1:7" x14ac:dyDescent="0.3">
      <c r="A842" s="20"/>
      <c r="B842" s="6"/>
      <c r="C842" s="19"/>
      <c r="D842" s="23"/>
      <c r="E842" s="9" t="str">
        <f t="shared" si="13"/>
        <v/>
      </c>
      <c r="F842" s="19"/>
      <c r="G842" s="19"/>
    </row>
    <row r="843" spans="1:7" x14ac:dyDescent="0.3">
      <c r="A843" s="20"/>
      <c r="B843" s="6"/>
      <c r="C843" s="19"/>
      <c r="D843" s="23"/>
      <c r="E843" s="9" t="str">
        <f t="shared" si="13"/>
        <v/>
      </c>
      <c r="F843" s="19"/>
      <c r="G843" s="19"/>
    </row>
    <row r="844" spans="1:7" x14ac:dyDescent="0.3">
      <c r="A844" s="20"/>
      <c r="B844" s="6"/>
      <c r="C844" s="19"/>
      <c r="D844" s="23"/>
      <c r="E844" s="9" t="str">
        <f t="shared" si="13"/>
        <v/>
      </c>
      <c r="F844" s="19"/>
      <c r="G844" s="19"/>
    </row>
    <row r="845" spans="1:7" x14ac:dyDescent="0.3">
      <c r="A845" s="20"/>
      <c r="B845" s="6"/>
      <c r="C845" s="19"/>
      <c r="D845" s="23"/>
      <c r="E845" s="9" t="str">
        <f t="shared" si="13"/>
        <v/>
      </c>
      <c r="F845" s="19"/>
      <c r="G845" s="19"/>
    </row>
    <row r="846" spans="1:7" x14ac:dyDescent="0.3">
      <c r="A846" s="20"/>
      <c r="B846" s="6"/>
      <c r="C846" s="19"/>
      <c r="D846" s="23"/>
      <c r="E846" s="9" t="str">
        <f t="shared" si="13"/>
        <v/>
      </c>
      <c r="F846" s="19"/>
      <c r="G846" s="19"/>
    </row>
    <row r="847" spans="1:7" x14ac:dyDescent="0.3">
      <c r="A847" s="20"/>
      <c r="B847" s="6"/>
      <c r="C847" s="19"/>
      <c r="D847" s="23"/>
      <c r="E847" s="9" t="str">
        <f t="shared" si="13"/>
        <v/>
      </c>
      <c r="F847" s="19"/>
      <c r="G847" s="19"/>
    </row>
    <row r="848" spans="1:7" x14ac:dyDescent="0.3">
      <c r="A848" s="20"/>
      <c r="B848" s="6"/>
      <c r="C848" s="19"/>
      <c r="D848" s="23"/>
      <c r="E848" s="9" t="str">
        <f t="shared" si="13"/>
        <v/>
      </c>
      <c r="F848" s="19"/>
      <c r="G848" s="19"/>
    </row>
    <row r="849" spans="1:7" x14ac:dyDescent="0.3">
      <c r="A849" s="20"/>
      <c r="B849" s="6"/>
      <c r="C849" s="19"/>
      <c r="D849" s="23"/>
      <c r="E849" s="9" t="str">
        <f t="shared" si="13"/>
        <v/>
      </c>
      <c r="F849" s="19"/>
      <c r="G849" s="19"/>
    </row>
    <row r="850" spans="1:7" x14ac:dyDescent="0.3">
      <c r="A850" s="20"/>
      <c r="B850" s="6"/>
      <c r="C850" s="19"/>
      <c r="D850" s="23"/>
      <c r="E850" s="9" t="str">
        <f t="shared" si="13"/>
        <v/>
      </c>
      <c r="F850" s="19"/>
      <c r="G850" s="19"/>
    </row>
    <row r="851" spans="1:7" x14ac:dyDescent="0.3">
      <c r="A851" s="20"/>
      <c r="B851" s="6"/>
      <c r="C851" s="19"/>
      <c r="D851" s="23"/>
      <c r="E851" s="9" t="str">
        <f t="shared" si="13"/>
        <v/>
      </c>
      <c r="F851" s="19"/>
      <c r="G851" s="19"/>
    </row>
    <row r="852" spans="1:7" x14ac:dyDescent="0.3">
      <c r="A852" s="20"/>
      <c r="B852" s="6"/>
      <c r="C852" s="19"/>
      <c r="D852" s="23"/>
      <c r="E852" s="9" t="str">
        <f t="shared" si="13"/>
        <v/>
      </c>
      <c r="F852" s="19"/>
      <c r="G852" s="19"/>
    </row>
    <row r="853" spans="1:7" x14ac:dyDescent="0.3">
      <c r="A853" s="20"/>
      <c r="B853" s="6"/>
      <c r="C853" s="19"/>
      <c r="D853" s="23"/>
      <c r="E853" s="9" t="str">
        <f t="shared" si="13"/>
        <v/>
      </c>
      <c r="F853" s="19"/>
      <c r="G853" s="19"/>
    </row>
    <row r="854" spans="1:7" x14ac:dyDescent="0.3">
      <c r="A854" s="20"/>
      <c r="B854" s="6"/>
      <c r="C854" s="19"/>
      <c r="D854" s="23"/>
      <c r="E854" s="9" t="str">
        <f t="shared" si="13"/>
        <v/>
      </c>
      <c r="F854" s="19"/>
      <c r="G854" s="19"/>
    </row>
    <row r="855" spans="1:7" x14ac:dyDescent="0.3">
      <c r="A855" s="20"/>
      <c r="B855" s="6"/>
      <c r="C855" s="19"/>
      <c r="D855" s="23"/>
      <c r="E855" s="9" t="str">
        <f t="shared" si="13"/>
        <v/>
      </c>
      <c r="F855" s="19"/>
      <c r="G855" s="19"/>
    </row>
    <row r="856" spans="1:7" x14ac:dyDescent="0.3">
      <c r="A856" s="20"/>
      <c r="B856" s="6"/>
      <c r="C856" s="19"/>
      <c r="D856" s="23"/>
      <c r="E856" s="9" t="str">
        <f t="shared" si="13"/>
        <v/>
      </c>
      <c r="F856" s="19"/>
      <c r="G856" s="19"/>
    </row>
    <row r="857" spans="1:7" x14ac:dyDescent="0.3">
      <c r="A857" s="20"/>
      <c r="B857" s="6"/>
      <c r="C857" s="19"/>
      <c r="D857" s="23"/>
      <c r="E857" s="9" t="str">
        <f t="shared" si="13"/>
        <v/>
      </c>
      <c r="F857" s="19"/>
      <c r="G857" s="19"/>
    </row>
    <row r="858" spans="1:7" x14ac:dyDescent="0.3">
      <c r="A858" s="20"/>
      <c r="B858" s="6"/>
      <c r="C858" s="19"/>
      <c r="D858" s="23"/>
      <c r="E858" s="9" t="str">
        <f t="shared" si="13"/>
        <v/>
      </c>
      <c r="F858" s="19"/>
      <c r="G858" s="19"/>
    </row>
    <row r="859" spans="1:7" x14ac:dyDescent="0.3">
      <c r="A859" s="20"/>
      <c r="B859" s="6"/>
      <c r="C859" s="19"/>
      <c r="D859" s="23"/>
      <c r="E859" s="9" t="str">
        <f t="shared" si="13"/>
        <v/>
      </c>
      <c r="F859" s="19"/>
      <c r="G859" s="19"/>
    </row>
    <row r="860" spans="1:7" x14ac:dyDescent="0.3">
      <c r="A860" s="20"/>
      <c r="B860" s="6"/>
      <c r="C860" s="19"/>
      <c r="D860" s="23"/>
      <c r="E860" s="9" t="str">
        <f t="shared" si="13"/>
        <v/>
      </c>
      <c r="F860" s="19"/>
      <c r="G860" s="19"/>
    </row>
    <row r="861" spans="1:7" x14ac:dyDescent="0.3">
      <c r="A861" s="20"/>
      <c r="B861" s="6"/>
      <c r="C861" s="19"/>
      <c r="D861" s="23"/>
      <c r="E861" s="9" t="str">
        <f t="shared" si="13"/>
        <v/>
      </c>
      <c r="F861" s="19"/>
      <c r="G861" s="19"/>
    </row>
    <row r="862" spans="1:7" x14ac:dyDescent="0.3">
      <c r="A862" s="20"/>
      <c r="B862" s="6"/>
      <c r="C862" s="19"/>
      <c r="D862" s="23"/>
      <c r="E862" s="9" t="str">
        <f t="shared" si="13"/>
        <v/>
      </c>
      <c r="F862" s="19"/>
      <c r="G862" s="19"/>
    </row>
    <row r="863" spans="1:7" x14ac:dyDescent="0.3">
      <c r="A863" s="20"/>
      <c r="B863" s="6"/>
      <c r="C863" s="19"/>
      <c r="D863" s="23"/>
      <c r="E863" s="9" t="str">
        <f t="shared" si="13"/>
        <v/>
      </c>
      <c r="F863" s="19"/>
      <c r="G863" s="19"/>
    </row>
    <row r="864" spans="1:7" x14ac:dyDescent="0.3">
      <c r="A864" s="20"/>
      <c r="B864" s="6"/>
      <c r="C864" s="19"/>
      <c r="D864" s="23"/>
      <c r="E864" s="9" t="str">
        <f t="shared" si="13"/>
        <v/>
      </c>
      <c r="F864" s="19"/>
      <c r="G864" s="19"/>
    </row>
    <row r="865" spans="1:7" x14ac:dyDescent="0.3">
      <c r="A865" s="20"/>
      <c r="B865" s="6"/>
      <c r="C865" s="19"/>
      <c r="D865" s="23"/>
      <c r="E865" s="9" t="str">
        <f t="shared" si="13"/>
        <v/>
      </c>
      <c r="F865" s="19"/>
      <c r="G865" s="19"/>
    </row>
    <row r="866" spans="1:7" x14ac:dyDescent="0.3">
      <c r="A866" s="20"/>
      <c r="B866" s="6"/>
      <c r="C866" s="19"/>
      <c r="D866" s="23"/>
      <c r="E866" s="9" t="str">
        <f t="shared" si="13"/>
        <v/>
      </c>
      <c r="F866" s="19"/>
      <c r="G866" s="19"/>
    </row>
    <row r="867" spans="1:7" x14ac:dyDescent="0.3">
      <c r="A867" s="20"/>
      <c r="B867" s="6"/>
      <c r="C867" s="19"/>
      <c r="D867" s="23"/>
      <c r="E867" s="9" t="str">
        <f t="shared" si="13"/>
        <v/>
      </c>
      <c r="F867" s="19"/>
      <c r="G867" s="19"/>
    </row>
    <row r="868" spans="1:7" x14ac:dyDescent="0.3">
      <c r="A868" s="20"/>
      <c r="B868" s="6"/>
      <c r="C868" s="19"/>
      <c r="D868" s="23"/>
      <c r="E868" s="9" t="str">
        <f t="shared" si="13"/>
        <v/>
      </c>
      <c r="F868" s="19"/>
      <c r="G868" s="19"/>
    </row>
    <row r="869" spans="1:7" x14ac:dyDescent="0.3">
      <c r="A869" s="20"/>
      <c r="B869" s="6"/>
      <c r="C869" s="19"/>
      <c r="D869" s="23"/>
      <c r="E869" s="9" t="str">
        <f t="shared" si="13"/>
        <v/>
      </c>
      <c r="F869" s="19"/>
      <c r="G869" s="19"/>
    </row>
    <row r="870" spans="1:7" x14ac:dyDescent="0.3">
      <c r="A870" s="20"/>
      <c r="B870" s="6"/>
      <c r="C870" s="19"/>
      <c r="D870" s="23"/>
      <c r="E870" s="9" t="str">
        <f t="shared" si="13"/>
        <v/>
      </c>
      <c r="F870" s="19"/>
      <c r="G870" s="19"/>
    </row>
    <row r="871" spans="1:7" x14ac:dyDescent="0.3">
      <c r="A871" s="20"/>
      <c r="B871" s="6"/>
      <c r="C871" s="19"/>
      <c r="D871" s="23"/>
      <c r="E871" s="9" t="str">
        <f t="shared" si="13"/>
        <v/>
      </c>
      <c r="F871" s="19"/>
      <c r="G871" s="19"/>
    </row>
    <row r="872" spans="1:7" x14ac:dyDescent="0.3">
      <c r="A872" s="20"/>
      <c r="B872" s="6"/>
      <c r="C872" s="19"/>
      <c r="D872" s="23"/>
      <c r="E872" s="9" t="str">
        <f t="shared" si="13"/>
        <v/>
      </c>
      <c r="F872" s="19"/>
      <c r="G872" s="19"/>
    </row>
    <row r="873" spans="1:7" x14ac:dyDescent="0.3">
      <c r="A873" s="20"/>
      <c r="B873" s="6"/>
      <c r="C873" s="19"/>
      <c r="D873" s="23"/>
      <c r="E873" s="9" t="str">
        <f t="shared" si="13"/>
        <v/>
      </c>
      <c r="F873" s="19"/>
      <c r="G873" s="19"/>
    </row>
    <row r="874" spans="1:7" x14ac:dyDescent="0.3">
      <c r="A874" s="20"/>
      <c r="B874" s="6"/>
      <c r="C874" s="19"/>
      <c r="D874" s="23"/>
      <c r="E874" s="9" t="str">
        <f t="shared" si="13"/>
        <v/>
      </c>
      <c r="F874" s="19"/>
      <c r="G874" s="19"/>
    </row>
    <row r="875" spans="1:7" x14ac:dyDescent="0.3">
      <c r="A875" s="20"/>
      <c r="B875" s="6"/>
      <c r="C875" s="19"/>
      <c r="D875" s="23"/>
      <c r="E875" s="9" t="str">
        <f t="shared" si="13"/>
        <v/>
      </c>
      <c r="F875" s="19"/>
      <c r="G875" s="19"/>
    </row>
    <row r="876" spans="1:7" x14ac:dyDescent="0.3">
      <c r="A876" s="20"/>
      <c r="B876" s="6"/>
      <c r="C876" s="19"/>
      <c r="D876" s="23"/>
      <c r="E876" s="9" t="str">
        <f t="shared" si="13"/>
        <v/>
      </c>
      <c r="F876" s="19"/>
      <c r="G876" s="19"/>
    </row>
    <row r="877" spans="1:7" x14ac:dyDescent="0.3">
      <c r="A877" s="20"/>
      <c r="B877" s="6"/>
      <c r="C877" s="19"/>
      <c r="D877" s="23"/>
      <c r="E877" s="9" t="str">
        <f t="shared" si="13"/>
        <v/>
      </c>
      <c r="F877" s="19"/>
      <c r="G877" s="19"/>
    </row>
    <row r="878" spans="1:7" x14ac:dyDescent="0.3">
      <c r="A878" s="20"/>
      <c r="B878" s="6"/>
      <c r="C878" s="19"/>
      <c r="D878" s="23"/>
      <c r="E878" s="9" t="str">
        <f t="shared" si="13"/>
        <v/>
      </c>
      <c r="F878" s="19"/>
      <c r="G878" s="19"/>
    </row>
    <row r="879" spans="1:7" x14ac:dyDescent="0.3">
      <c r="A879" s="20"/>
      <c r="B879" s="6"/>
      <c r="C879" s="19"/>
      <c r="D879" s="23"/>
      <c r="E879" s="9" t="str">
        <f t="shared" si="13"/>
        <v/>
      </c>
      <c r="F879" s="19"/>
      <c r="G879" s="19"/>
    </row>
    <row r="880" spans="1:7" x14ac:dyDescent="0.3">
      <c r="A880" s="20"/>
      <c r="B880" s="6"/>
      <c r="C880" s="19"/>
      <c r="D880" s="23"/>
      <c r="E880" s="9" t="str">
        <f t="shared" si="13"/>
        <v/>
      </c>
      <c r="F880" s="19"/>
      <c r="G880" s="19"/>
    </row>
    <row r="881" spans="1:7" x14ac:dyDescent="0.3">
      <c r="A881" s="20"/>
      <c r="B881" s="6"/>
      <c r="C881" s="19"/>
      <c r="D881" s="23"/>
      <c r="E881" s="9" t="str">
        <f t="shared" si="13"/>
        <v/>
      </c>
      <c r="F881" s="19"/>
      <c r="G881" s="19"/>
    </row>
    <row r="882" spans="1:7" x14ac:dyDescent="0.3">
      <c r="A882" s="20"/>
      <c r="B882" s="6"/>
      <c r="C882" s="19"/>
      <c r="D882" s="23"/>
      <c r="E882" s="9" t="str">
        <f t="shared" si="13"/>
        <v/>
      </c>
      <c r="F882" s="19"/>
      <c r="G882" s="19"/>
    </row>
    <row r="883" spans="1:7" x14ac:dyDescent="0.3">
      <c r="A883" s="20"/>
      <c r="B883" s="6"/>
      <c r="C883" s="19"/>
      <c r="D883" s="23"/>
      <c r="E883" s="9" t="str">
        <f t="shared" si="13"/>
        <v/>
      </c>
      <c r="F883" s="19"/>
      <c r="G883" s="19"/>
    </row>
    <row r="884" spans="1:7" x14ac:dyDescent="0.3">
      <c r="A884" s="20"/>
      <c r="B884" s="6"/>
      <c r="C884" s="19"/>
      <c r="D884" s="23"/>
      <c r="E884" s="9" t="str">
        <f t="shared" si="13"/>
        <v/>
      </c>
      <c r="F884" s="19"/>
      <c r="G884" s="19"/>
    </row>
    <row r="885" spans="1:7" x14ac:dyDescent="0.3">
      <c r="A885" s="20"/>
      <c r="B885" s="6"/>
      <c r="C885" s="19"/>
      <c r="D885" s="23"/>
      <c r="E885" s="9" t="str">
        <f t="shared" si="13"/>
        <v/>
      </c>
      <c r="F885" s="19"/>
      <c r="G885" s="19"/>
    </row>
    <row r="886" spans="1:7" x14ac:dyDescent="0.3">
      <c r="A886" s="20"/>
      <c r="B886" s="6"/>
      <c r="C886" s="19"/>
      <c r="D886" s="23"/>
      <c r="E886" s="9" t="str">
        <f t="shared" si="13"/>
        <v/>
      </c>
      <c r="F886" s="19"/>
      <c r="G886" s="19"/>
    </row>
    <row r="887" spans="1:7" x14ac:dyDescent="0.3">
      <c r="A887" s="20"/>
      <c r="B887" s="6"/>
      <c r="C887" s="19"/>
      <c r="D887" s="23"/>
      <c r="E887" s="9" t="str">
        <f t="shared" si="13"/>
        <v/>
      </c>
      <c r="F887" s="19"/>
      <c r="G887" s="19"/>
    </row>
    <row r="888" spans="1:7" x14ac:dyDescent="0.3">
      <c r="A888" s="20"/>
      <c r="B888" s="6"/>
      <c r="C888" s="19"/>
      <c r="D888" s="23"/>
      <c r="E888" s="9" t="str">
        <f t="shared" si="13"/>
        <v/>
      </c>
      <c r="F888" s="19"/>
      <c r="G888" s="19"/>
    </row>
    <row r="889" spans="1:7" x14ac:dyDescent="0.3">
      <c r="A889" s="20"/>
      <c r="B889" s="6"/>
      <c r="C889" s="19"/>
      <c r="D889" s="23"/>
      <c r="E889" s="9" t="str">
        <f t="shared" si="13"/>
        <v/>
      </c>
      <c r="F889" s="19"/>
      <c r="G889" s="19"/>
    </row>
    <row r="890" spans="1:7" x14ac:dyDescent="0.3">
      <c r="A890" s="20"/>
      <c r="B890" s="6"/>
      <c r="C890" s="19"/>
      <c r="D890" s="23"/>
      <c r="E890" s="9" t="str">
        <f t="shared" si="13"/>
        <v/>
      </c>
      <c r="F890" s="19"/>
      <c r="G890" s="19"/>
    </row>
    <row r="891" spans="1:7" x14ac:dyDescent="0.3">
      <c r="A891" s="20"/>
      <c r="B891" s="6"/>
      <c r="C891" s="19"/>
      <c r="D891" s="23"/>
      <c r="E891" s="9" t="str">
        <f t="shared" si="13"/>
        <v/>
      </c>
      <c r="F891" s="19"/>
      <c r="G891" s="19"/>
    </row>
    <row r="892" spans="1:7" x14ac:dyDescent="0.3">
      <c r="A892" s="20"/>
      <c r="B892" s="6"/>
      <c r="C892" s="19"/>
      <c r="D892" s="23"/>
      <c r="E892" s="9" t="str">
        <f t="shared" si="13"/>
        <v/>
      </c>
      <c r="F892" s="19"/>
      <c r="G892" s="19"/>
    </row>
    <row r="893" spans="1:7" x14ac:dyDescent="0.3">
      <c r="A893" s="20"/>
      <c r="B893" s="6"/>
      <c r="C893" s="19"/>
      <c r="D893" s="23"/>
      <c r="E893" s="9" t="str">
        <f t="shared" si="13"/>
        <v/>
      </c>
      <c r="F893" s="19"/>
      <c r="G893" s="19"/>
    </row>
    <row r="894" spans="1:7" x14ac:dyDescent="0.3">
      <c r="A894" s="20"/>
      <c r="B894" s="6"/>
      <c r="C894" s="19"/>
      <c r="D894" s="23"/>
      <c r="E894" s="9" t="str">
        <f t="shared" si="13"/>
        <v/>
      </c>
      <c r="F894" s="19"/>
      <c r="G894" s="19"/>
    </row>
    <row r="895" spans="1:7" x14ac:dyDescent="0.3">
      <c r="A895" s="20"/>
      <c r="B895" s="6"/>
      <c r="C895" s="19"/>
      <c r="D895" s="23"/>
      <c r="E895" s="9" t="str">
        <f t="shared" si="13"/>
        <v/>
      </c>
      <c r="F895" s="19"/>
      <c r="G895" s="19"/>
    </row>
    <row r="896" spans="1:7" x14ac:dyDescent="0.3">
      <c r="A896" s="20"/>
      <c r="B896" s="6"/>
      <c r="C896" s="19"/>
      <c r="D896" s="23"/>
      <c r="E896" s="9" t="str">
        <f t="shared" si="13"/>
        <v/>
      </c>
      <c r="F896" s="19"/>
      <c r="G896" s="19"/>
    </row>
    <row r="897" spans="1:7" x14ac:dyDescent="0.3">
      <c r="A897" s="20"/>
      <c r="B897" s="6"/>
      <c r="C897" s="19"/>
      <c r="D897" s="23"/>
      <c r="E897" s="9" t="str">
        <f t="shared" si="13"/>
        <v/>
      </c>
      <c r="F897" s="19"/>
      <c r="G897" s="19"/>
    </row>
    <row r="898" spans="1:7" x14ac:dyDescent="0.3">
      <c r="A898" s="20"/>
      <c r="B898" s="6"/>
      <c r="C898" s="19"/>
      <c r="D898" s="23"/>
      <c r="E898" s="9" t="str">
        <f t="shared" ref="E898:E961" si="14">IF($B898="","",$C898*$D898)</f>
        <v/>
      </c>
      <c r="F898" s="19"/>
      <c r="G898" s="19"/>
    </row>
    <row r="899" spans="1:7" x14ac:dyDescent="0.3">
      <c r="A899" s="20"/>
      <c r="B899" s="6"/>
      <c r="C899" s="19"/>
      <c r="D899" s="23"/>
      <c r="E899" s="9" t="str">
        <f t="shared" si="14"/>
        <v/>
      </c>
      <c r="F899" s="19"/>
      <c r="G899" s="19"/>
    </row>
    <row r="900" spans="1:7" x14ac:dyDescent="0.3">
      <c r="A900" s="20"/>
      <c r="B900" s="6"/>
      <c r="C900" s="19"/>
      <c r="D900" s="23"/>
      <c r="E900" s="9" t="str">
        <f t="shared" si="14"/>
        <v/>
      </c>
      <c r="F900" s="19"/>
      <c r="G900" s="19"/>
    </row>
    <row r="901" spans="1:7" x14ac:dyDescent="0.3">
      <c r="A901" s="20"/>
      <c r="B901" s="6"/>
      <c r="C901" s="19"/>
      <c r="D901" s="23"/>
      <c r="E901" s="9" t="str">
        <f t="shared" si="14"/>
        <v/>
      </c>
      <c r="F901" s="19"/>
      <c r="G901" s="19"/>
    </row>
    <row r="902" spans="1:7" x14ac:dyDescent="0.3">
      <c r="A902" s="20"/>
      <c r="B902" s="6"/>
      <c r="C902" s="19"/>
      <c r="D902" s="23"/>
      <c r="E902" s="9" t="str">
        <f t="shared" si="14"/>
        <v/>
      </c>
      <c r="F902" s="19"/>
      <c r="G902" s="19"/>
    </row>
    <row r="903" spans="1:7" x14ac:dyDescent="0.3">
      <c r="A903" s="20"/>
      <c r="B903" s="6"/>
      <c r="C903" s="19"/>
      <c r="D903" s="23"/>
      <c r="E903" s="9" t="str">
        <f t="shared" si="14"/>
        <v/>
      </c>
      <c r="F903" s="19"/>
      <c r="G903" s="19"/>
    </row>
    <row r="904" spans="1:7" x14ac:dyDescent="0.3">
      <c r="A904" s="20"/>
      <c r="B904" s="6"/>
      <c r="C904" s="19"/>
      <c r="D904" s="23"/>
      <c r="E904" s="9" t="str">
        <f t="shared" si="14"/>
        <v/>
      </c>
      <c r="F904" s="19"/>
      <c r="G904" s="19"/>
    </row>
    <row r="905" spans="1:7" x14ac:dyDescent="0.3">
      <c r="A905" s="20"/>
      <c r="B905" s="6"/>
      <c r="C905" s="19"/>
      <c r="D905" s="23"/>
      <c r="E905" s="9" t="str">
        <f t="shared" si="14"/>
        <v/>
      </c>
      <c r="F905" s="19"/>
      <c r="G905" s="19"/>
    </row>
    <row r="906" spans="1:7" x14ac:dyDescent="0.3">
      <c r="A906" s="20"/>
      <c r="B906" s="6"/>
      <c r="C906" s="19"/>
      <c r="D906" s="23"/>
      <c r="E906" s="9" t="str">
        <f t="shared" si="14"/>
        <v/>
      </c>
      <c r="F906" s="19"/>
      <c r="G906" s="19"/>
    </row>
    <row r="907" spans="1:7" x14ac:dyDescent="0.3">
      <c r="A907" s="20"/>
      <c r="B907" s="6"/>
      <c r="C907" s="19"/>
      <c r="D907" s="23"/>
      <c r="E907" s="9" t="str">
        <f t="shared" si="14"/>
        <v/>
      </c>
      <c r="F907" s="19"/>
      <c r="G907" s="19"/>
    </row>
    <row r="908" spans="1:7" x14ac:dyDescent="0.3">
      <c r="A908" s="20"/>
      <c r="B908" s="6"/>
      <c r="C908" s="19"/>
      <c r="D908" s="23"/>
      <c r="E908" s="9" t="str">
        <f t="shared" si="14"/>
        <v/>
      </c>
      <c r="F908" s="19"/>
      <c r="G908" s="19"/>
    </row>
    <row r="909" spans="1:7" x14ac:dyDescent="0.3">
      <c r="A909" s="20"/>
      <c r="B909" s="6"/>
      <c r="C909" s="19"/>
      <c r="D909" s="23"/>
      <c r="E909" s="9" t="str">
        <f t="shared" si="14"/>
        <v/>
      </c>
      <c r="F909" s="19"/>
      <c r="G909" s="19"/>
    </row>
    <row r="910" spans="1:7" x14ac:dyDescent="0.3">
      <c r="A910" s="20"/>
      <c r="B910" s="6"/>
      <c r="C910" s="19"/>
      <c r="D910" s="23"/>
      <c r="E910" s="9" t="str">
        <f t="shared" si="14"/>
        <v/>
      </c>
      <c r="F910" s="19"/>
      <c r="G910" s="19"/>
    </row>
    <row r="911" spans="1:7" x14ac:dyDescent="0.3">
      <c r="A911" s="20"/>
      <c r="B911" s="6"/>
      <c r="C911" s="19"/>
      <c r="D911" s="23"/>
      <c r="E911" s="9" t="str">
        <f t="shared" si="14"/>
        <v/>
      </c>
      <c r="F911" s="19"/>
      <c r="G911" s="19"/>
    </row>
    <row r="912" spans="1:7" x14ac:dyDescent="0.3">
      <c r="A912" s="20"/>
      <c r="B912" s="6"/>
      <c r="C912" s="19"/>
      <c r="D912" s="23"/>
      <c r="E912" s="9" t="str">
        <f t="shared" si="14"/>
        <v/>
      </c>
      <c r="F912" s="19"/>
      <c r="G912" s="19"/>
    </row>
    <row r="913" spans="1:7" x14ac:dyDescent="0.3">
      <c r="A913" s="20"/>
      <c r="B913" s="6"/>
      <c r="C913" s="19"/>
      <c r="D913" s="23"/>
      <c r="E913" s="9" t="str">
        <f t="shared" si="14"/>
        <v/>
      </c>
      <c r="F913" s="19"/>
      <c r="G913" s="19"/>
    </row>
    <row r="914" spans="1:7" x14ac:dyDescent="0.3">
      <c r="A914" s="20"/>
      <c r="B914" s="6"/>
      <c r="C914" s="19"/>
      <c r="D914" s="23"/>
      <c r="E914" s="9" t="str">
        <f t="shared" si="14"/>
        <v/>
      </c>
      <c r="F914" s="19"/>
      <c r="G914" s="19"/>
    </row>
    <row r="915" spans="1:7" x14ac:dyDescent="0.3">
      <c r="A915" s="20"/>
      <c r="B915" s="6"/>
      <c r="C915" s="19"/>
      <c r="D915" s="23"/>
      <c r="E915" s="9" t="str">
        <f t="shared" si="14"/>
        <v/>
      </c>
      <c r="F915" s="19"/>
      <c r="G915" s="19"/>
    </row>
    <row r="916" spans="1:7" x14ac:dyDescent="0.3">
      <c r="A916" s="20"/>
      <c r="B916" s="6"/>
      <c r="C916" s="19"/>
      <c r="D916" s="23"/>
      <c r="E916" s="9" t="str">
        <f t="shared" si="14"/>
        <v/>
      </c>
      <c r="F916" s="19"/>
      <c r="G916" s="19"/>
    </row>
    <row r="917" spans="1:7" x14ac:dyDescent="0.3">
      <c r="A917" s="20"/>
      <c r="B917" s="6"/>
      <c r="C917" s="19"/>
      <c r="D917" s="23"/>
      <c r="E917" s="9" t="str">
        <f t="shared" si="14"/>
        <v/>
      </c>
      <c r="F917" s="19"/>
      <c r="G917" s="19"/>
    </row>
    <row r="918" spans="1:7" x14ac:dyDescent="0.3">
      <c r="A918" s="20"/>
      <c r="B918" s="6"/>
      <c r="C918" s="19"/>
      <c r="D918" s="23"/>
      <c r="E918" s="9" t="str">
        <f t="shared" si="14"/>
        <v/>
      </c>
      <c r="F918" s="19"/>
      <c r="G918" s="19"/>
    </row>
    <row r="919" spans="1:7" x14ac:dyDescent="0.3">
      <c r="A919" s="20"/>
      <c r="B919" s="6"/>
      <c r="C919" s="19"/>
      <c r="D919" s="23"/>
      <c r="E919" s="9" t="str">
        <f t="shared" si="14"/>
        <v/>
      </c>
      <c r="F919" s="19"/>
      <c r="G919" s="19"/>
    </row>
    <row r="920" spans="1:7" x14ac:dyDescent="0.3">
      <c r="A920" s="20"/>
      <c r="B920" s="6"/>
      <c r="C920" s="19"/>
      <c r="D920" s="23"/>
      <c r="E920" s="9" t="str">
        <f t="shared" si="14"/>
        <v/>
      </c>
      <c r="F920" s="19"/>
      <c r="G920" s="19"/>
    </row>
    <row r="921" spans="1:7" x14ac:dyDescent="0.3">
      <c r="A921" s="20"/>
      <c r="B921" s="6"/>
      <c r="C921" s="19"/>
      <c r="D921" s="23"/>
      <c r="E921" s="9" t="str">
        <f t="shared" si="14"/>
        <v/>
      </c>
      <c r="F921" s="19"/>
      <c r="G921" s="19"/>
    </row>
    <row r="922" spans="1:7" x14ac:dyDescent="0.3">
      <c r="A922" s="20"/>
      <c r="B922" s="6"/>
      <c r="C922" s="19"/>
      <c r="D922" s="23"/>
      <c r="E922" s="9" t="str">
        <f t="shared" si="14"/>
        <v/>
      </c>
      <c r="F922" s="19"/>
      <c r="G922" s="19"/>
    </row>
    <row r="923" spans="1:7" x14ac:dyDescent="0.3">
      <c r="A923" s="20"/>
      <c r="B923" s="6"/>
      <c r="C923" s="19"/>
      <c r="D923" s="23"/>
      <c r="E923" s="9" t="str">
        <f t="shared" si="14"/>
        <v/>
      </c>
      <c r="F923" s="19"/>
      <c r="G923" s="19"/>
    </row>
    <row r="924" spans="1:7" x14ac:dyDescent="0.3">
      <c r="A924" s="20"/>
      <c r="B924" s="6"/>
      <c r="C924" s="19"/>
      <c r="D924" s="23"/>
      <c r="E924" s="9" t="str">
        <f t="shared" si="14"/>
        <v/>
      </c>
      <c r="F924" s="19"/>
      <c r="G924" s="19"/>
    </row>
    <row r="925" spans="1:7" x14ac:dyDescent="0.3">
      <c r="A925" s="20"/>
      <c r="B925" s="6"/>
      <c r="C925" s="19"/>
      <c r="D925" s="23"/>
      <c r="E925" s="9" t="str">
        <f t="shared" si="14"/>
        <v/>
      </c>
      <c r="F925" s="19"/>
      <c r="G925" s="19"/>
    </row>
    <row r="926" spans="1:7" x14ac:dyDescent="0.3">
      <c r="A926" s="20"/>
      <c r="B926" s="6"/>
      <c r="C926" s="19"/>
      <c r="D926" s="23"/>
      <c r="E926" s="9" t="str">
        <f t="shared" si="14"/>
        <v/>
      </c>
      <c r="F926" s="19"/>
      <c r="G926" s="19"/>
    </row>
    <row r="927" spans="1:7" x14ac:dyDescent="0.3">
      <c r="A927" s="20"/>
      <c r="B927" s="6"/>
      <c r="C927" s="19"/>
      <c r="D927" s="23"/>
      <c r="E927" s="9" t="str">
        <f t="shared" si="14"/>
        <v/>
      </c>
      <c r="F927" s="19"/>
      <c r="G927" s="19"/>
    </row>
    <row r="928" spans="1:7" x14ac:dyDescent="0.3">
      <c r="A928" s="20"/>
      <c r="B928" s="6"/>
      <c r="C928" s="19"/>
      <c r="D928" s="23"/>
      <c r="E928" s="9" t="str">
        <f t="shared" si="14"/>
        <v/>
      </c>
      <c r="F928" s="19"/>
      <c r="G928" s="19"/>
    </row>
    <row r="929" spans="1:7" x14ac:dyDescent="0.3">
      <c r="A929" s="20"/>
      <c r="B929" s="6"/>
      <c r="C929" s="19"/>
      <c r="D929" s="23"/>
      <c r="E929" s="9" t="str">
        <f t="shared" si="14"/>
        <v/>
      </c>
      <c r="F929" s="19"/>
      <c r="G929" s="19"/>
    </row>
    <row r="930" spans="1:7" x14ac:dyDescent="0.3">
      <c r="A930" s="20"/>
      <c r="B930" s="6"/>
      <c r="C930" s="19"/>
      <c r="D930" s="23"/>
      <c r="E930" s="9" t="str">
        <f t="shared" si="14"/>
        <v/>
      </c>
      <c r="F930" s="19"/>
      <c r="G930" s="19"/>
    </row>
    <row r="931" spans="1:7" x14ac:dyDescent="0.3">
      <c r="A931" s="20"/>
      <c r="B931" s="6"/>
      <c r="C931" s="19"/>
      <c r="D931" s="23"/>
      <c r="E931" s="9" t="str">
        <f t="shared" si="14"/>
        <v/>
      </c>
      <c r="F931" s="19"/>
      <c r="G931" s="19"/>
    </row>
    <row r="932" spans="1:7" x14ac:dyDescent="0.3">
      <c r="A932" s="20"/>
      <c r="B932" s="6"/>
      <c r="C932" s="19"/>
      <c r="D932" s="23"/>
      <c r="E932" s="9" t="str">
        <f t="shared" si="14"/>
        <v/>
      </c>
      <c r="F932" s="19"/>
      <c r="G932" s="19"/>
    </row>
    <row r="933" spans="1:7" x14ac:dyDescent="0.3">
      <c r="A933" s="20"/>
      <c r="B933" s="6"/>
      <c r="C933" s="19"/>
      <c r="D933" s="23"/>
      <c r="E933" s="9" t="str">
        <f t="shared" si="14"/>
        <v/>
      </c>
      <c r="F933" s="19"/>
      <c r="G933" s="19"/>
    </row>
    <row r="934" spans="1:7" x14ac:dyDescent="0.3">
      <c r="A934" s="20"/>
      <c r="B934" s="6"/>
      <c r="C934" s="19"/>
      <c r="D934" s="23"/>
      <c r="E934" s="9" t="str">
        <f t="shared" si="14"/>
        <v/>
      </c>
      <c r="F934" s="19"/>
      <c r="G934" s="19"/>
    </row>
    <row r="935" spans="1:7" x14ac:dyDescent="0.3">
      <c r="A935" s="20"/>
      <c r="B935" s="6"/>
      <c r="C935" s="19"/>
      <c r="D935" s="23"/>
      <c r="E935" s="9" t="str">
        <f t="shared" si="14"/>
        <v/>
      </c>
      <c r="F935" s="19"/>
      <c r="G935" s="19"/>
    </row>
    <row r="936" spans="1:7" x14ac:dyDescent="0.3">
      <c r="A936" s="20"/>
      <c r="B936" s="6"/>
      <c r="C936" s="19"/>
      <c r="D936" s="23"/>
      <c r="E936" s="9" t="str">
        <f t="shared" si="14"/>
        <v/>
      </c>
      <c r="F936" s="19"/>
      <c r="G936" s="19"/>
    </row>
    <row r="937" spans="1:7" x14ac:dyDescent="0.3">
      <c r="A937" s="20"/>
      <c r="B937" s="6"/>
      <c r="C937" s="19"/>
      <c r="D937" s="23"/>
      <c r="E937" s="9" t="str">
        <f t="shared" si="14"/>
        <v/>
      </c>
      <c r="F937" s="19"/>
      <c r="G937" s="19"/>
    </row>
    <row r="938" spans="1:7" x14ac:dyDescent="0.3">
      <c r="A938" s="20"/>
      <c r="B938" s="6"/>
      <c r="C938" s="19"/>
      <c r="D938" s="23"/>
      <c r="E938" s="9" t="str">
        <f t="shared" si="14"/>
        <v/>
      </c>
      <c r="F938" s="19"/>
      <c r="G938" s="19"/>
    </row>
    <row r="939" spans="1:7" x14ac:dyDescent="0.3">
      <c r="A939" s="20"/>
      <c r="B939" s="6"/>
      <c r="C939" s="19"/>
      <c r="D939" s="23"/>
      <c r="E939" s="9" t="str">
        <f t="shared" si="14"/>
        <v/>
      </c>
      <c r="F939" s="19"/>
      <c r="G939" s="19"/>
    </row>
    <row r="940" spans="1:7" x14ac:dyDescent="0.3">
      <c r="A940" s="20"/>
      <c r="B940" s="6"/>
      <c r="C940" s="19"/>
      <c r="D940" s="23"/>
      <c r="E940" s="9" t="str">
        <f t="shared" si="14"/>
        <v/>
      </c>
      <c r="F940" s="19"/>
      <c r="G940" s="19"/>
    </row>
    <row r="941" spans="1:7" x14ac:dyDescent="0.3">
      <c r="A941" s="20"/>
      <c r="B941" s="6"/>
      <c r="C941" s="19"/>
      <c r="D941" s="23"/>
      <c r="E941" s="9" t="str">
        <f t="shared" si="14"/>
        <v/>
      </c>
      <c r="F941" s="19"/>
      <c r="G941" s="19"/>
    </row>
    <row r="942" spans="1:7" x14ac:dyDescent="0.3">
      <c r="A942" s="20"/>
      <c r="B942" s="6"/>
      <c r="C942" s="19"/>
      <c r="D942" s="23"/>
      <c r="E942" s="9" t="str">
        <f t="shared" si="14"/>
        <v/>
      </c>
      <c r="F942" s="19"/>
      <c r="G942" s="19"/>
    </row>
    <row r="943" spans="1:7" x14ac:dyDescent="0.3">
      <c r="A943" s="20"/>
      <c r="B943" s="6"/>
      <c r="C943" s="19"/>
      <c r="D943" s="23"/>
      <c r="E943" s="9" t="str">
        <f t="shared" si="14"/>
        <v/>
      </c>
      <c r="F943" s="19"/>
      <c r="G943" s="19"/>
    </row>
    <row r="944" spans="1:7" x14ac:dyDescent="0.3">
      <c r="A944" s="20"/>
      <c r="B944" s="6"/>
      <c r="C944" s="19"/>
      <c r="D944" s="23"/>
      <c r="E944" s="9" t="str">
        <f t="shared" si="14"/>
        <v/>
      </c>
      <c r="F944" s="19"/>
      <c r="G944" s="19"/>
    </row>
    <row r="945" spans="1:7" x14ac:dyDescent="0.3">
      <c r="A945" s="20"/>
      <c r="B945" s="6"/>
      <c r="C945" s="19"/>
      <c r="D945" s="23"/>
      <c r="E945" s="9" t="str">
        <f t="shared" si="14"/>
        <v/>
      </c>
      <c r="F945" s="19"/>
      <c r="G945" s="19"/>
    </row>
    <row r="946" spans="1:7" x14ac:dyDescent="0.3">
      <c r="A946" s="20"/>
      <c r="B946" s="6"/>
      <c r="C946" s="19"/>
      <c r="D946" s="23"/>
      <c r="E946" s="9" t="str">
        <f t="shared" si="14"/>
        <v/>
      </c>
      <c r="F946" s="19"/>
      <c r="G946" s="19"/>
    </row>
    <row r="947" spans="1:7" x14ac:dyDescent="0.3">
      <c r="A947" s="20"/>
      <c r="B947" s="6"/>
      <c r="C947" s="19"/>
      <c r="D947" s="23"/>
      <c r="E947" s="9" t="str">
        <f t="shared" si="14"/>
        <v/>
      </c>
      <c r="F947" s="19"/>
      <c r="G947" s="19"/>
    </row>
    <row r="948" spans="1:7" x14ac:dyDescent="0.3">
      <c r="A948" s="20"/>
      <c r="B948" s="6"/>
      <c r="C948" s="19"/>
      <c r="D948" s="23"/>
      <c r="E948" s="9" t="str">
        <f t="shared" si="14"/>
        <v/>
      </c>
      <c r="F948" s="19"/>
      <c r="G948" s="19"/>
    </row>
    <row r="949" spans="1:7" x14ac:dyDescent="0.3">
      <c r="A949" s="20"/>
      <c r="B949" s="6"/>
      <c r="C949" s="19"/>
      <c r="D949" s="23"/>
      <c r="E949" s="9" t="str">
        <f t="shared" si="14"/>
        <v/>
      </c>
      <c r="F949" s="19"/>
      <c r="G949" s="19"/>
    </row>
    <row r="950" spans="1:7" x14ac:dyDescent="0.3">
      <c r="A950" s="20"/>
      <c r="B950" s="6"/>
      <c r="C950" s="19"/>
      <c r="D950" s="23"/>
      <c r="E950" s="9" t="str">
        <f t="shared" si="14"/>
        <v/>
      </c>
      <c r="F950" s="19"/>
      <c r="G950" s="19"/>
    </row>
    <row r="951" spans="1:7" x14ac:dyDescent="0.3">
      <c r="A951" s="20"/>
      <c r="B951" s="6"/>
      <c r="C951" s="19"/>
      <c r="D951" s="23"/>
      <c r="E951" s="9" t="str">
        <f t="shared" si="14"/>
        <v/>
      </c>
      <c r="F951" s="19"/>
      <c r="G951" s="19"/>
    </row>
    <row r="952" spans="1:7" x14ac:dyDescent="0.3">
      <c r="A952" s="20"/>
      <c r="B952" s="6"/>
      <c r="C952" s="19"/>
      <c r="D952" s="23"/>
      <c r="E952" s="9" t="str">
        <f t="shared" si="14"/>
        <v/>
      </c>
      <c r="F952" s="19"/>
      <c r="G952" s="19"/>
    </row>
    <row r="953" spans="1:7" x14ac:dyDescent="0.3">
      <c r="A953" s="20"/>
      <c r="B953" s="6"/>
      <c r="C953" s="19"/>
      <c r="D953" s="23"/>
      <c r="E953" s="9" t="str">
        <f t="shared" si="14"/>
        <v/>
      </c>
      <c r="F953" s="19"/>
      <c r="G953" s="19"/>
    </row>
    <row r="954" spans="1:7" x14ac:dyDescent="0.3">
      <c r="A954" s="20"/>
      <c r="B954" s="6"/>
      <c r="C954" s="19"/>
      <c r="D954" s="23"/>
      <c r="E954" s="9" t="str">
        <f t="shared" si="14"/>
        <v/>
      </c>
      <c r="F954" s="19"/>
      <c r="G954" s="19"/>
    </row>
    <row r="955" spans="1:7" x14ac:dyDescent="0.3">
      <c r="A955" s="20"/>
      <c r="B955" s="6"/>
      <c r="C955" s="19"/>
      <c r="D955" s="23"/>
      <c r="E955" s="9" t="str">
        <f t="shared" si="14"/>
        <v/>
      </c>
      <c r="F955" s="19"/>
      <c r="G955" s="19"/>
    </row>
    <row r="956" spans="1:7" x14ac:dyDescent="0.3">
      <c r="A956" s="20"/>
      <c r="B956" s="6"/>
      <c r="C956" s="19"/>
      <c r="D956" s="23"/>
      <c r="E956" s="9" t="str">
        <f t="shared" si="14"/>
        <v/>
      </c>
      <c r="F956" s="19"/>
      <c r="G956" s="19"/>
    </row>
    <row r="957" spans="1:7" x14ac:dyDescent="0.3">
      <c r="A957" s="20"/>
      <c r="B957" s="6"/>
      <c r="C957" s="19"/>
      <c r="D957" s="23"/>
      <c r="E957" s="9" t="str">
        <f t="shared" si="14"/>
        <v/>
      </c>
      <c r="F957" s="19"/>
      <c r="G957" s="19"/>
    </row>
    <row r="958" spans="1:7" x14ac:dyDescent="0.3">
      <c r="A958" s="20"/>
      <c r="B958" s="6"/>
      <c r="C958" s="19"/>
      <c r="D958" s="23"/>
      <c r="E958" s="9" t="str">
        <f t="shared" si="14"/>
        <v/>
      </c>
      <c r="F958" s="19"/>
      <c r="G958" s="19"/>
    </row>
    <row r="959" spans="1:7" x14ac:dyDescent="0.3">
      <c r="A959" s="20"/>
      <c r="B959" s="6"/>
      <c r="C959" s="19"/>
      <c r="D959" s="23"/>
      <c r="E959" s="9" t="str">
        <f t="shared" si="14"/>
        <v/>
      </c>
      <c r="F959" s="19"/>
      <c r="G959" s="19"/>
    </row>
    <row r="960" spans="1:7" x14ac:dyDescent="0.3">
      <c r="A960" s="20"/>
      <c r="B960" s="6"/>
      <c r="C960" s="19"/>
      <c r="D960" s="23"/>
      <c r="E960" s="9" t="str">
        <f t="shared" si="14"/>
        <v/>
      </c>
      <c r="F960" s="19"/>
      <c r="G960" s="19"/>
    </row>
    <row r="961" spans="1:7" x14ac:dyDescent="0.3">
      <c r="A961" s="20"/>
      <c r="B961" s="6"/>
      <c r="C961" s="19"/>
      <c r="D961" s="23"/>
      <c r="E961" s="9" t="str">
        <f t="shared" si="14"/>
        <v/>
      </c>
      <c r="F961" s="19"/>
      <c r="G961" s="19"/>
    </row>
    <row r="962" spans="1:7" x14ac:dyDescent="0.3">
      <c r="A962" s="20"/>
      <c r="B962" s="6"/>
      <c r="C962" s="19"/>
      <c r="D962" s="23"/>
      <c r="E962" s="9" t="str">
        <f t="shared" ref="E962:E1001" si="15">IF($B962="","",$C962*$D962)</f>
        <v/>
      </c>
      <c r="F962" s="19"/>
      <c r="G962" s="19"/>
    </row>
    <row r="963" spans="1:7" x14ac:dyDescent="0.3">
      <c r="A963" s="20"/>
      <c r="B963" s="6"/>
      <c r="C963" s="19"/>
      <c r="D963" s="23"/>
      <c r="E963" s="9" t="str">
        <f t="shared" si="15"/>
        <v/>
      </c>
      <c r="F963" s="19"/>
      <c r="G963" s="19"/>
    </row>
    <row r="964" spans="1:7" x14ac:dyDescent="0.3">
      <c r="A964" s="20"/>
      <c r="B964" s="6"/>
      <c r="C964" s="19"/>
      <c r="D964" s="23"/>
      <c r="E964" s="9" t="str">
        <f t="shared" si="15"/>
        <v/>
      </c>
      <c r="F964" s="19"/>
      <c r="G964" s="19"/>
    </row>
    <row r="965" spans="1:7" x14ac:dyDescent="0.3">
      <c r="A965" s="20"/>
      <c r="B965" s="6"/>
      <c r="C965" s="19"/>
      <c r="D965" s="23"/>
      <c r="E965" s="9" t="str">
        <f t="shared" si="15"/>
        <v/>
      </c>
      <c r="F965" s="19"/>
      <c r="G965" s="19"/>
    </row>
    <row r="966" spans="1:7" x14ac:dyDescent="0.3">
      <c r="A966" s="20"/>
      <c r="B966" s="6"/>
      <c r="C966" s="19"/>
      <c r="D966" s="23"/>
      <c r="E966" s="9" t="str">
        <f t="shared" si="15"/>
        <v/>
      </c>
      <c r="F966" s="19"/>
      <c r="G966" s="19"/>
    </row>
    <row r="967" spans="1:7" x14ac:dyDescent="0.3">
      <c r="A967" s="20"/>
      <c r="B967" s="6"/>
      <c r="C967" s="19"/>
      <c r="D967" s="23"/>
      <c r="E967" s="9" t="str">
        <f t="shared" si="15"/>
        <v/>
      </c>
      <c r="F967" s="19"/>
      <c r="G967" s="19"/>
    </row>
    <row r="968" spans="1:7" x14ac:dyDescent="0.3">
      <c r="A968" s="20"/>
      <c r="B968" s="6"/>
      <c r="C968" s="19"/>
      <c r="D968" s="23"/>
      <c r="E968" s="9" t="str">
        <f t="shared" si="15"/>
        <v/>
      </c>
      <c r="F968" s="19"/>
      <c r="G968" s="19"/>
    </row>
    <row r="969" spans="1:7" x14ac:dyDescent="0.3">
      <c r="A969" s="20"/>
      <c r="B969" s="6"/>
      <c r="C969" s="19"/>
      <c r="D969" s="23"/>
      <c r="E969" s="9" t="str">
        <f t="shared" si="15"/>
        <v/>
      </c>
      <c r="F969" s="19"/>
      <c r="G969" s="19"/>
    </row>
    <row r="970" spans="1:7" x14ac:dyDescent="0.3">
      <c r="A970" s="20"/>
      <c r="B970" s="6"/>
      <c r="C970" s="19"/>
      <c r="D970" s="23"/>
      <c r="E970" s="9" t="str">
        <f t="shared" si="15"/>
        <v/>
      </c>
      <c r="F970" s="19"/>
      <c r="G970" s="19"/>
    </row>
    <row r="971" spans="1:7" x14ac:dyDescent="0.3">
      <c r="A971" s="20"/>
      <c r="B971" s="6"/>
      <c r="C971" s="19"/>
      <c r="D971" s="23"/>
      <c r="E971" s="9" t="str">
        <f t="shared" si="15"/>
        <v/>
      </c>
      <c r="F971" s="19"/>
      <c r="G971" s="19"/>
    </row>
    <row r="972" spans="1:7" x14ac:dyDescent="0.3">
      <c r="A972" s="20"/>
      <c r="B972" s="6"/>
      <c r="C972" s="19"/>
      <c r="D972" s="23"/>
      <c r="E972" s="9" t="str">
        <f t="shared" si="15"/>
        <v/>
      </c>
      <c r="F972" s="19"/>
      <c r="G972" s="19"/>
    </row>
    <row r="973" spans="1:7" x14ac:dyDescent="0.3">
      <c r="A973" s="20"/>
      <c r="B973" s="6"/>
      <c r="C973" s="19"/>
      <c r="D973" s="23"/>
      <c r="E973" s="9" t="str">
        <f t="shared" si="15"/>
        <v/>
      </c>
      <c r="F973" s="19"/>
      <c r="G973" s="19"/>
    </row>
    <row r="974" spans="1:7" x14ac:dyDescent="0.3">
      <c r="A974" s="20"/>
      <c r="B974" s="6"/>
      <c r="C974" s="19"/>
      <c r="D974" s="23"/>
      <c r="E974" s="9" t="str">
        <f t="shared" si="15"/>
        <v/>
      </c>
      <c r="F974" s="19"/>
      <c r="G974" s="19"/>
    </row>
    <row r="975" spans="1:7" x14ac:dyDescent="0.3">
      <c r="A975" s="20"/>
      <c r="B975" s="6"/>
      <c r="C975" s="19"/>
      <c r="D975" s="23"/>
      <c r="E975" s="9" t="str">
        <f t="shared" si="15"/>
        <v/>
      </c>
      <c r="F975" s="19"/>
      <c r="G975" s="19"/>
    </row>
    <row r="976" spans="1:7" x14ac:dyDescent="0.3">
      <c r="A976" s="20"/>
      <c r="B976" s="6"/>
      <c r="C976" s="19"/>
      <c r="D976" s="23"/>
      <c r="E976" s="9" t="str">
        <f t="shared" si="15"/>
        <v/>
      </c>
      <c r="F976" s="19"/>
      <c r="G976" s="19"/>
    </row>
    <row r="977" spans="1:7" x14ac:dyDescent="0.3">
      <c r="A977" s="20"/>
      <c r="B977" s="6"/>
      <c r="C977" s="19"/>
      <c r="D977" s="23"/>
      <c r="E977" s="9" t="str">
        <f t="shared" si="15"/>
        <v/>
      </c>
      <c r="F977" s="19"/>
      <c r="G977" s="19"/>
    </row>
    <row r="978" spans="1:7" x14ac:dyDescent="0.3">
      <c r="A978" s="20"/>
      <c r="B978" s="6"/>
      <c r="C978" s="19"/>
      <c r="D978" s="23"/>
      <c r="E978" s="9" t="str">
        <f t="shared" si="15"/>
        <v/>
      </c>
      <c r="F978" s="19"/>
      <c r="G978" s="19"/>
    </row>
    <row r="979" spans="1:7" x14ac:dyDescent="0.3">
      <c r="A979" s="20"/>
      <c r="B979" s="6"/>
      <c r="C979" s="19"/>
      <c r="D979" s="23"/>
      <c r="E979" s="9" t="str">
        <f t="shared" si="15"/>
        <v/>
      </c>
      <c r="F979" s="19"/>
      <c r="G979" s="19"/>
    </row>
    <row r="980" spans="1:7" x14ac:dyDescent="0.3">
      <c r="A980" s="20"/>
      <c r="B980" s="6"/>
      <c r="C980" s="19"/>
      <c r="D980" s="23"/>
      <c r="E980" s="9" t="str">
        <f t="shared" si="15"/>
        <v/>
      </c>
      <c r="F980" s="19"/>
      <c r="G980" s="19"/>
    </row>
    <row r="981" spans="1:7" x14ac:dyDescent="0.3">
      <c r="A981" s="20"/>
      <c r="B981" s="6"/>
      <c r="C981" s="19"/>
      <c r="D981" s="23"/>
      <c r="E981" s="9" t="str">
        <f t="shared" si="15"/>
        <v/>
      </c>
      <c r="F981" s="19"/>
      <c r="G981" s="19"/>
    </row>
    <row r="982" spans="1:7" x14ac:dyDescent="0.3">
      <c r="A982" s="20"/>
      <c r="B982" s="6"/>
      <c r="C982" s="19"/>
      <c r="D982" s="23"/>
      <c r="E982" s="9" t="str">
        <f t="shared" si="15"/>
        <v/>
      </c>
      <c r="F982" s="19"/>
      <c r="G982" s="19"/>
    </row>
    <row r="983" spans="1:7" x14ac:dyDescent="0.3">
      <c r="A983" s="20"/>
      <c r="B983" s="6"/>
      <c r="C983" s="19"/>
      <c r="D983" s="23"/>
      <c r="E983" s="9" t="str">
        <f t="shared" si="15"/>
        <v/>
      </c>
      <c r="F983" s="19"/>
      <c r="G983" s="19"/>
    </row>
    <row r="984" spans="1:7" x14ac:dyDescent="0.3">
      <c r="A984" s="20"/>
      <c r="B984" s="6"/>
      <c r="C984" s="19"/>
      <c r="D984" s="23"/>
      <c r="E984" s="9" t="str">
        <f t="shared" si="15"/>
        <v/>
      </c>
      <c r="F984" s="19"/>
      <c r="G984" s="19"/>
    </row>
    <row r="985" spans="1:7" x14ac:dyDescent="0.3">
      <c r="A985" s="20"/>
      <c r="B985" s="6"/>
      <c r="C985" s="19"/>
      <c r="D985" s="23"/>
      <c r="E985" s="9" t="str">
        <f t="shared" si="15"/>
        <v/>
      </c>
      <c r="F985" s="19"/>
      <c r="G985" s="19"/>
    </row>
    <row r="986" spans="1:7" x14ac:dyDescent="0.3">
      <c r="A986" s="20"/>
      <c r="B986" s="6"/>
      <c r="C986" s="19"/>
      <c r="D986" s="23"/>
      <c r="E986" s="9" t="str">
        <f t="shared" si="15"/>
        <v/>
      </c>
      <c r="F986" s="19"/>
      <c r="G986" s="19"/>
    </row>
    <row r="987" spans="1:7" x14ac:dyDescent="0.3">
      <c r="A987" s="20"/>
      <c r="B987" s="6"/>
      <c r="C987" s="19"/>
      <c r="D987" s="23"/>
      <c r="E987" s="9" t="str">
        <f t="shared" si="15"/>
        <v/>
      </c>
      <c r="F987" s="19"/>
      <c r="G987" s="19"/>
    </row>
    <row r="988" spans="1:7" x14ac:dyDescent="0.3">
      <c r="A988" s="20"/>
      <c r="B988" s="6"/>
      <c r="C988" s="19"/>
      <c r="D988" s="23"/>
      <c r="E988" s="9" t="str">
        <f t="shared" si="15"/>
        <v/>
      </c>
      <c r="F988" s="19"/>
      <c r="G988" s="19"/>
    </row>
    <row r="989" spans="1:7" x14ac:dyDescent="0.3">
      <c r="A989" s="20"/>
      <c r="B989" s="6"/>
      <c r="C989" s="19"/>
      <c r="D989" s="23"/>
      <c r="E989" s="9" t="str">
        <f t="shared" si="15"/>
        <v/>
      </c>
      <c r="F989" s="19"/>
      <c r="G989" s="19"/>
    </row>
    <row r="990" spans="1:7" x14ac:dyDescent="0.3">
      <c r="A990" s="20"/>
      <c r="B990" s="6"/>
      <c r="C990" s="19"/>
      <c r="D990" s="23"/>
      <c r="E990" s="9" t="str">
        <f t="shared" si="15"/>
        <v/>
      </c>
      <c r="F990" s="19"/>
      <c r="G990" s="19"/>
    </row>
    <row r="991" spans="1:7" x14ac:dyDescent="0.3">
      <c r="A991" s="20"/>
      <c r="B991" s="6"/>
      <c r="C991" s="19"/>
      <c r="D991" s="23"/>
      <c r="E991" s="9" t="str">
        <f t="shared" si="15"/>
        <v/>
      </c>
      <c r="F991" s="19"/>
      <c r="G991" s="19"/>
    </row>
    <row r="992" spans="1:7" x14ac:dyDescent="0.3">
      <c r="A992" s="20"/>
      <c r="B992" s="6"/>
      <c r="C992" s="19"/>
      <c r="D992" s="23"/>
      <c r="E992" s="9" t="str">
        <f t="shared" si="15"/>
        <v/>
      </c>
      <c r="F992" s="19"/>
      <c r="G992" s="19"/>
    </row>
    <row r="993" spans="1:7" x14ac:dyDescent="0.3">
      <c r="A993" s="20"/>
      <c r="B993" s="6"/>
      <c r="C993" s="19"/>
      <c r="D993" s="23"/>
      <c r="E993" s="9" t="str">
        <f t="shared" si="15"/>
        <v/>
      </c>
      <c r="F993" s="19"/>
      <c r="G993" s="19"/>
    </row>
    <row r="994" spans="1:7" x14ac:dyDescent="0.3">
      <c r="A994" s="20"/>
      <c r="B994" s="6"/>
      <c r="C994" s="19"/>
      <c r="D994" s="23"/>
      <c r="E994" s="9" t="str">
        <f t="shared" si="15"/>
        <v/>
      </c>
      <c r="F994" s="19"/>
      <c r="G994" s="19"/>
    </row>
    <row r="995" spans="1:7" x14ac:dyDescent="0.3">
      <c r="A995" s="20"/>
      <c r="B995" s="6"/>
      <c r="C995" s="19"/>
      <c r="D995" s="23"/>
      <c r="E995" s="9" t="str">
        <f t="shared" si="15"/>
        <v/>
      </c>
      <c r="F995" s="19"/>
      <c r="G995" s="19"/>
    </row>
    <row r="996" spans="1:7" x14ac:dyDescent="0.3">
      <c r="A996" s="20"/>
      <c r="B996" s="6"/>
      <c r="C996" s="19"/>
      <c r="D996" s="23"/>
      <c r="E996" s="9" t="str">
        <f t="shared" si="15"/>
        <v/>
      </c>
      <c r="F996" s="19"/>
      <c r="G996" s="19"/>
    </row>
    <row r="997" spans="1:7" x14ac:dyDescent="0.3">
      <c r="A997" s="20"/>
      <c r="B997" s="6"/>
      <c r="C997" s="19"/>
      <c r="D997" s="23"/>
      <c r="E997" s="9" t="str">
        <f t="shared" si="15"/>
        <v/>
      </c>
      <c r="F997" s="19"/>
      <c r="G997" s="19"/>
    </row>
    <row r="998" spans="1:7" x14ac:dyDescent="0.3">
      <c r="A998" s="20"/>
      <c r="B998" s="6"/>
      <c r="C998" s="19"/>
      <c r="D998" s="23"/>
      <c r="E998" s="9" t="str">
        <f t="shared" si="15"/>
        <v/>
      </c>
      <c r="F998" s="19"/>
      <c r="G998" s="19"/>
    </row>
    <row r="999" spans="1:7" x14ac:dyDescent="0.3">
      <c r="A999" s="20"/>
      <c r="B999" s="6"/>
      <c r="C999" s="19"/>
      <c r="D999" s="23"/>
      <c r="E999" s="9" t="str">
        <f t="shared" si="15"/>
        <v/>
      </c>
      <c r="F999" s="19"/>
      <c r="G999" s="19"/>
    </row>
    <row r="1000" spans="1:7" x14ac:dyDescent="0.3">
      <c r="A1000" s="20"/>
      <c r="B1000" s="6"/>
      <c r="C1000" s="19"/>
      <c r="D1000" s="23"/>
      <c r="E1000" s="9" t="str">
        <f t="shared" si="15"/>
        <v/>
      </c>
      <c r="F1000" s="19"/>
      <c r="G1000" s="19"/>
    </row>
    <row r="1001" spans="1:7" x14ac:dyDescent="0.3">
      <c r="A1001" s="20"/>
      <c r="B1001" s="6"/>
      <c r="C1001" s="19"/>
      <c r="D1001" s="23"/>
      <c r="E1001" s="9" t="str">
        <f t="shared" si="15"/>
        <v/>
      </c>
      <c r="F1001" s="19"/>
      <c r="G1001" s="19"/>
    </row>
  </sheetData>
  <dataValidations count="1">
    <dataValidation type="list" allowBlank="1" showInputMessage="1" showErrorMessage="1" promptTitle="Pick from list" prompt="New product? Add it on the Inventory sheet first." sqref="B2:B1001" xr:uid="{00000000-0002-0000-0600-000000000000}">
      <formula1>ProductNames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24" customWidth="1"/>
    <col min="2" max="2" width="13" customWidth="1"/>
    <col min="3" max="3" width="7" customWidth="1"/>
    <col min="4" max="4" width="13" customWidth="1"/>
    <col min="5" max="5" width="15" customWidth="1"/>
    <col min="6" max="6" width="11" customWidth="1"/>
    <col min="7" max="7" width="14" customWidth="1"/>
    <col min="8" max="8" width="10" customWidth="1"/>
    <col min="9" max="9" width="13" customWidth="1"/>
    <col min="10" max="10" width="11" customWidth="1"/>
    <col min="11" max="12" width="13" customWidth="1"/>
  </cols>
  <sheetData>
    <row r="1" spans="1:12" x14ac:dyDescent="0.3">
      <c r="A1" s="17" t="s">
        <v>167</v>
      </c>
      <c r="B1" s="17" t="s">
        <v>63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7" t="s">
        <v>175</v>
      </c>
      <c r="I1" s="17" t="s">
        <v>176</v>
      </c>
      <c r="J1" s="17" t="s">
        <v>70</v>
      </c>
      <c r="K1" s="17" t="s">
        <v>177</v>
      </c>
      <c r="L1" s="17" t="s">
        <v>178</v>
      </c>
    </row>
    <row r="2" spans="1:12" x14ac:dyDescent="0.3">
      <c r="A2" s="19"/>
      <c r="B2" s="19"/>
      <c r="C2" s="19"/>
      <c r="D2" s="19"/>
      <c r="E2" s="23"/>
      <c r="F2" s="15" t="str">
        <f>IF($A2="","",SUMIF(Purchases!$B$2:$B$1001,$A2,Purchases!$C$2:$C$1001))</f>
        <v/>
      </c>
      <c r="G2" s="19"/>
      <c r="H2" s="6" t="str">
        <f t="shared" ref="H2:H33" si="0">IF($A2="","",IF($D2="",0,$D2)+$F2-IF($G2="",0,$G2))</f>
        <v/>
      </c>
      <c r="I2" s="19"/>
      <c r="J2" s="3" t="str">
        <f t="shared" ref="J2:J33" si="1">IF($A2="","",IF($I2="","OK",IF($H2&lt;=$I2,"REORDER","OK")))</f>
        <v/>
      </c>
      <c r="K2" s="16" t="str">
        <f>IF($A2="","",IFERROR((IF($D2="",0,$D2)*IF($E2="",0,$E2)+SUMIF(Purchases!$B$2:$B$1001,$A2,Purchases!$E$2:$E$1001))/(IF($D2="",0,$D2)+SUMIF(Purchases!$B$2:$B$1001,$A2,Purchases!$C$2:$C$1001)),0))</f>
        <v/>
      </c>
      <c r="L2" s="9" t="str">
        <f t="shared" ref="L2:L33" si="2">IF($A2="","",$H2*$K2)</f>
        <v/>
      </c>
    </row>
    <row r="3" spans="1:12" x14ac:dyDescent="0.3">
      <c r="A3" s="19"/>
      <c r="B3" s="19"/>
      <c r="C3" s="19"/>
      <c r="D3" s="19"/>
      <c r="E3" s="23"/>
      <c r="F3" s="15" t="str">
        <f>IF($A3="","",SUMIF(Purchases!$B$2:$B$1001,$A3,Purchases!$C$2:$C$1001))</f>
        <v/>
      </c>
      <c r="G3" s="19"/>
      <c r="H3" s="6" t="str">
        <f t="shared" si="0"/>
        <v/>
      </c>
      <c r="I3" s="19"/>
      <c r="J3" s="3" t="str">
        <f t="shared" si="1"/>
        <v/>
      </c>
      <c r="K3" s="16" t="str">
        <f>IF($A3="","",IFERROR((IF($D3="",0,$D3)*IF($E3="",0,$E3)+SUMIF(Purchases!$B$2:$B$1001,$A3,Purchases!$E$2:$E$1001))/(IF($D3="",0,$D3)+SUMIF(Purchases!$B$2:$B$1001,$A3,Purchases!$C$2:$C$1001)),0))</f>
        <v/>
      </c>
      <c r="L3" s="9" t="str">
        <f t="shared" si="2"/>
        <v/>
      </c>
    </row>
    <row r="4" spans="1:12" x14ac:dyDescent="0.3">
      <c r="A4" s="19"/>
      <c r="B4" s="19"/>
      <c r="C4" s="19"/>
      <c r="D4" s="19"/>
      <c r="E4" s="23"/>
      <c r="F4" s="15" t="str">
        <f>IF($A4="","",SUMIF(Purchases!$B$2:$B$1001,$A4,Purchases!$C$2:$C$1001))</f>
        <v/>
      </c>
      <c r="G4" s="19"/>
      <c r="H4" s="6" t="str">
        <f t="shared" si="0"/>
        <v/>
      </c>
      <c r="I4" s="19"/>
      <c r="J4" s="3" t="str">
        <f t="shared" si="1"/>
        <v/>
      </c>
      <c r="K4" s="16" t="str">
        <f>IF($A4="","",IFERROR((IF($D4="",0,$D4)*IF($E4="",0,$E4)+SUMIF(Purchases!$B$2:$B$1001,$A4,Purchases!$E$2:$E$1001))/(IF($D4="",0,$D4)+SUMIF(Purchases!$B$2:$B$1001,$A4,Purchases!$C$2:$C$1001)),0))</f>
        <v/>
      </c>
      <c r="L4" s="9" t="str">
        <f t="shared" si="2"/>
        <v/>
      </c>
    </row>
    <row r="5" spans="1:12" x14ac:dyDescent="0.3">
      <c r="A5" s="19"/>
      <c r="B5" s="19"/>
      <c r="C5" s="19"/>
      <c r="D5" s="19"/>
      <c r="E5" s="23"/>
      <c r="F5" s="15" t="str">
        <f>IF($A5="","",SUMIF(Purchases!$B$2:$B$1001,$A5,Purchases!$C$2:$C$1001))</f>
        <v/>
      </c>
      <c r="G5" s="19"/>
      <c r="H5" s="6" t="str">
        <f t="shared" si="0"/>
        <v/>
      </c>
      <c r="I5" s="19"/>
      <c r="J5" s="3" t="str">
        <f t="shared" si="1"/>
        <v/>
      </c>
      <c r="K5" s="16" t="str">
        <f>IF($A5="","",IFERROR((IF($D5="",0,$D5)*IF($E5="",0,$E5)+SUMIF(Purchases!$B$2:$B$1001,$A5,Purchases!$E$2:$E$1001))/(IF($D5="",0,$D5)+SUMIF(Purchases!$B$2:$B$1001,$A5,Purchases!$C$2:$C$1001)),0))</f>
        <v/>
      </c>
      <c r="L5" s="9" t="str">
        <f t="shared" si="2"/>
        <v/>
      </c>
    </row>
    <row r="6" spans="1:12" x14ac:dyDescent="0.3">
      <c r="A6" s="19"/>
      <c r="B6" s="19"/>
      <c r="C6" s="19"/>
      <c r="D6" s="19"/>
      <c r="E6" s="23"/>
      <c r="F6" s="15" t="str">
        <f>IF($A6="","",SUMIF(Purchases!$B$2:$B$1001,$A6,Purchases!$C$2:$C$1001))</f>
        <v/>
      </c>
      <c r="G6" s="19"/>
      <c r="H6" s="6" t="str">
        <f t="shared" si="0"/>
        <v/>
      </c>
      <c r="I6" s="19"/>
      <c r="J6" s="3" t="str">
        <f t="shared" si="1"/>
        <v/>
      </c>
      <c r="K6" s="16" t="str">
        <f>IF($A6="","",IFERROR((IF($D6="",0,$D6)*IF($E6="",0,$E6)+SUMIF(Purchases!$B$2:$B$1001,$A6,Purchases!$E$2:$E$1001))/(IF($D6="",0,$D6)+SUMIF(Purchases!$B$2:$B$1001,$A6,Purchases!$C$2:$C$1001)),0))</f>
        <v/>
      </c>
      <c r="L6" s="9" t="str">
        <f t="shared" si="2"/>
        <v/>
      </c>
    </row>
    <row r="7" spans="1:12" x14ac:dyDescent="0.3">
      <c r="A7" s="19"/>
      <c r="B7" s="19"/>
      <c r="C7" s="19"/>
      <c r="D7" s="19"/>
      <c r="E7" s="23"/>
      <c r="F7" s="15" t="str">
        <f>IF($A7="","",SUMIF(Purchases!$B$2:$B$1001,$A7,Purchases!$C$2:$C$1001))</f>
        <v/>
      </c>
      <c r="G7" s="19"/>
      <c r="H7" s="6" t="str">
        <f t="shared" si="0"/>
        <v/>
      </c>
      <c r="I7" s="19"/>
      <c r="J7" s="3" t="str">
        <f t="shared" si="1"/>
        <v/>
      </c>
      <c r="K7" s="16" t="str">
        <f>IF($A7="","",IFERROR((IF($D7="",0,$D7)*IF($E7="",0,$E7)+SUMIF(Purchases!$B$2:$B$1001,$A7,Purchases!$E$2:$E$1001))/(IF($D7="",0,$D7)+SUMIF(Purchases!$B$2:$B$1001,$A7,Purchases!$C$2:$C$1001)),0))</f>
        <v/>
      </c>
      <c r="L7" s="9" t="str">
        <f t="shared" si="2"/>
        <v/>
      </c>
    </row>
    <row r="8" spans="1:12" x14ac:dyDescent="0.3">
      <c r="A8" s="19"/>
      <c r="B8" s="19"/>
      <c r="C8" s="19"/>
      <c r="D8" s="19"/>
      <c r="E8" s="23"/>
      <c r="F8" s="15" t="str">
        <f>IF($A8="","",SUMIF(Purchases!$B$2:$B$1001,$A8,Purchases!$C$2:$C$1001))</f>
        <v/>
      </c>
      <c r="G8" s="19"/>
      <c r="H8" s="6" t="str">
        <f t="shared" si="0"/>
        <v/>
      </c>
      <c r="I8" s="19"/>
      <c r="J8" s="3" t="str">
        <f t="shared" si="1"/>
        <v/>
      </c>
      <c r="K8" s="16" t="str">
        <f>IF($A8="","",IFERROR((IF($D8="",0,$D8)*IF($E8="",0,$E8)+SUMIF(Purchases!$B$2:$B$1001,$A8,Purchases!$E$2:$E$1001))/(IF($D8="",0,$D8)+SUMIF(Purchases!$B$2:$B$1001,$A8,Purchases!$C$2:$C$1001)),0))</f>
        <v/>
      </c>
      <c r="L8" s="9" t="str">
        <f t="shared" si="2"/>
        <v/>
      </c>
    </row>
    <row r="9" spans="1:12" x14ac:dyDescent="0.3">
      <c r="A9" s="19"/>
      <c r="B9" s="19"/>
      <c r="C9" s="19"/>
      <c r="D9" s="19"/>
      <c r="E9" s="23"/>
      <c r="F9" s="15" t="str">
        <f>IF($A9="","",SUMIF(Purchases!$B$2:$B$1001,$A9,Purchases!$C$2:$C$1001))</f>
        <v/>
      </c>
      <c r="G9" s="19"/>
      <c r="H9" s="6" t="str">
        <f t="shared" si="0"/>
        <v/>
      </c>
      <c r="I9" s="19"/>
      <c r="J9" s="3" t="str">
        <f t="shared" si="1"/>
        <v/>
      </c>
      <c r="K9" s="16" t="str">
        <f>IF($A9="","",IFERROR((IF($D9="",0,$D9)*IF($E9="",0,$E9)+SUMIF(Purchases!$B$2:$B$1001,$A9,Purchases!$E$2:$E$1001))/(IF($D9="",0,$D9)+SUMIF(Purchases!$B$2:$B$1001,$A9,Purchases!$C$2:$C$1001)),0))</f>
        <v/>
      </c>
      <c r="L9" s="9" t="str">
        <f t="shared" si="2"/>
        <v/>
      </c>
    </row>
    <row r="10" spans="1:12" x14ac:dyDescent="0.3">
      <c r="A10" s="19"/>
      <c r="B10" s="19"/>
      <c r="C10" s="19"/>
      <c r="D10" s="19"/>
      <c r="E10" s="23"/>
      <c r="F10" s="15" t="str">
        <f>IF($A10="","",SUMIF(Purchases!$B$2:$B$1001,$A10,Purchases!$C$2:$C$1001))</f>
        <v/>
      </c>
      <c r="G10" s="19"/>
      <c r="H10" s="6" t="str">
        <f t="shared" si="0"/>
        <v/>
      </c>
      <c r="I10" s="19"/>
      <c r="J10" s="3" t="str">
        <f t="shared" si="1"/>
        <v/>
      </c>
      <c r="K10" s="16" t="str">
        <f>IF($A10="","",IFERROR((IF($D10="",0,$D10)*IF($E10="",0,$E10)+SUMIF(Purchases!$B$2:$B$1001,$A10,Purchases!$E$2:$E$1001))/(IF($D10="",0,$D10)+SUMIF(Purchases!$B$2:$B$1001,$A10,Purchases!$C$2:$C$1001)),0))</f>
        <v/>
      </c>
      <c r="L10" s="9" t="str">
        <f t="shared" si="2"/>
        <v/>
      </c>
    </row>
    <row r="11" spans="1:12" x14ac:dyDescent="0.3">
      <c r="A11" s="19"/>
      <c r="B11" s="19"/>
      <c r="C11" s="19"/>
      <c r="D11" s="19"/>
      <c r="E11" s="23"/>
      <c r="F11" s="15" t="str">
        <f>IF($A11="","",SUMIF(Purchases!$B$2:$B$1001,$A11,Purchases!$C$2:$C$1001))</f>
        <v/>
      </c>
      <c r="G11" s="19"/>
      <c r="H11" s="6" t="str">
        <f t="shared" si="0"/>
        <v/>
      </c>
      <c r="I11" s="19"/>
      <c r="J11" s="3" t="str">
        <f t="shared" si="1"/>
        <v/>
      </c>
      <c r="K11" s="16" t="str">
        <f>IF($A11="","",IFERROR((IF($D11="",0,$D11)*IF($E11="",0,$E11)+SUMIF(Purchases!$B$2:$B$1001,$A11,Purchases!$E$2:$E$1001))/(IF($D11="",0,$D11)+SUMIF(Purchases!$B$2:$B$1001,$A11,Purchases!$C$2:$C$1001)),0))</f>
        <v/>
      </c>
      <c r="L11" s="9" t="str">
        <f t="shared" si="2"/>
        <v/>
      </c>
    </row>
    <row r="12" spans="1:12" x14ac:dyDescent="0.3">
      <c r="A12" s="19"/>
      <c r="B12" s="19"/>
      <c r="C12" s="19"/>
      <c r="D12" s="19"/>
      <c r="E12" s="23"/>
      <c r="F12" s="15" t="str">
        <f>IF($A12="","",SUMIF(Purchases!$B$2:$B$1001,$A12,Purchases!$C$2:$C$1001))</f>
        <v/>
      </c>
      <c r="G12" s="19"/>
      <c r="H12" s="6" t="str">
        <f t="shared" si="0"/>
        <v/>
      </c>
      <c r="I12" s="19"/>
      <c r="J12" s="3" t="str">
        <f t="shared" si="1"/>
        <v/>
      </c>
      <c r="K12" s="16" t="str">
        <f>IF($A12="","",IFERROR((IF($D12="",0,$D12)*IF($E12="",0,$E12)+SUMIF(Purchases!$B$2:$B$1001,$A12,Purchases!$E$2:$E$1001))/(IF($D12="",0,$D12)+SUMIF(Purchases!$B$2:$B$1001,$A12,Purchases!$C$2:$C$1001)),0))</f>
        <v/>
      </c>
      <c r="L12" s="9" t="str">
        <f t="shared" si="2"/>
        <v/>
      </c>
    </row>
    <row r="13" spans="1:12" x14ac:dyDescent="0.3">
      <c r="A13" s="19"/>
      <c r="B13" s="19"/>
      <c r="C13" s="19"/>
      <c r="D13" s="19"/>
      <c r="E13" s="23"/>
      <c r="F13" s="15" t="str">
        <f>IF($A13="","",SUMIF(Purchases!$B$2:$B$1001,$A13,Purchases!$C$2:$C$1001))</f>
        <v/>
      </c>
      <c r="G13" s="19"/>
      <c r="H13" s="6" t="str">
        <f t="shared" si="0"/>
        <v/>
      </c>
      <c r="I13" s="19"/>
      <c r="J13" s="3" t="str">
        <f t="shared" si="1"/>
        <v/>
      </c>
      <c r="K13" s="16" t="str">
        <f>IF($A13="","",IFERROR((IF($D13="",0,$D13)*IF($E13="",0,$E13)+SUMIF(Purchases!$B$2:$B$1001,$A13,Purchases!$E$2:$E$1001))/(IF($D13="",0,$D13)+SUMIF(Purchases!$B$2:$B$1001,$A13,Purchases!$C$2:$C$1001)),0))</f>
        <v/>
      </c>
      <c r="L13" s="9" t="str">
        <f t="shared" si="2"/>
        <v/>
      </c>
    </row>
    <row r="14" spans="1:12" x14ac:dyDescent="0.3">
      <c r="A14" s="19"/>
      <c r="B14" s="19"/>
      <c r="C14" s="19"/>
      <c r="D14" s="19"/>
      <c r="E14" s="23"/>
      <c r="F14" s="15" t="str">
        <f>IF($A14="","",SUMIF(Purchases!$B$2:$B$1001,$A14,Purchases!$C$2:$C$1001))</f>
        <v/>
      </c>
      <c r="G14" s="19"/>
      <c r="H14" s="6" t="str">
        <f t="shared" si="0"/>
        <v/>
      </c>
      <c r="I14" s="19"/>
      <c r="J14" s="3" t="str">
        <f t="shared" si="1"/>
        <v/>
      </c>
      <c r="K14" s="16" t="str">
        <f>IF($A14="","",IFERROR((IF($D14="",0,$D14)*IF($E14="",0,$E14)+SUMIF(Purchases!$B$2:$B$1001,$A14,Purchases!$E$2:$E$1001))/(IF($D14="",0,$D14)+SUMIF(Purchases!$B$2:$B$1001,$A14,Purchases!$C$2:$C$1001)),0))</f>
        <v/>
      </c>
      <c r="L14" s="9" t="str">
        <f t="shared" si="2"/>
        <v/>
      </c>
    </row>
    <row r="15" spans="1:12" x14ac:dyDescent="0.3">
      <c r="A15" s="19"/>
      <c r="B15" s="19"/>
      <c r="C15" s="19"/>
      <c r="D15" s="19"/>
      <c r="E15" s="23"/>
      <c r="F15" s="15" t="str">
        <f>IF($A15="","",SUMIF(Purchases!$B$2:$B$1001,$A15,Purchases!$C$2:$C$1001))</f>
        <v/>
      </c>
      <c r="G15" s="19"/>
      <c r="H15" s="6" t="str">
        <f t="shared" si="0"/>
        <v/>
      </c>
      <c r="I15" s="19"/>
      <c r="J15" s="3" t="str">
        <f t="shared" si="1"/>
        <v/>
      </c>
      <c r="K15" s="16" t="str">
        <f>IF($A15="","",IFERROR((IF($D15="",0,$D15)*IF($E15="",0,$E15)+SUMIF(Purchases!$B$2:$B$1001,$A15,Purchases!$E$2:$E$1001))/(IF($D15="",0,$D15)+SUMIF(Purchases!$B$2:$B$1001,$A15,Purchases!$C$2:$C$1001)),0))</f>
        <v/>
      </c>
      <c r="L15" s="9" t="str">
        <f t="shared" si="2"/>
        <v/>
      </c>
    </row>
    <row r="16" spans="1:12" x14ac:dyDescent="0.3">
      <c r="A16" s="19"/>
      <c r="B16" s="19"/>
      <c r="C16" s="19"/>
      <c r="D16" s="19"/>
      <c r="E16" s="23"/>
      <c r="F16" s="15" t="str">
        <f>IF($A16="","",SUMIF(Purchases!$B$2:$B$1001,$A16,Purchases!$C$2:$C$1001))</f>
        <v/>
      </c>
      <c r="G16" s="19"/>
      <c r="H16" s="6" t="str">
        <f t="shared" si="0"/>
        <v/>
      </c>
      <c r="I16" s="19"/>
      <c r="J16" s="3" t="str">
        <f t="shared" si="1"/>
        <v/>
      </c>
      <c r="K16" s="16" t="str">
        <f>IF($A16="","",IFERROR((IF($D16="",0,$D16)*IF($E16="",0,$E16)+SUMIF(Purchases!$B$2:$B$1001,$A16,Purchases!$E$2:$E$1001))/(IF($D16="",0,$D16)+SUMIF(Purchases!$B$2:$B$1001,$A16,Purchases!$C$2:$C$1001)),0))</f>
        <v/>
      </c>
      <c r="L16" s="9" t="str">
        <f t="shared" si="2"/>
        <v/>
      </c>
    </row>
    <row r="17" spans="1:12" x14ac:dyDescent="0.3">
      <c r="A17" s="19"/>
      <c r="B17" s="19"/>
      <c r="C17" s="19"/>
      <c r="D17" s="19"/>
      <c r="E17" s="23"/>
      <c r="F17" s="15" t="str">
        <f>IF($A17="","",SUMIF(Purchases!$B$2:$B$1001,$A17,Purchases!$C$2:$C$1001))</f>
        <v/>
      </c>
      <c r="G17" s="19"/>
      <c r="H17" s="6" t="str">
        <f t="shared" si="0"/>
        <v/>
      </c>
      <c r="I17" s="19"/>
      <c r="J17" s="3" t="str">
        <f t="shared" si="1"/>
        <v/>
      </c>
      <c r="K17" s="16" t="str">
        <f>IF($A17="","",IFERROR((IF($D17="",0,$D17)*IF($E17="",0,$E17)+SUMIF(Purchases!$B$2:$B$1001,$A17,Purchases!$E$2:$E$1001))/(IF($D17="",0,$D17)+SUMIF(Purchases!$B$2:$B$1001,$A17,Purchases!$C$2:$C$1001)),0))</f>
        <v/>
      </c>
      <c r="L17" s="9" t="str">
        <f t="shared" si="2"/>
        <v/>
      </c>
    </row>
    <row r="18" spans="1:12" x14ac:dyDescent="0.3">
      <c r="A18" s="19"/>
      <c r="B18" s="19"/>
      <c r="C18" s="19"/>
      <c r="D18" s="19"/>
      <c r="E18" s="23"/>
      <c r="F18" s="15" t="str">
        <f>IF($A18="","",SUMIF(Purchases!$B$2:$B$1001,$A18,Purchases!$C$2:$C$1001))</f>
        <v/>
      </c>
      <c r="G18" s="19"/>
      <c r="H18" s="6" t="str">
        <f t="shared" si="0"/>
        <v/>
      </c>
      <c r="I18" s="19"/>
      <c r="J18" s="3" t="str">
        <f t="shared" si="1"/>
        <v/>
      </c>
      <c r="K18" s="16" t="str">
        <f>IF($A18="","",IFERROR((IF($D18="",0,$D18)*IF($E18="",0,$E18)+SUMIF(Purchases!$B$2:$B$1001,$A18,Purchases!$E$2:$E$1001))/(IF($D18="",0,$D18)+SUMIF(Purchases!$B$2:$B$1001,$A18,Purchases!$C$2:$C$1001)),0))</f>
        <v/>
      </c>
      <c r="L18" s="9" t="str">
        <f t="shared" si="2"/>
        <v/>
      </c>
    </row>
    <row r="19" spans="1:12" x14ac:dyDescent="0.3">
      <c r="A19" s="19"/>
      <c r="B19" s="19"/>
      <c r="C19" s="19"/>
      <c r="D19" s="19"/>
      <c r="E19" s="23"/>
      <c r="F19" s="15" t="str">
        <f>IF($A19="","",SUMIF(Purchases!$B$2:$B$1001,$A19,Purchases!$C$2:$C$1001))</f>
        <v/>
      </c>
      <c r="G19" s="19"/>
      <c r="H19" s="6" t="str">
        <f t="shared" si="0"/>
        <v/>
      </c>
      <c r="I19" s="19"/>
      <c r="J19" s="3" t="str">
        <f t="shared" si="1"/>
        <v/>
      </c>
      <c r="K19" s="16" t="str">
        <f>IF($A19="","",IFERROR((IF($D19="",0,$D19)*IF($E19="",0,$E19)+SUMIF(Purchases!$B$2:$B$1001,$A19,Purchases!$E$2:$E$1001))/(IF($D19="",0,$D19)+SUMIF(Purchases!$B$2:$B$1001,$A19,Purchases!$C$2:$C$1001)),0))</f>
        <v/>
      </c>
      <c r="L19" s="9" t="str">
        <f t="shared" si="2"/>
        <v/>
      </c>
    </row>
    <row r="20" spans="1:12" x14ac:dyDescent="0.3">
      <c r="A20" s="19"/>
      <c r="B20" s="19"/>
      <c r="C20" s="19"/>
      <c r="D20" s="19"/>
      <c r="E20" s="23"/>
      <c r="F20" s="15" t="str">
        <f>IF($A20="","",SUMIF(Purchases!$B$2:$B$1001,$A20,Purchases!$C$2:$C$1001))</f>
        <v/>
      </c>
      <c r="G20" s="19"/>
      <c r="H20" s="6" t="str">
        <f t="shared" si="0"/>
        <v/>
      </c>
      <c r="I20" s="19"/>
      <c r="J20" s="3" t="str">
        <f t="shared" si="1"/>
        <v/>
      </c>
      <c r="K20" s="16" t="str">
        <f>IF($A20="","",IFERROR((IF($D20="",0,$D20)*IF($E20="",0,$E20)+SUMIF(Purchases!$B$2:$B$1001,$A20,Purchases!$E$2:$E$1001))/(IF($D20="",0,$D20)+SUMIF(Purchases!$B$2:$B$1001,$A20,Purchases!$C$2:$C$1001)),0))</f>
        <v/>
      </c>
      <c r="L20" s="9" t="str">
        <f t="shared" si="2"/>
        <v/>
      </c>
    </row>
    <row r="21" spans="1:12" x14ac:dyDescent="0.3">
      <c r="A21" s="19"/>
      <c r="B21" s="19"/>
      <c r="C21" s="19"/>
      <c r="D21" s="19"/>
      <c r="E21" s="23"/>
      <c r="F21" s="15" t="str">
        <f>IF($A21="","",SUMIF(Purchases!$B$2:$B$1001,$A21,Purchases!$C$2:$C$1001))</f>
        <v/>
      </c>
      <c r="G21" s="19"/>
      <c r="H21" s="6" t="str">
        <f t="shared" si="0"/>
        <v/>
      </c>
      <c r="I21" s="19"/>
      <c r="J21" s="3" t="str">
        <f t="shared" si="1"/>
        <v/>
      </c>
      <c r="K21" s="16" t="str">
        <f>IF($A21="","",IFERROR((IF($D21="",0,$D21)*IF($E21="",0,$E21)+SUMIF(Purchases!$B$2:$B$1001,$A21,Purchases!$E$2:$E$1001))/(IF($D21="",0,$D21)+SUMIF(Purchases!$B$2:$B$1001,$A21,Purchases!$C$2:$C$1001)),0))</f>
        <v/>
      </c>
      <c r="L21" s="9" t="str">
        <f t="shared" si="2"/>
        <v/>
      </c>
    </row>
    <row r="22" spans="1:12" x14ac:dyDescent="0.3">
      <c r="A22" s="19"/>
      <c r="B22" s="19"/>
      <c r="C22" s="19"/>
      <c r="D22" s="19"/>
      <c r="E22" s="23"/>
      <c r="F22" s="15" t="str">
        <f>IF($A22="","",SUMIF(Purchases!$B$2:$B$1001,$A22,Purchases!$C$2:$C$1001))</f>
        <v/>
      </c>
      <c r="G22" s="19"/>
      <c r="H22" s="6" t="str">
        <f t="shared" si="0"/>
        <v/>
      </c>
      <c r="I22" s="19"/>
      <c r="J22" s="3" t="str">
        <f t="shared" si="1"/>
        <v/>
      </c>
      <c r="K22" s="16" t="str">
        <f>IF($A22="","",IFERROR((IF($D22="",0,$D22)*IF($E22="",0,$E22)+SUMIF(Purchases!$B$2:$B$1001,$A22,Purchases!$E$2:$E$1001))/(IF($D22="",0,$D22)+SUMIF(Purchases!$B$2:$B$1001,$A22,Purchases!$C$2:$C$1001)),0))</f>
        <v/>
      </c>
      <c r="L22" s="9" t="str">
        <f t="shared" si="2"/>
        <v/>
      </c>
    </row>
    <row r="23" spans="1:12" x14ac:dyDescent="0.3">
      <c r="A23" s="19"/>
      <c r="B23" s="19"/>
      <c r="C23" s="19"/>
      <c r="D23" s="19"/>
      <c r="E23" s="23"/>
      <c r="F23" s="15" t="str">
        <f>IF($A23="","",SUMIF(Purchases!$B$2:$B$1001,$A23,Purchases!$C$2:$C$1001))</f>
        <v/>
      </c>
      <c r="G23" s="19"/>
      <c r="H23" s="6" t="str">
        <f t="shared" si="0"/>
        <v/>
      </c>
      <c r="I23" s="19"/>
      <c r="J23" s="3" t="str">
        <f t="shared" si="1"/>
        <v/>
      </c>
      <c r="K23" s="16" t="str">
        <f>IF($A23="","",IFERROR((IF($D23="",0,$D23)*IF($E23="",0,$E23)+SUMIF(Purchases!$B$2:$B$1001,$A23,Purchases!$E$2:$E$1001))/(IF($D23="",0,$D23)+SUMIF(Purchases!$B$2:$B$1001,$A23,Purchases!$C$2:$C$1001)),0))</f>
        <v/>
      </c>
      <c r="L23" s="9" t="str">
        <f t="shared" si="2"/>
        <v/>
      </c>
    </row>
    <row r="24" spans="1:12" x14ac:dyDescent="0.3">
      <c r="A24" s="19"/>
      <c r="B24" s="19"/>
      <c r="C24" s="19"/>
      <c r="D24" s="19"/>
      <c r="E24" s="23"/>
      <c r="F24" s="15" t="str">
        <f>IF($A24="","",SUMIF(Purchases!$B$2:$B$1001,$A24,Purchases!$C$2:$C$1001))</f>
        <v/>
      </c>
      <c r="G24" s="19"/>
      <c r="H24" s="6" t="str">
        <f t="shared" si="0"/>
        <v/>
      </c>
      <c r="I24" s="19"/>
      <c r="J24" s="3" t="str">
        <f t="shared" si="1"/>
        <v/>
      </c>
      <c r="K24" s="16" t="str">
        <f>IF($A24="","",IFERROR((IF($D24="",0,$D24)*IF($E24="",0,$E24)+SUMIF(Purchases!$B$2:$B$1001,$A24,Purchases!$E$2:$E$1001))/(IF($D24="",0,$D24)+SUMIF(Purchases!$B$2:$B$1001,$A24,Purchases!$C$2:$C$1001)),0))</f>
        <v/>
      </c>
      <c r="L24" s="9" t="str">
        <f t="shared" si="2"/>
        <v/>
      </c>
    </row>
    <row r="25" spans="1:12" x14ac:dyDescent="0.3">
      <c r="A25" s="19"/>
      <c r="B25" s="19"/>
      <c r="C25" s="19"/>
      <c r="D25" s="19"/>
      <c r="E25" s="23"/>
      <c r="F25" s="15" t="str">
        <f>IF($A25="","",SUMIF(Purchases!$B$2:$B$1001,$A25,Purchases!$C$2:$C$1001))</f>
        <v/>
      </c>
      <c r="G25" s="19"/>
      <c r="H25" s="6" t="str">
        <f t="shared" si="0"/>
        <v/>
      </c>
      <c r="I25" s="19"/>
      <c r="J25" s="3" t="str">
        <f t="shared" si="1"/>
        <v/>
      </c>
      <c r="K25" s="16" t="str">
        <f>IF($A25="","",IFERROR((IF($D25="",0,$D25)*IF($E25="",0,$E25)+SUMIF(Purchases!$B$2:$B$1001,$A25,Purchases!$E$2:$E$1001))/(IF($D25="",0,$D25)+SUMIF(Purchases!$B$2:$B$1001,$A25,Purchases!$C$2:$C$1001)),0))</f>
        <v/>
      </c>
      <c r="L25" s="9" t="str">
        <f t="shared" si="2"/>
        <v/>
      </c>
    </row>
    <row r="26" spans="1:12" x14ac:dyDescent="0.3">
      <c r="A26" s="19"/>
      <c r="B26" s="19"/>
      <c r="C26" s="19"/>
      <c r="D26" s="19"/>
      <c r="E26" s="23"/>
      <c r="F26" s="15" t="str">
        <f>IF($A26="","",SUMIF(Purchases!$B$2:$B$1001,$A26,Purchases!$C$2:$C$1001))</f>
        <v/>
      </c>
      <c r="G26" s="19"/>
      <c r="H26" s="6" t="str">
        <f t="shared" si="0"/>
        <v/>
      </c>
      <c r="I26" s="19"/>
      <c r="J26" s="3" t="str">
        <f t="shared" si="1"/>
        <v/>
      </c>
      <c r="K26" s="16" t="str">
        <f>IF($A26="","",IFERROR((IF($D26="",0,$D26)*IF($E26="",0,$E26)+SUMIF(Purchases!$B$2:$B$1001,$A26,Purchases!$E$2:$E$1001))/(IF($D26="",0,$D26)+SUMIF(Purchases!$B$2:$B$1001,$A26,Purchases!$C$2:$C$1001)),0))</f>
        <v/>
      </c>
      <c r="L26" s="9" t="str">
        <f t="shared" si="2"/>
        <v/>
      </c>
    </row>
    <row r="27" spans="1:12" x14ac:dyDescent="0.3">
      <c r="A27" s="19"/>
      <c r="B27" s="19"/>
      <c r="C27" s="19"/>
      <c r="D27" s="19"/>
      <c r="E27" s="23"/>
      <c r="F27" s="15" t="str">
        <f>IF($A27="","",SUMIF(Purchases!$B$2:$B$1001,$A27,Purchases!$C$2:$C$1001))</f>
        <v/>
      </c>
      <c r="G27" s="19"/>
      <c r="H27" s="6" t="str">
        <f t="shared" si="0"/>
        <v/>
      </c>
      <c r="I27" s="19"/>
      <c r="J27" s="3" t="str">
        <f t="shared" si="1"/>
        <v/>
      </c>
      <c r="K27" s="16" t="str">
        <f>IF($A27="","",IFERROR((IF($D27="",0,$D27)*IF($E27="",0,$E27)+SUMIF(Purchases!$B$2:$B$1001,$A27,Purchases!$E$2:$E$1001))/(IF($D27="",0,$D27)+SUMIF(Purchases!$B$2:$B$1001,$A27,Purchases!$C$2:$C$1001)),0))</f>
        <v/>
      </c>
      <c r="L27" s="9" t="str">
        <f t="shared" si="2"/>
        <v/>
      </c>
    </row>
    <row r="28" spans="1:12" x14ac:dyDescent="0.3">
      <c r="A28" s="19"/>
      <c r="B28" s="19"/>
      <c r="C28" s="19"/>
      <c r="D28" s="19"/>
      <c r="E28" s="23"/>
      <c r="F28" s="15" t="str">
        <f>IF($A28="","",SUMIF(Purchases!$B$2:$B$1001,$A28,Purchases!$C$2:$C$1001))</f>
        <v/>
      </c>
      <c r="G28" s="19"/>
      <c r="H28" s="6" t="str">
        <f t="shared" si="0"/>
        <v/>
      </c>
      <c r="I28" s="19"/>
      <c r="J28" s="3" t="str">
        <f t="shared" si="1"/>
        <v/>
      </c>
      <c r="K28" s="16" t="str">
        <f>IF($A28="","",IFERROR((IF($D28="",0,$D28)*IF($E28="",0,$E28)+SUMIF(Purchases!$B$2:$B$1001,$A28,Purchases!$E$2:$E$1001))/(IF($D28="",0,$D28)+SUMIF(Purchases!$B$2:$B$1001,$A28,Purchases!$C$2:$C$1001)),0))</f>
        <v/>
      </c>
      <c r="L28" s="9" t="str">
        <f t="shared" si="2"/>
        <v/>
      </c>
    </row>
    <row r="29" spans="1:12" x14ac:dyDescent="0.3">
      <c r="A29" s="19"/>
      <c r="B29" s="19"/>
      <c r="C29" s="19"/>
      <c r="D29" s="19"/>
      <c r="E29" s="23"/>
      <c r="F29" s="15" t="str">
        <f>IF($A29="","",SUMIF(Purchases!$B$2:$B$1001,$A29,Purchases!$C$2:$C$1001))</f>
        <v/>
      </c>
      <c r="G29" s="19"/>
      <c r="H29" s="6" t="str">
        <f t="shared" si="0"/>
        <v/>
      </c>
      <c r="I29" s="19"/>
      <c r="J29" s="3" t="str">
        <f t="shared" si="1"/>
        <v/>
      </c>
      <c r="K29" s="16" t="str">
        <f>IF($A29="","",IFERROR((IF($D29="",0,$D29)*IF($E29="",0,$E29)+SUMIF(Purchases!$B$2:$B$1001,$A29,Purchases!$E$2:$E$1001))/(IF($D29="",0,$D29)+SUMIF(Purchases!$B$2:$B$1001,$A29,Purchases!$C$2:$C$1001)),0))</f>
        <v/>
      </c>
      <c r="L29" s="9" t="str">
        <f t="shared" si="2"/>
        <v/>
      </c>
    </row>
    <row r="30" spans="1:12" x14ac:dyDescent="0.3">
      <c r="A30" s="19"/>
      <c r="B30" s="19"/>
      <c r="C30" s="19"/>
      <c r="D30" s="19"/>
      <c r="E30" s="23"/>
      <c r="F30" s="15" t="str">
        <f>IF($A30="","",SUMIF(Purchases!$B$2:$B$1001,$A30,Purchases!$C$2:$C$1001))</f>
        <v/>
      </c>
      <c r="G30" s="19"/>
      <c r="H30" s="6" t="str">
        <f t="shared" si="0"/>
        <v/>
      </c>
      <c r="I30" s="19"/>
      <c r="J30" s="3" t="str">
        <f t="shared" si="1"/>
        <v/>
      </c>
      <c r="K30" s="16" t="str">
        <f>IF($A30="","",IFERROR((IF($D30="",0,$D30)*IF($E30="",0,$E30)+SUMIF(Purchases!$B$2:$B$1001,$A30,Purchases!$E$2:$E$1001))/(IF($D30="",0,$D30)+SUMIF(Purchases!$B$2:$B$1001,$A30,Purchases!$C$2:$C$1001)),0))</f>
        <v/>
      </c>
      <c r="L30" s="9" t="str">
        <f t="shared" si="2"/>
        <v/>
      </c>
    </row>
    <row r="31" spans="1:12" x14ac:dyDescent="0.3">
      <c r="A31" s="19"/>
      <c r="B31" s="19"/>
      <c r="C31" s="19"/>
      <c r="D31" s="19"/>
      <c r="E31" s="23"/>
      <c r="F31" s="15" t="str">
        <f>IF($A31="","",SUMIF(Purchases!$B$2:$B$1001,$A31,Purchases!$C$2:$C$1001))</f>
        <v/>
      </c>
      <c r="G31" s="19"/>
      <c r="H31" s="6" t="str">
        <f t="shared" si="0"/>
        <v/>
      </c>
      <c r="I31" s="19"/>
      <c r="J31" s="3" t="str">
        <f t="shared" si="1"/>
        <v/>
      </c>
      <c r="K31" s="16" t="str">
        <f>IF($A31="","",IFERROR((IF($D31="",0,$D31)*IF($E31="",0,$E31)+SUMIF(Purchases!$B$2:$B$1001,$A31,Purchases!$E$2:$E$1001))/(IF($D31="",0,$D31)+SUMIF(Purchases!$B$2:$B$1001,$A31,Purchases!$C$2:$C$1001)),0))</f>
        <v/>
      </c>
      <c r="L31" s="9" t="str">
        <f t="shared" si="2"/>
        <v/>
      </c>
    </row>
    <row r="32" spans="1:12" x14ac:dyDescent="0.3">
      <c r="A32" s="19"/>
      <c r="B32" s="19"/>
      <c r="C32" s="19"/>
      <c r="D32" s="19"/>
      <c r="E32" s="23"/>
      <c r="F32" s="15" t="str">
        <f>IF($A32="","",SUMIF(Purchases!$B$2:$B$1001,$A32,Purchases!$C$2:$C$1001))</f>
        <v/>
      </c>
      <c r="G32" s="19"/>
      <c r="H32" s="6" t="str">
        <f t="shared" si="0"/>
        <v/>
      </c>
      <c r="I32" s="19"/>
      <c r="J32" s="3" t="str">
        <f t="shared" si="1"/>
        <v/>
      </c>
      <c r="K32" s="16" t="str">
        <f>IF($A32="","",IFERROR((IF($D32="",0,$D32)*IF($E32="",0,$E32)+SUMIF(Purchases!$B$2:$B$1001,$A32,Purchases!$E$2:$E$1001))/(IF($D32="",0,$D32)+SUMIF(Purchases!$B$2:$B$1001,$A32,Purchases!$C$2:$C$1001)),0))</f>
        <v/>
      </c>
      <c r="L32" s="9" t="str">
        <f t="shared" si="2"/>
        <v/>
      </c>
    </row>
    <row r="33" spans="1:12" x14ac:dyDescent="0.3">
      <c r="A33" s="19"/>
      <c r="B33" s="19"/>
      <c r="C33" s="19"/>
      <c r="D33" s="19"/>
      <c r="E33" s="23"/>
      <c r="F33" s="15" t="str">
        <f>IF($A33="","",SUMIF(Purchases!$B$2:$B$1001,$A33,Purchases!$C$2:$C$1001))</f>
        <v/>
      </c>
      <c r="G33" s="19"/>
      <c r="H33" s="6" t="str">
        <f t="shared" si="0"/>
        <v/>
      </c>
      <c r="I33" s="19"/>
      <c r="J33" s="3" t="str">
        <f t="shared" si="1"/>
        <v/>
      </c>
      <c r="K33" s="16" t="str">
        <f>IF($A33="","",IFERROR((IF($D33="",0,$D33)*IF($E33="",0,$E33)+SUMIF(Purchases!$B$2:$B$1001,$A33,Purchases!$E$2:$E$1001))/(IF($D33="",0,$D33)+SUMIF(Purchases!$B$2:$B$1001,$A33,Purchases!$C$2:$C$1001)),0))</f>
        <v/>
      </c>
      <c r="L33" s="9" t="str">
        <f t="shared" si="2"/>
        <v/>
      </c>
    </row>
    <row r="34" spans="1:12" x14ac:dyDescent="0.3">
      <c r="A34" s="19"/>
      <c r="B34" s="19"/>
      <c r="C34" s="19"/>
      <c r="D34" s="19"/>
      <c r="E34" s="23"/>
      <c r="F34" s="15" t="str">
        <f>IF($A34="","",SUMIF(Purchases!$B$2:$B$1001,$A34,Purchases!$C$2:$C$1001))</f>
        <v/>
      </c>
      <c r="G34" s="19"/>
      <c r="H34" s="6" t="str">
        <f t="shared" ref="H34:H65" si="3">IF($A34="","",IF($D34="",0,$D34)+$F34-IF($G34="",0,$G34))</f>
        <v/>
      </c>
      <c r="I34" s="19"/>
      <c r="J34" s="3" t="str">
        <f t="shared" ref="J34:J65" si="4">IF($A34="","",IF($I34="","OK",IF($H34&lt;=$I34,"REORDER","OK")))</f>
        <v/>
      </c>
      <c r="K34" s="16" t="str">
        <f>IF($A34="","",IFERROR((IF($D34="",0,$D34)*IF($E34="",0,$E34)+SUMIF(Purchases!$B$2:$B$1001,$A34,Purchases!$E$2:$E$1001))/(IF($D34="",0,$D34)+SUMIF(Purchases!$B$2:$B$1001,$A34,Purchases!$C$2:$C$1001)),0))</f>
        <v/>
      </c>
      <c r="L34" s="9" t="str">
        <f t="shared" ref="L34:L65" si="5">IF($A34="","",$H34*$K34)</f>
        <v/>
      </c>
    </row>
    <row r="35" spans="1:12" x14ac:dyDescent="0.3">
      <c r="A35" s="19"/>
      <c r="B35" s="19"/>
      <c r="C35" s="19"/>
      <c r="D35" s="19"/>
      <c r="E35" s="23"/>
      <c r="F35" s="15" t="str">
        <f>IF($A35="","",SUMIF(Purchases!$B$2:$B$1001,$A35,Purchases!$C$2:$C$1001))</f>
        <v/>
      </c>
      <c r="G35" s="19"/>
      <c r="H35" s="6" t="str">
        <f t="shared" si="3"/>
        <v/>
      </c>
      <c r="I35" s="19"/>
      <c r="J35" s="3" t="str">
        <f t="shared" si="4"/>
        <v/>
      </c>
      <c r="K35" s="16" t="str">
        <f>IF($A35="","",IFERROR((IF($D35="",0,$D35)*IF($E35="",0,$E35)+SUMIF(Purchases!$B$2:$B$1001,$A35,Purchases!$E$2:$E$1001))/(IF($D35="",0,$D35)+SUMIF(Purchases!$B$2:$B$1001,$A35,Purchases!$C$2:$C$1001)),0))</f>
        <v/>
      </c>
      <c r="L35" s="9" t="str">
        <f t="shared" si="5"/>
        <v/>
      </c>
    </row>
    <row r="36" spans="1:12" x14ac:dyDescent="0.3">
      <c r="A36" s="19"/>
      <c r="B36" s="19"/>
      <c r="C36" s="19"/>
      <c r="D36" s="19"/>
      <c r="E36" s="23"/>
      <c r="F36" s="15" t="str">
        <f>IF($A36="","",SUMIF(Purchases!$B$2:$B$1001,$A36,Purchases!$C$2:$C$1001))</f>
        <v/>
      </c>
      <c r="G36" s="19"/>
      <c r="H36" s="6" t="str">
        <f t="shared" si="3"/>
        <v/>
      </c>
      <c r="I36" s="19"/>
      <c r="J36" s="3" t="str">
        <f t="shared" si="4"/>
        <v/>
      </c>
      <c r="K36" s="16" t="str">
        <f>IF($A36="","",IFERROR((IF($D36="",0,$D36)*IF($E36="",0,$E36)+SUMIF(Purchases!$B$2:$B$1001,$A36,Purchases!$E$2:$E$1001))/(IF($D36="",0,$D36)+SUMIF(Purchases!$B$2:$B$1001,$A36,Purchases!$C$2:$C$1001)),0))</f>
        <v/>
      </c>
      <c r="L36" s="9" t="str">
        <f t="shared" si="5"/>
        <v/>
      </c>
    </row>
    <row r="37" spans="1:12" x14ac:dyDescent="0.3">
      <c r="A37" s="19"/>
      <c r="B37" s="19"/>
      <c r="C37" s="19"/>
      <c r="D37" s="19"/>
      <c r="E37" s="23"/>
      <c r="F37" s="15" t="str">
        <f>IF($A37="","",SUMIF(Purchases!$B$2:$B$1001,$A37,Purchases!$C$2:$C$1001))</f>
        <v/>
      </c>
      <c r="G37" s="19"/>
      <c r="H37" s="6" t="str">
        <f t="shared" si="3"/>
        <v/>
      </c>
      <c r="I37" s="19"/>
      <c r="J37" s="3" t="str">
        <f t="shared" si="4"/>
        <v/>
      </c>
      <c r="K37" s="16" t="str">
        <f>IF($A37="","",IFERROR((IF($D37="",0,$D37)*IF($E37="",0,$E37)+SUMIF(Purchases!$B$2:$B$1001,$A37,Purchases!$E$2:$E$1001))/(IF($D37="",0,$D37)+SUMIF(Purchases!$B$2:$B$1001,$A37,Purchases!$C$2:$C$1001)),0))</f>
        <v/>
      </c>
      <c r="L37" s="9" t="str">
        <f t="shared" si="5"/>
        <v/>
      </c>
    </row>
    <row r="38" spans="1:12" x14ac:dyDescent="0.3">
      <c r="A38" s="19"/>
      <c r="B38" s="19"/>
      <c r="C38" s="19"/>
      <c r="D38" s="19"/>
      <c r="E38" s="23"/>
      <c r="F38" s="15" t="str">
        <f>IF($A38="","",SUMIF(Purchases!$B$2:$B$1001,$A38,Purchases!$C$2:$C$1001))</f>
        <v/>
      </c>
      <c r="G38" s="19"/>
      <c r="H38" s="6" t="str">
        <f t="shared" si="3"/>
        <v/>
      </c>
      <c r="I38" s="19"/>
      <c r="J38" s="3" t="str">
        <f t="shared" si="4"/>
        <v/>
      </c>
      <c r="K38" s="16" t="str">
        <f>IF($A38="","",IFERROR((IF($D38="",0,$D38)*IF($E38="",0,$E38)+SUMIF(Purchases!$B$2:$B$1001,$A38,Purchases!$E$2:$E$1001))/(IF($D38="",0,$D38)+SUMIF(Purchases!$B$2:$B$1001,$A38,Purchases!$C$2:$C$1001)),0))</f>
        <v/>
      </c>
      <c r="L38" s="9" t="str">
        <f t="shared" si="5"/>
        <v/>
      </c>
    </row>
    <row r="39" spans="1:12" x14ac:dyDescent="0.3">
      <c r="A39" s="19"/>
      <c r="B39" s="19"/>
      <c r="C39" s="19"/>
      <c r="D39" s="19"/>
      <c r="E39" s="23"/>
      <c r="F39" s="15" t="str">
        <f>IF($A39="","",SUMIF(Purchases!$B$2:$B$1001,$A39,Purchases!$C$2:$C$1001))</f>
        <v/>
      </c>
      <c r="G39" s="19"/>
      <c r="H39" s="6" t="str">
        <f t="shared" si="3"/>
        <v/>
      </c>
      <c r="I39" s="19"/>
      <c r="J39" s="3" t="str">
        <f t="shared" si="4"/>
        <v/>
      </c>
      <c r="K39" s="16" t="str">
        <f>IF($A39="","",IFERROR((IF($D39="",0,$D39)*IF($E39="",0,$E39)+SUMIF(Purchases!$B$2:$B$1001,$A39,Purchases!$E$2:$E$1001))/(IF($D39="",0,$D39)+SUMIF(Purchases!$B$2:$B$1001,$A39,Purchases!$C$2:$C$1001)),0))</f>
        <v/>
      </c>
      <c r="L39" s="9" t="str">
        <f t="shared" si="5"/>
        <v/>
      </c>
    </row>
    <row r="40" spans="1:12" x14ac:dyDescent="0.3">
      <c r="A40" s="19"/>
      <c r="B40" s="19"/>
      <c r="C40" s="19"/>
      <c r="D40" s="19"/>
      <c r="E40" s="23"/>
      <c r="F40" s="15" t="str">
        <f>IF($A40="","",SUMIF(Purchases!$B$2:$B$1001,$A40,Purchases!$C$2:$C$1001))</f>
        <v/>
      </c>
      <c r="G40" s="19"/>
      <c r="H40" s="6" t="str">
        <f t="shared" si="3"/>
        <v/>
      </c>
      <c r="I40" s="19"/>
      <c r="J40" s="3" t="str">
        <f t="shared" si="4"/>
        <v/>
      </c>
      <c r="K40" s="16" t="str">
        <f>IF($A40="","",IFERROR((IF($D40="",0,$D40)*IF($E40="",0,$E40)+SUMIF(Purchases!$B$2:$B$1001,$A40,Purchases!$E$2:$E$1001))/(IF($D40="",0,$D40)+SUMIF(Purchases!$B$2:$B$1001,$A40,Purchases!$C$2:$C$1001)),0))</f>
        <v/>
      </c>
      <c r="L40" s="9" t="str">
        <f t="shared" si="5"/>
        <v/>
      </c>
    </row>
    <row r="41" spans="1:12" x14ac:dyDescent="0.3">
      <c r="A41" s="19"/>
      <c r="B41" s="19"/>
      <c r="C41" s="19"/>
      <c r="D41" s="19"/>
      <c r="E41" s="23"/>
      <c r="F41" s="15" t="str">
        <f>IF($A41="","",SUMIF(Purchases!$B$2:$B$1001,$A41,Purchases!$C$2:$C$1001))</f>
        <v/>
      </c>
      <c r="G41" s="19"/>
      <c r="H41" s="6" t="str">
        <f t="shared" si="3"/>
        <v/>
      </c>
      <c r="I41" s="19"/>
      <c r="J41" s="3" t="str">
        <f t="shared" si="4"/>
        <v/>
      </c>
      <c r="K41" s="16" t="str">
        <f>IF($A41="","",IFERROR((IF($D41="",0,$D41)*IF($E41="",0,$E41)+SUMIF(Purchases!$B$2:$B$1001,$A41,Purchases!$E$2:$E$1001))/(IF($D41="",0,$D41)+SUMIF(Purchases!$B$2:$B$1001,$A41,Purchases!$C$2:$C$1001)),0))</f>
        <v/>
      </c>
      <c r="L41" s="9" t="str">
        <f t="shared" si="5"/>
        <v/>
      </c>
    </row>
    <row r="42" spans="1:12" x14ac:dyDescent="0.3">
      <c r="A42" s="19"/>
      <c r="B42" s="19"/>
      <c r="C42" s="19"/>
      <c r="D42" s="19"/>
      <c r="E42" s="23"/>
      <c r="F42" s="15" t="str">
        <f>IF($A42="","",SUMIF(Purchases!$B$2:$B$1001,$A42,Purchases!$C$2:$C$1001))</f>
        <v/>
      </c>
      <c r="G42" s="19"/>
      <c r="H42" s="6" t="str">
        <f t="shared" si="3"/>
        <v/>
      </c>
      <c r="I42" s="19"/>
      <c r="J42" s="3" t="str">
        <f t="shared" si="4"/>
        <v/>
      </c>
      <c r="K42" s="16" t="str">
        <f>IF($A42="","",IFERROR((IF($D42="",0,$D42)*IF($E42="",0,$E42)+SUMIF(Purchases!$B$2:$B$1001,$A42,Purchases!$E$2:$E$1001))/(IF($D42="",0,$D42)+SUMIF(Purchases!$B$2:$B$1001,$A42,Purchases!$C$2:$C$1001)),0))</f>
        <v/>
      </c>
      <c r="L42" s="9" t="str">
        <f t="shared" si="5"/>
        <v/>
      </c>
    </row>
    <row r="43" spans="1:12" x14ac:dyDescent="0.3">
      <c r="A43" s="19"/>
      <c r="B43" s="19"/>
      <c r="C43" s="19"/>
      <c r="D43" s="19"/>
      <c r="E43" s="23"/>
      <c r="F43" s="15" t="str">
        <f>IF($A43="","",SUMIF(Purchases!$B$2:$B$1001,$A43,Purchases!$C$2:$C$1001))</f>
        <v/>
      </c>
      <c r="G43" s="19"/>
      <c r="H43" s="6" t="str">
        <f t="shared" si="3"/>
        <v/>
      </c>
      <c r="I43" s="19"/>
      <c r="J43" s="3" t="str">
        <f t="shared" si="4"/>
        <v/>
      </c>
      <c r="K43" s="16" t="str">
        <f>IF($A43="","",IFERROR((IF($D43="",0,$D43)*IF($E43="",0,$E43)+SUMIF(Purchases!$B$2:$B$1001,$A43,Purchases!$E$2:$E$1001))/(IF($D43="",0,$D43)+SUMIF(Purchases!$B$2:$B$1001,$A43,Purchases!$C$2:$C$1001)),0))</f>
        <v/>
      </c>
      <c r="L43" s="9" t="str">
        <f t="shared" si="5"/>
        <v/>
      </c>
    </row>
    <row r="44" spans="1:12" x14ac:dyDescent="0.3">
      <c r="A44" s="19"/>
      <c r="B44" s="19"/>
      <c r="C44" s="19"/>
      <c r="D44" s="19"/>
      <c r="E44" s="23"/>
      <c r="F44" s="15" t="str">
        <f>IF($A44="","",SUMIF(Purchases!$B$2:$B$1001,$A44,Purchases!$C$2:$C$1001))</f>
        <v/>
      </c>
      <c r="G44" s="19"/>
      <c r="H44" s="6" t="str">
        <f t="shared" si="3"/>
        <v/>
      </c>
      <c r="I44" s="19"/>
      <c r="J44" s="3" t="str">
        <f t="shared" si="4"/>
        <v/>
      </c>
      <c r="K44" s="16" t="str">
        <f>IF($A44="","",IFERROR((IF($D44="",0,$D44)*IF($E44="",0,$E44)+SUMIF(Purchases!$B$2:$B$1001,$A44,Purchases!$E$2:$E$1001))/(IF($D44="",0,$D44)+SUMIF(Purchases!$B$2:$B$1001,$A44,Purchases!$C$2:$C$1001)),0))</f>
        <v/>
      </c>
      <c r="L44" s="9" t="str">
        <f t="shared" si="5"/>
        <v/>
      </c>
    </row>
    <row r="45" spans="1:12" x14ac:dyDescent="0.3">
      <c r="A45" s="19"/>
      <c r="B45" s="19"/>
      <c r="C45" s="19"/>
      <c r="D45" s="19"/>
      <c r="E45" s="23"/>
      <c r="F45" s="15" t="str">
        <f>IF($A45="","",SUMIF(Purchases!$B$2:$B$1001,$A45,Purchases!$C$2:$C$1001))</f>
        <v/>
      </c>
      <c r="G45" s="19"/>
      <c r="H45" s="6" t="str">
        <f t="shared" si="3"/>
        <v/>
      </c>
      <c r="I45" s="19"/>
      <c r="J45" s="3" t="str">
        <f t="shared" si="4"/>
        <v/>
      </c>
      <c r="K45" s="16" t="str">
        <f>IF($A45="","",IFERROR((IF($D45="",0,$D45)*IF($E45="",0,$E45)+SUMIF(Purchases!$B$2:$B$1001,$A45,Purchases!$E$2:$E$1001))/(IF($D45="",0,$D45)+SUMIF(Purchases!$B$2:$B$1001,$A45,Purchases!$C$2:$C$1001)),0))</f>
        <v/>
      </c>
      <c r="L45" s="9" t="str">
        <f t="shared" si="5"/>
        <v/>
      </c>
    </row>
    <row r="46" spans="1:12" x14ac:dyDescent="0.3">
      <c r="A46" s="19"/>
      <c r="B46" s="19"/>
      <c r="C46" s="19"/>
      <c r="D46" s="19"/>
      <c r="E46" s="23"/>
      <c r="F46" s="15" t="str">
        <f>IF($A46="","",SUMIF(Purchases!$B$2:$B$1001,$A46,Purchases!$C$2:$C$1001))</f>
        <v/>
      </c>
      <c r="G46" s="19"/>
      <c r="H46" s="6" t="str">
        <f t="shared" si="3"/>
        <v/>
      </c>
      <c r="I46" s="19"/>
      <c r="J46" s="3" t="str">
        <f t="shared" si="4"/>
        <v/>
      </c>
      <c r="K46" s="16" t="str">
        <f>IF($A46="","",IFERROR((IF($D46="",0,$D46)*IF($E46="",0,$E46)+SUMIF(Purchases!$B$2:$B$1001,$A46,Purchases!$E$2:$E$1001))/(IF($D46="",0,$D46)+SUMIF(Purchases!$B$2:$B$1001,$A46,Purchases!$C$2:$C$1001)),0))</f>
        <v/>
      </c>
      <c r="L46" s="9" t="str">
        <f t="shared" si="5"/>
        <v/>
      </c>
    </row>
    <row r="47" spans="1:12" x14ac:dyDescent="0.3">
      <c r="A47" s="19"/>
      <c r="B47" s="19"/>
      <c r="C47" s="19"/>
      <c r="D47" s="19"/>
      <c r="E47" s="23"/>
      <c r="F47" s="15" t="str">
        <f>IF($A47="","",SUMIF(Purchases!$B$2:$B$1001,$A47,Purchases!$C$2:$C$1001))</f>
        <v/>
      </c>
      <c r="G47" s="19"/>
      <c r="H47" s="6" t="str">
        <f t="shared" si="3"/>
        <v/>
      </c>
      <c r="I47" s="19"/>
      <c r="J47" s="3" t="str">
        <f t="shared" si="4"/>
        <v/>
      </c>
      <c r="K47" s="16" t="str">
        <f>IF($A47="","",IFERROR((IF($D47="",0,$D47)*IF($E47="",0,$E47)+SUMIF(Purchases!$B$2:$B$1001,$A47,Purchases!$E$2:$E$1001))/(IF($D47="",0,$D47)+SUMIF(Purchases!$B$2:$B$1001,$A47,Purchases!$C$2:$C$1001)),0))</f>
        <v/>
      </c>
      <c r="L47" s="9" t="str">
        <f t="shared" si="5"/>
        <v/>
      </c>
    </row>
    <row r="48" spans="1:12" x14ac:dyDescent="0.3">
      <c r="A48" s="19"/>
      <c r="B48" s="19"/>
      <c r="C48" s="19"/>
      <c r="D48" s="19"/>
      <c r="E48" s="23"/>
      <c r="F48" s="15" t="str">
        <f>IF($A48="","",SUMIF(Purchases!$B$2:$B$1001,$A48,Purchases!$C$2:$C$1001))</f>
        <v/>
      </c>
      <c r="G48" s="19"/>
      <c r="H48" s="6" t="str">
        <f t="shared" si="3"/>
        <v/>
      </c>
      <c r="I48" s="19"/>
      <c r="J48" s="3" t="str">
        <f t="shared" si="4"/>
        <v/>
      </c>
      <c r="K48" s="16" t="str">
        <f>IF($A48="","",IFERROR((IF($D48="",0,$D48)*IF($E48="",0,$E48)+SUMIF(Purchases!$B$2:$B$1001,$A48,Purchases!$E$2:$E$1001))/(IF($D48="",0,$D48)+SUMIF(Purchases!$B$2:$B$1001,$A48,Purchases!$C$2:$C$1001)),0))</f>
        <v/>
      </c>
      <c r="L48" s="9" t="str">
        <f t="shared" si="5"/>
        <v/>
      </c>
    </row>
    <row r="49" spans="1:12" x14ac:dyDescent="0.3">
      <c r="A49" s="19"/>
      <c r="B49" s="19"/>
      <c r="C49" s="19"/>
      <c r="D49" s="19"/>
      <c r="E49" s="23"/>
      <c r="F49" s="15" t="str">
        <f>IF($A49="","",SUMIF(Purchases!$B$2:$B$1001,$A49,Purchases!$C$2:$C$1001))</f>
        <v/>
      </c>
      <c r="G49" s="19"/>
      <c r="H49" s="6" t="str">
        <f t="shared" si="3"/>
        <v/>
      </c>
      <c r="I49" s="19"/>
      <c r="J49" s="3" t="str">
        <f t="shared" si="4"/>
        <v/>
      </c>
      <c r="K49" s="16" t="str">
        <f>IF($A49="","",IFERROR((IF($D49="",0,$D49)*IF($E49="",0,$E49)+SUMIF(Purchases!$B$2:$B$1001,$A49,Purchases!$E$2:$E$1001))/(IF($D49="",0,$D49)+SUMIF(Purchases!$B$2:$B$1001,$A49,Purchases!$C$2:$C$1001)),0))</f>
        <v/>
      </c>
      <c r="L49" s="9" t="str">
        <f t="shared" si="5"/>
        <v/>
      </c>
    </row>
    <row r="50" spans="1:12" x14ac:dyDescent="0.3">
      <c r="A50" s="19"/>
      <c r="B50" s="19"/>
      <c r="C50" s="19"/>
      <c r="D50" s="19"/>
      <c r="E50" s="23"/>
      <c r="F50" s="15" t="str">
        <f>IF($A50="","",SUMIF(Purchases!$B$2:$B$1001,$A50,Purchases!$C$2:$C$1001))</f>
        <v/>
      </c>
      <c r="G50" s="19"/>
      <c r="H50" s="6" t="str">
        <f t="shared" si="3"/>
        <v/>
      </c>
      <c r="I50" s="19"/>
      <c r="J50" s="3" t="str">
        <f t="shared" si="4"/>
        <v/>
      </c>
      <c r="K50" s="16" t="str">
        <f>IF($A50="","",IFERROR((IF($D50="",0,$D50)*IF($E50="",0,$E50)+SUMIF(Purchases!$B$2:$B$1001,$A50,Purchases!$E$2:$E$1001))/(IF($D50="",0,$D50)+SUMIF(Purchases!$B$2:$B$1001,$A50,Purchases!$C$2:$C$1001)),0))</f>
        <v/>
      </c>
      <c r="L50" s="9" t="str">
        <f t="shared" si="5"/>
        <v/>
      </c>
    </row>
    <row r="51" spans="1:12" x14ac:dyDescent="0.3">
      <c r="A51" s="19"/>
      <c r="B51" s="19"/>
      <c r="C51" s="19"/>
      <c r="D51" s="19"/>
      <c r="E51" s="23"/>
      <c r="F51" s="15" t="str">
        <f>IF($A51="","",SUMIF(Purchases!$B$2:$B$1001,$A51,Purchases!$C$2:$C$1001))</f>
        <v/>
      </c>
      <c r="G51" s="19"/>
      <c r="H51" s="6" t="str">
        <f t="shared" si="3"/>
        <v/>
      </c>
      <c r="I51" s="19"/>
      <c r="J51" s="3" t="str">
        <f t="shared" si="4"/>
        <v/>
      </c>
      <c r="K51" s="16" t="str">
        <f>IF($A51="","",IFERROR((IF($D51="",0,$D51)*IF($E51="",0,$E51)+SUMIF(Purchases!$B$2:$B$1001,$A51,Purchases!$E$2:$E$1001))/(IF($D51="",0,$D51)+SUMIF(Purchases!$B$2:$B$1001,$A51,Purchases!$C$2:$C$1001)),0))</f>
        <v/>
      </c>
      <c r="L51" s="9" t="str">
        <f t="shared" si="5"/>
        <v/>
      </c>
    </row>
    <row r="52" spans="1:12" x14ac:dyDescent="0.3">
      <c r="A52" s="19"/>
      <c r="B52" s="19"/>
      <c r="C52" s="19"/>
      <c r="D52" s="19"/>
      <c r="E52" s="23"/>
      <c r="F52" s="15" t="str">
        <f>IF($A52="","",SUMIF(Purchases!$B$2:$B$1001,$A52,Purchases!$C$2:$C$1001))</f>
        <v/>
      </c>
      <c r="G52" s="19"/>
      <c r="H52" s="6" t="str">
        <f t="shared" si="3"/>
        <v/>
      </c>
      <c r="I52" s="19"/>
      <c r="J52" s="3" t="str">
        <f t="shared" si="4"/>
        <v/>
      </c>
      <c r="K52" s="16" t="str">
        <f>IF($A52="","",IFERROR((IF($D52="",0,$D52)*IF($E52="",0,$E52)+SUMIF(Purchases!$B$2:$B$1001,$A52,Purchases!$E$2:$E$1001))/(IF($D52="",0,$D52)+SUMIF(Purchases!$B$2:$B$1001,$A52,Purchases!$C$2:$C$1001)),0))</f>
        <v/>
      </c>
      <c r="L52" s="9" t="str">
        <f t="shared" si="5"/>
        <v/>
      </c>
    </row>
    <row r="53" spans="1:12" x14ac:dyDescent="0.3">
      <c r="A53" s="19"/>
      <c r="B53" s="19"/>
      <c r="C53" s="19"/>
      <c r="D53" s="19"/>
      <c r="E53" s="23"/>
      <c r="F53" s="15" t="str">
        <f>IF($A53="","",SUMIF(Purchases!$B$2:$B$1001,$A53,Purchases!$C$2:$C$1001))</f>
        <v/>
      </c>
      <c r="G53" s="19"/>
      <c r="H53" s="6" t="str">
        <f t="shared" si="3"/>
        <v/>
      </c>
      <c r="I53" s="19"/>
      <c r="J53" s="3" t="str">
        <f t="shared" si="4"/>
        <v/>
      </c>
      <c r="K53" s="16" t="str">
        <f>IF($A53="","",IFERROR((IF($D53="",0,$D53)*IF($E53="",0,$E53)+SUMIF(Purchases!$B$2:$B$1001,$A53,Purchases!$E$2:$E$1001))/(IF($D53="",0,$D53)+SUMIF(Purchases!$B$2:$B$1001,$A53,Purchases!$C$2:$C$1001)),0))</f>
        <v/>
      </c>
      <c r="L53" s="9" t="str">
        <f t="shared" si="5"/>
        <v/>
      </c>
    </row>
    <row r="54" spans="1:12" x14ac:dyDescent="0.3">
      <c r="A54" s="19"/>
      <c r="B54" s="19"/>
      <c r="C54" s="19"/>
      <c r="D54" s="19"/>
      <c r="E54" s="23"/>
      <c r="F54" s="15" t="str">
        <f>IF($A54="","",SUMIF(Purchases!$B$2:$B$1001,$A54,Purchases!$C$2:$C$1001))</f>
        <v/>
      </c>
      <c r="G54" s="19"/>
      <c r="H54" s="6" t="str">
        <f t="shared" si="3"/>
        <v/>
      </c>
      <c r="I54" s="19"/>
      <c r="J54" s="3" t="str">
        <f t="shared" si="4"/>
        <v/>
      </c>
      <c r="K54" s="16" t="str">
        <f>IF($A54="","",IFERROR((IF($D54="",0,$D54)*IF($E54="",0,$E54)+SUMIF(Purchases!$B$2:$B$1001,$A54,Purchases!$E$2:$E$1001))/(IF($D54="",0,$D54)+SUMIF(Purchases!$B$2:$B$1001,$A54,Purchases!$C$2:$C$1001)),0))</f>
        <v/>
      </c>
      <c r="L54" s="9" t="str">
        <f t="shared" si="5"/>
        <v/>
      </c>
    </row>
    <row r="55" spans="1:12" x14ac:dyDescent="0.3">
      <c r="A55" s="19"/>
      <c r="B55" s="19"/>
      <c r="C55" s="19"/>
      <c r="D55" s="19"/>
      <c r="E55" s="23"/>
      <c r="F55" s="15" t="str">
        <f>IF($A55="","",SUMIF(Purchases!$B$2:$B$1001,$A55,Purchases!$C$2:$C$1001))</f>
        <v/>
      </c>
      <c r="G55" s="19"/>
      <c r="H55" s="6" t="str">
        <f t="shared" si="3"/>
        <v/>
      </c>
      <c r="I55" s="19"/>
      <c r="J55" s="3" t="str">
        <f t="shared" si="4"/>
        <v/>
      </c>
      <c r="K55" s="16" t="str">
        <f>IF($A55="","",IFERROR((IF($D55="",0,$D55)*IF($E55="",0,$E55)+SUMIF(Purchases!$B$2:$B$1001,$A55,Purchases!$E$2:$E$1001))/(IF($D55="",0,$D55)+SUMIF(Purchases!$B$2:$B$1001,$A55,Purchases!$C$2:$C$1001)),0))</f>
        <v/>
      </c>
      <c r="L55" s="9" t="str">
        <f t="shared" si="5"/>
        <v/>
      </c>
    </row>
    <row r="56" spans="1:12" x14ac:dyDescent="0.3">
      <c r="A56" s="19"/>
      <c r="B56" s="19"/>
      <c r="C56" s="19"/>
      <c r="D56" s="19"/>
      <c r="E56" s="23"/>
      <c r="F56" s="15" t="str">
        <f>IF($A56="","",SUMIF(Purchases!$B$2:$B$1001,$A56,Purchases!$C$2:$C$1001))</f>
        <v/>
      </c>
      <c r="G56" s="19"/>
      <c r="H56" s="6" t="str">
        <f t="shared" si="3"/>
        <v/>
      </c>
      <c r="I56" s="19"/>
      <c r="J56" s="3" t="str">
        <f t="shared" si="4"/>
        <v/>
      </c>
      <c r="K56" s="16" t="str">
        <f>IF($A56="","",IFERROR((IF($D56="",0,$D56)*IF($E56="",0,$E56)+SUMIF(Purchases!$B$2:$B$1001,$A56,Purchases!$E$2:$E$1001))/(IF($D56="",0,$D56)+SUMIF(Purchases!$B$2:$B$1001,$A56,Purchases!$C$2:$C$1001)),0))</f>
        <v/>
      </c>
      <c r="L56" s="9" t="str">
        <f t="shared" si="5"/>
        <v/>
      </c>
    </row>
    <row r="57" spans="1:12" x14ac:dyDescent="0.3">
      <c r="A57" s="19"/>
      <c r="B57" s="19"/>
      <c r="C57" s="19"/>
      <c r="D57" s="19"/>
      <c r="E57" s="23"/>
      <c r="F57" s="15" t="str">
        <f>IF($A57="","",SUMIF(Purchases!$B$2:$B$1001,$A57,Purchases!$C$2:$C$1001))</f>
        <v/>
      </c>
      <c r="G57" s="19"/>
      <c r="H57" s="6" t="str">
        <f t="shared" si="3"/>
        <v/>
      </c>
      <c r="I57" s="19"/>
      <c r="J57" s="3" t="str">
        <f t="shared" si="4"/>
        <v/>
      </c>
      <c r="K57" s="16" t="str">
        <f>IF($A57="","",IFERROR((IF($D57="",0,$D57)*IF($E57="",0,$E57)+SUMIF(Purchases!$B$2:$B$1001,$A57,Purchases!$E$2:$E$1001))/(IF($D57="",0,$D57)+SUMIF(Purchases!$B$2:$B$1001,$A57,Purchases!$C$2:$C$1001)),0))</f>
        <v/>
      </c>
      <c r="L57" s="9" t="str">
        <f t="shared" si="5"/>
        <v/>
      </c>
    </row>
    <row r="58" spans="1:12" x14ac:dyDescent="0.3">
      <c r="A58" s="19"/>
      <c r="B58" s="19"/>
      <c r="C58" s="19"/>
      <c r="D58" s="19"/>
      <c r="E58" s="23"/>
      <c r="F58" s="15" t="str">
        <f>IF($A58="","",SUMIF(Purchases!$B$2:$B$1001,$A58,Purchases!$C$2:$C$1001))</f>
        <v/>
      </c>
      <c r="G58" s="19"/>
      <c r="H58" s="6" t="str">
        <f t="shared" si="3"/>
        <v/>
      </c>
      <c r="I58" s="19"/>
      <c r="J58" s="3" t="str">
        <f t="shared" si="4"/>
        <v/>
      </c>
      <c r="K58" s="16" t="str">
        <f>IF($A58="","",IFERROR((IF($D58="",0,$D58)*IF($E58="",0,$E58)+SUMIF(Purchases!$B$2:$B$1001,$A58,Purchases!$E$2:$E$1001))/(IF($D58="",0,$D58)+SUMIF(Purchases!$B$2:$B$1001,$A58,Purchases!$C$2:$C$1001)),0))</f>
        <v/>
      </c>
      <c r="L58" s="9" t="str">
        <f t="shared" si="5"/>
        <v/>
      </c>
    </row>
    <row r="59" spans="1:12" x14ac:dyDescent="0.3">
      <c r="A59" s="19"/>
      <c r="B59" s="19"/>
      <c r="C59" s="19"/>
      <c r="D59" s="19"/>
      <c r="E59" s="23"/>
      <c r="F59" s="15" t="str">
        <f>IF($A59="","",SUMIF(Purchases!$B$2:$B$1001,$A59,Purchases!$C$2:$C$1001))</f>
        <v/>
      </c>
      <c r="G59" s="19"/>
      <c r="H59" s="6" t="str">
        <f t="shared" si="3"/>
        <v/>
      </c>
      <c r="I59" s="19"/>
      <c r="J59" s="3" t="str">
        <f t="shared" si="4"/>
        <v/>
      </c>
      <c r="K59" s="16" t="str">
        <f>IF($A59="","",IFERROR((IF($D59="",0,$D59)*IF($E59="",0,$E59)+SUMIF(Purchases!$B$2:$B$1001,$A59,Purchases!$E$2:$E$1001))/(IF($D59="",0,$D59)+SUMIF(Purchases!$B$2:$B$1001,$A59,Purchases!$C$2:$C$1001)),0))</f>
        <v/>
      </c>
      <c r="L59" s="9" t="str">
        <f t="shared" si="5"/>
        <v/>
      </c>
    </row>
    <row r="60" spans="1:12" x14ac:dyDescent="0.3">
      <c r="A60" s="19"/>
      <c r="B60" s="19"/>
      <c r="C60" s="19"/>
      <c r="D60" s="19"/>
      <c r="E60" s="23"/>
      <c r="F60" s="15" t="str">
        <f>IF($A60="","",SUMIF(Purchases!$B$2:$B$1001,$A60,Purchases!$C$2:$C$1001))</f>
        <v/>
      </c>
      <c r="G60" s="19"/>
      <c r="H60" s="6" t="str">
        <f t="shared" si="3"/>
        <v/>
      </c>
      <c r="I60" s="19"/>
      <c r="J60" s="3" t="str">
        <f t="shared" si="4"/>
        <v/>
      </c>
      <c r="K60" s="16" t="str">
        <f>IF($A60="","",IFERROR((IF($D60="",0,$D60)*IF($E60="",0,$E60)+SUMIF(Purchases!$B$2:$B$1001,$A60,Purchases!$E$2:$E$1001))/(IF($D60="",0,$D60)+SUMIF(Purchases!$B$2:$B$1001,$A60,Purchases!$C$2:$C$1001)),0))</f>
        <v/>
      </c>
      <c r="L60" s="9" t="str">
        <f t="shared" si="5"/>
        <v/>
      </c>
    </row>
    <row r="61" spans="1:12" x14ac:dyDescent="0.3">
      <c r="A61" s="19"/>
      <c r="B61" s="19"/>
      <c r="C61" s="19"/>
      <c r="D61" s="19"/>
      <c r="E61" s="23"/>
      <c r="F61" s="15" t="str">
        <f>IF($A61="","",SUMIF(Purchases!$B$2:$B$1001,$A61,Purchases!$C$2:$C$1001))</f>
        <v/>
      </c>
      <c r="G61" s="19"/>
      <c r="H61" s="6" t="str">
        <f t="shared" si="3"/>
        <v/>
      </c>
      <c r="I61" s="19"/>
      <c r="J61" s="3" t="str">
        <f t="shared" si="4"/>
        <v/>
      </c>
      <c r="K61" s="16" t="str">
        <f>IF($A61="","",IFERROR((IF($D61="",0,$D61)*IF($E61="",0,$E61)+SUMIF(Purchases!$B$2:$B$1001,$A61,Purchases!$E$2:$E$1001))/(IF($D61="",0,$D61)+SUMIF(Purchases!$B$2:$B$1001,$A61,Purchases!$C$2:$C$1001)),0))</f>
        <v/>
      </c>
      <c r="L61" s="9" t="str">
        <f t="shared" si="5"/>
        <v/>
      </c>
    </row>
    <row r="62" spans="1:12" x14ac:dyDescent="0.3">
      <c r="A62" s="19"/>
      <c r="B62" s="19"/>
      <c r="C62" s="19"/>
      <c r="D62" s="19"/>
      <c r="E62" s="23"/>
      <c r="F62" s="15" t="str">
        <f>IF($A62="","",SUMIF(Purchases!$B$2:$B$1001,$A62,Purchases!$C$2:$C$1001))</f>
        <v/>
      </c>
      <c r="G62" s="19"/>
      <c r="H62" s="6" t="str">
        <f t="shared" si="3"/>
        <v/>
      </c>
      <c r="I62" s="19"/>
      <c r="J62" s="3" t="str">
        <f t="shared" si="4"/>
        <v/>
      </c>
      <c r="K62" s="16" t="str">
        <f>IF($A62="","",IFERROR((IF($D62="",0,$D62)*IF($E62="",0,$E62)+SUMIF(Purchases!$B$2:$B$1001,$A62,Purchases!$E$2:$E$1001))/(IF($D62="",0,$D62)+SUMIF(Purchases!$B$2:$B$1001,$A62,Purchases!$C$2:$C$1001)),0))</f>
        <v/>
      </c>
      <c r="L62" s="9" t="str">
        <f t="shared" si="5"/>
        <v/>
      </c>
    </row>
    <row r="63" spans="1:12" x14ac:dyDescent="0.3">
      <c r="A63" s="19"/>
      <c r="B63" s="19"/>
      <c r="C63" s="19"/>
      <c r="D63" s="19"/>
      <c r="E63" s="23"/>
      <c r="F63" s="15" t="str">
        <f>IF($A63="","",SUMIF(Purchases!$B$2:$B$1001,$A63,Purchases!$C$2:$C$1001))</f>
        <v/>
      </c>
      <c r="G63" s="19"/>
      <c r="H63" s="6" t="str">
        <f t="shared" si="3"/>
        <v/>
      </c>
      <c r="I63" s="19"/>
      <c r="J63" s="3" t="str">
        <f t="shared" si="4"/>
        <v/>
      </c>
      <c r="K63" s="16" t="str">
        <f>IF($A63="","",IFERROR((IF($D63="",0,$D63)*IF($E63="",0,$E63)+SUMIF(Purchases!$B$2:$B$1001,$A63,Purchases!$E$2:$E$1001))/(IF($D63="",0,$D63)+SUMIF(Purchases!$B$2:$B$1001,$A63,Purchases!$C$2:$C$1001)),0))</f>
        <v/>
      </c>
      <c r="L63" s="9" t="str">
        <f t="shared" si="5"/>
        <v/>
      </c>
    </row>
    <row r="64" spans="1:12" x14ac:dyDescent="0.3">
      <c r="A64" s="19"/>
      <c r="B64" s="19"/>
      <c r="C64" s="19"/>
      <c r="D64" s="19"/>
      <c r="E64" s="23"/>
      <c r="F64" s="15" t="str">
        <f>IF($A64="","",SUMIF(Purchases!$B$2:$B$1001,$A64,Purchases!$C$2:$C$1001))</f>
        <v/>
      </c>
      <c r="G64" s="19"/>
      <c r="H64" s="6" t="str">
        <f t="shared" si="3"/>
        <v/>
      </c>
      <c r="I64" s="19"/>
      <c r="J64" s="3" t="str">
        <f t="shared" si="4"/>
        <v/>
      </c>
      <c r="K64" s="16" t="str">
        <f>IF($A64="","",IFERROR((IF($D64="",0,$D64)*IF($E64="",0,$E64)+SUMIF(Purchases!$B$2:$B$1001,$A64,Purchases!$E$2:$E$1001))/(IF($D64="",0,$D64)+SUMIF(Purchases!$B$2:$B$1001,$A64,Purchases!$C$2:$C$1001)),0))</f>
        <v/>
      </c>
      <c r="L64" s="9" t="str">
        <f t="shared" si="5"/>
        <v/>
      </c>
    </row>
    <row r="65" spans="1:12" x14ac:dyDescent="0.3">
      <c r="A65" s="19"/>
      <c r="B65" s="19"/>
      <c r="C65" s="19"/>
      <c r="D65" s="19"/>
      <c r="E65" s="23"/>
      <c r="F65" s="15" t="str">
        <f>IF($A65="","",SUMIF(Purchases!$B$2:$B$1001,$A65,Purchases!$C$2:$C$1001))</f>
        <v/>
      </c>
      <c r="G65" s="19"/>
      <c r="H65" s="6" t="str">
        <f t="shared" si="3"/>
        <v/>
      </c>
      <c r="I65" s="19"/>
      <c r="J65" s="3" t="str">
        <f t="shared" si="4"/>
        <v/>
      </c>
      <c r="K65" s="16" t="str">
        <f>IF($A65="","",IFERROR((IF($D65="",0,$D65)*IF($E65="",0,$E65)+SUMIF(Purchases!$B$2:$B$1001,$A65,Purchases!$E$2:$E$1001))/(IF($D65="",0,$D65)+SUMIF(Purchases!$B$2:$B$1001,$A65,Purchases!$C$2:$C$1001)),0))</f>
        <v/>
      </c>
      <c r="L65" s="9" t="str">
        <f t="shared" si="5"/>
        <v/>
      </c>
    </row>
    <row r="66" spans="1:12" x14ac:dyDescent="0.3">
      <c r="A66" s="19"/>
      <c r="B66" s="19"/>
      <c r="C66" s="19"/>
      <c r="D66" s="19"/>
      <c r="E66" s="23"/>
      <c r="F66" s="15" t="str">
        <f>IF($A66="","",SUMIF(Purchases!$B$2:$B$1001,$A66,Purchases!$C$2:$C$1001))</f>
        <v/>
      </c>
      <c r="G66" s="19"/>
      <c r="H66" s="6" t="str">
        <f t="shared" ref="H66:H97" si="6">IF($A66="","",IF($D66="",0,$D66)+$F66-IF($G66="",0,$G66))</f>
        <v/>
      </c>
      <c r="I66" s="19"/>
      <c r="J66" s="3" t="str">
        <f t="shared" ref="J66:J97" si="7">IF($A66="","",IF($I66="","OK",IF($H66&lt;=$I66,"REORDER","OK")))</f>
        <v/>
      </c>
      <c r="K66" s="16" t="str">
        <f>IF($A66="","",IFERROR((IF($D66="",0,$D66)*IF($E66="",0,$E66)+SUMIF(Purchases!$B$2:$B$1001,$A66,Purchases!$E$2:$E$1001))/(IF($D66="",0,$D66)+SUMIF(Purchases!$B$2:$B$1001,$A66,Purchases!$C$2:$C$1001)),0))</f>
        <v/>
      </c>
      <c r="L66" s="9" t="str">
        <f t="shared" ref="L66:L97" si="8">IF($A66="","",$H66*$K66)</f>
        <v/>
      </c>
    </row>
    <row r="67" spans="1:12" x14ac:dyDescent="0.3">
      <c r="A67" s="19"/>
      <c r="B67" s="19"/>
      <c r="C67" s="19"/>
      <c r="D67" s="19"/>
      <c r="E67" s="23"/>
      <c r="F67" s="15" t="str">
        <f>IF($A67="","",SUMIF(Purchases!$B$2:$B$1001,$A67,Purchases!$C$2:$C$1001))</f>
        <v/>
      </c>
      <c r="G67" s="19"/>
      <c r="H67" s="6" t="str">
        <f t="shared" si="6"/>
        <v/>
      </c>
      <c r="I67" s="19"/>
      <c r="J67" s="3" t="str">
        <f t="shared" si="7"/>
        <v/>
      </c>
      <c r="K67" s="16" t="str">
        <f>IF($A67="","",IFERROR((IF($D67="",0,$D67)*IF($E67="",0,$E67)+SUMIF(Purchases!$B$2:$B$1001,$A67,Purchases!$E$2:$E$1001))/(IF($D67="",0,$D67)+SUMIF(Purchases!$B$2:$B$1001,$A67,Purchases!$C$2:$C$1001)),0))</f>
        <v/>
      </c>
      <c r="L67" s="9" t="str">
        <f t="shared" si="8"/>
        <v/>
      </c>
    </row>
    <row r="68" spans="1:12" x14ac:dyDescent="0.3">
      <c r="A68" s="19"/>
      <c r="B68" s="19"/>
      <c r="C68" s="19"/>
      <c r="D68" s="19"/>
      <c r="E68" s="23"/>
      <c r="F68" s="15" t="str">
        <f>IF($A68="","",SUMIF(Purchases!$B$2:$B$1001,$A68,Purchases!$C$2:$C$1001))</f>
        <v/>
      </c>
      <c r="G68" s="19"/>
      <c r="H68" s="6" t="str">
        <f t="shared" si="6"/>
        <v/>
      </c>
      <c r="I68" s="19"/>
      <c r="J68" s="3" t="str">
        <f t="shared" si="7"/>
        <v/>
      </c>
      <c r="K68" s="16" t="str">
        <f>IF($A68="","",IFERROR((IF($D68="",0,$D68)*IF($E68="",0,$E68)+SUMIF(Purchases!$B$2:$B$1001,$A68,Purchases!$E$2:$E$1001))/(IF($D68="",0,$D68)+SUMIF(Purchases!$B$2:$B$1001,$A68,Purchases!$C$2:$C$1001)),0))</f>
        <v/>
      </c>
      <c r="L68" s="9" t="str">
        <f t="shared" si="8"/>
        <v/>
      </c>
    </row>
    <row r="69" spans="1:12" x14ac:dyDescent="0.3">
      <c r="A69" s="19"/>
      <c r="B69" s="19"/>
      <c r="C69" s="19"/>
      <c r="D69" s="19"/>
      <c r="E69" s="23"/>
      <c r="F69" s="15" t="str">
        <f>IF($A69="","",SUMIF(Purchases!$B$2:$B$1001,$A69,Purchases!$C$2:$C$1001))</f>
        <v/>
      </c>
      <c r="G69" s="19"/>
      <c r="H69" s="6" t="str">
        <f t="shared" si="6"/>
        <v/>
      </c>
      <c r="I69" s="19"/>
      <c r="J69" s="3" t="str">
        <f t="shared" si="7"/>
        <v/>
      </c>
      <c r="K69" s="16" t="str">
        <f>IF($A69="","",IFERROR((IF($D69="",0,$D69)*IF($E69="",0,$E69)+SUMIF(Purchases!$B$2:$B$1001,$A69,Purchases!$E$2:$E$1001))/(IF($D69="",0,$D69)+SUMIF(Purchases!$B$2:$B$1001,$A69,Purchases!$C$2:$C$1001)),0))</f>
        <v/>
      </c>
      <c r="L69" s="9" t="str">
        <f t="shared" si="8"/>
        <v/>
      </c>
    </row>
    <row r="70" spans="1:12" x14ac:dyDescent="0.3">
      <c r="A70" s="19"/>
      <c r="B70" s="19"/>
      <c r="C70" s="19"/>
      <c r="D70" s="19"/>
      <c r="E70" s="23"/>
      <c r="F70" s="15" t="str">
        <f>IF($A70="","",SUMIF(Purchases!$B$2:$B$1001,$A70,Purchases!$C$2:$C$1001))</f>
        <v/>
      </c>
      <c r="G70" s="19"/>
      <c r="H70" s="6" t="str">
        <f t="shared" si="6"/>
        <v/>
      </c>
      <c r="I70" s="19"/>
      <c r="J70" s="3" t="str">
        <f t="shared" si="7"/>
        <v/>
      </c>
      <c r="K70" s="16" t="str">
        <f>IF($A70="","",IFERROR((IF($D70="",0,$D70)*IF($E70="",0,$E70)+SUMIF(Purchases!$B$2:$B$1001,$A70,Purchases!$E$2:$E$1001))/(IF($D70="",0,$D70)+SUMIF(Purchases!$B$2:$B$1001,$A70,Purchases!$C$2:$C$1001)),0))</f>
        <v/>
      </c>
      <c r="L70" s="9" t="str">
        <f t="shared" si="8"/>
        <v/>
      </c>
    </row>
    <row r="71" spans="1:12" x14ac:dyDescent="0.3">
      <c r="A71" s="19"/>
      <c r="B71" s="19"/>
      <c r="C71" s="19"/>
      <c r="D71" s="19"/>
      <c r="E71" s="23"/>
      <c r="F71" s="15" t="str">
        <f>IF($A71="","",SUMIF(Purchases!$B$2:$B$1001,$A71,Purchases!$C$2:$C$1001))</f>
        <v/>
      </c>
      <c r="G71" s="19"/>
      <c r="H71" s="6" t="str">
        <f t="shared" si="6"/>
        <v/>
      </c>
      <c r="I71" s="19"/>
      <c r="J71" s="3" t="str">
        <f t="shared" si="7"/>
        <v/>
      </c>
      <c r="K71" s="16" t="str">
        <f>IF($A71="","",IFERROR((IF($D71="",0,$D71)*IF($E71="",0,$E71)+SUMIF(Purchases!$B$2:$B$1001,$A71,Purchases!$E$2:$E$1001))/(IF($D71="",0,$D71)+SUMIF(Purchases!$B$2:$B$1001,$A71,Purchases!$C$2:$C$1001)),0))</f>
        <v/>
      </c>
      <c r="L71" s="9" t="str">
        <f t="shared" si="8"/>
        <v/>
      </c>
    </row>
    <row r="72" spans="1:12" x14ac:dyDescent="0.3">
      <c r="A72" s="19"/>
      <c r="B72" s="19"/>
      <c r="C72" s="19"/>
      <c r="D72" s="19"/>
      <c r="E72" s="23"/>
      <c r="F72" s="15" t="str">
        <f>IF($A72="","",SUMIF(Purchases!$B$2:$B$1001,$A72,Purchases!$C$2:$C$1001))</f>
        <v/>
      </c>
      <c r="G72" s="19"/>
      <c r="H72" s="6" t="str">
        <f t="shared" si="6"/>
        <v/>
      </c>
      <c r="I72" s="19"/>
      <c r="J72" s="3" t="str">
        <f t="shared" si="7"/>
        <v/>
      </c>
      <c r="K72" s="16" t="str">
        <f>IF($A72="","",IFERROR((IF($D72="",0,$D72)*IF($E72="",0,$E72)+SUMIF(Purchases!$B$2:$B$1001,$A72,Purchases!$E$2:$E$1001))/(IF($D72="",0,$D72)+SUMIF(Purchases!$B$2:$B$1001,$A72,Purchases!$C$2:$C$1001)),0))</f>
        <v/>
      </c>
      <c r="L72" s="9" t="str">
        <f t="shared" si="8"/>
        <v/>
      </c>
    </row>
    <row r="73" spans="1:12" x14ac:dyDescent="0.3">
      <c r="A73" s="19"/>
      <c r="B73" s="19"/>
      <c r="C73" s="19"/>
      <c r="D73" s="19"/>
      <c r="E73" s="23"/>
      <c r="F73" s="15" t="str">
        <f>IF($A73="","",SUMIF(Purchases!$B$2:$B$1001,$A73,Purchases!$C$2:$C$1001))</f>
        <v/>
      </c>
      <c r="G73" s="19"/>
      <c r="H73" s="6" t="str">
        <f t="shared" si="6"/>
        <v/>
      </c>
      <c r="I73" s="19"/>
      <c r="J73" s="3" t="str">
        <f t="shared" si="7"/>
        <v/>
      </c>
      <c r="K73" s="16" t="str">
        <f>IF($A73="","",IFERROR((IF($D73="",0,$D73)*IF($E73="",0,$E73)+SUMIF(Purchases!$B$2:$B$1001,$A73,Purchases!$E$2:$E$1001))/(IF($D73="",0,$D73)+SUMIF(Purchases!$B$2:$B$1001,$A73,Purchases!$C$2:$C$1001)),0))</f>
        <v/>
      </c>
      <c r="L73" s="9" t="str">
        <f t="shared" si="8"/>
        <v/>
      </c>
    </row>
    <row r="74" spans="1:12" x14ac:dyDescent="0.3">
      <c r="A74" s="19"/>
      <c r="B74" s="19"/>
      <c r="C74" s="19"/>
      <c r="D74" s="19"/>
      <c r="E74" s="23"/>
      <c r="F74" s="15" t="str">
        <f>IF($A74="","",SUMIF(Purchases!$B$2:$B$1001,$A74,Purchases!$C$2:$C$1001))</f>
        <v/>
      </c>
      <c r="G74" s="19"/>
      <c r="H74" s="6" t="str">
        <f t="shared" si="6"/>
        <v/>
      </c>
      <c r="I74" s="19"/>
      <c r="J74" s="3" t="str">
        <f t="shared" si="7"/>
        <v/>
      </c>
      <c r="K74" s="16" t="str">
        <f>IF($A74="","",IFERROR((IF($D74="",0,$D74)*IF($E74="",0,$E74)+SUMIF(Purchases!$B$2:$B$1001,$A74,Purchases!$E$2:$E$1001))/(IF($D74="",0,$D74)+SUMIF(Purchases!$B$2:$B$1001,$A74,Purchases!$C$2:$C$1001)),0))</f>
        <v/>
      </c>
      <c r="L74" s="9" t="str">
        <f t="shared" si="8"/>
        <v/>
      </c>
    </row>
    <row r="75" spans="1:12" x14ac:dyDescent="0.3">
      <c r="A75" s="19"/>
      <c r="B75" s="19"/>
      <c r="C75" s="19"/>
      <c r="D75" s="19"/>
      <c r="E75" s="23"/>
      <c r="F75" s="15" t="str">
        <f>IF($A75="","",SUMIF(Purchases!$B$2:$B$1001,$A75,Purchases!$C$2:$C$1001))</f>
        <v/>
      </c>
      <c r="G75" s="19"/>
      <c r="H75" s="6" t="str">
        <f t="shared" si="6"/>
        <v/>
      </c>
      <c r="I75" s="19"/>
      <c r="J75" s="3" t="str">
        <f t="shared" si="7"/>
        <v/>
      </c>
      <c r="K75" s="16" t="str">
        <f>IF($A75="","",IFERROR((IF($D75="",0,$D75)*IF($E75="",0,$E75)+SUMIF(Purchases!$B$2:$B$1001,$A75,Purchases!$E$2:$E$1001))/(IF($D75="",0,$D75)+SUMIF(Purchases!$B$2:$B$1001,$A75,Purchases!$C$2:$C$1001)),0))</f>
        <v/>
      </c>
      <c r="L75" s="9" t="str">
        <f t="shared" si="8"/>
        <v/>
      </c>
    </row>
    <row r="76" spans="1:12" x14ac:dyDescent="0.3">
      <c r="A76" s="19"/>
      <c r="B76" s="19"/>
      <c r="C76" s="19"/>
      <c r="D76" s="19"/>
      <c r="E76" s="23"/>
      <c r="F76" s="15" t="str">
        <f>IF($A76="","",SUMIF(Purchases!$B$2:$B$1001,$A76,Purchases!$C$2:$C$1001))</f>
        <v/>
      </c>
      <c r="G76" s="19"/>
      <c r="H76" s="6" t="str">
        <f t="shared" si="6"/>
        <v/>
      </c>
      <c r="I76" s="19"/>
      <c r="J76" s="3" t="str">
        <f t="shared" si="7"/>
        <v/>
      </c>
      <c r="K76" s="16" t="str">
        <f>IF($A76="","",IFERROR((IF($D76="",0,$D76)*IF($E76="",0,$E76)+SUMIF(Purchases!$B$2:$B$1001,$A76,Purchases!$E$2:$E$1001))/(IF($D76="",0,$D76)+SUMIF(Purchases!$B$2:$B$1001,$A76,Purchases!$C$2:$C$1001)),0))</f>
        <v/>
      </c>
      <c r="L76" s="9" t="str">
        <f t="shared" si="8"/>
        <v/>
      </c>
    </row>
    <row r="77" spans="1:12" x14ac:dyDescent="0.3">
      <c r="A77" s="19"/>
      <c r="B77" s="19"/>
      <c r="C77" s="19"/>
      <c r="D77" s="19"/>
      <c r="E77" s="23"/>
      <c r="F77" s="15" t="str">
        <f>IF($A77="","",SUMIF(Purchases!$B$2:$B$1001,$A77,Purchases!$C$2:$C$1001))</f>
        <v/>
      </c>
      <c r="G77" s="19"/>
      <c r="H77" s="6" t="str">
        <f t="shared" si="6"/>
        <v/>
      </c>
      <c r="I77" s="19"/>
      <c r="J77" s="3" t="str">
        <f t="shared" si="7"/>
        <v/>
      </c>
      <c r="K77" s="16" t="str">
        <f>IF($A77="","",IFERROR((IF($D77="",0,$D77)*IF($E77="",0,$E77)+SUMIF(Purchases!$B$2:$B$1001,$A77,Purchases!$E$2:$E$1001))/(IF($D77="",0,$D77)+SUMIF(Purchases!$B$2:$B$1001,$A77,Purchases!$C$2:$C$1001)),0))</f>
        <v/>
      </c>
      <c r="L77" s="9" t="str">
        <f t="shared" si="8"/>
        <v/>
      </c>
    </row>
    <row r="78" spans="1:12" x14ac:dyDescent="0.3">
      <c r="A78" s="19"/>
      <c r="B78" s="19"/>
      <c r="C78" s="19"/>
      <c r="D78" s="19"/>
      <c r="E78" s="23"/>
      <c r="F78" s="15" t="str">
        <f>IF($A78="","",SUMIF(Purchases!$B$2:$B$1001,$A78,Purchases!$C$2:$C$1001))</f>
        <v/>
      </c>
      <c r="G78" s="19"/>
      <c r="H78" s="6" t="str">
        <f t="shared" si="6"/>
        <v/>
      </c>
      <c r="I78" s="19"/>
      <c r="J78" s="3" t="str">
        <f t="shared" si="7"/>
        <v/>
      </c>
      <c r="K78" s="16" t="str">
        <f>IF($A78="","",IFERROR((IF($D78="",0,$D78)*IF($E78="",0,$E78)+SUMIF(Purchases!$B$2:$B$1001,$A78,Purchases!$E$2:$E$1001))/(IF($D78="",0,$D78)+SUMIF(Purchases!$B$2:$B$1001,$A78,Purchases!$C$2:$C$1001)),0))</f>
        <v/>
      </c>
      <c r="L78" s="9" t="str">
        <f t="shared" si="8"/>
        <v/>
      </c>
    </row>
    <row r="79" spans="1:12" x14ac:dyDescent="0.3">
      <c r="A79" s="19"/>
      <c r="B79" s="19"/>
      <c r="C79" s="19"/>
      <c r="D79" s="19"/>
      <c r="E79" s="23"/>
      <c r="F79" s="15" t="str">
        <f>IF($A79="","",SUMIF(Purchases!$B$2:$B$1001,$A79,Purchases!$C$2:$C$1001))</f>
        <v/>
      </c>
      <c r="G79" s="19"/>
      <c r="H79" s="6" t="str">
        <f t="shared" si="6"/>
        <v/>
      </c>
      <c r="I79" s="19"/>
      <c r="J79" s="3" t="str">
        <f t="shared" si="7"/>
        <v/>
      </c>
      <c r="K79" s="16" t="str">
        <f>IF($A79="","",IFERROR((IF($D79="",0,$D79)*IF($E79="",0,$E79)+SUMIF(Purchases!$B$2:$B$1001,$A79,Purchases!$E$2:$E$1001))/(IF($D79="",0,$D79)+SUMIF(Purchases!$B$2:$B$1001,$A79,Purchases!$C$2:$C$1001)),0))</f>
        <v/>
      </c>
      <c r="L79" s="9" t="str">
        <f t="shared" si="8"/>
        <v/>
      </c>
    </row>
    <row r="80" spans="1:12" x14ac:dyDescent="0.3">
      <c r="A80" s="19"/>
      <c r="B80" s="19"/>
      <c r="C80" s="19"/>
      <c r="D80" s="19"/>
      <c r="E80" s="23"/>
      <c r="F80" s="15" t="str">
        <f>IF($A80="","",SUMIF(Purchases!$B$2:$B$1001,$A80,Purchases!$C$2:$C$1001))</f>
        <v/>
      </c>
      <c r="G80" s="19"/>
      <c r="H80" s="6" t="str">
        <f t="shared" si="6"/>
        <v/>
      </c>
      <c r="I80" s="19"/>
      <c r="J80" s="3" t="str">
        <f t="shared" si="7"/>
        <v/>
      </c>
      <c r="K80" s="16" t="str">
        <f>IF($A80="","",IFERROR((IF($D80="",0,$D80)*IF($E80="",0,$E80)+SUMIF(Purchases!$B$2:$B$1001,$A80,Purchases!$E$2:$E$1001))/(IF($D80="",0,$D80)+SUMIF(Purchases!$B$2:$B$1001,$A80,Purchases!$C$2:$C$1001)),0))</f>
        <v/>
      </c>
      <c r="L80" s="9" t="str">
        <f t="shared" si="8"/>
        <v/>
      </c>
    </row>
    <row r="81" spans="1:12" x14ac:dyDescent="0.3">
      <c r="A81" s="19"/>
      <c r="B81" s="19"/>
      <c r="C81" s="19"/>
      <c r="D81" s="19"/>
      <c r="E81" s="23"/>
      <c r="F81" s="15" t="str">
        <f>IF($A81="","",SUMIF(Purchases!$B$2:$B$1001,$A81,Purchases!$C$2:$C$1001))</f>
        <v/>
      </c>
      <c r="G81" s="19"/>
      <c r="H81" s="6" t="str">
        <f t="shared" si="6"/>
        <v/>
      </c>
      <c r="I81" s="19"/>
      <c r="J81" s="3" t="str">
        <f t="shared" si="7"/>
        <v/>
      </c>
      <c r="K81" s="16" t="str">
        <f>IF($A81="","",IFERROR((IF($D81="",0,$D81)*IF($E81="",0,$E81)+SUMIF(Purchases!$B$2:$B$1001,$A81,Purchases!$E$2:$E$1001))/(IF($D81="",0,$D81)+SUMIF(Purchases!$B$2:$B$1001,$A81,Purchases!$C$2:$C$1001)),0))</f>
        <v/>
      </c>
      <c r="L81" s="9" t="str">
        <f t="shared" si="8"/>
        <v/>
      </c>
    </row>
    <row r="82" spans="1:12" x14ac:dyDescent="0.3">
      <c r="A82" s="19"/>
      <c r="B82" s="19"/>
      <c r="C82" s="19"/>
      <c r="D82" s="19"/>
      <c r="E82" s="23"/>
      <c r="F82" s="15" t="str">
        <f>IF($A82="","",SUMIF(Purchases!$B$2:$B$1001,$A82,Purchases!$C$2:$C$1001))</f>
        <v/>
      </c>
      <c r="G82" s="19"/>
      <c r="H82" s="6" t="str">
        <f t="shared" si="6"/>
        <v/>
      </c>
      <c r="I82" s="19"/>
      <c r="J82" s="3" t="str">
        <f t="shared" si="7"/>
        <v/>
      </c>
      <c r="K82" s="16" t="str">
        <f>IF($A82="","",IFERROR((IF($D82="",0,$D82)*IF($E82="",0,$E82)+SUMIF(Purchases!$B$2:$B$1001,$A82,Purchases!$E$2:$E$1001))/(IF($D82="",0,$D82)+SUMIF(Purchases!$B$2:$B$1001,$A82,Purchases!$C$2:$C$1001)),0))</f>
        <v/>
      </c>
      <c r="L82" s="9" t="str">
        <f t="shared" si="8"/>
        <v/>
      </c>
    </row>
    <row r="83" spans="1:12" x14ac:dyDescent="0.3">
      <c r="A83" s="19"/>
      <c r="B83" s="19"/>
      <c r="C83" s="19"/>
      <c r="D83" s="19"/>
      <c r="E83" s="23"/>
      <c r="F83" s="15" t="str">
        <f>IF($A83="","",SUMIF(Purchases!$B$2:$B$1001,$A83,Purchases!$C$2:$C$1001))</f>
        <v/>
      </c>
      <c r="G83" s="19"/>
      <c r="H83" s="6" t="str">
        <f t="shared" si="6"/>
        <v/>
      </c>
      <c r="I83" s="19"/>
      <c r="J83" s="3" t="str">
        <f t="shared" si="7"/>
        <v/>
      </c>
      <c r="K83" s="16" t="str">
        <f>IF($A83="","",IFERROR((IF($D83="",0,$D83)*IF($E83="",0,$E83)+SUMIF(Purchases!$B$2:$B$1001,$A83,Purchases!$E$2:$E$1001))/(IF($D83="",0,$D83)+SUMIF(Purchases!$B$2:$B$1001,$A83,Purchases!$C$2:$C$1001)),0))</f>
        <v/>
      </c>
      <c r="L83" s="9" t="str">
        <f t="shared" si="8"/>
        <v/>
      </c>
    </row>
    <row r="84" spans="1:12" x14ac:dyDescent="0.3">
      <c r="A84" s="19"/>
      <c r="B84" s="19"/>
      <c r="C84" s="19"/>
      <c r="D84" s="19"/>
      <c r="E84" s="23"/>
      <c r="F84" s="15" t="str">
        <f>IF($A84="","",SUMIF(Purchases!$B$2:$B$1001,$A84,Purchases!$C$2:$C$1001))</f>
        <v/>
      </c>
      <c r="G84" s="19"/>
      <c r="H84" s="6" t="str">
        <f t="shared" si="6"/>
        <v/>
      </c>
      <c r="I84" s="19"/>
      <c r="J84" s="3" t="str">
        <f t="shared" si="7"/>
        <v/>
      </c>
      <c r="K84" s="16" t="str">
        <f>IF($A84="","",IFERROR((IF($D84="",0,$D84)*IF($E84="",0,$E84)+SUMIF(Purchases!$B$2:$B$1001,$A84,Purchases!$E$2:$E$1001))/(IF($D84="",0,$D84)+SUMIF(Purchases!$B$2:$B$1001,$A84,Purchases!$C$2:$C$1001)),0))</f>
        <v/>
      </c>
      <c r="L84" s="9" t="str">
        <f t="shared" si="8"/>
        <v/>
      </c>
    </row>
    <row r="85" spans="1:12" x14ac:dyDescent="0.3">
      <c r="A85" s="19"/>
      <c r="B85" s="19"/>
      <c r="C85" s="19"/>
      <c r="D85" s="19"/>
      <c r="E85" s="23"/>
      <c r="F85" s="15" t="str">
        <f>IF($A85="","",SUMIF(Purchases!$B$2:$B$1001,$A85,Purchases!$C$2:$C$1001))</f>
        <v/>
      </c>
      <c r="G85" s="19"/>
      <c r="H85" s="6" t="str">
        <f t="shared" si="6"/>
        <v/>
      </c>
      <c r="I85" s="19"/>
      <c r="J85" s="3" t="str">
        <f t="shared" si="7"/>
        <v/>
      </c>
      <c r="K85" s="16" t="str">
        <f>IF($A85="","",IFERROR((IF($D85="",0,$D85)*IF($E85="",0,$E85)+SUMIF(Purchases!$B$2:$B$1001,$A85,Purchases!$E$2:$E$1001))/(IF($D85="",0,$D85)+SUMIF(Purchases!$B$2:$B$1001,$A85,Purchases!$C$2:$C$1001)),0))</f>
        <v/>
      </c>
      <c r="L85" s="9" t="str">
        <f t="shared" si="8"/>
        <v/>
      </c>
    </row>
    <row r="86" spans="1:12" x14ac:dyDescent="0.3">
      <c r="A86" s="19"/>
      <c r="B86" s="19"/>
      <c r="C86" s="19"/>
      <c r="D86" s="19"/>
      <c r="E86" s="23"/>
      <c r="F86" s="15" t="str">
        <f>IF($A86="","",SUMIF(Purchases!$B$2:$B$1001,$A86,Purchases!$C$2:$C$1001))</f>
        <v/>
      </c>
      <c r="G86" s="19"/>
      <c r="H86" s="6" t="str">
        <f t="shared" si="6"/>
        <v/>
      </c>
      <c r="I86" s="19"/>
      <c r="J86" s="3" t="str">
        <f t="shared" si="7"/>
        <v/>
      </c>
      <c r="K86" s="16" t="str">
        <f>IF($A86="","",IFERROR((IF($D86="",0,$D86)*IF($E86="",0,$E86)+SUMIF(Purchases!$B$2:$B$1001,$A86,Purchases!$E$2:$E$1001))/(IF($D86="",0,$D86)+SUMIF(Purchases!$B$2:$B$1001,$A86,Purchases!$C$2:$C$1001)),0))</f>
        <v/>
      </c>
      <c r="L86" s="9" t="str">
        <f t="shared" si="8"/>
        <v/>
      </c>
    </row>
    <row r="87" spans="1:12" x14ac:dyDescent="0.3">
      <c r="A87" s="19"/>
      <c r="B87" s="19"/>
      <c r="C87" s="19"/>
      <c r="D87" s="19"/>
      <c r="E87" s="23"/>
      <c r="F87" s="15" t="str">
        <f>IF($A87="","",SUMIF(Purchases!$B$2:$B$1001,$A87,Purchases!$C$2:$C$1001))</f>
        <v/>
      </c>
      <c r="G87" s="19"/>
      <c r="H87" s="6" t="str">
        <f t="shared" si="6"/>
        <v/>
      </c>
      <c r="I87" s="19"/>
      <c r="J87" s="3" t="str">
        <f t="shared" si="7"/>
        <v/>
      </c>
      <c r="K87" s="16" t="str">
        <f>IF($A87="","",IFERROR((IF($D87="",0,$D87)*IF($E87="",0,$E87)+SUMIF(Purchases!$B$2:$B$1001,$A87,Purchases!$E$2:$E$1001))/(IF($D87="",0,$D87)+SUMIF(Purchases!$B$2:$B$1001,$A87,Purchases!$C$2:$C$1001)),0))</f>
        <v/>
      </c>
      <c r="L87" s="9" t="str">
        <f t="shared" si="8"/>
        <v/>
      </c>
    </row>
    <row r="88" spans="1:12" x14ac:dyDescent="0.3">
      <c r="A88" s="19"/>
      <c r="B88" s="19"/>
      <c r="C88" s="19"/>
      <c r="D88" s="19"/>
      <c r="E88" s="23"/>
      <c r="F88" s="15" t="str">
        <f>IF($A88="","",SUMIF(Purchases!$B$2:$B$1001,$A88,Purchases!$C$2:$C$1001))</f>
        <v/>
      </c>
      <c r="G88" s="19"/>
      <c r="H88" s="6" t="str">
        <f t="shared" si="6"/>
        <v/>
      </c>
      <c r="I88" s="19"/>
      <c r="J88" s="3" t="str">
        <f t="shared" si="7"/>
        <v/>
      </c>
      <c r="K88" s="16" t="str">
        <f>IF($A88="","",IFERROR((IF($D88="",0,$D88)*IF($E88="",0,$E88)+SUMIF(Purchases!$B$2:$B$1001,$A88,Purchases!$E$2:$E$1001))/(IF($D88="",0,$D88)+SUMIF(Purchases!$B$2:$B$1001,$A88,Purchases!$C$2:$C$1001)),0))</f>
        <v/>
      </c>
      <c r="L88" s="9" t="str">
        <f t="shared" si="8"/>
        <v/>
      </c>
    </row>
    <row r="89" spans="1:12" x14ac:dyDescent="0.3">
      <c r="A89" s="19"/>
      <c r="B89" s="19"/>
      <c r="C89" s="19"/>
      <c r="D89" s="19"/>
      <c r="E89" s="23"/>
      <c r="F89" s="15" t="str">
        <f>IF($A89="","",SUMIF(Purchases!$B$2:$B$1001,$A89,Purchases!$C$2:$C$1001))</f>
        <v/>
      </c>
      <c r="G89" s="19"/>
      <c r="H89" s="6" t="str">
        <f t="shared" si="6"/>
        <v/>
      </c>
      <c r="I89" s="19"/>
      <c r="J89" s="3" t="str">
        <f t="shared" si="7"/>
        <v/>
      </c>
      <c r="K89" s="16" t="str">
        <f>IF($A89="","",IFERROR((IF($D89="",0,$D89)*IF($E89="",0,$E89)+SUMIF(Purchases!$B$2:$B$1001,$A89,Purchases!$E$2:$E$1001))/(IF($D89="",0,$D89)+SUMIF(Purchases!$B$2:$B$1001,$A89,Purchases!$C$2:$C$1001)),0))</f>
        <v/>
      </c>
      <c r="L89" s="9" t="str">
        <f t="shared" si="8"/>
        <v/>
      </c>
    </row>
    <row r="90" spans="1:12" x14ac:dyDescent="0.3">
      <c r="A90" s="19"/>
      <c r="B90" s="19"/>
      <c r="C90" s="19"/>
      <c r="D90" s="19"/>
      <c r="E90" s="23"/>
      <c r="F90" s="15" t="str">
        <f>IF($A90="","",SUMIF(Purchases!$B$2:$B$1001,$A90,Purchases!$C$2:$C$1001))</f>
        <v/>
      </c>
      <c r="G90" s="19"/>
      <c r="H90" s="6" t="str">
        <f t="shared" si="6"/>
        <v/>
      </c>
      <c r="I90" s="19"/>
      <c r="J90" s="3" t="str">
        <f t="shared" si="7"/>
        <v/>
      </c>
      <c r="K90" s="16" t="str">
        <f>IF($A90="","",IFERROR((IF($D90="",0,$D90)*IF($E90="",0,$E90)+SUMIF(Purchases!$B$2:$B$1001,$A90,Purchases!$E$2:$E$1001))/(IF($D90="",0,$D90)+SUMIF(Purchases!$B$2:$B$1001,$A90,Purchases!$C$2:$C$1001)),0))</f>
        <v/>
      </c>
      <c r="L90" s="9" t="str">
        <f t="shared" si="8"/>
        <v/>
      </c>
    </row>
    <row r="91" spans="1:12" x14ac:dyDescent="0.3">
      <c r="A91" s="19"/>
      <c r="B91" s="19"/>
      <c r="C91" s="19"/>
      <c r="D91" s="19"/>
      <c r="E91" s="23"/>
      <c r="F91" s="15" t="str">
        <f>IF($A91="","",SUMIF(Purchases!$B$2:$B$1001,$A91,Purchases!$C$2:$C$1001))</f>
        <v/>
      </c>
      <c r="G91" s="19"/>
      <c r="H91" s="6" t="str">
        <f t="shared" si="6"/>
        <v/>
      </c>
      <c r="I91" s="19"/>
      <c r="J91" s="3" t="str">
        <f t="shared" si="7"/>
        <v/>
      </c>
      <c r="K91" s="16" t="str">
        <f>IF($A91="","",IFERROR((IF($D91="",0,$D91)*IF($E91="",0,$E91)+SUMIF(Purchases!$B$2:$B$1001,$A91,Purchases!$E$2:$E$1001))/(IF($D91="",0,$D91)+SUMIF(Purchases!$B$2:$B$1001,$A91,Purchases!$C$2:$C$1001)),0))</f>
        <v/>
      </c>
      <c r="L91" s="9" t="str">
        <f t="shared" si="8"/>
        <v/>
      </c>
    </row>
    <row r="92" spans="1:12" x14ac:dyDescent="0.3">
      <c r="A92" s="19"/>
      <c r="B92" s="19"/>
      <c r="C92" s="19"/>
      <c r="D92" s="19"/>
      <c r="E92" s="23"/>
      <c r="F92" s="15" t="str">
        <f>IF($A92="","",SUMIF(Purchases!$B$2:$B$1001,$A92,Purchases!$C$2:$C$1001))</f>
        <v/>
      </c>
      <c r="G92" s="19"/>
      <c r="H92" s="6" t="str">
        <f t="shared" si="6"/>
        <v/>
      </c>
      <c r="I92" s="19"/>
      <c r="J92" s="3" t="str">
        <f t="shared" si="7"/>
        <v/>
      </c>
      <c r="K92" s="16" t="str">
        <f>IF($A92="","",IFERROR((IF($D92="",0,$D92)*IF($E92="",0,$E92)+SUMIF(Purchases!$B$2:$B$1001,$A92,Purchases!$E$2:$E$1001))/(IF($D92="",0,$D92)+SUMIF(Purchases!$B$2:$B$1001,$A92,Purchases!$C$2:$C$1001)),0))</f>
        <v/>
      </c>
      <c r="L92" s="9" t="str">
        <f t="shared" si="8"/>
        <v/>
      </c>
    </row>
    <row r="93" spans="1:12" x14ac:dyDescent="0.3">
      <c r="A93" s="19"/>
      <c r="B93" s="19"/>
      <c r="C93" s="19"/>
      <c r="D93" s="19"/>
      <c r="E93" s="23"/>
      <c r="F93" s="15" t="str">
        <f>IF($A93="","",SUMIF(Purchases!$B$2:$B$1001,$A93,Purchases!$C$2:$C$1001))</f>
        <v/>
      </c>
      <c r="G93" s="19"/>
      <c r="H93" s="6" t="str">
        <f t="shared" si="6"/>
        <v/>
      </c>
      <c r="I93" s="19"/>
      <c r="J93" s="3" t="str">
        <f t="shared" si="7"/>
        <v/>
      </c>
      <c r="K93" s="16" t="str">
        <f>IF($A93="","",IFERROR((IF($D93="",0,$D93)*IF($E93="",0,$E93)+SUMIF(Purchases!$B$2:$B$1001,$A93,Purchases!$E$2:$E$1001))/(IF($D93="",0,$D93)+SUMIF(Purchases!$B$2:$B$1001,$A93,Purchases!$C$2:$C$1001)),0))</f>
        <v/>
      </c>
      <c r="L93" s="9" t="str">
        <f t="shared" si="8"/>
        <v/>
      </c>
    </row>
    <row r="94" spans="1:12" x14ac:dyDescent="0.3">
      <c r="A94" s="19"/>
      <c r="B94" s="19"/>
      <c r="C94" s="19"/>
      <c r="D94" s="19"/>
      <c r="E94" s="23"/>
      <c r="F94" s="15" t="str">
        <f>IF($A94="","",SUMIF(Purchases!$B$2:$B$1001,$A94,Purchases!$C$2:$C$1001))</f>
        <v/>
      </c>
      <c r="G94" s="19"/>
      <c r="H94" s="6" t="str">
        <f t="shared" si="6"/>
        <v/>
      </c>
      <c r="I94" s="19"/>
      <c r="J94" s="3" t="str">
        <f t="shared" si="7"/>
        <v/>
      </c>
      <c r="K94" s="16" t="str">
        <f>IF($A94="","",IFERROR((IF($D94="",0,$D94)*IF($E94="",0,$E94)+SUMIF(Purchases!$B$2:$B$1001,$A94,Purchases!$E$2:$E$1001))/(IF($D94="",0,$D94)+SUMIF(Purchases!$B$2:$B$1001,$A94,Purchases!$C$2:$C$1001)),0))</f>
        <v/>
      </c>
      <c r="L94" s="9" t="str">
        <f t="shared" si="8"/>
        <v/>
      </c>
    </row>
    <row r="95" spans="1:12" x14ac:dyDescent="0.3">
      <c r="A95" s="19"/>
      <c r="B95" s="19"/>
      <c r="C95" s="19"/>
      <c r="D95" s="19"/>
      <c r="E95" s="23"/>
      <c r="F95" s="15" t="str">
        <f>IF($A95="","",SUMIF(Purchases!$B$2:$B$1001,$A95,Purchases!$C$2:$C$1001))</f>
        <v/>
      </c>
      <c r="G95" s="19"/>
      <c r="H95" s="6" t="str">
        <f t="shared" si="6"/>
        <v/>
      </c>
      <c r="I95" s="19"/>
      <c r="J95" s="3" t="str">
        <f t="shared" si="7"/>
        <v/>
      </c>
      <c r="K95" s="16" t="str">
        <f>IF($A95="","",IFERROR((IF($D95="",0,$D95)*IF($E95="",0,$E95)+SUMIF(Purchases!$B$2:$B$1001,$A95,Purchases!$E$2:$E$1001))/(IF($D95="",0,$D95)+SUMIF(Purchases!$B$2:$B$1001,$A95,Purchases!$C$2:$C$1001)),0))</f>
        <v/>
      </c>
      <c r="L95" s="9" t="str">
        <f t="shared" si="8"/>
        <v/>
      </c>
    </row>
    <row r="96" spans="1:12" x14ac:dyDescent="0.3">
      <c r="A96" s="19"/>
      <c r="B96" s="19"/>
      <c r="C96" s="19"/>
      <c r="D96" s="19"/>
      <c r="E96" s="23"/>
      <c r="F96" s="15" t="str">
        <f>IF($A96="","",SUMIF(Purchases!$B$2:$B$1001,$A96,Purchases!$C$2:$C$1001))</f>
        <v/>
      </c>
      <c r="G96" s="19"/>
      <c r="H96" s="6" t="str">
        <f t="shared" si="6"/>
        <v/>
      </c>
      <c r="I96" s="19"/>
      <c r="J96" s="3" t="str">
        <f t="shared" si="7"/>
        <v/>
      </c>
      <c r="K96" s="16" t="str">
        <f>IF($A96="","",IFERROR((IF($D96="",0,$D96)*IF($E96="",0,$E96)+SUMIF(Purchases!$B$2:$B$1001,$A96,Purchases!$E$2:$E$1001))/(IF($D96="",0,$D96)+SUMIF(Purchases!$B$2:$B$1001,$A96,Purchases!$C$2:$C$1001)),0))</f>
        <v/>
      </c>
      <c r="L96" s="9" t="str">
        <f t="shared" si="8"/>
        <v/>
      </c>
    </row>
    <row r="97" spans="1:12" x14ac:dyDescent="0.3">
      <c r="A97" s="19"/>
      <c r="B97" s="19"/>
      <c r="C97" s="19"/>
      <c r="D97" s="19"/>
      <c r="E97" s="23"/>
      <c r="F97" s="15" t="str">
        <f>IF($A97="","",SUMIF(Purchases!$B$2:$B$1001,$A97,Purchases!$C$2:$C$1001))</f>
        <v/>
      </c>
      <c r="G97" s="19"/>
      <c r="H97" s="6" t="str">
        <f t="shared" si="6"/>
        <v/>
      </c>
      <c r="I97" s="19"/>
      <c r="J97" s="3" t="str">
        <f t="shared" si="7"/>
        <v/>
      </c>
      <c r="K97" s="16" t="str">
        <f>IF($A97="","",IFERROR((IF($D97="",0,$D97)*IF($E97="",0,$E97)+SUMIF(Purchases!$B$2:$B$1001,$A97,Purchases!$E$2:$E$1001))/(IF($D97="",0,$D97)+SUMIF(Purchases!$B$2:$B$1001,$A97,Purchases!$C$2:$C$1001)),0))</f>
        <v/>
      </c>
      <c r="L97" s="9" t="str">
        <f t="shared" si="8"/>
        <v/>
      </c>
    </row>
    <row r="98" spans="1:12" x14ac:dyDescent="0.3">
      <c r="A98" s="19"/>
      <c r="B98" s="19"/>
      <c r="C98" s="19"/>
      <c r="D98" s="19"/>
      <c r="E98" s="23"/>
      <c r="F98" s="15" t="str">
        <f>IF($A98="","",SUMIF(Purchases!$B$2:$B$1001,$A98,Purchases!$C$2:$C$1001))</f>
        <v/>
      </c>
      <c r="G98" s="19"/>
      <c r="H98" s="6" t="str">
        <f t="shared" ref="H98:H129" si="9">IF($A98="","",IF($D98="",0,$D98)+$F98-IF($G98="",0,$G98))</f>
        <v/>
      </c>
      <c r="I98" s="19"/>
      <c r="J98" s="3" t="str">
        <f t="shared" ref="J98:J129" si="10">IF($A98="","",IF($I98="","OK",IF($H98&lt;=$I98,"REORDER","OK")))</f>
        <v/>
      </c>
      <c r="K98" s="16" t="str">
        <f>IF($A98="","",IFERROR((IF($D98="",0,$D98)*IF($E98="",0,$E98)+SUMIF(Purchases!$B$2:$B$1001,$A98,Purchases!$E$2:$E$1001))/(IF($D98="",0,$D98)+SUMIF(Purchases!$B$2:$B$1001,$A98,Purchases!$C$2:$C$1001)),0))</f>
        <v/>
      </c>
      <c r="L98" s="9" t="str">
        <f t="shared" ref="L98:L129" si="11">IF($A98="","",$H98*$K98)</f>
        <v/>
      </c>
    </row>
    <row r="99" spans="1:12" x14ac:dyDescent="0.3">
      <c r="A99" s="19"/>
      <c r="B99" s="19"/>
      <c r="C99" s="19"/>
      <c r="D99" s="19"/>
      <c r="E99" s="23"/>
      <c r="F99" s="15" t="str">
        <f>IF($A99="","",SUMIF(Purchases!$B$2:$B$1001,$A99,Purchases!$C$2:$C$1001))</f>
        <v/>
      </c>
      <c r="G99" s="19"/>
      <c r="H99" s="6" t="str">
        <f t="shared" si="9"/>
        <v/>
      </c>
      <c r="I99" s="19"/>
      <c r="J99" s="3" t="str">
        <f t="shared" si="10"/>
        <v/>
      </c>
      <c r="K99" s="16" t="str">
        <f>IF($A99="","",IFERROR((IF($D99="",0,$D99)*IF($E99="",0,$E99)+SUMIF(Purchases!$B$2:$B$1001,$A99,Purchases!$E$2:$E$1001))/(IF($D99="",0,$D99)+SUMIF(Purchases!$B$2:$B$1001,$A99,Purchases!$C$2:$C$1001)),0))</f>
        <v/>
      </c>
      <c r="L99" s="9" t="str">
        <f t="shared" si="11"/>
        <v/>
      </c>
    </row>
    <row r="100" spans="1:12" x14ac:dyDescent="0.3">
      <c r="A100" s="19"/>
      <c r="B100" s="19"/>
      <c r="C100" s="19"/>
      <c r="D100" s="19"/>
      <c r="E100" s="23"/>
      <c r="F100" s="15" t="str">
        <f>IF($A100="","",SUMIF(Purchases!$B$2:$B$1001,$A100,Purchases!$C$2:$C$1001))</f>
        <v/>
      </c>
      <c r="G100" s="19"/>
      <c r="H100" s="6" t="str">
        <f t="shared" si="9"/>
        <v/>
      </c>
      <c r="I100" s="19"/>
      <c r="J100" s="3" t="str">
        <f t="shared" si="10"/>
        <v/>
      </c>
      <c r="K100" s="16" t="str">
        <f>IF($A100="","",IFERROR((IF($D100="",0,$D100)*IF($E100="",0,$E100)+SUMIF(Purchases!$B$2:$B$1001,$A100,Purchases!$E$2:$E$1001))/(IF($D100="",0,$D100)+SUMIF(Purchases!$B$2:$B$1001,$A100,Purchases!$C$2:$C$1001)),0))</f>
        <v/>
      </c>
      <c r="L100" s="9" t="str">
        <f t="shared" si="11"/>
        <v/>
      </c>
    </row>
    <row r="101" spans="1:12" x14ac:dyDescent="0.3">
      <c r="A101" s="19"/>
      <c r="B101" s="19"/>
      <c r="C101" s="19"/>
      <c r="D101" s="19"/>
      <c r="E101" s="23"/>
      <c r="F101" s="15" t="str">
        <f>IF($A101="","",SUMIF(Purchases!$B$2:$B$1001,$A101,Purchases!$C$2:$C$1001))</f>
        <v/>
      </c>
      <c r="G101" s="19"/>
      <c r="H101" s="6" t="str">
        <f t="shared" si="9"/>
        <v/>
      </c>
      <c r="I101" s="19"/>
      <c r="J101" s="3" t="str">
        <f t="shared" si="10"/>
        <v/>
      </c>
      <c r="K101" s="16" t="str">
        <f>IF($A101="","",IFERROR((IF($D101="",0,$D101)*IF($E101="",0,$E101)+SUMIF(Purchases!$B$2:$B$1001,$A101,Purchases!$E$2:$E$1001))/(IF($D101="",0,$D101)+SUMIF(Purchases!$B$2:$B$1001,$A101,Purchases!$C$2:$C$1001)),0))</f>
        <v/>
      </c>
      <c r="L101" s="9" t="str">
        <f t="shared" si="11"/>
        <v/>
      </c>
    </row>
    <row r="102" spans="1:12" x14ac:dyDescent="0.3">
      <c r="A102" s="19"/>
      <c r="B102" s="19"/>
      <c r="C102" s="19"/>
      <c r="D102" s="19"/>
      <c r="E102" s="23"/>
      <c r="F102" s="15" t="str">
        <f>IF($A102="","",SUMIF(Purchases!$B$2:$B$1001,$A102,Purchases!$C$2:$C$1001))</f>
        <v/>
      </c>
      <c r="G102" s="19"/>
      <c r="H102" s="6" t="str">
        <f t="shared" si="9"/>
        <v/>
      </c>
      <c r="I102" s="19"/>
      <c r="J102" s="3" t="str">
        <f t="shared" si="10"/>
        <v/>
      </c>
      <c r="K102" s="16" t="str">
        <f>IF($A102="","",IFERROR((IF($D102="",0,$D102)*IF($E102="",0,$E102)+SUMIF(Purchases!$B$2:$B$1001,$A102,Purchases!$E$2:$E$1001))/(IF($D102="",0,$D102)+SUMIF(Purchases!$B$2:$B$1001,$A102,Purchases!$C$2:$C$1001)),0))</f>
        <v/>
      </c>
      <c r="L102" s="9" t="str">
        <f t="shared" si="11"/>
        <v/>
      </c>
    </row>
    <row r="103" spans="1:12" x14ac:dyDescent="0.3">
      <c r="A103" s="19"/>
      <c r="B103" s="19"/>
      <c r="C103" s="19"/>
      <c r="D103" s="19"/>
      <c r="E103" s="23"/>
      <c r="F103" s="15" t="str">
        <f>IF($A103="","",SUMIF(Purchases!$B$2:$B$1001,$A103,Purchases!$C$2:$C$1001))</f>
        <v/>
      </c>
      <c r="G103" s="19"/>
      <c r="H103" s="6" t="str">
        <f t="shared" si="9"/>
        <v/>
      </c>
      <c r="I103" s="19"/>
      <c r="J103" s="3" t="str">
        <f t="shared" si="10"/>
        <v/>
      </c>
      <c r="K103" s="16" t="str">
        <f>IF($A103="","",IFERROR((IF($D103="",0,$D103)*IF($E103="",0,$E103)+SUMIF(Purchases!$B$2:$B$1001,$A103,Purchases!$E$2:$E$1001))/(IF($D103="",0,$D103)+SUMIF(Purchases!$B$2:$B$1001,$A103,Purchases!$C$2:$C$1001)),0))</f>
        <v/>
      </c>
      <c r="L103" s="9" t="str">
        <f t="shared" si="11"/>
        <v/>
      </c>
    </row>
    <row r="104" spans="1:12" x14ac:dyDescent="0.3">
      <c r="A104" s="19"/>
      <c r="B104" s="19"/>
      <c r="C104" s="19"/>
      <c r="D104" s="19"/>
      <c r="E104" s="23"/>
      <c r="F104" s="15" t="str">
        <f>IF($A104="","",SUMIF(Purchases!$B$2:$B$1001,$A104,Purchases!$C$2:$C$1001))</f>
        <v/>
      </c>
      <c r="G104" s="19"/>
      <c r="H104" s="6" t="str">
        <f t="shared" si="9"/>
        <v/>
      </c>
      <c r="I104" s="19"/>
      <c r="J104" s="3" t="str">
        <f t="shared" si="10"/>
        <v/>
      </c>
      <c r="K104" s="16" t="str">
        <f>IF($A104="","",IFERROR((IF($D104="",0,$D104)*IF($E104="",0,$E104)+SUMIF(Purchases!$B$2:$B$1001,$A104,Purchases!$E$2:$E$1001))/(IF($D104="",0,$D104)+SUMIF(Purchases!$B$2:$B$1001,$A104,Purchases!$C$2:$C$1001)),0))</f>
        <v/>
      </c>
      <c r="L104" s="9" t="str">
        <f t="shared" si="11"/>
        <v/>
      </c>
    </row>
    <row r="105" spans="1:12" x14ac:dyDescent="0.3">
      <c r="A105" s="19"/>
      <c r="B105" s="19"/>
      <c r="C105" s="19"/>
      <c r="D105" s="19"/>
      <c r="E105" s="23"/>
      <c r="F105" s="15" t="str">
        <f>IF($A105="","",SUMIF(Purchases!$B$2:$B$1001,$A105,Purchases!$C$2:$C$1001))</f>
        <v/>
      </c>
      <c r="G105" s="19"/>
      <c r="H105" s="6" t="str">
        <f t="shared" si="9"/>
        <v/>
      </c>
      <c r="I105" s="19"/>
      <c r="J105" s="3" t="str">
        <f t="shared" si="10"/>
        <v/>
      </c>
      <c r="K105" s="16" t="str">
        <f>IF($A105="","",IFERROR((IF($D105="",0,$D105)*IF($E105="",0,$E105)+SUMIF(Purchases!$B$2:$B$1001,$A105,Purchases!$E$2:$E$1001))/(IF($D105="",0,$D105)+SUMIF(Purchases!$B$2:$B$1001,$A105,Purchases!$C$2:$C$1001)),0))</f>
        <v/>
      </c>
      <c r="L105" s="9" t="str">
        <f t="shared" si="11"/>
        <v/>
      </c>
    </row>
    <row r="106" spans="1:12" x14ac:dyDescent="0.3">
      <c r="A106" s="19"/>
      <c r="B106" s="19"/>
      <c r="C106" s="19"/>
      <c r="D106" s="19"/>
      <c r="E106" s="23"/>
      <c r="F106" s="15" t="str">
        <f>IF($A106="","",SUMIF(Purchases!$B$2:$B$1001,$A106,Purchases!$C$2:$C$1001))</f>
        <v/>
      </c>
      <c r="G106" s="19"/>
      <c r="H106" s="6" t="str">
        <f t="shared" si="9"/>
        <v/>
      </c>
      <c r="I106" s="19"/>
      <c r="J106" s="3" t="str">
        <f t="shared" si="10"/>
        <v/>
      </c>
      <c r="K106" s="16" t="str">
        <f>IF($A106="","",IFERROR((IF($D106="",0,$D106)*IF($E106="",0,$E106)+SUMIF(Purchases!$B$2:$B$1001,$A106,Purchases!$E$2:$E$1001))/(IF($D106="",0,$D106)+SUMIF(Purchases!$B$2:$B$1001,$A106,Purchases!$C$2:$C$1001)),0))</f>
        <v/>
      </c>
      <c r="L106" s="9" t="str">
        <f t="shared" si="11"/>
        <v/>
      </c>
    </row>
    <row r="107" spans="1:12" x14ac:dyDescent="0.3">
      <c r="A107" s="19"/>
      <c r="B107" s="19"/>
      <c r="C107" s="19"/>
      <c r="D107" s="19"/>
      <c r="E107" s="23"/>
      <c r="F107" s="15" t="str">
        <f>IF($A107="","",SUMIF(Purchases!$B$2:$B$1001,$A107,Purchases!$C$2:$C$1001))</f>
        <v/>
      </c>
      <c r="G107" s="19"/>
      <c r="H107" s="6" t="str">
        <f t="shared" si="9"/>
        <v/>
      </c>
      <c r="I107" s="19"/>
      <c r="J107" s="3" t="str">
        <f t="shared" si="10"/>
        <v/>
      </c>
      <c r="K107" s="16" t="str">
        <f>IF($A107="","",IFERROR((IF($D107="",0,$D107)*IF($E107="",0,$E107)+SUMIF(Purchases!$B$2:$B$1001,$A107,Purchases!$E$2:$E$1001))/(IF($D107="",0,$D107)+SUMIF(Purchases!$B$2:$B$1001,$A107,Purchases!$C$2:$C$1001)),0))</f>
        <v/>
      </c>
      <c r="L107" s="9" t="str">
        <f t="shared" si="11"/>
        <v/>
      </c>
    </row>
    <row r="108" spans="1:12" x14ac:dyDescent="0.3">
      <c r="A108" s="19"/>
      <c r="B108" s="19"/>
      <c r="C108" s="19"/>
      <c r="D108" s="19"/>
      <c r="E108" s="23"/>
      <c r="F108" s="15" t="str">
        <f>IF($A108="","",SUMIF(Purchases!$B$2:$B$1001,$A108,Purchases!$C$2:$C$1001))</f>
        <v/>
      </c>
      <c r="G108" s="19"/>
      <c r="H108" s="6" t="str">
        <f t="shared" si="9"/>
        <v/>
      </c>
      <c r="I108" s="19"/>
      <c r="J108" s="3" t="str">
        <f t="shared" si="10"/>
        <v/>
      </c>
      <c r="K108" s="16" t="str">
        <f>IF($A108="","",IFERROR((IF($D108="",0,$D108)*IF($E108="",0,$E108)+SUMIF(Purchases!$B$2:$B$1001,$A108,Purchases!$E$2:$E$1001))/(IF($D108="",0,$D108)+SUMIF(Purchases!$B$2:$B$1001,$A108,Purchases!$C$2:$C$1001)),0))</f>
        <v/>
      </c>
      <c r="L108" s="9" t="str">
        <f t="shared" si="11"/>
        <v/>
      </c>
    </row>
    <row r="109" spans="1:12" x14ac:dyDescent="0.3">
      <c r="A109" s="19"/>
      <c r="B109" s="19"/>
      <c r="C109" s="19"/>
      <c r="D109" s="19"/>
      <c r="E109" s="23"/>
      <c r="F109" s="15" t="str">
        <f>IF($A109="","",SUMIF(Purchases!$B$2:$B$1001,$A109,Purchases!$C$2:$C$1001))</f>
        <v/>
      </c>
      <c r="G109" s="19"/>
      <c r="H109" s="6" t="str">
        <f t="shared" si="9"/>
        <v/>
      </c>
      <c r="I109" s="19"/>
      <c r="J109" s="3" t="str">
        <f t="shared" si="10"/>
        <v/>
      </c>
      <c r="K109" s="16" t="str">
        <f>IF($A109="","",IFERROR((IF($D109="",0,$D109)*IF($E109="",0,$E109)+SUMIF(Purchases!$B$2:$B$1001,$A109,Purchases!$E$2:$E$1001))/(IF($D109="",0,$D109)+SUMIF(Purchases!$B$2:$B$1001,$A109,Purchases!$C$2:$C$1001)),0))</f>
        <v/>
      </c>
      <c r="L109" s="9" t="str">
        <f t="shared" si="11"/>
        <v/>
      </c>
    </row>
    <row r="110" spans="1:12" x14ac:dyDescent="0.3">
      <c r="A110" s="19"/>
      <c r="B110" s="19"/>
      <c r="C110" s="19"/>
      <c r="D110" s="19"/>
      <c r="E110" s="23"/>
      <c r="F110" s="15" t="str">
        <f>IF($A110="","",SUMIF(Purchases!$B$2:$B$1001,$A110,Purchases!$C$2:$C$1001))</f>
        <v/>
      </c>
      <c r="G110" s="19"/>
      <c r="H110" s="6" t="str">
        <f t="shared" si="9"/>
        <v/>
      </c>
      <c r="I110" s="19"/>
      <c r="J110" s="3" t="str">
        <f t="shared" si="10"/>
        <v/>
      </c>
      <c r="K110" s="16" t="str">
        <f>IF($A110="","",IFERROR((IF($D110="",0,$D110)*IF($E110="",0,$E110)+SUMIF(Purchases!$B$2:$B$1001,$A110,Purchases!$E$2:$E$1001))/(IF($D110="",0,$D110)+SUMIF(Purchases!$B$2:$B$1001,$A110,Purchases!$C$2:$C$1001)),0))</f>
        <v/>
      </c>
      <c r="L110" s="9" t="str">
        <f t="shared" si="11"/>
        <v/>
      </c>
    </row>
    <row r="111" spans="1:12" x14ac:dyDescent="0.3">
      <c r="A111" s="19"/>
      <c r="B111" s="19"/>
      <c r="C111" s="19"/>
      <c r="D111" s="19"/>
      <c r="E111" s="23"/>
      <c r="F111" s="15" t="str">
        <f>IF($A111="","",SUMIF(Purchases!$B$2:$B$1001,$A111,Purchases!$C$2:$C$1001))</f>
        <v/>
      </c>
      <c r="G111" s="19"/>
      <c r="H111" s="6" t="str">
        <f t="shared" si="9"/>
        <v/>
      </c>
      <c r="I111" s="19"/>
      <c r="J111" s="3" t="str">
        <f t="shared" si="10"/>
        <v/>
      </c>
      <c r="K111" s="16" t="str">
        <f>IF($A111="","",IFERROR((IF($D111="",0,$D111)*IF($E111="",0,$E111)+SUMIF(Purchases!$B$2:$B$1001,$A111,Purchases!$E$2:$E$1001))/(IF($D111="",0,$D111)+SUMIF(Purchases!$B$2:$B$1001,$A111,Purchases!$C$2:$C$1001)),0))</f>
        <v/>
      </c>
      <c r="L111" s="9" t="str">
        <f t="shared" si="11"/>
        <v/>
      </c>
    </row>
    <row r="112" spans="1:12" x14ac:dyDescent="0.3">
      <c r="A112" s="19"/>
      <c r="B112" s="19"/>
      <c r="C112" s="19"/>
      <c r="D112" s="19"/>
      <c r="E112" s="23"/>
      <c r="F112" s="15" t="str">
        <f>IF($A112="","",SUMIF(Purchases!$B$2:$B$1001,$A112,Purchases!$C$2:$C$1001))</f>
        <v/>
      </c>
      <c r="G112" s="19"/>
      <c r="H112" s="6" t="str">
        <f t="shared" si="9"/>
        <v/>
      </c>
      <c r="I112" s="19"/>
      <c r="J112" s="3" t="str">
        <f t="shared" si="10"/>
        <v/>
      </c>
      <c r="K112" s="16" t="str">
        <f>IF($A112="","",IFERROR((IF($D112="",0,$D112)*IF($E112="",0,$E112)+SUMIF(Purchases!$B$2:$B$1001,$A112,Purchases!$E$2:$E$1001))/(IF($D112="",0,$D112)+SUMIF(Purchases!$B$2:$B$1001,$A112,Purchases!$C$2:$C$1001)),0))</f>
        <v/>
      </c>
      <c r="L112" s="9" t="str">
        <f t="shared" si="11"/>
        <v/>
      </c>
    </row>
    <row r="113" spans="1:12" x14ac:dyDescent="0.3">
      <c r="A113" s="19"/>
      <c r="B113" s="19"/>
      <c r="C113" s="19"/>
      <c r="D113" s="19"/>
      <c r="E113" s="23"/>
      <c r="F113" s="15" t="str">
        <f>IF($A113="","",SUMIF(Purchases!$B$2:$B$1001,$A113,Purchases!$C$2:$C$1001))</f>
        <v/>
      </c>
      <c r="G113" s="19"/>
      <c r="H113" s="6" t="str">
        <f t="shared" si="9"/>
        <v/>
      </c>
      <c r="I113" s="19"/>
      <c r="J113" s="3" t="str">
        <f t="shared" si="10"/>
        <v/>
      </c>
      <c r="K113" s="16" t="str">
        <f>IF($A113="","",IFERROR((IF($D113="",0,$D113)*IF($E113="",0,$E113)+SUMIF(Purchases!$B$2:$B$1001,$A113,Purchases!$E$2:$E$1001))/(IF($D113="",0,$D113)+SUMIF(Purchases!$B$2:$B$1001,$A113,Purchases!$C$2:$C$1001)),0))</f>
        <v/>
      </c>
      <c r="L113" s="9" t="str">
        <f t="shared" si="11"/>
        <v/>
      </c>
    </row>
    <row r="114" spans="1:12" x14ac:dyDescent="0.3">
      <c r="A114" s="19"/>
      <c r="B114" s="19"/>
      <c r="C114" s="19"/>
      <c r="D114" s="19"/>
      <c r="E114" s="23"/>
      <c r="F114" s="15" t="str">
        <f>IF($A114="","",SUMIF(Purchases!$B$2:$B$1001,$A114,Purchases!$C$2:$C$1001))</f>
        <v/>
      </c>
      <c r="G114" s="19"/>
      <c r="H114" s="6" t="str">
        <f t="shared" si="9"/>
        <v/>
      </c>
      <c r="I114" s="19"/>
      <c r="J114" s="3" t="str">
        <f t="shared" si="10"/>
        <v/>
      </c>
      <c r="K114" s="16" t="str">
        <f>IF($A114="","",IFERROR((IF($D114="",0,$D114)*IF($E114="",0,$E114)+SUMIF(Purchases!$B$2:$B$1001,$A114,Purchases!$E$2:$E$1001))/(IF($D114="",0,$D114)+SUMIF(Purchases!$B$2:$B$1001,$A114,Purchases!$C$2:$C$1001)),0))</f>
        <v/>
      </c>
      <c r="L114" s="9" t="str">
        <f t="shared" si="11"/>
        <v/>
      </c>
    </row>
    <row r="115" spans="1:12" x14ac:dyDescent="0.3">
      <c r="A115" s="19"/>
      <c r="B115" s="19"/>
      <c r="C115" s="19"/>
      <c r="D115" s="19"/>
      <c r="E115" s="23"/>
      <c r="F115" s="15" t="str">
        <f>IF($A115="","",SUMIF(Purchases!$B$2:$B$1001,$A115,Purchases!$C$2:$C$1001))</f>
        <v/>
      </c>
      <c r="G115" s="19"/>
      <c r="H115" s="6" t="str">
        <f t="shared" si="9"/>
        <v/>
      </c>
      <c r="I115" s="19"/>
      <c r="J115" s="3" t="str">
        <f t="shared" si="10"/>
        <v/>
      </c>
      <c r="K115" s="16" t="str">
        <f>IF($A115="","",IFERROR((IF($D115="",0,$D115)*IF($E115="",0,$E115)+SUMIF(Purchases!$B$2:$B$1001,$A115,Purchases!$E$2:$E$1001))/(IF($D115="",0,$D115)+SUMIF(Purchases!$B$2:$B$1001,$A115,Purchases!$C$2:$C$1001)),0))</f>
        <v/>
      </c>
      <c r="L115" s="9" t="str">
        <f t="shared" si="11"/>
        <v/>
      </c>
    </row>
    <row r="116" spans="1:12" x14ac:dyDescent="0.3">
      <c r="A116" s="19"/>
      <c r="B116" s="19"/>
      <c r="C116" s="19"/>
      <c r="D116" s="19"/>
      <c r="E116" s="23"/>
      <c r="F116" s="15" t="str">
        <f>IF($A116="","",SUMIF(Purchases!$B$2:$B$1001,$A116,Purchases!$C$2:$C$1001))</f>
        <v/>
      </c>
      <c r="G116" s="19"/>
      <c r="H116" s="6" t="str">
        <f t="shared" si="9"/>
        <v/>
      </c>
      <c r="I116" s="19"/>
      <c r="J116" s="3" t="str">
        <f t="shared" si="10"/>
        <v/>
      </c>
      <c r="K116" s="16" t="str">
        <f>IF($A116="","",IFERROR((IF($D116="",0,$D116)*IF($E116="",0,$E116)+SUMIF(Purchases!$B$2:$B$1001,$A116,Purchases!$E$2:$E$1001))/(IF($D116="",0,$D116)+SUMIF(Purchases!$B$2:$B$1001,$A116,Purchases!$C$2:$C$1001)),0))</f>
        <v/>
      </c>
      <c r="L116" s="9" t="str">
        <f t="shared" si="11"/>
        <v/>
      </c>
    </row>
    <row r="117" spans="1:12" x14ac:dyDescent="0.3">
      <c r="A117" s="19"/>
      <c r="B117" s="19"/>
      <c r="C117" s="19"/>
      <c r="D117" s="19"/>
      <c r="E117" s="23"/>
      <c r="F117" s="15" t="str">
        <f>IF($A117="","",SUMIF(Purchases!$B$2:$B$1001,$A117,Purchases!$C$2:$C$1001))</f>
        <v/>
      </c>
      <c r="G117" s="19"/>
      <c r="H117" s="6" t="str">
        <f t="shared" si="9"/>
        <v/>
      </c>
      <c r="I117" s="19"/>
      <c r="J117" s="3" t="str">
        <f t="shared" si="10"/>
        <v/>
      </c>
      <c r="K117" s="16" t="str">
        <f>IF($A117="","",IFERROR((IF($D117="",0,$D117)*IF($E117="",0,$E117)+SUMIF(Purchases!$B$2:$B$1001,$A117,Purchases!$E$2:$E$1001))/(IF($D117="",0,$D117)+SUMIF(Purchases!$B$2:$B$1001,$A117,Purchases!$C$2:$C$1001)),0))</f>
        <v/>
      </c>
      <c r="L117" s="9" t="str">
        <f t="shared" si="11"/>
        <v/>
      </c>
    </row>
    <row r="118" spans="1:12" x14ac:dyDescent="0.3">
      <c r="A118" s="19"/>
      <c r="B118" s="19"/>
      <c r="C118" s="19"/>
      <c r="D118" s="19"/>
      <c r="E118" s="23"/>
      <c r="F118" s="15" t="str">
        <f>IF($A118="","",SUMIF(Purchases!$B$2:$B$1001,$A118,Purchases!$C$2:$C$1001))</f>
        <v/>
      </c>
      <c r="G118" s="19"/>
      <c r="H118" s="6" t="str">
        <f t="shared" si="9"/>
        <v/>
      </c>
      <c r="I118" s="19"/>
      <c r="J118" s="3" t="str">
        <f t="shared" si="10"/>
        <v/>
      </c>
      <c r="K118" s="16" t="str">
        <f>IF($A118="","",IFERROR((IF($D118="",0,$D118)*IF($E118="",0,$E118)+SUMIF(Purchases!$B$2:$B$1001,$A118,Purchases!$E$2:$E$1001))/(IF($D118="",0,$D118)+SUMIF(Purchases!$B$2:$B$1001,$A118,Purchases!$C$2:$C$1001)),0))</f>
        <v/>
      </c>
      <c r="L118" s="9" t="str">
        <f t="shared" si="11"/>
        <v/>
      </c>
    </row>
    <row r="119" spans="1:12" x14ac:dyDescent="0.3">
      <c r="A119" s="19"/>
      <c r="B119" s="19"/>
      <c r="C119" s="19"/>
      <c r="D119" s="19"/>
      <c r="E119" s="23"/>
      <c r="F119" s="15" t="str">
        <f>IF($A119="","",SUMIF(Purchases!$B$2:$B$1001,$A119,Purchases!$C$2:$C$1001))</f>
        <v/>
      </c>
      <c r="G119" s="19"/>
      <c r="H119" s="6" t="str">
        <f t="shared" si="9"/>
        <v/>
      </c>
      <c r="I119" s="19"/>
      <c r="J119" s="3" t="str">
        <f t="shared" si="10"/>
        <v/>
      </c>
      <c r="K119" s="16" t="str">
        <f>IF($A119="","",IFERROR((IF($D119="",0,$D119)*IF($E119="",0,$E119)+SUMIF(Purchases!$B$2:$B$1001,$A119,Purchases!$E$2:$E$1001))/(IF($D119="",0,$D119)+SUMIF(Purchases!$B$2:$B$1001,$A119,Purchases!$C$2:$C$1001)),0))</f>
        <v/>
      </c>
      <c r="L119" s="9" t="str">
        <f t="shared" si="11"/>
        <v/>
      </c>
    </row>
    <row r="120" spans="1:12" x14ac:dyDescent="0.3">
      <c r="A120" s="19"/>
      <c r="B120" s="19"/>
      <c r="C120" s="19"/>
      <c r="D120" s="19"/>
      <c r="E120" s="23"/>
      <c r="F120" s="15" t="str">
        <f>IF($A120="","",SUMIF(Purchases!$B$2:$B$1001,$A120,Purchases!$C$2:$C$1001))</f>
        <v/>
      </c>
      <c r="G120" s="19"/>
      <c r="H120" s="6" t="str">
        <f t="shared" si="9"/>
        <v/>
      </c>
      <c r="I120" s="19"/>
      <c r="J120" s="3" t="str">
        <f t="shared" si="10"/>
        <v/>
      </c>
      <c r="K120" s="16" t="str">
        <f>IF($A120="","",IFERROR((IF($D120="",0,$D120)*IF($E120="",0,$E120)+SUMIF(Purchases!$B$2:$B$1001,$A120,Purchases!$E$2:$E$1001))/(IF($D120="",0,$D120)+SUMIF(Purchases!$B$2:$B$1001,$A120,Purchases!$C$2:$C$1001)),0))</f>
        <v/>
      </c>
      <c r="L120" s="9" t="str">
        <f t="shared" si="11"/>
        <v/>
      </c>
    </row>
    <row r="121" spans="1:12" x14ac:dyDescent="0.3">
      <c r="A121" s="19"/>
      <c r="B121" s="19"/>
      <c r="C121" s="19"/>
      <c r="D121" s="19"/>
      <c r="E121" s="23"/>
      <c r="F121" s="15" t="str">
        <f>IF($A121="","",SUMIF(Purchases!$B$2:$B$1001,$A121,Purchases!$C$2:$C$1001))</f>
        <v/>
      </c>
      <c r="G121" s="19"/>
      <c r="H121" s="6" t="str">
        <f t="shared" si="9"/>
        <v/>
      </c>
      <c r="I121" s="19"/>
      <c r="J121" s="3" t="str">
        <f t="shared" si="10"/>
        <v/>
      </c>
      <c r="K121" s="16" t="str">
        <f>IF($A121="","",IFERROR((IF($D121="",0,$D121)*IF($E121="",0,$E121)+SUMIF(Purchases!$B$2:$B$1001,$A121,Purchases!$E$2:$E$1001))/(IF($D121="",0,$D121)+SUMIF(Purchases!$B$2:$B$1001,$A121,Purchases!$C$2:$C$1001)),0))</f>
        <v/>
      </c>
      <c r="L121" s="9" t="str">
        <f t="shared" si="11"/>
        <v/>
      </c>
    </row>
    <row r="122" spans="1:12" x14ac:dyDescent="0.3">
      <c r="A122" s="19"/>
      <c r="B122" s="19"/>
      <c r="C122" s="19"/>
      <c r="D122" s="19"/>
      <c r="E122" s="23"/>
      <c r="F122" s="15" t="str">
        <f>IF($A122="","",SUMIF(Purchases!$B$2:$B$1001,$A122,Purchases!$C$2:$C$1001))</f>
        <v/>
      </c>
      <c r="G122" s="19"/>
      <c r="H122" s="6" t="str">
        <f t="shared" si="9"/>
        <v/>
      </c>
      <c r="I122" s="19"/>
      <c r="J122" s="3" t="str">
        <f t="shared" si="10"/>
        <v/>
      </c>
      <c r="K122" s="16" t="str">
        <f>IF($A122="","",IFERROR((IF($D122="",0,$D122)*IF($E122="",0,$E122)+SUMIF(Purchases!$B$2:$B$1001,$A122,Purchases!$E$2:$E$1001))/(IF($D122="",0,$D122)+SUMIF(Purchases!$B$2:$B$1001,$A122,Purchases!$C$2:$C$1001)),0))</f>
        <v/>
      </c>
      <c r="L122" s="9" t="str">
        <f t="shared" si="11"/>
        <v/>
      </c>
    </row>
    <row r="123" spans="1:12" x14ac:dyDescent="0.3">
      <c r="A123" s="19"/>
      <c r="B123" s="19"/>
      <c r="C123" s="19"/>
      <c r="D123" s="19"/>
      <c r="E123" s="23"/>
      <c r="F123" s="15" t="str">
        <f>IF($A123="","",SUMIF(Purchases!$B$2:$B$1001,$A123,Purchases!$C$2:$C$1001))</f>
        <v/>
      </c>
      <c r="G123" s="19"/>
      <c r="H123" s="6" t="str">
        <f t="shared" si="9"/>
        <v/>
      </c>
      <c r="I123" s="19"/>
      <c r="J123" s="3" t="str">
        <f t="shared" si="10"/>
        <v/>
      </c>
      <c r="K123" s="16" t="str">
        <f>IF($A123="","",IFERROR((IF($D123="",0,$D123)*IF($E123="",0,$E123)+SUMIF(Purchases!$B$2:$B$1001,$A123,Purchases!$E$2:$E$1001))/(IF($D123="",0,$D123)+SUMIF(Purchases!$B$2:$B$1001,$A123,Purchases!$C$2:$C$1001)),0))</f>
        <v/>
      </c>
      <c r="L123" s="9" t="str">
        <f t="shared" si="11"/>
        <v/>
      </c>
    </row>
    <row r="124" spans="1:12" x14ac:dyDescent="0.3">
      <c r="A124" s="19"/>
      <c r="B124" s="19"/>
      <c r="C124" s="19"/>
      <c r="D124" s="19"/>
      <c r="E124" s="23"/>
      <c r="F124" s="15" t="str">
        <f>IF($A124="","",SUMIF(Purchases!$B$2:$B$1001,$A124,Purchases!$C$2:$C$1001))</f>
        <v/>
      </c>
      <c r="G124" s="19"/>
      <c r="H124" s="6" t="str">
        <f t="shared" si="9"/>
        <v/>
      </c>
      <c r="I124" s="19"/>
      <c r="J124" s="3" t="str">
        <f t="shared" si="10"/>
        <v/>
      </c>
      <c r="K124" s="16" t="str">
        <f>IF($A124="","",IFERROR((IF($D124="",0,$D124)*IF($E124="",0,$E124)+SUMIF(Purchases!$B$2:$B$1001,$A124,Purchases!$E$2:$E$1001))/(IF($D124="",0,$D124)+SUMIF(Purchases!$B$2:$B$1001,$A124,Purchases!$C$2:$C$1001)),0))</f>
        <v/>
      </c>
      <c r="L124" s="9" t="str">
        <f t="shared" si="11"/>
        <v/>
      </c>
    </row>
    <row r="125" spans="1:12" x14ac:dyDescent="0.3">
      <c r="A125" s="19"/>
      <c r="B125" s="19"/>
      <c r="C125" s="19"/>
      <c r="D125" s="19"/>
      <c r="E125" s="23"/>
      <c r="F125" s="15" t="str">
        <f>IF($A125="","",SUMIF(Purchases!$B$2:$B$1001,$A125,Purchases!$C$2:$C$1001))</f>
        <v/>
      </c>
      <c r="G125" s="19"/>
      <c r="H125" s="6" t="str">
        <f t="shared" si="9"/>
        <v/>
      </c>
      <c r="I125" s="19"/>
      <c r="J125" s="3" t="str">
        <f t="shared" si="10"/>
        <v/>
      </c>
      <c r="K125" s="16" t="str">
        <f>IF($A125="","",IFERROR((IF($D125="",0,$D125)*IF($E125="",0,$E125)+SUMIF(Purchases!$B$2:$B$1001,$A125,Purchases!$E$2:$E$1001))/(IF($D125="",0,$D125)+SUMIF(Purchases!$B$2:$B$1001,$A125,Purchases!$C$2:$C$1001)),0))</f>
        <v/>
      </c>
      <c r="L125" s="9" t="str">
        <f t="shared" si="11"/>
        <v/>
      </c>
    </row>
    <row r="126" spans="1:12" x14ac:dyDescent="0.3">
      <c r="A126" s="19"/>
      <c r="B126" s="19"/>
      <c r="C126" s="19"/>
      <c r="D126" s="19"/>
      <c r="E126" s="23"/>
      <c r="F126" s="15" t="str">
        <f>IF($A126="","",SUMIF(Purchases!$B$2:$B$1001,$A126,Purchases!$C$2:$C$1001))</f>
        <v/>
      </c>
      <c r="G126" s="19"/>
      <c r="H126" s="6" t="str">
        <f t="shared" si="9"/>
        <v/>
      </c>
      <c r="I126" s="19"/>
      <c r="J126" s="3" t="str">
        <f t="shared" si="10"/>
        <v/>
      </c>
      <c r="K126" s="16" t="str">
        <f>IF($A126="","",IFERROR((IF($D126="",0,$D126)*IF($E126="",0,$E126)+SUMIF(Purchases!$B$2:$B$1001,$A126,Purchases!$E$2:$E$1001))/(IF($D126="",0,$D126)+SUMIF(Purchases!$B$2:$B$1001,$A126,Purchases!$C$2:$C$1001)),0))</f>
        <v/>
      </c>
      <c r="L126" s="9" t="str">
        <f t="shared" si="11"/>
        <v/>
      </c>
    </row>
    <row r="127" spans="1:12" x14ac:dyDescent="0.3">
      <c r="A127" s="19"/>
      <c r="B127" s="19"/>
      <c r="C127" s="19"/>
      <c r="D127" s="19"/>
      <c r="E127" s="23"/>
      <c r="F127" s="15" t="str">
        <f>IF($A127="","",SUMIF(Purchases!$B$2:$B$1001,$A127,Purchases!$C$2:$C$1001))</f>
        <v/>
      </c>
      <c r="G127" s="19"/>
      <c r="H127" s="6" t="str">
        <f t="shared" si="9"/>
        <v/>
      </c>
      <c r="I127" s="19"/>
      <c r="J127" s="3" t="str">
        <f t="shared" si="10"/>
        <v/>
      </c>
      <c r="K127" s="16" t="str">
        <f>IF($A127="","",IFERROR((IF($D127="",0,$D127)*IF($E127="",0,$E127)+SUMIF(Purchases!$B$2:$B$1001,$A127,Purchases!$E$2:$E$1001))/(IF($D127="",0,$D127)+SUMIF(Purchases!$B$2:$B$1001,$A127,Purchases!$C$2:$C$1001)),0))</f>
        <v/>
      </c>
      <c r="L127" s="9" t="str">
        <f t="shared" si="11"/>
        <v/>
      </c>
    </row>
    <row r="128" spans="1:12" x14ac:dyDescent="0.3">
      <c r="A128" s="19"/>
      <c r="B128" s="19"/>
      <c r="C128" s="19"/>
      <c r="D128" s="19"/>
      <c r="E128" s="23"/>
      <c r="F128" s="15" t="str">
        <f>IF($A128="","",SUMIF(Purchases!$B$2:$B$1001,$A128,Purchases!$C$2:$C$1001))</f>
        <v/>
      </c>
      <c r="G128" s="19"/>
      <c r="H128" s="6" t="str">
        <f t="shared" si="9"/>
        <v/>
      </c>
      <c r="I128" s="19"/>
      <c r="J128" s="3" t="str">
        <f t="shared" si="10"/>
        <v/>
      </c>
      <c r="K128" s="16" t="str">
        <f>IF($A128="","",IFERROR((IF($D128="",0,$D128)*IF($E128="",0,$E128)+SUMIF(Purchases!$B$2:$B$1001,$A128,Purchases!$E$2:$E$1001))/(IF($D128="",0,$D128)+SUMIF(Purchases!$B$2:$B$1001,$A128,Purchases!$C$2:$C$1001)),0))</f>
        <v/>
      </c>
      <c r="L128" s="9" t="str">
        <f t="shared" si="11"/>
        <v/>
      </c>
    </row>
    <row r="129" spans="1:12" x14ac:dyDescent="0.3">
      <c r="A129" s="19"/>
      <c r="B129" s="19"/>
      <c r="C129" s="19"/>
      <c r="D129" s="19"/>
      <c r="E129" s="23"/>
      <c r="F129" s="15" t="str">
        <f>IF($A129="","",SUMIF(Purchases!$B$2:$B$1001,$A129,Purchases!$C$2:$C$1001))</f>
        <v/>
      </c>
      <c r="G129" s="19"/>
      <c r="H129" s="6" t="str">
        <f t="shared" si="9"/>
        <v/>
      </c>
      <c r="I129" s="19"/>
      <c r="J129" s="3" t="str">
        <f t="shared" si="10"/>
        <v/>
      </c>
      <c r="K129" s="16" t="str">
        <f>IF($A129="","",IFERROR((IF($D129="",0,$D129)*IF($E129="",0,$E129)+SUMIF(Purchases!$B$2:$B$1001,$A129,Purchases!$E$2:$E$1001))/(IF($D129="",0,$D129)+SUMIF(Purchases!$B$2:$B$1001,$A129,Purchases!$C$2:$C$1001)),0))</f>
        <v/>
      </c>
      <c r="L129" s="9" t="str">
        <f t="shared" si="11"/>
        <v/>
      </c>
    </row>
    <row r="130" spans="1:12" x14ac:dyDescent="0.3">
      <c r="A130" s="19"/>
      <c r="B130" s="19"/>
      <c r="C130" s="19"/>
      <c r="D130" s="19"/>
      <c r="E130" s="23"/>
      <c r="F130" s="15" t="str">
        <f>IF($A130="","",SUMIF(Purchases!$B$2:$B$1001,$A130,Purchases!$C$2:$C$1001))</f>
        <v/>
      </c>
      <c r="G130" s="19"/>
      <c r="H130" s="6" t="str">
        <f t="shared" ref="H130:H161" si="12">IF($A130="","",IF($D130="",0,$D130)+$F130-IF($G130="",0,$G130))</f>
        <v/>
      </c>
      <c r="I130" s="19"/>
      <c r="J130" s="3" t="str">
        <f t="shared" ref="J130:J161" si="13">IF($A130="","",IF($I130="","OK",IF($H130&lt;=$I130,"REORDER","OK")))</f>
        <v/>
      </c>
      <c r="K130" s="16" t="str">
        <f>IF($A130="","",IFERROR((IF($D130="",0,$D130)*IF($E130="",0,$E130)+SUMIF(Purchases!$B$2:$B$1001,$A130,Purchases!$E$2:$E$1001))/(IF($D130="",0,$D130)+SUMIF(Purchases!$B$2:$B$1001,$A130,Purchases!$C$2:$C$1001)),0))</f>
        <v/>
      </c>
      <c r="L130" s="9" t="str">
        <f t="shared" ref="L130:L161" si="14">IF($A130="","",$H130*$K130)</f>
        <v/>
      </c>
    </row>
    <row r="131" spans="1:12" x14ac:dyDescent="0.3">
      <c r="A131" s="19"/>
      <c r="B131" s="19"/>
      <c r="C131" s="19"/>
      <c r="D131" s="19"/>
      <c r="E131" s="23"/>
      <c r="F131" s="15" t="str">
        <f>IF($A131="","",SUMIF(Purchases!$B$2:$B$1001,$A131,Purchases!$C$2:$C$1001))</f>
        <v/>
      </c>
      <c r="G131" s="19"/>
      <c r="H131" s="6" t="str">
        <f t="shared" si="12"/>
        <v/>
      </c>
      <c r="I131" s="19"/>
      <c r="J131" s="3" t="str">
        <f t="shared" si="13"/>
        <v/>
      </c>
      <c r="K131" s="16" t="str">
        <f>IF($A131="","",IFERROR((IF($D131="",0,$D131)*IF($E131="",0,$E131)+SUMIF(Purchases!$B$2:$B$1001,$A131,Purchases!$E$2:$E$1001))/(IF($D131="",0,$D131)+SUMIF(Purchases!$B$2:$B$1001,$A131,Purchases!$C$2:$C$1001)),0))</f>
        <v/>
      </c>
      <c r="L131" s="9" t="str">
        <f t="shared" si="14"/>
        <v/>
      </c>
    </row>
    <row r="132" spans="1:12" x14ac:dyDescent="0.3">
      <c r="A132" s="19"/>
      <c r="B132" s="19"/>
      <c r="C132" s="19"/>
      <c r="D132" s="19"/>
      <c r="E132" s="23"/>
      <c r="F132" s="15" t="str">
        <f>IF($A132="","",SUMIF(Purchases!$B$2:$B$1001,$A132,Purchases!$C$2:$C$1001))</f>
        <v/>
      </c>
      <c r="G132" s="19"/>
      <c r="H132" s="6" t="str">
        <f t="shared" si="12"/>
        <v/>
      </c>
      <c r="I132" s="19"/>
      <c r="J132" s="3" t="str">
        <f t="shared" si="13"/>
        <v/>
      </c>
      <c r="K132" s="16" t="str">
        <f>IF($A132="","",IFERROR((IF($D132="",0,$D132)*IF($E132="",0,$E132)+SUMIF(Purchases!$B$2:$B$1001,$A132,Purchases!$E$2:$E$1001))/(IF($D132="",0,$D132)+SUMIF(Purchases!$B$2:$B$1001,$A132,Purchases!$C$2:$C$1001)),0))</f>
        <v/>
      </c>
      <c r="L132" s="9" t="str">
        <f t="shared" si="14"/>
        <v/>
      </c>
    </row>
    <row r="133" spans="1:12" x14ac:dyDescent="0.3">
      <c r="A133" s="19"/>
      <c r="B133" s="19"/>
      <c r="C133" s="19"/>
      <c r="D133" s="19"/>
      <c r="E133" s="23"/>
      <c r="F133" s="15" t="str">
        <f>IF($A133="","",SUMIF(Purchases!$B$2:$B$1001,$A133,Purchases!$C$2:$C$1001))</f>
        <v/>
      </c>
      <c r="G133" s="19"/>
      <c r="H133" s="6" t="str">
        <f t="shared" si="12"/>
        <v/>
      </c>
      <c r="I133" s="19"/>
      <c r="J133" s="3" t="str">
        <f t="shared" si="13"/>
        <v/>
      </c>
      <c r="K133" s="16" t="str">
        <f>IF($A133="","",IFERROR((IF($D133="",0,$D133)*IF($E133="",0,$E133)+SUMIF(Purchases!$B$2:$B$1001,$A133,Purchases!$E$2:$E$1001))/(IF($D133="",0,$D133)+SUMIF(Purchases!$B$2:$B$1001,$A133,Purchases!$C$2:$C$1001)),0))</f>
        <v/>
      </c>
      <c r="L133" s="9" t="str">
        <f t="shared" si="14"/>
        <v/>
      </c>
    </row>
    <row r="134" spans="1:12" x14ac:dyDescent="0.3">
      <c r="A134" s="19"/>
      <c r="B134" s="19"/>
      <c r="C134" s="19"/>
      <c r="D134" s="19"/>
      <c r="E134" s="23"/>
      <c r="F134" s="15" t="str">
        <f>IF($A134="","",SUMIF(Purchases!$B$2:$B$1001,$A134,Purchases!$C$2:$C$1001))</f>
        <v/>
      </c>
      <c r="G134" s="19"/>
      <c r="H134" s="6" t="str">
        <f t="shared" si="12"/>
        <v/>
      </c>
      <c r="I134" s="19"/>
      <c r="J134" s="3" t="str">
        <f t="shared" si="13"/>
        <v/>
      </c>
      <c r="K134" s="16" t="str">
        <f>IF($A134="","",IFERROR((IF($D134="",0,$D134)*IF($E134="",0,$E134)+SUMIF(Purchases!$B$2:$B$1001,$A134,Purchases!$E$2:$E$1001))/(IF($D134="",0,$D134)+SUMIF(Purchases!$B$2:$B$1001,$A134,Purchases!$C$2:$C$1001)),0))</f>
        <v/>
      </c>
      <c r="L134" s="9" t="str">
        <f t="shared" si="14"/>
        <v/>
      </c>
    </row>
    <row r="135" spans="1:12" x14ac:dyDescent="0.3">
      <c r="A135" s="19"/>
      <c r="B135" s="19"/>
      <c r="C135" s="19"/>
      <c r="D135" s="19"/>
      <c r="E135" s="23"/>
      <c r="F135" s="15" t="str">
        <f>IF($A135="","",SUMIF(Purchases!$B$2:$B$1001,$A135,Purchases!$C$2:$C$1001))</f>
        <v/>
      </c>
      <c r="G135" s="19"/>
      <c r="H135" s="6" t="str">
        <f t="shared" si="12"/>
        <v/>
      </c>
      <c r="I135" s="19"/>
      <c r="J135" s="3" t="str">
        <f t="shared" si="13"/>
        <v/>
      </c>
      <c r="K135" s="16" t="str">
        <f>IF($A135="","",IFERROR((IF($D135="",0,$D135)*IF($E135="",0,$E135)+SUMIF(Purchases!$B$2:$B$1001,$A135,Purchases!$E$2:$E$1001))/(IF($D135="",0,$D135)+SUMIF(Purchases!$B$2:$B$1001,$A135,Purchases!$C$2:$C$1001)),0))</f>
        <v/>
      </c>
      <c r="L135" s="9" t="str">
        <f t="shared" si="14"/>
        <v/>
      </c>
    </row>
    <row r="136" spans="1:12" x14ac:dyDescent="0.3">
      <c r="A136" s="19"/>
      <c r="B136" s="19"/>
      <c r="C136" s="19"/>
      <c r="D136" s="19"/>
      <c r="E136" s="23"/>
      <c r="F136" s="15" t="str">
        <f>IF($A136="","",SUMIF(Purchases!$B$2:$B$1001,$A136,Purchases!$C$2:$C$1001))</f>
        <v/>
      </c>
      <c r="G136" s="19"/>
      <c r="H136" s="6" t="str">
        <f t="shared" si="12"/>
        <v/>
      </c>
      <c r="I136" s="19"/>
      <c r="J136" s="3" t="str">
        <f t="shared" si="13"/>
        <v/>
      </c>
      <c r="K136" s="16" t="str">
        <f>IF($A136="","",IFERROR((IF($D136="",0,$D136)*IF($E136="",0,$E136)+SUMIF(Purchases!$B$2:$B$1001,$A136,Purchases!$E$2:$E$1001))/(IF($D136="",0,$D136)+SUMIF(Purchases!$B$2:$B$1001,$A136,Purchases!$C$2:$C$1001)),0))</f>
        <v/>
      </c>
      <c r="L136" s="9" t="str">
        <f t="shared" si="14"/>
        <v/>
      </c>
    </row>
    <row r="137" spans="1:12" x14ac:dyDescent="0.3">
      <c r="A137" s="19"/>
      <c r="B137" s="19"/>
      <c r="C137" s="19"/>
      <c r="D137" s="19"/>
      <c r="E137" s="23"/>
      <c r="F137" s="15" t="str">
        <f>IF($A137="","",SUMIF(Purchases!$B$2:$B$1001,$A137,Purchases!$C$2:$C$1001))</f>
        <v/>
      </c>
      <c r="G137" s="19"/>
      <c r="H137" s="6" t="str">
        <f t="shared" si="12"/>
        <v/>
      </c>
      <c r="I137" s="19"/>
      <c r="J137" s="3" t="str">
        <f t="shared" si="13"/>
        <v/>
      </c>
      <c r="K137" s="16" t="str">
        <f>IF($A137="","",IFERROR((IF($D137="",0,$D137)*IF($E137="",0,$E137)+SUMIF(Purchases!$B$2:$B$1001,$A137,Purchases!$E$2:$E$1001))/(IF($D137="",0,$D137)+SUMIF(Purchases!$B$2:$B$1001,$A137,Purchases!$C$2:$C$1001)),0))</f>
        <v/>
      </c>
      <c r="L137" s="9" t="str">
        <f t="shared" si="14"/>
        <v/>
      </c>
    </row>
    <row r="138" spans="1:12" x14ac:dyDescent="0.3">
      <c r="A138" s="19"/>
      <c r="B138" s="19"/>
      <c r="C138" s="19"/>
      <c r="D138" s="19"/>
      <c r="E138" s="23"/>
      <c r="F138" s="15" t="str">
        <f>IF($A138="","",SUMIF(Purchases!$B$2:$B$1001,$A138,Purchases!$C$2:$C$1001))</f>
        <v/>
      </c>
      <c r="G138" s="19"/>
      <c r="H138" s="6" t="str">
        <f t="shared" si="12"/>
        <v/>
      </c>
      <c r="I138" s="19"/>
      <c r="J138" s="3" t="str">
        <f t="shared" si="13"/>
        <v/>
      </c>
      <c r="K138" s="16" t="str">
        <f>IF($A138="","",IFERROR((IF($D138="",0,$D138)*IF($E138="",0,$E138)+SUMIF(Purchases!$B$2:$B$1001,$A138,Purchases!$E$2:$E$1001))/(IF($D138="",0,$D138)+SUMIF(Purchases!$B$2:$B$1001,$A138,Purchases!$C$2:$C$1001)),0))</f>
        <v/>
      </c>
      <c r="L138" s="9" t="str">
        <f t="shared" si="14"/>
        <v/>
      </c>
    </row>
    <row r="139" spans="1:12" x14ac:dyDescent="0.3">
      <c r="A139" s="19"/>
      <c r="B139" s="19"/>
      <c r="C139" s="19"/>
      <c r="D139" s="19"/>
      <c r="E139" s="23"/>
      <c r="F139" s="15" t="str">
        <f>IF($A139="","",SUMIF(Purchases!$B$2:$B$1001,$A139,Purchases!$C$2:$C$1001))</f>
        <v/>
      </c>
      <c r="G139" s="19"/>
      <c r="H139" s="6" t="str">
        <f t="shared" si="12"/>
        <v/>
      </c>
      <c r="I139" s="19"/>
      <c r="J139" s="3" t="str">
        <f t="shared" si="13"/>
        <v/>
      </c>
      <c r="K139" s="16" t="str">
        <f>IF($A139="","",IFERROR((IF($D139="",0,$D139)*IF($E139="",0,$E139)+SUMIF(Purchases!$B$2:$B$1001,$A139,Purchases!$E$2:$E$1001))/(IF($D139="",0,$D139)+SUMIF(Purchases!$B$2:$B$1001,$A139,Purchases!$C$2:$C$1001)),0))</f>
        <v/>
      </c>
      <c r="L139" s="9" t="str">
        <f t="shared" si="14"/>
        <v/>
      </c>
    </row>
    <row r="140" spans="1:12" x14ac:dyDescent="0.3">
      <c r="A140" s="19"/>
      <c r="B140" s="19"/>
      <c r="C140" s="19"/>
      <c r="D140" s="19"/>
      <c r="E140" s="23"/>
      <c r="F140" s="15" t="str">
        <f>IF($A140="","",SUMIF(Purchases!$B$2:$B$1001,$A140,Purchases!$C$2:$C$1001))</f>
        <v/>
      </c>
      <c r="G140" s="19"/>
      <c r="H140" s="6" t="str">
        <f t="shared" si="12"/>
        <v/>
      </c>
      <c r="I140" s="19"/>
      <c r="J140" s="3" t="str">
        <f t="shared" si="13"/>
        <v/>
      </c>
      <c r="K140" s="16" t="str">
        <f>IF($A140="","",IFERROR((IF($D140="",0,$D140)*IF($E140="",0,$E140)+SUMIF(Purchases!$B$2:$B$1001,$A140,Purchases!$E$2:$E$1001))/(IF($D140="",0,$D140)+SUMIF(Purchases!$B$2:$B$1001,$A140,Purchases!$C$2:$C$1001)),0))</f>
        <v/>
      </c>
      <c r="L140" s="9" t="str">
        <f t="shared" si="14"/>
        <v/>
      </c>
    </row>
    <row r="141" spans="1:12" x14ac:dyDescent="0.3">
      <c r="A141" s="19"/>
      <c r="B141" s="19"/>
      <c r="C141" s="19"/>
      <c r="D141" s="19"/>
      <c r="E141" s="23"/>
      <c r="F141" s="15" t="str">
        <f>IF($A141="","",SUMIF(Purchases!$B$2:$B$1001,$A141,Purchases!$C$2:$C$1001))</f>
        <v/>
      </c>
      <c r="G141" s="19"/>
      <c r="H141" s="6" t="str">
        <f t="shared" si="12"/>
        <v/>
      </c>
      <c r="I141" s="19"/>
      <c r="J141" s="3" t="str">
        <f t="shared" si="13"/>
        <v/>
      </c>
      <c r="K141" s="16" t="str">
        <f>IF($A141="","",IFERROR((IF($D141="",0,$D141)*IF($E141="",0,$E141)+SUMIF(Purchases!$B$2:$B$1001,$A141,Purchases!$E$2:$E$1001))/(IF($D141="",0,$D141)+SUMIF(Purchases!$B$2:$B$1001,$A141,Purchases!$C$2:$C$1001)),0))</f>
        <v/>
      </c>
      <c r="L141" s="9" t="str">
        <f t="shared" si="14"/>
        <v/>
      </c>
    </row>
    <row r="142" spans="1:12" x14ac:dyDescent="0.3">
      <c r="A142" s="19"/>
      <c r="B142" s="19"/>
      <c r="C142" s="19"/>
      <c r="D142" s="19"/>
      <c r="E142" s="23"/>
      <c r="F142" s="15" t="str">
        <f>IF($A142="","",SUMIF(Purchases!$B$2:$B$1001,$A142,Purchases!$C$2:$C$1001))</f>
        <v/>
      </c>
      <c r="G142" s="19"/>
      <c r="H142" s="6" t="str">
        <f t="shared" si="12"/>
        <v/>
      </c>
      <c r="I142" s="19"/>
      <c r="J142" s="3" t="str">
        <f t="shared" si="13"/>
        <v/>
      </c>
      <c r="K142" s="16" t="str">
        <f>IF($A142="","",IFERROR((IF($D142="",0,$D142)*IF($E142="",0,$E142)+SUMIF(Purchases!$B$2:$B$1001,$A142,Purchases!$E$2:$E$1001))/(IF($D142="",0,$D142)+SUMIF(Purchases!$B$2:$B$1001,$A142,Purchases!$C$2:$C$1001)),0))</f>
        <v/>
      </c>
      <c r="L142" s="9" t="str">
        <f t="shared" si="14"/>
        <v/>
      </c>
    </row>
    <row r="143" spans="1:12" x14ac:dyDescent="0.3">
      <c r="A143" s="19"/>
      <c r="B143" s="19"/>
      <c r="C143" s="19"/>
      <c r="D143" s="19"/>
      <c r="E143" s="23"/>
      <c r="F143" s="15" t="str">
        <f>IF($A143="","",SUMIF(Purchases!$B$2:$B$1001,$A143,Purchases!$C$2:$C$1001))</f>
        <v/>
      </c>
      <c r="G143" s="19"/>
      <c r="H143" s="6" t="str">
        <f t="shared" si="12"/>
        <v/>
      </c>
      <c r="I143" s="19"/>
      <c r="J143" s="3" t="str">
        <f t="shared" si="13"/>
        <v/>
      </c>
      <c r="K143" s="16" t="str">
        <f>IF($A143="","",IFERROR((IF($D143="",0,$D143)*IF($E143="",0,$E143)+SUMIF(Purchases!$B$2:$B$1001,$A143,Purchases!$E$2:$E$1001))/(IF($D143="",0,$D143)+SUMIF(Purchases!$B$2:$B$1001,$A143,Purchases!$C$2:$C$1001)),0))</f>
        <v/>
      </c>
      <c r="L143" s="9" t="str">
        <f t="shared" si="14"/>
        <v/>
      </c>
    </row>
    <row r="144" spans="1:12" x14ac:dyDescent="0.3">
      <c r="A144" s="19"/>
      <c r="B144" s="19"/>
      <c r="C144" s="19"/>
      <c r="D144" s="19"/>
      <c r="E144" s="23"/>
      <c r="F144" s="15" t="str">
        <f>IF($A144="","",SUMIF(Purchases!$B$2:$B$1001,$A144,Purchases!$C$2:$C$1001))</f>
        <v/>
      </c>
      <c r="G144" s="19"/>
      <c r="H144" s="6" t="str">
        <f t="shared" si="12"/>
        <v/>
      </c>
      <c r="I144" s="19"/>
      <c r="J144" s="3" t="str">
        <f t="shared" si="13"/>
        <v/>
      </c>
      <c r="K144" s="16" t="str">
        <f>IF($A144="","",IFERROR((IF($D144="",0,$D144)*IF($E144="",0,$E144)+SUMIF(Purchases!$B$2:$B$1001,$A144,Purchases!$E$2:$E$1001))/(IF($D144="",0,$D144)+SUMIF(Purchases!$B$2:$B$1001,$A144,Purchases!$C$2:$C$1001)),0))</f>
        <v/>
      </c>
      <c r="L144" s="9" t="str">
        <f t="shared" si="14"/>
        <v/>
      </c>
    </row>
    <row r="145" spans="1:12" x14ac:dyDescent="0.3">
      <c r="A145" s="19"/>
      <c r="B145" s="19"/>
      <c r="C145" s="19"/>
      <c r="D145" s="19"/>
      <c r="E145" s="23"/>
      <c r="F145" s="15" t="str">
        <f>IF($A145="","",SUMIF(Purchases!$B$2:$B$1001,$A145,Purchases!$C$2:$C$1001))</f>
        <v/>
      </c>
      <c r="G145" s="19"/>
      <c r="H145" s="6" t="str">
        <f t="shared" si="12"/>
        <v/>
      </c>
      <c r="I145" s="19"/>
      <c r="J145" s="3" t="str">
        <f t="shared" si="13"/>
        <v/>
      </c>
      <c r="K145" s="16" t="str">
        <f>IF($A145="","",IFERROR((IF($D145="",0,$D145)*IF($E145="",0,$E145)+SUMIF(Purchases!$B$2:$B$1001,$A145,Purchases!$E$2:$E$1001))/(IF($D145="",0,$D145)+SUMIF(Purchases!$B$2:$B$1001,$A145,Purchases!$C$2:$C$1001)),0))</f>
        <v/>
      </c>
      <c r="L145" s="9" t="str">
        <f t="shared" si="14"/>
        <v/>
      </c>
    </row>
    <row r="146" spans="1:12" x14ac:dyDescent="0.3">
      <c r="A146" s="19"/>
      <c r="B146" s="19"/>
      <c r="C146" s="19"/>
      <c r="D146" s="19"/>
      <c r="E146" s="23"/>
      <c r="F146" s="15" t="str">
        <f>IF($A146="","",SUMIF(Purchases!$B$2:$B$1001,$A146,Purchases!$C$2:$C$1001))</f>
        <v/>
      </c>
      <c r="G146" s="19"/>
      <c r="H146" s="6" t="str">
        <f t="shared" si="12"/>
        <v/>
      </c>
      <c r="I146" s="19"/>
      <c r="J146" s="3" t="str">
        <f t="shared" si="13"/>
        <v/>
      </c>
      <c r="K146" s="16" t="str">
        <f>IF($A146="","",IFERROR((IF($D146="",0,$D146)*IF($E146="",0,$E146)+SUMIF(Purchases!$B$2:$B$1001,$A146,Purchases!$E$2:$E$1001))/(IF($D146="",0,$D146)+SUMIF(Purchases!$B$2:$B$1001,$A146,Purchases!$C$2:$C$1001)),0))</f>
        <v/>
      </c>
      <c r="L146" s="9" t="str">
        <f t="shared" si="14"/>
        <v/>
      </c>
    </row>
    <row r="147" spans="1:12" x14ac:dyDescent="0.3">
      <c r="A147" s="19"/>
      <c r="B147" s="19"/>
      <c r="C147" s="19"/>
      <c r="D147" s="19"/>
      <c r="E147" s="23"/>
      <c r="F147" s="15" t="str">
        <f>IF($A147="","",SUMIF(Purchases!$B$2:$B$1001,$A147,Purchases!$C$2:$C$1001))</f>
        <v/>
      </c>
      <c r="G147" s="19"/>
      <c r="H147" s="6" t="str">
        <f t="shared" si="12"/>
        <v/>
      </c>
      <c r="I147" s="19"/>
      <c r="J147" s="3" t="str">
        <f t="shared" si="13"/>
        <v/>
      </c>
      <c r="K147" s="16" t="str">
        <f>IF($A147="","",IFERROR((IF($D147="",0,$D147)*IF($E147="",0,$E147)+SUMIF(Purchases!$B$2:$B$1001,$A147,Purchases!$E$2:$E$1001))/(IF($D147="",0,$D147)+SUMIF(Purchases!$B$2:$B$1001,$A147,Purchases!$C$2:$C$1001)),0))</f>
        <v/>
      </c>
      <c r="L147" s="9" t="str">
        <f t="shared" si="14"/>
        <v/>
      </c>
    </row>
    <row r="148" spans="1:12" x14ac:dyDescent="0.3">
      <c r="A148" s="19"/>
      <c r="B148" s="19"/>
      <c r="C148" s="19"/>
      <c r="D148" s="19"/>
      <c r="E148" s="23"/>
      <c r="F148" s="15" t="str">
        <f>IF($A148="","",SUMIF(Purchases!$B$2:$B$1001,$A148,Purchases!$C$2:$C$1001))</f>
        <v/>
      </c>
      <c r="G148" s="19"/>
      <c r="H148" s="6" t="str">
        <f t="shared" si="12"/>
        <v/>
      </c>
      <c r="I148" s="19"/>
      <c r="J148" s="3" t="str">
        <f t="shared" si="13"/>
        <v/>
      </c>
      <c r="K148" s="16" t="str">
        <f>IF($A148="","",IFERROR((IF($D148="",0,$D148)*IF($E148="",0,$E148)+SUMIF(Purchases!$B$2:$B$1001,$A148,Purchases!$E$2:$E$1001))/(IF($D148="",0,$D148)+SUMIF(Purchases!$B$2:$B$1001,$A148,Purchases!$C$2:$C$1001)),0))</f>
        <v/>
      </c>
      <c r="L148" s="9" t="str">
        <f t="shared" si="14"/>
        <v/>
      </c>
    </row>
    <row r="149" spans="1:12" x14ac:dyDescent="0.3">
      <c r="A149" s="19"/>
      <c r="B149" s="19"/>
      <c r="C149" s="19"/>
      <c r="D149" s="19"/>
      <c r="E149" s="23"/>
      <c r="F149" s="15" t="str">
        <f>IF($A149="","",SUMIF(Purchases!$B$2:$B$1001,$A149,Purchases!$C$2:$C$1001))</f>
        <v/>
      </c>
      <c r="G149" s="19"/>
      <c r="H149" s="6" t="str">
        <f t="shared" si="12"/>
        <v/>
      </c>
      <c r="I149" s="19"/>
      <c r="J149" s="3" t="str">
        <f t="shared" si="13"/>
        <v/>
      </c>
      <c r="K149" s="16" t="str">
        <f>IF($A149="","",IFERROR((IF($D149="",0,$D149)*IF($E149="",0,$E149)+SUMIF(Purchases!$B$2:$B$1001,$A149,Purchases!$E$2:$E$1001))/(IF($D149="",0,$D149)+SUMIF(Purchases!$B$2:$B$1001,$A149,Purchases!$C$2:$C$1001)),0))</f>
        <v/>
      </c>
      <c r="L149" s="9" t="str">
        <f t="shared" si="14"/>
        <v/>
      </c>
    </row>
    <row r="150" spans="1:12" x14ac:dyDescent="0.3">
      <c r="A150" s="19"/>
      <c r="B150" s="19"/>
      <c r="C150" s="19"/>
      <c r="D150" s="19"/>
      <c r="E150" s="23"/>
      <c r="F150" s="15" t="str">
        <f>IF($A150="","",SUMIF(Purchases!$B$2:$B$1001,$A150,Purchases!$C$2:$C$1001))</f>
        <v/>
      </c>
      <c r="G150" s="19"/>
      <c r="H150" s="6" t="str">
        <f t="shared" si="12"/>
        <v/>
      </c>
      <c r="I150" s="19"/>
      <c r="J150" s="3" t="str">
        <f t="shared" si="13"/>
        <v/>
      </c>
      <c r="K150" s="16" t="str">
        <f>IF($A150="","",IFERROR((IF($D150="",0,$D150)*IF($E150="",0,$E150)+SUMIF(Purchases!$B$2:$B$1001,$A150,Purchases!$E$2:$E$1001))/(IF($D150="",0,$D150)+SUMIF(Purchases!$B$2:$B$1001,$A150,Purchases!$C$2:$C$1001)),0))</f>
        <v/>
      </c>
      <c r="L150" s="9" t="str">
        <f t="shared" si="14"/>
        <v/>
      </c>
    </row>
    <row r="151" spans="1:12" x14ac:dyDescent="0.3">
      <c r="A151" s="19"/>
      <c r="B151" s="19"/>
      <c r="C151" s="19"/>
      <c r="D151" s="19"/>
      <c r="E151" s="23"/>
      <c r="F151" s="15" t="str">
        <f>IF($A151="","",SUMIF(Purchases!$B$2:$B$1001,$A151,Purchases!$C$2:$C$1001))</f>
        <v/>
      </c>
      <c r="G151" s="19"/>
      <c r="H151" s="6" t="str">
        <f t="shared" si="12"/>
        <v/>
      </c>
      <c r="I151" s="19"/>
      <c r="J151" s="3" t="str">
        <f t="shared" si="13"/>
        <v/>
      </c>
      <c r="K151" s="16" t="str">
        <f>IF($A151="","",IFERROR((IF($D151="",0,$D151)*IF($E151="",0,$E151)+SUMIF(Purchases!$B$2:$B$1001,$A151,Purchases!$E$2:$E$1001))/(IF($D151="",0,$D151)+SUMIF(Purchases!$B$2:$B$1001,$A151,Purchases!$C$2:$C$1001)),0))</f>
        <v/>
      </c>
      <c r="L151" s="9" t="str">
        <f t="shared" si="14"/>
        <v/>
      </c>
    </row>
    <row r="152" spans="1:12" x14ac:dyDescent="0.3">
      <c r="A152" s="19"/>
      <c r="B152" s="19"/>
      <c r="C152" s="19"/>
      <c r="D152" s="19"/>
      <c r="E152" s="23"/>
      <c r="F152" s="15" t="str">
        <f>IF($A152="","",SUMIF(Purchases!$B$2:$B$1001,$A152,Purchases!$C$2:$C$1001))</f>
        <v/>
      </c>
      <c r="G152" s="19"/>
      <c r="H152" s="6" t="str">
        <f t="shared" si="12"/>
        <v/>
      </c>
      <c r="I152" s="19"/>
      <c r="J152" s="3" t="str">
        <f t="shared" si="13"/>
        <v/>
      </c>
      <c r="K152" s="16" t="str">
        <f>IF($A152="","",IFERROR((IF($D152="",0,$D152)*IF($E152="",0,$E152)+SUMIF(Purchases!$B$2:$B$1001,$A152,Purchases!$E$2:$E$1001))/(IF($D152="",0,$D152)+SUMIF(Purchases!$B$2:$B$1001,$A152,Purchases!$C$2:$C$1001)),0))</f>
        <v/>
      </c>
      <c r="L152" s="9" t="str">
        <f t="shared" si="14"/>
        <v/>
      </c>
    </row>
    <row r="153" spans="1:12" x14ac:dyDescent="0.3">
      <c r="A153" s="19"/>
      <c r="B153" s="19"/>
      <c r="C153" s="19"/>
      <c r="D153" s="19"/>
      <c r="E153" s="23"/>
      <c r="F153" s="15" t="str">
        <f>IF($A153="","",SUMIF(Purchases!$B$2:$B$1001,$A153,Purchases!$C$2:$C$1001))</f>
        <v/>
      </c>
      <c r="G153" s="19"/>
      <c r="H153" s="6" t="str">
        <f t="shared" si="12"/>
        <v/>
      </c>
      <c r="I153" s="19"/>
      <c r="J153" s="3" t="str">
        <f t="shared" si="13"/>
        <v/>
      </c>
      <c r="K153" s="16" t="str">
        <f>IF($A153="","",IFERROR((IF($D153="",0,$D153)*IF($E153="",0,$E153)+SUMIF(Purchases!$B$2:$B$1001,$A153,Purchases!$E$2:$E$1001))/(IF($D153="",0,$D153)+SUMIF(Purchases!$B$2:$B$1001,$A153,Purchases!$C$2:$C$1001)),0))</f>
        <v/>
      </c>
      <c r="L153" s="9" t="str">
        <f t="shared" si="14"/>
        <v/>
      </c>
    </row>
    <row r="154" spans="1:12" x14ac:dyDescent="0.3">
      <c r="A154" s="19"/>
      <c r="B154" s="19"/>
      <c r="C154" s="19"/>
      <c r="D154" s="19"/>
      <c r="E154" s="23"/>
      <c r="F154" s="15" t="str">
        <f>IF($A154="","",SUMIF(Purchases!$B$2:$B$1001,$A154,Purchases!$C$2:$C$1001))</f>
        <v/>
      </c>
      <c r="G154" s="19"/>
      <c r="H154" s="6" t="str">
        <f t="shared" si="12"/>
        <v/>
      </c>
      <c r="I154" s="19"/>
      <c r="J154" s="3" t="str">
        <f t="shared" si="13"/>
        <v/>
      </c>
      <c r="K154" s="16" t="str">
        <f>IF($A154="","",IFERROR((IF($D154="",0,$D154)*IF($E154="",0,$E154)+SUMIF(Purchases!$B$2:$B$1001,$A154,Purchases!$E$2:$E$1001))/(IF($D154="",0,$D154)+SUMIF(Purchases!$B$2:$B$1001,$A154,Purchases!$C$2:$C$1001)),0))</f>
        <v/>
      </c>
      <c r="L154" s="9" t="str">
        <f t="shared" si="14"/>
        <v/>
      </c>
    </row>
    <row r="155" spans="1:12" x14ac:dyDescent="0.3">
      <c r="A155" s="19"/>
      <c r="B155" s="19"/>
      <c r="C155" s="19"/>
      <c r="D155" s="19"/>
      <c r="E155" s="23"/>
      <c r="F155" s="15" t="str">
        <f>IF($A155="","",SUMIF(Purchases!$B$2:$B$1001,$A155,Purchases!$C$2:$C$1001))</f>
        <v/>
      </c>
      <c r="G155" s="19"/>
      <c r="H155" s="6" t="str">
        <f t="shared" si="12"/>
        <v/>
      </c>
      <c r="I155" s="19"/>
      <c r="J155" s="3" t="str">
        <f t="shared" si="13"/>
        <v/>
      </c>
      <c r="K155" s="16" t="str">
        <f>IF($A155="","",IFERROR((IF($D155="",0,$D155)*IF($E155="",0,$E155)+SUMIF(Purchases!$B$2:$B$1001,$A155,Purchases!$E$2:$E$1001))/(IF($D155="",0,$D155)+SUMIF(Purchases!$B$2:$B$1001,$A155,Purchases!$C$2:$C$1001)),0))</f>
        <v/>
      </c>
      <c r="L155" s="9" t="str">
        <f t="shared" si="14"/>
        <v/>
      </c>
    </row>
    <row r="156" spans="1:12" x14ac:dyDescent="0.3">
      <c r="A156" s="19"/>
      <c r="B156" s="19"/>
      <c r="C156" s="19"/>
      <c r="D156" s="19"/>
      <c r="E156" s="23"/>
      <c r="F156" s="15" t="str">
        <f>IF($A156="","",SUMIF(Purchases!$B$2:$B$1001,$A156,Purchases!$C$2:$C$1001))</f>
        <v/>
      </c>
      <c r="G156" s="19"/>
      <c r="H156" s="6" t="str">
        <f t="shared" si="12"/>
        <v/>
      </c>
      <c r="I156" s="19"/>
      <c r="J156" s="3" t="str">
        <f t="shared" si="13"/>
        <v/>
      </c>
      <c r="K156" s="16" t="str">
        <f>IF($A156="","",IFERROR((IF($D156="",0,$D156)*IF($E156="",0,$E156)+SUMIF(Purchases!$B$2:$B$1001,$A156,Purchases!$E$2:$E$1001))/(IF($D156="",0,$D156)+SUMIF(Purchases!$B$2:$B$1001,$A156,Purchases!$C$2:$C$1001)),0))</f>
        <v/>
      </c>
      <c r="L156" s="9" t="str">
        <f t="shared" si="14"/>
        <v/>
      </c>
    </row>
    <row r="157" spans="1:12" x14ac:dyDescent="0.3">
      <c r="A157" s="19"/>
      <c r="B157" s="19"/>
      <c r="C157" s="19"/>
      <c r="D157" s="19"/>
      <c r="E157" s="23"/>
      <c r="F157" s="15" t="str">
        <f>IF($A157="","",SUMIF(Purchases!$B$2:$B$1001,$A157,Purchases!$C$2:$C$1001))</f>
        <v/>
      </c>
      <c r="G157" s="19"/>
      <c r="H157" s="6" t="str">
        <f t="shared" si="12"/>
        <v/>
      </c>
      <c r="I157" s="19"/>
      <c r="J157" s="3" t="str">
        <f t="shared" si="13"/>
        <v/>
      </c>
      <c r="K157" s="16" t="str">
        <f>IF($A157="","",IFERROR((IF($D157="",0,$D157)*IF($E157="",0,$E157)+SUMIF(Purchases!$B$2:$B$1001,$A157,Purchases!$E$2:$E$1001))/(IF($D157="",0,$D157)+SUMIF(Purchases!$B$2:$B$1001,$A157,Purchases!$C$2:$C$1001)),0))</f>
        <v/>
      </c>
      <c r="L157" s="9" t="str">
        <f t="shared" si="14"/>
        <v/>
      </c>
    </row>
    <row r="158" spans="1:12" x14ac:dyDescent="0.3">
      <c r="A158" s="19"/>
      <c r="B158" s="19"/>
      <c r="C158" s="19"/>
      <c r="D158" s="19"/>
      <c r="E158" s="23"/>
      <c r="F158" s="15" t="str">
        <f>IF($A158="","",SUMIF(Purchases!$B$2:$B$1001,$A158,Purchases!$C$2:$C$1001))</f>
        <v/>
      </c>
      <c r="G158" s="19"/>
      <c r="H158" s="6" t="str">
        <f t="shared" si="12"/>
        <v/>
      </c>
      <c r="I158" s="19"/>
      <c r="J158" s="3" t="str">
        <f t="shared" si="13"/>
        <v/>
      </c>
      <c r="K158" s="16" t="str">
        <f>IF($A158="","",IFERROR((IF($D158="",0,$D158)*IF($E158="",0,$E158)+SUMIF(Purchases!$B$2:$B$1001,$A158,Purchases!$E$2:$E$1001))/(IF($D158="",0,$D158)+SUMIF(Purchases!$B$2:$B$1001,$A158,Purchases!$C$2:$C$1001)),0))</f>
        <v/>
      </c>
      <c r="L158" s="9" t="str">
        <f t="shared" si="14"/>
        <v/>
      </c>
    </row>
    <row r="159" spans="1:12" x14ac:dyDescent="0.3">
      <c r="A159" s="19"/>
      <c r="B159" s="19"/>
      <c r="C159" s="19"/>
      <c r="D159" s="19"/>
      <c r="E159" s="23"/>
      <c r="F159" s="15" t="str">
        <f>IF($A159="","",SUMIF(Purchases!$B$2:$B$1001,$A159,Purchases!$C$2:$C$1001))</f>
        <v/>
      </c>
      <c r="G159" s="19"/>
      <c r="H159" s="6" t="str">
        <f t="shared" si="12"/>
        <v/>
      </c>
      <c r="I159" s="19"/>
      <c r="J159" s="3" t="str">
        <f t="shared" si="13"/>
        <v/>
      </c>
      <c r="K159" s="16" t="str">
        <f>IF($A159="","",IFERROR((IF($D159="",0,$D159)*IF($E159="",0,$E159)+SUMIF(Purchases!$B$2:$B$1001,$A159,Purchases!$E$2:$E$1001))/(IF($D159="",0,$D159)+SUMIF(Purchases!$B$2:$B$1001,$A159,Purchases!$C$2:$C$1001)),0))</f>
        <v/>
      </c>
      <c r="L159" s="9" t="str">
        <f t="shared" si="14"/>
        <v/>
      </c>
    </row>
    <row r="160" spans="1:12" x14ac:dyDescent="0.3">
      <c r="A160" s="19"/>
      <c r="B160" s="19"/>
      <c r="C160" s="19"/>
      <c r="D160" s="19"/>
      <c r="E160" s="23"/>
      <c r="F160" s="15" t="str">
        <f>IF($A160="","",SUMIF(Purchases!$B$2:$B$1001,$A160,Purchases!$C$2:$C$1001))</f>
        <v/>
      </c>
      <c r="G160" s="19"/>
      <c r="H160" s="6" t="str">
        <f t="shared" si="12"/>
        <v/>
      </c>
      <c r="I160" s="19"/>
      <c r="J160" s="3" t="str">
        <f t="shared" si="13"/>
        <v/>
      </c>
      <c r="K160" s="16" t="str">
        <f>IF($A160="","",IFERROR((IF($D160="",0,$D160)*IF($E160="",0,$E160)+SUMIF(Purchases!$B$2:$B$1001,$A160,Purchases!$E$2:$E$1001))/(IF($D160="",0,$D160)+SUMIF(Purchases!$B$2:$B$1001,$A160,Purchases!$C$2:$C$1001)),0))</f>
        <v/>
      </c>
      <c r="L160" s="9" t="str">
        <f t="shared" si="14"/>
        <v/>
      </c>
    </row>
    <row r="161" spans="1:12" x14ac:dyDescent="0.3">
      <c r="A161" s="19"/>
      <c r="B161" s="19"/>
      <c r="C161" s="19"/>
      <c r="D161" s="19"/>
      <c r="E161" s="23"/>
      <c r="F161" s="15" t="str">
        <f>IF($A161="","",SUMIF(Purchases!$B$2:$B$1001,$A161,Purchases!$C$2:$C$1001))</f>
        <v/>
      </c>
      <c r="G161" s="19"/>
      <c r="H161" s="6" t="str">
        <f t="shared" si="12"/>
        <v/>
      </c>
      <c r="I161" s="19"/>
      <c r="J161" s="3" t="str">
        <f t="shared" si="13"/>
        <v/>
      </c>
      <c r="K161" s="16" t="str">
        <f>IF($A161="","",IFERROR((IF($D161="",0,$D161)*IF($E161="",0,$E161)+SUMIF(Purchases!$B$2:$B$1001,$A161,Purchases!$E$2:$E$1001))/(IF($D161="",0,$D161)+SUMIF(Purchases!$B$2:$B$1001,$A161,Purchases!$C$2:$C$1001)),0))</f>
        <v/>
      </c>
      <c r="L161" s="9" t="str">
        <f t="shared" si="14"/>
        <v/>
      </c>
    </row>
    <row r="162" spans="1:12" x14ac:dyDescent="0.3">
      <c r="A162" s="19"/>
      <c r="B162" s="19"/>
      <c r="C162" s="19"/>
      <c r="D162" s="19"/>
      <c r="E162" s="23"/>
      <c r="F162" s="15" t="str">
        <f>IF($A162="","",SUMIF(Purchases!$B$2:$B$1001,$A162,Purchases!$C$2:$C$1001))</f>
        <v/>
      </c>
      <c r="G162" s="19"/>
      <c r="H162" s="6" t="str">
        <f t="shared" ref="H162:H193" si="15">IF($A162="","",IF($D162="",0,$D162)+$F162-IF($G162="",0,$G162))</f>
        <v/>
      </c>
      <c r="I162" s="19"/>
      <c r="J162" s="3" t="str">
        <f t="shared" ref="J162:J193" si="16">IF($A162="","",IF($I162="","OK",IF($H162&lt;=$I162,"REORDER","OK")))</f>
        <v/>
      </c>
      <c r="K162" s="16" t="str">
        <f>IF($A162="","",IFERROR((IF($D162="",0,$D162)*IF($E162="",0,$E162)+SUMIF(Purchases!$B$2:$B$1001,$A162,Purchases!$E$2:$E$1001))/(IF($D162="",0,$D162)+SUMIF(Purchases!$B$2:$B$1001,$A162,Purchases!$C$2:$C$1001)),0))</f>
        <v/>
      </c>
      <c r="L162" s="9" t="str">
        <f t="shared" ref="L162:L193" si="17">IF($A162="","",$H162*$K162)</f>
        <v/>
      </c>
    </row>
    <row r="163" spans="1:12" x14ac:dyDescent="0.3">
      <c r="A163" s="19"/>
      <c r="B163" s="19"/>
      <c r="C163" s="19"/>
      <c r="D163" s="19"/>
      <c r="E163" s="23"/>
      <c r="F163" s="15" t="str">
        <f>IF($A163="","",SUMIF(Purchases!$B$2:$B$1001,$A163,Purchases!$C$2:$C$1001))</f>
        <v/>
      </c>
      <c r="G163" s="19"/>
      <c r="H163" s="6" t="str">
        <f t="shared" si="15"/>
        <v/>
      </c>
      <c r="I163" s="19"/>
      <c r="J163" s="3" t="str">
        <f t="shared" si="16"/>
        <v/>
      </c>
      <c r="K163" s="16" t="str">
        <f>IF($A163="","",IFERROR((IF($D163="",0,$D163)*IF($E163="",0,$E163)+SUMIF(Purchases!$B$2:$B$1001,$A163,Purchases!$E$2:$E$1001))/(IF($D163="",0,$D163)+SUMIF(Purchases!$B$2:$B$1001,$A163,Purchases!$C$2:$C$1001)),0))</f>
        <v/>
      </c>
      <c r="L163" s="9" t="str">
        <f t="shared" si="17"/>
        <v/>
      </c>
    </row>
    <row r="164" spans="1:12" x14ac:dyDescent="0.3">
      <c r="A164" s="19"/>
      <c r="B164" s="19"/>
      <c r="C164" s="19"/>
      <c r="D164" s="19"/>
      <c r="E164" s="23"/>
      <c r="F164" s="15" t="str">
        <f>IF($A164="","",SUMIF(Purchases!$B$2:$B$1001,$A164,Purchases!$C$2:$C$1001))</f>
        <v/>
      </c>
      <c r="G164" s="19"/>
      <c r="H164" s="6" t="str">
        <f t="shared" si="15"/>
        <v/>
      </c>
      <c r="I164" s="19"/>
      <c r="J164" s="3" t="str">
        <f t="shared" si="16"/>
        <v/>
      </c>
      <c r="K164" s="16" t="str">
        <f>IF($A164="","",IFERROR((IF($D164="",0,$D164)*IF($E164="",0,$E164)+SUMIF(Purchases!$B$2:$B$1001,$A164,Purchases!$E$2:$E$1001))/(IF($D164="",0,$D164)+SUMIF(Purchases!$B$2:$B$1001,$A164,Purchases!$C$2:$C$1001)),0))</f>
        <v/>
      </c>
      <c r="L164" s="9" t="str">
        <f t="shared" si="17"/>
        <v/>
      </c>
    </row>
    <row r="165" spans="1:12" x14ac:dyDescent="0.3">
      <c r="A165" s="19"/>
      <c r="B165" s="19"/>
      <c r="C165" s="19"/>
      <c r="D165" s="19"/>
      <c r="E165" s="23"/>
      <c r="F165" s="15" t="str">
        <f>IF($A165="","",SUMIF(Purchases!$B$2:$B$1001,$A165,Purchases!$C$2:$C$1001))</f>
        <v/>
      </c>
      <c r="G165" s="19"/>
      <c r="H165" s="6" t="str">
        <f t="shared" si="15"/>
        <v/>
      </c>
      <c r="I165" s="19"/>
      <c r="J165" s="3" t="str">
        <f t="shared" si="16"/>
        <v/>
      </c>
      <c r="K165" s="16" t="str">
        <f>IF($A165="","",IFERROR((IF($D165="",0,$D165)*IF($E165="",0,$E165)+SUMIF(Purchases!$B$2:$B$1001,$A165,Purchases!$E$2:$E$1001))/(IF($D165="",0,$D165)+SUMIF(Purchases!$B$2:$B$1001,$A165,Purchases!$C$2:$C$1001)),0))</f>
        <v/>
      </c>
      <c r="L165" s="9" t="str">
        <f t="shared" si="17"/>
        <v/>
      </c>
    </row>
    <row r="166" spans="1:12" x14ac:dyDescent="0.3">
      <c r="A166" s="19"/>
      <c r="B166" s="19"/>
      <c r="C166" s="19"/>
      <c r="D166" s="19"/>
      <c r="E166" s="23"/>
      <c r="F166" s="15" t="str">
        <f>IF($A166="","",SUMIF(Purchases!$B$2:$B$1001,$A166,Purchases!$C$2:$C$1001))</f>
        <v/>
      </c>
      <c r="G166" s="19"/>
      <c r="H166" s="6" t="str">
        <f t="shared" si="15"/>
        <v/>
      </c>
      <c r="I166" s="19"/>
      <c r="J166" s="3" t="str">
        <f t="shared" si="16"/>
        <v/>
      </c>
      <c r="K166" s="16" t="str">
        <f>IF($A166="","",IFERROR((IF($D166="",0,$D166)*IF($E166="",0,$E166)+SUMIF(Purchases!$B$2:$B$1001,$A166,Purchases!$E$2:$E$1001))/(IF($D166="",0,$D166)+SUMIF(Purchases!$B$2:$B$1001,$A166,Purchases!$C$2:$C$1001)),0))</f>
        <v/>
      </c>
      <c r="L166" s="9" t="str">
        <f t="shared" si="17"/>
        <v/>
      </c>
    </row>
    <row r="167" spans="1:12" x14ac:dyDescent="0.3">
      <c r="A167" s="19"/>
      <c r="B167" s="19"/>
      <c r="C167" s="19"/>
      <c r="D167" s="19"/>
      <c r="E167" s="23"/>
      <c r="F167" s="15" t="str">
        <f>IF($A167="","",SUMIF(Purchases!$B$2:$B$1001,$A167,Purchases!$C$2:$C$1001))</f>
        <v/>
      </c>
      <c r="G167" s="19"/>
      <c r="H167" s="6" t="str">
        <f t="shared" si="15"/>
        <v/>
      </c>
      <c r="I167" s="19"/>
      <c r="J167" s="3" t="str">
        <f t="shared" si="16"/>
        <v/>
      </c>
      <c r="K167" s="16" t="str">
        <f>IF($A167="","",IFERROR((IF($D167="",0,$D167)*IF($E167="",0,$E167)+SUMIF(Purchases!$B$2:$B$1001,$A167,Purchases!$E$2:$E$1001))/(IF($D167="",0,$D167)+SUMIF(Purchases!$B$2:$B$1001,$A167,Purchases!$C$2:$C$1001)),0))</f>
        <v/>
      </c>
      <c r="L167" s="9" t="str">
        <f t="shared" si="17"/>
        <v/>
      </c>
    </row>
    <row r="168" spans="1:12" x14ac:dyDescent="0.3">
      <c r="A168" s="19"/>
      <c r="B168" s="19"/>
      <c r="C168" s="19"/>
      <c r="D168" s="19"/>
      <c r="E168" s="23"/>
      <c r="F168" s="15" t="str">
        <f>IF($A168="","",SUMIF(Purchases!$B$2:$B$1001,$A168,Purchases!$C$2:$C$1001))</f>
        <v/>
      </c>
      <c r="G168" s="19"/>
      <c r="H168" s="6" t="str">
        <f t="shared" si="15"/>
        <v/>
      </c>
      <c r="I168" s="19"/>
      <c r="J168" s="3" t="str">
        <f t="shared" si="16"/>
        <v/>
      </c>
      <c r="K168" s="16" t="str">
        <f>IF($A168="","",IFERROR((IF($D168="",0,$D168)*IF($E168="",0,$E168)+SUMIF(Purchases!$B$2:$B$1001,$A168,Purchases!$E$2:$E$1001))/(IF($D168="",0,$D168)+SUMIF(Purchases!$B$2:$B$1001,$A168,Purchases!$C$2:$C$1001)),0))</f>
        <v/>
      </c>
      <c r="L168" s="9" t="str">
        <f t="shared" si="17"/>
        <v/>
      </c>
    </row>
    <row r="169" spans="1:12" x14ac:dyDescent="0.3">
      <c r="A169" s="19"/>
      <c r="B169" s="19"/>
      <c r="C169" s="19"/>
      <c r="D169" s="19"/>
      <c r="E169" s="23"/>
      <c r="F169" s="15" t="str">
        <f>IF($A169="","",SUMIF(Purchases!$B$2:$B$1001,$A169,Purchases!$C$2:$C$1001))</f>
        <v/>
      </c>
      <c r="G169" s="19"/>
      <c r="H169" s="6" t="str">
        <f t="shared" si="15"/>
        <v/>
      </c>
      <c r="I169" s="19"/>
      <c r="J169" s="3" t="str">
        <f t="shared" si="16"/>
        <v/>
      </c>
      <c r="K169" s="16" t="str">
        <f>IF($A169="","",IFERROR((IF($D169="",0,$D169)*IF($E169="",0,$E169)+SUMIF(Purchases!$B$2:$B$1001,$A169,Purchases!$E$2:$E$1001))/(IF($D169="",0,$D169)+SUMIF(Purchases!$B$2:$B$1001,$A169,Purchases!$C$2:$C$1001)),0))</f>
        <v/>
      </c>
      <c r="L169" s="9" t="str">
        <f t="shared" si="17"/>
        <v/>
      </c>
    </row>
    <row r="170" spans="1:12" x14ac:dyDescent="0.3">
      <c r="A170" s="19"/>
      <c r="B170" s="19"/>
      <c r="C170" s="19"/>
      <c r="D170" s="19"/>
      <c r="E170" s="23"/>
      <c r="F170" s="15" t="str">
        <f>IF($A170="","",SUMIF(Purchases!$B$2:$B$1001,$A170,Purchases!$C$2:$C$1001))</f>
        <v/>
      </c>
      <c r="G170" s="19"/>
      <c r="H170" s="6" t="str">
        <f t="shared" si="15"/>
        <v/>
      </c>
      <c r="I170" s="19"/>
      <c r="J170" s="3" t="str">
        <f t="shared" si="16"/>
        <v/>
      </c>
      <c r="K170" s="16" t="str">
        <f>IF($A170="","",IFERROR((IF($D170="",0,$D170)*IF($E170="",0,$E170)+SUMIF(Purchases!$B$2:$B$1001,$A170,Purchases!$E$2:$E$1001))/(IF($D170="",0,$D170)+SUMIF(Purchases!$B$2:$B$1001,$A170,Purchases!$C$2:$C$1001)),0))</f>
        <v/>
      </c>
      <c r="L170" s="9" t="str">
        <f t="shared" si="17"/>
        <v/>
      </c>
    </row>
    <row r="171" spans="1:12" x14ac:dyDescent="0.3">
      <c r="A171" s="19"/>
      <c r="B171" s="19"/>
      <c r="C171" s="19"/>
      <c r="D171" s="19"/>
      <c r="E171" s="23"/>
      <c r="F171" s="15" t="str">
        <f>IF($A171="","",SUMIF(Purchases!$B$2:$B$1001,$A171,Purchases!$C$2:$C$1001))</f>
        <v/>
      </c>
      <c r="G171" s="19"/>
      <c r="H171" s="6" t="str">
        <f t="shared" si="15"/>
        <v/>
      </c>
      <c r="I171" s="19"/>
      <c r="J171" s="3" t="str">
        <f t="shared" si="16"/>
        <v/>
      </c>
      <c r="K171" s="16" t="str">
        <f>IF($A171="","",IFERROR((IF($D171="",0,$D171)*IF($E171="",0,$E171)+SUMIF(Purchases!$B$2:$B$1001,$A171,Purchases!$E$2:$E$1001))/(IF($D171="",0,$D171)+SUMIF(Purchases!$B$2:$B$1001,$A171,Purchases!$C$2:$C$1001)),0))</f>
        <v/>
      </c>
      <c r="L171" s="9" t="str">
        <f t="shared" si="17"/>
        <v/>
      </c>
    </row>
    <row r="172" spans="1:12" x14ac:dyDescent="0.3">
      <c r="A172" s="19"/>
      <c r="B172" s="19"/>
      <c r="C172" s="19"/>
      <c r="D172" s="19"/>
      <c r="E172" s="23"/>
      <c r="F172" s="15" t="str">
        <f>IF($A172="","",SUMIF(Purchases!$B$2:$B$1001,$A172,Purchases!$C$2:$C$1001))</f>
        <v/>
      </c>
      <c r="G172" s="19"/>
      <c r="H172" s="6" t="str">
        <f t="shared" si="15"/>
        <v/>
      </c>
      <c r="I172" s="19"/>
      <c r="J172" s="3" t="str">
        <f t="shared" si="16"/>
        <v/>
      </c>
      <c r="K172" s="16" t="str">
        <f>IF($A172="","",IFERROR((IF($D172="",0,$D172)*IF($E172="",0,$E172)+SUMIF(Purchases!$B$2:$B$1001,$A172,Purchases!$E$2:$E$1001))/(IF($D172="",0,$D172)+SUMIF(Purchases!$B$2:$B$1001,$A172,Purchases!$C$2:$C$1001)),0))</f>
        <v/>
      </c>
      <c r="L172" s="9" t="str">
        <f t="shared" si="17"/>
        <v/>
      </c>
    </row>
    <row r="173" spans="1:12" x14ac:dyDescent="0.3">
      <c r="A173" s="19"/>
      <c r="B173" s="19"/>
      <c r="C173" s="19"/>
      <c r="D173" s="19"/>
      <c r="E173" s="23"/>
      <c r="F173" s="15" t="str">
        <f>IF($A173="","",SUMIF(Purchases!$B$2:$B$1001,$A173,Purchases!$C$2:$C$1001))</f>
        <v/>
      </c>
      <c r="G173" s="19"/>
      <c r="H173" s="6" t="str">
        <f t="shared" si="15"/>
        <v/>
      </c>
      <c r="I173" s="19"/>
      <c r="J173" s="3" t="str">
        <f t="shared" si="16"/>
        <v/>
      </c>
      <c r="K173" s="16" t="str">
        <f>IF($A173="","",IFERROR((IF($D173="",0,$D173)*IF($E173="",0,$E173)+SUMIF(Purchases!$B$2:$B$1001,$A173,Purchases!$E$2:$E$1001))/(IF($D173="",0,$D173)+SUMIF(Purchases!$B$2:$B$1001,$A173,Purchases!$C$2:$C$1001)),0))</f>
        <v/>
      </c>
      <c r="L173" s="9" t="str">
        <f t="shared" si="17"/>
        <v/>
      </c>
    </row>
    <row r="174" spans="1:12" x14ac:dyDescent="0.3">
      <c r="A174" s="19"/>
      <c r="B174" s="19"/>
      <c r="C174" s="19"/>
      <c r="D174" s="19"/>
      <c r="E174" s="23"/>
      <c r="F174" s="15" t="str">
        <f>IF($A174="","",SUMIF(Purchases!$B$2:$B$1001,$A174,Purchases!$C$2:$C$1001))</f>
        <v/>
      </c>
      <c r="G174" s="19"/>
      <c r="H174" s="6" t="str">
        <f t="shared" si="15"/>
        <v/>
      </c>
      <c r="I174" s="19"/>
      <c r="J174" s="3" t="str">
        <f t="shared" si="16"/>
        <v/>
      </c>
      <c r="K174" s="16" t="str">
        <f>IF($A174="","",IFERROR((IF($D174="",0,$D174)*IF($E174="",0,$E174)+SUMIF(Purchases!$B$2:$B$1001,$A174,Purchases!$E$2:$E$1001))/(IF($D174="",0,$D174)+SUMIF(Purchases!$B$2:$B$1001,$A174,Purchases!$C$2:$C$1001)),0))</f>
        <v/>
      </c>
      <c r="L174" s="9" t="str">
        <f t="shared" si="17"/>
        <v/>
      </c>
    </row>
    <row r="175" spans="1:12" x14ac:dyDescent="0.3">
      <c r="A175" s="19"/>
      <c r="B175" s="19"/>
      <c r="C175" s="19"/>
      <c r="D175" s="19"/>
      <c r="E175" s="23"/>
      <c r="F175" s="15" t="str">
        <f>IF($A175="","",SUMIF(Purchases!$B$2:$B$1001,$A175,Purchases!$C$2:$C$1001))</f>
        <v/>
      </c>
      <c r="G175" s="19"/>
      <c r="H175" s="6" t="str">
        <f t="shared" si="15"/>
        <v/>
      </c>
      <c r="I175" s="19"/>
      <c r="J175" s="3" t="str">
        <f t="shared" si="16"/>
        <v/>
      </c>
      <c r="K175" s="16" t="str">
        <f>IF($A175="","",IFERROR((IF($D175="",0,$D175)*IF($E175="",0,$E175)+SUMIF(Purchases!$B$2:$B$1001,$A175,Purchases!$E$2:$E$1001))/(IF($D175="",0,$D175)+SUMIF(Purchases!$B$2:$B$1001,$A175,Purchases!$C$2:$C$1001)),0))</f>
        <v/>
      </c>
      <c r="L175" s="9" t="str">
        <f t="shared" si="17"/>
        <v/>
      </c>
    </row>
    <row r="176" spans="1:12" x14ac:dyDescent="0.3">
      <c r="A176" s="19"/>
      <c r="B176" s="19"/>
      <c r="C176" s="19"/>
      <c r="D176" s="19"/>
      <c r="E176" s="23"/>
      <c r="F176" s="15" t="str">
        <f>IF($A176="","",SUMIF(Purchases!$B$2:$B$1001,$A176,Purchases!$C$2:$C$1001))</f>
        <v/>
      </c>
      <c r="G176" s="19"/>
      <c r="H176" s="6" t="str">
        <f t="shared" si="15"/>
        <v/>
      </c>
      <c r="I176" s="19"/>
      <c r="J176" s="3" t="str">
        <f t="shared" si="16"/>
        <v/>
      </c>
      <c r="K176" s="16" t="str">
        <f>IF($A176="","",IFERROR((IF($D176="",0,$D176)*IF($E176="",0,$E176)+SUMIF(Purchases!$B$2:$B$1001,$A176,Purchases!$E$2:$E$1001))/(IF($D176="",0,$D176)+SUMIF(Purchases!$B$2:$B$1001,$A176,Purchases!$C$2:$C$1001)),0))</f>
        <v/>
      </c>
      <c r="L176" s="9" t="str">
        <f t="shared" si="17"/>
        <v/>
      </c>
    </row>
    <row r="177" spans="1:12" x14ac:dyDescent="0.3">
      <c r="A177" s="19"/>
      <c r="B177" s="19"/>
      <c r="C177" s="19"/>
      <c r="D177" s="19"/>
      <c r="E177" s="23"/>
      <c r="F177" s="15" t="str">
        <f>IF($A177="","",SUMIF(Purchases!$B$2:$B$1001,$A177,Purchases!$C$2:$C$1001))</f>
        <v/>
      </c>
      <c r="G177" s="19"/>
      <c r="H177" s="6" t="str">
        <f t="shared" si="15"/>
        <v/>
      </c>
      <c r="I177" s="19"/>
      <c r="J177" s="3" t="str">
        <f t="shared" si="16"/>
        <v/>
      </c>
      <c r="K177" s="16" t="str">
        <f>IF($A177="","",IFERROR((IF($D177="",0,$D177)*IF($E177="",0,$E177)+SUMIF(Purchases!$B$2:$B$1001,$A177,Purchases!$E$2:$E$1001))/(IF($D177="",0,$D177)+SUMIF(Purchases!$B$2:$B$1001,$A177,Purchases!$C$2:$C$1001)),0))</f>
        <v/>
      </c>
      <c r="L177" s="9" t="str">
        <f t="shared" si="17"/>
        <v/>
      </c>
    </row>
    <row r="178" spans="1:12" x14ac:dyDescent="0.3">
      <c r="A178" s="19"/>
      <c r="B178" s="19"/>
      <c r="C178" s="19"/>
      <c r="D178" s="19"/>
      <c r="E178" s="23"/>
      <c r="F178" s="15" t="str">
        <f>IF($A178="","",SUMIF(Purchases!$B$2:$B$1001,$A178,Purchases!$C$2:$C$1001))</f>
        <v/>
      </c>
      <c r="G178" s="19"/>
      <c r="H178" s="6" t="str">
        <f t="shared" si="15"/>
        <v/>
      </c>
      <c r="I178" s="19"/>
      <c r="J178" s="3" t="str">
        <f t="shared" si="16"/>
        <v/>
      </c>
      <c r="K178" s="16" t="str">
        <f>IF($A178="","",IFERROR((IF($D178="",0,$D178)*IF($E178="",0,$E178)+SUMIF(Purchases!$B$2:$B$1001,$A178,Purchases!$E$2:$E$1001))/(IF($D178="",0,$D178)+SUMIF(Purchases!$B$2:$B$1001,$A178,Purchases!$C$2:$C$1001)),0))</f>
        <v/>
      </c>
      <c r="L178" s="9" t="str">
        <f t="shared" si="17"/>
        <v/>
      </c>
    </row>
    <row r="179" spans="1:12" x14ac:dyDescent="0.3">
      <c r="A179" s="19"/>
      <c r="B179" s="19"/>
      <c r="C179" s="19"/>
      <c r="D179" s="19"/>
      <c r="E179" s="23"/>
      <c r="F179" s="15" t="str">
        <f>IF($A179="","",SUMIF(Purchases!$B$2:$B$1001,$A179,Purchases!$C$2:$C$1001))</f>
        <v/>
      </c>
      <c r="G179" s="19"/>
      <c r="H179" s="6" t="str">
        <f t="shared" si="15"/>
        <v/>
      </c>
      <c r="I179" s="19"/>
      <c r="J179" s="3" t="str">
        <f t="shared" si="16"/>
        <v/>
      </c>
      <c r="K179" s="16" t="str">
        <f>IF($A179="","",IFERROR((IF($D179="",0,$D179)*IF($E179="",0,$E179)+SUMIF(Purchases!$B$2:$B$1001,$A179,Purchases!$E$2:$E$1001))/(IF($D179="",0,$D179)+SUMIF(Purchases!$B$2:$B$1001,$A179,Purchases!$C$2:$C$1001)),0))</f>
        <v/>
      </c>
      <c r="L179" s="9" t="str">
        <f t="shared" si="17"/>
        <v/>
      </c>
    </row>
    <row r="180" spans="1:12" x14ac:dyDescent="0.3">
      <c r="A180" s="19"/>
      <c r="B180" s="19"/>
      <c r="C180" s="19"/>
      <c r="D180" s="19"/>
      <c r="E180" s="23"/>
      <c r="F180" s="15" t="str">
        <f>IF($A180="","",SUMIF(Purchases!$B$2:$B$1001,$A180,Purchases!$C$2:$C$1001))</f>
        <v/>
      </c>
      <c r="G180" s="19"/>
      <c r="H180" s="6" t="str">
        <f t="shared" si="15"/>
        <v/>
      </c>
      <c r="I180" s="19"/>
      <c r="J180" s="3" t="str">
        <f t="shared" si="16"/>
        <v/>
      </c>
      <c r="K180" s="16" t="str">
        <f>IF($A180="","",IFERROR((IF($D180="",0,$D180)*IF($E180="",0,$E180)+SUMIF(Purchases!$B$2:$B$1001,$A180,Purchases!$E$2:$E$1001))/(IF($D180="",0,$D180)+SUMIF(Purchases!$B$2:$B$1001,$A180,Purchases!$C$2:$C$1001)),0))</f>
        <v/>
      </c>
      <c r="L180" s="9" t="str">
        <f t="shared" si="17"/>
        <v/>
      </c>
    </row>
    <row r="181" spans="1:12" x14ac:dyDescent="0.3">
      <c r="A181" s="19"/>
      <c r="B181" s="19"/>
      <c r="C181" s="19"/>
      <c r="D181" s="19"/>
      <c r="E181" s="23"/>
      <c r="F181" s="15" t="str">
        <f>IF($A181="","",SUMIF(Purchases!$B$2:$B$1001,$A181,Purchases!$C$2:$C$1001))</f>
        <v/>
      </c>
      <c r="G181" s="19"/>
      <c r="H181" s="6" t="str">
        <f t="shared" si="15"/>
        <v/>
      </c>
      <c r="I181" s="19"/>
      <c r="J181" s="3" t="str">
        <f t="shared" si="16"/>
        <v/>
      </c>
      <c r="K181" s="16" t="str">
        <f>IF($A181="","",IFERROR((IF($D181="",0,$D181)*IF($E181="",0,$E181)+SUMIF(Purchases!$B$2:$B$1001,$A181,Purchases!$E$2:$E$1001))/(IF($D181="",0,$D181)+SUMIF(Purchases!$B$2:$B$1001,$A181,Purchases!$C$2:$C$1001)),0))</f>
        <v/>
      </c>
      <c r="L181" s="9" t="str">
        <f t="shared" si="17"/>
        <v/>
      </c>
    </row>
    <row r="182" spans="1:12" x14ac:dyDescent="0.3">
      <c r="A182" s="19"/>
      <c r="B182" s="19"/>
      <c r="C182" s="19"/>
      <c r="D182" s="19"/>
      <c r="E182" s="23"/>
      <c r="F182" s="15" t="str">
        <f>IF($A182="","",SUMIF(Purchases!$B$2:$B$1001,$A182,Purchases!$C$2:$C$1001))</f>
        <v/>
      </c>
      <c r="G182" s="19"/>
      <c r="H182" s="6" t="str">
        <f t="shared" si="15"/>
        <v/>
      </c>
      <c r="I182" s="19"/>
      <c r="J182" s="3" t="str">
        <f t="shared" si="16"/>
        <v/>
      </c>
      <c r="K182" s="16" t="str">
        <f>IF($A182="","",IFERROR((IF($D182="",0,$D182)*IF($E182="",0,$E182)+SUMIF(Purchases!$B$2:$B$1001,$A182,Purchases!$E$2:$E$1001))/(IF($D182="",0,$D182)+SUMIF(Purchases!$B$2:$B$1001,$A182,Purchases!$C$2:$C$1001)),0))</f>
        <v/>
      </c>
      <c r="L182" s="9" t="str">
        <f t="shared" si="17"/>
        <v/>
      </c>
    </row>
    <row r="183" spans="1:12" x14ac:dyDescent="0.3">
      <c r="A183" s="19"/>
      <c r="B183" s="19"/>
      <c r="C183" s="19"/>
      <c r="D183" s="19"/>
      <c r="E183" s="23"/>
      <c r="F183" s="15" t="str">
        <f>IF($A183="","",SUMIF(Purchases!$B$2:$B$1001,$A183,Purchases!$C$2:$C$1001))</f>
        <v/>
      </c>
      <c r="G183" s="19"/>
      <c r="H183" s="6" t="str">
        <f t="shared" si="15"/>
        <v/>
      </c>
      <c r="I183" s="19"/>
      <c r="J183" s="3" t="str">
        <f t="shared" si="16"/>
        <v/>
      </c>
      <c r="K183" s="16" t="str">
        <f>IF($A183="","",IFERROR((IF($D183="",0,$D183)*IF($E183="",0,$E183)+SUMIF(Purchases!$B$2:$B$1001,$A183,Purchases!$E$2:$E$1001))/(IF($D183="",0,$D183)+SUMIF(Purchases!$B$2:$B$1001,$A183,Purchases!$C$2:$C$1001)),0))</f>
        <v/>
      </c>
      <c r="L183" s="9" t="str">
        <f t="shared" si="17"/>
        <v/>
      </c>
    </row>
    <row r="184" spans="1:12" x14ac:dyDescent="0.3">
      <c r="A184" s="19"/>
      <c r="B184" s="19"/>
      <c r="C184" s="19"/>
      <c r="D184" s="19"/>
      <c r="E184" s="23"/>
      <c r="F184" s="15" t="str">
        <f>IF($A184="","",SUMIF(Purchases!$B$2:$B$1001,$A184,Purchases!$C$2:$C$1001))</f>
        <v/>
      </c>
      <c r="G184" s="19"/>
      <c r="H184" s="6" t="str">
        <f t="shared" si="15"/>
        <v/>
      </c>
      <c r="I184" s="19"/>
      <c r="J184" s="3" t="str">
        <f t="shared" si="16"/>
        <v/>
      </c>
      <c r="K184" s="16" t="str">
        <f>IF($A184="","",IFERROR((IF($D184="",0,$D184)*IF($E184="",0,$E184)+SUMIF(Purchases!$B$2:$B$1001,$A184,Purchases!$E$2:$E$1001))/(IF($D184="",0,$D184)+SUMIF(Purchases!$B$2:$B$1001,$A184,Purchases!$C$2:$C$1001)),0))</f>
        <v/>
      </c>
      <c r="L184" s="9" t="str">
        <f t="shared" si="17"/>
        <v/>
      </c>
    </row>
    <row r="185" spans="1:12" x14ac:dyDescent="0.3">
      <c r="A185" s="19"/>
      <c r="B185" s="19"/>
      <c r="C185" s="19"/>
      <c r="D185" s="19"/>
      <c r="E185" s="23"/>
      <c r="F185" s="15" t="str">
        <f>IF($A185="","",SUMIF(Purchases!$B$2:$B$1001,$A185,Purchases!$C$2:$C$1001))</f>
        <v/>
      </c>
      <c r="G185" s="19"/>
      <c r="H185" s="6" t="str">
        <f t="shared" si="15"/>
        <v/>
      </c>
      <c r="I185" s="19"/>
      <c r="J185" s="3" t="str">
        <f t="shared" si="16"/>
        <v/>
      </c>
      <c r="K185" s="16" t="str">
        <f>IF($A185="","",IFERROR((IF($D185="",0,$D185)*IF($E185="",0,$E185)+SUMIF(Purchases!$B$2:$B$1001,$A185,Purchases!$E$2:$E$1001))/(IF($D185="",0,$D185)+SUMIF(Purchases!$B$2:$B$1001,$A185,Purchases!$C$2:$C$1001)),0))</f>
        <v/>
      </c>
      <c r="L185" s="9" t="str">
        <f t="shared" si="17"/>
        <v/>
      </c>
    </row>
    <row r="186" spans="1:12" x14ac:dyDescent="0.3">
      <c r="A186" s="19"/>
      <c r="B186" s="19"/>
      <c r="C186" s="19"/>
      <c r="D186" s="19"/>
      <c r="E186" s="23"/>
      <c r="F186" s="15" t="str">
        <f>IF($A186="","",SUMIF(Purchases!$B$2:$B$1001,$A186,Purchases!$C$2:$C$1001))</f>
        <v/>
      </c>
      <c r="G186" s="19"/>
      <c r="H186" s="6" t="str">
        <f t="shared" si="15"/>
        <v/>
      </c>
      <c r="I186" s="19"/>
      <c r="J186" s="3" t="str">
        <f t="shared" si="16"/>
        <v/>
      </c>
      <c r="K186" s="16" t="str">
        <f>IF($A186="","",IFERROR((IF($D186="",0,$D186)*IF($E186="",0,$E186)+SUMIF(Purchases!$B$2:$B$1001,$A186,Purchases!$E$2:$E$1001))/(IF($D186="",0,$D186)+SUMIF(Purchases!$B$2:$B$1001,$A186,Purchases!$C$2:$C$1001)),0))</f>
        <v/>
      </c>
      <c r="L186" s="9" t="str">
        <f t="shared" si="17"/>
        <v/>
      </c>
    </row>
    <row r="187" spans="1:12" x14ac:dyDescent="0.3">
      <c r="A187" s="19"/>
      <c r="B187" s="19"/>
      <c r="C187" s="19"/>
      <c r="D187" s="19"/>
      <c r="E187" s="23"/>
      <c r="F187" s="15" t="str">
        <f>IF($A187="","",SUMIF(Purchases!$B$2:$B$1001,$A187,Purchases!$C$2:$C$1001))</f>
        <v/>
      </c>
      <c r="G187" s="19"/>
      <c r="H187" s="6" t="str">
        <f t="shared" si="15"/>
        <v/>
      </c>
      <c r="I187" s="19"/>
      <c r="J187" s="3" t="str">
        <f t="shared" si="16"/>
        <v/>
      </c>
      <c r="K187" s="16" t="str">
        <f>IF($A187="","",IFERROR((IF($D187="",0,$D187)*IF($E187="",0,$E187)+SUMIF(Purchases!$B$2:$B$1001,$A187,Purchases!$E$2:$E$1001))/(IF($D187="",0,$D187)+SUMIF(Purchases!$B$2:$B$1001,$A187,Purchases!$C$2:$C$1001)),0))</f>
        <v/>
      </c>
      <c r="L187" s="9" t="str">
        <f t="shared" si="17"/>
        <v/>
      </c>
    </row>
    <row r="188" spans="1:12" x14ac:dyDescent="0.3">
      <c r="A188" s="19"/>
      <c r="B188" s="19"/>
      <c r="C188" s="19"/>
      <c r="D188" s="19"/>
      <c r="E188" s="23"/>
      <c r="F188" s="15" t="str">
        <f>IF($A188="","",SUMIF(Purchases!$B$2:$B$1001,$A188,Purchases!$C$2:$C$1001))</f>
        <v/>
      </c>
      <c r="G188" s="19"/>
      <c r="H188" s="6" t="str">
        <f t="shared" si="15"/>
        <v/>
      </c>
      <c r="I188" s="19"/>
      <c r="J188" s="3" t="str">
        <f t="shared" si="16"/>
        <v/>
      </c>
      <c r="K188" s="16" t="str">
        <f>IF($A188="","",IFERROR((IF($D188="",0,$D188)*IF($E188="",0,$E188)+SUMIF(Purchases!$B$2:$B$1001,$A188,Purchases!$E$2:$E$1001))/(IF($D188="",0,$D188)+SUMIF(Purchases!$B$2:$B$1001,$A188,Purchases!$C$2:$C$1001)),0))</f>
        <v/>
      </c>
      <c r="L188" s="9" t="str">
        <f t="shared" si="17"/>
        <v/>
      </c>
    </row>
    <row r="189" spans="1:12" x14ac:dyDescent="0.3">
      <c r="A189" s="19"/>
      <c r="B189" s="19"/>
      <c r="C189" s="19"/>
      <c r="D189" s="19"/>
      <c r="E189" s="23"/>
      <c r="F189" s="15" t="str">
        <f>IF($A189="","",SUMIF(Purchases!$B$2:$B$1001,$A189,Purchases!$C$2:$C$1001))</f>
        <v/>
      </c>
      <c r="G189" s="19"/>
      <c r="H189" s="6" t="str">
        <f t="shared" si="15"/>
        <v/>
      </c>
      <c r="I189" s="19"/>
      <c r="J189" s="3" t="str">
        <f t="shared" si="16"/>
        <v/>
      </c>
      <c r="K189" s="16" t="str">
        <f>IF($A189="","",IFERROR((IF($D189="",0,$D189)*IF($E189="",0,$E189)+SUMIF(Purchases!$B$2:$B$1001,$A189,Purchases!$E$2:$E$1001))/(IF($D189="",0,$D189)+SUMIF(Purchases!$B$2:$B$1001,$A189,Purchases!$C$2:$C$1001)),0))</f>
        <v/>
      </c>
      <c r="L189" s="9" t="str">
        <f t="shared" si="17"/>
        <v/>
      </c>
    </row>
    <row r="190" spans="1:12" x14ac:dyDescent="0.3">
      <c r="A190" s="19"/>
      <c r="B190" s="19"/>
      <c r="C190" s="19"/>
      <c r="D190" s="19"/>
      <c r="E190" s="23"/>
      <c r="F190" s="15" t="str">
        <f>IF($A190="","",SUMIF(Purchases!$B$2:$B$1001,$A190,Purchases!$C$2:$C$1001))</f>
        <v/>
      </c>
      <c r="G190" s="19"/>
      <c r="H190" s="6" t="str">
        <f t="shared" si="15"/>
        <v/>
      </c>
      <c r="I190" s="19"/>
      <c r="J190" s="3" t="str">
        <f t="shared" si="16"/>
        <v/>
      </c>
      <c r="K190" s="16" t="str">
        <f>IF($A190="","",IFERROR((IF($D190="",0,$D190)*IF($E190="",0,$E190)+SUMIF(Purchases!$B$2:$B$1001,$A190,Purchases!$E$2:$E$1001))/(IF($D190="",0,$D190)+SUMIF(Purchases!$B$2:$B$1001,$A190,Purchases!$C$2:$C$1001)),0))</f>
        <v/>
      </c>
      <c r="L190" s="9" t="str">
        <f t="shared" si="17"/>
        <v/>
      </c>
    </row>
    <row r="191" spans="1:12" x14ac:dyDescent="0.3">
      <c r="A191" s="19"/>
      <c r="B191" s="19"/>
      <c r="C191" s="19"/>
      <c r="D191" s="19"/>
      <c r="E191" s="23"/>
      <c r="F191" s="15" t="str">
        <f>IF($A191="","",SUMIF(Purchases!$B$2:$B$1001,$A191,Purchases!$C$2:$C$1001))</f>
        <v/>
      </c>
      <c r="G191" s="19"/>
      <c r="H191" s="6" t="str">
        <f t="shared" si="15"/>
        <v/>
      </c>
      <c r="I191" s="19"/>
      <c r="J191" s="3" t="str">
        <f t="shared" si="16"/>
        <v/>
      </c>
      <c r="K191" s="16" t="str">
        <f>IF($A191="","",IFERROR((IF($D191="",0,$D191)*IF($E191="",0,$E191)+SUMIF(Purchases!$B$2:$B$1001,$A191,Purchases!$E$2:$E$1001))/(IF($D191="",0,$D191)+SUMIF(Purchases!$B$2:$B$1001,$A191,Purchases!$C$2:$C$1001)),0))</f>
        <v/>
      </c>
      <c r="L191" s="9" t="str">
        <f t="shared" si="17"/>
        <v/>
      </c>
    </row>
    <row r="192" spans="1:12" x14ac:dyDescent="0.3">
      <c r="A192" s="19"/>
      <c r="B192" s="19"/>
      <c r="C192" s="19"/>
      <c r="D192" s="19"/>
      <c r="E192" s="23"/>
      <c r="F192" s="15" t="str">
        <f>IF($A192="","",SUMIF(Purchases!$B$2:$B$1001,$A192,Purchases!$C$2:$C$1001))</f>
        <v/>
      </c>
      <c r="G192" s="19"/>
      <c r="H192" s="6" t="str">
        <f t="shared" si="15"/>
        <v/>
      </c>
      <c r="I192" s="19"/>
      <c r="J192" s="3" t="str">
        <f t="shared" si="16"/>
        <v/>
      </c>
      <c r="K192" s="16" t="str">
        <f>IF($A192="","",IFERROR((IF($D192="",0,$D192)*IF($E192="",0,$E192)+SUMIF(Purchases!$B$2:$B$1001,$A192,Purchases!$E$2:$E$1001))/(IF($D192="",0,$D192)+SUMIF(Purchases!$B$2:$B$1001,$A192,Purchases!$C$2:$C$1001)),0))</f>
        <v/>
      </c>
      <c r="L192" s="9" t="str">
        <f t="shared" si="17"/>
        <v/>
      </c>
    </row>
    <row r="193" spans="1:12" x14ac:dyDescent="0.3">
      <c r="A193" s="19"/>
      <c r="B193" s="19"/>
      <c r="C193" s="19"/>
      <c r="D193" s="19"/>
      <c r="E193" s="23"/>
      <c r="F193" s="15" t="str">
        <f>IF($A193="","",SUMIF(Purchases!$B$2:$B$1001,$A193,Purchases!$C$2:$C$1001))</f>
        <v/>
      </c>
      <c r="G193" s="19"/>
      <c r="H193" s="6" t="str">
        <f t="shared" si="15"/>
        <v/>
      </c>
      <c r="I193" s="19"/>
      <c r="J193" s="3" t="str">
        <f t="shared" si="16"/>
        <v/>
      </c>
      <c r="K193" s="16" t="str">
        <f>IF($A193="","",IFERROR((IF($D193="",0,$D193)*IF($E193="",0,$E193)+SUMIF(Purchases!$B$2:$B$1001,$A193,Purchases!$E$2:$E$1001))/(IF($D193="",0,$D193)+SUMIF(Purchases!$B$2:$B$1001,$A193,Purchases!$C$2:$C$1001)),0))</f>
        <v/>
      </c>
      <c r="L193" s="9" t="str">
        <f t="shared" si="17"/>
        <v/>
      </c>
    </row>
    <row r="194" spans="1:12" x14ac:dyDescent="0.3">
      <c r="A194" s="19"/>
      <c r="B194" s="19"/>
      <c r="C194" s="19"/>
      <c r="D194" s="19"/>
      <c r="E194" s="23"/>
      <c r="F194" s="15" t="str">
        <f>IF($A194="","",SUMIF(Purchases!$B$2:$B$1001,$A194,Purchases!$C$2:$C$1001))</f>
        <v/>
      </c>
      <c r="G194" s="19"/>
      <c r="H194" s="6" t="str">
        <f t="shared" ref="H194:H201" si="18">IF($A194="","",IF($D194="",0,$D194)+$F194-IF($G194="",0,$G194))</f>
        <v/>
      </c>
      <c r="I194" s="19"/>
      <c r="J194" s="3" t="str">
        <f t="shared" ref="J194:J201" si="19">IF($A194="","",IF($I194="","OK",IF($H194&lt;=$I194,"REORDER","OK")))</f>
        <v/>
      </c>
      <c r="K194" s="16" t="str">
        <f>IF($A194="","",IFERROR((IF($D194="",0,$D194)*IF($E194="",0,$E194)+SUMIF(Purchases!$B$2:$B$1001,$A194,Purchases!$E$2:$E$1001))/(IF($D194="",0,$D194)+SUMIF(Purchases!$B$2:$B$1001,$A194,Purchases!$C$2:$C$1001)),0))</f>
        <v/>
      </c>
      <c r="L194" s="9" t="str">
        <f t="shared" ref="L194:L201" si="20">IF($A194="","",$H194*$K194)</f>
        <v/>
      </c>
    </row>
    <row r="195" spans="1:12" x14ac:dyDescent="0.3">
      <c r="A195" s="19"/>
      <c r="B195" s="19"/>
      <c r="C195" s="19"/>
      <c r="D195" s="19"/>
      <c r="E195" s="23"/>
      <c r="F195" s="15" t="str">
        <f>IF($A195="","",SUMIF(Purchases!$B$2:$B$1001,$A195,Purchases!$C$2:$C$1001))</f>
        <v/>
      </c>
      <c r="G195" s="19"/>
      <c r="H195" s="6" t="str">
        <f t="shared" si="18"/>
        <v/>
      </c>
      <c r="I195" s="19"/>
      <c r="J195" s="3" t="str">
        <f t="shared" si="19"/>
        <v/>
      </c>
      <c r="K195" s="16" t="str">
        <f>IF($A195="","",IFERROR((IF($D195="",0,$D195)*IF($E195="",0,$E195)+SUMIF(Purchases!$B$2:$B$1001,$A195,Purchases!$E$2:$E$1001))/(IF($D195="",0,$D195)+SUMIF(Purchases!$B$2:$B$1001,$A195,Purchases!$C$2:$C$1001)),0))</f>
        <v/>
      </c>
      <c r="L195" s="9" t="str">
        <f t="shared" si="20"/>
        <v/>
      </c>
    </row>
    <row r="196" spans="1:12" x14ac:dyDescent="0.3">
      <c r="A196" s="19"/>
      <c r="B196" s="19"/>
      <c r="C196" s="19"/>
      <c r="D196" s="19"/>
      <c r="E196" s="23"/>
      <c r="F196" s="15" t="str">
        <f>IF($A196="","",SUMIF(Purchases!$B$2:$B$1001,$A196,Purchases!$C$2:$C$1001))</f>
        <v/>
      </c>
      <c r="G196" s="19"/>
      <c r="H196" s="6" t="str">
        <f t="shared" si="18"/>
        <v/>
      </c>
      <c r="I196" s="19"/>
      <c r="J196" s="3" t="str">
        <f t="shared" si="19"/>
        <v/>
      </c>
      <c r="K196" s="16" t="str">
        <f>IF($A196="","",IFERROR((IF($D196="",0,$D196)*IF($E196="",0,$E196)+SUMIF(Purchases!$B$2:$B$1001,$A196,Purchases!$E$2:$E$1001))/(IF($D196="",0,$D196)+SUMIF(Purchases!$B$2:$B$1001,$A196,Purchases!$C$2:$C$1001)),0))</f>
        <v/>
      </c>
      <c r="L196" s="9" t="str">
        <f t="shared" si="20"/>
        <v/>
      </c>
    </row>
    <row r="197" spans="1:12" x14ac:dyDescent="0.3">
      <c r="A197" s="19"/>
      <c r="B197" s="19"/>
      <c r="C197" s="19"/>
      <c r="D197" s="19"/>
      <c r="E197" s="23"/>
      <c r="F197" s="15" t="str">
        <f>IF($A197="","",SUMIF(Purchases!$B$2:$B$1001,$A197,Purchases!$C$2:$C$1001))</f>
        <v/>
      </c>
      <c r="G197" s="19"/>
      <c r="H197" s="6" t="str">
        <f t="shared" si="18"/>
        <v/>
      </c>
      <c r="I197" s="19"/>
      <c r="J197" s="3" t="str">
        <f t="shared" si="19"/>
        <v/>
      </c>
      <c r="K197" s="16" t="str">
        <f>IF($A197="","",IFERROR((IF($D197="",0,$D197)*IF($E197="",0,$E197)+SUMIF(Purchases!$B$2:$B$1001,$A197,Purchases!$E$2:$E$1001))/(IF($D197="",0,$D197)+SUMIF(Purchases!$B$2:$B$1001,$A197,Purchases!$C$2:$C$1001)),0))</f>
        <v/>
      </c>
      <c r="L197" s="9" t="str">
        <f t="shared" si="20"/>
        <v/>
      </c>
    </row>
    <row r="198" spans="1:12" x14ac:dyDescent="0.3">
      <c r="A198" s="19"/>
      <c r="B198" s="19"/>
      <c r="C198" s="19"/>
      <c r="D198" s="19"/>
      <c r="E198" s="23"/>
      <c r="F198" s="15" t="str">
        <f>IF($A198="","",SUMIF(Purchases!$B$2:$B$1001,$A198,Purchases!$C$2:$C$1001))</f>
        <v/>
      </c>
      <c r="G198" s="19"/>
      <c r="H198" s="6" t="str">
        <f t="shared" si="18"/>
        <v/>
      </c>
      <c r="I198" s="19"/>
      <c r="J198" s="3" t="str">
        <f t="shared" si="19"/>
        <v/>
      </c>
      <c r="K198" s="16" t="str">
        <f>IF($A198="","",IFERROR((IF($D198="",0,$D198)*IF($E198="",0,$E198)+SUMIF(Purchases!$B$2:$B$1001,$A198,Purchases!$E$2:$E$1001))/(IF($D198="",0,$D198)+SUMIF(Purchases!$B$2:$B$1001,$A198,Purchases!$C$2:$C$1001)),0))</f>
        <v/>
      </c>
      <c r="L198" s="9" t="str">
        <f t="shared" si="20"/>
        <v/>
      </c>
    </row>
    <row r="199" spans="1:12" x14ac:dyDescent="0.3">
      <c r="A199" s="19"/>
      <c r="B199" s="19"/>
      <c r="C199" s="19"/>
      <c r="D199" s="19"/>
      <c r="E199" s="23"/>
      <c r="F199" s="15" t="str">
        <f>IF($A199="","",SUMIF(Purchases!$B$2:$B$1001,$A199,Purchases!$C$2:$C$1001))</f>
        <v/>
      </c>
      <c r="G199" s="19"/>
      <c r="H199" s="6" t="str">
        <f t="shared" si="18"/>
        <v/>
      </c>
      <c r="I199" s="19"/>
      <c r="J199" s="3" t="str">
        <f t="shared" si="19"/>
        <v/>
      </c>
      <c r="K199" s="16" t="str">
        <f>IF($A199="","",IFERROR((IF($D199="",0,$D199)*IF($E199="",0,$E199)+SUMIF(Purchases!$B$2:$B$1001,$A199,Purchases!$E$2:$E$1001))/(IF($D199="",0,$D199)+SUMIF(Purchases!$B$2:$B$1001,$A199,Purchases!$C$2:$C$1001)),0))</f>
        <v/>
      </c>
      <c r="L199" s="9" t="str">
        <f t="shared" si="20"/>
        <v/>
      </c>
    </row>
    <row r="200" spans="1:12" x14ac:dyDescent="0.3">
      <c r="A200" s="19"/>
      <c r="B200" s="19"/>
      <c r="C200" s="19"/>
      <c r="D200" s="19"/>
      <c r="E200" s="23"/>
      <c r="F200" s="15" t="str">
        <f>IF($A200="","",SUMIF(Purchases!$B$2:$B$1001,$A200,Purchases!$C$2:$C$1001))</f>
        <v/>
      </c>
      <c r="G200" s="19"/>
      <c r="H200" s="6" t="str">
        <f t="shared" si="18"/>
        <v/>
      </c>
      <c r="I200" s="19"/>
      <c r="J200" s="3" t="str">
        <f t="shared" si="19"/>
        <v/>
      </c>
      <c r="K200" s="16" t="str">
        <f>IF($A200="","",IFERROR((IF($D200="",0,$D200)*IF($E200="",0,$E200)+SUMIF(Purchases!$B$2:$B$1001,$A200,Purchases!$E$2:$E$1001))/(IF($D200="",0,$D200)+SUMIF(Purchases!$B$2:$B$1001,$A200,Purchases!$C$2:$C$1001)),0))</f>
        <v/>
      </c>
      <c r="L200" s="9" t="str">
        <f t="shared" si="20"/>
        <v/>
      </c>
    </row>
    <row r="201" spans="1:12" x14ac:dyDescent="0.3">
      <c r="A201" s="19"/>
      <c r="B201" s="19"/>
      <c r="C201" s="19"/>
      <c r="D201" s="19"/>
      <c r="E201" s="23"/>
      <c r="F201" s="15" t="str">
        <f>IF($A201="","",SUMIF(Purchases!$B$2:$B$1001,$A201,Purchases!$C$2:$C$1001))</f>
        <v/>
      </c>
      <c r="G201" s="19"/>
      <c r="H201" s="6" t="str">
        <f t="shared" si="18"/>
        <v/>
      </c>
      <c r="I201" s="19"/>
      <c r="J201" s="3" t="str">
        <f t="shared" si="19"/>
        <v/>
      </c>
      <c r="K201" s="16" t="str">
        <f>IF($A201="","",IFERROR((IF($D201="",0,$D201)*IF($E201="",0,$E201)+SUMIF(Purchases!$B$2:$B$1001,$A201,Purchases!$E$2:$E$1001))/(IF($D201="",0,$D201)+SUMIF(Purchases!$B$2:$B$1001,$A201,Purchases!$C$2:$C$1001)),0))</f>
        <v/>
      </c>
      <c r="L201" s="9" t="str">
        <f t="shared" si="2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30" customWidth="1"/>
    <col min="2" max="2" width="12" customWidth="1"/>
    <col min="3" max="5" width="3" customWidth="1"/>
    <col min="6" max="6" width="15" customWidth="1"/>
    <col min="7" max="7" width="12" customWidth="1"/>
    <col min="8" max="8" width="14" customWidth="1"/>
    <col min="9" max="9" width="12" customWidth="1"/>
  </cols>
  <sheetData>
    <row r="1" spans="1:9" ht="21" x14ac:dyDescent="0.4">
      <c r="A1" s="26" t="s">
        <v>179</v>
      </c>
    </row>
    <row r="3" spans="1:9" x14ac:dyDescent="0.3">
      <c r="A3" s="5" t="s">
        <v>180</v>
      </c>
      <c r="F3" s="5" t="s">
        <v>181</v>
      </c>
    </row>
    <row r="4" spans="1:9" x14ac:dyDescent="0.3">
      <c r="A4" s="6" t="s">
        <v>182</v>
      </c>
      <c r="B4" s="10">
        <f>COUNTIF('Customer Database'!$C$2:$C$501,"&gt;0")</f>
        <v>0</v>
      </c>
      <c r="F4" s="8" t="s">
        <v>76</v>
      </c>
      <c r="G4" s="8" t="s">
        <v>183</v>
      </c>
      <c r="H4" s="8" t="s">
        <v>184</v>
      </c>
      <c r="I4" s="8" t="s">
        <v>185</v>
      </c>
    </row>
    <row r="5" spans="1:9" x14ac:dyDescent="0.3">
      <c r="A5" s="6" t="s">
        <v>186</v>
      </c>
      <c r="B5" s="10">
        <f ca="1">COUNTIFS('Customer Database'!$Q$2:$Q$501,"&gt;="&amp;EOMONTH(TODAY(),-1)+1,'Customer Database'!$Q$2:$Q$501,"&lt;="&amp;EOMONTH(TODAY(),0))</f>
        <v>0</v>
      </c>
      <c r="F5" s="6" t="s">
        <v>187</v>
      </c>
      <c r="G5" s="6">
        <f>COUNTIF('Customer Database'!$M$2:$M$501,F5)</f>
        <v>0</v>
      </c>
      <c r="H5" s="9">
        <f>SUMIF('Customer Database'!$M$2:$M$501,F5,'Customer Database'!$D$2:$D$501)</f>
        <v>0</v>
      </c>
      <c r="I5" s="9">
        <f>IFERROR(SUMIF('Customer Database'!$M$2:$M$501,F5,'Customer Database'!$D$2:$D$501)/COUNTIF('Customer Database'!$M$2:$M$501,F5),0)</f>
        <v>0</v>
      </c>
    </row>
    <row r="6" spans="1:9" x14ac:dyDescent="0.3">
      <c r="A6" s="6" t="s">
        <v>188</v>
      </c>
      <c r="B6" s="10">
        <f>COUNTIF('Customer Database'!$C$2:$C$501,"&gt;1")</f>
        <v>0</v>
      </c>
      <c r="F6" s="6" t="s">
        <v>189</v>
      </c>
      <c r="G6" s="6">
        <f>COUNTIF('Customer Database'!$M$2:$M$501,F6)</f>
        <v>0</v>
      </c>
      <c r="H6" s="9">
        <f>SUMIF('Customer Database'!$M$2:$M$501,F6,'Customer Database'!$D$2:$D$501)</f>
        <v>0</v>
      </c>
      <c r="I6" s="9">
        <f>IFERROR(SUMIF('Customer Database'!$M$2:$M$501,F6,'Customer Database'!$D$2:$D$501)/COUNTIF('Customer Database'!$M$2:$M$501,F6),0)</f>
        <v>0</v>
      </c>
    </row>
    <row r="7" spans="1:9" x14ac:dyDescent="0.3">
      <c r="A7" s="6" t="s">
        <v>32</v>
      </c>
      <c r="B7" s="11">
        <f>IFERROR(COUNTIF('Customer Database'!$C$2:$C$501,"&gt;1")/COUNTIF('Customer Database'!$C$2:$C$501,"&gt;0"),0)</f>
        <v>0</v>
      </c>
      <c r="F7" s="6" t="s">
        <v>190</v>
      </c>
      <c r="G7" s="6">
        <f>COUNTIF('Customer Database'!$M$2:$M$501,F7)</f>
        <v>0</v>
      </c>
      <c r="H7" s="9">
        <f>SUMIF('Customer Database'!$M$2:$M$501,F7,'Customer Database'!$D$2:$D$501)</f>
        <v>0</v>
      </c>
      <c r="I7" s="9">
        <f>IFERROR(SUMIF('Customer Database'!$M$2:$M$501,F7,'Customer Database'!$D$2:$D$501)/COUNTIF('Customer Database'!$M$2:$M$501,F7),0)</f>
        <v>0</v>
      </c>
    </row>
    <row r="8" spans="1:9" x14ac:dyDescent="0.3">
      <c r="A8" s="6" t="s">
        <v>191</v>
      </c>
      <c r="B8" s="10">
        <f ca="1">COUNTIFS('Customer Database'!$F$2:$F$501,"&gt;=0",'Customer Database'!$F$2:$F$501,"&lt;=30")</f>
        <v>0</v>
      </c>
      <c r="F8" s="6" t="s">
        <v>192</v>
      </c>
      <c r="G8" s="6">
        <f>COUNTIF('Customer Database'!$M$2:$M$501,F8)</f>
        <v>0</v>
      </c>
      <c r="H8" s="9">
        <f>SUMIF('Customer Database'!$M$2:$M$501,F8,'Customer Database'!$D$2:$D$501)</f>
        <v>0</v>
      </c>
      <c r="I8" s="9">
        <f>IFERROR(SUMIF('Customer Database'!$M$2:$M$501,F8,'Customer Database'!$D$2:$D$501)/COUNTIF('Customer Database'!$M$2:$M$501,F8),0)</f>
        <v>0</v>
      </c>
    </row>
    <row r="9" spans="1:9" x14ac:dyDescent="0.3">
      <c r="A9" s="6" t="s">
        <v>193</v>
      </c>
      <c r="B9" s="10">
        <f ca="1">COUNTIFS('Customer Database'!$F$2:$F$501,"&gt;30",'Customer Database'!$F$2:$F$501,"&lt;=60")</f>
        <v>0</v>
      </c>
      <c r="F9" s="6" t="s">
        <v>194</v>
      </c>
      <c r="G9" s="6">
        <f>COUNTIF('Customer Database'!$M$2:$M$501,F9)</f>
        <v>0</v>
      </c>
      <c r="H9" s="9">
        <f>SUMIF('Customer Database'!$M$2:$M$501,F9,'Customer Database'!$D$2:$D$501)</f>
        <v>0</v>
      </c>
      <c r="I9" s="9">
        <f>IFERROR(SUMIF('Customer Database'!$M$2:$M$501,F9,'Customer Database'!$D$2:$D$501)/COUNTIF('Customer Database'!$M$2:$M$501,F9),0)</f>
        <v>0</v>
      </c>
    </row>
    <row r="10" spans="1:9" x14ac:dyDescent="0.3">
      <c r="A10" s="6" t="s">
        <v>195</v>
      </c>
      <c r="B10" s="10">
        <f ca="1">COUNTIFS('Customer Database'!$F$2:$F$501,"&gt;60",'Customer Database'!$F$2:$F$501,"&lt;=90")</f>
        <v>0</v>
      </c>
      <c r="F10" s="6" t="s">
        <v>196</v>
      </c>
      <c r="G10" s="6">
        <f>COUNTIF('Customer Database'!$M$2:$M$501,F10)</f>
        <v>0</v>
      </c>
      <c r="H10" s="9">
        <f>SUMIF('Customer Database'!$M$2:$M$501,F10,'Customer Database'!$D$2:$D$501)</f>
        <v>0</v>
      </c>
      <c r="I10" s="9">
        <f>IFERROR(SUMIF('Customer Database'!$M$2:$M$501,F10,'Customer Database'!$D$2:$D$501)/COUNTIF('Customer Database'!$M$2:$M$501,F10),0)</f>
        <v>0</v>
      </c>
    </row>
    <row r="11" spans="1:9" x14ac:dyDescent="0.3">
      <c r="A11" s="6" t="s">
        <v>197</v>
      </c>
      <c r="B11" s="10">
        <f ca="1">COUNTIF('Customer Database'!$F$2:$F$501,"&gt;90")</f>
        <v>0</v>
      </c>
      <c r="F11" s="6" t="s">
        <v>198</v>
      </c>
      <c r="G11" s="6">
        <f>COUNTIF('Customer Database'!$M$2:$M$501,F11)</f>
        <v>0</v>
      </c>
      <c r="H11" s="9">
        <f>SUMIF('Customer Database'!$M$2:$M$501,F11,'Customer Database'!$D$2:$D$501)</f>
        <v>0</v>
      </c>
      <c r="I11" s="9">
        <f>IFERROR(SUMIF('Customer Database'!$M$2:$M$501,F11,'Customer Database'!$D$2:$D$501)/COUNTIF('Customer Database'!$M$2:$M$501,F11),0)</f>
        <v>0</v>
      </c>
    </row>
    <row r="12" spans="1:9" x14ac:dyDescent="0.3">
      <c r="F12" s="6" t="s">
        <v>199</v>
      </c>
      <c r="G12" s="6">
        <f>COUNTIF('Customer Database'!$M$2:$M$501,F12)</f>
        <v>0</v>
      </c>
      <c r="H12" s="9">
        <f>SUMIF('Customer Database'!$M$2:$M$501,F12,'Customer Database'!$D$2:$D$501)</f>
        <v>0</v>
      </c>
      <c r="I12" s="9">
        <f>IFERROR(SUMIF('Customer Database'!$M$2:$M$501,F12,'Customer Database'!$D$2:$D$501)/COUNTIF('Customer Database'!$M$2:$M$501,F12),0)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showGridLines="0" zoomScaleNormal="100" workbookViewId="0"/>
  </sheetViews>
  <sheetFormatPr defaultColWidth="8.5546875" defaultRowHeight="14.4" x14ac:dyDescent="0.3"/>
  <cols>
    <col min="1" max="1" width="24" customWidth="1"/>
    <col min="2" max="2" width="15" customWidth="1"/>
    <col min="3" max="3" width="34" customWidth="1"/>
  </cols>
  <sheetData>
    <row r="1" spans="1:3" ht="21" x14ac:dyDescent="0.4">
      <c r="A1" s="26" t="s">
        <v>200</v>
      </c>
    </row>
    <row r="2" spans="1:3" x14ac:dyDescent="0.3">
      <c r="A2" s="3" t="s">
        <v>37</v>
      </c>
      <c r="B2" s="4">
        <f ca="1">EOMONTH(TODAY(),-1)+1</f>
        <v>46174</v>
      </c>
      <c r="C2" s="2" t="s">
        <v>201</v>
      </c>
    </row>
    <row r="4" spans="1:3" x14ac:dyDescent="0.3">
      <c r="A4" s="27" t="s">
        <v>202</v>
      </c>
      <c r="B4" s="28"/>
    </row>
    <row r="5" spans="1:3" x14ac:dyDescent="0.3">
      <c r="A5" s="6" t="s">
        <v>203</v>
      </c>
      <c r="B5" s="9">
        <f ca="1">SUMIFS('Daily tracking'!$G$2:$G$2001,'Daily tracking'!$J$2:$J$2001,"Service",'Daily tracking'!$A$2:$A$2001,"&gt;="&amp;$B$2,'Daily tracking'!$A$2:$A$2001,"&lt;="&amp;EOMONTH($B$2,0))</f>
        <v>0</v>
      </c>
    </row>
    <row r="6" spans="1:3" x14ac:dyDescent="0.3">
      <c r="A6" s="6" t="s">
        <v>204</v>
      </c>
      <c r="B6" s="9">
        <f ca="1">SUMIFS('Daily tracking'!$G$2:$G$2001,'Daily tracking'!$J$2:$J$2001,"Retail",'Daily tracking'!$A$2:$A$2001,"&gt;="&amp;$B$2,'Daily tracking'!$A$2:$A$2001,"&lt;="&amp;EOMONTH($B$2,0))</f>
        <v>0</v>
      </c>
    </row>
    <row r="7" spans="1:3" x14ac:dyDescent="0.3">
      <c r="A7" s="3" t="s">
        <v>205</v>
      </c>
      <c r="B7" s="7">
        <f ca="1">B5+B6</f>
        <v>0</v>
      </c>
    </row>
    <row r="8" spans="1:3" x14ac:dyDescent="0.3">
      <c r="A8" s="27" t="s">
        <v>206</v>
      </c>
      <c r="B8" s="28"/>
    </row>
    <row r="9" spans="1:3" x14ac:dyDescent="0.3">
      <c r="A9" s="6" t="s">
        <v>207</v>
      </c>
      <c r="B9" s="9">
        <f ca="1">SUMIFS(Purchases!$E$2:$E$1001,Purchases!$A$2:$A$1001,"&gt;="&amp;$B$2,Purchases!$A$2:$A$1001,"&lt;="&amp;EOMONTH($B$2,0))</f>
        <v>0</v>
      </c>
    </row>
    <row r="10" spans="1:3" x14ac:dyDescent="0.3">
      <c r="A10" s="6" t="s">
        <v>208</v>
      </c>
      <c r="B10" s="9">
        <f>SUM(Employee!$B$2:$B$21)</f>
        <v>48000</v>
      </c>
    </row>
    <row r="11" spans="1:3" x14ac:dyDescent="0.3">
      <c r="A11" s="6" t="s">
        <v>209</v>
      </c>
      <c r="B11" s="9">
        <f ca="1">SUMIFS(Expenses!$C$2:$C$501,Expenses!$B$2:$B$501,"Rent",Expenses!$A$2:$A$501,"&gt;="&amp;$B$2,Expenses!$A$2:$A$501,"&lt;="&amp;EOMONTH($B$2,0))</f>
        <v>0</v>
      </c>
    </row>
    <row r="12" spans="1:3" x14ac:dyDescent="0.3">
      <c r="A12" s="6" t="s">
        <v>210</v>
      </c>
      <c r="B12" s="9">
        <f ca="1">SUMIFS(Expenses!$C$2:$C$501,Expenses!$B$2:$B$501,"Electricity",Expenses!$A$2:$A$501,"&gt;="&amp;$B$2,Expenses!$A$2:$A$501,"&lt;="&amp;EOMONTH($B$2,0))</f>
        <v>0</v>
      </c>
    </row>
    <row r="13" spans="1:3" x14ac:dyDescent="0.3">
      <c r="A13" s="6" t="s">
        <v>211</v>
      </c>
      <c r="B13" s="9">
        <f ca="1">SUMIFS(Expenses!$C$2:$C$501,Expenses!$B$2:$B$501,"Internet",Expenses!$A$2:$A$501,"&gt;="&amp;$B$2,Expenses!$A$2:$A$501,"&lt;="&amp;EOMONTH($B$2,0))</f>
        <v>0</v>
      </c>
    </row>
    <row r="14" spans="1:3" x14ac:dyDescent="0.3">
      <c r="A14" s="6" t="s">
        <v>212</v>
      </c>
      <c r="B14" s="9">
        <f ca="1">SUMIFS(Expenses!$C$2:$C$501,Expenses!$B$2:$B$501,"Marketing",Expenses!$A$2:$A$501,"&gt;="&amp;$B$2,Expenses!$A$2:$A$501,"&lt;="&amp;EOMONTH($B$2,0))</f>
        <v>0</v>
      </c>
    </row>
    <row r="15" spans="1:3" x14ac:dyDescent="0.3">
      <c r="A15" s="6" t="s">
        <v>213</v>
      </c>
      <c r="B15" s="9">
        <f ca="1">SUMIFS(Expenses!$C$2:$C$501,Expenses!$A$2:$A$501,"&gt;="&amp;$B$2,Expenses!$A$2:$A$501,"&lt;="&amp;EOMONTH($B$2,0))-B11-B12-B13-B14</f>
        <v>0</v>
      </c>
    </row>
    <row r="16" spans="1:3" x14ac:dyDescent="0.3">
      <c r="A16" s="3" t="s">
        <v>214</v>
      </c>
      <c r="B16" s="7">
        <f ca="1">SUM(B9:B15)</f>
        <v>48000</v>
      </c>
    </row>
    <row r="17" spans="1:2" x14ac:dyDescent="0.3">
      <c r="A17" s="3" t="s">
        <v>215</v>
      </c>
      <c r="B17" s="7">
        <f ca="1">B7-B16</f>
        <v>-48000</v>
      </c>
    </row>
    <row r="18" spans="1:2" x14ac:dyDescent="0.3">
      <c r="A18" s="6" t="s">
        <v>216</v>
      </c>
      <c r="B18" s="11" t="str">
        <f ca="1">IFERROR(B17/B7,"")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1"/>
  <sheetViews>
    <sheetView zoomScaleNormal="100" workbookViewId="0">
      <pane ySplit="1" topLeftCell="A2" activePane="bottomLeft" state="frozen"/>
      <selection pane="bottomLeft"/>
    </sheetView>
  </sheetViews>
  <sheetFormatPr defaultColWidth="8.5546875" defaultRowHeight="14.4" x14ac:dyDescent="0.3"/>
  <cols>
    <col min="1" max="1" width="12" customWidth="1"/>
    <col min="2" max="2" width="9" customWidth="1"/>
    <col min="3" max="3" width="20" customWidth="1"/>
    <col min="4" max="4" width="14" customWidth="1"/>
    <col min="5" max="5" width="28" customWidth="1"/>
    <col min="6" max="7" width="13" customWidth="1"/>
    <col min="9" max="9" width="24" customWidth="1"/>
    <col min="10" max="10" width="11" customWidth="1"/>
  </cols>
  <sheetData>
    <row r="1" spans="1:10" x14ac:dyDescent="0.3">
      <c r="A1" s="17" t="s">
        <v>56</v>
      </c>
      <c r="B1" s="17" t="s">
        <v>217</v>
      </c>
      <c r="C1" s="17" t="s">
        <v>58</v>
      </c>
      <c r="D1" s="17" t="s">
        <v>218</v>
      </c>
      <c r="E1" s="17" t="s">
        <v>57</v>
      </c>
      <c r="F1" s="17" t="s">
        <v>219</v>
      </c>
      <c r="G1" s="17" t="s">
        <v>70</v>
      </c>
      <c r="I1" s="5" t="s">
        <v>220</v>
      </c>
    </row>
    <row r="2" spans="1:10" x14ac:dyDescent="0.3">
      <c r="A2" s="20"/>
      <c r="B2" s="19"/>
      <c r="C2" s="19"/>
      <c r="D2" s="19"/>
      <c r="E2" s="19"/>
      <c r="F2" s="19"/>
      <c r="G2" s="19"/>
      <c r="I2" s="6" t="s">
        <v>221</v>
      </c>
      <c r="J2" s="10">
        <f>COUNTA(Appointments!$A$2:$A$1001)</f>
        <v>0</v>
      </c>
    </row>
    <row r="3" spans="1:10" x14ac:dyDescent="0.3">
      <c r="A3" s="20"/>
      <c r="B3" s="19"/>
      <c r="C3" s="19"/>
      <c r="D3" s="19"/>
      <c r="E3" s="19"/>
      <c r="F3" s="19"/>
      <c r="G3" s="19"/>
      <c r="I3" s="6" t="s">
        <v>222</v>
      </c>
      <c r="J3" s="10">
        <f>COUNTIF(Appointments!$G$2:$G$1001,"Completed")</f>
        <v>0</v>
      </c>
    </row>
    <row r="4" spans="1:10" x14ac:dyDescent="0.3">
      <c r="A4" s="20"/>
      <c r="B4" s="19"/>
      <c r="C4" s="19"/>
      <c r="D4" s="19"/>
      <c r="E4" s="19"/>
      <c r="F4" s="19"/>
      <c r="G4" s="19"/>
      <c r="I4" s="6" t="s">
        <v>223</v>
      </c>
      <c r="J4" s="10">
        <f>COUNTIF(Appointments!$G$2:$G$1001,"Cancelled")</f>
        <v>0</v>
      </c>
    </row>
    <row r="5" spans="1:10" x14ac:dyDescent="0.3">
      <c r="A5" s="20"/>
      <c r="B5" s="19"/>
      <c r="C5" s="19"/>
      <c r="D5" s="19"/>
      <c r="E5" s="19"/>
      <c r="F5" s="19"/>
      <c r="G5" s="19"/>
      <c r="I5" s="6" t="s">
        <v>224</v>
      </c>
      <c r="J5" s="10">
        <f>COUNTIF(Appointments!$G$2:$G$1001,"No-show")</f>
        <v>0</v>
      </c>
    </row>
    <row r="6" spans="1:10" x14ac:dyDescent="0.3">
      <c r="A6" s="20"/>
      <c r="B6" s="19"/>
      <c r="C6" s="19"/>
      <c r="D6" s="19"/>
      <c r="E6" s="19"/>
      <c r="F6" s="19"/>
      <c r="G6" s="19"/>
      <c r="I6" s="6" t="s">
        <v>225</v>
      </c>
      <c r="J6" s="11">
        <f>IFERROR(COUNTIF(Appointments!$G$2:$G$1001,"No-show")/COUNTA(Appointments!$A$2:$A$1001),0)</f>
        <v>0</v>
      </c>
    </row>
    <row r="7" spans="1:10" x14ac:dyDescent="0.3">
      <c r="A7" s="20"/>
      <c r="B7" s="19"/>
      <c r="C7" s="19"/>
      <c r="D7" s="19"/>
      <c r="E7" s="19"/>
      <c r="F7" s="19"/>
      <c r="G7" s="19"/>
      <c r="I7" s="6" t="s">
        <v>226</v>
      </c>
      <c r="J7" s="11">
        <f>IFERROR(COUNTIF(Appointments!$G$2:$G$1001,"Completed")/COUNTA(Appointments!$A$2:$A$1001),0)</f>
        <v>0</v>
      </c>
    </row>
    <row r="8" spans="1:10" x14ac:dyDescent="0.3">
      <c r="A8" s="20"/>
      <c r="B8" s="19"/>
      <c r="C8" s="19"/>
      <c r="D8" s="19"/>
      <c r="E8" s="19"/>
      <c r="F8" s="19"/>
      <c r="G8" s="19"/>
    </row>
    <row r="9" spans="1:10" x14ac:dyDescent="0.3">
      <c r="A9" s="20"/>
      <c r="B9" s="19"/>
      <c r="C9" s="19"/>
      <c r="D9" s="19"/>
      <c r="E9" s="19"/>
      <c r="F9" s="19"/>
      <c r="G9" s="19"/>
    </row>
    <row r="10" spans="1:10" x14ac:dyDescent="0.3">
      <c r="A10" s="20"/>
      <c r="B10" s="19"/>
      <c r="C10" s="19"/>
      <c r="D10" s="19"/>
      <c r="E10" s="19"/>
      <c r="F10" s="19"/>
      <c r="G10" s="19"/>
    </row>
    <row r="11" spans="1:10" x14ac:dyDescent="0.3">
      <c r="A11" s="20"/>
      <c r="B11" s="19"/>
      <c r="C11" s="19"/>
      <c r="D11" s="19"/>
      <c r="E11" s="19"/>
      <c r="F11" s="19"/>
      <c r="G11" s="19"/>
    </row>
    <row r="12" spans="1:10" x14ac:dyDescent="0.3">
      <c r="A12" s="20"/>
      <c r="B12" s="19"/>
      <c r="C12" s="19"/>
      <c r="D12" s="19"/>
      <c r="E12" s="19"/>
      <c r="F12" s="19"/>
      <c r="G12" s="19"/>
    </row>
    <row r="13" spans="1:10" x14ac:dyDescent="0.3">
      <c r="A13" s="20"/>
      <c r="B13" s="19"/>
      <c r="C13" s="19"/>
      <c r="D13" s="19"/>
      <c r="E13" s="19"/>
      <c r="F13" s="19"/>
      <c r="G13" s="19"/>
    </row>
    <row r="14" spans="1:10" x14ac:dyDescent="0.3">
      <c r="A14" s="20"/>
      <c r="B14" s="19"/>
      <c r="C14" s="19"/>
      <c r="D14" s="19"/>
      <c r="E14" s="19"/>
      <c r="F14" s="19"/>
      <c r="G14" s="19"/>
    </row>
    <row r="15" spans="1:10" x14ac:dyDescent="0.3">
      <c r="A15" s="20"/>
      <c r="B15" s="19"/>
      <c r="C15" s="19"/>
      <c r="D15" s="19"/>
      <c r="E15" s="19"/>
      <c r="F15" s="19"/>
      <c r="G15" s="19"/>
    </row>
    <row r="16" spans="1:10" x14ac:dyDescent="0.3">
      <c r="A16" s="20"/>
      <c r="B16" s="19"/>
      <c r="C16" s="19"/>
      <c r="D16" s="19"/>
      <c r="E16" s="19"/>
      <c r="F16" s="19"/>
      <c r="G16" s="19"/>
    </row>
    <row r="17" spans="1:7" x14ac:dyDescent="0.3">
      <c r="A17" s="20"/>
      <c r="B17" s="19"/>
      <c r="C17" s="19"/>
      <c r="D17" s="19"/>
      <c r="E17" s="19"/>
      <c r="F17" s="19"/>
      <c r="G17" s="19"/>
    </row>
    <row r="18" spans="1:7" x14ac:dyDescent="0.3">
      <c r="A18" s="20"/>
      <c r="B18" s="19"/>
      <c r="C18" s="19"/>
      <c r="D18" s="19"/>
      <c r="E18" s="19"/>
      <c r="F18" s="19"/>
      <c r="G18" s="19"/>
    </row>
    <row r="19" spans="1:7" x14ac:dyDescent="0.3">
      <c r="A19" s="20"/>
      <c r="B19" s="19"/>
      <c r="C19" s="19"/>
      <c r="D19" s="19"/>
      <c r="E19" s="19"/>
      <c r="F19" s="19"/>
      <c r="G19" s="19"/>
    </row>
    <row r="20" spans="1:7" x14ac:dyDescent="0.3">
      <c r="A20" s="20"/>
      <c r="B20" s="19"/>
      <c r="C20" s="19"/>
      <c r="D20" s="19"/>
      <c r="E20" s="19"/>
      <c r="F20" s="19"/>
      <c r="G20" s="19"/>
    </row>
    <row r="21" spans="1:7" x14ac:dyDescent="0.3">
      <c r="A21" s="20"/>
      <c r="B21" s="19"/>
      <c r="C21" s="19"/>
      <c r="D21" s="19"/>
      <c r="E21" s="19"/>
      <c r="F21" s="19"/>
      <c r="G21" s="19"/>
    </row>
    <row r="22" spans="1:7" x14ac:dyDescent="0.3">
      <c r="A22" s="20"/>
      <c r="B22" s="19"/>
      <c r="C22" s="19"/>
      <c r="D22" s="19"/>
      <c r="E22" s="19"/>
      <c r="F22" s="19"/>
      <c r="G22" s="19"/>
    </row>
    <row r="23" spans="1:7" x14ac:dyDescent="0.3">
      <c r="A23" s="20"/>
      <c r="B23" s="19"/>
      <c r="C23" s="19"/>
      <c r="D23" s="19"/>
      <c r="E23" s="19"/>
      <c r="F23" s="19"/>
      <c r="G23" s="19"/>
    </row>
    <row r="24" spans="1:7" x14ac:dyDescent="0.3">
      <c r="A24" s="20"/>
      <c r="B24" s="19"/>
      <c r="C24" s="19"/>
      <c r="D24" s="19"/>
      <c r="E24" s="19"/>
      <c r="F24" s="19"/>
      <c r="G24" s="19"/>
    </row>
    <row r="25" spans="1:7" x14ac:dyDescent="0.3">
      <c r="A25" s="20"/>
      <c r="B25" s="19"/>
      <c r="C25" s="19"/>
      <c r="D25" s="19"/>
      <c r="E25" s="19"/>
      <c r="F25" s="19"/>
      <c r="G25" s="19"/>
    </row>
    <row r="26" spans="1:7" x14ac:dyDescent="0.3">
      <c r="A26" s="20"/>
      <c r="B26" s="19"/>
      <c r="C26" s="19"/>
      <c r="D26" s="19"/>
      <c r="E26" s="19"/>
      <c r="F26" s="19"/>
      <c r="G26" s="19"/>
    </row>
    <row r="27" spans="1:7" x14ac:dyDescent="0.3">
      <c r="A27" s="20"/>
      <c r="B27" s="19"/>
      <c r="C27" s="19"/>
      <c r="D27" s="19"/>
      <c r="E27" s="19"/>
      <c r="F27" s="19"/>
      <c r="G27" s="19"/>
    </row>
    <row r="28" spans="1:7" x14ac:dyDescent="0.3">
      <c r="A28" s="20"/>
      <c r="B28" s="19"/>
      <c r="C28" s="19"/>
      <c r="D28" s="19"/>
      <c r="E28" s="19"/>
      <c r="F28" s="19"/>
      <c r="G28" s="19"/>
    </row>
    <row r="29" spans="1:7" x14ac:dyDescent="0.3">
      <c r="A29" s="20"/>
      <c r="B29" s="19"/>
      <c r="C29" s="19"/>
      <c r="D29" s="19"/>
      <c r="E29" s="19"/>
      <c r="F29" s="19"/>
      <c r="G29" s="19"/>
    </row>
    <row r="30" spans="1:7" x14ac:dyDescent="0.3">
      <c r="A30" s="20"/>
      <c r="B30" s="19"/>
      <c r="C30" s="19"/>
      <c r="D30" s="19"/>
      <c r="E30" s="19"/>
      <c r="F30" s="19"/>
      <c r="G30" s="19"/>
    </row>
    <row r="31" spans="1:7" x14ac:dyDescent="0.3">
      <c r="A31" s="20"/>
      <c r="B31" s="19"/>
      <c r="C31" s="19"/>
      <c r="D31" s="19"/>
      <c r="E31" s="19"/>
      <c r="F31" s="19"/>
      <c r="G31" s="19"/>
    </row>
    <row r="32" spans="1:7" x14ac:dyDescent="0.3">
      <c r="A32" s="20"/>
      <c r="B32" s="19"/>
      <c r="C32" s="19"/>
      <c r="D32" s="19"/>
      <c r="E32" s="19"/>
      <c r="F32" s="19"/>
      <c r="G32" s="19"/>
    </row>
    <row r="33" spans="1:7" x14ac:dyDescent="0.3">
      <c r="A33" s="20"/>
      <c r="B33" s="19"/>
      <c r="C33" s="19"/>
      <c r="D33" s="19"/>
      <c r="E33" s="19"/>
      <c r="F33" s="19"/>
      <c r="G33" s="19"/>
    </row>
    <row r="34" spans="1:7" x14ac:dyDescent="0.3">
      <c r="A34" s="20"/>
      <c r="B34" s="19"/>
      <c r="C34" s="19"/>
      <c r="D34" s="19"/>
      <c r="E34" s="19"/>
      <c r="F34" s="19"/>
      <c r="G34" s="19"/>
    </row>
    <row r="35" spans="1:7" x14ac:dyDescent="0.3">
      <c r="A35" s="20"/>
      <c r="B35" s="19"/>
      <c r="C35" s="19"/>
      <c r="D35" s="19"/>
      <c r="E35" s="19"/>
      <c r="F35" s="19"/>
      <c r="G35" s="19"/>
    </row>
    <row r="36" spans="1:7" x14ac:dyDescent="0.3">
      <c r="A36" s="20"/>
      <c r="B36" s="19"/>
      <c r="C36" s="19"/>
      <c r="D36" s="19"/>
      <c r="E36" s="19"/>
      <c r="F36" s="19"/>
      <c r="G36" s="19"/>
    </row>
    <row r="37" spans="1:7" x14ac:dyDescent="0.3">
      <c r="A37" s="20"/>
      <c r="B37" s="19"/>
      <c r="C37" s="19"/>
      <c r="D37" s="19"/>
      <c r="E37" s="19"/>
      <c r="F37" s="19"/>
      <c r="G37" s="19"/>
    </row>
    <row r="38" spans="1:7" x14ac:dyDescent="0.3">
      <c r="A38" s="20"/>
      <c r="B38" s="19"/>
      <c r="C38" s="19"/>
      <c r="D38" s="19"/>
      <c r="E38" s="19"/>
      <c r="F38" s="19"/>
      <c r="G38" s="19"/>
    </row>
    <row r="39" spans="1:7" x14ac:dyDescent="0.3">
      <c r="A39" s="20"/>
      <c r="B39" s="19"/>
      <c r="C39" s="19"/>
      <c r="D39" s="19"/>
      <c r="E39" s="19"/>
      <c r="F39" s="19"/>
      <c r="G39" s="19"/>
    </row>
    <row r="40" spans="1:7" x14ac:dyDescent="0.3">
      <c r="A40" s="20"/>
      <c r="B40" s="19"/>
      <c r="C40" s="19"/>
      <c r="D40" s="19"/>
      <c r="E40" s="19"/>
      <c r="F40" s="19"/>
      <c r="G40" s="19"/>
    </row>
    <row r="41" spans="1:7" x14ac:dyDescent="0.3">
      <c r="A41" s="20"/>
      <c r="B41" s="19"/>
      <c r="C41" s="19"/>
      <c r="D41" s="19"/>
      <c r="E41" s="19"/>
      <c r="F41" s="19"/>
      <c r="G41" s="19"/>
    </row>
    <row r="42" spans="1:7" x14ac:dyDescent="0.3">
      <c r="A42" s="20"/>
      <c r="B42" s="19"/>
      <c r="C42" s="19"/>
      <c r="D42" s="19"/>
      <c r="E42" s="19"/>
      <c r="F42" s="19"/>
      <c r="G42" s="19"/>
    </row>
    <row r="43" spans="1:7" x14ac:dyDescent="0.3">
      <c r="A43" s="20"/>
      <c r="B43" s="19"/>
      <c r="C43" s="19"/>
      <c r="D43" s="19"/>
      <c r="E43" s="19"/>
      <c r="F43" s="19"/>
      <c r="G43" s="19"/>
    </row>
    <row r="44" spans="1:7" x14ac:dyDescent="0.3">
      <c r="A44" s="20"/>
      <c r="B44" s="19"/>
      <c r="C44" s="19"/>
      <c r="D44" s="19"/>
      <c r="E44" s="19"/>
      <c r="F44" s="19"/>
      <c r="G44" s="19"/>
    </row>
    <row r="45" spans="1:7" x14ac:dyDescent="0.3">
      <c r="A45" s="20"/>
      <c r="B45" s="19"/>
      <c r="C45" s="19"/>
      <c r="D45" s="19"/>
      <c r="E45" s="19"/>
      <c r="F45" s="19"/>
      <c r="G45" s="19"/>
    </row>
    <row r="46" spans="1:7" x14ac:dyDescent="0.3">
      <c r="A46" s="20"/>
      <c r="B46" s="19"/>
      <c r="C46" s="19"/>
      <c r="D46" s="19"/>
      <c r="E46" s="19"/>
      <c r="F46" s="19"/>
      <c r="G46" s="19"/>
    </row>
    <row r="47" spans="1:7" x14ac:dyDescent="0.3">
      <c r="A47" s="20"/>
      <c r="B47" s="19"/>
      <c r="C47" s="19"/>
      <c r="D47" s="19"/>
      <c r="E47" s="19"/>
      <c r="F47" s="19"/>
      <c r="G47" s="19"/>
    </row>
    <row r="48" spans="1:7" x14ac:dyDescent="0.3">
      <c r="A48" s="20"/>
      <c r="B48" s="19"/>
      <c r="C48" s="19"/>
      <c r="D48" s="19"/>
      <c r="E48" s="19"/>
      <c r="F48" s="19"/>
      <c r="G48" s="19"/>
    </row>
    <row r="49" spans="1:7" x14ac:dyDescent="0.3">
      <c r="A49" s="20"/>
      <c r="B49" s="19"/>
      <c r="C49" s="19"/>
      <c r="D49" s="19"/>
      <c r="E49" s="19"/>
      <c r="F49" s="19"/>
      <c r="G49" s="19"/>
    </row>
    <row r="50" spans="1:7" x14ac:dyDescent="0.3">
      <c r="A50" s="20"/>
      <c r="B50" s="19"/>
      <c r="C50" s="19"/>
      <c r="D50" s="19"/>
      <c r="E50" s="19"/>
      <c r="F50" s="19"/>
      <c r="G50" s="19"/>
    </row>
    <row r="51" spans="1:7" x14ac:dyDescent="0.3">
      <c r="A51" s="20"/>
      <c r="B51" s="19"/>
      <c r="C51" s="19"/>
      <c r="D51" s="19"/>
      <c r="E51" s="19"/>
      <c r="F51" s="19"/>
      <c r="G51" s="19"/>
    </row>
    <row r="52" spans="1:7" x14ac:dyDescent="0.3">
      <c r="A52" s="20"/>
      <c r="B52" s="19"/>
      <c r="C52" s="19"/>
      <c r="D52" s="19"/>
      <c r="E52" s="19"/>
      <c r="F52" s="19"/>
      <c r="G52" s="19"/>
    </row>
    <row r="53" spans="1:7" x14ac:dyDescent="0.3">
      <c r="A53" s="20"/>
      <c r="B53" s="19"/>
      <c r="C53" s="19"/>
      <c r="D53" s="19"/>
      <c r="E53" s="19"/>
      <c r="F53" s="19"/>
      <c r="G53" s="19"/>
    </row>
    <row r="54" spans="1:7" x14ac:dyDescent="0.3">
      <c r="A54" s="20"/>
      <c r="B54" s="19"/>
      <c r="C54" s="19"/>
      <c r="D54" s="19"/>
      <c r="E54" s="19"/>
      <c r="F54" s="19"/>
      <c r="G54" s="19"/>
    </row>
    <row r="55" spans="1:7" x14ac:dyDescent="0.3">
      <c r="A55" s="20"/>
      <c r="B55" s="19"/>
      <c r="C55" s="19"/>
      <c r="D55" s="19"/>
      <c r="E55" s="19"/>
      <c r="F55" s="19"/>
      <c r="G55" s="19"/>
    </row>
    <row r="56" spans="1:7" x14ac:dyDescent="0.3">
      <c r="A56" s="20"/>
      <c r="B56" s="19"/>
      <c r="C56" s="19"/>
      <c r="D56" s="19"/>
      <c r="E56" s="19"/>
      <c r="F56" s="19"/>
      <c r="G56" s="19"/>
    </row>
    <row r="57" spans="1:7" x14ac:dyDescent="0.3">
      <c r="A57" s="20"/>
      <c r="B57" s="19"/>
      <c r="C57" s="19"/>
      <c r="D57" s="19"/>
      <c r="E57" s="19"/>
      <c r="F57" s="19"/>
      <c r="G57" s="19"/>
    </row>
    <row r="58" spans="1:7" x14ac:dyDescent="0.3">
      <c r="A58" s="20"/>
      <c r="B58" s="19"/>
      <c r="C58" s="19"/>
      <c r="D58" s="19"/>
      <c r="E58" s="19"/>
      <c r="F58" s="19"/>
      <c r="G58" s="19"/>
    </row>
    <row r="59" spans="1:7" x14ac:dyDescent="0.3">
      <c r="A59" s="20"/>
      <c r="B59" s="19"/>
      <c r="C59" s="19"/>
      <c r="D59" s="19"/>
      <c r="E59" s="19"/>
      <c r="F59" s="19"/>
      <c r="G59" s="19"/>
    </row>
    <row r="60" spans="1:7" x14ac:dyDescent="0.3">
      <c r="A60" s="20"/>
      <c r="B60" s="19"/>
      <c r="C60" s="19"/>
      <c r="D60" s="19"/>
      <c r="E60" s="19"/>
      <c r="F60" s="19"/>
      <c r="G60" s="19"/>
    </row>
    <row r="61" spans="1:7" x14ac:dyDescent="0.3">
      <c r="A61" s="20"/>
      <c r="B61" s="19"/>
      <c r="C61" s="19"/>
      <c r="D61" s="19"/>
      <c r="E61" s="19"/>
      <c r="F61" s="19"/>
      <c r="G61" s="19"/>
    </row>
    <row r="62" spans="1:7" x14ac:dyDescent="0.3">
      <c r="A62" s="20"/>
      <c r="B62" s="19"/>
      <c r="C62" s="19"/>
      <c r="D62" s="19"/>
      <c r="E62" s="19"/>
      <c r="F62" s="19"/>
      <c r="G62" s="19"/>
    </row>
    <row r="63" spans="1:7" x14ac:dyDescent="0.3">
      <c r="A63" s="20"/>
      <c r="B63" s="19"/>
      <c r="C63" s="19"/>
      <c r="D63" s="19"/>
      <c r="E63" s="19"/>
      <c r="F63" s="19"/>
      <c r="G63" s="19"/>
    </row>
    <row r="64" spans="1:7" x14ac:dyDescent="0.3">
      <c r="A64" s="20"/>
      <c r="B64" s="19"/>
      <c r="C64" s="19"/>
      <c r="D64" s="19"/>
      <c r="E64" s="19"/>
      <c r="F64" s="19"/>
      <c r="G64" s="19"/>
    </row>
    <row r="65" spans="1:7" x14ac:dyDescent="0.3">
      <c r="A65" s="20"/>
      <c r="B65" s="19"/>
      <c r="C65" s="19"/>
      <c r="D65" s="19"/>
      <c r="E65" s="19"/>
      <c r="F65" s="19"/>
      <c r="G65" s="19"/>
    </row>
    <row r="66" spans="1:7" x14ac:dyDescent="0.3">
      <c r="A66" s="20"/>
      <c r="B66" s="19"/>
      <c r="C66" s="19"/>
      <c r="D66" s="19"/>
      <c r="E66" s="19"/>
      <c r="F66" s="19"/>
      <c r="G66" s="19"/>
    </row>
    <row r="67" spans="1:7" x14ac:dyDescent="0.3">
      <c r="A67" s="20"/>
      <c r="B67" s="19"/>
      <c r="C67" s="19"/>
      <c r="D67" s="19"/>
      <c r="E67" s="19"/>
      <c r="F67" s="19"/>
      <c r="G67" s="19"/>
    </row>
    <row r="68" spans="1:7" x14ac:dyDescent="0.3">
      <c r="A68" s="20"/>
      <c r="B68" s="19"/>
      <c r="C68" s="19"/>
      <c r="D68" s="19"/>
      <c r="E68" s="19"/>
      <c r="F68" s="19"/>
      <c r="G68" s="19"/>
    </row>
    <row r="69" spans="1:7" x14ac:dyDescent="0.3">
      <c r="A69" s="20"/>
      <c r="B69" s="19"/>
      <c r="C69" s="19"/>
      <c r="D69" s="19"/>
      <c r="E69" s="19"/>
      <c r="F69" s="19"/>
      <c r="G69" s="19"/>
    </row>
    <row r="70" spans="1:7" x14ac:dyDescent="0.3">
      <c r="A70" s="20"/>
      <c r="B70" s="19"/>
      <c r="C70" s="19"/>
      <c r="D70" s="19"/>
      <c r="E70" s="19"/>
      <c r="F70" s="19"/>
      <c r="G70" s="19"/>
    </row>
    <row r="71" spans="1:7" x14ac:dyDescent="0.3">
      <c r="A71" s="20"/>
      <c r="B71" s="19"/>
      <c r="C71" s="19"/>
      <c r="D71" s="19"/>
      <c r="E71" s="19"/>
      <c r="F71" s="19"/>
      <c r="G71" s="19"/>
    </row>
    <row r="72" spans="1:7" x14ac:dyDescent="0.3">
      <c r="A72" s="20"/>
      <c r="B72" s="19"/>
      <c r="C72" s="19"/>
      <c r="D72" s="19"/>
      <c r="E72" s="19"/>
      <c r="F72" s="19"/>
      <c r="G72" s="19"/>
    </row>
    <row r="73" spans="1:7" x14ac:dyDescent="0.3">
      <c r="A73" s="20"/>
      <c r="B73" s="19"/>
      <c r="C73" s="19"/>
      <c r="D73" s="19"/>
      <c r="E73" s="19"/>
      <c r="F73" s="19"/>
      <c r="G73" s="19"/>
    </row>
    <row r="74" spans="1:7" x14ac:dyDescent="0.3">
      <c r="A74" s="20"/>
      <c r="B74" s="19"/>
      <c r="C74" s="19"/>
      <c r="D74" s="19"/>
      <c r="E74" s="19"/>
      <c r="F74" s="19"/>
      <c r="G74" s="19"/>
    </row>
    <row r="75" spans="1:7" x14ac:dyDescent="0.3">
      <c r="A75" s="20"/>
      <c r="B75" s="19"/>
      <c r="C75" s="19"/>
      <c r="D75" s="19"/>
      <c r="E75" s="19"/>
      <c r="F75" s="19"/>
      <c r="G75" s="19"/>
    </row>
    <row r="76" spans="1:7" x14ac:dyDescent="0.3">
      <c r="A76" s="20"/>
      <c r="B76" s="19"/>
      <c r="C76" s="19"/>
      <c r="D76" s="19"/>
      <c r="E76" s="19"/>
      <c r="F76" s="19"/>
      <c r="G76" s="19"/>
    </row>
    <row r="77" spans="1:7" x14ac:dyDescent="0.3">
      <c r="A77" s="20"/>
      <c r="B77" s="19"/>
      <c r="C77" s="19"/>
      <c r="D77" s="19"/>
      <c r="E77" s="19"/>
      <c r="F77" s="19"/>
      <c r="G77" s="19"/>
    </row>
    <row r="78" spans="1:7" x14ac:dyDescent="0.3">
      <c r="A78" s="20"/>
      <c r="B78" s="19"/>
      <c r="C78" s="19"/>
      <c r="D78" s="19"/>
      <c r="E78" s="19"/>
      <c r="F78" s="19"/>
      <c r="G78" s="19"/>
    </row>
    <row r="79" spans="1:7" x14ac:dyDescent="0.3">
      <c r="A79" s="20"/>
      <c r="B79" s="19"/>
      <c r="C79" s="19"/>
      <c r="D79" s="19"/>
      <c r="E79" s="19"/>
      <c r="F79" s="19"/>
      <c r="G79" s="19"/>
    </row>
    <row r="80" spans="1:7" x14ac:dyDescent="0.3">
      <c r="A80" s="20"/>
      <c r="B80" s="19"/>
      <c r="C80" s="19"/>
      <c r="D80" s="19"/>
      <c r="E80" s="19"/>
      <c r="F80" s="19"/>
      <c r="G80" s="19"/>
    </row>
    <row r="81" spans="1:7" x14ac:dyDescent="0.3">
      <c r="A81" s="20"/>
      <c r="B81" s="19"/>
      <c r="C81" s="19"/>
      <c r="D81" s="19"/>
      <c r="E81" s="19"/>
      <c r="F81" s="19"/>
      <c r="G81" s="19"/>
    </row>
    <row r="82" spans="1:7" x14ac:dyDescent="0.3">
      <c r="A82" s="20"/>
      <c r="B82" s="19"/>
      <c r="C82" s="19"/>
      <c r="D82" s="19"/>
      <c r="E82" s="19"/>
      <c r="F82" s="19"/>
      <c r="G82" s="19"/>
    </row>
    <row r="83" spans="1:7" x14ac:dyDescent="0.3">
      <c r="A83" s="20"/>
      <c r="B83" s="19"/>
      <c r="C83" s="19"/>
      <c r="D83" s="19"/>
      <c r="E83" s="19"/>
      <c r="F83" s="19"/>
      <c r="G83" s="19"/>
    </row>
    <row r="84" spans="1:7" x14ac:dyDescent="0.3">
      <c r="A84" s="20"/>
      <c r="B84" s="19"/>
      <c r="C84" s="19"/>
      <c r="D84" s="19"/>
      <c r="E84" s="19"/>
      <c r="F84" s="19"/>
      <c r="G84" s="19"/>
    </row>
    <row r="85" spans="1:7" x14ac:dyDescent="0.3">
      <c r="A85" s="20"/>
      <c r="B85" s="19"/>
      <c r="C85" s="19"/>
      <c r="D85" s="19"/>
      <c r="E85" s="19"/>
      <c r="F85" s="19"/>
      <c r="G85" s="19"/>
    </row>
    <row r="86" spans="1:7" x14ac:dyDescent="0.3">
      <c r="A86" s="20"/>
      <c r="B86" s="19"/>
      <c r="C86" s="19"/>
      <c r="D86" s="19"/>
      <c r="E86" s="19"/>
      <c r="F86" s="19"/>
      <c r="G86" s="19"/>
    </row>
    <row r="87" spans="1:7" x14ac:dyDescent="0.3">
      <c r="A87" s="20"/>
      <c r="B87" s="19"/>
      <c r="C87" s="19"/>
      <c r="D87" s="19"/>
      <c r="E87" s="19"/>
      <c r="F87" s="19"/>
      <c r="G87" s="19"/>
    </row>
    <row r="88" spans="1:7" x14ac:dyDescent="0.3">
      <c r="A88" s="20"/>
      <c r="B88" s="19"/>
      <c r="C88" s="19"/>
      <c r="D88" s="19"/>
      <c r="E88" s="19"/>
      <c r="F88" s="19"/>
      <c r="G88" s="19"/>
    </row>
    <row r="89" spans="1:7" x14ac:dyDescent="0.3">
      <c r="A89" s="20"/>
      <c r="B89" s="19"/>
      <c r="C89" s="19"/>
      <c r="D89" s="19"/>
      <c r="E89" s="19"/>
      <c r="F89" s="19"/>
      <c r="G89" s="19"/>
    </row>
    <row r="90" spans="1:7" x14ac:dyDescent="0.3">
      <c r="A90" s="20"/>
      <c r="B90" s="19"/>
      <c r="C90" s="19"/>
      <c r="D90" s="19"/>
      <c r="E90" s="19"/>
      <c r="F90" s="19"/>
      <c r="G90" s="19"/>
    </row>
    <row r="91" spans="1:7" x14ac:dyDescent="0.3">
      <c r="A91" s="20"/>
      <c r="B91" s="19"/>
      <c r="C91" s="19"/>
      <c r="D91" s="19"/>
      <c r="E91" s="19"/>
      <c r="F91" s="19"/>
      <c r="G91" s="19"/>
    </row>
    <row r="92" spans="1:7" x14ac:dyDescent="0.3">
      <c r="A92" s="20"/>
      <c r="B92" s="19"/>
      <c r="C92" s="19"/>
      <c r="D92" s="19"/>
      <c r="E92" s="19"/>
      <c r="F92" s="19"/>
      <c r="G92" s="19"/>
    </row>
    <row r="93" spans="1:7" x14ac:dyDescent="0.3">
      <c r="A93" s="20"/>
      <c r="B93" s="19"/>
      <c r="C93" s="19"/>
      <c r="D93" s="19"/>
      <c r="E93" s="19"/>
      <c r="F93" s="19"/>
      <c r="G93" s="19"/>
    </row>
    <row r="94" spans="1:7" x14ac:dyDescent="0.3">
      <c r="A94" s="20"/>
      <c r="B94" s="19"/>
      <c r="C94" s="19"/>
      <c r="D94" s="19"/>
      <c r="E94" s="19"/>
      <c r="F94" s="19"/>
      <c r="G94" s="19"/>
    </row>
    <row r="95" spans="1:7" x14ac:dyDescent="0.3">
      <c r="A95" s="20"/>
      <c r="B95" s="19"/>
      <c r="C95" s="19"/>
      <c r="D95" s="19"/>
      <c r="E95" s="19"/>
      <c r="F95" s="19"/>
      <c r="G95" s="19"/>
    </row>
    <row r="96" spans="1:7" x14ac:dyDescent="0.3">
      <c r="A96" s="20"/>
      <c r="B96" s="19"/>
      <c r="C96" s="19"/>
      <c r="D96" s="19"/>
      <c r="E96" s="19"/>
      <c r="F96" s="19"/>
      <c r="G96" s="19"/>
    </row>
    <row r="97" spans="1:7" x14ac:dyDescent="0.3">
      <c r="A97" s="20"/>
      <c r="B97" s="19"/>
      <c r="C97" s="19"/>
      <c r="D97" s="19"/>
      <c r="E97" s="19"/>
      <c r="F97" s="19"/>
      <c r="G97" s="19"/>
    </row>
    <row r="98" spans="1:7" x14ac:dyDescent="0.3">
      <c r="A98" s="20"/>
      <c r="B98" s="19"/>
      <c r="C98" s="19"/>
      <c r="D98" s="19"/>
      <c r="E98" s="19"/>
      <c r="F98" s="19"/>
      <c r="G98" s="19"/>
    </row>
    <row r="99" spans="1:7" x14ac:dyDescent="0.3">
      <c r="A99" s="20"/>
      <c r="B99" s="19"/>
      <c r="C99" s="19"/>
      <c r="D99" s="19"/>
      <c r="E99" s="19"/>
      <c r="F99" s="19"/>
      <c r="G99" s="19"/>
    </row>
    <row r="100" spans="1:7" x14ac:dyDescent="0.3">
      <c r="A100" s="20"/>
      <c r="B100" s="19"/>
      <c r="C100" s="19"/>
      <c r="D100" s="19"/>
      <c r="E100" s="19"/>
      <c r="F100" s="19"/>
      <c r="G100" s="19"/>
    </row>
    <row r="101" spans="1:7" x14ac:dyDescent="0.3">
      <c r="A101" s="20"/>
      <c r="B101" s="19"/>
      <c r="C101" s="19"/>
      <c r="D101" s="19"/>
      <c r="E101" s="19"/>
      <c r="F101" s="19"/>
      <c r="G101" s="19"/>
    </row>
    <row r="102" spans="1:7" x14ac:dyDescent="0.3">
      <c r="A102" s="20"/>
      <c r="B102" s="19"/>
      <c r="C102" s="19"/>
      <c r="D102" s="19"/>
      <c r="E102" s="19"/>
      <c r="F102" s="19"/>
      <c r="G102" s="19"/>
    </row>
    <row r="103" spans="1:7" x14ac:dyDescent="0.3">
      <c r="A103" s="20"/>
      <c r="B103" s="19"/>
      <c r="C103" s="19"/>
      <c r="D103" s="19"/>
      <c r="E103" s="19"/>
      <c r="F103" s="19"/>
      <c r="G103" s="19"/>
    </row>
    <row r="104" spans="1:7" x14ac:dyDescent="0.3">
      <c r="A104" s="20"/>
      <c r="B104" s="19"/>
      <c r="C104" s="19"/>
      <c r="D104" s="19"/>
      <c r="E104" s="19"/>
      <c r="F104" s="19"/>
      <c r="G104" s="19"/>
    </row>
    <row r="105" spans="1:7" x14ac:dyDescent="0.3">
      <c r="A105" s="20"/>
      <c r="B105" s="19"/>
      <c r="C105" s="19"/>
      <c r="D105" s="19"/>
      <c r="E105" s="19"/>
      <c r="F105" s="19"/>
      <c r="G105" s="19"/>
    </row>
    <row r="106" spans="1:7" x14ac:dyDescent="0.3">
      <c r="A106" s="20"/>
      <c r="B106" s="19"/>
      <c r="C106" s="19"/>
      <c r="D106" s="19"/>
      <c r="E106" s="19"/>
      <c r="F106" s="19"/>
      <c r="G106" s="19"/>
    </row>
    <row r="107" spans="1:7" x14ac:dyDescent="0.3">
      <c r="A107" s="20"/>
      <c r="B107" s="19"/>
      <c r="C107" s="19"/>
      <c r="D107" s="19"/>
      <c r="E107" s="19"/>
      <c r="F107" s="19"/>
      <c r="G107" s="19"/>
    </row>
    <row r="108" spans="1:7" x14ac:dyDescent="0.3">
      <c r="A108" s="20"/>
      <c r="B108" s="19"/>
      <c r="C108" s="19"/>
      <c r="D108" s="19"/>
      <c r="E108" s="19"/>
      <c r="F108" s="19"/>
      <c r="G108" s="19"/>
    </row>
    <row r="109" spans="1:7" x14ac:dyDescent="0.3">
      <c r="A109" s="20"/>
      <c r="B109" s="19"/>
      <c r="C109" s="19"/>
      <c r="D109" s="19"/>
      <c r="E109" s="19"/>
      <c r="F109" s="19"/>
      <c r="G109" s="19"/>
    </row>
    <row r="110" spans="1:7" x14ac:dyDescent="0.3">
      <c r="A110" s="20"/>
      <c r="B110" s="19"/>
      <c r="C110" s="19"/>
      <c r="D110" s="19"/>
      <c r="E110" s="19"/>
      <c r="F110" s="19"/>
      <c r="G110" s="19"/>
    </row>
    <row r="111" spans="1:7" x14ac:dyDescent="0.3">
      <c r="A111" s="20"/>
      <c r="B111" s="19"/>
      <c r="C111" s="19"/>
      <c r="D111" s="19"/>
      <c r="E111" s="19"/>
      <c r="F111" s="19"/>
      <c r="G111" s="19"/>
    </row>
    <row r="112" spans="1:7" x14ac:dyDescent="0.3">
      <c r="A112" s="20"/>
      <c r="B112" s="19"/>
      <c r="C112" s="19"/>
      <c r="D112" s="19"/>
      <c r="E112" s="19"/>
      <c r="F112" s="19"/>
      <c r="G112" s="19"/>
    </row>
    <row r="113" spans="1:7" x14ac:dyDescent="0.3">
      <c r="A113" s="20"/>
      <c r="B113" s="19"/>
      <c r="C113" s="19"/>
      <c r="D113" s="19"/>
      <c r="E113" s="19"/>
      <c r="F113" s="19"/>
      <c r="G113" s="19"/>
    </row>
    <row r="114" spans="1:7" x14ac:dyDescent="0.3">
      <c r="A114" s="20"/>
      <c r="B114" s="19"/>
      <c r="C114" s="19"/>
      <c r="D114" s="19"/>
      <c r="E114" s="19"/>
      <c r="F114" s="19"/>
      <c r="G114" s="19"/>
    </row>
    <row r="115" spans="1:7" x14ac:dyDescent="0.3">
      <c r="A115" s="20"/>
      <c r="B115" s="19"/>
      <c r="C115" s="19"/>
      <c r="D115" s="19"/>
      <c r="E115" s="19"/>
      <c r="F115" s="19"/>
      <c r="G115" s="19"/>
    </row>
    <row r="116" spans="1:7" x14ac:dyDescent="0.3">
      <c r="A116" s="20"/>
      <c r="B116" s="19"/>
      <c r="C116" s="19"/>
      <c r="D116" s="19"/>
      <c r="E116" s="19"/>
      <c r="F116" s="19"/>
      <c r="G116" s="19"/>
    </row>
    <row r="117" spans="1:7" x14ac:dyDescent="0.3">
      <c r="A117" s="20"/>
      <c r="B117" s="19"/>
      <c r="C117" s="19"/>
      <c r="D117" s="19"/>
      <c r="E117" s="19"/>
      <c r="F117" s="19"/>
      <c r="G117" s="19"/>
    </row>
    <row r="118" spans="1:7" x14ac:dyDescent="0.3">
      <c r="A118" s="20"/>
      <c r="B118" s="19"/>
      <c r="C118" s="19"/>
      <c r="D118" s="19"/>
      <c r="E118" s="19"/>
      <c r="F118" s="19"/>
      <c r="G118" s="19"/>
    </row>
    <row r="119" spans="1:7" x14ac:dyDescent="0.3">
      <c r="A119" s="20"/>
      <c r="B119" s="19"/>
      <c r="C119" s="19"/>
      <c r="D119" s="19"/>
      <c r="E119" s="19"/>
      <c r="F119" s="19"/>
      <c r="G119" s="19"/>
    </row>
    <row r="120" spans="1:7" x14ac:dyDescent="0.3">
      <c r="A120" s="20"/>
      <c r="B120" s="19"/>
      <c r="C120" s="19"/>
      <c r="D120" s="19"/>
      <c r="E120" s="19"/>
      <c r="F120" s="19"/>
      <c r="G120" s="19"/>
    </row>
    <row r="121" spans="1:7" x14ac:dyDescent="0.3">
      <c r="A121" s="20"/>
      <c r="B121" s="19"/>
      <c r="C121" s="19"/>
      <c r="D121" s="19"/>
      <c r="E121" s="19"/>
      <c r="F121" s="19"/>
      <c r="G121" s="19"/>
    </row>
    <row r="122" spans="1:7" x14ac:dyDescent="0.3">
      <c r="A122" s="20"/>
      <c r="B122" s="19"/>
      <c r="C122" s="19"/>
      <c r="D122" s="19"/>
      <c r="E122" s="19"/>
      <c r="F122" s="19"/>
      <c r="G122" s="19"/>
    </row>
    <row r="123" spans="1:7" x14ac:dyDescent="0.3">
      <c r="A123" s="20"/>
      <c r="B123" s="19"/>
      <c r="C123" s="19"/>
      <c r="D123" s="19"/>
      <c r="E123" s="19"/>
      <c r="F123" s="19"/>
      <c r="G123" s="19"/>
    </row>
    <row r="124" spans="1:7" x14ac:dyDescent="0.3">
      <c r="A124" s="20"/>
      <c r="B124" s="19"/>
      <c r="C124" s="19"/>
      <c r="D124" s="19"/>
      <c r="E124" s="19"/>
      <c r="F124" s="19"/>
      <c r="G124" s="19"/>
    </row>
    <row r="125" spans="1:7" x14ac:dyDescent="0.3">
      <c r="A125" s="20"/>
      <c r="B125" s="19"/>
      <c r="C125" s="19"/>
      <c r="D125" s="19"/>
      <c r="E125" s="19"/>
      <c r="F125" s="19"/>
      <c r="G125" s="19"/>
    </row>
    <row r="126" spans="1:7" x14ac:dyDescent="0.3">
      <c r="A126" s="20"/>
      <c r="B126" s="19"/>
      <c r="C126" s="19"/>
      <c r="D126" s="19"/>
      <c r="E126" s="19"/>
      <c r="F126" s="19"/>
      <c r="G126" s="19"/>
    </row>
    <row r="127" spans="1:7" x14ac:dyDescent="0.3">
      <c r="A127" s="20"/>
      <c r="B127" s="19"/>
      <c r="C127" s="19"/>
      <c r="D127" s="19"/>
      <c r="E127" s="19"/>
      <c r="F127" s="19"/>
      <c r="G127" s="19"/>
    </row>
    <row r="128" spans="1:7" x14ac:dyDescent="0.3">
      <c r="A128" s="20"/>
      <c r="B128" s="19"/>
      <c r="C128" s="19"/>
      <c r="D128" s="19"/>
      <c r="E128" s="19"/>
      <c r="F128" s="19"/>
      <c r="G128" s="19"/>
    </row>
    <row r="129" spans="1:7" x14ac:dyDescent="0.3">
      <c r="A129" s="20"/>
      <c r="B129" s="19"/>
      <c r="C129" s="19"/>
      <c r="D129" s="19"/>
      <c r="E129" s="19"/>
      <c r="F129" s="19"/>
      <c r="G129" s="19"/>
    </row>
    <row r="130" spans="1:7" x14ac:dyDescent="0.3">
      <c r="A130" s="20"/>
      <c r="B130" s="19"/>
      <c r="C130" s="19"/>
      <c r="D130" s="19"/>
      <c r="E130" s="19"/>
      <c r="F130" s="19"/>
      <c r="G130" s="19"/>
    </row>
    <row r="131" spans="1:7" x14ac:dyDescent="0.3">
      <c r="A131" s="20"/>
      <c r="B131" s="19"/>
      <c r="C131" s="19"/>
      <c r="D131" s="19"/>
      <c r="E131" s="19"/>
      <c r="F131" s="19"/>
      <c r="G131" s="19"/>
    </row>
    <row r="132" spans="1:7" x14ac:dyDescent="0.3">
      <c r="A132" s="20"/>
      <c r="B132" s="19"/>
      <c r="C132" s="19"/>
      <c r="D132" s="19"/>
      <c r="E132" s="19"/>
      <c r="F132" s="19"/>
      <c r="G132" s="19"/>
    </row>
    <row r="133" spans="1:7" x14ac:dyDescent="0.3">
      <c r="A133" s="20"/>
      <c r="B133" s="19"/>
      <c r="C133" s="19"/>
      <c r="D133" s="19"/>
      <c r="E133" s="19"/>
      <c r="F133" s="19"/>
      <c r="G133" s="19"/>
    </row>
    <row r="134" spans="1:7" x14ac:dyDescent="0.3">
      <c r="A134" s="20"/>
      <c r="B134" s="19"/>
      <c r="C134" s="19"/>
      <c r="D134" s="19"/>
      <c r="E134" s="19"/>
      <c r="F134" s="19"/>
      <c r="G134" s="19"/>
    </row>
    <row r="135" spans="1:7" x14ac:dyDescent="0.3">
      <c r="A135" s="20"/>
      <c r="B135" s="19"/>
      <c r="C135" s="19"/>
      <c r="D135" s="19"/>
      <c r="E135" s="19"/>
      <c r="F135" s="19"/>
      <c r="G135" s="19"/>
    </row>
    <row r="136" spans="1:7" x14ac:dyDescent="0.3">
      <c r="A136" s="20"/>
      <c r="B136" s="19"/>
      <c r="C136" s="19"/>
      <c r="D136" s="19"/>
      <c r="E136" s="19"/>
      <c r="F136" s="19"/>
      <c r="G136" s="19"/>
    </row>
    <row r="137" spans="1:7" x14ac:dyDescent="0.3">
      <c r="A137" s="20"/>
      <c r="B137" s="19"/>
      <c r="C137" s="19"/>
      <c r="D137" s="19"/>
      <c r="E137" s="19"/>
      <c r="F137" s="19"/>
      <c r="G137" s="19"/>
    </row>
    <row r="138" spans="1:7" x14ac:dyDescent="0.3">
      <c r="A138" s="20"/>
      <c r="B138" s="19"/>
      <c r="C138" s="19"/>
      <c r="D138" s="19"/>
      <c r="E138" s="19"/>
      <c r="F138" s="19"/>
      <c r="G138" s="19"/>
    </row>
    <row r="139" spans="1:7" x14ac:dyDescent="0.3">
      <c r="A139" s="20"/>
      <c r="B139" s="19"/>
      <c r="C139" s="19"/>
      <c r="D139" s="19"/>
      <c r="E139" s="19"/>
      <c r="F139" s="19"/>
      <c r="G139" s="19"/>
    </row>
    <row r="140" spans="1:7" x14ac:dyDescent="0.3">
      <c r="A140" s="20"/>
      <c r="B140" s="19"/>
      <c r="C140" s="19"/>
      <c r="D140" s="19"/>
      <c r="E140" s="19"/>
      <c r="F140" s="19"/>
      <c r="G140" s="19"/>
    </row>
    <row r="141" spans="1:7" x14ac:dyDescent="0.3">
      <c r="A141" s="20"/>
      <c r="B141" s="19"/>
      <c r="C141" s="19"/>
      <c r="D141" s="19"/>
      <c r="E141" s="19"/>
      <c r="F141" s="19"/>
      <c r="G141" s="19"/>
    </row>
    <row r="142" spans="1:7" x14ac:dyDescent="0.3">
      <c r="A142" s="20"/>
      <c r="B142" s="19"/>
      <c r="C142" s="19"/>
      <c r="D142" s="19"/>
      <c r="E142" s="19"/>
      <c r="F142" s="19"/>
      <c r="G142" s="19"/>
    </row>
    <row r="143" spans="1:7" x14ac:dyDescent="0.3">
      <c r="A143" s="20"/>
      <c r="B143" s="19"/>
      <c r="C143" s="19"/>
      <c r="D143" s="19"/>
      <c r="E143" s="19"/>
      <c r="F143" s="19"/>
      <c r="G143" s="19"/>
    </row>
    <row r="144" spans="1:7" x14ac:dyDescent="0.3">
      <c r="A144" s="20"/>
      <c r="B144" s="19"/>
      <c r="C144" s="19"/>
      <c r="D144" s="19"/>
      <c r="E144" s="19"/>
      <c r="F144" s="19"/>
      <c r="G144" s="19"/>
    </row>
    <row r="145" spans="1:7" x14ac:dyDescent="0.3">
      <c r="A145" s="20"/>
      <c r="B145" s="19"/>
      <c r="C145" s="19"/>
      <c r="D145" s="19"/>
      <c r="E145" s="19"/>
      <c r="F145" s="19"/>
      <c r="G145" s="19"/>
    </row>
    <row r="146" spans="1:7" x14ac:dyDescent="0.3">
      <c r="A146" s="20"/>
      <c r="B146" s="19"/>
      <c r="C146" s="19"/>
      <c r="D146" s="19"/>
      <c r="E146" s="19"/>
      <c r="F146" s="19"/>
      <c r="G146" s="19"/>
    </row>
    <row r="147" spans="1:7" x14ac:dyDescent="0.3">
      <c r="A147" s="20"/>
      <c r="B147" s="19"/>
      <c r="C147" s="19"/>
      <c r="D147" s="19"/>
      <c r="E147" s="19"/>
      <c r="F147" s="19"/>
      <c r="G147" s="19"/>
    </row>
    <row r="148" spans="1:7" x14ac:dyDescent="0.3">
      <c r="A148" s="20"/>
      <c r="B148" s="19"/>
      <c r="C148" s="19"/>
      <c r="D148" s="19"/>
      <c r="E148" s="19"/>
      <c r="F148" s="19"/>
      <c r="G148" s="19"/>
    </row>
    <row r="149" spans="1:7" x14ac:dyDescent="0.3">
      <c r="A149" s="20"/>
      <c r="B149" s="19"/>
      <c r="C149" s="19"/>
      <c r="D149" s="19"/>
      <c r="E149" s="19"/>
      <c r="F149" s="19"/>
      <c r="G149" s="19"/>
    </row>
    <row r="150" spans="1:7" x14ac:dyDescent="0.3">
      <c r="A150" s="20"/>
      <c r="B150" s="19"/>
      <c r="C150" s="19"/>
      <c r="D150" s="19"/>
      <c r="E150" s="19"/>
      <c r="F150" s="19"/>
      <c r="G150" s="19"/>
    </row>
    <row r="151" spans="1:7" x14ac:dyDescent="0.3">
      <c r="A151" s="20"/>
      <c r="B151" s="19"/>
      <c r="C151" s="19"/>
      <c r="D151" s="19"/>
      <c r="E151" s="19"/>
      <c r="F151" s="19"/>
      <c r="G151" s="19"/>
    </row>
    <row r="152" spans="1:7" x14ac:dyDescent="0.3">
      <c r="A152" s="20"/>
      <c r="B152" s="19"/>
      <c r="C152" s="19"/>
      <c r="D152" s="19"/>
      <c r="E152" s="19"/>
      <c r="F152" s="19"/>
      <c r="G152" s="19"/>
    </row>
    <row r="153" spans="1:7" x14ac:dyDescent="0.3">
      <c r="A153" s="20"/>
      <c r="B153" s="19"/>
      <c r="C153" s="19"/>
      <c r="D153" s="19"/>
      <c r="E153" s="19"/>
      <c r="F153" s="19"/>
      <c r="G153" s="19"/>
    </row>
    <row r="154" spans="1:7" x14ac:dyDescent="0.3">
      <c r="A154" s="20"/>
      <c r="B154" s="19"/>
      <c r="C154" s="19"/>
      <c r="D154" s="19"/>
      <c r="E154" s="19"/>
      <c r="F154" s="19"/>
      <c r="G154" s="19"/>
    </row>
    <row r="155" spans="1:7" x14ac:dyDescent="0.3">
      <c r="A155" s="20"/>
      <c r="B155" s="19"/>
      <c r="C155" s="19"/>
      <c r="D155" s="19"/>
      <c r="E155" s="19"/>
      <c r="F155" s="19"/>
      <c r="G155" s="19"/>
    </row>
    <row r="156" spans="1:7" x14ac:dyDescent="0.3">
      <c r="A156" s="20"/>
      <c r="B156" s="19"/>
      <c r="C156" s="19"/>
      <c r="D156" s="19"/>
      <c r="E156" s="19"/>
      <c r="F156" s="19"/>
      <c r="G156" s="19"/>
    </row>
    <row r="157" spans="1:7" x14ac:dyDescent="0.3">
      <c r="A157" s="20"/>
      <c r="B157" s="19"/>
      <c r="C157" s="19"/>
      <c r="D157" s="19"/>
      <c r="E157" s="19"/>
      <c r="F157" s="19"/>
      <c r="G157" s="19"/>
    </row>
    <row r="158" spans="1:7" x14ac:dyDescent="0.3">
      <c r="A158" s="20"/>
      <c r="B158" s="19"/>
      <c r="C158" s="19"/>
      <c r="D158" s="19"/>
      <c r="E158" s="19"/>
      <c r="F158" s="19"/>
      <c r="G158" s="19"/>
    </row>
    <row r="159" spans="1:7" x14ac:dyDescent="0.3">
      <c r="A159" s="20"/>
      <c r="B159" s="19"/>
      <c r="C159" s="19"/>
      <c r="D159" s="19"/>
      <c r="E159" s="19"/>
      <c r="F159" s="19"/>
      <c r="G159" s="19"/>
    </row>
    <row r="160" spans="1:7" x14ac:dyDescent="0.3">
      <c r="A160" s="20"/>
      <c r="B160" s="19"/>
      <c r="C160" s="19"/>
      <c r="D160" s="19"/>
      <c r="E160" s="19"/>
      <c r="F160" s="19"/>
      <c r="G160" s="19"/>
    </row>
    <row r="161" spans="1:7" x14ac:dyDescent="0.3">
      <c r="A161" s="20"/>
      <c r="B161" s="19"/>
      <c r="C161" s="19"/>
      <c r="D161" s="19"/>
      <c r="E161" s="19"/>
      <c r="F161" s="19"/>
      <c r="G161" s="19"/>
    </row>
    <row r="162" spans="1:7" x14ac:dyDescent="0.3">
      <c r="A162" s="20"/>
      <c r="B162" s="19"/>
      <c r="C162" s="19"/>
      <c r="D162" s="19"/>
      <c r="E162" s="19"/>
      <c r="F162" s="19"/>
      <c r="G162" s="19"/>
    </row>
    <row r="163" spans="1:7" x14ac:dyDescent="0.3">
      <c r="A163" s="20"/>
      <c r="B163" s="19"/>
      <c r="C163" s="19"/>
      <c r="D163" s="19"/>
      <c r="E163" s="19"/>
      <c r="F163" s="19"/>
      <c r="G163" s="19"/>
    </row>
    <row r="164" spans="1:7" x14ac:dyDescent="0.3">
      <c r="A164" s="20"/>
      <c r="B164" s="19"/>
      <c r="C164" s="19"/>
      <c r="D164" s="19"/>
      <c r="E164" s="19"/>
      <c r="F164" s="19"/>
      <c r="G164" s="19"/>
    </row>
    <row r="165" spans="1:7" x14ac:dyDescent="0.3">
      <c r="A165" s="20"/>
      <c r="B165" s="19"/>
      <c r="C165" s="19"/>
      <c r="D165" s="19"/>
      <c r="E165" s="19"/>
      <c r="F165" s="19"/>
      <c r="G165" s="19"/>
    </row>
    <row r="166" spans="1:7" x14ac:dyDescent="0.3">
      <c r="A166" s="20"/>
      <c r="B166" s="19"/>
      <c r="C166" s="19"/>
      <c r="D166" s="19"/>
      <c r="E166" s="19"/>
      <c r="F166" s="19"/>
      <c r="G166" s="19"/>
    </row>
    <row r="167" spans="1:7" x14ac:dyDescent="0.3">
      <c r="A167" s="20"/>
      <c r="B167" s="19"/>
      <c r="C167" s="19"/>
      <c r="D167" s="19"/>
      <c r="E167" s="19"/>
      <c r="F167" s="19"/>
      <c r="G167" s="19"/>
    </row>
    <row r="168" spans="1:7" x14ac:dyDescent="0.3">
      <c r="A168" s="20"/>
      <c r="B168" s="19"/>
      <c r="C168" s="19"/>
      <c r="D168" s="19"/>
      <c r="E168" s="19"/>
      <c r="F168" s="19"/>
      <c r="G168" s="19"/>
    </row>
    <row r="169" spans="1:7" x14ac:dyDescent="0.3">
      <c r="A169" s="20"/>
      <c r="B169" s="19"/>
      <c r="C169" s="19"/>
      <c r="D169" s="19"/>
      <c r="E169" s="19"/>
      <c r="F169" s="19"/>
      <c r="G169" s="19"/>
    </row>
    <row r="170" spans="1:7" x14ac:dyDescent="0.3">
      <c r="A170" s="20"/>
      <c r="B170" s="19"/>
      <c r="C170" s="19"/>
      <c r="D170" s="19"/>
      <c r="E170" s="19"/>
      <c r="F170" s="19"/>
      <c r="G170" s="19"/>
    </row>
    <row r="171" spans="1:7" x14ac:dyDescent="0.3">
      <c r="A171" s="20"/>
      <c r="B171" s="19"/>
      <c r="C171" s="19"/>
      <c r="D171" s="19"/>
      <c r="E171" s="19"/>
      <c r="F171" s="19"/>
      <c r="G171" s="19"/>
    </row>
    <row r="172" spans="1:7" x14ac:dyDescent="0.3">
      <c r="A172" s="20"/>
      <c r="B172" s="19"/>
      <c r="C172" s="19"/>
      <c r="D172" s="19"/>
      <c r="E172" s="19"/>
      <c r="F172" s="19"/>
      <c r="G172" s="19"/>
    </row>
    <row r="173" spans="1:7" x14ac:dyDescent="0.3">
      <c r="A173" s="20"/>
      <c r="B173" s="19"/>
      <c r="C173" s="19"/>
      <c r="D173" s="19"/>
      <c r="E173" s="19"/>
      <c r="F173" s="19"/>
      <c r="G173" s="19"/>
    </row>
    <row r="174" spans="1:7" x14ac:dyDescent="0.3">
      <c r="A174" s="20"/>
      <c r="B174" s="19"/>
      <c r="C174" s="19"/>
      <c r="D174" s="19"/>
      <c r="E174" s="19"/>
      <c r="F174" s="19"/>
      <c r="G174" s="19"/>
    </row>
    <row r="175" spans="1:7" x14ac:dyDescent="0.3">
      <c r="A175" s="20"/>
      <c r="B175" s="19"/>
      <c r="C175" s="19"/>
      <c r="D175" s="19"/>
      <c r="E175" s="19"/>
      <c r="F175" s="19"/>
      <c r="G175" s="19"/>
    </row>
    <row r="176" spans="1:7" x14ac:dyDescent="0.3">
      <c r="A176" s="20"/>
      <c r="B176" s="19"/>
      <c r="C176" s="19"/>
      <c r="D176" s="19"/>
      <c r="E176" s="19"/>
      <c r="F176" s="19"/>
      <c r="G176" s="19"/>
    </row>
    <row r="177" spans="1:7" x14ac:dyDescent="0.3">
      <c r="A177" s="20"/>
      <c r="B177" s="19"/>
      <c r="C177" s="19"/>
      <c r="D177" s="19"/>
      <c r="E177" s="19"/>
      <c r="F177" s="19"/>
      <c r="G177" s="19"/>
    </row>
    <row r="178" spans="1:7" x14ac:dyDescent="0.3">
      <c r="A178" s="20"/>
      <c r="B178" s="19"/>
      <c r="C178" s="19"/>
      <c r="D178" s="19"/>
      <c r="E178" s="19"/>
      <c r="F178" s="19"/>
      <c r="G178" s="19"/>
    </row>
    <row r="179" spans="1:7" x14ac:dyDescent="0.3">
      <c r="A179" s="20"/>
      <c r="B179" s="19"/>
      <c r="C179" s="19"/>
      <c r="D179" s="19"/>
      <c r="E179" s="19"/>
      <c r="F179" s="19"/>
      <c r="G179" s="19"/>
    </row>
    <row r="180" spans="1:7" x14ac:dyDescent="0.3">
      <c r="A180" s="20"/>
      <c r="B180" s="19"/>
      <c r="C180" s="19"/>
      <c r="D180" s="19"/>
      <c r="E180" s="19"/>
      <c r="F180" s="19"/>
      <c r="G180" s="19"/>
    </row>
    <row r="181" spans="1:7" x14ac:dyDescent="0.3">
      <c r="A181" s="20"/>
      <c r="B181" s="19"/>
      <c r="C181" s="19"/>
      <c r="D181" s="19"/>
      <c r="E181" s="19"/>
      <c r="F181" s="19"/>
      <c r="G181" s="19"/>
    </row>
    <row r="182" spans="1:7" x14ac:dyDescent="0.3">
      <c r="A182" s="20"/>
      <c r="B182" s="19"/>
      <c r="C182" s="19"/>
      <c r="D182" s="19"/>
      <c r="E182" s="19"/>
      <c r="F182" s="19"/>
      <c r="G182" s="19"/>
    </row>
    <row r="183" spans="1:7" x14ac:dyDescent="0.3">
      <c r="A183" s="20"/>
      <c r="B183" s="19"/>
      <c r="C183" s="19"/>
      <c r="D183" s="19"/>
      <c r="E183" s="19"/>
      <c r="F183" s="19"/>
      <c r="G183" s="19"/>
    </row>
    <row r="184" spans="1:7" x14ac:dyDescent="0.3">
      <c r="A184" s="20"/>
      <c r="B184" s="19"/>
      <c r="C184" s="19"/>
      <c r="D184" s="19"/>
      <c r="E184" s="19"/>
      <c r="F184" s="19"/>
      <c r="G184" s="19"/>
    </row>
    <row r="185" spans="1:7" x14ac:dyDescent="0.3">
      <c r="A185" s="20"/>
      <c r="B185" s="19"/>
      <c r="C185" s="19"/>
      <c r="D185" s="19"/>
      <c r="E185" s="19"/>
      <c r="F185" s="19"/>
      <c r="G185" s="19"/>
    </row>
    <row r="186" spans="1:7" x14ac:dyDescent="0.3">
      <c r="A186" s="20"/>
      <c r="B186" s="19"/>
      <c r="C186" s="19"/>
      <c r="D186" s="19"/>
      <c r="E186" s="19"/>
      <c r="F186" s="19"/>
      <c r="G186" s="19"/>
    </row>
    <row r="187" spans="1:7" x14ac:dyDescent="0.3">
      <c r="A187" s="20"/>
      <c r="B187" s="19"/>
      <c r="C187" s="19"/>
      <c r="D187" s="19"/>
      <c r="E187" s="19"/>
      <c r="F187" s="19"/>
      <c r="G187" s="19"/>
    </row>
    <row r="188" spans="1:7" x14ac:dyDescent="0.3">
      <c r="A188" s="20"/>
      <c r="B188" s="19"/>
      <c r="C188" s="19"/>
      <c r="D188" s="19"/>
      <c r="E188" s="19"/>
      <c r="F188" s="19"/>
      <c r="G188" s="19"/>
    </row>
    <row r="189" spans="1:7" x14ac:dyDescent="0.3">
      <c r="A189" s="20"/>
      <c r="B189" s="19"/>
      <c r="C189" s="19"/>
      <c r="D189" s="19"/>
      <c r="E189" s="19"/>
      <c r="F189" s="19"/>
      <c r="G189" s="19"/>
    </row>
    <row r="190" spans="1:7" x14ac:dyDescent="0.3">
      <c r="A190" s="20"/>
      <c r="B190" s="19"/>
      <c r="C190" s="19"/>
      <c r="D190" s="19"/>
      <c r="E190" s="19"/>
      <c r="F190" s="19"/>
      <c r="G190" s="19"/>
    </row>
    <row r="191" spans="1:7" x14ac:dyDescent="0.3">
      <c r="A191" s="20"/>
      <c r="B191" s="19"/>
      <c r="C191" s="19"/>
      <c r="D191" s="19"/>
      <c r="E191" s="19"/>
      <c r="F191" s="19"/>
      <c r="G191" s="19"/>
    </row>
    <row r="192" spans="1:7" x14ac:dyDescent="0.3">
      <c r="A192" s="20"/>
      <c r="B192" s="19"/>
      <c r="C192" s="19"/>
      <c r="D192" s="19"/>
      <c r="E192" s="19"/>
      <c r="F192" s="19"/>
      <c r="G192" s="19"/>
    </row>
    <row r="193" spans="1:7" x14ac:dyDescent="0.3">
      <c r="A193" s="20"/>
      <c r="B193" s="19"/>
      <c r="C193" s="19"/>
      <c r="D193" s="19"/>
      <c r="E193" s="19"/>
      <c r="F193" s="19"/>
      <c r="G193" s="19"/>
    </row>
    <row r="194" spans="1:7" x14ac:dyDescent="0.3">
      <c r="A194" s="20"/>
      <c r="B194" s="19"/>
      <c r="C194" s="19"/>
      <c r="D194" s="19"/>
      <c r="E194" s="19"/>
      <c r="F194" s="19"/>
      <c r="G194" s="19"/>
    </row>
    <row r="195" spans="1:7" x14ac:dyDescent="0.3">
      <c r="A195" s="20"/>
      <c r="B195" s="19"/>
      <c r="C195" s="19"/>
      <c r="D195" s="19"/>
      <c r="E195" s="19"/>
      <c r="F195" s="19"/>
      <c r="G195" s="19"/>
    </row>
    <row r="196" spans="1:7" x14ac:dyDescent="0.3">
      <c r="A196" s="20"/>
      <c r="B196" s="19"/>
      <c r="C196" s="19"/>
      <c r="D196" s="19"/>
      <c r="E196" s="19"/>
      <c r="F196" s="19"/>
      <c r="G196" s="19"/>
    </row>
    <row r="197" spans="1:7" x14ac:dyDescent="0.3">
      <c r="A197" s="20"/>
      <c r="B197" s="19"/>
      <c r="C197" s="19"/>
      <c r="D197" s="19"/>
      <c r="E197" s="19"/>
      <c r="F197" s="19"/>
      <c r="G197" s="19"/>
    </row>
    <row r="198" spans="1:7" x14ac:dyDescent="0.3">
      <c r="A198" s="20"/>
      <c r="B198" s="19"/>
      <c r="C198" s="19"/>
      <c r="D198" s="19"/>
      <c r="E198" s="19"/>
      <c r="F198" s="19"/>
      <c r="G198" s="19"/>
    </row>
    <row r="199" spans="1:7" x14ac:dyDescent="0.3">
      <c r="A199" s="20"/>
      <c r="B199" s="19"/>
      <c r="C199" s="19"/>
      <c r="D199" s="19"/>
      <c r="E199" s="19"/>
      <c r="F199" s="19"/>
      <c r="G199" s="19"/>
    </row>
    <row r="200" spans="1:7" x14ac:dyDescent="0.3">
      <c r="A200" s="20"/>
      <c r="B200" s="19"/>
      <c r="C200" s="19"/>
      <c r="D200" s="19"/>
      <c r="E200" s="19"/>
      <c r="F200" s="19"/>
      <c r="G200" s="19"/>
    </row>
    <row r="201" spans="1:7" x14ac:dyDescent="0.3">
      <c r="A201" s="20"/>
      <c r="B201" s="19"/>
      <c r="C201" s="19"/>
      <c r="D201" s="19"/>
      <c r="E201" s="19"/>
      <c r="F201" s="19"/>
      <c r="G201" s="19"/>
    </row>
    <row r="202" spans="1:7" x14ac:dyDescent="0.3">
      <c r="A202" s="20"/>
      <c r="B202" s="19"/>
      <c r="C202" s="19"/>
      <c r="D202" s="19"/>
      <c r="E202" s="19"/>
      <c r="F202" s="19"/>
      <c r="G202" s="19"/>
    </row>
    <row r="203" spans="1:7" x14ac:dyDescent="0.3">
      <c r="A203" s="20"/>
      <c r="B203" s="19"/>
      <c r="C203" s="19"/>
      <c r="D203" s="19"/>
      <c r="E203" s="19"/>
      <c r="F203" s="19"/>
      <c r="G203" s="19"/>
    </row>
    <row r="204" spans="1:7" x14ac:dyDescent="0.3">
      <c r="A204" s="20"/>
      <c r="B204" s="19"/>
      <c r="C204" s="19"/>
      <c r="D204" s="19"/>
      <c r="E204" s="19"/>
      <c r="F204" s="19"/>
      <c r="G204" s="19"/>
    </row>
    <row r="205" spans="1:7" x14ac:dyDescent="0.3">
      <c r="A205" s="20"/>
      <c r="B205" s="19"/>
      <c r="C205" s="19"/>
      <c r="D205" s="19"/>
      <c r="E205" s="19"/>
      <c r="F205" s="19"/>
      <c r="G205" s="19"/>
    </row>
    <row r="206" spans="1:7" x14ac:dyDescent="0.3">
      <c r="A206" s="20"/>
      <c r="B206" s="19"/>
      <c r="C206" s="19"/>
      <c r="D206" s="19"/>
      <c r="E206" s="19"/>
      <c r="F206" s="19"/>
      <c r="G206" s="19"/>
    </row>
    <row r="207" spans="1:7" x14ac:dyDescent="0.3">
      <c r="A207" s="20"/>
      <c r="B207" s="19"/>
      <c r="C207" s="19"/>
      <c r="D207" s="19"/>
      <c r="E207" s="19"/>
      <c r="F207" s="19"/>
      <c r="G207" s="19"/>
    </row>
    <row r="208" spans="1:7" x14ac:dyDescent="0.3">
      <c r="A208" s="20"/>
      <c r="B208" s="19"/>
      <c r="C208" s="19"/>
      <c r="D208" s="19"/>
      <c r="E208" s="19"/>
      <c r="F208" s="19"/>
      <c r="G208" s="19"/>
    </row>
    <row r="209" spans="1:7" x14ac:dyDescent="0.3">
      <c r="A209" s="20"/>
      <c r="B209" s="19"/>
      <c r="C209" s="19"/>
      <c r="D209" s="19"/>
      <c r="E209" s="19"/>
      <c r="F209" s="19"/>
      <c r="G209" s="19"/>
    </row>
    <row r="210" spans="1:7" x14ac:dyDescent="0.3">
      <c r="A210" s="20"/>
      <c r="B210" s="19"/>
      <c r="C210" s="19"/>
      <c r="D210" s="19"/>
      <c r="E210" s="19"/>
      <c r="F210" s="19"/>
      <c r="G210" s="19"/>
    </row>
    <row r="211" spans="1:7" x14ac:dyDescent="0.3">
      <c r="A211" s="20"/>
      <c r="B211" s="19"/>
      <c r="C211" s="19"/>
      <c r="D211" s="19"/>
      <c r="E211" s="19"/>
      <c r="F211" s="19"/>
      <c r="G211" s="19"/>
    </row>
    <row r="212" spans="1:7" x14ac:dyDescent="0.3">
      <c r="A212" s="20"/>
      <c r="B212" s="19"/>
      <c r="C212" s="19"/>
      <c r="D212" s="19"/>
      <c r="E212" s="19"/>
      <c r="F212" s="19"/>
      <c r="G212" s="19"/>
    </row>
    <row r="213" spans="1:7" x14ac:dyDescent="0.3">
      <c r="A213" s="20"/>
      <c r="B213" s="19"/>
      <c r="C213" s="19"/>
      <c r="D213" s="19"/>
      <c r="E213" s="19"/>
      <c r="F213" s="19"/>
      <c r="G213" s="19"/>
    </row>
    <row r="214" spans="1:7" x14ac:dyDescent="0.3">
      <c r="A214" s="20"/>
      <c r="B214" s="19"/>
      <c r="C214" s="19"/>
      <c r="D214" s="19"/>
      <c r="E214" s="19"/>
      <c r="F214" s="19"/>
      <c r="G214" s="19"/>
    </row>
    <row r="215" spans="1:7" x14ac:dyDescent="0.3">
      <c r="A215" s="20"/>
      <c r="B215" s="19"/>
      <c r="C215" s="19"/>
      <c r="D215" s="19"/>
      <c r="E215" s="19"/>
      <c r="F215" s="19"/>
      <c r="G215" s="19"/>
    </row>
    <row r="216" spans="1:7" x14ac:dyDescent="0.3">
      <c r="A216" s="20"/>
      <c r="B216" s="19"/>
      <c r="C216" s="19"/>
      <c r="D216" s="19"/>
      <c r="E216" s="19"/>
      <c r="F216" s="19"/>
      <c r="G216" s="19"/>
    </row>
    <row r="217" spans="1:7" x14ac:dyDescent="0.3">
      <c r="A217" s="20"/>
      <c r="B217" s="19"/>
      <c r="C217" s="19"/>
      <c r="D217" s="19"/>
      <c r="E217" s="19"/>
      <c r="F217" s="19"/>
      <c r="G217" s="19"/>
    </row>
    <row r="218" spans="1:7" x14ac:dyDescent="0.3">
      <c r="A218" s="20"/>
      <c r="B218" s="19"/>
      <c r="C218" s="19"/>
      <c r="D218" s="19"/>
      <c r="E218" s="19"/>
      <c r="F218" s="19"/>
      <c r="G218" s="19"/>
    </row>
    <row r="219" spans="1:7" x14ac:dyDescent="0.3">
      <c r="A219" s="20"/>
      <c r="B219" s="19"/>
      <c r="C219" s="19"/>
      <c r="D219" s="19"/>
      <c r="E219" s="19"/>
      <c r="F219" s="19"/>
      <c r="G219" s="19"/>
    </row>
    <row r="220" spans="1:7" x14ac:dyDescent="0.3">
      <c r="A220" s="20"/>
      <c r="B220" s="19"/>
      <c r="C220" s="19"/>
      <c r="D220" s="19"/>
      <c r="E220" s="19"/>
      <c r="F220" s="19"/>
      <c r="G220" s="19"/>
    </row>
    <row r="221" spans="1:7" x14ac:dyDescent="0.3">
      <c r="A221" s="20"/>
      <c r="B221" s="19"/>
      <c r="C221" s="19"/>
      <c r="D221" s="19"/>
      <c r="E221" s="19"/>
      <c r="F221" s="19"/>
      <c r="G221" s="19"/>
    </row>
    <row r="222" spans="1:7" x14ac:dyDescent="0.3">
      <c r="A222" s="20"/>
      <c r="B222" s="19"/>
      <c r="C222" s="19"/>
      <c r="D222" s="19"/>
      <c r="E222" s="19"/>
      <c r="F222" s="19"/>
      <c r="G222" s="19"/>
    </row>
    <row r="223" spans="1:7" x14ac:dyDescent="0.3">
      <c r="A223" s="20"/>
      <c r="B223" s="19"/>
      <c r="C223" s="19"/>
      <c r="D223" s="19"/>
      <c r="E223" s="19"/>
      <c r="F223" s="19"/>
      <c r="G223" s="19"/>
    </row>
    <row r="224" spans="1:7" x14ac:dyDescent="0.3">
      <c r="A224" s="20"/>
      <c r="B224" s="19"/>
      <c r="C224" s="19"/>
      <c r="D224" s="19"/>
      <c r="E224" s="19"/>
      <c r="F224" s="19"/>
      <c r="G224" s="19"/>
    </row>
    <row r="225" spans="1:7" x14ac:dyDescent="0.3">
      <c r="A225" s="20"/>
      <c r="B225" s="19"/>
      <c r="C225" s="19"/>
      <c r="D225" s="19"/>
      <c r="E225" s="19"/>
      <c r="F225" s="19"/>
      <c r="G225" s="19"/>
    </row>
    <row r="226" spans="1:7" x14ac:dyDescent="0.3">
      <c r="A226" s="20"/>
      <c r="B226" s="19"/>
      <c r="C226" s="19"/>
      <c r="D226" s="19"/>
      <c r="E226" s="19"/>
      <c r="F226" s="19"/>
      <c r="G226" s="19"/>
    </row>
    <row r="227" spans="1:7" x14ac:dyDescent="0.3">
      <c r="A227" s="20"/>
      <c r="B227" s="19"/>
      <c r="C227" s="19"/>
      <c r="D227" s="19"/>
      <c r="E227" s="19"/>
      <c r="F227" s="19"/>
      <c r="G227" s="19"/>
    </row>
    <row r="228" spans="1:7" x14ac:dyDescent="0.3">
      <c r="A228" s="20"/>
      <c r="B228" s="19"/>
      <c r="C228" s="19"/>
      <c r="D228" s="19"/>
      <c r="E228" s="19"/>
      <c r="F228" s="19"/>
      <c r="G228" s="19"/>
    </row>
    <row r="229" spans="1:7" x14ac:dyDescent="0.3">
      <c r="A229" s="20"/>
      <c r="B229" s="19"/>
      <c r="C229" s="19"/>
      <c r="D229" s="19"/>
      <c r="E229" s="19"/>
      <c r="F229" s="19"/>
      <c r="G229" s="19"/>
    </row>
    <row r="230" spans="1:7" x14ac:dyDescent="0.3">
      <c r="A230" s="20"/>
      <c r="B230" s="19"/>
      <c r="C230" s="19"/>
      <c r="D230" s="19"/>
      <c r="E230" s="19"/>
      <c r="F230" s="19"/>
      <c r="G230" s="19"/>
    </row>
    <row r="231" spans="1:7" x14ac:dyDescent="0.3">
      <c r="A231" s="20"/>
      <c r="B231" s="19"/>
      <c r="C231" s="19"/>
      <c r="D231" s="19"/>
      <c r="E231" s="19"/>
      <c r="F231" s="19"/>
      <c r="G231" s="19"/>
    </row>
    <row r="232" spans="1:7" x14ac:dyDescent="0.3">
      <c r="A232" s="20"/>
      <c r="B232" s="19"/>
      <c r="C232" s="19"/>
      <c r="D232" s="19"/>
      <c r="E232" s="19"/>
      <c r="F232" s="19"/>
      <c r="G232" s="19"/>
    </row>
    <row r="233" spans="1:7" x14ac:dyDescent="0.3">
      <c r="A233" s="20"/>
      <c r="B233" s="19"/>
      <c r="C233" s="19"/>
      <c r="D233" s="19"/>
      <c r="E233" s="19"/>
      <c r="F233" s="19"/>
      <c r="G233" s="19"/>
    </row>
    <row r="234" spans="1:7" x14ac:dyDescent="0.3">
      <c r="A234" s="20"/>
      <c r="B234" s="19"/>
      <c r="C234" s="19"/>
      <c r="D234" s="19"/>
      <c r="E234" s="19"/>
      <c r="F234" s="19"/>
      <c r="G234" s="19"/>
    </row>
    <row r="235" spans="1:7" x14ac:dyDescent="0.3">
      <c r="A235" s="20"/>
      <c r="B235" s="19"/>
      <c r="C235" s="19"/>
      <c r="D235" s="19"/>
      <c r="E235" s="19"/>
      <c r="F235" s="19"/>
      <c r="G235" s="19"/>
    </row>
    <row r="236" spans="1:7" x14ac:dyDescent="0.3">
      <c r="A236" s="20"/>
      <c r="B236" s="19"/>
      <c r="C236" s="19"/>
      <c r="D236" s="19"/>
      <c r="E236" s="19"/>
      <c r="F236" s="19"/>
      <c r="G236" s="19"/>
    </row>
    <row r="237" spans="1:7" x14ac:dyDescent="0.3">
      <c r="A237" s="20"/>
      <c r="B237" s="19"/>
      <c r="C237" s="19"/>
      <c r="D237" s="19"/>
      <c r="E237" s="19"/>
      <c r="F237" s="19"/>
      <c r="G237" s="19"/>
    </row>
    <row r="238" spans="1:7" x14ac:dyDescent="0.3">
      <c r="A238" s="20"/>
      <c r="B238" s="19"/>
      <c r="C238" s="19"/>
      <c r="D238" s="19"/>
      <c r="E238" s="19"/>
      <c r="F238" s="19"/>
      <c r="G238" s="19"/>
    </row>
    <row r="239" spans="1:7" x14ac:dyDescent="0.3">
      <c r="A239" s="20"/>
      <c r="B239" s="19"/>
      <c r="C239" s="19"/>
      <c r="D239" s="19"/>
      <c r="E239" s="19"/>
      <c r="F239" s="19"/>
      <c r="G239" s="19"/>
    </row>
    <row r="240" spans="1:7" x14ac:dyDescent="0.3">
      <c r="A240" s="20"/>
      <c r="B240" s="19"/>
      <c r="C240" s="19"/>
      <c r="D240" s="19"/>
      <c r="E240" s="19"/>
      <c r="F240" s="19"/>
      <c r="G240" s="19"/>
    </row>
    <row r="241" spans="1:7" x14ac:dyDescent="0.3">
      <c r="A241" s="20"/>
      <c r="B241" s="19"/>
      <c r="C241" s="19"/>
      <c r="D241" s="19"/>
      <c r="E241" s="19"/>
      <c r="F241" s="19"/>
      <c r="G241" s="19"/>
    </row>
    <row r="242" spans="1:7" x14ac:dyDescent="0.3">
      <c r="A242" s="20"/>
      <c r="B242" s="19"/>
      <c r="C242" s="19"/>
      <c r="D242" s="19"/>
      <c r="E242" s="19"/>
      <c r="F242" s="19"/>
      <c r="G242" s="19"/>
    </row>
    <row r="243" spans="1:7" x14ac:dyDescent="0.3">
      <c r="A243" s="20"/>
      <c r="B243" s="19"/>
      <c r="C243" s="19"/>
      <c r="D243" s="19"/>
      <c r="E243" s="19"/>
      <c r="F243" s="19"/>
      <c r="G243" s="19"/>
    </row>
    <row r="244" spans="1:7" x14ac:dyDescent="0.3">
      <c r="A244" s="20"/>
      <c r="B244" s="19"/>
      <c r="C244" s="19"/>
      <c r="D244" s="19"/>
      <c r="E244" s="19"/>
      <c r="F244" s="19"/>
      <c r="G244" s="19"/>
    </row>
    <row r="245" spans="1:7" x14ac:dyDescent="0.3">
      <c r="A245" s="20"/>
      <c r="B245" s="19"/>
      <c r="C245" s="19"/>
      <c r="D245" s="19"/>
      <c r="E245" s="19"/>
      <c r="F245" s="19"/>
      <c r="G245" s="19"/>
    </row>
    <row r="246" spans="1:7" x14ac:dyDescent="0.3">
      <c r="A246" s="20"/>
      <c r="B246" s="19"/>
      <c r="C246" s="19"/>
      <c r="D246" s="19"/>
      <c r="E246" s="19"/>
      <c r="F246" s="19"/>
      <c r="G246" s="19"/>
    </row>
    <row r="247" spans="1:7" x14ac:dyDescent="0.3">
      <c r="A247" s="20"/>
      <c r="B247" s="19"/>
      <c r="C247" s="19"/>
      <c r="D247" s="19"/>
      <c r="E247" s="19"/>
      <c r="F247" s="19"/>
      <c r="G247" s="19"/>
    </row>
    <row r="248" spans="1:7" x14ac:dyDescent="0.3">
      <c r="A248" s="20"/>
      <c r="B248" s="19"/>
      <c r="C248" s="19"/>
      <c r="D248" s="19"/>
      <c r="E248" s="19"/>
      <c r="F248" s="19"/>
      <c r="G248" s="19"/>
    </row>
    <row r="249" spans="1:7" x14ac:dyDescent="0.3">
      <c r="A249" s="20"/>
      <c r="B249" s="19"/>
      <c r="C249" s="19"/>
      <c r="D249" s="19"/>
      <c r="E249" s="19"/>
      <c r="F249" s="19"/>
      <c r="G249" s="19"/>
    </row>
    <row r="250" spans="1:7" x14ac:dyDescent="0.3">
      <c r="A250" s="20"/>
      <c r="B250" s="19"/>
      <c r="C250" s="19"/>
      <c r="D250" s="19"/>
      <c r="E250" s="19"/>
      <c r="F250" s="19"/>
      <c r="G250" s="19"/>
    </row>
    <row r="251" spans="1:7" x14ac:dyDescent="0.3">
      <c r="A251" s="20"/>
      <c r="B251" s="19"/>
      <c r="C251" s="19"/>
      <c r="D251" s="19"/>
      <c r="E251" s="19"/>
      <c r="F251" s="19"/>
      <c r="G251" s="19"/>
    </row>
    <row r="252" spans="1:7" x14ac:dyDescent="0.3">
      <c r="A252" s="20"/>
      <c r="B252" s="19"/>
      <c r="C252" s="19"/>
      <c r="D252" s="19"/>
      <c r="E252" s="19"/>
      <c r="F252" s="19"/>
      <c r="G252" s="19"/>
    </row>
    <row r="253" spans="1:7" x14ac:dyDescent="0.3">
      <c r="A253" s="20"/>
      <c r="B253" s="19"/>
      <c r="C253" s="19"/>
      <c r="D253" s="19"/>
      <c r="E253" s="19"/>
      <c r="F253" s="19"/>
      <c r="G253" s="19"/>
    </row>
    <row r="254" spans="1:7" x14ac:dyDescent="0.3">
      <c r="A254" s="20"/>
      <c r="B254" s="19"/>
      <c r="C254" s="19"/>
      <c r="D254" s="19"/>
      <c r="E254" s="19"/>
      <c r="F254" s="19"/>
      <c r="G254" s="19"/>
    </row>
    <row r="255" spans="1:7" x14ac:dyDescent="0.3">
      <c r="A255" s="20"/>
      <c r="B255" s="19"/>
      <c r="C255" s="19"/>
      <c r="D255" s="19"/>
      <c r="E255" s="19"/>
      <c r="F255" s="19"/>
      <c r="G255" s="19"/>
    </row>
    <row r="256" spans="1:7" x14ac:dyDescent="0.3">
      <c r="A256" s="20"/>
      <c r="B256" s="19"/>
      <c r="C256" s="19"/>
      <c r="D256" s="19"/>
      <c r="E256" s="19"/>
      <c r="F256" s="19"/>
      <c r="G256" s="19"/>
    </row>
    <row r="257" spans="1:7" x14ac:dyDescent="0.3">
      <c r="A257" s="20"/>
      <c r="B257" s="19"/>
      <c r="C257" s="19"/>
      <c r="D257" s="19"/>
      <c r="E257" s="19"/>
      <c r="F257" s="19"/>
      <c r="G257" s="19"/>
    </row>
    <row r="258" spans="1:7" x14ac:dyDescent="0.3">
      <c r="A258" s="20"/>
      <c r="B258" s="19"/>
      <c r="C258" s="19"/>
      <c r="D258" s="19"/>
      <c r="E258" s="19"/>
      <c r="F258" s="19"/>
      <c r="G258" s="19"/>
    </row>
    <row r="259" spans="1:7" x14ac:dyDescent="0.3">
      <c r="A259" s="20"/>
      <c r="B259" s="19"/>
      <c r="C259" s="19"/>
      <c r="D259" s="19"/>
      <c r="E259" s="19"/>
      <c r="F259" s="19"/>
      <c r="G259" s="19"/>
    </row>
    <row r="260" spans="1:7" x14ac:dyDescent="0.3">
      <c r="A260" s="20"/>
      <c r="B260" s="19"/>
      <c r="C260" s="19"/>
      <c r="D260" s="19"/>
      <c r="E260" s="19"/>
      <c r="F260" s="19"/>
      <c r="G260" s="19"/>
    </row>
    <row r="261" spans="1:7" x14ac:dyDescent="0.3">
      <c r="A261" s="20"/>
      <c r="B261" s="19"/>
      <c r="C261" s="19"/>
      <c r="D261" s="19"/>
      <c r="E261" s="19"/>
      <c r="F261" s="19"/>
      <c r="G261" s="19"/>
    </row>
    <row r="262" spans="1:7" x14ac:dyDescent="0.3">
      <c r="A262" s="20"/>
      <c r="B262" s="19"/>
      <c r="C262" s="19"/>
      <c r="D262" s="19"/>
      <c r="E262" s="19"/>
      <c r="F262" s="19"/>
      <c r="G262" s="19"/>
    </row>
    <row r="263" spans="1:7" x14ac:dyDescent="0.3">
      <c r="A263" s="20"/>
      <c r="B263" s="19"/>
      <c r="C263" s="19"/>
      <c r="D263" s="19"/>
      <c r="E263" s="19"/>
      <c r="F263" s="19"/>
      <c r="G263" s="19"/>
    </row>
    <row r="264" spans="1:7" x14ac:dyDescent="0.3">
      <c r="A264" s="20"/>
      <c r="B264" s="19"/>
      <c r="C264" s="19"/>
      <c r="D264" s="19"/>
      <c r="E264" s="19"/>
      <c r="F264" s="19"/>
      <c r="G264" s="19"/>
    </row>
    <row r="265" spans="1:7" x14ac:dyDescent="0.3">
      <c r="A265" s="20"/>
      <c r="B265" s="19"/>
      <c r="C265" s="19"/>
      <c r="D265" s="19"/>
      <c r="E265" s="19"/>
      <c r="F265" s="19"/>
      <c r="G265" s="19"/>
    </row>
    <row r="266" spans="1:7" x14ac:dyDescent="0.3">
      <c r="A266" s="20"/>
      <c r="B266" s="19"/>
      <c r="C266" s="19"/>
      <c r="D266" s="19"/>
      <c r="E266" s="19"/>
      <c r="F266" s="19"/>
      <c r="G266" s="19"/>
    </row>
    <row r="267" spans="1:7" x14ac:dyDescent="0.3">
      <c r="A267" s="20"/>
      <c r="B267" s="19"/>
      <c r="C267" s="19"/>
      <c r="D267" s="19"/>
      <c r="E267" s="19"/>
      <c r="F267" s="19"/>
      <c r="G267" s="19"/>
    </row>
    <row r="268" spans="1:7" x14ac:dyDescent="0.3">
      <c r="A268" s="20"/>
      <c r="B268" s="19"/>
      <c r="C268" s="19"/>
      <c r="D268" s="19"/>
      <c r="E268" s="19"/>
      <c r="F268" s="19"/>
      <c r="G268" s="19"/>
    </row>
    <row r="269" spans="1:7" x14ac:dyDescent="0.3">
      <c r="A269" s="20"/>
      <c r="B269" s="19"/>
      <c r="C269" s="19"/>
      <c r="D269" s="19"/>
      <c r="E269" s="19"/>
      <c r="F269" s="19"/>
      <c r="G269" s="19"/>
    </row>
    <row r="270" spans="1:7" x14ac:dyDescent="0.3">
      <c r="A270" s="20"/>
      <c r="B270" s="19"/>
      <c r="C270" s="19"/>
      <c r="D270" s="19"/>
      <c r="E270" s="19"/>
      <c r="F270" s="19"/>
      <c r="G270" s="19"/>
    </row>
    <row r="271" spans="1:7" x14ac:dyDescent="0.3">
      <c r="A271" s="20"/>
      <c r="B271" s="19"/>
      <c r="C271" s="19"/>
      <c r="D271" s="19"/>
      <c r="E271" s="19"/>
      <c r="F271" s="19"/>
      <c r="G271" s="19"/>
    </row>
    <row r="272" spans="1:7" x14ac:dyDescent="0.3">
      <c r="A272" s="20"/>
      <c r="B272" s="19"/>
      <c r="C272" s="19"/>
      <c r="D272" s="19"/>
      <c r="E272" s="19"/>
      <c r="F272" s="19"/>
      <c r="G272" s="19"/>
    </row>
    <row r="273" spans="1:7" x14ac:dyDescent="0.3">
      <c r="A273" s="20"/>
      <c r="B273" s="19"/>
      <c r="C273" s="19"/>
      <c r="D273" s="19"/>
      <c r="E273" s="19"/>
      <c r="F273" s="19"/>
      <c r="G273" s="19"/>
    </row>
    <row r="274" spans="1:7" x14ac:dyDescent="0.3">
      <c r="A274" s="20"/>
      <c r="B274" s="19"/>
      <c r="C274" s="19"/>
      <c r="D274" s="19"/>
      <c r="E274" s="19"/>
      <c r="F274" s="19"/>
      <c r="G274" s="19"/>
    </row>
    <row r="275" spans="1:7" x14ac:dyDescent="0.3">
      <c r="A275" s="20"/>
      <c r="B275" s="19"/>
      <c r="C275" s="19"/>
      <c r="D275" s="19"/>
      <c r="E275" s="19"/>
      <c r="F275" s="19"/>
      <c r="G275" s="19"/>
    </row>
    <row r="276" spans="1:7" x14ac:dyDescent="0.3">
      <c r="A276" s="20"/>
      <c r="B276" s="19"/>
      <c r="C276" s="19"/>
      <c r="D276" s="19"/>
      <c r="E276" s="19"/>
      <c r="F276" s="19"/>
      <c r="G276" s="19"/>
    </row>
    <row r="277" spans="1:7" x14ac:dyDescent="0.3">
      <c r="A277" s="20"/>
      <c r="B277" s="19"/>
      <c r="C277" s="19"/>
      <c r="D277" s="19"/>
      <c r="E277" s="19"/>
      <c r="F277" s="19"/>
      <c r="G277" s="19"/>
    </row>
    <row r="278" spans="1:7" x14ac:dyDescent="0.3">
      <c r="A278" s="20"/>
      <c r="B278" s="19"/>
      <c r="C278" s="19"/>
      <c r="D278" s="19"/>
      <c r="E278" s="19"/>
      <c r="F278" s="19"/>
      <c r="G278" s="19"/>
    </row>
    <row r="279" spans="1:7" x14ac:dyDescent="0.3">
      <c r="A279" s="20"/>
      <c r="B279" s="19"/>
      <c r="C279" s="19"/>
      <c r="D279" s="19"/>
      <c r="E279" s="19"/>
      <c r="F279" s="19"/>
      <c r="G279" s="19"/>
    </row>
    <row r="280" spans="1:7" x14ac:dyDescent="0.3">
      <c r="A280" s="20"/>
      <c r="B280" s="19"/>
      <c r="C280" s="19"/>
      <c r="D280" s="19"/>
      <c r="E280" s="19"/>
      <c r="F280" s="19"/>
      <c r="G280" s="19"/>
    </row>
    <row r="281" spans="1:7" x14ac:dyDescent="0.3">
      <c r="A281" s="20"/>
      <c r="B281" s="19"/>
      <c r="C281" s="19"/>
      <c r="D281" s="19"/>
      <c r="E281" s="19"/>
      <c r="F281" s="19"/>
      <c r="G281" s="19"/>
    </row>
    <row r="282" spans="1:7" x14ac:dyDescent="0.3">
      <c r="A282" s="20"/>
      <c r="B282" s="19"/>
      <c r="C282" s="19"/>
      <c r="D282" s="19"/>
      <c r="E282" s="19"/>
      <c r="F282" s="19"/>
      <c r="G282" s="19"/>
    </row>
    <row r="283" spans="1:7" x14ac:dyDescent="0.3">
      <c r="A283" s="20"/>
      <c r="B283" s="19"/>
      <c r="C283" s="19"/>
      <c r="D283" s="19"/>
      <c r="E283" s="19"/>
      <c r="F283" s="19"/>
      <c r="G283" s="19"/>
    </row>
    <row r="284" spans="1:7" x14ac:dyDescent="0.3">
      <c r="A284" s="20"/>
      <c r="B284" s="19"/>
      <c r="C284" s="19"/>
      <c r="D284" s="19"/>
      <c r="E284" s="19"/>
      <c r="F284" s="19"/>
      <c r="G284" s="19"/>
    </row>
    <row r="285" spans="1:7" x14ac:dyDescent="0.3">
      <c r="A285" s="20"/>
      <c r="B285" s="19"/>
      <c r="C285" s="19"/>
      <c r="D285" s="19"/>
      <c r="E285" s="19"/>
      <c r="F285" s="19"/>
      <c r="G285" s="19"/>
    </row>
    <row r="286" spans="1:7" x14ac:dyDescent="0.3">
      <c r="A286" s="20"/>
      <c r="B286" s="19"/>
      <c r="C286" s="19"/>
      <c r="D286" s="19"/>
      <c r="E286" s="19"/>
      <c r="F286" s="19"/>
      <c r="G286" s="19"/>
    </row>
    <row r="287" spans="1:7" x14ac:dyDescent="0.3">
      <c r="A287" s="20"/>
      <c r="B287" s="19"/>
      <c r="C287" s="19"/>
      <c r="D287" s="19"/>
      <c r="E287" s="19"/>
      <c r="F287" s="19"/>
      <c r="G287" s="19"/>
    </row>
    <row r="288" spans="1:7" x14ac:dyDescent="0.3">
      <c r="A288" s="20"/>
      <c r="B288" s="19"/>
      <c r="C288" s="19"/>
      <c r="D288" s="19"/>
      <c r="E288" s="19"/>
      <c r="F288" s="19"/>
      <c r="G288" s="19"/>
    </row>
    <row r="289" spans="1:7" x14ac:dyDescent="0.3">
      <c r="A289" s="20"/>
      <c r="B289" s="19"/>
      <c r="C289" s="19"/>
      <c r="D289" s="19"/>
      <c r="E289" s="19"/>
      <c r="F289" s="19"/>
      <c r="G289" s="19"/>
    </row>
    <row r="290" spans="1:7" x14ac:dyDescent="0.3">
      <c r="A290" s="20"/>
      <c r="B290" s="19"/>
      <c r="C290" s="19"/>
      <c r="D290" s="19"/>
      <c r="E290" s="19"/>
      <c r="F290" s="19"/>
      <c r="G290" s="19"/>
    </row>
    <row r="291" spans="1:7" x14ac:dyDescent="0.3">
      <c r="A291" s="20"/>
      <c r="B291" s="19"/>
      <c r="C291" s="19"/>
      <c r="D291" s="19"/>
      <c r="E291" s="19"/>
      <c r="F291" s="19"/>
      <c r="G291" s="19"/>
    </row>
    <row r="292" spans="1:7" x14ac:dyDescent="0.3">
      <c r="A292" s="20"/>
      <c r="B292" s="19"/>
      <c r="C292" s="19"/>
      <c r="D292" s="19"/>
      <c r="E292" s="19"/>
      <c r="F292" s="19"/>
      <c r="G292" s="19"/>
    </row>
    <row r="293" spans="1:7" x14ac:dyDescent="0.3">
      <c r="A293" s="20"/>
      <c r="B293" s="19"/>
      <c r="C293" s="19"/>
      <c r="D293" s="19"/>
      <c r="E293" s="19"/>
      <c r="F293" s="19"/>
      <c r="G293" s="19"/>
    </row>
    <row r="294" spans="1:7" x14ac:dyDescent="0.3">
      <c r="A294" s="20"/>
      <c r="B294" s="19"/>
      <c r="C294" s="19"/>
      <c r="D294" s="19"/>
      <c r="E294" s="19"/>
      <c r="F294" s="19"/>
      <c r="G294" s="19"/>
    </row>
    <row r="295" spans="1:7" x14ac:dyDescent="0.3">
      <c r="A295" s="20"/>
      <c r="B295" s="19"/>
      <c r="C295" s="19"/>
      <c r="D295" s="19"/>
      <c r="E295" s="19"/>
      <c r="F295" s="19"/>
      <c r="G295" s="19"/>
    </row>
    <row r="296" spans="1:7" x14ac:dyDescent="0.3">
      <c r="A296" s="20"/>
      <c r="B296" s="19"/>
      <c r="C296" s="19"/>
      <c r="D296" s="19"/>
      <c r="E296" s="19"/>
      <c r="F296" s="19"/>
      <c r="G296" s="19"/>
    </row>
    <row r="297" spans="1:7" x14ac:dyDescent="0.3">
      <c r="A297" s="20"/>
      <c r="B297" s="19"/>
      <c r="C297" s="19"/>
      <c r="D297" s="19"/>
      <c r="E297" s="19"/>
      <c r="F297" s="19"/>
      <c r="G297" s="19"/>
    </row>
    <row r="298" spans="1:7" x14ac:dyDescent="0.3">
      <c r="A298" s="20"/>
      <c r="B298" s="19"/>
      <c r="C298" s="19"/>
      <c r="D298" s="19"/>
      <c r="E298" s="19"/>
      <c r="F298" s="19"/>
      <c r="G298" s="19"/>
    </row>
    <row r="299" spans="1:7" x14ac:dyDescent="0.3">
      <c r="A299" s="20"/>
      <c r="B299" s="19"/>
      <c r="C299" s="19"/>
      <c r="D299" s="19"/>
      <c r="E299" s="19"/>
      <c r="F299" s="19"/>
      <c r="G299" s="19"/>
    </row>
    <row r="300" spans="1:7" x14ac:dyDescent="0.3">
      <c r="A300" s="20"/>
      <c r="B300" s="19"/>
      <c r="C300" s="19"/>
      <c r="D300" s="19"/>
      <c r="E300" s="19"/>
      <c r="F300" s="19"/>
      <c r="G300" s="19"/>
    </row>
    <row r="301" spans="1:7" x14ac:dyDescent="0.3">
      <c r="A301" s="20"/>
      <c r="B301" s="19"/>
      <c r="C301" s="19"/>
      <c r="D301" s="19"/>
      <c r="E301" s="19"/>
      <c r="F301" s="19"/>
      <c r="G301" s="19"/>
    </row>
    <row r="302" spans="1:7" x14ac:dyDescent="0.3">
      <c r="A302" s="20"/>
      <c r="B302" s="19"/>
      <c r="C302" s="19"/>
      <c r="D302" s="19"/>
      <c r="E302" s="19"/>
      <c r="F302" s="19"/>
      <c r="G302" s="19"/>
    </row>
    <row r="303" spans="1:7" x14ac:dyDescent="0.3">
      <c r="A303" s="20"/>
      <c r="B303" s="19"/>
      <c r="C303" s="19"/>
      <c r="D303" s="19"/>
      <c r="E303" s="19"/>
      <c r="F303" s="19"/>
      <c r="G303" s="19"/>
    </row>
    <row r="304" spans="1:7" x14ac:dyDescent="0.3">
      <c r="A304" s="20"/>
      <c r="B304" s="19"/>
      <c r="C304" s="19"/>
      <c r="D304" s="19"/>
      <c r="E304" s="19"/>
      <c r="F304" s="19"/>
      <c r="G304" s="19"/>
    </row>
    <row r="305" spans="1:7" x14ac:dyDescent="0.3">
      <c r="A305" s="20"/>
      <c r="B305" s="19"/>
      <c r="C305" s="19"/>
      <c r="D305" s="19"/>
      <c r="E305" s="19"/>
      <c r="F305" s="19"/>
      <c r="G305" s="19"/>
    </row>
    <row r="306" spans="1:7" x14ac:dyDescent="0.3">
      <c r="A306" s="20"/>
      <c r="B306" s="19"/>
      <c r="C306" s="19"/>
      <c r="D306" s="19"/>
      <c r="E306" s="19"/>
      <c r="F306" s="19"/>
      <c r="G306" s="19"/>
    </row>
    <row r="307" spans="1:7" x14ac:dyDescent="0.3">
      <c r="A307" s="20"/>
      <c r="B307" s="19"/>
      <c r="C307" s="19"/>
      <c r="D307" s="19"/>
      <c r="E307" s="19"/>
      <c r="F307" s="19"/>
      <c r="G307" s="19"/>
    </row>
    <row r="308" spans="1:7" x14ac:dyDescent="0.3">
      <c r="A308" s="20"/>
      <c r="B308" s="19"/>
      <c r="C308" s="19"/>
      <c r="D308" s="19"/>
      <c r="E308" s="19"/>
      <c r="F308" s="19"/>
      <c r="G308" s="19"/>
    </row>
    <row r="309" spans="1:7" x14ac:dyDescent="0.3">
      <c r="A309" s="20"/>
      <c r="B309" s="19"/>
      <c r="C309" s="19"/>
      <c r="D309" s="19"/>
      <c r="E309" s="19"/>
      <c r="F309" s="19"/>
      <c r="G309" s="19"/>
    </row>
    <row r="310" spans="1:7" x14ac:dyDescent="0.3">
      <c r="A310" s="20"/>
      <c r="B310" s="19"/>
      <c r="C310" s="19"/>
      <c r="D310" s="19"/>
      <c r="E310" s="19"/>
      <c r="F310" s="19"/>
      <c r="G310" s="19"/>
    </row>
    <row r="311" spans="1:7" x14ac:dyDescent="0.3">
      <c r="A311" s="20"/>
      <c r="B311" s="19"/>
      <c r="C311" s="19"/>
      <c r="D311" s="19"/>
      <c r="E311" s="19"/>
      <c r="F311" s="19"/>
      <c r="G311" s="19"/>
    </row>
    <row r="312" spans="1:7" x14ac:dyDescent="0.3">
      <c r="A312" s="20"/>
      <c r="B312" s="19"/>
      <c r="C312" s="19"/>
      <c r="D312" s="19"/>
      <c r="E312" s="19"/>
      <c r="F312" s="19"/>
      <c r="G312" s="19"/>
    </row>
    <row r="313" spans="1:7" x14ac:dyDescent="0.3">
      <c r="A313" s="20"/>
      <c r="B313" s="19"/>
      <c r="C313" s="19"/>
      <c r="D313" s="19"/>
      <c r="E313" s="19"/>
      <c r="F313" s="19"/>
      <c r="G313" s="19"/>
    </row>
    <row r="314" spans="1:7" x14ac:dyDescent="0.3">
      <c r="A314" s="20"/>
      <c r="B314" s="19"/>
      <c r="C314" s="19"/>
      <c r="D314" s="19"/>
      <c r="E314" s="19"/>
      <c r="F314" s="19"/>
      <c r="G314" s="19"/>
    </row>
    <row r="315" spans="1:7" x14ac:dyDescent="0.3">
      <c r="A315" s="20"/>
      <c r="B315" s="19"/>
      <c r="C315" s="19"/>
      <c r="D315" s="19"/>
      <c r="E315" s="19"/>
      <c r="F315" s="19"/>
      <c r="G315" s="19"/>
    </row>
    <row r="316" spans="1:7" x14ac:dyDescent="0.3">
      <c r="A316" s="20"/>
      <c r="B316" s="19"/>
      <c r="C316" s="19"/>
      <c r="D316" s="19"/>
      <c r="E316" s="19"/>
      <c r="F316" s="19"/>
      <c r="G316" s="19"/>
    </row>
    <row r="317" spans="1:7" x14ac:dyDescent="0.3">
      <c r="A317" s="20"/>
      <c r="B317" s="19"/>
      <c r="C317" s="19"/>
      <c r="D317" s="19"/>
      <c r="E317" s="19"/>
      <c r="F317" s="19"/>
      <c r="G317" s="19"/>
    </row>
    <row r="318" spans="1:7" x14ac:dyDescent="0.3">
      <c r="A318" s="20"/>
      <c r="B318" s="19"/>
      <c r="C318" s="19"/>
      <c r="D318" s="19"/>
      <c r="E318" s="19"/>
      <c r="F318" s="19"/>
      <c r="G318" s="19"/>
    </row>
    <row r="319" spans="1:7" x14ac:dyDescent="0.3">
      <c r="A319" s="20"/>
      <c r="B319" s="19"/>
      <c r="C319" s="19"/>
      <c r="D319" s="19"/>
      <c r="E319" s="19"/>
      <c r="F319" s="19"/>
      <c r="G319" s="19"/>
    </row>
    <row r="320" spans="1:7" x14ac:dyDescent="0.3">
      <c r="A320" s="20"/>
      <c r="B320" s="19"/>
      <c r="C320" s="19"/>
      <c r="D320" s="19"/>
      <c r="E320" s="19"/>
      <c r="F320" s="19"/>
      <c r="G320" s="19"/>
    </row>
    <row r="321" spans="1:7" x14ac:dyDescent="0.3">
      <c r="A321" s="20"/>
      <c r="B321" s="19"/>
      <c r="C321" s="19"/>
      <c r="D321" s="19"/>
      <c r="E321" s="19"/>
      <c r="F321" s="19"/>
      <c r="G321" s="19"/>
    </row>
    <row r="322" spans="1:7" x14ac:dyDescent="0.3">
      <c r="A322" s="20"/>
      <c r="B322" s="19"/>
      <c r="C322" s="19"/>
      <c r="D322" s="19"/>
      <c r="E322" s="19"/>
      <c r="F322" s="19"/>
      <c r="G322" s="19"/>
    </row>
    <row r="323" spans="1:7" x14ac:dyDescent="0.3">
      <c r="A323" s="20"/>
      <c r="B323" s="19"/>
      <c r="C323" s="19"/>
      <c r="D323" s="19"/>
      <c r="E323" s="19"/>
      <c r="F323" s="19"/>
      <c r="G323" s="19"/>
    </row>
    <row r="324" spans="1:7" x14ac:dyDescent="0.3">
      <c r="A324" s="20"/>
      <c r="B324" s="19"/>
      <c r="C324" s="19"/>
      <c r="D324" s="19"/>
      <c r="E324" s="19"/>
      <c r="F324" s="19"/>
      <c r="G324" s="19"/>
    </row>
    <row r="325" spans="1:7" x14ac:dyDescent="0.3">
      <c r="A325" s="20"/>
      <c r="B325" s="19"/>
      <c r="C325" s="19"/>
      <c r="D325" s="19"/>
      <c r="E325" s="19"/>
      <c r="F325" s="19"/>
      <c r="G325" s="19"/>
    </row>
    <row r="326" spans="1:7" x14ac:dyDescent="0.3">
      <c r="A326" s="20"/>
      <c r="B326" s="19"/>
      <c r="C326" s="19"/>
      <c r="D326" s="19"/>
      <c r="E326" s="19"/>
      <c r="F326" s="19"/>
      <c r="G326" s="19"/>
    </row>
    <row r="327" spans="1:7" x14ac:dyDescent="0.3">
      <c r="A327" s="20"/>
      <c r="B327" s="19"/>
      <c r="C327" s="19"/>
      <c r="D327" s="19"/>
      <c r="E327" s="19"/>
      <c r="F327" s="19"/>
      <c r="G327" s="19"/>
    </row>
    <row r="328" spans="1:7" x14ac:dyDescent="0.3">
      <c r="A328" s="20"/>
      <c r="B328" s="19"/>
      <c r="C328" s="19"/>
      <c r="D328" s="19"/>
      <c r="E328" s="19"/>
      <c r="F328" s="19"/>
      <c r="G328" s="19"/>
    </row>
    <row r="329" spans="1:7" x14ac:dyDescent="0.3">
      <c r="A329" s="20"/>
      <c r="B329" s="19"/>
      <c r="C329" s="19"/>
      <c r="D329" s="19"/>
      <c r="E329" s="19"/>
      <c r="F329" s="19"/>
      <c r="G329" s="19"/>
    </row>
    <row r="330" spans="1:7" x14ac:dyDescent="0.3">
      <c r="A330" s="20"/>
      <c r="B330" s="19"/>
      <c r="C330" s="19"/>
      <c r="D330" s="19"/>
      <c r="E330" s="19"/>
      <c r="F330" s="19"/>
      <c r="G330" s="19"/>
    </row>
    <row r="331" spans="1:7" x14ac:dyDescent="0.3">
      <c r="A331" s="20"/>
      <c r="B331" s="19"/>
      <c r="C331" s="19"/>
      <c r="D331" s="19"/>
      <c r="E331" s="19"/>
      <c r="F331" s="19"/>
      <c r="G331" s="19"/>
    </row>
    <row r="332" spans="1:7" x14ac:dyDescent="0.3">
      <c r="A332" s="20"/>
      <c r="B332" s="19"/>
      <c r="C332" s="19"/>
      <c r="D332" s="19"/>
      <c r="E332" s="19"/>
      <c r="F332" s="19"/>
      <c r="G332" s="19"/>
    </row>
    <row r="333" spans="1:7" x14ac:dyDescent="0.3">
      <c r="A333" s="20"/>
      <c r="B333" s="19"/>
      <c r="C333" s="19"/>
      <c r="D333" s="19"/>
      <c r="E333" s="19"/>
      <c r="F333" s="19"/>
      <c r="G333" s="19"/>
    </row>
    <row r="334" spans="1:7" x14ac:dyDescent="0.3">
      <c r="A334" s="20"/>
      <c r="B334" s="19"/>
      <c r="C334" s="19"/>
      <c r="D334" s="19"/>
      <c r="E334" s="19"/>
      <c r="F334" s="19"/>
      <c r="G334" s="19"/>
    </row>
    <row r="335" spans="1:7" x14ac:dyDescent="0.3">
      <c r="A335" s="20"/>
      <c r="B335" s="19"/>
      <c r="C335" s="19"/>
      <c r="D335" s="19"/>
      <c r="E335" s="19"/>
      <c r="F335" s="19"/>
      <c r="G335" s="19"/>
    </row>
    <row r="336" spans="1:7" x14ac:dyDescent="0.3">
      <c r="A336" s="20"/>
      <c r="B336" s="19"/>
      <c r="C336" s="19"/>
      <c r="D336" s="19"/>
      <c r="E336" s="19"/>
      <c r="F336" s="19"/>
      <c r="G336" s="19"/>
    </row>
    <row r="337" spans="1:7" x14ac:dyDescent="0.3">
      <c r="A337" s="20"/>
      <c r="B337" s="19"/>
      <c r="C337" s="19"/>
      <c r="D337" s="19"/>
      <c r="E337" s="19"/>
      <c r="F337" s="19"/>
      <c r="G337" s="19"/>
    </row>
    <row r="338" spans="1:7" x14ac:dyDescent="0.3">
      <c r="A338" s="20"/>
      <c r="B338" s="19"/>
      <c r="C338" s="19"/>
      <c r="D338" s="19"/>
      <c r="E338" s="19"/>
      <c r="F338" s="19"/>
      <c r="G338" s="19"/>
    </row>
    <row r="339" spans="1:7" x14ac:dyDescent="0.3">
      <c r="A339" s="20"/>
      <c r="B339" s="19"/>
      <c r="C339" s="19"/>
      <c r="D339" s="19"/>
      <c r="E339" s="19"/>
      <c r="F339" s="19"/>
      <c r="G339" s="19"/>
    </row>
    <row r="340" spans="1:7" x14ac:dyDescent="0.3">
      <c r="A340" s="20"/>
      <c r="B340" s="19"/>
      <c r="C340" s="19"/>
      <c r="D340" s="19"/>
      <c r="E340" s="19"/>
      <c r="F340" s="19"/>
      <c r="G340" s="19"/>
    </row>
    <row r="341" spans="1:7" x14ac:dyDescent="0.3">
      <c r="A341" s="20"/>
      <c r="B341" s="19"/>
      <c r="C341" s="19"/>
      <c r="D341" s="19"/>
      <c r="E341" s="19"/>
      <c r="F341" s="19"/>
      <c r="G341" s="19"/>
    </row>
    <row r="342" spans="1:7" x14ac:dyDescent="0.3">
      <c r="A342" s="20"/>
      <c r="B342" s="19"/>
      <c r="C342" s="19"/>
      <c r="D342" s="19"/>
      <c r="E342" s="19"/>
      <c r="F342" s="19"/>
      <c r="G342" s="19"/>
    </row>
    <row r="343" spans="1:7" x14ac:dyDescent="0.3">
      <c r="A343" s="20"/>
      <c r="B343" s="19"/>
      <c r="C343" s="19"/>
      <c r="D343" s="19"/>
      <c r="E343" s="19"/>
      <c r="F343" s="19"/>
      <c r="G343" s="19"/>
    </row>
    <row r="344" spans="1:7" x14ac:dyDescent="0.3">
      <c r="A344" s="20"/>
      <c r="B344" s="19"/>
      <c r="C344" s="19"/>
      <c r="D344" s="19"/>
      <c r="E344" s="19"/>
      <c r="F344" s="19"/>
      <c r="G344" s="19"/>
    </row>
    <row r="345" spans="1:7" x14ac:dyDescent="0.3">
      <c r="A345" s="20"/>
      <c r="B345" s="19"/>
      <c r="C345" s="19"/>
      <c r="D345" s="19"/>
      <c r="E345" s="19"/>
      <c r="F345" s="19"/>
      <c r="G345" s="19"/>
    </row>
    <row r="346" spans="1:7" x14ac:dyDescent="0.3">
      <c r="A346" s="20"/>
      <c r="B346" s="19"/>
      <c r="C346" s="19"/>
      <c r="D346" s="19"/>
      <c r="E346" s="19"/>
      <c r="F346" s="19"/>
      <c r="G346" s="19"/>
    </row>
    <row r="347" spans="1:7" x14ac:dyDescent="0.3">
      <c r="A347" s="20"/>
      <c r="B347" s="19"/>
      <c r="C347" s="19"/>
      <c r="D347" s="19"/>
      <c r="E347" s="19"/>
      <c r="F347" s="19"/>
      <c r="G347" s="19"/>
    </row>
    <row r="348" spans="1:7" x14ac:dyDescent="0.3">
      <c r="A348" s="20"/>
      <c r="B348" s="19"/>
      <c r="C348" s="19"/>
      <c r="D348" s="19"/>
      <c r="E348" s="19"/>
      <c r="F348" s="19"/>
      <c r="G348" s="19"/>
    </row>
    <row r="349" spans="1:7" x14ac:dyDescent="0.3">
      <c r="A349" s="20"/>
      <c r="B349" s="19"/>
      <c r="C349" s="19"/>
      <c r="D349" s="19"/>
      <c r="E349" s="19"/>
      <c r="F349" s="19"/>
      <c r="G349" s="19"/>
    </row>
    <row r="350" spans="1:7" x14ac:dyDescent="0.3">
      <c r="A350" s="20"/>
      <c r="B350" s="19"/>
      <c r="C350" s="19"/>
      <c r="D350" s="19"/>
      <c r="E350" s="19"/>
      <c r="F350" s="19"/>
      <c r="G350" s="19"/>
    </row>
    <row r="351" spans="1:7" x14ac:dyDescent="0.3">
      <c r="A351" s="20"/>
      <c r="B351" s="19"/>
      <c r="C351" s="19"/>
      <c r="D351" s="19"/>
      <c r="E351" s="19"/>
      <c r="F351" s="19"/>
      <c r="G351" s="19"/>
    </row>
    <row r="352" spans="1:7" x14ac:dyDescent="0.3">
      <c r="A352" s="20"/>
      <c r="B352" s="19"/>
      <c r="C352" s="19"/>
      <c r="D352" s="19"/>
      <c r="E352" s="19"/>
      <c r="F352" s="19"/>
      <c r="G352" s="19"/>
    </row>
    <row r="353" spans="1:7" x14ac:dyDescent="0.3">
      <c r="A353" s="20"/>
      <c r="B353" s="19"/>
      <c r="C353" s="19"/>
      <c r="D353" s="19"/>
      <c r="E353" s="19"/>
      <c r="F353" s="19"/>
      <c r="G353" s="19"/>
    </row>
    <row r="354" spans="1:7" x14ac:dyDescent="0.3">
      <c r="A354" s="20"/>
      <c r="B354" s="19"/>
      <c r="C354" s="19"/>
      <c r="D354" s="19"/>
      <c r="E354" s="19"/>
      <c r="F354" s="19"/>
      <c r="G354" s="19"/>
    </row>
    <row r="355" spans="1:7" x14ac:dyDescent="0.3">
      <c r="A355" s="20"/>
      <c r="B355" s="19"/>
      <c r="C355" s="19"/>
      <c r="D355" s="19"/>
      <c r="E355" s="19"/>
      <c r="F355" s="19"/>
      <c r="G355" s="19"/>
    </row>
    <row r="356" spans="1:7" x14ac:dyDescent="0.3">
      <c r="A356" s="20"/>
      <c r="B356" s="19"/>
      <c r="C356" s="19"/>
      <c r="D356" s="19"/>
      <c r="E356" s="19"/>
      <c r="F356" s="19"/>
      <c r="G356" s="19"/>
    </row>
    <row r="357" spans="1:7" x14ac:dyDescent="0.3">
      <c r="A357" s="20"/>
      <c r="B357" s="19"/>
      <c r="C357" s="19"/>
      <c r="D357" s="19"/>
      <c r="E357" s="19"/>
      <c r="F357" s="19"/>
      <c r="G357" s="19"/>
    </row>
    <row r="358" spans="1:7" x14ac:dyDescent="0.3">
      <c r="A358" s="20"/>
      <c r="B358" s="19"/>
      <c r="C358" s="19"/>
      <c r="D358" s="19"/>
      <c r="E358" s="19"/>
      <c r="F358" s="19"/>
      <c r="G358" s="19"/>
    </row>
    <row r="359" spans="1:7" x14ac:dyDescent="0.3">
      <c r="A359" s="20"/>
      <c r="B359" s="19"/>
      <c r="C359" s="19"/>
      <c r="D359" s="19"/>
      <c r="E359" s="19"/>
      <c r="F359" s="19"/>
      <c r="G359" s="19"/>
    </row>
    <row r="360" spans="1:7" x14ac:dyDescent="0.3">
      <c r="A360" s="20"/>
      <c r="B360" s="19"/>
      <c r="C360" s="19"/>
      <c r="D360" s="19"/>
      <c r="E360" s="19"/>
      <c r="F360" s="19"/>
      <c r="G360" s="19"/>
    </row>
    <row r="361" spans="1:7" x14ac:dyDescent="0.3">
      <c r="A361" s="20"/>
      <c r="B361" s="19"/>
      <c r="C361" s="19"/>
      <c r="D361" s="19"/>
      <c r="E361" s="19"/>
      <c r="F361" s="19"/>
      <c r="G361" s="19"/>
    </row>
    <row r="362" spans="1:7" x14ac:dyDescent="0.3">
      <c r="A362" s="20"/>
      <c r="B362" s="19"/>
      <c r="C362" s="19"/>
      <c r="D362" s="19"/>
      <c r="E362" s="19"/>
      <c r="F362" s="19"/>
      <c r="G362" s="19"/>
    </row>
    <row r="363" spans="1:7" x14ac:dyDescent="0.3">
      <c r="A363" s="20"/>
      <c r="B363" s="19"/>
      <c r="C363" s="19"/>
      <c r="D363" s="19"/>
      <c r="E363" s="19"/>
      <c r="F363" s="19"/>
      <c r="G363" s="19"/>
    </row>
    <row r="364" spans="1:7" x14ac:dyDescent="0.3">
      <c r="A364" s="20"/>
      <c r="B364" s="19"/>
      <c r="C364" s="19"/>
      <c r="D364" s="19"/>
      <c r="E364" s="19"/>
      <c r="F364" s="19"/>
      <c r="G364" s="19"/>
    </row>
    <row r="365" spans="1:7" x14ac:dyDescent="0.3">
      <c r="A365" s="20"/>
      <c r="B365" s="19"/>
      <c r="C365" s="19"/>
      <c r="D365" s="19"/>
      <c r="E365" s="19"/>
      <c r="F365" s="19"/>
      <c r="G365" s="19"/>
    </row>
    <row r="366" spans="1:7" x14ac:dyDescent="0.3">
      <c r="A366" s="20"/>
      <c r="B366" s="19"/>
      <c r="C366" s="19"/>
      <c r="D366" s="19"/>
      <c r="E366" s="19"/>
      <c r="F366" s="19"/>
      <c r="G366" s="19"/>
    </row>
    <row r="367" spans="1:7" x14ac:dyDescent="0.3">
      <c r="A367" s="20"/>
      <c r="B367" s="19"/>
      <c r="C367" s="19"/>
      <c r="D367" s="19"/>
      <c r="E367" s="19"/>
      <c r="F367" s="19"/>
      <c r="G367" s="19"/>
    </row>
    <row r="368" spans="1:7" x14ac:dyDescent="0.3">
      <c r="A368" s="20"/>
      <c r="B368" s="19"/>
      <c r="C368" s="19"/>
      <c r="D368" s="19"/>
      <c r="E368" s="19"/>
      <c r="F368" s="19"/>
      <c r="G368" s="19"/>
    </row>
    <row r="369" spans="1:7" x14ac:dyDescent="0.3">
      <c r="A369" s="20"/>
      <c r="B369" s="19"/>
      <c r="C369" s="19"/>
      <c r="D369" s="19"/>
      <c r="E369" s="19"/>
      <c r="F369" s="19"/>
      <c r="G369" s="19"/>
    </row>
    <row r="370" spans="1:7" x14ac:dyDescent="0.3">
      <c r="A370" s="20"/>
      <c r="B370" s="19"/>
      <c r="C370" s="19"/>
      <c r="D370" s="19"/>
      <c r="E370" s="19"/>
      <c r="F370" s="19"/>
      <c r="G370" s="19"/>
    </row>
    <row r="371" spans="1:7" x14ac:dyDescent="0.3">
      <c r="A371" s="20"/>
      <c r="B371" s="19"/>
      <c r="C371" s="19"/>
      <c r="D371" s="19"/>
      <c r="E371" s="19"/>
      <c r="F371" s="19"/>
      <c r="G371" s="19"/>
    </row>
    <row r="372" spans="1:7" x14ac:dyDescent="0.3">
      <c r="A372" s="20"/>
      <c r="B372" s="19"/>
      <c r="C372" s="19"/>
      <c r="D372" s="19"/>
      <c r="E372" s="19"/>
      <c r="F372" s="19"/>
      <c r="G372" s="19"/>
    </row>
    <row r="373" spans="1:7" x14ac:dyDescent="0.3">
      <c r="A373" s="20"/>
      <c r="B373" s="19"/>
      <c r="C373" s="19"/>
      <c r="D373" s="19"/>
      <c r="E373" s="19"/>
      <c r="F373" s="19"/>
      <c r="G373" s="19"/>
    </row>
    <row r="374" spans="1:7" x14ac:dyDescent="0.3">
      <c r="A374" s="20"/>
      <c r="B374" s="19"/>
      <c r="C374" s="19"/>
      <c r="D374" s="19"/>
      <c r="E374" s="19"/>
      <c r="F374" s="19"/>
      <c r="G374" s="19"/>
    </row>
    <row r="375" spans="1:7" x14ac:dyDescent="0.3">
      <c r="A375" s="20"/>
      <c r="B375" s="19"/>
      <c r="C375" s="19"/>
      <c r="D375" s="19"/>
      <c r="E375" s="19"/>
      <c r="F375" s="19"/>
      <c r="G375" s="19"/>
    </row>
    <row r="376" spans="1:7" x14ac:dyDescent="0.3">
      <c r="A376" s="20"/>
      <c r="B376" s="19"/>
      <c r="C376" s="19"/>
      <c r="D376" s="19"/>
      <c r="E376" s="19"/>
      <c r="F376" s="19"/>
      <c r="G376" s="19"/>
    </row>
    <row r="377" spans="1:7" x14ac:dyDescent="0.3">
      <c r="A377" s="20"/>
      <c r="B377" s="19"/>
      <c r="C377" s="19"/>
      <c r="D377" s="19"/>
      <c r="E377" s="19"/>
      <c r="F377" s="19"/>
      <c r="G377" s="19"/>
    </row>
    <row r="378" spans="1:7" x14ac:dyDescent="0.3">
      <c r="A378" s="20"/>
      <c r="B378" s="19"/>
      <c r="C378" s="19"/>
      <c r="D378" s="19"/>
      <c r="E378" s="19"/>
      <c r="F378" s="19"/>
      <c r="G378" s="19"/>
    </row>
    <row r="379" spans="1:7" x14ac:dyDescent="0.3">
      <c r="A379" s="20"/>
      <c r="B379" s="19"/>
      <c r="C379" s="19"/>
      <c r="D379" s="19"/>
      <c r="E379" s="19"/>
      <c r="F379" s="19"/>
      <c r="G379" s="19"/>
    </row>
    <row r="380" spans="1:7" x14ac:dyDescent="0.3">
      <c r="A380" s="20"/>
      <c r="B380" s="19"/>
      <c r="C380" s="19"/>
      <c r="D380" s="19"/>
      <c r="E380" s="19"/>
      <c r="F380" s="19"/>
      <c r="G380" s="19"/>
    </row>
    <row r="381" spans="1:7" x14ac:dyDescent="0.3">
      <c r="A381" s="20"/>
      <c r="B381" s="19"/>
      <c r="C381" s="19"/>
      <c r="D381" s="19"/>
      <c r="E381" s="19"/>
      <c r="F381" s="19"/>
      <c r="G381" s="19"/>
    </row>
    <row r="382" spans="1:7" x14ac:dyDescent="0.3">
      <c r="A382" s="20"/>
      <c r="B382" s="19"/>
      <c r="C382" s="19"/>
      <c r="D382" s="19"/>
      <c r="E382" s="19"/>
      <c r="F382" s="19"/>
      <c r="G382" s="19"/>
    </row>
    <row r="383" spans="1:7" x14ac:dyDescent="0.3">
      <c r="A383" s="20"/>
      <c r="B383" s="19"/>
      <c r="C383" s="19"/>
      <c r="D383" s="19"/>
      <c r="E383" s="19"/>
      <c r="F383" s="19"/>
      <c r="G383" s="19"/>
    </row>
    <row r="384" spans="1:7" x14ac:dyDescent="0.3">
      <c r="A384" s="20"/>
      <c r="B384" s="19"/>
      <c r="C384" s="19"/>
      <c r="D384" s="19"/>
      <c r="E384" s="19"/>
      <c r="F384" s="19"/>
      <c r="G384" s="19"/>
    </row>
    <row r="385" spans="1:7" x14ac:dyDescent="0.3">
      <c r="A385" s="20"/>
      <c r="B385" s="19"/>
      <c r="C385" s="19"/>
      <c r="D385" s="19"/>
      <c r="E385" s="19"/>
      <c r="F385" s="19"/>
      <c r="G385" s="19"/>
    </row>
    <row r="386" spans="1:7" x14ac:dyDescent="0.3">
      <c r="A386" s="20"/>
      <c r="B386" s="19"/>
      <c r="C386" s="19"/>
      <c r="D386" s="19"/>
      <c r="E386" s="19"/>
      <c r="F386" s="19"/>
      <c r="G386" s="19"/>
    </row>
    <row r="387" spans="1:7" x14ac:dyDescent="0.3">
      <c r="A387" s="20"/>
      <c r="B387" s="19"/>
      <c r="C387" s="19"/>
      <c r="D387" s="19"/>
      <c r="E387" s="19"/>
      <c r="F387" s="19"/>
      <c r="G387" s="19"/>
    </row>
    <row r="388" spans="1:7" x14ac:dyDescent="0.3">
      <c r="A388" s="20"/>
      <c r="B388" s="19"/>
      <c r="C388" s="19"/>
      <c r="D388" s="19"/>
      <c r="E388" s="19"/>
      <c r="F388" s="19"/>
      <c r="G388" s="19"/>
    </row>
    <row r="389" spans="1:7" x14ac:dyDescent="0.3">
      <c r="A389" s="20"/>
      <c r="B389" s="19"/>
      <c r="C389" s="19"/>
      <c r="D389" s="19"/>
      <c r="E389" s="19"/>
      <c r="F389" s="19"/>
      <c r="G389" s="19"/>
    </row>
    <row r="390" spans="1:7" x14ac:dyDescent="0.3">
      <c r="A390" s="20"/>
      <c r="B390" s="19"/>
      <c r="C390" s="19"/>
      <c r="D390" s="19"/>
      <c r="E390" s="19"/>
      <c r="F390" s="19"/>
      <c r="G390" s="19"/>
    </row>
    <row r="391" spans="1:7" x14ac:dyDescent="0.3">
      <c r="A391" s="20"/>
      <c r="B391" s="19"/>
      <c r="C391" s="19"/>
      <c r="D391" s="19"/>
      <c r="E391" s="19"/>
      <c r="F391" s="19"/>
      <c r="G391" s="19"/>
    </row>
    <row r="392" spans="1:7" x14ac:dyDescent="0.3">
      <c r="A392" s="20"/>
      <c r="B392" s="19"/>
      <c r="C392" s="19"/>
      <c r="D392" s="19"/>
      <c r="E392" s="19"/>
      <c r="F392" s="19"/>
      <c r="G392" s="19"/>
    </row>
    <row r="393" spans="1:7" x14ac:dyDescent="0.3">
      <c r="A393" s="20"/>
      <c r="B393" s="19"/>
      <c r="C393" s="19"/>
      <c r="D393" s="19"/>
      <c r="E393" s="19"/>
      <c r="F393" s="19"/>
      <c r="G393" s="19"/>
    </row>
    <row r="394" spans="1:7" x14ac:dyDescent="0.3">
      <c r="A394" s="20"/>
      <c r="B394" s="19"/>
      <c r="C394" s="19"/>
      <c r="D394" s="19"/>
      <c r="E394" s="19"/>
      <c r="F394" s="19"/>
      <c r="G394" s="19"/>
    </row>
    <row r="395" spans="1:7" x14ac:dyDescent="0.3">
      <c r="A395" s="20"/>
      <c r="B395" s="19"/>
      <c r="C395" s="19"/>
      <c r="D395" s="19"/>
      <c r="E395" s="19"/>
      <c r="F395" s="19"/>
      <c r="G395" s="19"/>
    </row>
    <row r="396" spans="1:7" x14ac:dyDescent="0.3">
      <c r="A396" s="20"/>
      <c r="B396" s="19"/>
      <c r="C396" s="19"/>
      <c r="D396" s="19"/>
      <c r="E396" s="19"/>
      <c r="F396" s="19"/>
      <c r="G396" s="19"/>
    </row>
    <row r="397" spans="1:7" x14ac:dyDescent="0.3">
      <c r="A397" s="20"/>
      <c r="B397" s="19"/>
      <c r="C397" s="19"/>
      <c r="D397" s="19"/>
      <c r="E397" s="19"/>
      <c r="F397" s="19"/>
      <c r="G397" s="19"/>
    </row>
    <row r="398" spans="1:7" x14ac:dyDescent="0.3">
      <c r="A398" s="20"/>
      <c r="B398" s="19"/>
      <c r="C398" s="19"/>
      <c r="D398" s="19"/>
      <c r="E398" s="19"/>
      <c r="F398" s="19"/>
      <c r="G398" s="19"/>
    </row>
    <row r="399" spans="1:7" x14ac:dyDescent="0.3">
      <c r="A399" s="20"/>
      <c r="B399" s="19"/>
      <c r="C399" s="19"/>
      <c r="D399" s="19"/>
      <c r="E399" s="19"/>
      <c r="F399" s="19"/>
      <c r="G399" s="19"/>
    </row>
    <row r="400" spans="1:7" x14ac:dyDescent="0.3">
      <c r="A400" s="20"/>
      <c r="B400" s="19"/>
      <c r="C400" s="19"/>
      <c r="D400" s="19"/>
      <c r="E400" s="19"/>
      <c r="F400" s="19"/>
      <c r="G400" s="19"/>
    </row>
    <row r="401" spans="1:7" x14ac:dyDescent="0.3">
      <c r="A401" s="20"/>
      <c r="B401" s="19"/>
      <c r="C401" s="19"/>
      <c r="D401" s="19"/>
      <c r="E401" s="19"/>
      <c r="F401" s="19"/>
      <c r="G401" s="19"/>
    </row>
    <row r="402" spans="1:7" x14ac:dyDescent="0.3">
      <c r="A402" s="20"/>
      <c r="B402" s="19"/>
      <c r="C402" s="19"/>
      <c r="D402" s="19"/>
      <c r="E402" s="19"/>
      <c r="F402" s="19"/>
      <c r="G402" s="19"/>
    </row>
    <row r="403" spans="1:7" x14ac:dyDescent="0.3">
      <c r="A403" s="20"/>
      <c r="B403" s="19"/>
      <c r="C403" s="19"/>
      <c r="D403" s="19"/>
      <c r="E403" s="19"/>
      <c r="F403" s="19"/>
      <c r="G403" s="19"/>
    </row>
    <row r="404" spans="1:7" x14ac:dyDescent="0.3">
      <c r="A404" s="20"/>
      <c r="B404" s="19"/>
      <c r="C404" s="19"/>
      <c r="D404" s="19"/>
      <c r="E404" s="19"/>
      <c r="F404" s="19"/>
      <c r="G404" s="19"/>
    </row>
    <row r="405" spans="1:7" x14ac:dyDescent="0.3">
      <c r="A405" s="20"/>
      <c r="B405" s="19"/>
      <c r="C405" s="19"/>
      <c r="D405" s="19"/>
      <c r="E405" s="19"/>
      <c r="F405" s="19"/>
      <c r="G405" s="19"/>
    </row>
    <row r="406" spans="1:7" x14ac:dyDescent="0.3">
      <c r="A406" s="20"/>
      <c r="B406" s="19"/>
      <c r="C406" s="19"/>
      <c r="D406" s="19"/>
      <c r="E406" s="19"/>
      <c r="F406" s="19"/>
      <c r="G406" s="19"/>
    </row>
    <row r="407" spans="1:7" x14ac:dyDescent="0.3">
      <c r="A407" s="20"/>
      <c r="B407" s="19"/>
      <c r="C407" s="19"/>
      <c r="D407" s="19"/>
      <c r="E407" s="19"/>
      <c r="F407" s="19"/>
      <c r="G407" s="19"/>
    </row>
    <row r="408" spans="1:7" x14ac:dyDescent="0.3">
      <c r="A408" s="20"/>
      <c r="B408" s="19"/>
      <c r="C408" s="19"/>
      <c r="D408" s="19"/>
      <c r="E408" s="19"/>
      <c r="F408" s="19"/>
      <c r="G408" s="19"/>
    </row>
    <row r="409" spans="1:7" x14ac:dyDescent="0.3">
      <c r="A409" s="20"/>
      <c r="B409" s="19"/>
      <c r="C409" s="19"/>
      <c r="D409" s="19"/>
      <c r="E409" s="19"/>
      <c r="F409" s="19"/>
      <c r="G409" s="19"/>
    </row>
    <row r="410" spans="1:7" x14ac:dyDescent="0.3">
      <c r="A410" s="20"/>
      <c r="B410" s="19"/>
      <c r="C410" s="19"/>
      <c r="D410" s="19"/>
      <c r="E410" s="19"/>
      <c r="F410" s="19"/>
      <c r="G410" s="19"/>
    </row>
    <row r="411" spans="1:7" x14ac:dyDescent="0.3">
      <c r="A411" s="20"/>
      <c r="B411" s="19"/>
      <c r="C411" s="19"/>
      <c r="D411" s="19"/>
      <c r="E411" s="19"/>
      <c r="F411" s="19"/>
      <c r="G411" s="19"/>
    </row>
    <row r="412" spans="1:7" x14ac:dyDescent="0.3">
      <c r="A412" s="20"/>
      <c r="B412" s="19"/>
      <c r="C412" s="19"/>
      <c r="D412" s="19"/>
      <c r="E412" s="19"/>
      <c r="F412" s="19"/>
      <c r="G412" s="19"/>
    </row>
    <row r="413" spans="1:7" x14ac:dyDescent="0.3">
      <c r="A413" s="20"/>
      <c r="B413" s="19"/>
      <c r="C413" s="19"/>
      <c r="D413" s="19"/>
      <c r="E413" s="19"/>
      <c r="F413" s="19"/>
      <c r="G413" s="19"/>
    </row>
    <row r="414" spans="1:7" x14ac:dyDescent="0.3">
      <c r="A414" s="20"/>
      <c r="B414" s="19"/>
      <c r="C414" s="19"/>
      <c r="D414" s="19"/>
      <c r="E414" s="19"/>
      <c r="F414" s="19"/>
      <c r="G414" s="19"/>
    </row>
    <row r="415" spans="1:7" x14ac:dyDescent="0.3">
      <c r="A415" s="20"/>
      <c r="B415" s="19"/>
      <c r="C415" s="19"/>
      <c r="D415" s="19"/>
      <c r="E415" s="19"/>
      <c r="F415" s="19"/>
      <c r="G415" s="19"/>
    </row>
    <row r="416" spans="1:7" x14ac:dyDescent="0.3">
      <c r="A416" s="20"/>
      <c r="B416" s="19"/>
      <c r="C416" s="19"/>
      <c r="D416" s="19"/>
      <c r="E416" s="19"/>
      <c r="F416" s="19"/>
      <c r="G416" s="19"/>
    </row>
    <row r="417" spans="1:7" x14ac:dyDescent="0.3">
      <c r="A417" s="20"/>
      <c r="B417" s="19"/>
      <c r="C417" s="19"/>
      <c r="D417" s="19"/>
      <c r="E417" s="19"/>
      <c r="F417" s="19"/>
      <c r="G417" s="19"/>
    </row>
    <row r="418" spans="1:7" x14ac:dyDescent="0.3">
      <c r="A418" s="20"/>
      <c r="B418" s="19"/>
      <c r="C418" s="19"/>
      <c r="D418" s="19"/>
      <c r="E418" s="19"/>
      <c r="F418" s="19"/>
      <c r="G418" s="19"/>
    </row>
    <row r="419" spans="1:7" x14ac:dyDescent="0.3">
      <c r="A419" s="20"/>
      <c r="B419" s="19"/>
      <c r="C419" s="19"/>
      <c r="D419" s="19"/>
      <c r="E419" s="19"/>
      <c r="F419" s="19"/>
      <c r="G419" s="19"/>
    </row>
    <row r="420" spans="1:7" x14ac:dyDescent="0.3">
      <c r="A420" s="20"/>
      <c r="B420" s="19"/>
      <c r="C420" s="19"/>
      <c r="D420" s="19"/>
      <c r="E420" s="19"/>
      <c r="F420" s="19"/>
      <c r="G420" s="19"/>
    </row>
    <row r="421" spans="1:7" x14ac:dyDescent="0.3">
      <c r="A421" s="20"/>
      <c r="B421" s="19"/>
      <c r="C421" s="19"/>
      <c r="D421" s="19"/>
      <c r="E421" s="19"/>
      <c r="F421" s="19"/>
      <c r="G421" s="19"/>
    </row>
    <row r="422" spans="1:7" x14ac:dyDescent="0.3">
      <c r="A422" s="20"/>
      <c r="B422" s="19"/>
      <c r="C422" s="19"/>
      <c r="D422" s="19"/>
      <c r="E422" s="19"/>
      <c r="F422" s="19"/>
      <c r="G422" s="19"/>
    </row>
    <row r="423" spans="1:7" x14ac:dyDescent="0.3">
      <c r="A423" s="20"/>
      <c r="B423" s="19"/>
      <c r="C423" s="19"/>
      <c r="D423" s="19"/>
      <c r="E423" s="19"/>
      <c r="F423" s="19"/>
      <c r="G423" s="19"/>
    </row>
    <row r="424" spans="1:7" x14ac:dyDescent="0.3">
      <c r="A424" s="20"/>
      <c r="B424" s="19"/>
      <c r="C424" s="19"/>
      <c r="D424" s="19"/>
      <c r="E424" s="19"/>
      <c r="F424" s="19"/>
      <c r="G424" s="19"/>
    </row>
    <row r="425" spans="1:7" x14ac:dyDescent="0.3">
      <c r="A425" s="20"/>
      <c r="B425" s="19"/>
      <c r="C425" s="19"/>
      <c r="D425" s="19"/>
      <c r="E425" s="19"/>
      <c r="F425" s="19"/>
      <c r="G425" s="19"/>
    </row>
    <row r="426" spans="1:7" x14ac:dyDescent="0.3">
      <c r="A426" s="20"/>
      <c r="B426" s="19"/>
      <c r="C426" s="19"/>
      <c r="D426" s="19"/>
      <c r="E426" s="19"/>
      <c r="F426" s="19"/>
      <c r="G426" s="19"/>
    </row>
    <row r="427" spans="1:7" x14ac:dyDescent="0.3">
      <c r="A427" s="20"/>
      <c r="B427" s="19"/>
      <c r="C427" s="19"/>
      <c r="D427" s="19"/>
      <c r="E427" s="19"/>
      <c r="F427" s="19"/>
      <c r="G427" s="19"/>
    </row>
    <row r="428" spans="1:7" x14ac:dyDescent="0.3">
      <c r="A428" s="20"/>
      <c r="B428" s="19"/>
      <c r="C428" s="19"/>
      <c r="D428" s="19"/>
      <c r="E428" s="19"/>
      <c r="F428" s="19"/>
      <c r="G428" s="19"/>
    </row>
    <row r="429" spans="1:7" x14ac:dyDescent="0.3">
      <c r="A429" s="20"/>
      <c r="B429" s="19"/>
      <c r="C429" s="19"/>
      <c r="D429" s="19"/>
      <c r="E429" s="19"/>
      <c r="F429" s="19"/>
      <c r="G429" s="19"/>
    </row>
    <row r="430" spans="1:7" x14ac:dyDescent="0.3">
      <c r="A430" s="20"/>
      <c r="B430" s="19"/>
      <c r="C430" s="19"/>
      <c r="D430" s="19"/>
      <c r="E430" s="19"/>
      <c r="F430" s="19"/>
      <c r="G430" s="19"/>
    </row>
    <row r="431" spans="1:7" x14ac:dyDescent="0.3">
      <c r="A431" s="20"/>
      <c r="B431" s="19"/>
      <c r="C431" s="19"/>
      <c r="D431" s="19"/>
      <c r="E431" s="19"/>
      <c r="F431" s="19"/>
      <c r="G431" s="19"/>
    </row>
    <row r="432" spans="1:7" x14ac:dyDescent="0.3">
      <c r="A432" s="20"/>
      <c r="B432" s="19"/>
      <c r="C432" s="19"/>
      <c r="D432" s="19"/>
      <c r="E432" s="19"/>
      <c r="F432" s="19"/>
      <c r="G432" s="19"/>
    </row>
    <row r="433" spans="1:7" x14ac:dyDescent="0.3">
      <c r="A433" s="20"/>
      <c r="B433" s="19"/>
      <c r="C433" s="19"/>
      <c r="D433" s="19"/>
      <c r="E433" s="19"/>
      <c r="F433" s="19"/>
      <c r="G433" s="19"/>
    </row>
    <row r="434" spans="1:7" x14ac:dyDescent="0.3">
      <c r="A434" s="20"/>
      <c r="B434" s="19"/>
      <c r="C434" s="19"/>
      <c r="D434" s="19"/>
      <c r="E434" s="19"/>
      <c r="F434" s="19"/>
      <c r="G434" s="19"/>
    </row>
    <row r="435" spans="1:7" x14ac:dyDescent="0.3">
      <c r="A435" s="20"/>
      <c r="B435" s="19"/>
      <c r="C435" s="19"/>
      <c r="D435" s="19"/>
      <c r="E435" s="19"/>
      <c r="F435" s="19"/>
      <c r="G435" s="19"/>
    </row>
    <row r="436" spans="1:7" x14ac:dyDescent="0.3">
      <c r="A436" s="20"/>
      <c r="B436" s="19"/>
      <c r="C436" s="19"/>
      <c r="D436" s="19"/>
      <c r="E436" s="19"/>
      <c r="F436" s="19"/>
      <c r="G436" s="19"/>
    </row>
    <row r="437" spans="1:7" x14ac:dyDescent="0.3">
      <c r="A437" s="20"/>
      <c r="B437" s="19"/>
      <c r="C437" s="19"/>
      <c r="D437" s="19"/>
      <c r="E437" s="19"/>
      <c r="F437" s="19"/>
      <c r="G437" s="19"/>
    </row>
    <row r="438" spans="1:7" x14ac:dyDescent="0.3">
      <c r="A438" s="20"/>
      <c r="B438" s="19"/>
      <c r="C438" s="19"/>
      <c r="D438" s="19"/>
      <c r="E438" s="19"/>
      <c r="F438" s="19"/>
      <c r="G438" s="19"/>
    </row>
    <row r="439" spans="1:7" x14ac:dyDescent="0.3">
      <c r="A439" s="20"/>
      <c r="B439" s="19"/>
      <c r="C439" s="19"/>
      <c r="D439" s="19"/>
      <c r="E439" s="19"/>
      <c r="F439" s="19"/>
      <c r="G439" s="19"/>
    </row>
    <row r="440" spans="1:7" x14ac:dyDescent="0.3">
      <c r="A440" s="20"/>
      <c r="B440" s="19"/>
      <c r="C440" s="19"/>
      <c r="D440" s="19"/>
      <c r="E440" s="19"/>
      <c r="F440" s="19"/>
      <c r="G440" s="19"/>
    </row>
    <row r="441" spans="1:7" x14ac:dyDescent="0.3">
      <c r="A441" s="20"/>
      <c r="B441" s="19"/>
      <c r="C441" s="19"/>
      <c r="D441" s="19"/>
      <c r="E441" s="19"/>
      <c r="F441" s="19"/>
      <c r="G441" s="19"/>
    </row>
    <row r="442" spans="1:7" x14ac:dyDescent="0.3">
      <c r="A442" s="20"/>
      <c r="B442" s="19"/>
      <c r="C442" s="19"/>
      <c r="D442" s="19"/>
      <c r="E442" s="19"/>
      <c r="F442" s="19"/>
      <c r="G442" s="19"/>
    </row>
    <row r="443" spans="1:7" x14ac:dyDescent="0.3">
      <c r="A443" s="20"/>
      <c r="B443" s="19"/>
      <c r="C443" s="19"/>
      <c r="D443" s="19"/>
      <c r="E443" s="19"/>
      <c r="F443" s="19"/>
      <c r="G443" s="19"/>
    </row>
    <row r="444" spans="1:7" x14ac:dyDescent="0.3">
      <c r="A444" s="20"/>
      <c r="B444" s="19"/>
      <c r="C444" s="19"/>
      <c r="D444" s="19"/>
      <c r="E444" s="19"/>
      <c r="F444" s="19"/>
      <c r="G444" s="19"/>
    </row>
    <row r="445" spans="1:7" x14ac:dyDescent="0.3">
      <c r="A445" s="20"/>
      <c r="B445" s="19"/>
      <c r="C445" s="19"/>
      <c r="D445" s="19"/>
      <c r="E445" s="19"/>
      <c r="F445" s="19"/>
      <c r="G445" s="19"/>
    </row>
    <row r="446" spans="1:7" x14ac:dyDescent="0.3">
      <c r="A446" s="20"/>
      <c r="B446" s="19"/>
      <c r="C446" s="19"/>
      <c r="D446" s="19"/>
      <c r="E446" s="19"/>
      <c r="F446" s="19"/>
      <c r="G446" s="19"/>
    </row>
    <row r="447" spans="1:7" x14ac:dyDescent="0.3">
      <c r="A447" s="20"/>
      <c r="B447" s="19"/>
      <c r="C447" s="19"/>
      <c r="D447" s="19"/>
      <c r="E447" s="19"/>
      <c r="F447" s="19"/>
      <c r="G447" s="19"/>
    </row>
    <row r="448" spans="1:7" x14ac:dyDescent="0.3">
      <c r="A448" s="20"/>
      <c r="B448" s="19"/>
      <c r="C448" s="19"/>
      <c r="D448" s="19"/>
      <c r="E448" s="19"/>
      <c r="F448" s="19"/>
      <c r="G448" s="19"/>
    </row>
    <row r="449" spans="1:7" x14ac:dyDescent="0.3">
      <c r="A449" s="20"/>
      <c r="B449" s="19"/>
      <c r="C449" s="19"/>
      <c r="D449" s="19"/>
      <c r="E449" s="19"/>
      <c r="F449" s="19"/>
      <c r="G449" s="19"/>
    </row>
    <row r="450" spans="1:7" x14ac:dyDescent="0.3">
      <c r="A450" s="20"/>
      <c r="B450" s="19"/>
      <c r="C450" s="19"/>
      <c r="D450" s="19"/>
      <c r="E450" s="19"/>
      <c r="F450" s="19"/>
      <c r="G450" s="19"/>
    </row>
    <row r="451" spans="1:7" x14ac:dyDescent="0.3">
      <c r="A451" s="20"/>
      <c r="B451" s="19"/>
      <c r="C451" s="19"/>
      <c r="D451" s="19"/>
      <c r="E451" s="19"/>
      <c r="F451" s="19"/>
      <c r="G451" s="19"/>
    </row>
    <row r="452" spans="1:7" x14ac:dyDescent="0.3">
      <c r="A452" s="20"/>
      <c r="B452" s="19"/>
      <c r="C452" s="19"/>
      <c r="D452" s="19"/>
      <c r="E452" s="19"/>
      <c r="F452" s="19"/>
      <c r="G452" s="19"/>
    </row>
    <row r="453" spans="1:7" x14ac:dyDescent="0.3">
      <c r="A453" s="20"/>
      <c r="B453" s="19"/>
      <c r="C453" s="19"/>
      <c r="D453" s="19"/>
      <c r="E453" s="19"/>
      <c r="F453" s="19"/>
      <c r="G453" s="19"/>
    </row>
    <row r="454" spans="1:7" x14ac:dyDescent="0.3">
      <c r="A454" s="20"/>
      <c r="B454" s="19"/>
      <c r="C454" s="19"/>
      <c r="D454" s="19"/>
      <c r="E454" s="19"/>
      <c r="F454" s="19"/>
      <c r="G454" s="19"/>
    </row>
    <row r="455" spans="1:7" x14ac:dyDescent="0.3">
      <c r="A455" s="20"/>
      <c r="B455" s="19"/>
      <c r="C455" s="19"/>
      <c r="D455" s="19"/>
      <c r="E455" s="19"/>
      <c r="F455" s="19"/>
      <c r="G455" s="19"/>
    </row>
    <row r="456" spans="1:7" x14ac:dyDescent="0.3">
      <c r="A456" s="20"/>
      <c r="B456" s="19"/>
      <c r="C456" s="19"/>
      <c r="D456" s="19"/>
      <c r="E456" s="19"/>
      <c r="F456" s="19"/>
      <c r="G456" s="19"/>
    </row>
    <row r="457" spans="1:7" x14ac:dyDescent="0.3">
      <c r="A457" s="20"/>
      <c r="B457" s="19"/>
      <c r="C457" s="19"/>
      <c r="D457" s="19"/>
      <c r="E457" s="19"/>
      <c r="F457" s="19"/>
      <c r="G457" s="19"/>
    </row>
    <row r="458" spans="1:7" x14ac:dyDescent="0.3">
      <c r="A458" s="20"/>
      <c r="B458" s="19"/>
      <c r="C458" s="19"/>
      <c r="D458" s="19"/>
      <c r="E458" s="19"/>
      <c r="F458" s="19"/>
      <c r="G458" s="19"/>
    </row>
    <row r="459" spans="1:7" x14ac:dyDescent="0.3">
      <c r="A459" s="20"/>
      <c r="B459" s="19"/>
      <c r="C459" s="19"/>
      <c r="D459" s="19"/>
      <c r="E459" s="19"/>
      <c r="F459" s="19"/>
      <c r="G459" s="19"/>
    </row>
    <row r="460" spans="1:7" x14ac:dyDescent="0.3">
      <c r="A460" s="20"/>
      <c r="B460" s="19"/>
      <c r="C460" s="19"/>
      <c r="D460" s="19"/>
      <c r="E460" s="19"/>
      <c r="F460" s="19"/>
      <c r="G460" s="19"/>
    </row>
    <row r="461" spans="1:7" x14ac:dyDescent="0.3">
      <c r="A461" s="20"/>
      <c r="B461" s="19"/>
      <c r="C461" s="19"/>
      <c r="D461" s="19"/>
      <c r="E461" s="19"/>
      <c r="F461" s="19"/>
      <c r="G461" s="19"/>
    </row>
    <row r="462" spans="1:7" x14ac:dyDescent="0.3">
      <c r="A462" s="20"/>
      <c r="B462" s="19"/>
      <c r="C462" s="19"/>
      <c r="D462" s="19"/>
      <c r="E462" s="19"/>
      <c r="F462" s="19"/>
      <c r="G462" s="19"/>
    </row>
    <row r="463" spans="1:7" x14ac:dyDescent="0.3">
      <c r="A463" s="20"/>
      <c r="B463" s="19"/>
      <c r="C463" s="19"/>
      <c r="D463" s="19"/>
      <c r="E463" s="19"/>
      <c r="F463" s="19"/>
      <c r="G463" s="19"/>
    </row>
    <row r="464" spans="1:7" x14ac:dyDescent="0.3">
      <c r="A464" s="20"/>
      <c r="B464" s="19"/>
      <c r="C464" s="19"/>
      <c r="D464" s="19"/>
      <c r="E464" s="19"/>
      <c r="F464" s="19"/>
      <c r="G464" s="19"/>
    </row>
    <row r="465" spans="1:7" x14ac:dyDescent="0.3">
      <c r="A465" s="20"/>
      <c r="B465" s="19"/>
      <c r="C465" s="19"/>
      <c r="D465" s="19"/>
      <c r="E465" s="19"/>
      <c r="F465" s="19"/>
      <c r="G465" s="19"/>
    </row>
    <row r="466" spans="1:7" x14ac:dyDescent="0.3">
      <c r="A466" s="20"/>
      <c r="B466" s="19"/>
      <c r="C466" s="19"/>
      <c r="D466" s="19"/>
      <c r="E466" s="19"/>
      <c r="F466" s="19"/>
      <c r="G466" s="19"/>
    </row>
    <row r="467" spans="1:7" x14ac:dyDescent="0.3">
      <c r="A467" s="20"/>
      <c r="B467" s="19"/>
      <c r="C467" s="19"/>
      <c r="D467" s="19"/>
      <c r="E467" s="19"/>
      <c r="F467" s="19"/>
      <c r="G467" s="19"/>
    </row>
    <row r="468" spans="1:7" x14ac:dyDescent="0.3">
      <c r="A468" s="20"/>
      <c r="B468" s="19"/>
      <c r="C468" s="19"/>
      <c r="D468" s="19"/>
      <c r="E468" s="19"/>
      <c r="F468" s="19"/>
      <c r="G468" s="19"/>
    </row>
    <row r="469" spans="1:7" x14ac:dyDescent="0.3">
      <c r="A469" s="20"/>
      <c r="B469" s="19"/>
      <c r="C469" s="19"/>
      <c r="D469" s="19"/>
      <c r="E469" s="19"/>
      <c r="F469" s="19"/>
      <c r="G469" s="19"/>
    </row>
    <row r="470" spans="1:7" x14ac:dyDescent="0.3">
      <c r="A470" s="20"/>
      <c r="B470" s="19"/>
      <c r="C470" s="19"/>
      <c r="D470" s="19"/>
      <c r="E470" s="19"/>
      <c r="F470" s="19"/>
      <c r="G470" s="19"/>
    </row>
    <row r="471" spans="1:7" x14ac:dyDescent="0.3">
      <c r="A471" s="20"/>
      <c r="B471" s="19"/>
      <c r="C471" s="19"/>
      <c r="D471" s="19"/>
      <c r="E471" s="19"/>
      <c r="F471" s="19"/>
      <c r="G471" s="19"/>
    </row>
    <row r="472" spans="1:7" x14ac:dyDescent="0.3">
      <c r="A472" s="20"/>
      <c r="B472" s="19"/>
      <c r="C472" s="19"/>
      <c r="D472" s="19"/>
      <c r="E472" s="19"/>
      <c r="F472" s="19"/>
      <c r="G472" s="19"/>
    </row>
    <row r="473" spans="1:7" x14ac:dyDescent="0.3">
      <c r="A473" s="20"/>
      <c r="B473" s="19"/>
      <c r="C473" s="19"/>
      <c r="D473" s="19"/>
      <c r="E473" s="19"/>
      <c r="F473" s="19"/>
      <c r="G473" s="19"/>
    </row>
    <row r="474" spans="1:7" x14ac:dyDescent="0.3">
      <c r="A474" s="20"/>
      <c r="B474" s="19"/>
      <c r="C474" s="19"/>
      <c r="D474" s="19"/>
      <c r="E474" s="19"/>
      <c r="F474" s="19"/>
      <c r="G474" s="19"/>
    </row>
    <row r="475" spans="1:7" x14ac:dyDescent="0.3">
      <c r="A475" s="20"/>
      <c r="B475" s="19"/>
      <c r="C475" s="19"/>
      <c r="D475" s="19"/>
      <c r="E475" s="19"/>
      <c r="F475" s="19"/>
      <c r="G475" s="19"/>
    </row>
    <row r="476" spans="1:7" x14ac:dyDescent="0.3">
      <c r="A476" s="20"/>
      <c r="B476" s="19"/>
      <c r="C476" s="19"/>
      <c r="D476" s="19"/>
      <c r="E476" s="19"/>
      <c r="F476" s="19"/>
      <c r="G476" s="19"/>
    </row>
    <row r="477" spans="1:7" x14ac:dyDescent="0.3">
      <c r="A477" s="20"/>
      <c r="B477" s="19"/>
      <c r="C477" s="19"/>
      <c r="D477" s="19"/>
      <c r="E477" s="19"/>
      <c r="F477" s="19"/>
      <c r="G477" s="19"/>
    </row>
    <row r="478" spans="1:7" x14ac:dyDescent="0.3">
      <c r="A478" s="20"/>
      <c r="B478" s="19"/>
      <c r="C478" s="19"/>
      <c r="D478" s="19"/>
      <c r="E478" s="19"/>
      <c r="F478" s="19"/>
      <c r="G478" s="19"/>
    </row>
    <row r="479" spans="1:7" x14ac:dyDescent="0.3">
      <c r="A479" s="20"/>
      <c r="B479" s="19"/>
      <c r="C479" s="19"/>
      <c r="D479" s="19"/>
      <c r="E479" s="19"/>
      <c r="F479" s="19"/>
      <c r="G479" s="19"/>
    </row>
    <row r="480" spans="1:7" x14ac:dyDescent="0.3">
      <c r="A480" s="20"/>
      <c r="B480" s="19"/>
      <c r="C480" s="19"/>
      <c r="D480" s="19"/>
      <c r="E480" s="19"/>
      <c r="F480" s="19"/>
      <c r="G480" s="19"/>
    </row>
    <row r="481" spans="1:7" x14ac:dyDescent="0.3">
      <c r="A481" s="20"/>
      <c r="B481" s="19"/>
      <c r="C481" s="19"/>
      <c r="D481" s="19"/>
      <c r="E481" s="19"/>
      <c r="F481" s="19"/>
      <c r="G481" s="19"/>
    </row>
    <row r="482" spans="1:7" x14ac:dyDescent="0.3">
      <c r="A482" s="20"/>
      <c r="B482" s="19"/>
      <c r="C482" s="19"/>
      <c r="D482" s="19"/>
      <c r="E482" s="19"/>
      <c r="F482" s="19"/>
      <c r="G482" s="19"/>
    </row>
    <row r="483" spans="1:7" x14ac:dyDescent="0.3">
      <c r="A483" s="20"/>
      <c r="B483" s="19"/>
      <c r="C483" s="19"/>
      <c r="D483" s="19"/>
      <c r="E483" s="19"/>
      <c r="F483" s="19"/>
      <c r="G483" s="19"/>
    </row>
    <row r="484" spans="1:7" x14ac:dyDescent="0.3">
      <c r="A484" s="20"/>
      <c r="B484" s="19"/>
      <c r="C484" s="19"/>
      <c r="D484" s="19"/>
      <c r="E484" s="19"/>
      <c r="F484" s="19"/>
      <c r="G484" s="19"/>
    </row>
    <row r="485" spans="1:7" x14ac:dyDescent="0.3">
      <c r="A485" s="20"/>
      <c r="B485" s="19"/>
      <c r="C485" s="19"/>
      <c r="D485" s="19"/>
      <c r="E485" s="19"/>
      <c r="F485" s="19"/>
      <c r="G485" s="19"/>
    </row>
    <row r="486" spans="1:7" x14ac:dyDescent="0.3">
      <c r="A486" s="20"/>
      <c r="B486" s="19"/>
      <c r="C486" s="19"/>
      <c r="D486" s="19"/>
      <c r="E486" s="19"/>
      <c r="F486" s="19"/>
      <c r="G486" s="19"/>
    </row>
    <row r="487" spans="1:7" x14ac:dyDescent="0.3">
      <c r="A487" s="20"/>
      <c r="B487" s="19"/>
      <c r="C487" s="19"/>
      <c r="D487" s="19"/>
      <c r="E487" s="19"/>
      <c r="F487" s="19"/>
      <c r="G487" s="19"/>
    </row>
    <row r="488" spans="1:7" x14ac:dyDescent="0.3">
      <c r="A488" s="20"/>
      <c r="B488" s="19"/>
      <c r="C488" s="19"/>
      <c r="D488" s="19"/>
      <c r="E488" s="19"/>
      <c r="F488" s="19"/>
      <c r="G488" s="19"/>
    </row>
    <row r="489" spans="1:7" x14ac:dyDescent="0.3">
      <c r="A489" s="20"/>
      <c r="B489" s="19"/>
      <c r="C489" s="19"/>
      <c r="D489" s="19"/>
      <c r="E489" s="19"/>
      <c r="F489" s="19"/>
      <c r="G489" s="19"/>
    </row>
    <row r="490" spans="1:7" x14ac:dyDescent="0.3">
      <c r="A490" s="20"/>
      <c r="B490" s="19"/>
      <c r="C490" s="19"/>
      <c r="D490" s="19"/>
      <c r="E490" s="19"/>
      <c r="F490" s="19"/>
      <c r="G490" s="19"/>
    </row>
    <row r="491" spans="1:7" x14ac:dyDescent="0.3">
      <c r="A491" s="20"/>
      <c r="B491" s="19"/>
      <c r="C491" s="19"/>
      <c r="D491" s="19"/>
      <c r="E491" s="19"/>
      <c r="F491" s="19"/>
      <c r="G491" s="19"/>
    </row>
    <row r="492" spans="1:7" x14ac:dyDescent="0.3">
      <c r="A492" s="20"/>
      <c r="B492" s="19"/>
      <c r="C492" s="19"/>
      <c r="D492" s="19"/>
      <c r="E492" s="19"/>
      <c r="F492" s="19"/>
      <c r="G492" s="19"/>
    </row>
    <row r="493" spans="1:7" x14ac:dyDescent="0.3">
      <c r="A493" s="20"/>
      <c r="B493" s="19"/>
      <c r="C493" s="19"/>
      <c r="D493" s="19"/>
      <c r="E493" s="19"/>
      <c r="F493" s="19"/>
      <c r="G493" s="19"/>
    </row>
    <row r="494" spans="1:7" x14ac:dyDescent="0.3">
      <c r="A494" s="20"/>
      <c r="B494" s="19"/>
      <c r="C494" s="19"/>
      <c r="D494" s="19"/>
      <c r="E494" s="19"/>
      <c r="F494" s="19"/>
      <c r="G494" s="19"/>
    </row>
    <row r="495" spans="1:7" x14ac:dyDescent="0.3">
      <c r="A495" s="20"/>
      <c r="B495" s="19"/>
      <c r="C495" s="19"/>
      <c r="D495" s="19"/>
      <c r="E495" s="19"/>
      <c r="F495" s="19"/>
      <c r="G495" s="19"/>
    </row>
    <row r="496" spans="1:7" x14ac:dyDescent="0.3">
      <c r="A496" s="20"/>
      <c r="B496" s="19"/>
      <c r="C496" s="19"/>
      <c r="D496" s="19"/>
      <c r="E496" s="19"/>
      <c r="F496" s="19"/>
      <c r="G496" s="19"/>
    </row>
    <row r="497" spans="1:7" x14ac:dyDescent="0.3">
      <c r="A497" s="20"/>
      <c r="B497" s="19"/>
      <c r="C497" s="19"/>
      <c r="D497" s="19"/>
      <c r="E497" s="19"/>
      <c r="F497" s="19"/>
      <c r="G497" s="19"/>
    </row>
    <row r="498" spans="1:7" x14ac:dyDescent="0.3">
      <c r="A498" s="20"/>
      <c r="B498" s="19"/>
      <c r="C498" s="19"/>
      <c r="D498" s="19"/>
      <c r="E498" s="19"/>
      <c r="F498" s="19"/>
      <c r="G498" s="19"/>
    </row>
    <row r="499" spans="1:7" x14ac:dyDescent="0.3">
      <c r="A499" s="20"/>
      <c r="B499" s="19"/>
      <c r="C499" s="19"/>
      <c r="D499" s="19"/>
      <c r="E499" s="19"/>
      <c r="F499" s="19"/>
      <c r="G499" s="19"/>
    </row>
    <row r="500" spans="1:7" x14ac:dyDescent="0.3">
      <c r="A500" s="20"/>
      <c r="B500" s="19"/>
      <c r="C500" s="19"/>
      <c r="D500" s="19"/>
      <c r="E500" s="19"/>
      <c r="F500" s="19"/>
      <c r="G500" s="19"/>
    </row>
    <row r="501" spans="1:7" x14ac:dyDescent="0.3">
      <c r="A501" s="20"/>
      <c r="B501" s="19"/>
      <c r="C501" s="19"/>
      <c r="D501" s="19"/>
      <c r="E501" s="19"/>
      <c r="F501" s="19"/>
      <c r="G501" s="19"/>
    </row>
    <row r="502" spans="1:7" x14ac:dyDescent="0.3">
      <c r="A502" s="20"/>
      <c r="B502" s="19"/>
      <c r="C502" s="19"/>
      <c r="D502" s="19"/>
      <c r="E502" s="19"/>
      <c r="F502" s="19"/>
      <c r="G502" s="19"/>
    </row>
    <row r="503" spans="1:7" x14ac:dyDescent="0.3">
      <c r="A503" s="20"/>
      <c r="B503" s="19"/>
      <c r="C503" s="19"/>
      <c r="D503" s="19"/>
      <c r="E503" s="19"/>
      <c r="F503" s="19"/>
      <c r="G503" s="19"/>
    </row>
    <row r="504" spans="1:7" x14ac:dyDescent="0.3">
      <c r="A504" s="20"/>
      <c r="B504" s="19"/>
      <c r="C504" s="19"/>
      <c r="D504" s="19"/>
      <c r="E504" s="19"/>
      <c r="F504" s="19"/>
      <c r="G504" s="19"/>
    </row>
    <row r="505" spans="1:7" x14ac:dyDescent="0.3">
      <c r="A505" s="20"/>
      <c r="B505" s="19"/>
      <c r="C505" s="19"/>
      <c r="D505" s="19"/>
      <c r="E505" s="19"/>
      <c r="F505" s="19"/>
      <c r="G505" s="19"/>
    </row>
    <row r="506" spans="1:7" x14ac:dyDescent="0.3">
      <c r="A506" s="20"/>
      <c r="B506" s="19"/>
      <c r="C506" s="19"/>
      <c r="D506" s="19"/>
      <c r="E506" s="19"/>
      <c r="F506" s="19"/>
      <c r="G506" s="19"/>
    </row>
    <row r="507" spans="1:7" x14ac:dyDescent="0.3">
      <c r="A507" s="20"/>
      <c r="B507" s="19"/>
      <c r="C507" s="19"/>
      <c r="D507" s="19"/>
      <c r="E507" s="19"/>
      <c r="F507" s="19"/>
      <c r="G507" s="19"/>
    </row>
    <row r="508" spans="1:7" x14ac:dyDescent="0.3">
      <c r="A508" s="20"/>
      <c r="B508" s="19"/>
      <c r="C508" s="19"/>
      <c r="D508" s="19"/>
      <c r="E508" s="19"/>
      <c r="F508" s="19"/>
      <c r="G508" s="19"/>
    </row>
    <row r="509" spans="1:7" x14ac:dyDescent="0.3">
      <c r="A509" s="20"/>
      <c r="B509" s="19"/>
      <c r="C509" s="19"/>
      <c r="D509" s="19"/>
      <c r="E509" s="19"/>
      <c r="F509" s="19"/>
      <c r="G509" s="19"/>
    </row>
    <row r="510" spans="1:7" x14ac:dyDescent="0.3">
      <c r="A510" s="20"/>
      <c r="B510" s="19"/>
      <c r="C510" s="19"/>
      <c r="D510" s="19"/>
      <c r="E510" s="19"/>
      <c r="F510" s="19"/>
      <c r="G510" s="19"/>
    </row>
    <row r="511" spans="1:7" x14ac:dyDescent="0.3">
      <c r="A511" s="20"/>
      <c r="B511" s="19"/>
      <c r="C511" s="19"/>
      <c r="D511" s="19"/>
      <c r="E511" s="19"/>
      <c r="F511" s="19"/>
      <c r="G511" s="19"/>
    </row>
    <row r="512" spans="1:7" x14ac:dyDescent="0.3">
      <c r="A512" s="20"/>
      <c r="B512" s="19"/>
      <c r="C512" s="19"/>
      <c r="D512" s="19"/>
      <c r="E512" s="19"/>
      <c r="F512" s="19"/>
      <c r="G512" s="19"/>
    </row>
    <row r="513" spans="1:7" x14ac:dyDescent="0.3">
      <c r="A513" s="20"/>
      <c r="B513" s="19"/>
      <c r="C513" s="19"/>
      <c r="D513" s="19"/>
      <c r="E513" s="19"/>
      <c r="F513" s="19"/>
      <c r="G513" s="19"/>
    </row>
    <row r="514" spans="1:7" x14ac:dyDescent="0.3">
      <c r="A514" s="20"/>
      <c r="B514" s="19"/>
      <c r="C514" s="19"/>
      <c r="D514" s="19"/>
      <c r="E514" s="19"/>
      <c r="F514" s="19"/>
      <c r="G514" s="19"/>
    </row>
    <row r="515" spans="1:7" x14ac:dyDescent="0.3">
      <c r="A515" s="20"/>
      <c r="B515" s="19"/>
      <c r="C515" s="19"/>
      <c r="D515" s="19"/>
      <c r="E515" s="19"/>
      <c r="F515" s="19"/>
      <c r="G515" s="19"/>
    </row>
    <row r="516" spans="1:7" x14ac:dyDescent="0.3">
      <c r="A516" s="20"/>
      <c r="B516" s="19"/>
      <c r="C516" s="19"/>
      <c r="D516" s="19"/>
      <c r="E516" s="19"/>
      <c r="F516" s="19"/>
      <c r="G516" s="19"/>
    </row>
    <row r="517" spans="1:7" x14ac:dyDescent="0.3">
      <c r="A517" s="20"/>
      <c r="B517" s="19"/>
      <c r="C517" s="19"/>
      <c r="D517" s="19"/>
      <c r="E517" s="19"/>
      <c r="F517" s="19"/>
      <c r="G517" s="19"/>
    </row>
    <row r="518" spans="1:7" x14ac:dyDescent="0.3">
      <c r="A518" s="20"/>
      <c r="B518" s="19"/>
      <c r="C518" s="19"/>
      <c r="D518" s="19"/>
      <c r="E518" s="19"/>
      <c r="F518" s="19"/>
      <c r="G518" s="19"/>
    </row>
    <row r="519" spans="1:7" x14ac:dyDescent="0.3">
      <c r="A519" s="20"/>
      <c r="B519" s="19"/>
      <c r="C519" s="19"/>
      <c r="D519" s="19"/>
      <c r="E519" s="19"/>
      <c r="F519" s="19"/>
      <c r="G519" s="19"/>
    </row>
    <row r="520" spans="1:7" x14ac:dyDescent="0.3">
      <c r="A520" s="20"/>
      <c r="B520" s="19"/>
      <c r="C520" s="19"/>
      <c r="D520" s="19"/>
      <c r="E520" s="19"/>
      <c r="F520" s="19"/>
      <c r="G520" s="19"/>
    </row>
    <row r="521" spans="1:7" x14ac:dyDescent="0.3">
      <c r="A521" s="20"/>
      <c r="B521" s="19"/>
      <c r="C521" s="19"/>
      <c r="D521" s="19"/>
      <c r="E521" s="19"/>
      <c r="F521" s="19"/>
      <c r="G521" s="19"/>
    </row>
    <row r="522" spans="1:7" x14ac:dyDescent="0.3">
      <c r="A522" s="20"/>
      <c r="B522" s="19"/>
      <c r="C522" s="19"/>
      <c r="D522" s="19"/>
      <c r="E522" s="19"/>
      <c r="F522" s="19"/>
      <c r="G522" s="19"/>
    </row>
    <row r="523" spans="1:7" x14ac:dyDescent="0.3">
      <c r="A523" s="20"/>
      <c r="B523" s="19"/>
      <c r="C523" s="19"/>
      <c r="D523" s="19"/>
      <c r="E523" s="19"/>
      <c r="F523" s="19"/>
      <c r="G523" s="19"/>
    </row>
    <row r="524" spans="1:7" x14ac:dyDescent="0.3">
      <c r="A524" s="20"/>
      <c r="B524" s="19"/>
      <c r="C524" s="19"/>
      <c r="D524" s="19"/>
      <c r="E524" s="19"/>
      <c r="F524" s="19"/>
      <c r="G524" s="19"/>
    </row>
    <row r="525" spans="1:7" x14ac:dyDescent="0.3">
      <c r="A525" s="20"/>
      <c r="B525" s="19"/>
      <c r="C525" s="19"/>
      <c r="D525" s="19"/>
      <c r="E525" s="19"/>
      <c r="F525" s="19"/>
      <c r="G525" s="19"/>
    </row>
    <row r="526" spans="1:7" x14ac:dyDescent="0.3">
      <c r="A526" s="20"/>
      <c r="B526" s="19"/>
      <c r="C526" s="19"/>
      <c r="D526" s="19"/>
      <c r="E526" s="19"/>
      <c r="F526" s="19"/>
      <c r="G526" s="19"/>
    </row>
    <row r="527" spans="1:7" x14ac:dyDescent="0.3">
      <c r="A527" s="20"/>
      <c r="B527" s="19"/>
      <c r="C527" s="19"/>
      <c r="D527" s="19"/>
      <c r="E527" s="19"/>
      <c r="F527" s="19"/>
      <c r="G527" s="19"/>
    </row>
    <row r="528" spans="1:7" x14ac:dyDescent="0.3">
      <c r="A528" s="20"/>
      <c r="B528" s="19"/>
      <c r="C528" s="19"/>
      <c r="D528" s="19"/>
      <c r="E528" s="19"/>
      <c r="F528" s="19"/>
      <c r="G528" s="19"/>
    </row>
    <row r="529" spans="1:7" x14ac:dyDescent="0.3">
      <c r="A529" s="20"/>
      <c r="B529" s="19"/>
      <c r="C529" s="19"/>
      <c r="D529" s="19"/>
      <c r="E529" s="19"/>
      <c r="F529" s="19"/>
      <c r="G529" s="19"/>
    </row>
    <row r="530" spans="1:7" x14ac:dyDescent="0.3">
      <c r="A530" s="20"/>
      <c r="B530" s="19"/>
      <c r="C530" s="19"/>
      <c r="D530" s="19"/>
      <c r="E530" s="19"/>
      <c r="F530" s="19"/>
      <c r="G530" s="19"/>
    </row>
    <row r="531" spans="1:7" x14ac:dyDescent="0.3">
      <c r="A531" s="20"/>
      <c r="B531" s="19"/>
      <c r="C531" s="19"/>
      <c r="D531" s="19"/>
      <c r="E531" s="19"/>
      <c r="F531" s="19"/>
      <c r="G531" s="19"/>
    </row>
    <row r="532" spans="1:7" x14ac:dyDescent="0.3">
      <c r="A532" s="20"/>
      <c r="B532" s="19"/>
      <c r="C532" s="19"/>
      <c r="D532" s="19"/>
      <c r="E532" s="19"/>
      <c r="F532" s="19"/>
      <c r="G532" s="19"/>
    </row>
    <row r="533" spans="1:7" x14ac:dyDescent="0.3">
      <c r="A533" s="20"/>
      <c r="B533" s="19"/>
      <c r="C533" s="19"/>
      <c r="D533" s="19"/>
      <c r="E533" s="19"/>
      <c r="F533" s="19"/>
      <c r="G533" s="19"/>
    </row>
    <row r="534" spans="1:7" x14ac:dyDescent="0.3">
      <c r="A534" s="20"/>
      <c r="B534" s="19"/>
      <c r="C534" s="19"/>
      <c r="D534" s="19"/>
      <c r="E534" s="19"/>
      <c r="F534" s="19"/>
      <c r="G534" s="19"/>
    </row>
    <row r="535" spans="1:7" x14ac:dyDescent="0.3">
      <c r="A535" s="20"/>
      <c r="B535" s="19"/>
      <c r="C535" s="19"/>
      <c r="D535" s="19"/>
      <c r="E535" s="19"/>
      <c r="F535" s="19"/>
      <c r="G535" s="19"/>
    </row>
    <row r="536" spans="1:7" x14ac:dyDescent="0.3">
      <c r="A536" s="20"/>
      <c r="B536" s="19"/>
      <c r="C536" s="19"/>
      <c r="D536" s="19"/>
      <c r="E536" s="19"/>
      <c r="F536" s="19"/>
      <c r="G536" s="19"/>
    </row>
    <row r="537" spans="1:7" x14ac:dyDescent="0.3">
      <c r="A537" s="20"/>
      <c r="B537" s="19"/>
      <c r="C537" s="19"/>
      <c r="D537" s="19"/>
      <c r="E537" s="19"/>
      <c r="F537" s="19"/>
      <c r="G537" s="19"/>
    </row>
    <row r="538" spans="1:7" x14ac:dyDescent="0.3">
      <c r="A538" s="20"/>
      <c r="B538" s="19"/>
      <c r="C538" s="19"/>
      <c r="D538" s="19"/>
      <c r="E538" s="19"/>
      <c r="F538" s="19"/>
      <c r="G538" s="19"/>
    </row>
    <row r="539" spans="1:7" x14ac:dyDescent="0.3">
      <c r="A539" s="20"/>
      <c r="B539" s="19"/>
      <c r="C539" s="19"/>
      <c r="D539" s="19"/>
      <c r="E539" s="19"/>
      <c r="F539" s="19"/>
      <c r="G539" s="19"/>
    </row>
    <row r="540" spans="1:7" x14ac:dyDescent="0.3">
      <c r="A540" s="20"/>
      <c r="B540" s="19"/>
      <c r="C540" s="19"/>
      <c r="D540" s="19"/>
      <c r="E540" s="19"/>
      <c r="F540" s="19"/>
      <c r="G540" s="19"/>
    </row>
    <row r="541" spans="1:7" x14ac:dyDescent="0.3">
      <c r="A541" s="20"/>
      <c r="B541" s="19"/>
      <c r="C541" s="19"/>
      <c r="D541" s="19"/>
      <c r="E541" s="19"/>
      <c r="F541" s="19"/>
      <c r="G541" s="19"/>
    </row>
    <row r="542" spans="1:7" x14ac:dyDescent="0.3">
      <c r="A542" s="20"/>
      <c r="B542" s="19"/>
      <c r="C542" s="19"/>
      <c r="D542" s="19"/>
      <c r="E542" s="19"/>
      <c r="F542" s="19"/>
      <c r="G542" s="19"/>
    </row>
    <row r="543" spans="1:7" x14ac:dyDescent="0.3">
      <c r="A543" s="20"/>
      <c r="B543" s="19"/>
      <c r="C543" s="19"/>
      <c r="D543" s="19"/>
      <c r="E543" s="19"/>
      <c r="F543" s="19"/>
      <c r="G543" s="19"/>
    </row>
    <row r="544" spans="1:7" x14ac:dyDescent="0.3">
      <c r="A544" s="20"/>
      <c r="B544" s="19"/>
      <c r="C544" s="19"/>
      <c r="D544" s="19"/>
      <c r="E544" s="19"/>
      <c r="F544" s="19"/>
      <c r="G544" s="19"/>
    </row>
    <row r="545" spans="1:7" x14ac:dyDescent="0.3">
      <c r="A545" s="20"/>
      <c r="B545" s="19"/>
      <c r="C545" s="19"/>
      <c r="D545" s="19"/>
      <c r="E545" s="19"/>
      <c r="F545" s="19"/>
      <c r="G545" s="19"/>
    </row>
    <row r="546" spans="1:7" x14ac:dyDescent="0.3">
      <c r="A546" s="20"/>
      <c r="B546" s="19"/>
      <c r="C546" s="19"/>
      <c r="D546" s="19"/>
      <c r="E546" s="19"/>
      <c r="F546" s="19"/>
      <c r="G546" s="19"/>
    </row>
    <row r="547" spans="1:7" x14ac:dyDescent="0.3">
      <c r="A547" s="20"/>
      <c r="B547" s="19"/>
      <c r="C547" s="19"/>
      <c r="D547" s="19"/>
      <c r="E547" s="19"/>
      <c r="F547" s="19"/>
      <c r="G547" s="19"/>
    </row>
    <row r="548" spans="1:7" x14ac:dyDescent="0.3">
      <c r="A548" s="20"/>
      <c r="B548" s="19"/>
      <c r="C548" s="19"/>
      <c r="D548" s="19"/>
      <c r="E548" s="19"/>
      <c r="F548" s="19"/>
      <c r="G548" s="19"/>
    </row>
    <row r="549" spans="1:7" x14ac:dyDescent="0.3">
      <c r="A549" s="20"/>
      <c r="B549" s="19"/>
      <c r="C549" s="19"/>
      <c r="D549" s="19"/>
      <c r="E549" s="19"/>
      <c r="F549" s="19"/>
      <c r="G549" s="19"/>
    </row>
    <row r="550" spans="1:7" x14ac:dyDescent="0.3">
      <c r="A550" s="20"/>
      <c r="B550" s="19"/>
      <c r="C550" s="19"/>
      <c r="D550" s="19"/>
      <c r="E550" s="19"/>
      <c r="F550" s="19"/>
      <c r="G550" s="19"/>
    </row>
    <row r="551" spans="1:7" x14ac:dyDescent="0.3">
      <c r="A551" s="20"/>
      <c r="B551" s="19"/>
      <c r="C551" s="19"/>
      <c r="D551" s="19"/>
      <c r="E551" s="19"/>
      <c r="F551" s="19"/>
      <c r="G551" s="19"/>
    </row>
    <row r="552" spans="1:7" x14ac:dyDescent="0.3">
      <c r="A552" s="20"/>
      <c r="B552" s="19"/>
      <c r="C552" s="19"/>
      <c r="D552" s="19"/>
      <c r="E552" s="19"/>
      <c r="F552" s="19"/>
      <c r="G552" s="19"/>
    </row>
    <row r="553" spans="1:7" x14ac:dyDescent="0.3">
      <c r="A553" s="20"/>
      <c r="B553" s="19"/>
      <c r="C553" s="19"/>
      <c r="D553" s="19"/>
      <c r="E553" s="19"/>
      <c r="F553" s="19"/>
      <c r="G553" s="19"/>
    </row>
    <row r="554" spans="1:7" x14ac:dyDescent="0.3">
      <c r="A554" s="20"/>
      <c r="B554" s="19"/>
      <c r="C554" s="19"/>
      <c r="D554" s="19"/>
      <c r="E554" s="19"/>
      <c r="F554" s="19"/>
      <c r="G554" s="19"/>
    </row>
    <row r="555" spans="1:7" x14ac:dyDescent="0.3">
      <c r="A555" s="20"/>
      <c r="B555" s="19"/>
      <c r="C555" s="19"/>
      <c r="D555" s="19"/>
      <c r="E555" s="19"/>
      <c r="F555" s="19"/>
      <c r="G555" s="19"/>
    </row>
    <row r="556" spans="1:7" x14ac:dyDescent="0.3">
      <c r="A556" s="20"/>
      <c r="B556" s="19"/>
      <c r="C556" s="19"/>
      <c r="D556" s="19"/>
      <c r="E556" s="19"/>
      <c r="F556" s="19"/>
      <c r="G556" s="19"/>
    </row>
    <row r="557" spans="1:7" x14ac:dyDescent="0.3">
      <c r="A557" s="20"/>
      <c r="B557" s="19"/>
      <c r="C557" s="19"/>
      <c r="D557" s="19"/>
      <c r="E557" s="19"/>
      <c r="F557" s="19"/>
      <c r="G557" s="19"/>
    </row>
    <row r="558" spans="1:7" x14ac:dyDescent="0.3">
      <c r="A558" s="20"/>
      <c r="B558" s="19"/>
      <c r="C558" s="19"/>
      <c r="D558" s="19"/>
      <c r="E558" s="19"/>
      <c r="F558" s="19"/>
      <c r="G558" s="19"/>
    </row>
    <row r="559" spans="1:7" x14ac:dyDescent="0.3">
      <c r="A559" s="20"/>
      <c r="B559" s="19"/>
      <c r="C559" s="19"/>
      <c r="D559" s="19"/>
      <c r="E559" s="19"/>
      <c r="F559" s="19"/>
      <c r="G559" s="19"/>
    </row>
    <row r="560" spans="1:7" x14ac:dyDescent="0.3">
      <c r="A560" s="20"/>
      <c r="B560" s="19"/>
      <c r="C560" s="19"/>
      <c r="D560" s="19"/>
      <c r="E560" s="19"/>
      <c r="F560" s="19"/>
      <c r="G560" s="19"/>
    </row>
    <row r="561" spans="1:7" x14ac:dyDescent="0.3">
      <c r="A561" s="20"/>
      <c r="B561" s="19"/>
      <c r="C561" s="19"/>
      <c r="D561" s="19"/>
      <c r="E561" s="19"/>
      <c r="F561" s="19"/>
      <c r="G561" s="19"/>
    </row>
    <row r="562" spans="1:7" x14ac:dyDescent="0.3">
      <c r="A562" s="20"/>
      <c r="B562" s="19"/>
      <c r="C562" s="19"/>
      <c r="D562" s="19"/>
      <c r="E562" s="19"/>
      <c r="F562" s="19"/>
      <c r="G562" s="19"/>
    </row>
    <row r="563" spans="1:7" x14ac:dyDescent="0.3">
      <c r="A563" s="20"/>
      <c r="B563" s="19"/>
      <c r="C563" s="19"/>
      <c r="D563" s="19"/>
      <c r="E563" s="19"/>
      <c r="F563" s="19"/>
      <c r="G563" s="19"/>
    </row>
    <row r="564" spans="1:7" x14ac:dyDescent="0.3">
      <c r="A564" s="20"/>
      <c r="B564" s="19"/>
      <c r="C564" s="19"/>
      <c r="D564" s="19"/>
      <c r="E564" s="19"/>
      <c r="F564" s="19"/>
      <c r="G564" s="19"/>
    </row>
    <row r="565" spans="1:7" x14ac:dyDescent="0.3">
      <c r="A565" s="20"/>
      <c r="B565" s="19"/>
      <c r="C565" s="19"/>
      <c r="D565" s="19"/>
      <c r="E565" s="19"/>
      <c r="F565" s="19"/>
      <c r="G565" s="19"/>
    </row>
    <row r="566" spans="1:7" x14ac:dyDescent="0.3">
      <c r="A566" s="20"/>
      <c r="B566" s="19"/>
      <c r="C566" s="19"/>
      <c r="D566" s="19"/>
      <c r="E566" s="19"/>
      <c r="F566" s="19"/>
      <c r="G566" s="19"/>
    </row>
    <row r="567" spans="1:7" x14ac:dyDescent="0.3">
      <c r="A567" s="20"/>
      <c r="B567" s="19"/>
      <c r="C567" s="19"/>
      <c r="D567" s="19"/>
      <c r="E567" s="19"/>
      <c r="F567" s="19"/>
      <c r="G567" s="19"/>
    </row>
    <row r="568" spans="1:7" x14ac:dyDescent="0.3">
      <c r="A568" s="20"/>
      <c r="B568" s="19"/>
      <c r="C568" s="19"/>
      <c r="D568" s="19"/>
      <c r="E568" s="19"/>
      <c r="F568" s="19"/>
      <c r="G568" s="19"/>
    </row>
    <row r="569" spans="1:7" x14ac:dyDescent="0.3">
      <c r="A569" s="20"/>
      <c r="B569" s="19"/>
      <c r="C569" s="19"/>
      <c r="D569" s="19"/>
      <c r="E569" s="19"/>
      <c r="F569" s="19"/>
      <c r="G569" s="19"/>
    </row>
    <row r="570" spans="1:7" x14ac:dyDescent="0.3">
      <c r="A570" s="20"/>
      <c r="B570" s="19"/>
      <c r="C570" s="19"/>
      <c r="D570" s="19"/>
      <c r="E570" s="19"/>
      <c r="F570" s="19"/>
      <c r="G570" s="19"/>
    </row>
    <row r="571" spans="1:7" x14ac:dyDescent="0.3">
      <c r="A571" s="20"/>
      <c r="B571" s="19"/>
      <c r="C571" s="19"/>
      <c r="D571" s="19"/>
      <c r="E571" s="19"/>
      <c r="F571" s="19"/>
      <c r="G571" s="19"/>
    </row>
    <row r="572" spans="1:7" x14ac:dyDescent="0.3">
      <c r="A572" s="20"/>
      <c r="B572" s="19"/>
      <c r="C572" s="19"/>
      <c r="D572" s="19"/>
      <c r="E572" s="19"/>
      <c r="F572" s="19"/>
      <c r="G572" s="19"/>
    </row>
    <row r="573" spans="1:7" x14ac:dyDescent="0.3">
      <c r="A573" s="20"/>
      <c r="B573" s="19"/>
      <c r="C573" s="19"/>
      <c r="D573" s="19"/>
      <c r="E573" s="19"/>
      <c r="F573" s="19"/>
      <c r="G573" s="19"/>
    </row>
    <row r="574" spans="1:7" x14ac:dyDescent="0.3">
      <c r="A574" s="20"/>
      <c r="B574" s="19"/>
      <c r="C574" s="19"/>
      <c r="D574" s="19"/>
      <c r="E574" s="19"/>
      <c r="F574" s="19"/>
      <c r="G574" s="19"/>
    </row>
    <row r="575" spans="1:7" x14ac:dyDescent="0.3">
      <c r="A575" s="20"/>
      <c r="B575" s="19"/>
      <c r="C575" s="19"/>
      <c r="D575" s="19"/>
      <c r="E575" s="19"/>
      <c r="F575" s="19"/>
      <c r="G575" s="19"/>
    </row>
    <row r="576" spans="1:7" x14ac:dyDescent="0.3">
      <c r="A576" s="20"/>
      <c r="B576" s="19"/>
      <c r="C576" s="19"/>
      <c r="D576" s="19"/>
      <c r="E576" s="19"/>
      <c r="F576" s="19"/>
      <c r="G576" s="19"/>
    </row>
    <row r="577" spans="1:7" x14ac:dyDescent="0.3">
      <c r="A577" s="20"/>
      <c r="B577" s="19"/>
      <c r="C577" s="19"/>
      <c r="D577" s="19"/>
      <c r="E577" s="19"/>
      <c r="F577" s="19"/>
      <c r="G577" s="19"/>
    </row>
    <row r="578" spans="1:7" x14ac:dyDescent="0.3">
      <c r="A578" s="20"/>
      <c r="B578" s="19"/>
      <c r="C578" s="19"/>
      <c r="D578" s="19"/>
      <c r="E578" s="19"/>
      <c r="F578" s="19"/>
      <c r="G578" s="19"/>
    </row>
    <row r="579" spans="1:7" x14ac:dyDescent="0.3">
      <c r="A579" s="20"/>
      <c r="B579" s="19"/>
      <c r="C579" s="19"/>
      <c r="D579" s="19"/>
      <c r="E579" s="19"/>
      <c r="F579" s="19"/>
      <c r="G579" s="19"/>
    </row>
    <row r="580" spans="1:7" x14ac:dyDescent="0.3">
      <c r="A580" s="20"/>
      <c r="B580" s="19"/>
      <c r="C580" s="19"/>
      <c r="D580" s="19"/>
      <c r="E580" s="19"/>
      <c r="F580" s="19"/>
      <c r="G580" s="19"/>
    </row>
    <row r="581" spans="1:7" x14ac:dyDescent="0.3">
      <c r="A581" s="20"/>
      <c r="B581" s="19"/>
      <c r="C581" s="19"/>
      <c r="D581" s="19"/>
      <c r="E581" s="19"/>
      <c r="F581" s="19"/>
      <c r="G581" s="19"/>
    </row>
    <row r="582" spans="1:7" x14ac:dyDescent="0.3">
      <c r="A582" s="20"/>
      <c r="B582" s="19"/>
      <c r="C582" s="19"/>
      <c r="D582" s="19"/>
      <c r="E582" s="19"/>
      <c r="F582" s="19"/>
      <c r="G582" s="19"/>
    </row>
    <row r="583" spans="1:7" x14ac:dyDescent="0.3">
      <c r="A583" s="20"/>
      <c r="B583" s="19"/>
      <c r="C583" s="19"/>
      <c r="D583" s="19"/>
      <c r="E583" s="19"/>
      <c r="F583" s="19"/>
      <c r="G583" s="19"/>
    </row>
    <row r="584" spans="1:7" x14ac:dyDescent="0.3">
      <c r="A584" s="20"/>
      <c r="B584" s="19"/>
      <c r="C584" s="19"/>
      <c r="D584" s="19"/>
      <c r="E584" s="19"/>
      <c r="F584" s="19"/>
      <c r="G584" s="19"/>
    </row>
    <row r="585" spans="1:7" x14ac:dyDescent="0.3">
      <c r="A585" s="20"/>
      <c r="B585" s="19"/>
      <c r="C585" s="19"/>
      <c r="D585" s="19"/>
      <c r="E585" s="19"/>
      <c r="F585" s="19"/>
      <c r="G585" s="19"/>
    </row>
    <row r="586" spans="1:7" x14ac:dyDescent="0.3">
      <c r="A586" s="20"/>
      <c r="B586" s="19"/>
      <c r="C586" s="19"/>
      <c r="D586" s="19"/>
      <c r="E586" s="19"/>
      <c r="F586" s="19"/>
      <c r="G586" s="19"/>
    </row>
    <row r="587" spans="1:7" x14ac:dyDescent="0.3">
      <c r="A587" s="20"/>
      <c r="B587" s="19"/>
      <c r="C587" s="19"/>
      <c r="D587" s="19"/>
      <c r="E587" s="19"/>
      <c r="F587" s="19"/>
      <c r="G587" s="19"/>
    </row>
    <row r="588" spans="1:7" x14ac:dyDescent="0.3">
      <c r="A588" s="20"/>
      <c r="B588" s="19"/>
      <c r="C588" s="19"/>
      <c r="D588" s="19"/>
      <c r="E588" s="19"/>
      <c r="F588" s="19"/>
      <c r="G588" s="19"/>
    </row>
    <row r="589" spans="1:7" x14ac:dyDescent="0.3">
      <c r="A589" s="20"/>
      <c r="B589" s="19"/>
      <c r="C589" s="19"/>
      <c r="D589" s="19"/>
      <c r="E589" s="19"/>
      <c r="F589" s="19"/>
      <c r="G589" s="19"/>
    </row>
    <row r="590" spans="1:7" x14ac:dyDescent="0.3">
      <c r="A590" s="20"/>
      <c r="B590" s="19"/>
      <c r="C590" s="19"/>
      <c r="D590" s="19"/>
      <c r="E590" s="19"/>
      <c r="F590" s="19"/>
      <c r="G590" s="19"/>
    </row>
    <row r="591" spans="1:7" x14ac:dyDescent="0.3">
      <c r="A591" s="20"/>
      <c r="B591" s="19"/>
      <c r="C591" s="19"/>
      <c r="D591" s="19"/>
      <c r="E591" s="19"/>
      <c r="F591" s="19"/>
      <c r="G591" s="19"/>
    </row>
    <row r="592" spans="1:7" x14ac:dyDescent="0.3">
      <c r="A592" s="20"/>
      <c r="B592" s="19"/>
      <c r="C592" s="19"/>
      <c r="D592" s="19"/>
      <c r="E592" s="19"/>
      <c r="F592" s="19"/>
      <c r="G592" s="19"/>
    </row>
    <row r="593" spans="1:7" x14ac:dyDescent="0.3">
      <c r="A593" s="20"/>
      <c r="B593" s="19"/>
      <c r="C593" s="19"/>
      <c r="D593" s="19"/>
      <c r="E593" s="19"/>
      <c r="F593" s="19"/>
      <c r="G593" s="19"/>
    </row>
    <row r="594" spans="1:7" x14ac:dyDescent="0.3">
      <c r="A594" s="20"/>
      <c r="B594" s="19"/>
      <c r="C594" s="19"/>
      <c r="D594" s="19"/>
      <c r="E594" s="19"/>
      <c r="F594" s="19"/>
      <c r="G594" s="19"/>
    </row>
    <row r="595" spans="1:7" x14ac:dyDescent="0.3">
      <c r="A595" s="20"/>
      <c r="B595" s="19"/>
      <c r="C595" s="19"/>
      <c r="D595" s="19"/>
      <c r="E595" s="19"/>
      <c r="F595" s="19"/>
      <c r="G595" s="19"/>
    </row>
    <row r="596" spans="1:7" x14ac:dyDescent="0.3">
      <c r="A596" s="20"/>
      <c r="B596" s="19"/>
      <c r="C596" s="19"/>
      <c r="D596" s="19"/>
      <c r="E596" s="19"/>
      <c r="F596" s="19"/>
      <c r="G596" s="19"/>
    </row>
    <row r="597" spans="1:7" x14ac:dyDescent="0.3">
      <c r="A597" s="20"/>
      <c r="B597" s="19"/>
      <c r="C597" s="19"/>
      <c r="D597" s="19"/>
      <c r="E597" s="19"/>
      <c r="F597" s="19"/>
      <c r="G597" s="19"/>
    </row>
    <row r="598" spans="1:7" x14ac:dyDescent="0.3">
      <c r="A598" s="20"/>
      <c r="B598" s="19"/>
      <c r="C598" s="19"/>
      <c r="D598" s="19"/>
      <c r="E598" s="19"/>
      <c r="F598" s="19"/>
      <c r="G598" s="19"/>
    </row>
    <row r="599" spans="1:7" x14ac:dyDescent="0.3">
      <c r="A599" s="20"/>
      <c r="B599" s="19"/>
      <c r="C599" s="19"/>
      <c r="D599" s="19"/>
      <c r="E599" s="19"/>
      <c r="F599" s="19"/>
      <c r="G599" s="19"/>
    </row>
    <row r="600" spans="1:7" x14ac:dyDescent="0.3">
      <c r="A600" s="20"/>
      <c r="B600" s="19"/>
      <c r="C600" s="19"/>
      <c r="D600" s="19"/>
      <c r="E600" s="19"/>
      <c r="F600" s="19"/>
      <c r="G600" s="19"/>
    </row>
    <row r="601" spans="1:7" x14ac:dyDescent="0.3">
      <c r="A601" s="20"/>
      <c r="B601" s="19"/>
      <c r="C601" s="19"/>
      <c r="D601" s="19"/>
      <c r="E601" s="19"/>
      <c r="F601" s="19"/>
      <c r="G601" s="19"/>
    </row>
    <row r="602" spans="1:7" x14ac:dyDescent="0.3">
      <c r="A602" s="20"/>
      <c r="B602" s="19"/>
      <c r="C602" s="19"/>
      <c r="D602" s="19"/>
      <c r="E602" s="19"/>
      <c r="F602" s="19"/>
      <c r="G602" s="19"/>
    </row>
    <row r="603" spans="1:7" x14ac:dyDescent="0.3">
      <c r="A603" s="20"/>
      <c r="B603" s="19"/>
      <c r="C603" s="19"/>
      <c r="D603" s="19"/>
      <c r="E603" s="19"/>
      <c r="F603" s="19"/>
      <c r="G603" s="19"/>
    </row>
    <row r="604" spans="1:7" x14ac:dyDescent="0.3">
      <c r="A604" s="20"/>
      <c r="B604" s="19"/>
      <c r="C604" s="19"/>
      <c r="D604" s="19"/>
      <c r="E604" s="19"/>
      <c r="F604" s="19"/>
      <c r="G604" s="19"/>
    </row>
    <row r="605" spans="1:7" x14ac:dyDescent="0.3">
      <c r="A605" s="20"/>
      <c r="B605" s="19"/>
      <c r="C605" s="19"/>
      <c r="D605" s="19"/>
      <c r="E605" s="19"/>
      <c r="F605" s="19"/>
      <c r="G605" s="19"/>
    </row>
    <row r="606" spans="1:7" x14ac:dyDescent="0.3">
      <c r="A606" s="20"/>
      <c r="B606" s="19"/>
      <c r="C606" s="19"/>
      <c r="D606" s="19"/>
      <c r="E606" s="19"/>
      <c r="F606" s="19"/>
      <c r="G606" s="19"/>
    </row>
    <row r="607" spans="1:7" x14ac:dyDescent="0.3">
      <c r="A607" s="20"/>
      <c r="B607" s="19"/>
      <c r="C607" s="19"/>
      <c r="D607" s="19"/>
      <c r="E607" s="19"/>
      <c r="F607" s="19"/>
      <c r="G607" s="19"/>
    </row>
    <row r="608" spans="1:7" x14ac:dyDescent="0.3">
      <c r="A608" s="20"/>
      <c r="B608" s="19"/>
      <c r="C608" s="19"/>
      <c r="D608" s="19"/>
      <c r="E608" s="19"/>
      <c r="F608" s="19"/>
      <c r="G608" s="19"/>
    </row>
    <row r="609" spans="1:7" x14ac:dyDescent="0.3">
      <c r="A609" s="20"/>
      <c r="B609" s="19"/>
      <c r="C609" s="19"/>
      <c r="D609" s="19"/>
      <c r="E609" s="19"/>
      <c r="F609" s="19"/>
      <c r="G609" s="19"/>
    </row>
    <row r="610" spans="1:7" x14ac:dyDescent="0.3">
      <c r="A610" s="20"/>
      <c r="B610" s="19"/>
      <c r="C610" s="19"/>
      <c r="D610" s="19"/>
      <c r="E610" s="19"/>
      <c r="F610" s="19"/>
      <c r="G610" s="19"/>
    </row>
    <row r="611" spans="1:7" x14ac:dyDescent="0.3">
      <c r="A611" s="20"/>
      <c r="B611" s="19"/>
      <c r="C611" s="19"/>
      <c r="D611" s="19"/>
      <c r="E611" s="19"/>
      <c r="F611" s="19"/>
      <c r="G611" s="19"/>
    </row>
    <row r="612" spans="1:7" x14ac:dyDescent="0.3">
      <c r="A612" s="20"/>
      <c r="B612" s="19"/>
      <c r="C612" s="19"/>
      <c r="D612" s="19"/>
      <c r="E612" s="19"/>
      <c r="F612" s="19"/>
      <c r="G612" s="19"/>
    </row>
    <row r="613" spans="1:7" x14ac:dyDescent="0.3">
      <c r="A613" s="20"/>
      <c r="B613" s="19"/>
      <c r="C613" s="19"/>
      <c r="D613" s="19"/>
      <c r="E613" s="19"/>
      <c r="F613" s="19"/>
      <c r="G613" s="19"/>
    </row>
    <row r="614" spans="1:7" x14ac:dyDescent="0.3">
      <c r="A614" s="20"/>
      <c r="B614" s="19"/>
      <c r="C614" s="19"/>
      <c r="D614" s="19"/>
      <c r="E614" s="19"/>
      <c r="F614" s="19"/>
      <c r="G614" s="19"/>
    </row>
    <row r="615" spans="1:7" x14ac:dyDescent="0.3">
      <c r="A615" s="20"/>
      <c r="B615" s="19"/>
      <c r="C615" s="19"/>
      <c r="D615" s="19"/>
      <c r="E615" s="19"/>
      <c r="F615" s="19"/>
      <c r="G615" s="19"/>
    </row>
    <row r="616" spans="1:7" x14ac:dyDescent="0.3">
      <c r="A616" s="20"/>
      <c r="B616" s="19"/>
      <c r="C616" s="19"/>
      <c r="D616" s="19"/>
      <c r="E616" s="19"/>
      <c r="F616" s="19"/>
      <c r="G616" s="19"/>
    </row>
    <row r="617" spans="1:7" x14ac:dyDescent="0.3">
      <c r="A617" s="20"/>
      <c r="B617" s="19"/>
      <c r="C617" s="19"/>
      <c r="D617" s="19"/>
      <c r="E617" s="19"/>
      <c r="F617" s="19"/>
      <c r="G617" s="19"/>
    </row>
    <row r="618" spans="1:7" x14ac:dyDescent="0.3">
      <c r="A618" s="20"/>
      <c r="B618" s="19"/>
      <c r="C618" s="19"/>
      <c r="D618" s="19"/>
      <c r="E618" s="19"/>
      <c r="F618" s="19"/>
      <c r="G618" s="19"/>
    </row>
    <row r="619" spans="1:7" x14ac:dyDescent="0.3">
      <c r="A619" s="20"/>
      <c r="B619" s="19"/>
      <c r="C619" s="19"/>
      <c r="D619" s="19"/>
      <c r="E619" s="19"/>
      <c r="F619" s="19"/>
      <c r="G619" s="19"/>
    </row>
    <row r="620" spans="1:7" x14ac:dyDescent="0.3">
      <c r="A620" s="20"/>
      <c r="B620" s="19"/>
      <c r="C620" s="19"/>
      <c r="D620" s="19"/>
      <c r="E620" s="19"/>
      <c r="F620" s="19"/>
      <c r="G620" s="19"/>
    </row>
    <row r="621" spans="1:7" x14ac:dyDescent="0.3">
      <c r="A621" s="20"/>
      <c r="B621" s="19"/>
      <c r="C621" s="19"/>
      <c r="D621" s="19"/>
      <c r="E621" s="19"/>
      <c r="F621" s="19"/>
      <c r="G621" s="19"/>
    </row>
    <row r="622" spans="1:7" x14ac:dyDescent="0.3">
      <c r="A622" s="20"/>
      <c r="B622" s="19"/>
      <c r="C622" s="19"/>
      <c r="D622" s="19"/>
      <c r="E622" s="19"/>
      <c r="F622" s="19"/>
      <c r="G622" s="19"/>
    </row>
    <row r="623" spans="1:7" x14ac:dyDescent="0.3">
      <c r="A623" s="20"/>
      <c r="B623" s="19"/>
      <c r="C623" s="19"/>
      <c r="D623" s="19"/>
      <c r="E623" s="19"/>
      <c r="F623" s="19"/>
      <c r="G623" s="19"/>
    </row>
    <row r="624" spans="1:7" x14ac:dyDescent="0.3">
      <c r="A624" s="20"/>
      <c r="B624" s="19"/>
      <c r="C624" s="19"/>
      <c r="D624" s="19"/>
      <c r="E624" s="19"/>
      <c r="F624" s="19"/>
      <c r="G624" s="19"/>
    </row>
    <row r="625" spans="1:7" x14ac:dyDescent="0.3">
      <c r="A625" s="20"/>
      <c r="B625" s="19"/>
      <c r="C625" s="19"/>
      <c r="D625" s="19"/>
      <c r="E625" s="19"/>
      <c r="F625" s="19"/>
      <c r="G625" s="19"/>
    </row>
    <row r="626" spans="1:7" x14ac:dyDescent="0.3">
      <c r="A626" s="20"/>
      <c r="B626" s="19"/>
      <c r="C626" s="19"/>
      <c r="D626" s="19"/>
      <c r="E626" s="19"/>
      <c r="F626" s="19"/>
      <c r="G626" s="19"/>
    </row>
    <row r="627" spans="1:7" x14ac:dyDescent="0.3">
      <c r="A627" s="20"/>
      <c r="B627" s="19"/>
      <c r="C627" s="19"/>
      <c r="D627" s="19"/>
      <c r="E627" s="19"/>
      <c r="F627" s="19"/>
      <c r="G627" s="19"/>
    </row>
    <row r="628" spans="1:7" x14ac:dyDescent="0.3">
      <c r="A628" s="20"/>
      <c r="B628" s="19"/>
      <c r="C628" s="19"/>
      <c r="D628" s="19"/>
      <c r="E628" s="19"/>
      <c r="F628" s="19"/>
      <c r="G628" s="19"/>
    </row>
    <row r="629" spans="1:7" x14ac:dyDescent="0.3">
      <c r="A629" s="20"/>
      <c r="B629" s="19"/>
      <c r="C629" s="19"/>
      <c r="D629" s="19"/>
      <c r="E629" s="19"/>
      <c r="F629" s="19"/>
      <c r="G629" s="19"/>
    </row>
    <row r="630" spans="1:7" x14ac:dyDescent="0.3">
      <c r="A630" s="20"/>
      <c r="B630" s="19"/>
      <c r="C630" s="19"/>
      <c r="D630" s="19"/>
      <c r="E630" s="19"/>
      <c r="F630" s="19"/>
      <c r="G630" s="19"/>
    </row>
    <row r="631" spans="1:7" x14ac:dyDescent="0.3">
      <c r="A631" s="20"/>
      <c r="B631" s="19"/>
      <c r="C631" s="19"/>
      <c r="D631" s="19"/>
      <c r="E631" s="19"/>
      <c r="F631" s="19"/>
      <c r="G631" s="19"/>
    </row>
    <row r="632" spans="1:7" x14ac:dyDescent="0.3">
      <c r="A632" s="20"/>
      <c r="B632" s="19"/>
      <c r="C632" s="19"/>
      <c r="D632" s="19"/>
      <c r="E632" s="19"/>
      <c r="F632" s="19"/>
      <c r="G632" s="19"/>
    </row>
    <row r="633" spans="1:7" x14ac:dyDescent="0.3">
      <c r="A633" s="20"/>
      <c r="B633" s="19"/>
      <c r="C633" s="19"/>
      <c r="D633" s="19"/>
      <c r="E633" s="19"/>
      <c r="F633" s="19"/>
      <c r="G633" s="19"/>
    </row>
    <row r="634" spans="1:7" x14ac:dyDescent="0.3">
      <c r="A634" s="20"/>
      <c r="B634" s="19"/>
      <c r="C634" s="19"/>
      <c r="D634" s="19"/>
      <c r="E634" s="19"/>
      <c r="F634" s="19"/>
      <c r="G634" s="19"/>
    </row>
    <row r="635" spans="1:7" x14ac:dyDescent="0.3">
      <c r="A635" s="20"/>
      <c r="B635" s="19"/>
      <c r="C635" s="19"/>
      <c r="D635" s="19"/>
      <c r="E635" s="19"/>
      <c r="F635" s="19"/>
      <c r="G635" s="19"/>
    </row>
    <row r="636" spans="1:7" x14ac:dyDescent="0.3">
      <c r="A636" s="20"/>
      <c r="B636" s="19"/>
      <c r="C636" s="19"/>
      <c r="D636" s="19"/>
      <c r="E636" s="19"/>
      <c r="F636" s="19"/>
      <c r="G636" s="19"/>
    </row>
    <row r="637" spans="1:7" x14ac:dyDescent="0.3">
      <c r="A637" s="20"/>
      <c r="B637" s="19"/>
      <c r="C637" s="19"/>
      <c r="D637" s="19"/>
      <c r="E637" s="19"/>
      <c r="F637" s="19"/>
      <c r="G637" s="19"/>
    </row>
    <row r="638" spans="1:7" x14ac:dyDescent="0.3">
      <c r="A638" s="20"/>
      <c r="B638" s="19"/>
      <c r="C638" s="19"/>
      <c r="D638" s="19"/>
      <c r="E638" s="19"/>
      <c r="F638" s="19"/>
      <c r="G638" s="19"/>
    </row>
    <row r="639" spans="1:7" x14ac:dyDescent="0.3">
      <c r="A639" s="20"/>
      <c r="B639" s="19"/>
      <c r="C639" s="19"/>
      <c r="D639" s="19"/>
      <c r="E639" s="19"/>
      <c r="F639" s="19"/>
      <c r="G639" s="19"/>
    </row>
    <row r="640" spans="1:7" x14ac:dyDescent="0.3">
      <c r="A640" s="20"/>
      <c r="B640" s="19"/>
      <c r="C640" s="19"/>
      <c r="D640" s="19"/>
      <c r="E640" s="19"/>
      <c r="F640" s="19"/>
      <c r="G640" s="19"/>
    </row>
    <row r="641" spans="1:7" x14ac:dyDescent="0.3">
      <c r="A641" s="20"/>
      <c r="B641" s="19"/>
      <c r="C641" s="19"/>
      <c r="D641" s="19"/>
      <c r="E641" s="19"/>
      <c r="F641" s="19"/>
      <c r="G641" s="19"/>
    </row>
    <row r="642" spans="1:7" x14ac:dyDescent="0.3">
      <c r="A642" s="20"/>
      <c r="B642" s="19"/>
      <c r="C642" s="19"/>
      <c r="D642" s="19"/>
      <c r="E642" s="19"/>
      <c r="F642" s="19"/>
      <c r="G642" s="19"/>
    </row>
    <row r="643" spans="1:7" x14ac:dyDescent="0.3">
      <c r="A643" s="20"/>
      <c r="B643" s="19"/>
      <c r="C643" s="19"/>
      <c r="D643" s="19"/>
      <c r="E643" s="19"/>
      <c r="F643" s="19"/>
      <c r="G643" s="19"/>
    </row>
    <row r="644" spans="1:7" x14ac:dyDescent="0.3">
      <c r="A644" s="20"/>
      <c r="B644" s="19"/>
      <c r="C644" s="19"/>
      <c r="D644" s="19"/>
      <c r="E644" s="19"/>
      <c r="F644" s="19"/>
      <c r="G644" s="19"/>
    </row>
    <row r="645" spans="1:7" x14ac:dyDescent="0.3">
      <c r="A645" s="20"/>
      <c r="B645" s="19"/>
      <c r="C645" s="19"/>
      <c r="D645" s="19"/>
      <c r="E645" s="19"/>
      <c r="F645" s="19"/>
      <c r="G645" s="19"/>
    </row>
    <row r="646" spans="1:7" x14ac:dyDescent="0.3">
      <c r="A646" s="20"/>
      <c r="B646" s="19"/>
      <c r="C646" s="19"/>
      <c r="D646" s="19"/>
      <c r="E646" s="19"/>
      <c r="F646" s="19"/>
      <c r="G646" s="19"/>
    </row>
    <row r="647" spans="1:7" x14ac:dyDescent="0.3">
      <c r="A647" s="20"/>
      <c r="B647" s="19"/>
      <c r="C647" s="19"/>
      <c r="D647" s="19"/>
      <c r="E647" s="19"/>
      <c r="F647" s="19"/>
      <c r="G647" s="19"/>
    </row>
    <row r="648" spans="1:7" x14ac:dyDescent="0.3">
      <c r="A648" s="20"/>
      <c r="B648" s="19"/>
      <c r="C648" s="19"/>
      <c r="D648" s="19"/>
      <c r="E648" s="19"/>
      <c r="F648" s="19"/>
      <c r="G648" s="19"/>
    </row>
    <row r="649" spans="1:7" x14ac:dyDescent="0.3">
      <c r="A649" s="20"/>
      <c r="B649" s="19"/>
      <c r="C649" s="19"/>
      <c r="D649" s="19"/>
      <c r="E649" s="19"/>
      <c r="F649" s="19"/>
      <c r="G649" s="19"/>
    </row>
    <row r="650" spans="1:7" x14ac:dyDescent="0.3">
      <c r="A650" s="20"/>
      <c r="B650" s="19"/>
      <c r="C650" s="19"/>
      <c r="D650" s="19"/>
      <c r="E650" s="19"/>
      <c r="F650" s="19"/>
      <c r="G650" s="19"/>
    </row>
    <row r="651" spans="1:7" x14ac:dyDescent="0.3">
      <c r="A651" s="20"/>
      <c r="B651" s="19"/>
      <c r="C651" s="19"/>
      <c r="D651" s="19"/>
      <c r="E651" s="19"/>
      <c r="F651" s="19"/>
      <c r="G651" s="19"/>
    </row>
    <row r="652" spans="1:7" x14ac:dyDescent="0.3">
      <c r="A652" s="20"/>
      <c r="B652" s="19"/>
      <c r="C652" s="19"/>
      <c r="D652" s="19"/>
      <c r="E652" s="19"/>
      <c r="F652" s="19"/>
      <c r="G652" s="19"/>
    </row>
    <row r="653" spans="1:7" x14ac:dyDescent="0.3">
      <c r="A653" s="20"/>
      <c r="B653" s="19"/>
      <c r="C653" s="19"/>
      <c r="D653" s="19"/>
      <c r="E653" s="19"/>
      <c r="F653" s="19"/>
      <c r="G653" s="19"/>
    </row>
    <row r="654" spans="1:7" x14ac:dyDescent="0.3">
      <c r="A654" s="20"/>
      <c r="B654" s="19"/>
      <c r="C654" s="19"/>
      <c r="D654" s="19"/>
      <c r="E654" s="19"/>
      <c r="F654" s="19"/>
      <c r="G654" s="19"/>
    </row>
    <row r="655" spans="1:7" x14ac:dyDescent="0.3">
      <c r="A655" s="20"/>
      <c r="B655" s="19"/>
      <c r="C655" s="19"/>
      <c r="D655" s="19"/>
      <c r="E655" s="19"/>
      <c r="F655" s="19"/>
      <c r="G655" s="19"/>
    </row>
    <row r="656" spans="1:7" x14ac:dyDescent="0.3">
      <c r="A656" s="20"/>
      <c r="B656" s="19"/>
      <c r="C656" s="19"/>
      <c r="D656" s="19"/>
      <c r="E656" s="19"/>
      <c r="F656" s="19"/>
      <c r="G656" s="19"/>
    </row>
    <row r="657" spans="1:7" x14ac:dyDescent="0.3">
      <c r="A657" s="20"/>
      <c r="B657" s="19"/>
      <c r="C657" s="19"/>
      <c r="D657" s="19"/>
      <c r="E657" s="19"/>
      <c r="F657" s="19"/>
      <c r="G657" s="19"/>
    </row>
    <row r="658" spans="1:7" x14ac:dyDescent="0.3">
      <c r="A658" s="20"/>
      <c r="B658" s="19"/>
      <c r="C658" s="19"/>
      <c r="D658" s="19"/>
      <c r="E658" s="19"/>
      <c r="F658" s="19"/>
      <c r="G658" s="19"/>
    </row>
    <row r="659" spans="1:7" x14ac:dyDescent="0.3">
      <c r="A659" s="20"/>
      <c r="B659" s="19"/>
      <c r="C659" s="19"/>
      <c r="D659" s="19"/>
      <c r="E659" s="19"/>
      <c r="F659" s="19"/>
      <c r="G659" s="19"/>
    </row>
    <row r="660" spans="1:7" x14ac:dyDescent="0.3">
      <c r="A660" s="20"/>
      <c r="B660" s="19"/>
      <c r="C660" s="19"/>
      <c r="D660" s="19"/>
      <c r="E660" s="19"/>
      <c r="F660" s="19"/>
      <c r="G660" s="19"/>
    </row>
    <row r="661" spans="1:7" x14ac:dyDescent="0.3">
      <c r="A661" s="20"/>
      <c r="B661" s="19"/>
      <c r="C661" s="19"/>
      <c r="D661" s="19"/>
      <c r="E661" s="19"/>
      <c r="F661" s="19"/>
      <c r="G661" s="19"/>
    </row>
    <row r="662" spans="1:7" x14ac:dyDescent="0.3">
      <c r="A662" s="20"/>
      <c r="B662" s="19"/>
      <c r="C662" s="19"/>
      <c r="D662" s="19"/>
      <c r="E662" s="19"/>
      <c r="F662" s="19"/>
      <c r="G662" s="19"/>
    </row>
    <row r="663" spans="1:7" x14ac:dyDescent="0.3">
      <c r="A663" s="20"/>
      <c r="B663" s="19"/>
      <c r="C663" s="19"/>
      <c r="D663" s="19"/>
      <c r="E663" s="19"/>
      <c r="F663" s="19"/>
      <c r="G663" s="19"/>
    </row>
    <row r="664" spans="1:7" x14ac:dyDescent="0.3">
      <c r="A664" s="20"/>
      <c r="B664" s="19"/>
      <c r="C664" s="19"/>
      <c r="D664" s="19"/>
      <c r="E664" s="19"/>
      <c r="F664" s="19"/>
      <c r="G664" s="19"/>
    </row>
    <row r="665" spans="1:7" x14ac:dyDescent="0.3">
      <c r="A665" s="20"/>
      <c r="B665" s="19"/>
      <c r="C665" s="19"/>
      <c r="D665" s="19"/>
      <c r="E665" s="19"/>
      <c r="F665" s="19"/>
      <c r="G665" s="19"/>
    </row>
    <row r="666" spans="1:7" x14ac:dyDescent="0.3">
      <c r="A666" s="20"/>
      <c r="B666" s="19"/>
      <c r="C666" s="19"/>
      <c r="D666" s="19"/>
      <c r="E666" s="19"/>
      <c r="F666" s="19"/>
      <c r="G666" s="19"/>
    </row>
    <row r="667" spans="1:7" x14ac:dyDescent="0.3">
      <c r="A667" s="20"/>
      <c r="B667" s="19"/>
      <c r="C667" s="19"/>
      <c r="D667" s="19"/>
      <c r="E667" s="19"/>
      <c r="F667" s="19"/>
      <c r="G667" s="19"/>
    </row>
    <row r="668" spans="1:7" x14ac:dyDescent="0.3">
      <c r="A668" s="20"/>
      <c r="B668" s="19"/>
      <c r="C668" s="19"/>
      <c r="D668" s="19"/>
      <c r="E668" s="19"/>
      <c r="F668" s="19"/>
      <c r="G668" s="19"/>
    </row>
    <row r="669" spans="1:7" x14ac:dyDescent="0.3">
      <c r="A669" s="20"/>
      <c r="B669" s="19"/>
      <c r="C669" s="19"/>
      <c r="D669" s="19"/>
      <c r="E669" s="19"/>
      <c r="F669" s="19"/>
      <c r="G669" s="19"/>
    </row>
    <row r="670" spans="1:7" x14ac:dyDescent="0.3">
      <c r="A670" s="20"/>
      <c r="B670" s="19"/>
      <c r="C670" s="19"/>
      <c r="D670" s="19"/>
      <c r="E670" s="19"/>
      <c r="F670" s="19"/>
      <c r="G670" s="19"/>
    </row>
    <row r="671" spans="1:7" x14ac:dyDescent="0.3">
      <c r="A671" s="20"/>
      <c r="B671" s="19"/>
      <c r="C671" s="19"/>
      <c r="D671" s="19"/>
      <c r="E671" s="19"/>
      <c r="F671" s="19"/>
      <c r="G671" s="19"/>
    </row>
    <row r="672" spans="1:7" x14ac:dyDescent="0.3">
      <c r="A672" s="20"/>
      <c r="B672" s="19"/>
      <c r="C672" s="19"/>
      <c r="D672" s="19"/>
      <c r="E672" s="19"/>
      <c r="F672" s="19"/>
      <c r="G672" s="19"/>
    </row>
    <row r="673" spans="1:7" x14ac:dyDescent="0.3">
      <c r="A673" s="20"/>
      <c r="B673" s="19"/>
      <c r="C673" s="19"/>
      <c r="D673" s="19"/>
      <c r="E673" s="19"/>
      <c r="F673" s="19"/>
      <c r="G673" s="19"/>
    </row>
    <row r="674" spans="1:7" x14ac:dyDescent="0.3">
      <c r="A674" s="20"/>
      <c r="B674" s="19"/>
      <c r="C674" s="19"/>
      <c r="D674" s="19"/>
      <c r="E674" s="19"/>
      <c r="F674" s="19"/>
      <c r="G674" s="19"/>
    </row>
    <row r="675" spans="1:7" x14ac:dyDescent="0.3">
      <c r="A675" s="20"/>
      <c r="B675" s="19"/>
      <c r="C675" s="19"/>
      <c r="D675" s="19"/>
      <c r="E675" s="19"/>
      <c r="F675" s="19"/>
      <c r="G675" s="19"/>
    </row>
    <row r="676" spans="1:7" x14ac:dyDescent="0.3">
      <c r="A676" s="20"/>
      <c r="B676" s="19"/>
      <c r="C676" s="19"/>
      <c r="D676" s="19"/>
      <c r="E676" s="19"/>
      <c r="F676" s="19"/>
      <c r="G676" s="19"/>
    </row>
    <row r="677" spans="1:7" x14ac:dyDescent="0.3">
      <c r="A677" s="20"/>
      <c r="B677" s="19"/>
      <c r="C677" s="19"/>
      <c r="D677" s="19"/>
      <c r="E677" s="19"/>
      <c r="F677" s="19"/>
      <c r="G677" s="19"/>
    </row>
    <row r="678" spans="1:7" x14ac:dyDescent="0.3">
      <c r="A678" s="20"/>
      <c r="B678" s="19"/>
      <c r="C678" s="19"/>
      <c r="D678" s="19"/>
      <c r="E678" s="19"/>
      <c r="F678" s="19"/>
      <c r="G678" s="19"/>
    </row>
    <row r="679" spans="1:7" x14ac:dyDescent="0.3">
      <c r="A679" s="20"/>
      <c r="B679" s="19"/>
      <c r="C679" s="19"/>
      <c r="D679" s="19"/>
      <c r="E679" s="19"/>
      <c r="F679" s="19"/>
      <c r="G679" s="19"/>
    </row>
    <row r="680" spans="1:7" x14ac:dyDescent="0.3">
      <c r="A680" s="20"/>
      <c r="B680" s="19"/>
      <c r="C680" s="19"/>
      <c r="D680" s="19"/>
      <c r="E680" s="19"/>
      <c r="F680" s="19"/>
      <c r="G680" s="19"/>
    </row>
    <row r="681" spans="1:7" x14ac:dyDescent="0.3">
      <c r="A681" s="20"/>
      <c r="B681" s="19"/>
      <c r="C681" s="19"/>
      <c r="D681" s="19"/>
      <c r="E681" s="19"/>
      <c r="F681" s="19"/>
      <c r="G681" s="19"/>
    </row>
    <row r="682" spans="1:7" x14ac:dyDescent="0.3">
      <c r="A682" s="20"/>
      <c r="B682" s="19"/>
      <c r="C682" s="19"/>
      <c r="D682" s="19"/>
      <c r="E682" s="19"/>
      <c r="F682" s="19"/>
      <c r="G682" s="19"/>
    </row>
    <row r="683" spans="1:7" x14ac:dyDescent="0.3">
      <c r="A683" s="20"/>
      <c r="B683" s="19"/>
      <c r="C683" s="19"/>
      <c r="D683" s="19"/>
      <c r="E683" s="19"/>
      <c r="F683" s="19"/>
      <c r="G683" s="19"/>
    </row>
    <row r="684" spans="1:7" x14ac:dyDescent="0.3">
      <c r="A684" s="20"/>
      <c r="B684" s="19"/>
      <c r="C684" s="19"/>
      <c r="D684" s="19"/>
      <c r="E684" s="19"/>
      <c r="F684" s="19"/>
      <c r="G684" s="19"/>
    </row>
    <row r="685" spans="1:7" x14ac:dyDescent="0.3">
      <c r="A685" s="20"/>
      <c r="B685" s="19"/>
      <c r="C685" s="19"/>
      <c r="D685" s="19"/>
      <c r="E685" s="19"/>
      <c r="F685" s="19"/>
      <c r="G685" s="19"/>
    </row>
    <row r="686" spans="1:7" x14ac:dyDescent="0.3">
      <c r="A686" s="20"/>
      <c r="B686" s="19"/>
      <c r="C686" s="19"/>
      <c r="D686" s="19"/>
      <c r="E686" s="19"/>
      <c r="F686" s="19"/>
      <c r="G686" s="19"/>
    </row>
    <row r="687" spans="1:7" x14ac:dyDescent="0.3">
      <c r="A687" s="20"/>
      <c r="B687" s="19"/>
      <c r="C687" s="19"/>
      <c r="D687" s="19"/>
      <c r="E687" s="19"/>
      <c r="F687" s="19"/>
      <c r="G687" s="19"/>
    </row>
    <row r="688" spans="1:7" x14ac:dyDescent="0.3">
      <c r="A688" s="20"/>
      <c r="B688" s="19"/>
      <c r="C688" s="19"/>
      <c r="D688" s="19"/>
      <c r="E688" s="19"/>
      <c r="F688" s="19"/>
      <c r="G688" s="19"/>
    </row>
    <row r="689" spans="1:7" x14ac:dyDescent="0.3">
      <c r="A689" s="20"/>
      <c r="B689" s="19"/>
      <c r="C689" s="19"/>
      <c r="D689" s="19"/>
      <c r="E689" s="19"/>
      <c r="F689" s="19"/>
      <c r="G689" s="19"/>
    </row>
    <row r="690" spans="1:7" x14ac:dyDescent="0.3">
      <c r="A690" s="20"/>
      <c r="B690" s="19"/>
      <c r="C690" s="19"/>
      <c r="D690" s="19"/>
      <c r="E690" s="19"/>
      <c r="F690" s="19"/>
      <c r="G690" s="19"/>
    </row>
    <row r="691" spans="1:7" x14ac:dyDescent="0.3">
      <c r="A691" s="20"/>
      <c r="B691" s="19"/>
      <c r="C691" s="19"/>
      <c r="D691" s="19"/>
      <c r="E691" s="19"/>
      <c r="F691" s="19"/>
      <c r="G691" s="19"/>
    </row>
    <row r="692" spans="1:7" x14ac:dyDescent="0.3">
      <c r="A692" s="20"/>
      <c r="B692" s="19"/>
      <c r="C692" s="19"/>
      <c r="D692" s="19"/>
      <c r="E692" s="19"/>
      <c r="F692" s="19"/>
      <c r="G692" s="19"/>
    </row>
    <row r="693" spans="1:7" x14ac:dyDescent="0.3">
      <c r="A693" s="20"/>
      <c r="B693" s="19"/>
      <c r="C693" s="19"/>
      <c r="D693" s="19"/>
      <c r="E693" s="19"/>
      <c r="F693" s="19"/>
      <c r="G693" s="19"/>
    </row>
    <row r="694" spans="1:7" x14ac:dyDescent="0.3">
      <c r="A694" s="20"/>
      <c r="B694" s="19"/>
      <c r="C694" s="19"/>
      <c r="D694" s="19"/>
      <c r="E694" s="19"/>
      <c r="F694" s="19"/>
      <c r="G694" s="19"/>
    </row>
    <row r="695" spans="1:7" x14ac:dyDescent="0.3">
      <c r="A695" s="20"/>
      <c r="B695" s="19"/>
      <c r="C695" s="19"/>
      <c r="D695" s="19"/>
      <c r="E695" s="19"/>
      <c r="F695" s="19"/>
      <c r="G695" s="19"/>
    </row>
    <row r="696" spans="1:7" x14ac:dyDescent="0.3">
      <c r="A696" s="20"/>
      <c r="B696" s="19"/>
      <c r="C696" s="19"/>
      <c r="D696" s="19"/>
      <c r="E696" s="19"/>
      <c r="F696" s="19"/>
      <c r="G696" s="19"/>
    </row>
    <row r="697" spans="1:7" x14ac:dyDescent="0.3">
      <c r="A697" s="20"/>
      <c r="B697" s="19"/>
      <c r="C697" s="19"/>
      <c r="D697" s="19"/>
      <c r="E697" s="19"/>
      <c r="F697" s="19"/>
      <c r="G697" s="19"/>
    </row>
    <row r="698" spans="1:7" x14ac:dyDescent="0.3">
      <c r="A698" s="20"/>
      <c r="B698" s="19"/>
      <c r="C698" s="19"/>
      <c r="D698" s="19"/>
      <c r="E698" s="19"/>
      <c r="F698" s="19"/>
      <c r="G698" s="19"/>
    </row>
    <row r="699" spans="1:7" x14ac:dyDescent="0.3">
      <c r="A699" s="20"/>
      <c r="B699" s="19"/>
      <c r="C699" s="19"/>
      <c r="D699" s="19"/>
      <c r="E699" s="19"/>
      <c r="F699" s="19"/>
      <c r="G699" s="19"/>
    </row>
    <row r="700" spans="1:7" x14ac:dyDescent="0.3">
      <c r="A700" s="20"/>
      <c r="B700" s="19"/>
      <c r="C700" s="19"/>
      <c r="D700" s="19"/>
      <c r="E700" s="19"/>
      <c r="F700" s="19"/>
      <c r="G700" s="19"/>
    </row>
    <row r="701" spans="1:7" x14ac:dyDescent="0.3">
      <c r="A701" s="20"/>
      <c r="B701" s="19"/>
      <c r="C701" s="19"/>
      <c r="D701" s="19"/>
      <c r="E701" s="19"/>
      <c r="F701" s="19"/>
      <c r="G701" s="19"/>
    </row>
    <row r="702" spans="1:7" x14ac:dyDescent="0.3">
      <c r="A702" s="20"/>
      <c r="B702" s="19"/>
      <c r="C702" s="19"/>
      <c r="D702" s="19"/>
      <c r="E702" s="19"/>
      <c r="F702" s="19"/>
      <c r="G702" s="19"/>
    </row>
    <row r="703" spans="1:7" x14ac:dyDescent="0.3">
      <c r="A703" s="20"/>
      <c r="B703" s="19"/>
      <c r="C703" s="19"/>
      <c r="D703" s="19"/>
      <c r="E703" s="19"/>
      <c r="F703" s="19"/>
      <c r="G703" s="19"/>
    </row>
    <row r="704" spans="1:7" x14ac:dyDescent="0.3">
      <c r="A704" s="20"/>
      <c r="B704" s="19"/>
      <c r="C704" s="19"/>
      <c r="D704" s="19"/>
      <c r="E704" s="19"/>
      <c r="F704" s="19"/>
      <c r="G704" s="19"/>
    </row>
    <row r="705" spans="1:7" x14ac:dyDescent="0.3">
      <c r="A705" s="20"/>
      <c r="B705" s="19"/>
      <c r="C705" s="19"/>
      <c r="D705" s="19"/>
      <c r="E705" s="19"/>
      <c r="F705" s="19"/>
      <c r="G705" s="19"/>
    </row>
    <row r="706" spans="1:7" x14ac:dyDescent="0.3">
      <c r="A706" s="20"/>
      <c r="B706" s="19"/>
      <c r="C706" s="19"/>
      <c r="D706" s="19"/>
      <c r="E706" s="19"/>
      <c r="F706" s="19"/>
      <c r="G706" s="19"/>
    </row>
    <row r="707" spans="1:7" x14ac:dyDescent="0.3">
      <c r="A707" s="20"/>
      <c r="B707" s="19"/>
      <c r="C707" s="19"/>
      <c r="D707" s="19"/>
      <c r="E707" s="19"/>
      <c r="F707" s="19"/>
      <c r="G707" s="19"/>
    </row>
    <row r="708" spans="1:7" x14ac:dyDescent="0.3">
      <c r="A708" s="20"/>
      <c r="B708" s="19"/>
      <c r="C708" s="19"/>
      <c r="D708" s="19"/>
      <c r="E708" s="19"/>
      <c r="F708" s="19"/>
      <c r="G708" s="19"/>
    </row>
    <row r="709" spans="1:7" x14ac:dyDescent="0.3">
      <c r="A709" s="20"/>
      <c r="B709" s="19"/>
      <c r="C709" s="19"/>
      <c r="D709" s="19"/>
      <c r="E709" s="19"/>
      <c r="F709" s="19"/>
      <c r="G709" s="19"/>
    </row>
    <row r="710" spans="1:7" x14ac:dyDescent="0.3">
      <c r="A710" s="20"/>
      <c r="B710" s="19"/>
      <c r="C710" s="19"/>
      <c r="D710" s="19"/>
      <c r="E710" s="19"/>
      <c r="F710" s="19"/>
      <c r="G710" s="19"/>
    </row>
    <row r="711" spans="1:7" x14ac:dyDescent="0.3">
      <c r="A711" s="20"/>
      <c r="B711" s="19"/>
      <c r="C711" s="19"/>
      <c r="D711" s="19"/>
      <c r="E711" s="19"/>
      <c r="F711" s="19"/>
      <c r="G711" s="19"/>
    </row>
    <row r="712" spans="1:7" x14ac:dyDescent="0.3">
      <c r="A712" s="20"/>
      <c r="B712" s="19"/>
      <c r="C712" s="19"/>
      <c r="D712" s="19"/>
      <c r="E712" s="19"/>
      <c r="F712" s="19"/>
      <c r="G712" s="19"/>
    </row>
    <row r="713" spans="1:7" x14ac:dyDescent="0.3">
      <c r="A713" s="20"/>
      <c r="B713" s="19"/>
      <c r="C713" s="19"/>
      <c r="D713" s="19"/>
      <c r="E713" s="19"/>
      <c r="F713" s="19"/>
      <c r="G713" s="19"/>
    </row>
    <row r="714" spans="1:7" x14ac:dyDescent="0.3">
      <c r="A714" s="20"/>
      <c r="B714" s="19"/>
      <c r="C714" s="19"/>
      <c r="D714" s="19"/>
      <c r="E714" s="19"/>
      <c r="F714" s="19"/>
      <c r="G714" s="19"/>
    </row>
    <row r="715" spans="1:7" x14ac:dyDescent="0.3">
      <c r="A715" s="20"/>
      <c r="B715" s="19"/>
      <c r="C715" s="19"/>
      <c r="D715" s="19"/>
      <c r="E715" s="19"/>
      <c r="F715" s="19"/>
      <c r="G715" s="19"/>
    </row>
    <row r="716" spans="1:7" x14ac:dyDescent="0.3">
      <c r="A716" s="20"/>
      <c r="B716" s="19"/>
      <c r="C716" s="19"/>
      <c r="D716" s="19"/>
      <c r="E716" s="19"/>
      <c r="F716" s="19"/>
      <c r="G716" s="19"/>
    </row>
    <row r="717" spans="1:7" x14ac:dyDescent="0.3">
      <c r="A717" s="20"/>
      <c r="B717" s="19"/>
      <c r="C717" s="19"/>
      <c r="D717" s="19"/>
      <c r="E717" s="19"/>
      <c r="F717" s="19"/>
      <c r="G717" s="19"/>
    </row>
    <row r="718" spans="1:7" x14ac:dyDescent="0.3">
      <c r="A718" s="20"/>
      <c r="B718" s="19"/>
      <c r="C718" s="19"/>
      <c r="D718" s="19"/>
      <c r="E718" s="19"/>
      <c r="F718" s="19"/>
      <c r="G718" s="19"/>
    </row>
    <row r="719" spans="1:7" x14ac:dyDescent="0.3">
      <c r="A719" s="20"/>
      <c r="B719" s="19"/>
      <c r="C719" s="19"/>
      <c r="D719" s="19"/>
      <c r="E719" s="19"/>
      <c r="F719" s="19"/>
      <c r="G719" s="19"/>
    </row>
    <row r="720" spans="1:7" x14ac:dyDescent="0.3">
      <c r="A720" s="20"/>
      <c r="B720" s="19"/>
      <c r="C720" s="19"/>
      <c r="D720" s="19"/>
      <c r="E720" s="19"/>
      <c r="F720" s="19"/>
      <c r="G720" s="19"/>
    </row>
    <row r="721" spans="1:7" x14ac:dyDescent="0.3">
      <c r="A721" s="20"/>
      <c r="B721" s="19"/>
      <c r="C721" s="19"/>
      <c r="D721" s="19"/>
      <c r="E721" s="19"/>
      <c r="F721" s="19"/>
      <c r="G721" s="19"/>
    </row>
    <row r="722" spans="1:7" x14ac:dyDescent="0.3">
      <c r="A722" s="20"/>
      <c r="B722" s="19"/>
      <c r="C722" s="19"/>
      <c r="D722" s="19"/>
      <c r="E722" s="19"/>
      <c r="F722" s="19"/>
      <c r="G722" s="19"/>
    </row>
    <row r="723" spans="1:7" x14ac:dyDescent="0.3">
      <c r="A723" s="20"/>
      <c r="B723" s="19"/>
      <c r="C723" s="19"/>
      <c r="D723" s="19"/>
      <c r="E723" s="19"/>
      <c r="F723" s="19"/>
      <c r="G723" s="19"/>
    </row>
    <row r="724" spans="1:7" x14ac:dyDescent="0.3">
      <c r="A724" s="20"/>
      <c r="B724" s="19"/>
      <c r="C724" s="19"/>
      <c r="D724" s="19"/>
      <c r="E724" s="19"/>
      <c r="F724" s="19"/>
      <c r="G724" s="19"/>
    </row>
    <row r="725" spans="1:7" x14ac:dyDescent="0.3">
      <c r="A725" s="20"/>
      <c r="B725" s="19"/>
      <c r="C725" s="19"/>
      <c r="D725" s="19"/>
      <c r="E725" s="19"/>
      <c r="F725" s="19"/>
      <c r="G725" s="19"/>
    </row>
    <row r="726" spans="1:7" x14ac:dyDescent="0.3">
      <c r="A726" s="20"/>
      <c r="B726" s="19"/>
      <c r="C726" s="19"/>
      <c r="D726" s="19"/>
      <c r="E726" s="19"/>
      <c r="F726" s="19"/>
      <c r="G726" s="19"/>
    </row>
    <row r="727" spans="1:7" x14ac:dyDescent="0.3">
      <c r="A727" s="20"/>
      <c r="B727" s="19"/>
      <c r="C727" s="19"/>
      <c r="D727" s="19"/>
      <c r="E727" s="19"/>
      <c r="F727" s="19"/>
      <c r="G727" s="19"/>
    </row>
    <row r="728" spans="1:7" x14ac:dyDescent="0.3">
      <c r="A728" s="20"/>
      <c r="B728" s="19"/>
      <c r="C728" s="19"/>
      <c r="D728" s="19"/>
      <c r="E728" s="19"/>
      <c r="F728" s="19"/>
      <c r="G728" s="19"/>
    </row>
    <row r="729" spans="1:7" x14ac:dyDescent="0.3">
      <c r="A729" s="20"/>
      <c r="B729" s="19"/>
      <c r="C729" s="19"/>
      <c r="D729" s="19"/>
      <c r="E729" s="19"/>
      <c r="F729" s="19"/>
      <c r="G729" s="19"/>
    </row>
    <row r="730" spans="1:7" x14ac:dyDescent="0.3">
      <c r="A730" s="20"/>
      <c r="B730" s="19"/>
      <c r="C730" s="19"/>
      <c r="D730" s="19"/>
      <c r="E730" s="19"/>
      <c r="F730" s="19"/>
      <c r="G730" s="19"/>
    </row>
    <row r="731" spans="1:7" x14ac:dyDescent="0.3">
      <c r="A731" s="20"/>
      <c r="B731" s="19"/>
      <c r="C731" s="19"/>
      <c r="D731" s="19"/>
      <c r="E731" s="19"/>
      <c r="F731" s="19"/>
      <c r="G731" s="19"/>
    </row>
    <row r="732" spans="1:7" x14ac:dyDescent="0.3">
      <c r="A732" s="20"/>
      <c r="B732" s="19"/>
      <c r="C732" s="19"/>
      <c r="D732" s="19"/>
      <c r="E732" s="19"/>
      <c r="F732" s="19"/>
      <c r="G732" s="19"/>
    </row>
    <row r="733" spans="1:7" x14ac:dyDescent="0.3">
      <c r="A733" s="20"/>
      <c r="B733" s="19"/>
      <c r="C733" s="19"/>
      <c r="D733" s="19"/>
      <c r="E733" s="19"/>
      <c r="F733" s="19"/>
      <c r="G733" s="19"/>
    </row>
    <row r="734" spans="1:7" x14ac:dyDescent="0.3">
      <c r="A734" s="20"/>
      <c r="B734" s="19"/>
      <c r="C734" s="19"/>
      <c r="D734" s="19"/>
      <c r="E734" s="19"/>
      <c r="F734" s="19"/>
      <c r="G734" s="19"/>
    </row>
    <row r="735" spans="1:7" x14ac:dyDescent="0.3">
      <c r="A735" s="20"/>
      <c r="B735" s="19"/>
      <c r="C735" s="19"/>
      <c r="D735" s="19"/>
      <c r="E735" s="19"/>
      <c r="F735" s="19"/>
      <c r="G735" s="19"/>
    </row>
    <row r="736" spans="1:7" x14ac:dyDescent="0.3">
      <c r="A736" s="20"/>
      <c r="B736" s="19"/>
      <c r="C736" s="19"/>
      <c r="D736" s="19"/>
      <c r="E736" s="19"/>
      <c r="F736" s="19"/>
      <c r="G736" s="19"/>
    </row>
    <row r="737" spans="1:7" x14ac:dyDescent="0.3">
      <c r="A737" s="20"/>
      <c r="B737" s="19"/>
      <c r="C737" s="19"/>
      <c r="D737" s="19"/>
      <c r="E737" s="19"/>
      <c r="F737" s="19"/>
      <c r="G737" s="19"/>
    </row>
    <row r="738" spans="1:7" x14ac:dyDescent="0.3">
      <c r="A738" s="20"/>
      <c r="B738" s="19"/>
      <c r="C738" s="19"/>
      <c r="D738" s="19"/>
      <c r="E738" s="19"/>
      <c r="F738" s="19"/>
      <c r="G738" s="19"/>
    </row>
    <row r="739" spans="1:7" x14ac:dyDescent="0.3">
      <c r="A739" s="20"/>
      <c r="B739" s="19"/>
      <c r="C739" s="19"/>
      <c r="D739" s="19"/>
      <c r="E739" s="19"/>
      <c r="F739" s="19"/>
      <c r="G739" s="19"/>
    </row>
    <row r="740" spans="1:7" x14ac:dyDescent="0.3">
      <c r="A740" s="20"/>
      <c r="B740" s="19"/>
      <c r="C740" s="19"/>
      <c r="D740" s="19"/>
      <c r="E740" s="19"/>
      <c r="F740" s="19"/>
      <c r="G740" s="19"/>
    </row>
    <row r="741" spans="1:7" x14ac:dyDescent="0.3">
      <c r="A741" s="20"/>
      <c r="B741" s="19"/>
      <c r="C741" s="19"/>
      <c r="D741" s="19"/>
      <c r="E741" s="19"/>
      <c r="F741" s="19"/>
      <c r="G741" s="19"/>
    </row>
    <row r="742" spans="1:7" x14ac:dyDescent="0.3">
      <c r="A742" s="20"/>
      <c r="B742" s="19"/>
      <c r="C742" s="19"/>
      <c r="D742" s="19"/>
      <c r="E742" s="19"/>
      <c r="F742" s="19"/>
      <c r="G742" s="19"/>
    </row>
    <row r="743" spans="1:7" x14ac:dyDescent="0.3">
      <c r="A743" s="20"/>
      <c r="B743" s="19"/>
      <c r="C743" s="19"/>
      <c r="D743" s="19"/>
      <c r="E743" s="19"/>
      <c r="F743" s="19"/>
      <c r="G743" s="19"/>
    </row>
    <row r="744" spans="1:7" x14ac:dyDescent="0.3">
      <c r="A744" s="20"/>
      <c r="B744" s="19"/>
      <c r="C744" s="19"/>
      <c r="D744" s="19"/>
      <c r="E744" s="19"/>
      <c r="F744" s="19"/>
      <c r="G744" s="19"/>
    </row>
    <row r="745" spans="1:7" x14ac:dyDescent="0.3">
      <c r="A745" s="20"/>
      <c r="B745" s="19"/>
      <c r="C745" s="19"/>
      <c r="D745" s="19"/>
      <c r="E745" s="19"/>
      <c r="F745" s="19"/>
      <c r="G745" s="19"/>
    </row>
    <row r="746" spans="1:7" x14ac:dyDescent="0.3">
      <c r="A746" s="20"/>
      <c r="B746" s="19"/>
      <c r="C746" s="19"/>
      <c r="D746" s="19"/>
      <c r="E746" s="19"/>
      <c r="F746" s="19"/>
      <c r="G746" s="19"/>
    </row>
    <row r="747" spans="1:7" x14ac:dyDescent="0.3">
      <c r="A747" s="20"/>
      <c r="B747" s="19"/>
      <c r="C747" s="19"/>
      <c r="D747" s="19"/>
      <c r="E747" s="19"/>
      <c r="F747" s="19"/>
      <c r="G747" s="19"/>
    </row>
    <row r="748" spans="1:7" x14ac:dyDescent="0.3">
      <c r="A748" s="20"/>
      <c r="B748" s="19"/>
      <c r="C748" s="19"/>
      <c r="D748" s="19"/>
      <c r="E748" s="19"/>
      <c r="F748" s="19"/>
      <c r="G748" s="19"/>
    </row>
    <row r="749" spans="1:7" x14ac:dyDescent="0.3">
      <c r="A749" s="20"/>
      <c r="B749" s="19"/>
      <c r="C749" s="19"/>
      <c r="D749" s="19"/>
      <c r="E749" s="19"/>
      <c r="F749" s="19"/>
      <c r="G749" s="19"/>
    </row>
    <row r="750" spans="1:7" x14ac:dyDescent="0.3">
      <c r="A750" s="20"/>
      <c r="B750" s="19"/>
      <c r="C750" s="19"/>
      <c r="D750" s="19"/>
      <c r="E750" s="19"/>
      <c r="F750" s="19"/>
      <c r="G750" s="19"/>
    </row>
    <row r="751" spans="1:7" x14ac:dyDescent="0.3">
      <c r="A751" s="20"/>
      <c r="B751" s="19"/>
      <c r="C751" s="19"/>
      <c r="D751" s="19"/>
      <c r="E751" s="19"/>
      <c r="F751" s="19"/>
      <c r="G751" s="19"/>
    </row>
    <row r="752" spans="1:7" x14ac:dyDescent="0.3">
      <c r="A752" s="20"/>
      <c r="B752" s="19"/>
      <c r="C752" s="19"/>
      <c r="D752" s="19"/>
      <c r="E752" s="19"/>
      <c r="F752" s="19"/>
      <c r="G752" s="19"/>
    </row>
    <row r="753" spans="1:7" x14ac:dyDescent="0.3">
      <c r="A753" s="20"/>
      <c r="B753" s="19"/>
      <c r="C753" s="19"/>
      <c r="D753" s="19"/>
      <c r="E753" s="19"/>
      <c r="F753" s="19"/>
      <c r="G753" s="19"/>
    </row>
    <row r="754" spans="1:7" x14ac:dyDescent="0.3">
      <c r="A754" s="20"/>
      <c r="B754" s="19"/>
      <c r="C754" s="19"/>
      <c r="D754" s="19"/>
      <c r="E754" s="19"/>
      <c r="F754" s="19"/>
      <c r="G754" s="19"/>
    </row>
    <row r="755" spans="1:7" x14ac:dyDescent="0.3">
      <c r="A755" s="20"/>
      <c r="B755" s="19"/>
      <c r="C755" s="19"/>
      <c r="D755" s="19"/>
      <c r="E755" s="19"/>
      <c r="F755" s="19"/>
      <c r="G755" s="19"/>
    </row>
    <row r="756" spans="1:7" x14ac:dyDescent="0.3">
      <c r="A756" s="20"/>
      <c r="B756" s="19"/>
      <c r="C756" s="19"/>
      <c r="D756" s="19"/>
      <c r="E756" s="19"/>
      <c r="F756" s="19"/>
      <c r="G756" s="19"/>
    </row>
    <row r="757" spans="1:7" x14ac:dyDescent="0.3">
      <c r="A757" s="20"/>
      <c r="B757" s="19"/>
      <c r="C757" s="19"/>
      <c r="D757" s="19"/>
      <c r="E757" s="19"/>
      <c r="F757" s="19"/>
      <c r="G757" s="19"/>
    </row>
    <row r="758" spans="1:7" x14ac:dyDescent="0.3">
      <c r="A758" s="20"/>
      <c r="B758" s="19"/>
      <c r="C758" s="19"/>
      <c r="D758" s="19"/>
      <c r="E758" s="19"/>
      <c r="F758" s="19"/>
      <c r="G758" s="19"/>
    </row>
    <row r="759" spans="1:7" x14ac:dyDescent="0.3">
      <c r="A759" s="20"/>
      <c r="B759" s="19"/>
      <c r="C759" s="19"/>
      <c r="D759" s="19"/>
      <c r="E759" s="19"/>
      <c r="F759" s="19"/>
      <c r="G759" s="19"/>
    </row>
    <row r="760" spans="1:7" x14ac:dyDescent="0.3">
      <c r="A760" s="20"/>
      <c r="B760" s="19"/>
      <c r="C760" s="19"/>
      <c r="D760" s="19"/>
      <c r="E760" s="19"/>
      <c r="F760" s="19"/>
      <c r="G760" s="19"/>
    </row>
    <row r="761" spans="1:7" x14ac:dyDescent="0.3">
      <c r="A761" s="20"/>
      <c r="B761" s="19"/>
      <c r="C761" s="19"/>
      <c r="D761" s="19"/>
      <c r="E761" s="19"/>
      <c r="F761" s="19"/>
      <c r="G761" s="19"/>
    </row>
    <row r="762" spans="1:7" x14ac:dyDescent="0.3">
      <c r="A762" s="20"/>
      <c r="B762" s="19"/>
      <c r="C762" s="19"/>
      <c r="D762" s="19"/>
      <c r="E762" s="19"/>
      <c r="F762" s="19"/>
      <c r="G762" s="19"/>
    </row>
    <row r="763" spans="1:7" x14ac:dyDescent="0.3">
      <c r="A763" s="20"/>
      <c r="B763" s="19"/>
      <c r="C763" s="19"/>
      <c r="D763" s="19"/>
      <c r="E763" s="19"/>
      <c r="F763" s="19"/>
      <c r="G763" s="19"/>
    </row>
    <row r="764" spans="1:7" x14ac:dyDescent="0.3">
      <c r="A764" s="20"/>
      <c r="B764" s="19"/>
      <c r="C764" s="19"/>
      <c r="D764" s="19"/>
      <c r="E764" s="19"/>
      <c r="F764" s="19"/>
      <c r="G764" s="19"/>
    </row>
    <row r="765" spans="1:7" x14ac:dyDescent="0.3">
      <c r="A765" s="20"/>
      <c r="B765" s="19"/>
      <c r="C765" s="19"/>
      <c r="D765" s="19"/>
      <c r="E765" s="19"/>
      <c r="F765" s="19"/>
      <c r="G765" s="19"/>
    </row>
    <row r="766" spans="1:7" x14ac:dyDescent="0.3">
      <c r="A766" s="20"/>
      <c r="B766" s="19"/>
      <c r="C766" s="19"/>
      <c r="D766" s="19"/>
      <c r="E766" s="19"/>
      <c r="F766" s="19"/>
      <c r="G766" s="19"/>
    </row>
    <row r="767" spans="1:7" x14ac:dyDescent="0.3">
      <c r="A767" s="20"/>
      <c r="B767" s="19"/>
      <c r="C767" s="19"/>
      <c r="D767" s="19"/>
      <c r="E767" s="19"/>
      <c r="F767" s="19"/>
      <c r="G767" s="19"/>
    </row>
    <row r="768" spans="1:7" x14ac:dyDescent="0.3">
      <c r="A768" s="20"/>
      <c r="B768" s="19"/>
      <c r="C768" s="19"/>
      <c r="D768" s="19"/>
      <c r="E768" s="19"/>
      <c r="F768" s="19"/>
      <c r="G768" s="19"/>
    </row>
    <row r="769" spans="1:7" x14ac:dyDescent="0.3">
      <c r="A769" s="20"/>
      <c r="B769" s="19"/>
      <c r="C769" s="19"/>
      <c r="D769" s="19"/>
      <c r="E769" s="19"/>
      <c r="F769" s="19"/>
      <c r="G769" s="19"/>
    </row>
    <row r="770" spans="1:7" x14ac:dyDescent="0.3">
      <c r="A770" s="20"/>
      <c r="B770" s="19"/>
      <c r="C770" s="19"/>
      <c r="D770" s="19"/>
      <c r="E770" s="19"/>
      <c r="F770" s="19"/>
      <c r="G770" s="19"/>
    </row>
    <row r="771" spans="1:7" x14ac:dyDescent="0.3">
      <c r="A771" s="20"/>
      <c r="B771" s="19"/>
      <c r="C771" s="19"/>
      <c r="D771" s="19"/>
      <c r="E771" s="19"/>
      <c r="F771" s="19"/>
      <c r="G771" s="19"/>
    </row>
    <row r="772" spans="1:7" x14ac:dyDescent="0.3">
      <c r="A772" s="20"/>
      <c r="B772" s="19"/>
      <c r="C772" s="19"/>
      <c r="D772" s="19"/>
      <c r="E772" s="19"/>
      <c r="F772" s="19"/>
      <c r="G772" s="19"/>
    </row>
    <row r="773" spans="1:7" x14ac:dyDescent="0.3">
      <c r="A773" s="20"/>
      <c r="B773" s="19"/>
      <c r="C773" s="19"/>
      <c r="D773" s="19"/>
      <c r="E773" s="19"/>
      <c r="F773" s="19"/>
      <c r="G773" s="19"/>
    </row>
    <row r="774" spans="1:7" x14ac:dyDescent="0.3">
      <c r="A774" s="20"/>
      <c r="B774" s="19"/>
      <c r="C774" s="19"/>
      <c r="D774" s="19"/>
      <c r="E774" s="19"/>
      <c r="F774" s="19"/>
      <c r="G774" s="19"/>
    </row>
    <row r="775" spans="1:7" x14ac:dyDescent="0.3">
      <c r="A775" s="20"/>
      <c r="B775" s="19"/>
      <c r="C775" s="19"/>
      <c r="D775" s="19"/>
      <c r="E775" s="19"/>
      <c r="F775" s="19"/>
      <c r="G775" s="19"/>
    </row>
    <row r="776" spans="1:7" x14ac:dyDescent="0.3">
      <c r="A776" s="20"/>
      <c r="B776" s="19"/>
      <c r="C776" s="19"/>
      <c r="D776" s="19"/>
      <c r="E776" s="19"/>
      <c r="F776" s="19"/>
      <c r="G776" s="19"/>
    </row>
    <row r="777" spans="1:7" x14ac:dyDescent="0.3">
      <c r="A777" s="20"/>
      <c r="B777" s="19"/>
      <c r="C777" s="19"/>
      <c r="D777" s="19"/>
      <c r="E777" s="19"/>
      <c r="F777" s="19"/>
      <c r="G777" s="19"/>
    </row>
    <row r="778" spans="1:7" x14ac:dyDescent="0.3">
      <c r="A778" s="20"/>
      <c r="B778" s="19"/>
      <c r="C778" s="19"/>
      <c r="D778" s="19"/>
      <c r="E778" s="19"/>
      <c r="F778" s="19"/>
      <c r="G778" s="19"/>
    </row>
    <row r="779" spans="1:7" x14ac:dyDescent="0.3">
      <c r="A779" s="20"/>
      <c r="B779" s="19"/>
      <c r="C779" s="19"/>
      <c r="D779" s="19"/>
      <c r="E779" s="19"/>
      <c r="F779" s="19"/>
      <c r="G779" s="19"/>
    </row>
    <row r="780" spans="1:7" x14ac:dyDescent="0.3">
      <c r="A780" s="20"/>
      <c r="B780" s="19"/>
      <c r="C780" s="19"/>
      <c r="D780" s="19"/>
      <c r="E780" s="19"/>
      <c r="F780" s="19"/>
      <c r="G780" s="19"/>
    </row>
    <row r="781" spans="1:7" x14ac:dyDescent="0.3">
      <c r="A781" s="20"/>
      <c r="B781" s="19"/>
      <c r="C781" s="19"/>
      <c r="D781" s="19"/>
      <c r="E781" s="19"/>
      <c r="F781" s="19"/>
      <c r="G781" s="19"/>
    </row>
    <row r="782" spans="1:7" x14ac:dyDescent="0.3">
      <c r="A782" s="20"/>
      <c r="B782" s="19"/>
      <c r="C782" s="19"/>
      <c r="D782" s="19"/>
      <c r="E782" s="19"/>
      <c r="F782" s="19"/>
      <c r="G782" s="19"/>
    </row>
    <row r="783" spans="1:7" x14ac:dyDescent="0.3">
      <c r="A783" s="20"/>
      <c r="B783" s="19"/>
      <c r="C783" s="19"/>
      <c r="D783" s="19"/>
      <c r="E783" s="19"/>
      <c r="F783" s="19"/>
      <c r="G783" s="19"/>
    </row>
    <row r="784" spans="1:7" x14ac:dyDescent="0.3">
      <c r="A784" s="20"/>
      <c r="B784" s="19"/>
      <c r="C784" s="19"/>
      <c r="D784" s="19"/>
      <c r="E784" s="19"/>
      <c r="F784" s="19"/>
      <c r="G784" s="19"/>
    </row>
    <row r="785" spans="1:7" x14ac:dyDescent="0.3">
      <c r="A785" s="20"/>
      <c r="B785" s="19"/>
      <c r="C785" s="19"/>
      <c r="D785" s="19"/>
      <c r="E785" s="19"/>
      <c r="F785" s="19"/>
      <c r="G785" s="19"/>
    </row>
    <row r="786" spans="1:7" x14ac:dyDescent="0.3">
      <c r="A786" s="20"/>
      <c r="B786" s="19"/>
      <c r="C786" s="19"/>
      <c r="D786" s="19"/>
      <c r="E786" s="19"/>
      <c r="F786" s="19"/>
      <c r="G786" s="19"/>
    </row>
    <row r="787" spans="1:7" x14ac:dyDescent="0.3">
      <c r="A787" s="20"/>
      <c r="B787" s="19"/>
      <c r="C787" s="19"/>
      <c r="D787" s="19"/>
      <c r="E787" s="19"/>
      <c r="F787" s="19"/>
      <c r="G787" s="19"/>
    </row>
    <row r="788" spans="1:7" x14ac:dyDescent="0.3">
      <c r="A788" s="20"/>
      <c r="B788" s="19"/>
      <c r="C788" s="19"/>
      <c r="D788" s="19"/>
      <c r="E788" s="19"/>
      <c r="F788" s="19"/>
      <c r="G788" s="19"/>
    </row>
    <row r="789" spans="1:7" x14ac:dyDescent="0.3">
      <c r="A789" s="20"/>
      <c r="B789" s="19"/>
      <c r="C789" s="19"/>
      <c r="D789" s="19"/>
      <c r="E789" s="19"/>
      <c r="F789" s="19"/>
      <c r="G789" s="19"/>
    </row>
    <row r="790" spans="1:7" x14ac:dyDescent="0.3">
      <c r="A790" s="20"/>
      <c r="B790" s="19"/>
      <c r="C790" s="19"/>
      <c r="D790" s="19"/>
      <c r="E790" s="19"/>
      <c r="F790" s="19"/>
      <c r="G790" s="19"/>
    </row>
    <row r="791" spans="1:7" x14ac:dyDescent="0.3">
      <c r="A791" s="20"/>
      <c r="B791" s="19"/>
      <c r="C791" s="19"/>
      <c r="D791" s="19"/>
      <c r="E791" s="19"/>
      <c r="F791" s="19"/>
      <c r="G791" s="19"/>
    </row>
    <row r="792" spans="1:7" x14ac:dyDescent="0.3">
      <c r="A792" s="20"/>
      <c r="B792" s="19"/>
      <c r="C792" s="19"/>
      <c r="D792" s="19"/>
      <c r="E792" s="19"/>
      <c r="F792" s="19"/>
      <c r="G792" s="19"/>
    </row>
    <row r="793" spans="1:7" x14ac:dyDescent="0.3">
      <c r="A793" s="20"/>
      <c r="B793" s="19"/>
      <c r="C793" s="19"/>
      <c r="D793" s="19"/>
      <c r="E793" s="19"/>
      <c r="F793" s="19"/>
      <c r="G793" s="19"/>
    </row>
    <row r="794" spans="1:7" x14ac:dyDescent="0.3">
      <c r="A794" s="20"/>
      <c r="B794" s="19"/>
      <c r="C794" s="19"/>
      <c r="D794" s="19"/>
      <c r="E794" s="19"/>
      <c r="F794" s="19"/>
      <c r="G794" s="19"/>
    </row>
    <row r="795" spans="1:7" x14ac:dyDescent="0.3">
      <c r="A795" s="20"/>
      <c r="B795" s="19"/>
      <c r="C795" s="19"/>
      <c r="D795" s="19"/>
      <c r="E795" s="19"/>
      <c r="F795" s="19"/>
      <c r="G795" s="19"/>
    </row>
    <row r="796" spans="1:7" x14ac:dyDescent="0.3">
      <c r="A796" s="20"/>
      <c r="B796" s="19"/>
      <c r="C796" s="19"/>
      <c r="D796" s="19"/>
      <c r="E796" s="19"/>
      <c r="F796" s="19"/>
      <c r="G796" s="19"/>
    </row>
    <row r="797" spans="1:7" x14ac:dyDescent="0.3">
      <c r="A797" s="20"/>
      <c r="B797" s="19"/>
      <c r="C797" s="19"/>
      <c r="D797" s="19"/>
      <c r="E797" s="19"/>
      <c r="F797" s="19"/>
      <c r="G797" s="19"/>
    </row>
    <row r="798" spans="1:7" x14ac:dyDescent="0.3">
      <c r="A798" s="20"/>
      <c r="B798" s="19"/>
      <c r="C798" s="19"/>
      <c r="D798" s="19"/>
      <c r="E798" s="19"/>
      <c r="F798" s="19"/>
      <c r="G798" s="19"/>
    </row>
    <row r="799" spans="1:7" x14ac:dyDescent="0.3">
      <c r="A799" s="20"/>
      <c r="B799" s="19"/>
      <c r="C799" s="19"/>
      <c r="D799" s="19"/>
      <c r="E799" s="19"/>
      <c r="F799" s="19"/>
      <c r="G799" s="19"/>
    </row>
    <row r="800" spans="1:7" x14ac:dyDescent="0.3">
      <c r="A800" s="20"/>
      <c r="B800" s="19"/>
      <c r="C800" s="19"/>
      <c r="D800" s="19"/>
      <c r="E800" s="19"/>
      <c r="F800" s="19"/>
      <c r="G800" s="19"/>
    </row>
    <row r="801" spans="1:7" x14ac:dyDescent="0.3">
      <c r="A801" s="20"/>
      <c r="B801" s="19"/>
      <c r="C801" s="19"/>
      <c r="D801" s="19"/>
      <c r="E801" s="19"/>
      <c r="F801" s="19"/>
      <c r="G801" s="19"/>
    </row>
    <row r="802" spans="1:7" x14ac:dyDescent="0.3">
      <c r="A802" s="20"/>
      <c r="B802" s="19"/>
      <c r="C802" s="19"/>
      <c r="D802" s="19"/>
      <c r="E802" s="19"/>
      <c r="F802" s="19"/>
      <c r="G802" s="19"/>
    </row>
    <row r="803" spans="1:7" x14ac:dyDescent="0.3">
      <c r="A803" s="20"/>
      <c r="B803" s="19"/>
      <c r="C803" s="19"/>
      <c r="D803" s="19"/>
      <c r="E803" s="19"/>
      <c r="F803" s="19"/>
      <c r="G803" s="19"/>
    </row>
    <row r="804" spans="1:7" x14ac:dyDescent="0.3">
      <c r="A804" s="20"/>
      <c r="B804" s="19"/>
      <c r="C804" s="19"/>
      <c r="D804" s="19"/>
      <c r="E804" s="19"/>
      <c r="F804" s="19"/>
      <c r="G804" s="19"/>
    </row>
    <row r="805" spans="1:7" x14ac:dyDescent="0.3">
      <c r="A805" s="20"/>
      <c r="B805" s="19"/>
      <c r="C805" s="19"/>
      <c r="D805" s="19"/>
      <c r="E805" s="19"/>
      <c r="F805" s="19"/>
      <c r="G805" s="19"/>
    </row>
    <row r="806" spans="1:7" x14ac:dyDescent="0.3">
      <c r="A806" s="20"/>
      <c r="B806" s="19"/>
      <c r="C806" s="19"/>
      <c r="D806" s="19"/>
      <c r="E806" s="19"/>
      <c r="F806" s="19"/>
      <c r="G806" s="19"/>
    </row>
    <row r="807" spans="1:7" x14ac:dyDescent="0.3">
      <c r="A807" s="20"/>
      <c r="B807" s="19"/>
      <c r="C807" s="19"/>
      <c r="D807" s="19"/>
      <c r="E807" s="19"/>
      <c r="F807" s="19"/>
      <c r="G807" s="19"/>
    </row>
    <row r="808" spans="1:7" x14ac:dyDescent="0.3">
      <c r="A808" s="20"/>
      <c r="B808" s="19"/>
      <c r="C808" s="19"/>
      <c r="D808" s="19"/>
      <c r="E808" s="19"/>
      <c r="F808" s="19"/>
      <c r="G808" s="19"/>
    </row>
    <row r="809" spans="1:7" x14ac:dyDescent="0.3">
      <c r="A809" s="20"/>
      <c r="B809" s="19"/>
      <c r="C809" s="19"/>
      <c r="D809" s="19"/>
      <c r="E809" s="19"/>
      <c r="F809" s="19"/>
      <c r="G809" s="19"/>
    </row>
    <row r="810" spans="1:7" x14ac:dyDescent="0.3">
      <c r="A810" s="20"/>
      <c r="B810" s="19"/>
      <c r="C810" s="19"/>
      <c r="D810" s="19"/>
      <c r="E810" s="19"/>
      <c r="F810" s="19"/>
      <c r="G810" s="19"/>
    </row>
    <row r="811" spans="1:7" x14ac:dyDescent="0.3">
      <c r="A811" s="20"/>
      <c r="B811" s="19"/>
      <c r="C811" s="19"/>
      <c r="D811" s="19"/>
      <c r="E811" s="19"/>
      <c r="F811" s="19"/>
      <c r="G811" s="19"/>
    </row>
    <row r="812" spans="1:7" x14ac:dyDescent="0.3">
      <c r="A812" s="20"/>
      <c r="B812" s="19"/>
      <c r="C812" s="19"/>
      <c r="D812" s="19"/>
      <c r="E812" s="19"/>
      <c r="F812" s="19"/>
      <c r="G812" s="19"/>
    </row>
    <row r="813" spans="1:7" x14ac:dyDescent="0.3">
      <c r="A813" s="20"/>
      <c r="B813" s="19"/>
      <c r="C813" s="19"/>
      <c r="D813" s="19"/>
      <c r="E813" s="19"/>
      <c r="F813" s="19"/>
      <c r="G813" s="19"/>
    </row>
    <row r="814" spans="1:7" x14ac:dyDescent="0.3">
      <c r="A814" s="20"/>
      <c r="B814" s="19"/>
      <c r="C814" s="19"/>
      <c r="D814" s="19"/>
      <c r="E814" s="19"/>
      <c r="F814" s="19"/>
      <c r="G814" s="19"/>
    </row>
    <row r="815" spans="1:7" x14ac:dyDescent="0.3">
      <c r="A815" s="20"/>
      <c r="B815" s="19"/>
      <c r="C815" s="19"/>
      <c r="D815" s="19"/>
      <c r="E815" s="19"/>
      <c r="F815" s="19"/>
      <c r="G815" s="19"/>
    </row>
    <row r="816" spans="1:7" x14ac:dyDescent="0.3">
      <c r="A816" s="20"/>
      <c r="B816" s="19"/>
      <c r="C816" s="19"/>
      <c r="D816" s="19"/>
      <c r="E816" s="19"/>
      <c r="F816" s="19"/>
      <c r="G816" s="19"/>
    </row>
    <row r="817" spans="1:7" x14ac:dyDescent="0.3">
      <c r="A817" s="20"/>
      <c r="B817" s="19"/>
      <c r="C817" s="19"/>
      <c r="D817" s="19"/>
      <c r="E817" s="19"/>
      <c r="F817" s="19"/>
      <c r="G817" s="19"/>
    </row>
    <row r="818" spans="1:7" x14ac:dyDescent="0.3">
      <c r="A818" s="20"/>
      <c r="B818" s="19"/>
      <c r="C818" s="19"/>
      <c r="D818" s="19"/>
      <c r="E818" s="19"/>
      <c r="F818" s="19"/>
      <c r="G818" s="19"/>
    </row>
    <row r="819" spans="1:7" x14ac:dyDescent="0.3">
      <c r="A819" s="20"/>
      <c r="B819" s="19"/>
      <c r="C819" s="19"/>
      <c r="D819" s="19"/>
      <c r="E819" s="19"/>
      <c r="F819" s="19"/>
      <c r="G819" s="19"/>
    </row>
    <row r="820" spans="1:7" x14ac:dyDescent="0.3">
      <c r="A820" s="20"/>
      <c r="B820" s="19"/>
      <c r="C820" s="19"/>
      <c r="D820" s="19"/>
      <c r="E820" s="19"/>
      <c r="F820" s="19"/>
      <c r="G820" s="19"/>
    </row>
    <row r="821" spans="1:7" x14ac:dyDescent="0.3">
      <c r="A821" s="20"/>
      <c r="B821" s="19"/>
      <c r="C821" s="19"/>
      <c r="D821" s="19"/>
      <c r="E821" s="19"/>
      <c r="F821" s="19"/>
      <c r="G821" s="19"/>
    </row>
    <row r="822" spans="1:7" x14ac:dyDescent="0.3">
      <c r="A822" s="20"/>
      <c r="B822" s="19"/>
      <c r="C822" s="19"/>
      <c r="D822" s="19"/>
      <c r="E822" s="19"/>
      <c r="F822" s="19"/>
      <c r="G822" s="19"/>
    </row>
    <row r="823" spans="1:7" x14ac:dyDescent="0.3">
      <c r="A823" s="20"/>
      <c r="B823" s="19"/>
      <c r="C823" s="19"/>
      <c r="D823" s="19"/>
      <c r="E823" s="19"/>
      <c r="F823" s="19"/>
      <c r="G823" s="19"/>
    </row>
    <row r="824" spans="1:7" x14ac:dyDescent="0.3">
      <c r="A824" s="20"/>
      <c r="B824" s="19"/>
      <c r="C824" s="19"/>
      <c r="D824" s="19"/>
      <c r="E824" s="19"/>
      <c r="F824" s="19"/>
      <c r="G824" s="19"/>
    </row>
    <row r="825" spans="1:7" x14ac:dyDescent="0.3">
      <c r="A825" s="20"/>
      <c r="B825" s="19"/>
      <c r="C825" s="19"/>
      <c r="D825" s="19"/>
      <c r="E825" s="19"/>
      <c r="F825" s="19"/>
      <c r="G825" s="19"/>
    </row>
    <row r="826" spans="1:7" x14ac:dyDescent="0.3">
      <c r="A826" s="20"/>
      <c r="B826" s="19"/>
      <c r="C826" s="19"/>
      <c r="D826" s="19"/>
      <c r="E826" s="19"/>
      <c r="F826" s="19"/>
      <c r="G826" s="19"/>
    </row>
    <row r="827" spans="1:7" x14ac:dyDescent="0.3">
      <c r="A827" s="20"/>
      <c r="B827" s="19"/>
      <c r="C827" s="19"/>
      <c r="D827" s="19"/>
      <c r="E827" s="19"/>
      <c r="F827" s="19"/>
      <c r="G827" s="19"/>
    </row>
    <row r="828" spans="1:7" x14ac:dyDescent="0.3">
      <c r="A828" s="20"/>
      <c r="B828" s="19"/>
      <c r="C828" s="19"/>
      <c r="D828" s="19"/>
      <c r="E828" s="19"/>
      <c r="F828" s="19"/>
      <c r="G828" s="19"/>
    </row>
    <row r="829" spans="1:7" x14ac:dyDescent="0.3">
      <c r="A829" s="20"/>
      <c r="B829" s="19"/>
      <c r="C829" s="19"/>
      <c r="D829" s="19"/>
      <c r="E829" s="19"/>
      <c r="F829" s="19"/>
      <c r="G829" s="19"/>
    </row>
    <row r="830" spans="1:7" x14ac:dyDescent="0.3">
      <c r="A830" s="20"/>
      <c r="B830" s="19"/>
      <c r="C830" s="19"/>
      <c r="D830" s="19"/>
      <c r="E830" s="19"/>
      <c r="F830" s="19"/>
      <c r="G830" s="19"/>
    </row>
    <row r="831" spans="1:7" x14ac:dyDescent="0.3">
      <c r="A831" s="20"/>
      <c r="B831" s="19"/>
      <c r="C831" s="19"/>
      <c r="D831" s="19"/>
      <c r="E831" s="19"/>
      <c r="F831" s="19"/>
      <c r="G831" s="19"/>
    </row>
    <row r="832" spans="1:7" x14ac:dyDescent="0.3">
      <c r="A832" s="20"/>
      <c r="B832" s="19"/>
      <c r="C832" s="19"/>
      <c r="D832" s="19"/>
      <c r="E832" s="19"/>
      <c r="F832" s="19"/>
      <c r="G832" s="19"/>
    </row>
    <row r="833" spans="1:7" x14ac:dyDescent="0.3">
      <c r="A833" s="20"/>
      <c r="B833" s="19"/>
      <c r="C833" s="19"/>
      <c r="D833" s="19"/>
      <c r="E833" s="19"/>
      <c r="F833" s="19"/>
      <c r="G833" s="19"/>
    </row>
    <row r="834" spans="1:7" x14ac:dyDescent="0.3">
      <c r="A834" s="20"/>
      <c r="B834" s="19"/>
      <c r="C834" s="19"/>
      <c r="D834" s="19"/>
      <c r="E834" s="19"/>
      <c r="F834" s="19"/>
      <c r="G834" s="19"/>
    </row>
    <row r="835" spans="1:7" x14ac:dyDescent="0.3">
      <c r="A835" s="20"/>
      <c r="B835" s="19"/>
      <c r="C835" s="19"/>
      <c r="D835" s="19"/>
      <c r="E835" s="19"/>
      <c r="F835" s="19"/>
      <c r="G835" s="19"/>
    </row>
    <row r="836" spans="1:7" x14ac:dyDescent="0.3">
      <c r="A836" s="20"/>
      <c r="B836" s="19"/>
      <c r="C836" s="19"/>
      <c r="D836" s="19"/>
      <c r="E836" s="19"/>
      <c r="F836" s="19"/>
      <c r="G836" s="19"/>
    </row>
    <row r="837" spans="1:7" x14ac:dyDescent="0.3">
      <c r="A837" s="20"/>
      <c r="B837" s="19"/>
      <c r="C837" s="19"/>
      <c r="D837" s="19"/>
      <c r="E837" s="19"/>
      <c r="F837" s="19"/>
      <c r="G837" s="19"/>
    </row>
    <row r="838" spans="1:7" x14ac:dyDescent="0.3">
      <c r="A838" s="20"/>
      <c r="B838" s="19"/>
      <c r="C838" s="19"/>
      <c r="D838" s="19"/>
      <c r="E838" s="19"/>
      <c r="F838" s="19"/>
      <c r="G838" s="19"/>
    </row>
    <row r="839" spans="1:7" x14ac:dyDescent="0.3">
      <c r="A839" s="20"/>
      <c r="B839" s="19"/>
      <c r="C839" s="19"/>
      <c r="D839" s="19"/>
      <c r="E839" s="19"/>
      <c r="F839" s="19"/>
      <c r="G839" s="19"/>
    </row>
    <row r="840" spans="1:7" x14ac:dyDescent="0.3">
      <c r="A840" s="20"/>
      <c r="B840" s="19"/>
      <c r="C840" s="19"/>
      <c r="D840" s="19"/>
      <c r="E840" s="19"/>
      <c r="F840" s="19"/>
      <c r="G840" s="19"/>
    </row>
    <row r="841" spans="1:7" x14ac:dyDescent="0.3">
      <c r="A841" s="20"/>
      <c r="B841" s="19"/>
      <c r="C841" s="19"/>
      <c r="D841" s="19"/>
      <c r="E841" s="19"/>
      <c r="F841" s="19"/>
      <c r="G841" s="19"/>
    </row>
    <row r="842" spans="1:7" x14ac:dyDescent="0.3">
      <c r="A842" s="20"/>
      <c r="B842" s="19"/>
      <c r="C842" s="19"/>
      <c r="D842" s="19"/>
      <c r="E842" s="19"/>
      <c r="F842" s="19"/>
      <c r="G842" s="19"/>
    </row>
    <row r="843" spans="1:7" x14ac:dyDescent="0.3">
      <c r="A843" s="20"/>
      <c r="B843" s="19"/>
      <c r="C843" s="19"/>
      <c r="D843" s="19"/>
      <c r="E843" s="19"/>
      <c r="F843" s="19"/>
      <c r="G843" s="19"/>
    </row>
    <row r="844" spans="1:7" x14ac:dyDescent="0.3">
      <c r="A844" s="20"/>
      <c r="B844" s="19"/>
      <c r="C844" s="19"/>
      <c r="D844" s="19"/>
      <c r="E844" s="19"/>
      <c r="F844" s="19"/>
      <c r="G844" s="19"/>
    </row>
    <row r="845" spans="1:7" x14ac:dyDescent="0.3">
      <c r="A845" s="20"/>
      <c r="B845" s="19"/>
      <c r="C845" s="19"/>
      <c r="D845" s="19"/>
      <c r="E845" s="19"/>
      <c r="F845" s="19"/>
      <c r="G845" s="19"/>
    </row>
    <row r="846" spans="1:7" x14ac:dyDescent="0.3">
      <c r="A846" s="20"/>
      <c r="B846" s="19"/>
      <c r="C846" s="19"/>
      <c r="D846" s="19"/>
      <c r="E846" s="19"/>
      <c r="F846" s="19"/>
      <c r="G846" s="19"/>
    </row>
    <row r="847" spans="1:7" x14ac:dyDescent="0.3">
      <c r="A847" s="20"/>
      <c r="B847" s="19"/>
      <c r="C847" s="19"/>
      <c r="D847" s="19"/>
      <c r="E847" s="19"/>
      <c r="F847" s="19"/>
      <c r="G847" s="19"/>
    </row>
    <row r="848" spans="1:7" x14ac:dyDescent="0.3">
      <c r="A848" s="20"/>
      <c r="B848" s="19"/>
      <c r="C848" s="19"/>
      <c r="D848" s="19"/>
      <c r="E848" s="19"/>
      <c r="F848" s="19"/>
      <c r="G848" s="19"/>
    </row>
    <row r="849" spans="1:7" x14ac:dyDescent="0.3">
      <c r="A849" s="20"/>
      <c r="B849" s="19"/>
      <c r="C849" s="19"/>
      <c r="D849" s="19"/>
      <c r="E849" s="19"/>
      <c r="F849" s="19"/>
      <c r="G849" s="19"/>
    </row>
    <row r="850" spans="1:7" x14ac:dyDescent="0.3">
      <c r="A850" s="20"/>
      <c r="B850" s="19"/>
      <c r="C850" s="19"/>
      <c r="D850" s="19"/>
      <c r="E850" s="19"/>
      <c r="F850" s="19"/>
      <c r="G850" s="19"/>
    </row>
    <row r="851" spans="1:7" x14ac:dyDescent="0.3">
      <c r="A851" s="20"/>
      <c r="B851" s="19"/>
      <c r="C851" s="19"/>
      <c r="D851" s="19"/>
      <c r="E851" s="19"/>
      <c r="F851" s="19"/>
      <c r="G851" s="19"/>
    </row>
    <row r="852" spans="1:7" x14ac:dyDescent="0.3">
      <c r="A852" s="20"/>
      <c r="B852" s="19"/>
      <c r="C852" s="19"/>
      <c r="D852" s="19"/>
      <c r="E852" s="19"/>
      <c r="F852" s="19"/>
      <c r="G852" s="19"/>
    </row>
    <row r="853" spans="1:7" x14ac:dyDescent="0.3">
      <c r="A853" s="20"/>
      <c r="B853" s="19"/>
      <c r="C853" s="19"/>
      <c r="D853" s="19"/>
      <c r="E853" s="19"/>
      <c r="F853" s="19"/>
      <c r="G853" s="19"/>
    </row>
    <row r="854" spans="1:7" x14ac:dyDescent="0.3">
      <c r="A854" s="20"/>
      <c r="B854" s="19"/>
      <c r="C854" s="19"/>
      <c r="D854" s="19"/>
      <c r="E854" s="19"/>
      <c r="F854" s="19"/>
      <c r="G854" s="19"/>
    </row>
    <row r="855" spans="1:7" x14ac:dyDescent="0.3">
      <c r="A855" s="20"/>
      <c r="B855" s="19"/>
      <c r="C855" s="19"/>
      <c r="D855" s="19"/>
      <c r="E855" s="19"/>
      <c r="F855" s="19"/>
      <c r="G855" s="19"/>
    </row>
    <row r="856" spans="1:7" x14ac:dyDescent="0.3">
      <c r="A856" s="20"/>
      <c r="B856" s="19"/>
      <c r="C856" s="19"/>
      <c r="D856" s="19"/>
      <c r="E856" s="19"/>
      <c r="F856" s="19"/>
      <c r="G856" s="19"/>
    </row>
    <row r="857" spans="1:7" x14ac:dyDescent="0.3">
      <c r="A857" s="20"/>
      <c r="B857" s="19"/>
      <c r="C857" s="19"/>
      <c r="D857" s="19"/>
      <c r="E857" s="19"/>
      <c r="F857" s="19"/>
      <c r="G857" s="19"/>
    </row>
    <row r="858" spans="1:7" x14ac:dyDescent="0.3">
      <c r="A858" s="20"/>
      <c r="B858" s="19"/>
      <c r="C858" s="19"/>
      <c r="D858" s="19"/>
      <c r="E858" s="19"/>
      <c r="F858" s="19"/>
      <c r="G858" s="19"/>
    </row>
    <row r="859" spans="1:7" x14ac:dyDescent="0.3">
      <c r="A859" s="20"/>
      <c r="B859" s="19"/>
      <c r="C859" s="19"/>
      <c r="D859" s="19"/>
      <c r="E859" s="19"/>
      <c r="F859" s="19"/>
      <c r="G859" s="19"/>
    </row>
    <row r="860" spans="1:7" x14ac:dyDescent="0.3">
      <c r="A860" s="20"/>
      <c r="B860" s="19"/>
      <c r="C860" s="19"/>
      <c r="D860" s="19"/>
      <c r="E860" s="19"/>
      <c r="F860" s="19"/>
      <c r="G860" s="19"/>
    </row>
    <row r="861" spans="1:7" x14ac:dyDescent="0.3">
      <c r="A861" s="20"/>
      <c r="B861" s="19"/>
      <c r="C861" s="19"/>
      <c r="D861" s="19"/>
      <c r="E861" s="19"/>
      <c r="F861" s="19"/>
      <c r="G861" s="19"/>
    </row>
    <row r="862" spans="1:7" x14ac:dyDescent="0.3">
      <c r="A862" s="20"/>
      <c r="B862" s="19"/>
      <c r="C862" s="19"/>
      <c r="D862" s="19"/>
      <c r="E862" s="19"/>
      <c r="F862" s="19"/>
      <c r="G862" s="19"/>
    </row>
    <row r="863" spans="1:7" x14ac:dyDescent="0.3">
      <c r="A863" s="20"/>
      <c r="B863" s="19"/>
      <c r="C863" s="19"/>
      <c r="D863" s="19"/>
      <c r="E863" s="19"/>
      <c r="F863" s="19"/>
      <c r="G863" s="19"/>
    </row>
    <row r="864" spans="1:7" x14ac:dyDescent="0.3">
      <c r="A864" s="20"/>
      <c r="B864" s="19"/>
      <c r="C864" s="19"/>
      <c r="D864" s="19"/>
      <c r="E864" s="19"/>
      <c r="F864" s="19"/>
      <c r="G864" s="19"/>
    </row>
    <row r="865" spans="1:7" x14ac:dyDescent="0.3">
      <c r="A865" s="20"/>
      <c r="B865" s="19"/>
      <c r="C865" s="19"/>
      <c r="D865" s="19"/>
      <c r="E865" s="19"/>
      <c r="F865" s="19"/>
      <c r="G865" s="19"/>
    </row>
    <row r="866" spans="1:7" x14ac:dyDescent="0.3">
      <c r="A866" s="20"/>
      <c r="B866" s="19"/>
      <c r="C866" s="19"/>
      <c r="D866" s="19"/>
      <c r="E866" s="19"/>
      <c r="F866" s="19"/>
      <c r="G866" s="19"/>
    </row>
    <row r="867" spans="1:7" x14ac:dyDescent="0.3">
      <c r="A867" s="20"/>
      <c r="B867" s="19"/>
      <c r="C867" s="19"/>
      <c r="D867" s="19"/>
      <c r="E867" s="19"/>
      <c r="F867" s="19"/>
      <c r="G867" s="19"/>
    </row>
    <row r="868" spans="1:7" x14ac:dyDescent="0.3">
      <c r="A868" s="20"/>
      <c r="B868" s="19"/>
      <c r="C868" s="19"/>
      <c r="D868" s="19"/>
      <c r="E868" s="19"/>
      <c r="F868" s="19"/>
      <c r="G868" s="19"/>
    </row>
    <row r="869" spans="1:7" x14ac:dyDescent="0.3">
      <c r="A869" s="20"/>
      <c r="B869" s="19"/>
      <c r="C869" s="19"/>
      <c r="D869" s="19"/>
      <c r="E869" s="19"/>
      <c r="F869" s="19"/>
      <c r="G869" s="19"/>
    </row>
    <row r="870" spans="1:7" x14ac:dyDescent="0.3">
      <c r="A870" s="20"/>
      <c r="B870" s="19"/>
      <c r="C870" s="19"/>
      <c r="D870" s="19"/>
      <c r="E870" s="19"/>
      <c r="F870" s="19"/>
      <c r="G870" s="19"/>
    </row>
    <row r="871" spans="1:7" x14ac:dyDescent="0.3">
      <c r="A871" s="20"/>
      <c r="B871" s="19"/>
      <c r="C871" s="19"/>
      <c r="D871" s="19"/>
      <c r="E871" s="19"/>
      <c r="F871" s="19"/>
      <c r="G871" s="19"/>
    </row>
    <row r="872" spans="1:7" x14ac:dyDescent="0.3">
      <c r="A872" s="20"/>
      <c r="B872" s="19"/>
      <c r="C872" s="19"/>
      <c r="D872" s="19"/>
      <c r="E872" s="19"/>
      <c r="F872" s="19"/>
      <c r="G872" s="19"/>
    </row>
    <row r="873" spans="1:7" x14ac:dyDescent="0.3">
      <c r="A873" s="20"/>
      <c r="B873" s="19"/>
      <c r="C873" s="19"/>
      <c r="D873" s="19"/>
      <c r="E873" s="19"/>
      <c r="F873" s="19"/>
      <c r="G873" s="19"/>
    </row>
    <row r="874" spans="1:7" x14ac:dyDescent="0.3">
      <c r="A874" s="20"/>
      <c r="B874" s="19"/>
      <c r="C874" s="19"/>
      <c r="D874" s="19"/>
      <c r="E874" s="19"/>
      <c r="F874" s="19"/>
      <c r="G874" s="19"/>
    </row>
    <row r="875" spans="1:7" x14ac:dyDescent="0.3">
      <c r="A875" s="20"/>
      <c r="B875" s="19"/>
      <c r="C875" s="19"/>
      <c r="D875" s="19"/>
      <c r="E875" s="19"/>
      <c r="F875" s="19"/>
      <c r="G875" s="19"/>
    </row>
    <row r="876" spans="1:7" x14ac:dyDescent="0.3">
      <c r="A876" s="20"/>
      <c r="B876" s="19"/>
      <c r="C876" s="19"/>
      <c r="D876" s="19"/>
      <c r="E876" s="19"/>
      <c r="F876" s="19"/>
      <c r="G876" s="19"/>
    </row>
    <row r="877" spans="1:7" x14ac:dyDescent="0.3">
      <c r="A877" s="20"/>
      <c r="B877" s="19"/>
      <c r="C877" s="19"/>
      <c r="D877" s="19"/>
      <c r="E877" s="19"/>
      <c r="F877" s="19"/>
      <c r="G877" s="19"/>
    </row>
    <row r="878" spans="1:7" x14ac:dyDescent="0.3">
      <c r="A878" s="20"/>
      <c r="B878" s="19"/>
      <c r="C878" s="19"/>
      <c r="D878" s="19"/>
      <c r="E878" s="19"/>
      <c r="F878" s="19"/>
      <c r="G878" s="19"/>
    </row>
    <row r="879" spans="1:7" x14ac:dyDescent="0.3">
      <c r="A879" s="20"/>
      <c r="B879" s="19"/>
      <c r="C879" s="19"/>
      <c r="D879" s="19"/>
      <c r="E879" s="19"/>
      <c r="F879" s="19"/>
      <c r="G879" s="19"/>
    </row>
    <row r="880" spans="1:7" x14ac:dyDescent="0.3">
      <c r="A880" s="20"/>
      <c r="B880" s="19"/>
      <c r="C880" s="19"/>
      <c r="D880" s="19"/>
      <c r="E880" s="19"/>
      <c r="F880" s="19"/>
      <c r="G880" s="19"/>
    </row>
    <row r="881" spans="1:7" x14ac:dyDescent="0.3">
      <c r="A881" s="20"/>
      <c r="B881" s="19"/>
      <c r="C881" s="19"/>
      <c r="D881" s="19"/>
      <c r="E881" s="19"/>
      <c r="F881" s="19"/>
      <c r="G881" s="19"/>
    </row>
    <row r="882" spans="1:7" x14ac:dyDescent="0.3">
      <c r="A882" s="20"/>
      <c r="B882" s="19"/>
      <c r="C882" s="19"/>
      <c r="D882" s="19"/>
      <c r="E882" s="19"/>
      <c r="F882" s="19"/>
      <c r="G882" s="19"/>
    </row>
    <row r="883" spans="1:7" x14ac:dyDescent="0.3">
      <c r="A883" s="20"/>
      <c r="B883" s="19"/>
      <c r="C883" s="19"/>
      <c r="D883" s="19"/>
      <c r="E883" s="19"/>
      <c r="F883" s="19"/>
      <c r="G883" s="19"/>
    </row>
    <row r="884" spans="1:7" x14ac:dyDescent="0.3">
      <c r="A884" s="20"/>
      <c r="B884" s="19"/>
      <c r="C884" s="19"/>
      <c r="D884" s="19"/>
      <c r="E884" s="19"/>
      <c r="F884" s="19"/>
      <c r="G884" s="19"/>
    </row>
    <row r="885" spans="1:7" x14ac:dyDescent="0.3">
      <c r="A885" s="20"/>
      <c r="B885" s="19"/>
      <c r="C885" s="19"/>
      <c r="D885" s="19"/>
      <c r="E885" s="19"/>
      <c r="F885" s="19"/>
      <c r="G885" s="19"/>
    </row>
    <row r="886" spans="1:7" x14ac:dyDescent="0.3">
      <c r="A886" s="20"/>
      <c r="B886" s="19"/>
      <c r="C886" s="19"/>
      <c r="D886" s="19"/>
      <c r="E886" s="19"/>
      <c r="F886" s="19"/>
      <c r="G886" s="19"/>
    </row>
    <row r="887" spans="1:7" x14ac:dyDescent="0.3">
      <c r="A887" s="20"/>
      <c r="B887" s="19"/>
      <c r="C887" s="19"/>
      <c r="D887" s="19"/>
      <c r="E887" s="19"/>
      <c r="F887" s="19"/>
      <c r="G887" s="19"/>
    </row>
    <row r="888" spans="1:7" x14ac:dyDescent="0.3">
      <c r="A888" s="20"/>
      <c r="B888" s="19"/>
      <c r="C888" s="19"/>
      <c r="D888" s="19"/>
      <c r="E888" s="19"/>
      <c r="F888" s="19"/>
      <c r="G888" s="19"/>
    </row>
    <row r="889" spans="1:7" x14ac:dyDescent="0.3">
      <c r="A889" s="20"/>
      <c r="B889" s="19"/>
      <c r="C889" s="19"/>
      <c r="D889" s="19"/>
      <c r="E889" s="19"/>
      <c r="F889" s="19"/>
      <c r="G889" s="19"/>
    </row>
    <row r="890" spans="1:7" x14ac:dyDescent="0.3">
      <c r="A890" s="20"/>
      <c r="B890" s="19"/>
      <c r="C890" s="19"/>
      <c r="D890" s="19"/>
      <c r="E890" s="19"/>
      <c r="F890" s="19"/>
      <c r="G890" s="19"/>
    </row>
    <row r="891" spans="1:7" x14ac:dyDescent="0.3">
      <c r="A891" s="20"/>
      <c r="B891" s="19"/>
      <c r="C891" s="19"/>
      <c r="D891" s="19"/>
      <c r="E891" s="19"/>
      <c r="F891" s="19"/>
      <c r="G891" s="19"/>
    </row>
    <row r="892" spans="1:7" x14ac:dyDescent="0.3">
      <c r="A892" s="20"/>
      <c r="B892" s="19"/>
      <c r="C892" s="19"/>
      <c r="D892" s="19"/>
      <c r="E892" s="19"/>
      <c r="F892" s="19"/>
      <c r="G892" s="19"/>
    </row>
    <row r="893" spans="1:7" x14ac:dyDescent="0.3">
      <c r="A893" s="20"/>
      <c r="B893" s="19"/>
      <c r="C893" s="19"/>
      <c r="D893" s="19"/>
      <c r="E893" s="19"/>
      <c r="F893" s="19"/>
      <c r="G893" s="19"/>
    </row>
    <row r="894" spans="1:7" x14ac:dyDescent="0.3">
      <c r="A894" s="20"/>
      <c r="B894" s="19"/>
      <c r="C894" s="19"/>
      <c r="D894" s="19"/>
      <c r="E894" s="19"/>
      <c r="F894" s="19"/>
      <c r="G894" s="19"/>
    </row>
    <row r="895" spans="1:7" x14ac:dyDescent="0.3">
      <c r="A895" s="20"/>
      <c r="B895" s="19"/>
      <c r="C895" s="19"/>
      <c r="D895" s="19"/>
      <c r="E895" s="19"/>
      <c r="F895" s="19"/>
      <c r="G895" s="19"/>
    </row>
    <row r="896" spans="1:7" x14ac:dyDescent="0.3">
      <c r="A896" s="20"/>
      <c r="B896" s="19"/>
      <c r="C896" s="19"/>
      <c r="D896" s="19"/>
      <c r="E896" s="19"/>
      <c r="F896" s="19"/>
      <c r="G896" s="19"/>
    </row>
    <row r="897" spans="1:7" x14ac:dyDescent="0.3">
      <c r="A897" s="20"/>
      <c r="B897" s="19"/>
      <c r="C897" s="19"/>
      <c r="D897" s="19"/>
      <c r="E897" s="19"/>
      <c r="F897" s="19"/>
      <c r="G897" s="19"/>
    </row>
    <row r="898" spans="1:7" x14ac:dyDescent="0.3">
      <c r="A898" s="20"/>
      <c r="B898" s="19"/>
      <c r="C898" s="19"/>
      <c r="D898" s="19"/>
      <c r="E898" s="19"/>
      <c r="F898" s="19"/>
      <c r="G898" s="19"/>
    </row>
    <row r="899" spans="1:7" x14ac:dyDescent="0.3">
      <c r="A899" s="20"/>
      <c r="B899" s="19"/>
      <c r="C899" s="19"/>
      <c r="D899" s="19"/>
      <c r="E899" s="19"/>
      <c r="F899" s="19"/>
      <c r="G899" s="19"/>
    </row>
    <row r="900" spans="1:7" x14ac:dyDescent="0.3">
      <c r="A900" s="20"/>
      <c r="B900" s="19"/>
      <c r="C900" s="19"/>
      <c r="D900" s="19"/>
      <c r="E900" s="19"/>
      <c r="F900" s="19"/>
      <c r="G900" s="19"/>
    </row>
    <row r="901" spans="1:7" x14ac:dyDescent="0.3">
      <c r="A901" s="20"/>
      <c r="B901" s="19"/>
      <c r="C901" s="19"/>
      <c r="D901" s="19"/>
      <c r="E901" s="19"/>
      <c r="F901" s="19"/>
      <c r="G901" s="19"/>
    </row>
    <row r="902" spans="1:7" x14ac:dyDescent="0.3">
      <c r="A902" s="20"/>
      <c r="B902" s="19"/>
      <c r="C902" s="19"/>
      <c r="D902" s="19"/>
      <c r="E902" s="19"/>
      <c r="F902" s="19"/>
      <c r="G902" s="19"/>
    </row>
    <row r="903" spans="1:7" x14ac:dyDescent="0.3">
      <c r="A903" s="20"/>
      <c r="B903" s="19"/>
      <c r="C903" s="19"/>
      <c r="D903" s="19"/>
      <c r="E903" s="19"/>
      <c r="F903" s="19"/>
      <c r="G903" s="19"/>
    </row>
    <row r="904" spans="1:7" x14ac:dyDescent="0.3">
      <c r="A904" s="20"/>
      <c r="B904" s="19"/>
      <c r="C904" s="19"/>
      <c r="D904" s="19"/>
      <c r="E904" s="19"/>
      <c r="F904" s="19"/>
      <c r="G904" s="19"/>
    </row>
    <row r="905" spans="1:7" x14ac:dyDescent="0.3">
      <c r="A905" s="20"/>
      <c r="B905" s="19"/>
      <c r="C905" s="19"/>
      <c r="D905" s="19"/>
      <c r="E905" s="19"/>
      <c r="F905" s="19"/>
      <c r="G905" s="19"/>
    </row>
    <row r="906" spans="1:7" x14ac:dyDescent="0.3">
      <c r="A906" s="20"/>
      <c r="B906" s="19"/>
      <c r="C906" s="19"/>
      <c r="D906" s="19"/>
      <c r="E906" s="19"/>
      <c r="F906" s="19"/>
      <c r="G906" s="19"/>
    </row>
    <row r="907" spans="1:7" x14ac:dyDescent="0.3">
      <c r="A907" s="20"/>
      <c r="B907" s="19"/>
      <c r="C907" s="19"/>
      <c r="D907" s="19"/>
      <c r="E907" s="19"/>
      <c r="F907" s="19"/>
      <c r="G907" s="19"/>
    </row>
    <row r="908" spans="1:7" x14ac:dyDescent="0.3">
      <c r="A908" s="20"/>
      <c r="B908" s="19"/>
      <c r="C908" s="19"/>
      <c r="D908" s="19"/>
      <c r="E908" s="19"/>
      <c r="F908" s="19"/>
      <c r="G908" s="19"/>
    </row>
    <row r="909" spans="1:7" x14ac:dyDescent="0.3">
      <c r="A909" s="20"/>
      <c r="B909" s="19"/>
      <c r="C909" s="19"/>
      <c r="D909" s="19"/>
      <c r="E909" s="19"/>
      <c r="F909" s="19"/>
      <c r="G909" s="19"/>
    </row>
    <row r="910" spans="1:7" x14ac:dyDescent="0.3">
      <c r="A910" s="20"/>
      <c r="B910" s="19"/>
      <c r="C910" s="19"/>
      <c r="D910" s="19"/>
      <c r="E910" s="19"/>
      <c r="F910" s="19"/>
      <c r="G910" s="19"/>
    </row>
    <row r="911" spans="1:7" x14ac:dyDescent="0.3">
      <c r="A911" s="20"/>
      <c r="B911" s="19"/>
      <c r="C911" s="19"/>
      <c r="D911" s="19"/>
      <c r="E911" s="19"/>
      <c r="F911" s="19"/>
      <c r="G911" s="19"/>
    </row>
    <row r="912" spans="1:7" x14ac:dyDescent="0.3">
      <c r="A912" s="20"/>
      <c r="B912" s="19"/>
      <c r="C912" s="19"/>
      <c r="D912" s="19"/>
      <c r="E912" s="19"/>
      <c r="F912" s="19"/>
      <c r="G912" s="19"/>
    </row>
    <row r="913" spans="1:7" x14ac:dyDescent="0.3">
      <c r="A913" s="20"/>
      <c r="B913" s="19"/>
      <c r="C913" s="19"/>
      <c r="D913" s="19"/>
      <c r="E913" s="19"/>
      <c r="F913" s="19"/>
      <c r="G913" s="19"/>
    </row>
    <row r="914" spans="1:7" x14ac:dyDescent="0.3">
      <c r="A914" s="20"/>
      <c r="B914" s="19"/>
      <c r="C914" s="19"/>
      <c r="D914" s="19"/>
      <c r="E914" s="19"/>
      <c r="F914" s="19"/>
      <c r="G914" s="19"/>
    </row>
    <row r="915" spans="1:7" x14ac:dyDescent="0.3">
      <c r="A915" s="20"/>
      <c r="B915" s="19"/>
      <c r="C915" s="19"/>
      <c r="D915" s="19"/>
      <c r="E915" s="19"/>
      <c r="F915" s="19"/>
      <c r="G915" s="19"/>
    </row>
    <row r="916" spans="1:7" x14ac:dyDescent="0.3">
      <c r="A916" s="20"/>
      <c r="B916" s="19"/>
      <c r="C916" s="19"/>
      <c r="D916" s="19"/>
      <c r="E916" s="19"/>
      <c r="F916" s="19"/>
      <c r="G916" s="19"/>
    </row>
    <row r="917" spans="1:7" x14ac:dyDescent="0.3">
      <c r="A917" s="20"/>
      <c r="B917" s="19"/>
      <c r="C917" s="19"/>
      <c r="D917" s="19"/>
      <c r="E917" s="19"/>
      <c r="F917" s="19"/>
      <c r="G917" s="19"/>
    </row>
    <row r="918" spans="1:7" x14ac:dyDescent="0.3">
      <c r="A918" s="20"/>
      <c r="B918" s="19"/>
      <c r="C918" s="19"/>
      <c r="D918" s="19"/>
      <c r="E918" s="19"/>
      <c r="F918" s="19"/>
      <c r="G918" s="19"/>
    </row>
    <row r="919" spans="1:7" x14ac:dyDescent="0.3">
      <c r="A919" s="20"/>
      <c r="B919" s="19"/>
      <c r="C919" s="19"/>
      <c r="D919" s="19"/>
      <c r="E919" s="19"/>
      <c r="F919" s="19"/>
      <c r="G919" s="19"/>
    </row>
    <row r="920" spans="1:7" x14ac:dyDescent="0.3">
      <c r="A920" s="20"/>
      <c r="B920" s="19"/>
      <c r="C920" s="19"/>
      <c r="D920" s="19"/>
      <c r="E920" s="19"/>
      <c r="F920" s="19"/>
      <c r="G920" s="19"/>
    </row>
    <row r="921" spans="1:7" x14ac:dyDescent="0.3">
      <c r="A921" s="20"/>
      <c r="B921" s="19"/>
      <c r="C921" s="19"/>
      <c r="D921" s="19"/>
      <c r="E921" s="19"/>
      <c r="F921" s="19"/>
      <c r="G921" s="19"/>
    </row>
    <row r="922" spans="1:7" x14ac:dyDescent="0.3">
      <c r="A922" s="20"/>
      <c r="B922" s="19"/>
      <c r="C922" s="19"/>
      <c r="D922" s="19"/>
      <c r="E922" s="19"/>
      <c r="F922" s="19"/>
      <c r="G922" s="19"/>
    </row>
    <row r="923" spans="1:7" x14ac:dyDescent="0.3">
      <c r="A923" s="20"/>
      <c r="B923" s="19"/>
      <c r="C923" s="19"/>
      <c r="D923" s="19"/>
      <c r="E923" s="19"/>
      <c r="F923" s="19"/>
      <c r="G923" s="19"/>
    </row>
    <row r="924" spans="1:7" x14ac:dyDescent="0.3">
      <c r="A924" s="20"/>
      <c r="B924" s="19"/>
      <c r="C924" s="19"/>
      <c r="D924" s="19"/>
      <c r="E924" s="19"/>
      <c r="F924" s="19"/>
      <c r="G924" s="19"/>
    </row>
    <row r="925" spans="1:7" x14ac:dyDescent="0.3">
      <c r="A925" s="20"/>
      <c r="B925" s="19"/>
      <c r="C925" s="19"/>
      <c r="D925" s="19"/>
      <c r="E925" s="19"/>
      <c r="F925" s="19"/>
      <c r="G925" s="19"/>
    </row>
    <row r="926" spans="1:7" x14ac:dyDescent="0.3">
      <c r="A926" s="20"/>
      <c r="B926" s="19"/>
      <c r="C926" s="19"/>
      <c r="D926" s="19"/>
      <c r="E926" s="19"/>
      <c r="F926" s="19"/>
      <c r="G926" s="19"/>
    </row>
    <row r="927" spans="1:7" x14ac:dyDescent="0.3">
      <c r="A927" s="20"/>
      <c r="B927" s="19"/>
      <c r="C927" s="19"/>
      <c r="D927" s="19"/>
      <c r="E927" s="19"/>
      <c r="F927" s="19"/>
      <c r="G927" s="19"/>
    </row>
    <row r="928" spans="1:7" x14ac:dyDescent="0.3">
      <c r="A928" s="20"/>
      <c r="B928" s="19"/>
      <c r="C928" s="19"/>
      <c r="D928" s="19"/>
      <c r="E928" s="19"/>
      <c r="F928" s="19"/>
      <c r="G928" s="19"/>
    </row>
    <row r="929" spans="1:7" x14ac:dyDescent="0.3">
      <c r="A929" s="20"/>
      <c r="B929" s="19"/>
      <c r="C929" s="19"/>
      <c r="D929" s="19"/>
      <c r="E929" s="19"/>
      <c r="F929" s="19"/>
      <c r="G929" s="19"/>
    </row>
    <row r="930" spans="1:7" x14ac:dyDescent="0.3">
      <c r="A930" s="20"/>
      <c r="B930" s="19"/>
      <c r="C930" s="19"/>
      <c r="D930" s="19"/>
      <c r="E930" s="19"/>
      <c r="F930" s="19"/>
      <c r="G930" s="19"/>
    </row>
    <row r="931" spans="1:7" x14ac:dyDescent="0.3">
      <c r="A931" s="20"/>
      <c r="B931" s="19"/>
      <c r="C931" s="19"/>
      <c r="D931" s="19"/>
      <c r="E931" s="19"/>
      <c r="F931" s="19"/>
      <c r="G931" s="19"/>
    </row>
    <row r="932" spans="1:7" x14ac:dyDescent="0.3">
      <c r="A932" s="20"/>
      <c r="B932" s="19"/>
      <c r="C932" s="19"/>
      <c r="D932" s="19"/>
      <c r="E932" s="19"/>
      <c r="F932" s="19"/>
      <c r="G932" s="19"/>
    </row>
    <row r="933" spans="1:7" x14ac:dyDescent="0.3">
      <c r="A933" s="20"/>
      <c r="B933" s="19"/>
      <c r="C933" s="19"/>
      <c r="D933" s="19"/>
      <c r="E933" s="19"/>
      <c r="F933" s="19"/>
      <c r="G933" s="19"/>
    </row>
    <row r="934" spans="1:7" x14ac:dyDescent="0.3">
      <c r="A934" s="20"/>
      <c r="B934" s="19"/>
      <c r="C934" s="19"/>
      <c r="D934" s="19"/>
      <c r="E934" s="19"/>
      <c r="F934" s="19"/>
      <c r="G934" s="19"/>
    </row>
    <row r="935" spans="1:7" x14ac:dyDescent="0.3">
      <c r="A935" s="20"/>
      <c r="B935" s="19"/>
      <c r="C935" s="19"/>
      <c r="D935" s="19"/>
      <c r="E935" s="19"/>
      <c r="F935" s="19"/>
      <c r="G935" s="19"/>
    </row>
    <row r="936" spans="1:7" x14ac:dyDescent="0.3">
      <c r="A936" s="20"/>
      <c r="B936" s="19"/>
      <c r="C936" s="19"/>
      <c r="D936" s="19"/>
      <c r="E936" s="19"/>
      <c r="F936" s="19"/>
      <c r="G936" s="19"/>
    </row>
    <row r="937" spans="1:7" x14ac:dyDescent="0.3">
      <c r="A937" s="20"/>
      <c r="B937" s="19"/>
      <c r="C937" s="19"/>
      <c r="D937" s="19"/>
      <c r="E937" s="19"/>
      <c r="F937" s="19"/>
      <c r="G937" s="19"/>
    </row>
    <row r="938" spans="1:7" x14ac:dyDescent="0.3">
      <c r="A938" s="20"/>
      <c r="B938" s="19"/>
      <c r="C938" s="19"/>
      <c r="D938" s="19"/>
      <c r="E938" s="19"/>
      <c r="F938" s="19"/>
      <c r="G938" s="19"/>
    </row>
    <row r="939" spans="1:7" x14ac:dyDescent="0.3">
      <c r="A939" s="20"/>
      <c r="B939" s="19"/>
      <c r="C939" s="19"/>
      <c r="D939" s="19"/>
      <c r="E939" s="19"/>
      <c r="F939" s="19"/>
      <c r="G939" s="19"/>
    </row>
    <row r="940" spans="1:7" x14ac:dyDescent="0.3">
      <c r="A940" s="20"/>
      <c r="B940" s="19"/>
      <c r="C940" s="19"/>
      <c r="D940" s="19"/>
      <c r="E940" s="19"/>
      <c r="F940" s="19"/>
      <c r="G940" s="19"/>
    </row>
    <row r="941" spans="1:7" x14ac:dyDescent="0.3">
      <c r="A941" s="20"/>
      <c r="B941" s="19"/>
      <c r="C941" s="19"/>
      <c r="D941" s="19"/>
      <c r="E941" s="19"/>
      <c r="F941" s="19"/>
      <c r="G941" s="19"/>
    </row>
    <row r="942" spans="1:7" x14ac:dyDescent="0.3">
      <c r="A942" s="20"/>
      <c r="B942" s="19"/>
      <c r="C942" s="19"/>
      <c r="D942" s="19"/>
      <c r="E942" s="19"/>
      <c r="F942" s="19"/>
      <c r="G942" s="19"/>
    </row>
    <row r="943" spans="1:7" x14ac:dyDescent="0.3">
      <c r="A943" s="20"/>
      <c r="B943" s="19"/>
      <c r="C943" s="19"/>
      <c r="D943" s="19"/>
      <c r="E943" s="19"/>
      <c r="F943" s="19"/>
      <c r="G943" s="19"/>
    </row>
    <row r="944" spans="1:7" x14ac:dyDescent="0.3">
      <c r="A944" s="20"/>
      <c r="B944" s="19"/>
      <c r="C944" s="19"/>
      <c r="D944" s="19"/>
      <c r="E944" s="19"/>
      <c r="F944" s="19"/>
      <c r="G944" s="19"/>
    </row>
    <row r="945" spans="1:7" x14ac:dyDescent="0.3">
      <c r="A945" s="20"/>
      <c r="B945" s="19"/>
      <c r="C945" s="19"/>
      <c r="D945" s="19"/>
      <c r="E945" s="19"/>
      <c r="F945" s="19"/>
      <c r="G945" s="19"/>
    </row>
    <row r="946" spans="1:7" x14ac:dyDescent="0.3">
      <c r="A946" s="20"/>
      <c r="B946" s="19"/>
      <c r="C946" s="19"/>
      <c r="D946" s="19"/>
      <c r="E946" s="19"/>
      <c r="F946" s="19"/>
      <c r="G946" s="19"/>
    </row>
    <row r="947" spans="1:7" x14ac:dyDescent="0.3">
      <c r="A947" s="20"/>
      <c r="B947" s="19"/>
      <c r="C947" s="19"/>
      <c r="D947" s="19"/>
      <c r="E947" s="19"/>
      <c r="F947" s="19"/>
      <c r="G947" s="19"/>
    </row>
    <row r="948" spans="1:7" x14ac:dyDescent="0.3">
      <c r="A948" s="20"/>
      <c r="B948" s="19"/>
      <c r="C948" s="19"/>
      <c r="D948" s="19"/>
      <c r="E948" s="19"/>
      <c r="F948" s="19"/>
      <c r="G948" s="19"/>
    </row>
    <row r="949" spans="1:7" x14ac:dyDescent="0.3">
      <c r="A949" s="20"/>
      <c r="B949" s="19"/>
      <c r="C949" s="19"/>
      <c r="D949" s="19"/>
      <c r="E949" s="19"/>
      <c r="F949" s="19"/>
      <c r="G949" s="19"/>
    </row>
    <row r="950" spans="1:7" x14ac:dyDescent="0.3">
      <c r="A950" s="20"/>
      <c r="B950" s="19"/>
      <c r="C950" s="19"/>
      <c r="D950" s="19"/>
      <c r="E950" s="19"/>
      <c r="F950" s="19"/>
      <c r="G950" s="19"/>
    </row>
    <row r="951" spans="1:7" x14ac:dyDescent="0.3">
      <c r="A951" s="20"/>
      <c r="B951" s="19"/>
      <c r="C951" s="19"/>
      <c r="D951" s="19"/>
      <c r="E951" s="19"/>
      <c r="F951" s="19"/>
      <c r="G951" s="19"/>
    </row>
    <row r="952" spans="1:7" x14ac:dyDescent="0.3">
      <c r="A952" s="20"/>
      <c r="B952" s="19"/>
      <c r="C952" s="19"/>
      <c r="D952" s="19"/>
      <c r="E952" s="19"/>
      <c r="F952" s="19"/>
      <c r="G952" s="19"/>
    </row>
    <row r="953" spans="1:7" x14ac:dyDescent="0.3">
      <c r="A953" s="20"/>
      <c r="B953" s="19"/>
      <c r="C953" s="19"/>
      <c r="D953" s="19"/>
      <c r="E953" s="19"/>
      <c r="F953" s="19"/>
      <c r="G953" s="19"/>
    </row>
    <row r="954" spans="1:7" x14ac:dyDescent="0.3">
      <c r="A954" s="20"/>
      <c r="B954" s="19"/>
      <c r="C954" s="19"/>
      <c r="D954" s="19"/>
      <c r="E954" s="19"/>
      <c r="F954" s="19"/>
      <c r="G954" s="19"/>
    </row>
    <row r="955" spans="1:7" x14ac:dyDescent="0.3">
      <c r="A955" s="20"/>
      <c r="B955" s="19"/>
      <c r="C955" s="19"/>
      <c r="D955" s="19"/>
      <c r="E955" s="19"/>
      <c r="F955" s="19"/>
      <c r="G955" s="19"/>
    </row>
    <row r="956" spans="1:7" x14ac:dyDescent="0.3">
      <c r="A956" s="20"/>
      <c r="B956" s="19"/>
      <c r="C956" s="19"/>
      <c r="D956" s="19"/>
      <c r="E956" s="19"/>
      <c r="F956" s="19"/>
      <c r="G956" s="19"/>
    </row>
    <row r="957" spans="1:7" x14ac:dyDescent="0.3">
      <c r="A957" s="20"/>
      <c r="B957" s="19"/>
      <c r="C957" s="19"/>
      <c r="D957" s="19"/>
      <c r="E957" s="19"/>
      <c r="F957" s="19"/>
      <c r="G957" s="19"/>
    </row>
    <row r="958" spans="1:7" x14ac:dyDescent="0.3">
      <c r="A958" s="20"/>
      <c r="B958" s="19"/>
      <c r="C958" s="19"/>
      <c r="D958" s="19"/>
      <c r="E958" s="19"/>
      <c r="F958" s="19"/>
      <c r="G958" s="19"/>
    </row>
    <row r="959" spans="1:7" x14ac:dyDescent="0.3">
      <c r="A959" s="20"/>
      <c r="B959" s="19"/>
      <c r="C959" s="19"/>
      <c r="D959" s="19"/>
      <c r="E959" s="19"/>
      <c r="F959" s="19"/>
      <c r="G959" s="19"/>
    </row>
    <row r="960" spans="1:7" x14ac:dyDescent="0.3">
      <c r="A960" s="20"/>
      <c r="B960" s="19"/>
      <c r="C960" s="19"/>
      <c r="D960" s="19"/>
      <c r="E960" s="19"/>
      <c r="F960" s="19"/>
      <c r="G960" s="19"/>
    </row>
    <row r="961" spans="1:7" x14ac:dyDescent="0.3">
      <c r="A961" s="20"/>
      <c r="B961" s="19"/>
      <c r="C961" s="19"/>
      <c r="D961" s="19"/>
      <c r="E961" s="19"/>
      <c r="F961" s="19"/>
      <c r="G961" s="19"/>
    </row>
    <row r="962" spans="1:7" x14ac:dyDescent="0.3">
      <c r="A962" s="20"/>
      <c r="B962" s="19"/>
      <c r="C962" s="19"/>
      <c r="D962" s="19"/>
      <c r="E962" s="19"/>
      <c r="F962" s="19"/>
      <c r="G962" s="19"/>
    </row>
    <row r="963" spans="1:7" x14ac:dyDescent="0.3">
      <c r="A963" s="20"/>
      <c r="B963" s="19"/>
      <c r="C963" s="19"/>
      <c r="D963" s="19"/>
      <c r="E963" s="19"/>
      <c r="F963" s="19"/>
      <c r="G963" s="19"/>
    </row>
    <row r="964" spans="1:7" x14ac:dyDescent="0.3">
      <c r="A964" s="20"/>
      <c r="B964" s="19"/>
      <c r="C964" s="19"/>
      <c r="D964" s="19"/>
      <c r="E964" s="19"/>
      <c r="F964" s="19"/>
      <c r="G964" s="19"/>
    </row>
    <row r="965" spans="1:7" x14ac:dyDescent="0.3">
      <c r="A965" s="20"/>
      <c r="B965" s="19"/>
      <c r="C965" s="19"/>
      <c r="D965" s="19"/>
      <c r="E965" s="19"/>
      <c r="F965" s="19"/>
      <c r="G965" s="19"/>
    </row>
    <row r="966" spans="1:7" x14ac:dyDescent="0.3">
      <c r="A966" s="20"/>
      <c r="B966" s="19"/>
      <c r="C966" s="19"/>
      <c r="D966" s="19"/>
      <c r="E966" s="19"/>
      <c r="F966" s="19"/>
      <c r="G966" s="19"/>
    </row>
    <row r="967" spans="1:7" x14ac:dyDescent="0.3">
      <c r="A967" s="20"/>
      <c r="B967" s="19"/>
      <c r="C967" s="19"/>
      <c r="D967" s="19"/>
      <c r="E967" s="19"/>
      <c r="F967" s="19"/>
      <c r="G967" s="19"/>
    </row>
    <row r="968" spans="1:7" x14ac:dyDescent="0.3">
      <c r="A968" s="20"/>
      <c r="B968" s="19"/>
      <c r="C968" s="19"/>
      <c r="D968" s="19"/>
      <c r="E968" s="19"/>
      <c r="F968" s="19"/>
      <c r="G968" s="19"/>
    </row>
    <row r="969" spans="1:7" x14ac:dyDescent="0.3">
      <c r="A969" s="20"/>
      <c r="B969" s="19"/>
      <c r="C969" s="19"/>
      <c r="D969" s="19"/>
      <c r="E969" s="19"/>
      <c r="F969" s="19"/>
      <c r="G969" s="19"/>
    </row>
    <row r="970" spans="1:7" x14ac:dyDescent="0.3">
      <c r="A970" s="20"/>
      <c r="B970" s="19"/>
      <c r="C970" s="19"/>
      <c r="D970" s="19"/>
      <c r="E970" s="19"/>
      <c r="F970" s="19"/>
      <c r="G970" s="19"/>
    </row>
    <row r="971" spans="1:7" x14ac:dyDescent="0.3">
      <c r="A971" s="20"/>
      <c r="B971" s="19"/>
      <c r="C971" s="19"/>
      <c r="D971" s="19"/>
      <c r="E971" s="19"/>
      <c r="F971" s="19"/>
      <c r="G971" s="19"/>
    </row>
    <row r="972" spans="1:7" x14ac:dyDescent="0.3">
      <c r="A972" s="20"/>
      <c r="B972" s="19"/>
      <c r="C972" s="19"/>
      <c r="D972" s="19"/>
      <c r="E972" s="19"/>
      <c r="F972" s="19"/>
      <c r="G972" s="19"/>
    </row>
    <row r="973" spans="1:7" x14ac:dyDescent="0.3">
      <c r="A973" s="20"/>
      <c r="B973" s="19"/>
      <c r="C973" s="19"/>
      <c r="D973" s="19"/>
      <c r="E973" s="19"/>
      <c r="F973" s="19"/>
      <c r="G973" s="19"/>
    </row>
    <row r="974" spans="1:7" x14ac:dyDescent="0.3">
      <c r="A974" s="20"/>
      <c r="B974" s="19"/>
      <c r="C974" s="19"/>
      <c r="D974" s="19"/>
      <c r="E974" s="19"/>
      <c r="F974" s="19"/>
      <c r="G974" s="19"/>
    </row>
    <row r="975" spans="1:7" x14ac:dyDescent="0.3">
      <c r="A975" s="20"/>
      <c r="B975" s="19"/>
      <c r="C975" s="19"/>
      <c r="D975" s="19"/>
      <c r="E975" s="19"/>
      <c r="F975" s="19"/>
      <c r="G975" s="19"/>
    </row>
    <row r="976" spans="1:7" x14ac:dyDescent="0.3">
      <c r="A976" s="20"/>
      <c r="B976" s="19"/>
      <c r="C976" s="19"/>
      <c r="D976" s="19"/>
      <c r="E976" s="19"/>
      <c r="F976" s="19"/>
      <c r="G976" s="19"/>
    </row>
    <row r="977" spans="1:7" x14ac:dyDescent="0.3">
      <c r="A977" s="20"/>
      <c r="B977" s="19"/>
      <c r="C977" s="19"/>
      <c r="D977" s="19"/>
      <c r="E977" s="19"/>
      <c r="F977" s="19"/>
      <c r="G977" s="19"/>
    </row>
    <row r="978" spans="1:7" x14ac:dyDescent="0.3">
      <c r="A978" s="20"/>
      <c r="B978" s="19"/>
      <c r="C978" s="19"/>
      <c r="D978" s="19"/>
      <c r="E978" s="19"/>
      <c r="F978" s="19"/>
      <c r="G978" s="19"/>
    </row>
    <row r="979" spans="1:7" x14ac:dyDescent="0.3">
      <c r="A979" s="20"/>
      <c r="B979" s="19"/>
      <c r="C979" s="19"/>
      <c r="D979" s="19"/>
      <c r="E979" s="19"/>
      <c r="F979" s="19"/>
      <c r="G979" s="19"/>
    </row>
    <row r="980" spans="1:7" x14ac:dyDescent="0.3">
      <c r="A980" s="20"/>
      <c r="B980" s="19"/>
      <c r="C980" s="19"/>
      <c r="D980" s="19"/>
      <c r="E980" s="19"/>
      <c r="F980" s="19"/>
      <c r="G980" s="19"/>
    </row>
    <row r="981" spans="1:7" x14ac:dyDescent="0.3">
      <c r="A981" s="20"/>
      <c r="B981" s="19"/>
      <c r="C981" s="19"/>
      <c r="D981" s="19"/>
      <c r="E981" s="19"/>
      <c r="F981" s="19"/>
      <c r="G981" s="19"/>
    </row>
    <row r="982" spans="1:7" x14ac:dyDescent="0.3">
      <c r="A982" s="20"/>
      <c r="B982" s="19"/>
      <c r="C982" s="19"/>
      <c r="D982" s="19"/>
      <c r="E982" s="19"/>
      <c r="F982" s="19"/>
      <c r="G982" s="19"/>
    </row>
    <row r="983" spans="1:7" x14ac:dyDescent="0.3">
      <c r="A983" s="20"/>
      <c r="B983" s="19"/>
      <c r="C983" s="19"/>
      <c r="D983" s="19"/>
      <c r="E983" s="19"/>
      <c r="F983" s="19"/>
      <c r="G983" s="19"/>
    </row>
    <row r="984" spans="1:7" x14ac:dyDescent="0.3">
      <c r="A984" s="20"/>
      <c r="B984" s="19"/>
      <c r="C984" s="19"/>
      <c r="D984" s="19"/>
      <c r="E984" s="19"/>
      <c r="F984" s="19"/>
      <c r="G984" s="19"/>
    </row>
    <row r="985" spans="1:7" x14ac:dyDescent="0.3">
      <c r="A985" s="20"/>
      <c r="B985" s="19"/>
      <c r="C985" s="19"/>
      <c r="D985" s="19"/>
      <c r="E985" s="19"/>
      <c r="F985" s="19"/>
      <c r="G985" s="19"/>
    </row>
    <row r="986" spans="1:7" x14ac:dyDescent="0.3">
      <c r="A986" s="20"/>
      <c r="B986" s="19"/>
      <c r="C986" s="19"/>
      <c r="D986" s="19"/>
      <c r="E986" s="19"/>
      <c r="F986" s="19"/>
      <c r="G986" s="19"/>
    </row>
    <row r="987" spans="1:7" x14ac:dyDescent="0.3">
      <c r="A987" s="20"/>
      <c r="B987" s="19"/>
      <c r="C987" s="19"/>
      <c r="D987" s="19"/>
      <c r="E987" s="19"/>
      <c r="F987" s="19"/>
      <c r="G987" s="19"/>
    </row>
    <row r="988" spans="1:7" x14ac:dyDescent="0.3">
      <c r="A988" s="20"/>
      <c r="B988" s="19"/>
      <c r="C988" s="19"/>
      <c r="D988" s="19"/>
      <c r="E988" s="19"/>
      <c r="F988" s="19"/>
      <c r="G988" s="19"/>
    </row>
    <row r="989" spans="1:7" x14ac:dyDescent="0.3">
      <c r="A989" s="20"/>
      <c r="B989" s="19"/>
      <c r="C989" s="19"/>
      <c r="D989" s="19"/>
      <c r="E989" s="19"/>
      <c r="F989" s="19"/>
      <c r="G989" s="19"/>
    </row>
    <row r="990" spans="1:7" x14ac:dyDescent="0.3">
      <c r="A990" s="20"/>
      <c r="B990" s="19"/>
      <c r="C990" s="19"/>
      <c r="D990" s="19"/>
      <c r="E990" s="19"/>
      <c r="F990" s="19"/>
      <c r="G990" s="19"/>
    </row>
    <row r="991" spans="1:7" x14ac:dyDescent="0.3">
      <c r="A991" s="20"/>
      <c r="B991" s="19"/>
      <c r="C991" s="19"/>
      <c r="D991" s="19"/>
      <c r="E991" s="19"/>
      <c r="F991" s="19"/>
      <c r="G991" s="19"/>
    </row>
    <row r="992" spans="1:7" x14ac:dyDescent="0.3">
      <c r="A992" s="20"/>
      <c r="B992" s="19"/>
      <c r="C992" s="19"/>
      <c r="D992" s="19"/>
      <c r="E992" s="19"/>
      <c r="F992" s="19"/>
      <c r="G992" s="19"/>
    </row>
    <row r="993" spans="1:7" x14ac:dyDescent="0.3">
      <c r="A993" s="20"/>
      <c r="B993" s="19"/>
      <c r="C993" s="19"/>
      <c r="D993" s="19"/>
      <c r="E993" s="19"/>
      <c r="F993" s="19"/>
      <c r="G993" s="19"/>
    </row>
    <row r="994" spans="1:7" x14ac:dyDescent="0.3">
      <c r="A994" s="20"/>
      <c r="B994" s="19"/>
      <c r="C994" s="19"/>
      <c r="D994" s="19"/>
      <c r="E994" s="19"/>
      <c r="F994" s="19"/>
      <c r="G994" s="19"/>
    </row>
    <row r="995" spans="1:7" x14ac:dyDescent="0.3">
      <c r="A995" s="20"/>
      <c r="B995" s="19"/>
      <c r="C995" s="19"/>
      <c r="D995" s="19"/>
      <c r="E995" s="19"/>
      <c r="F995" s="19"/>
      <c r="G995" s="19"/>
    </row>
    <row r="996" spans="1:7" x14ac:dyDescent="0.3">
      <c r="A996" s="20"/>
      <c r="B996" s="19"/>
      <c r="C996" s="19"/>
      <c r="D996" s="19"/>
      <c r="E996" s="19"/>
      <c r="F996" s="19"/>
      <c r="G996" s="19"/>
    </row>
    <row r="997" spans="1:7" x14ac:dyDescent="0.3">
      <c r="A997" s="20"/>
      <c r="B997" s="19"/>
      <c r="C997" s="19"/>
      <c r="D997" s="19"/>
      <c r="E997" s="19"/>
      <c r="F997" s="19"/>
      <c r="G997" s="19"/>
    </row>
    <row r="998" spans="1:7" x14ac:dyDescent="0.3">
      <c r="A998" s="20"/>
      <c r="B998" s="19"/>
      <c r="C998" s="19"/>
      <c r="D998" s="19"/>
      <c r="E998" s="19"/>
      <c r="F998" s="19"/>
      <c r="G998" s="19"/>
    </row>
    <row r="999" spans="1:7" x14ac:dyDescent="0.3">
      <c r="A999" s="20"/>
      <c r="B999" s="19"/>
      <c r="C999" s="19"/>
      <c r="D999" s="19"/>
      <c r="E999" s="19"/>
      <c r="F999" s="19"/>
      <c r="G999" s="19"/>
    </row>
    <row r="1000" spans="1:7" x14ac:dyDescent="0.3">
      <c r="A1000" s="20"/>
      <c r="B1000" s="19"/>
      <c r="C1000" s="19"/>
      <c r="D1000" s="19"/>
      <c r="E1000" s="19"/>
      <c r="F1000" s="19"/>
      <c r="G1000" s="19"/>
    </row>
    <row r="1001" spans="1:7" x14ac:dyDescent="0.3">
      <c r="A1001" s="20"/>
      <c r="B1001" s="19"/>
      <c r="C1001" s="19"/>
      <c r="D1001" s="19"/>
      <c r="E1001" s="19"/>
      <c r="F1001" s="19"/>
      <c r="G1001" s="19"/>
    </row>
  </sheetData>
  <dataValidations count="3">
    <dataValidation type="list" allowBlank="1" showErrorMessage="1" sqref="G2:G1001" xr:uid="{00000000-0002-0000-0A00-000000000000}">
      <formula1>"Confirmed,Completed,Cancelled,No-show,Walk-in"</formula1>
      <formula2>0</formula2>
    </dataValidation>
    <dataValidation type="list" allowBlank="1" showErrorMessage="1" sqref="E2:E1001" xr:uid="{00000000-0002-0000-0A00-000001000000}">
      <formula1>ServiceKeys</formula1>
      <formula2>0</formula2>
    </dataValidation>
    <dataValidation type="list" allowBlank="1" showErrorMessage="1" sqref="C2:C1001" xr:uid="{00000000-0002-0000-0A00-000002000000}">
      <formula1>CustNames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Dashboard</vt:lpstr>
      <vt:lpstr>Daily tracking</vt:lpstr>
      <vt:lpstr>Customer Database</vt:lpstr>
      <vt:lpstr>Services</vt:lpstr>
      <vt:lpstr>Employee</vt:lpstr>
      <vt:lpstr>Expenses</vt:lpstr>
      <vt:lpstr>Purchases</vt:lpstr>
      <vt:lpstr>Inventory</vt:lpstr>
      <vt:lpstr>Retention</vt:lpstr>
      <vt:lpstr>P&amp;L Statement</vt:lpstr>
      <vt:lpstr>Appointments</vt:lpstr>
      <vt:lpstr>CustNames</vt:lpstr>
      <vt:lpstr>EmpNames</vt:lpstr>
      <vt:lpstr>ProductNames</vt:lpstr>
      <vt:lpstr>ServiceKeys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Karanveer</dc:creator>
  <dc:description/>
  <cp:lastModifiedBy>simran kaur</cp:lastModifiedBy>
  <cp:revision>0</cp:revision>
  <dcterms:created xsi:type="dcterms:W3CDTF">2026-06-28T07:14:02Z</dcterms:created>
  <dcterms:modified xsi:type="dcterms:W3CDTF">2026-06-28T09:12:53Z</dcterms:modified>
  <dc:language>en-US</dc:language>
</cp:coreProperties>
</file>